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yashsingh/Documents/Projects/hospital-readmissions-analysis/data/clean/"/>
    </mc:Choice>
  </mc:AlternateContent>
  <xr:revisionPtr revIDLastSave="0" documentId="8_{813A788E-35F4-064C-8D92-E9E649572E0B}" xr6:coauthVersionLast="47" xr6:coauthVersionMax="47" xr10:uidLastSave="{00000000-0000-0000-0000-000000000000}"/>
  <bookViews>
    <workbookView xWindow="5580" yWindow="2380" windowWidth="24660" windowHeight="15800" xr2:uid="{F016A1CE-292F-4E49-BAD3-FF91A7C8F498}"/>
  </bookViews>
  <sheets>
    <sheet name="cleaned_table" sheetId="1" r:id="rId1"/>
  </sheets>
  <externalReferences>
    <externalReference r:id="rId2"/>
  </externalReferences>
  <definedNames>
    <definedName name="correl">'[1]score analysis'!$F$2</definedName>
    <definedName name="hospitaltypedashboard">[1]Readmissions_Analysis!$C$5</definedName>
    <definedName name="kpidifference">'[1]ownership analysis'!$J$18</definedName>
    <definedName name="nationalaverage">[1]dashboard_prep!$K$3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433" i="1" l="1" a="1"/>
  <c r="F5433" i="1" s="1"/>
  <c r="E5433" i="1" a="1"/>
  <c r="E5433" i="1" s="1"/>
  <c r="D5433" i="1"/>
  <c r="C5433" i="1"/>
  <c r="B5433" i="1"/>
  <c r="A5433" i="1"/>
  <c r="F5432" i="1" a="1"/>
  <c r="F5432" i="1" s="1"/>
  <c r="E5432" i="1" a="1"/>
  <c r="E5432" i="1" s="1"/>
  <c r="D5432" i="1"/>
  <c r="C5432" i="1"/>
  <c r="B5432" i="1"/>
  <c r="A5432" i="1"/>
  <c r="F5431" i="1" a="1"/>
  <c r="F5431" i="1" s="1"/>
  <c r="E5431" i="1" a="1"/>
  <c r="E5431" i="1" s="1"/>
  <c r="D5431" i="1"/>
  <c r="C5431" i="1"/>
  <c r="B5431" i="1"/>
  <c r="A5431" i="1"/>
  <c r="F5430" i="1" a="1"/>
  <c r="F5430" i="1" s="1"/>
  <c r="E5430" i="1" a="1"/>
  <c r="E5430" i="1" s="1"/>
  <c r="D5430" i="1"/>
  <c r="C5430" i="1"/>
  <c r="B5430" i="1"/>
  <c r="A5430" i="1"/>
  <c r="D5429" i="1"/>
  <c r="C5429" i="1"/>
  <c r="B5429" i="1"/>
  <c r="A5429" i="1"/>
  <c r="F5429" i="1" s="1" a="1"/>
  <c r="F5429" i="1" s="1"/>
  <c r="D5428" i="1"/>
  <c r="C5428" i="1"/>
  <c r="B5428" i="1"/>
  <c r="A5428" i="1"/>
  <c r="F5428" i="1" s="1" a="1"/>
  <c r="F5428" i="1" s="1"/>
  <c r="D5427" i="1"/>
  <c r="C5427" i="1"/>
  <c r="B5427" i="1"/>
  <c r="A5427" i="1"/>
  <c r="F5427" i="1" s="1" a="1"/>
  <c r="F5427" i="1" s="1"/>
  <c r="D5426" i="1"/>
  <c r="C5426" i="1"/>
  <c r="B5426" i="1"/>
  <c r="A5426" i="1"/>
  <c r="F5426" i="1" s="1" a="1"/>
  <c r="F5426" i="1" s="1"/>
  <c r="F5425" i="1" a="1"/>
  <c r="F5425" i="1" s="1"/>
  <c r="E5425" i="1" a="1"/>
  <c r="E5425" i="1" s="1"/>
  <c r="D5425" i="1"/>
  <c r="C5425" i="1"/>
  <c r="B5425" i="1"/>
  <c r="A5425" i="1"/>
  <c r="F5424" i="1" a="1"/>
  <c r="F5424" i="1" s="1"/>
  <c r="E5424" i="1" a="1"/>
  <c r="E5424" i="1" s="1"/>
  <c r="D5424" i="1"/>
  <c r="C5424" i="1"/>
  <c r="B5424" i="1"/>
  <c r="A5424" i="1"/>
  <c r="F5423" i="1" a="1"/>
  <c r="F5423" i="1" s="1"/>
  <c r="E5423" i="1" a="1"/>
  <c r="E5423" i="1" s="1"/>
  <c r="D5423" i="1"/>
  <c r="C5423" i="1"/>
  <c r="B5423" i="1"/>
  <c r="A5423" i="1"/>
  <c r="F5422" i="1" a="1"/>
  <c r="F5422" i="1" s="1"/>
  <c r="E5422" i="1" a="1"/>
  <c r="E5422" i="1" s="1"/>
  <c r="D5422" i="1"/>
  <c r="C5422" i="1"/>
  <c r="B5422" i="1"/>
  <c r="A5422" i="1"/>
  <c r="D5421" i="1"/>
  <c r="C5421" i="1"/>
  <c r="B5421" i="1"/>
  <c r="A5421" i="1"/>
  <c r="D5420" i="1"/>
  <c r="C5420" i="1"/>
  <c r="B5420" i="1"/>
  <c r="A5420" i="1"/>
  <c r="F5419" i="1" a="1"/>
  <c r="F5419" i="1" s="1"/>
  <c r="D5419" i="1"/>
  <c r="C5419" i="1"/>
  <c r="B5419" i="1"/>
  <c r="A5419" i="1"/>
  <c r="E5419" i="1" s="1" a="1"/>
  <c r="E5419" i="1" s="1"/>
  <c r="F5418" i="1" a="1"/>
  <c r="F5418" i="1" s="1"/>
  <c r="D5418" i="1"/>
  <c r="C5418" i="1"/>
  <c r="B5418" i="1"/>
  <c r="A5418" i="1"/>
  <c r="E5418" i="1" s="1" a="1"/>
  <c r="E5418" i="1" s="1"/>
  <c r="F5417" i="1" a="1"/>
  <c r="F5417" i="1" s="1"/>
  <c r="E5417" i="1" a="1"/>
  <c r="E5417" i="1" s="1"/>
  <c r="D5417" i="1"/>
  <c r="C5417" i="1"/>
  <c r="B5417" i="1"/>
  <c r="A5417" i="1"/>
  <c r="F5416" i="1" a="1"/>
  <c r="F5416" i="1" s="1"/>
  <c r="E5416" i="1" a="1"/>
  <c r="E5416" i="1" s="1"/>
  <c r="D5416" i="1"/>
  <c r="C5416" i="1"/>
  <c r="B5416" i="1"/>
  <c r="A5416" i="1"/>
  <c r="F5415" i="1" a="1"/>
  <c r="F5415" i="1" s="1"/>
  <c r="E5415" i="1" a="1"/>
  <c r="E5415" i="1" s="1"/>
  <c r="D5415" i="1"/>
  <c r="C5415" i="1"/>
  <c r="B5415" i="1"/>
  <c r="A5415" i="1"/>
  <c r="F5414" i="1" a="1"/>
  <c r="F5414" i="1" s="1"/>
  <c r="E5414" i="1" a="1"/>
  <c r="E5414" i="1" s="1"/>
  <c r="D5414" i="1"/>
  <c r="C5414" i="1"/>
  <c r="B5414" i="1"/>
  <c r="A5414" i="1"/>
  <c r="D5413" i="1"/>
  <c r="C5413" i="1"/>
  <c r="B5413" i="1"/>
  <c r="A5413" i="1"/>
  <c r="D5412" i="1"/>
  <c r="C5412" i="1"/>
  <c r="B5412" i="1"/>
  <c r="A5412" i="1"/>
  <c r="D5411" i="1"/>
  <c r="C5411" i="1"/>
  <c r="B5411" i="1"/>
  <c r="A5411" i="1"/>
  <c r="E5411" i="1" s="1" a="1"/>
  <c r="E5411" i="1" s="1"/>
  <c r="F5410" i="1" a="1"/>
  <c r="F5410" i="1" s="1"/>
  <c r="E5410" i="1"/>
  <c r="D5410" i="1"/>
  <c r="C5410" i="1"/>
  <c r="B5410" i="1"/>
  <c r="A5410" i="1"/>
  <c r="E5410" i="1" s="1" a="1"/>
  <c r="F5409" i="1" a="1"/>
  <c r="F5409" i="1" s="1"/>
  <c r="E5409" i="1" a="1"/>
  <c r="E5409" i="1" s="1"/>
  <c r="D5409" i="1"/>
  <c r="C5409" i="1"/>
  <c r="B5409" i="1"/>
  <c r="A5409" i="1"/>
  <c r="F5408" i="1" a="1"/>
  <c r="F5408" i="1" s="1"/>
  <c r="E5408" i="1" a="1"/>
  <c r="E5408" i="1" s="1"/>
  <c r="D5408" i="1"/>
  <c r="C5408" i="1"/>
  <c r="B5408" i="1"/>
  <c r="A5408" i="1"/>
  <c r="F5407" i="1" a="1"/>
  <c r="F5407" i="1" s="1"/>
  <c r="E5407" i="1" a="1"/>
  <c r="E5407" i="1" s="1"/>
  <c r="D5407" i="1"/>
  <c r="C5407" i="1"/>
  <c r="B5407" i="1"/>
  <c r="A5407" i="1"/>
  <c r="F5406" i="1" a="1"/>
  <c r="F5406" i="1" s="1"/>
  <c r="E5406" i="1" a="1"/>
  <c r="E5406" i="1" s="1"/>
  <c r="D5406" i="1"/>
  <c r="C5406" i="1"/>
  <c r="B5406" i="1"/>
  <c r="A5406" i="1"/>
  <c r="D5405" i="1"/>
  <c r="C5405" i="1"/>
  <c r="B5405" i="1"/>
  <c r="A5405" i="1"/>
  <c r="D5404" i="1"/>
  <c r="C5404" i="1"/>
  <c r="B5404" i="1"/>
  <c r="A5404" i="1"/>
  <c r="F5403" i="1" a="1"/>
  <c r="F5403" i="1" s="1"/>
  <c r="D5403" i="1"/>
  <c r="C5403" i="1"/>
  <c r="B5403" i="1"/>
  <c r="A5403" i="1"/>
  <c r="E5403" i="1" s="1" a="1"/>
  <c r="E5403" i="1" s="1"/>
  <c r="F5402" i="1" a="1"/>
  <c r="F5402" i="1" s="1"/>
  <c r="E5402" i="1"/>
  <c r="D5402" i="1"/>
  <c r="C5402" i="1"/>
  <c r="B5402" i="1"/>
  <c r="A5402" i="1"/>
  <c r="E5402" i="1" s="1" a="1"/>
  <c r="F5401" i="1" a="1"/>
  <c r="F5401" i="1" s="1"/>
  <c r="E5401" i="1" a="1"/>
  <c r="E5401" i="1" s="1"/>
  <c r="D5401" i="1"/>
  <c r="C5401" i="1"/>
  <c r="B5401" i="1"/>
  <c r="A5401" i="1"/>
  <c r="F5400" i="1" a="1"/>
  <c r="F5400" i="1" s="1"/>
  <c r="E5400" i="1" a="1"/>
  <c r="E5400" i="1" s="1"/>
  <c r="D5400" i="1"/>
  <c r="C5400" i="1"/>
  <c r="B5400" i="1"/>
  <c r="A5400" i="1"/>
  <c r="F5399" i="1" a="1"/>
  <c r="F5399" i="1" s="1"/>
  <c r="E5399" i="1" a="1"/>
  <c r="E5399" i="1" s="1"/>
  <c r="D5399" i="1"/>
  <c r="C5399" i="1"/>
  <c r="B5399" i="1"/>
  <c r="A5399" i="1"/>
  <c r="F5398" i="1" a="1"/>
  <c r="F5398" i="1" s="1"/>
  <c r="E5398" i="1" a="1"/>
  <c r="E5398" i="1" s="1"/>
  <c r="D5398" i="1"/>
  <c r="C5398" i="1"/>
  <c r="B5398" i="1"/>
  <c r="A5398" i="1"/>
  <c r="D5397" i="1"/>
  <c r="C5397" i="1"/>
  <c r="B5397" i="1"/>
  <c r="A5397" i="1"/>
  <c r="D5396" i="1"/>
  <c r="C5396" i="1"/>
  <c r="B5396" i="1"/>
  <c r="A5396" i="1"/>
  <c r="F5395" i="1" a="1"/>
  <c r="F5395" i="1" s="1"/>
  <c r="D5395" i="1"/>
  <c r="C5395" i="1"/>
  <c r="B5395" i="1"/>
  <c r="A5395" i="1"/>
  <c r="E5395" i="1" s="1" a="1"/>
  <c r="E5395" i="1" s="1"/>
  <c r="F5394" i="1" a="1"/>
  <c r="F5394" i="1" s="1"/>
  <c r="D5394" i="1"/>
  <c r="C5394" i="1"/>
  <c r="B5394" i="1"/>
  <c r="A5394" i="1"/>
  <c r="E5394" i="1" s="1" a="1"/>
  <c r="E5394" i="1" s="1"/>
  <c r="E5393" i="1" a="1"/>
  <c r="E5393" i="1" s="1"/>
  <c r="D5393" i="1"/>
  <c r="C5393" i="1"/>
  <c r="B5393" i="1"/>
  <c r="A5393" i="1"/>
  <c r="F5393" i="1" s="1" a="1"/>
  <c r="F5393" i="1" s="1"/>
  <c r="D5392" i="1"/>
  <c r="C5392" i="1"/>
  <c r="B5392" i="1"/>
  <c r="A5392" i="1"/>
  <c r="F5392" i="1" s="1" a="1"/>
  <c r="F5392" i="1" s="1"/>
  <c r="F5391" i="1" a="1"/>
  <c r="F5391" i="1" s="1"/>
  <c r="E5391" i="1"/>
  <c r="E5391" i="1" a="1"/>
  <c r="D5391" i="1"/>
  <c r="C5391" i="1"/>
  <c r="B5391" i="1"/>
  <c r="A5391" i="1"/>
  <c r="F5390" i="1" a="1"/>
  <c r="F5390" i="1" s="1"/>
  <c r="E5390" i="1" a="1"/>
  <c r="E5390" i="1" s="1"/>
  <c r="D5390" i="1"/>
  <c r="C5390" i="1"/>
  <c r="B5390" i="1"/>
  <c r="A5390" i="1"/>
  <c r="E5389" i="1" a="1"/>
  <c r="E5389" i="1" s="1"/>
  <c r="D5389" i="1"/>
  <c r="C5389" i="1"/>
  <c r="B5389" i="1"/>
  <c r="A5389" i="1"/>
  <c r="F5389" i="1" s="1" a="1"/>
  <c r="F5389" i="1" s="1"/>
  <c r="E5388" i="1" a="1"/>
  <c r="E5388" i="1" s="1"/>
  <c r="D5388" i="1"/>
  <c r="C5388" i="1"/>
  <c r="B5388" i="1"/>
  <c r="A5388" i="1"/>
  <c r="F5388" i="1" s="1" a="1"/>
  <c r="F5388" i="1" s="1"/>
  <c r="F5387" i="1" a="1"/>
  <c r="F5387" i="1" s="1"/>
  <c r="D5387" i="1"/>
  <c r="C5387" i="1"/>
  <c r="B5387" i="1"/>
  <c r="A5387" i="1"/>
  <c r="E5387" i="1" s="1" a="1"/>
  <c r="E5387" i="1" s="1"/>
  <c r="F5386" i="1" a="1"/>
  <c r="F5386" i="1" s="1"/>
  <c r="E5386" i="1"/>
  <c r="D5386" i="1"/>
  <c r="C5386" i="1"/>
  <c r="B5386" i="1"/>
  <c r="A5386" i="1"/>
  <c r="E5386" i="1" s="1" a="1"/>
  <c r="F5385" i="1" a="1"/>
  <c r="F5385" i="1" s="1"/>
  <c r="E5385" i="1" a="1"/>
  <c r="E5385" i="1" s="1"/>
  <c r="D5385" i="1"/>
  <c r="C5385" i="1"/>
  <c r="B5385" i="1"/>
  <c r="A5385" i="1"/>
  <c r="D5384" i="1"/>
  <c r="C5384" i="1"/>
  <c r="B5384" i="1"/>
  <c r="A5384" i="1"/>
  <c r="E5384" i="1" s="1" a="1"/>
  <c r="E5384" i="1" s="1"/>
  <c r="F5383" i="1" a="1"/>
  <c r="F5383" i="1" s="1"/>
  <c r="E5383" i="1" a="1"/>
  <c r="E5383" i="1" s="1"/>
  <c r="D5383" i="1"/>
  <c r="C5383" i="1"/>
  <c r="B5383" i="1"/>
  <c r="A5383" i="1"/>
  <c r="F5382" i="1" a="1"/>
  <c r="F5382" i="1" s="1"/>
  <c r="E5382" i="1" a="1"/>
  <c r="E5382" i="1" s="1"/>
  <c r="D5382" i="1"/>
  <c r="C5382" i="1"/>
  <c r="B5382" i="1"/>
  <c r="A5382" i="1"/>
  <c r="E5381" i="1" a="1"/>
  <c r="E5381" i="1" s="1"/>
  <c r="D5381" i="1"/>
  <c r="C5381" i="1"/>
  <c r="B5381" i="1"/>
  <c r="A5381" i="1"/>
  <c r="F5381" i="1" s="1" a="1"/>
  <c r="F5381" i="1" s="1"/>
  <c r="E5380" i="1" a="1"/>
  <c r="E5380" i="1" s="1"/>
  <c r="D5380" i="1"/>
  <c r="C5380" i="1"/>
  <c r="B5380" i="1"/>
  <c r="A5380" i="1"/>
  <c r="F5380" i="1" s="1" a="1"/>
  <c r="F5380" i="1" s="1"/>
  <c r="D5379" i="1"/>
  <c r="C5379" i="1"/>
  <c r="B5379" i="1"/>
  <c r="A5379" i="1"/>
  <c r="E5379" i="1" s="1" a="1"/>
  <c r="E5379" i="1" s="1"/>
  <c r="E5378" i="1"/>
  <c r="D5378" i="1"/>
  <c r="C5378" i="1"/>
  <c r="B5378" i="1"/>
  <c r="A5378" i="1"/>
  <c r="E5378" i="1" s="1" a="1"/>
  <c r="D5377" i="1"/>
  <c r="C5377" i="1"/>
  <c r="B5377" i="1"/>
  <c r="A5377" i="1"/>
  <c r="F5377" i="1" s="1" a="1"/>
  <c r="F5377" i="1" s="1"/>
  <c r="F5376" i="1" a="1"/>
  <c r="F5376" i="1" s="1"/>
  <c r="E5376" i="1" a="1"/>
  <c r="E5376" i="1" s="1"/>
  <c r="D5376" i="1"/>
  <c r="C5376" i="1"/>
  <c r="B5376" i="1"/>
  <c r="A5376" i="1"/>
  <c r="F5375" i="1" a="1"/>
  <c r="F5375" i="1" s="1"/>
  <c r="E5375" i="1" a="1"/>
  <c r="E5375" i="1" s="1"/>
  <c r="D5375" i="1"/>
  <c r="C5375" i="1"/>
  <c r="B5375" i="1"/>
  <c r="A5375" i="1"/>
  <c r="F5374" i="1" a="1"/>
  <c r="F5374" i="1" s="1"/>
  <c r="E5374" i="1"/>
  <c r="E5374" i="1" a="1"/>
  <c r="D5374" i="1"/>
  <c r="C5374" i="1"/>
  <c r="B5374" i="1"/>
  <c r="A5374" i="1"/>
  <c r="D5373" i="1"/>
  <c r="C5373" i="1"/>
  <c r="B5373" i="1"/>
  <c r="A5373" i="1"/>
  <c r="D5372" i="1"/>
  <c r="C5372" i="1"/>
  <c r="B5372" i="1"/>
  <c r="A5372" i="1"/>
  <c r="F5372" i="1" s="1" a="1"/>
  <c r="F5372" i="1" s="1"/>
  <c r="F5371" i="1" a="1"/>
  <c r="F5371" i="1" s="1"/>
  <c r="D5371" i="1"/>
  <c r="C5371" i="1"/>
  <c r="B5371" i="1"/>
  <c r="A5371" i="1"/>
  <c r="E5371" i="1" s="1" a="1"/>
  <c r="E5371" i="1" s="1"/>
  <c r="D5370" i="1"/>
  <c r="C5370" i="1"/>
  <c r="B5370" i="1"/>
  <c r="A5370" i="1"/>
  <c r="D5369" i="1"/>
  <c r="C5369" i="1"/>
  <c r="B5369" i="1"/>
  <c r="A5369" i="1"/>
  <c r="F5369" i="1" s="1" a="1"/>
  <c r="F5369" i="1" s="1"/>
  <c r="F5368" i="1" a="1"/>
  <c r="F5368" i="1" s="1"/>
  <c r="E5368" i="1" a="1"/>
  <c r="E5368" i="1" s="1"/>
  <c r="D5368" i="1"/>
  <c r="C5368" i="1"/>
  <c r="B5368" i="1"/>
  <c r="A5368" i="1"/>
  <c r="F5367" i="1" a="1"/>
  <c r="F5367" i="1" s="1"/>
  <c r="E5367" i="1"/>
  <c r="E5367" i="1" a="1"/>
  <c r="D5367" i="1"/>
  <c r="C5367" i="1"/>
  <c r="B5367" i="1"/>
  <c r="A5367" i="1"/>
  <c r="F5366" i="1" a="1"/>
  <c r="F5366" i="1" s="1"/>
  <c r="E5366" i="1" a="1"/>
  <c r="E5366" i="1" s="1"/>
  <c r="D5366" i="1"/>
  <c r="C5366" i="1"/>
  <c r="B5366" i="1"/>
  <c r="A5366" i="1"/>
  <c r="D5365" i="1"/>
  <c r="C5365" i="1"/>
  <c r="B5365" i="1"/>
  <c r="A5365" i="1"/>
  <c r="D5364" i="1"/>
  <c r="C5364" i="1"/>
  <c r="B5364" i="1"/>
  <c r="A5364" i="1"/>
  <c r="F5364" i="1" s="1" a="1"/>
  <c r="F5364" i="1" s="1"/>
  <c r="F5363" i="1" a="1"/>
  <c r="F5363" i="1" s="1"/>
  <c r="D5363" i="1"/>
  <c r="C5363" i="1"/>
  <c r="B5363" i="1"/>
  <c r="A5363" i="1"/>
  <c r="E5363" i="1" s="1" a="1"/>
  <c r="E5363" i="1" s="1"/>
  <c r="D5362" i="1"/>
  <c r="C5362" i="1"/>
  <c r="B5362" i="1"/>
  <c r="A5362" i="1"/>
  <c r="E5361" i="1" a="1"/>
  <c r="E5361" i="1" s="1"/>
  <c r="D5361" i="1"/>
  <c r="C5361" i="1"/>
  <c r="B5361" i="1"/>
  <c r="A5361" i="1"/>
  <c r="F5361" i="1" s="1" a="1"/>
  <c r="F5361" i="1" s="1"/>
  <c r="F5360" i="1" a="1"/>
  <c r="F5360" i="1" s="1"/>
  <c r="D5360" i="1"/>
  <c r="C5360" i="1"/>
  <c r="B5360" i="1"/>
  <c r="A5360" i="1"/>
  <c r="E5360" i="1" s="1" a="1"/>
  <c r="E5360" i="1" s="1"/>
  <c r="D5359" i="1"/>
  <c r="C5359" i="1"/>
  <c r="B5359" i="1"/>
  <c r="A5359" i="1"/>
  <c r="F5359" i="1" s="1" a="1"/>
  <c r="F5359" i="1" s="1"/>
  <c r="F5358" i="1" a="1"/>
  <c r="F5358" i="1" s="1"/>
  <c r="E5358" i="1" a="1"/>
  <c r="E5358" i="1" s="1"/>
  <c r="D5358" i="1"/>
  <c r="C5358" i="1"/>
  <c r="B5358" i="1"/>
  <c r="A5358" i="1"/>
  <c r="D5357" i="1"/>
  <c r="C5357" i="1"/>
  <c r="B5357" i="1"/>
  <c r="A5357" i="1"/>
  <c r="E5356" i="1" a="1"/>
  <c r="E5356" i="1" s="1"/>
  <c r="D5356" i="1"/>
  <c r="C5356" i="1"/>
  <c r="B5356" i="1"/>
  <c r="A5356" i="1"/>
  <c r="F5356" i="1" s="1" a="1"/>
  <c r="F5356" i="1" s="1"/>
  <c r="F5355" i="1" a="1"/>
  <c r="F5355" i="1" s="1"/>
  <c r="E5355" i="1" a="1"/>
  <c r="E5355" i="1" s="1"/>
  <c r="D5355" i="1"/>
  <c r="C5355" i="1"/>
  <c r="B5355" i="1"/>
  <c r="A5355" i="1"/>
  <c r="D5354" i="1"/>
  <c r="C5354" i="1"/>
  <c r="B5354" i="1"/>
  <c r="A5354" i="1"/>
  <c r="E5354" i="1" s="1" a="1"/>
  <c r="E5354" i="1" s="1"/>
  <c r="F5353" i="1" a="1"/>
  <c r="F5353" i="1" s="1"/>
  <c r="E5353" i="1" a="1"/>
  <c r="E5353" i="1" s="1"/>
  <c r="D5353" i="1"/>
  <c r="C5353" i="1"/>
  <c r="B5353" i="1"/>
  <c r="A5353" i="1"/>
  <c r="F5352" i="1" a="1"/>
  <c r="F5352" i="1" s="1"/>
  <c r="E5352" i="1"/>
  <c r="D5352" i="1"/>
  <c r="C5352" i="1"/>
  <c r="B5352" i="1"/>
  <c r="A5352" i="1"/>
  <c r="E5352" i="1" s="1" a="1"/>
  <c r="F5351" i="1" a="1"/>
  <c r="F5351" i="1" s="1"/>
  <c r="E5351" i="1" a="1"/>
  <c r="E5351" i="1" s="1"/>
  <c r="D5351" i="1"/>
  <c r="C5351" i="1"/>
  <c r="B5351" i="1"/>
  <c r="A5351" i="1"/>
  <c r="F5350" i="1" a="1"/>
  <c r="F5350" i="1" s="1"/>
  <c r="E5350" i="1" a="1"/>
  <c r="E5350" i="1" s="1"/>
  <c r="D5350" i="1"/>
  <c r="C5350" i="1"/>
  <c r="B5350" i="1"/>
  <c r="A5350" i="1"/>
  <c r="D5349" i="1"/>
  <c r="C5349" i="1"/>
  <c r="B5349" i="1"/>
  <c r="A5349" i="1"/>
  <c r="F5349" i="1" s="1" a="1"/>
  <c r="F5349" i="1" s="1"/>
  <c r="E5348" i="1" a="1"/>
  <c r="E5348" i="1" s="1"/>
  <c r="D5348" i="1"/>
  <c r="C5348" i="1"/>
  <c r="B5348" i="1"/>
  <c r="A5348" i="1"/>
  <c r="F5348" i="1" s="1" a="1"/>
  <c r="F5348" i="1" s="1"/>
  <c r="D5347" i="1"/>
  <c r="C5347" i="1"/>
  <c r="B5347" i="1"/>
  <c r="A5347" i="1"/>
  <c r="E5347" i="1" s="1" a="1"/>
  <c r="E5347" i="1" s="1"/>
  <c r="D5346" i="1"/>
  <c r="C5346" i="1"/>
  <c r="B5346" i="1"/>
  <c r="A5346" i="1"/>
  <c r="F5345" i="1" a="1"/>
  <c r="F5345" i="1" s="1"/>
  <c r="E5345" i="1" a="1"/>
  <c r="E5345" i="1" s="1"/>
  <c r="D5345" i="1"/>
  <c r="C5345" i="1"/>
  <c r="B5345" i="1"/>
  <c r="A5345" i="1"/>
  <c r="F5344" i="1" a="1"/>
  <c r="F5344" i="1" s="1"/>
  <c r="E5344" i="1"/>
  <c r="D5344" i="1"/>
  <c r="C5344" i="1"/>
  <c r="B5344" i="1"/>
  <c r="A5344" i="1"/>
  <c r="E5344" i="1" s="1" a="1"/>
  <c r="F5343" i="1" a="1"/>
  <c r="F5343" i="1" s="1"/>
  <c r="E5343" i="1" a="1"/>
  <c r="E5343" i="1" s="1"/>
  <c r="D5343" i="1"/>
  <c r="C5343" i="1"/>
  <c r="B5343" i="1"/>
  <c r="A5343" i="1"/>
  <c r="F5342" i="1" a="1"/>
  <c r="F5342" i="1" s="1"/>
  <c r="E5342" i="1"/>
  <c r="E5342" i="1" a="1"/>
  <c r="D5342" i="1"/>
  <c r="C5342" i="1"/>
  <c r="B5342" i="1"/>
  <c r="A5342" i="1"/>
  <c r="D5341" i="1"/>
  <c r="C5341" i="1"/>
  <c r="B5341" i="1"/>
  <c r="A5341" i="1"/>
  <c r="F5341" i="1" s="1" a="1"/>
  <c r="F5341" i="1" s="1"/>
  <c r="E5340" i="1" a="1"/>
  <c r="E5340" i="1" s="1"/>
  <c r="D5340" i="1"/>
  <c r="C5340" i="1"/>
  <c r="B5340" i="1"/>
  <c r="A5340" i="1"/>
  <c r="F5340" i="1" s="1" a="1"/>
  <c r="F5340" i="1" s="1"/>
  <c r="D5339" i="1"/>
  <c r="C5339" i="1"/>
  <c r="B5339" i="1"/>
  <c r="A5339" i="1"/>
  <c r="E5339" i="1" s="1" a="1"/>
  <c r="E5339" i="1" s="1"/>
  <c r="D5338" i="1"/>
  <c r="C5338" i="1"/>
  <c r="B5338" i="1"/>
  <c r="A5338" i="1"/>
  <c r="F5337" i="1" a="1"/>
  <c r="F5337" i="1" s="1"/>
  <c r="E5337" i="1" a="1"/>
  <c r="E5337" i="1" s="1"/>
  <c r="D5337" i="1"/>
  <c r="C5337" i="1"/>
  <c r="B5337" i="1"/>
  <c r="A5337" i="1"/>
  <c r="D5336" i="1"/>
  <c r="C5336" i="1"/>
  <c r="B5336" i="1"/>
  <c r="A5336" i="1"/>
  <c r="E5336" i="1" s="1" a="1"/>
  <c r="E5336" i="1" s="1"/>
  <c r="F5335" i="1" a="1"/>
  <c r="F5335" i="1" s="1"/>
  <c r="E5335" i="1" a="1"/>
  <c r="E5335" i="1" s="1"/>
  <c r="D5335" i="1"/>
  <c r="C5335" i="1"/>
  <c r="B5335" i="1"/>
  <c r="A5335" i="1"/>
  <c r="F5334" i="1" a="1"/>
  <c r="F5334" i="1" s="1"/>
  <c r="E5334" i="1" a="1"/>
  <c r="E5334" i="1" s="1"/>
  <c r="D5334" i="1"/>
  <c r="C5334" i="1"/>
  <c r="B5334" i="1"/>
  <c r="A5334" i="1"/>
  <c r="E5333" i="1"/>
  <c r="E5333" i="1" a="1"/>
  <c r="D5333" i="1"/>
  <c r="C5333" i="1"/>
  <c r="B5333" i="1"/>
  <c r="A5333" i="1"/>
  <c r="F5333" i="1" s="1" a="1"/>
  <c r="F5333" i="1" s="1"/>
  <c r="E5332" i="1" a="1"/>
  <c r="E5332" i="1" s="1"/>
  <c r="D5332" i="1"/>
  <c r="C5332" i="1"/>
  <c r="B5332" i="1"/>
  <c r="A5332" i="1"/>
  <c r="F5332" i="1" s="1" a="1"/>
  <c r="F5332" i="1" s="1"/>
  <c r="D5331" i="1"/>
  <c r="C5331" i="1"/>
  <c r="B5331" i="1"/>
  <c r="A5331" i="1"/>
  <c r="E5331" i="1" s="1" a="1"/>
  <c r="E5331" i="1" s="1"/>
  <c r="D5330" i="1"/>
  <c r="C5330" i="1"/>
  <c r="B5330" i="1"/>
  <c r="A5330" i="1"/>
  <c r="F5329" i="1" a="1"/>
  <c r="F5329" i="1" s="1"/>
  <c r="E5329" i="1" a="1"/>
  <c r="E5329" i="1" s="1"/>
  <c r="D5329" i="1"/>
  <c r="C5329" i="1"/>
  <c r="B5329" i="1"/>
  <c r="A5329" i="1"/>
  <c r="D5328" i="1"/>
  <c r="C5328" i="1"/>
  <c r="B5328" i="1"/>
  <c r="A5328" i="1"/>
  <c r="E5328" i="1" s="1" a="1"/>
  <c r="E5328" i="1" s="1"/>
  <c r="F5327" i="1" a="1"/>
  <c r="F5327" i="1" s="1"/>
  <c r="E5327" i="1" a="1"/>
  <c r="E5327" i="1" s="1"/>
  <c r="D5327" i="1"/>
  <c r="C5327" i="1"/>
  <c r="B5327" i="1"/>
  <c r="A5327" i="1"/>
  <c r="F5326" i="1" a="1"/>
  <c r="F5326" i="1" s="1"/>
  <c r="E5326" i="1"/>
  <c r="E5326" i="1" a="1"/>
  <c r="D5326" i="1"/>
  <c r="C5326" i="1"/>
  <c r="B5326" i="1"/>
  <c r="A5326" i="1"/>
  <c r="E5325" i="1" a="1"/>
  <c r="E5325" i="1" s="1"/>
  <c r="D5325" i="1"/>
  <c r="C5325" i="1"/>
  <c r="B5325" i="1"/>
  <c r="A5325" i="1"/>
  <c r="F5325" i="1" s="1" a="1"/>
  <c r="F5325" i="1" s="1"/>
  <c r="E5324" i="1" a="1"/>
  <c r="E5324" i="1" s="1"/>
  <c r="D5324" i="1"/>
  <c r="C5324" i="1"/>
  <c r="B5324" i="1"/>
  <c r="A5324" i="1"/>
  <c r="F5324" i="1" s="1" a="1"/>
  <c r="F5324" i="1" s="1"/>
  <c r="D5323" i="1"/>
  <c r="C5323" i="1"/>
  <c r="B5323" i="1"/>
  <c r="A5323" i="1"/>
  <c r="E5323" i="1" s="1" a="1"/>
  <c r="E5323" i="1" s="1"/>
  <c r="D5322" i="1"/>
  <c r="C5322" i="1"/>
  <c r="B5322" i="1"/>
  <c r="A5322" i="1"/>
  <c r="D5321" i="1"/>
  <c r="C5321" i="1"/>
  <c r="B5321" i="1"/>
  <c r="A5321" i="1"/>
  <c r="F5321" i="1" s="1" a="1"/>
  <c r="F5321" i="1" s="1"/>
  <c r="D5320" i="1"/>
  <c r="C5320" i="1"/>
  <c r="B5320" i="1"/>
  <c r="A5320" i="1"/>
  <c r="E5320" i="1" s="1" a="1"/>
  <c r="E5320" i="1" s="1"/>
  <c r="F5319" i="1" a="1"/>
  <c r="F5319" i="1" s="1"/>
  <c r="E5319" i="1"/>
  <c r="E5319" i="1" a="1"/>
  <c r="D5319" i="1"/>
  <c r="C5319" i="1"/>
  <c r="B5319" i="1"/>
  <c r="A5319" i="1"/>
  <c r="F5318" i="1" a="1"/>
  <c r="F5318" i="1" s="1"/>
  <c r="E5318" i="1"/>
  <c r="E5318" i="1" a="1"/>
  <c r="D5318" i="1"/>
  <c r="C5318" i="1"/>
  <c r="B5318" i="1"/>
  <c r="A5318" i="1"/>
  <c r="E5317" i="1"/>
  <c r="E5317" i="1" a="1"/>
  <c r="D5317" i="1"/>
  <c r="C5317" i="1"/>
  <c r="B5317" i="1"/>
  <c r="A5317" i="1"/>
  <c r="F5317" i="1" s="1" a="1"/>
  <c r="F5317" i="1" s="1"/>
  <c r="E5316" i="1" a="1"/>
  <c r="E5316" i="1" s="1"/>
  <c r="D5316" i="1"/>
  <c r="C5316" i="1"/>
  <c r="B5316" i="1"/>
  <c r="A5316" i="1"/>
  <c r="F5316" i="1" s="1" a="1"/>
  <c r="F5316" i="1" s="1"/>
  <c r="F5315" i="1" a="1"/>
  <c r="F5315" i="1" s="1"/>
  <c r="D5315" i="1"/>
  <c r="C5315" i="1"/>
  <c r="B5315" i="1"/>
  <c r="A5315" i="1"/>
  <c r="E5315" i="1" s="1" a="1"/>
  <c r="E5315" i="1" s="1"/>
  <c r="D5314" i="1"/>
  <c r="C5314" i="1"/>
  <c r="B5314" i="1"/>
  <c r="A5314" i="1"/>
  <c r="D5313" i="1"/>
  <c r="C5313" i="1"/>
  <c r="B5313" i="1"/>
  <c r="A5313" i="1"/>
  <c r="F5313" i="1" s="1" a="1"/>
  <c r="F5313" i="1" s="1"/>
  <c r="D5312" i="1"/>
  <c r="C5312" i="1"/>
  <c r="B5312" i="1"/>
  <c r="A5312" i="1"/>
  <c r="E5312" i="1" s="1" a="1"/>
  <c r="E5312" i="1" s="1"/>
  <c r="F5311" i="1" a="1"/>
  <c r="F5311" i="1" s="1"/>
  <c r="E5311" i="1"/>
  <c r="E5311" i="1" a="1"/>
  <c r="D5311" i="1"/>
  <c r="C5311" i="1"/>
  <c r="B5311" i="1"/>
  <c r="A5311" i="1"/>
  <c r="F5310" i="1" a="1"/>
  <c r="F5310" i="1" s="1"/>
  <c r="E5310" i="1" a="1"/>
  <c r="E5310" i="1" s="1"/>
  <c r="D5310" i="1"/>
  <c r="C5310" i="1"/>
  <c r="B5310" i="1"/>
  <c r="A5310" i="1"/>
  <c r="E5309" i="1" a="1"/>
  <c r="E5309" i="1" s="1"/>
  <c r="D5309" i="1"/>
  <c r="C5309" i="1"/>
  <c r="B5309" i="1"/>
  <c r="A5309" i="1"/>
  <c r="F5309" i="1" s="1" a="1"/>
  <c r="F5309" i="1" s="1"/>
  <c r="E5308" i="1" a="1"/>
  <c r="E5308" i="1" s="1"/>
  <c r="D5308" i="1"/>
  <c r="C5308" i="1"/>
  <c r="B5308" i="1"/>
  <c r="A5308" i="1"/>
  <c r="F5308" i="1" s="1" a="1"/>
  <c r="F5308" i="1" s="1"/>
  <c r="F5307" i="1" a="1"/>
  <c r="F5307" i="1" s="1"/>
  <c r="D5307" i="1"/>
  <c r="C5307" i="1"/>
  <c r="B5307" i="1"/>
  <c r="A5307" i="1"/>
  <c r="E5307" i="1" s="1" a="1"/>
  <c r="E5307" i="1" s="1"/>
  <c r="D5306" i="1"/>
  <c r="C5306" i="1"/>
  <c r="B5306" i="1"/>
  <c r="A5306" i="1"/>
  <c r="D5305" i="1"/>
  <c r="C5305" i="1"/>
  <c r="B5305" i="1"/>
  <c r="A5305" i="1"/>
  <c r="F5305" i="1" s="1" a="1"/>
  <c r="F5305" i="1" s="1"/>
  <c r="F5304" i="1" a="1"/>
  <c r="F5304" i="1" s="1"/>
  <c r="E5304" i="1"/>
  <c r="D5304" i="1"/>
  <c r="C5304" i="1"/>
  <c r="B5304" i="1"/>
  <c r="A5304" i="1"/>
  <c r="E5304" i="1" s="1" a="1"/>
  <c r="F5303" i="1" a="1"/>
  <c r="F5303" i="1" s="1"/>
  <c r="E5303" i="1" a="1"/>
  <c r="E5303" i="1" s="1"/>
  <c r="D5303" i="1"/>
  <c r="C5303" i="1"/>
  <c r="B5303" i="1"/>
  <c r="A5303" i="1"/>
  <c r="F5302" i="1" a="1"/>
  <c r="F5302" i="1" s="1"/>
  <c r="E5302" i="1"/>
  <c r="E5302" i="1" a="1"/>
  <c r="D5302" i="1"/>
  <c r="C5302" i="1"/>
  <c r="B5302" i="1"/>
  <c r="A5302" i="1"/>
  <c r="D5301" i="1"/>
  <c r="C5301" i="1"/>
  <c r="B5301" i="1"/>
  <c r="A5301" i="1"/>
  <c r="F5301" i="1" s="1" a="1"/>
  <c r="F5301" i="1" s="1"/>
  <c r="E5300" i="1" a="1"/>
  <c r="E5300" i="1" s="1"/>
  <c r="D5300" i="1"/>
  <c r="C5300" i="1"/>
  <c r="B5300" i="1"/>
  <c r="A5300" i="1"/>
  <c r="F5300" i="1" s="1" a="1"/>
  <c r="F5300" i="1" s="1"/>
  <c r="F5299" i="1" a="1"/>
  <c r="F5299" i="1" s="1"/>
  <c r="D5299" i="1"/>
  <c r="C5299" i="1"/>
  <c r="B5299" i="1"/>
  <c r="A5299" i="1"/>
  <c r="E5299" i="1" s="1" a="1"/>
  <c r="E5299" i="1" s="1"/>
  <c r="D5298" i="1"/>
  <c r="C5298" i="1"/>
  <c r="B5298" i="1"/>
  <c r="A5298" i="1"/>
  <c r="D5297" i="1"/>
  <c r="C5297" i="1"/>
  <c r="B5297" i="1"/>
  <c r="A5297" i="1"/>
  <c r="F5297" i="1" s="1" a="1"/>
  <c r="F5297" i="1" s="1"/>
  <c r="F5296" i="1" a="1"/>
  <c r="F5296" i="1" s="1"/>
  <c r="E5296" i="1"/>
  <c r="D5296" i="1"/>
  <c r="C5296" i="1"/>
  <c r="B5296" i="1"/>
  <c r="A5296" i="1"/>
  <c r="E5296" i="1" s="1" a="1"/>
  <c r="F5295" i="1" a="1"/>
  <c r="F5295" i="1" s="1"/>
  <c r="E5295" i="1"/>
  <c r="E5295" i="1" a="1"/>
  <c r="D5295" i="1"/>
  <c r="C5295" i="1"/>
  <c r="B5295" i="1"/>
  <c r="A5295" i="1"/>
  <c r="F5294" i="1" a="1"/>
  <c r="F5294" i="1" s="1"/>
  <c r="E5294" i="1" a="1"/>
  <c r="E5294" i="1" s="1"/>
  <c r="D5294" i="1"/>
  <c r="C5294" i="1"/>
  <c r="B5294" i="1"/>
  <c r="A5294" i="1"/>
  <c r="F5293" i="1" a="1"/>
  <c r="F5293" i="1" s="1"/>
  <c r="E5293" i="1" a="1"/>
  <c r="E5293" i="1" s="1"/>
  <c r="D5293" i="1"/>
  <c r="C5293" i="1"/>
  <c r="B5293" i="1"/>
  <c r="A5293" i="1"/>
  <c r="F5292" i="1" a="1"/>
  <c r="F5292" i="1" s="1"/>
  <c r="E5292" i="1" a="1"/>
  <c r="E5292" i="1" s="1"/>
  <c r="D5292" i="1"/>
  <c r="C5292" i="1"/>
  <c r="B5292" i="1"/>
  <c r="A5292" i="1"/>
  <c r="F5291" i="1" a="1"/>
  <c r="F5291" i="1" s="1"/>
  <c r="E5291" i="1" a="1"/>
  <c r="E5291" i="1" s="1"/>
  <c r="D5291" i="1"/>
  <c r="C5291" i="1"/>
  <c r="B5291" i="1"/>
  <c r="A5291" i="1"/>
  <c r="F5290" i="1" a="1"/>
  <c r="F5290" i="1" s="1"/>
  <c r="E5290" i="1" a="1"/>
  <c r="E5290" i="1" s="1"/>
  <c r="D5290" i="1"/>
  <c r="C5290" i="1"/>
  <c r="B5290" i="1"/>
  <c r="A5290" i="1"/>
  <c r="F5289" i="1" a="1"/>
  <c r="F5289" i="1" s="1"/>
  <c r="E5289" i="1"/>
  <c r="E5289" i="1" a="1"/>
  <c r="D5289" i="1"/>
  <c r="C5289" i="1"/>
  <c r="B5289" i="1"/>
  <c r="A5289" i="1"/>
  <c r="F5288" i="1" a="1"/>
  <c r="F5288" i="1" s="1"/>
  <c r="E5288" i="1" a="1"/>
  <c r="E5288" i="1" s="1"/>
  <c r="D5288" i="1"/>
  <c r="C5288" i="1"/>
  <c r="B5288" i="1"/>
  <c r="A5288" i="1"/>
  <c r="F5287" i="1" a="1"/>
  <c r="F5287" i="1" s="1"/>
  <c r="E5287" i="1" a="1"/>
  <c r="E5287" i="1" s="1"/>
  <c r="D5287" i="1"/>
  <c r="C5287" i="1"/>
  <c r="B5287" i="1"/>
  <c r="A5287" i="1"/>
  <c r="F5286" i="1" a="1"/>
  <c r="F5286" i="1" s="1"/>
  <c r="E5286" i="1" a="1"/>
  <c r="E5286" i="1" s="1"/>
  <c r="D5286" i="1"/>
  <c r="C5286" i="1"/>
  <c r="B5286" i="1"/>
  <c r="A5286" i="1"/>
  <c r="F5285" i="1" a="1"/>
  <c r="F5285" i="1" s="1"/>
  <c r="E5285" i="1" a="1"/>
  <c r="E5285" i="1" s="1"/>
  <c r="D5285" i="1"/>
  <c r="C5285" i="1"/>
  <c r="B5285" i="1"/>
  <c r="A5285" i="1"/>
  <c r="F5284" i="1" a="1"/>
  <c r="F5284" i="1" s="1"/>
  <c r="E5284" i="1" a="1"/>
  <c r="E5284" i="1" s="1"/>
  <c r="D5284" i="1"/>
  <c r="C5284" i="1"/>
  <c r="B5284" i="1"/>
  <c r="A5284" i="1"/>
  <c r="F5283" i="1" a="1"/>
  <c r="F5283" i="1" s="1"/>
  <c r="E5283" i="1" a="1"/>
  <c r="E5283" i="1" s="1"/>
  <c r="D5283" i="1"/>
  <c r="C5283" i="1"/>
  <c r="B5283" i="1"/>
  <c r="A5283" i="1"/>
  <c r="F5282" i="1" a="1"/>
  <c r="F5282" i="1" s="1"/>
  <c r="E5282" i="1"/>
  <c r="E5282" i="1" a="1"/>
  <c r="D5282" i="1"/>
  <c r="C5282" i="1"/>
  <c r="B5282" i="1"/>
  <c r="A5282" i="1"/>
  <c r="F5281" i="1" a="1"/>
  <c r="F5281" i="1" s="1"/>
  <c r="E5281" i="1"/>
  <c r="E5281" i="1" a="1"/>
  <c r="D5281" i="1"/>
  <c r="C5281" i="1"/>
  <c r="B5281" i="1"/>
  <c r="A5281" i="1"/>
  <c r="F5280" i="1" a="1"/>
  <c r="F5280" i="1" s="1"/>
  <c r="E5280" i="1" a="1"/>
  <c r="E5280" i="1" s="1"/>
  <c r="D5280" i="1"/>
  <c r="C5280" i="1"/>
  <c r="B5280" i="1"/>
  <c r="A5280" i="1"/>
  <c r="F5279" i="1" a="1"/>
  <c r="F5279" i="1" s="1"/>
  <c r="E5279" i="1" a="1"/>
  <c r="E5279" i="1" s="1"/>
  <c r="D5279" i="1"/>
  <c r="C5279" i="1"/>
  <c r="B5279" i="1"/>
  <c r="A5279" i="1"/>
  <c r="F5278" i="1" a="1"/>
  <c r="F5278" i="1" s="1"/>
  <c r="E5278" i="1" a="1"/>
  <c r="E5278" i="1" s="1"/>
  <c r="D5278" i="1"/>
  <c r="C5278" i="1"/>
  <c r="B5278" i="1"/>
  <c r="A5278" i="1"/>
  <c r="F5277" i="1" a="1"/>
  <c r="F5277" i="1" s="1"/>
  <c r="E5277" i="1" a="1"/>
  <c r="E5277" i="1" s="1"/>
  <c r="D5277" i="1"/>
  <c r="C5277" i="1"/>
  <c r="B5277" i="1"/>
  <c r="A5277" i="1"/>
  <c r="F5276" i="1" a="1"/>
  <c r="F5276" i="1" s="1"/>
  <c r="E5276" i="1" a="1"/>
  <c r="E5276" i="1" s="1"/>
  <c r="D5276" i="1"/>
  <c r="C5276" i="1"/>
  <c r="B5276" i="1"/>
  <c r="A5276" i="1"/>
  <c r="F5275" i="1" a="1"/>
  <c r="F5275" i="1" s="1"/>
  <c r="E5275" i="1" a="1"/>
  <c r="E5275" i="1" s="1"/>
  <c r="D5275" i="1"/>
  <c r="C5275" i="1"/>
  <c r="B5275" i="1"/>
  <c r="A5275" i="1"/>
  <c r="F5274" i="1" a="1"/>
  <c r="F5274" i="1" s="1"/>
  <c r="E5274" i="1" a="1"/>
  <c r="E5274" i="1" s="1"/>
  <c r="D5274" i="1"/>
  <c r="C5274" i="1"/>
  <c r="B5274" i="1"/>
  <c r="A5274" i="1"/>
  <c r="F5273" i="1" a="1"/>
  <c r="F5273" i="1" s="1"/>
  <c r="E5273" i="1"/>
  <c r="E5273" i="1" a="1"/>
  <c r="D5273" i="1"/>
  <c r="C5273" i="1"/>
  <c r="B5273" i="1"/>
  <c r="A5273" i="1"/>
  <c r="F5272" i="1" a="1"/>
  <c r="F5272" i="1" s="1"/>
  <c r="E5272" i="1" a="1"/>
  <c r="E5272" i="1" s="1"/>
  <c r="D5272" i="1"/>
  <c r="C5272" i="1"/>
  <c r="B5272" i="1"/>
  <c r="A5272" i="1"/>
  <c r="F5271" i="1" a="1"/>
  <c r="F5271" i="1" s="1"/>
  <c r="E5271" i="1"/>
  <c r="E5271" i="1" a="1"/>
  <c r="D5271" i="1"/>
  <c r="C5271" i="1"/>
  <c r="B5271" i="1"/>
  <c r="A5271" i="1"/>
  <c r="F5270" i="1" a="1"/>
  <c r="F5270" i="1" s="1"/>
  <c r="E5270" i="1" a="1"/>
  <c r="E5270" i="1" s="1"/>
  <c r="D5270" i="1"/>
  <c r="C5270" i="1"/>
  <c r="B5270" i="1"/>
  <c r="A5270" i="1"/>
  <c r="F5269" i="1" a="1"/>
  <c r="F5269" i="1" s="1"/>
  <c r="E5269" i="1" a="1"/>
  <c r="E5269" i="1" s="1"/>
  <c r="D5269" i="1"/>
  <c r="C5269" i="1"/>
  <c r="B5269" i="1"/>
  <c r="A5269" i="1"/>
  <c r="F5268" i="1" a="1"/>
  <c r="F5268" i="1" s="1"/>
  <c r="E5268" i="1" a="1"/>
  <c r="E5268" i="1" s="1"/>
  <c r="D5268" i="1"/>
  <c r="C5268" i="1"/>
  <c r="B5268" i="1"/>
  <c r="A5268" i="1"/>
  <c r="F5267" i="1" a="1"/>
  <c r="F5267" i="1" s="1"/>
  <c r="E5267" i="1" a="1"/>
  <c r="E5267" i="1" s="1"/>
  <c r="D5267" i="1"/>
  <c r="C5267" i="1"/>
  <c r="B5267" i="1"/>
  <c r="A5267" i="1"/>
  <c r="F5266" i="1" a="1"/>
  <c r="F5266" i="1" s="1"/>
  <c r="E5266" i="1"/>
  <c r="E5266" i="1" a="1"/>
  <c r="D5266" i="1"/>
  <c r="C5266" i="1"/>
  <c r="B5266" i="1"/>
  <c r="A5266" i="1"/>
  <c r="F5265" i="1" a="1"/>
  <c r="F5265" i="1" s="1"/>
  <c r="E5265" i="1"/>
  <c r="E5265" i="1" a="1"/>
  <c r="D5265" i="1"/>
  <c r="C5265" i="1"/>
  <c r="B5265" i="1"/>
  <c r="A5265" i="1"/>
  <c r="F5264" i="1" a="1"/>
  <c r="F5264" i="1" s="1"/>
  <c r="E5264" i="1" a="1"/>
  <c r="E5264" i="1" s="1"/>
  <c r="D5264" i="1"/>
  <c r="C5264" i="1"/>
  <c r="B5264" i="1"/>
  <c r="A5264" i="1"/>
  <c r="F5263" i="1" a="1"/>
  <c r="F5263" i="1" s="1"/>
  <c r="E5263" i="1"/>
  <c r="E5263" i="1" a="1"/>
  <c r="D5263" i="1"/>
  <c r="C5263" i="1"/>
  <c r="B5263" i="1"/>
  <c r="A5263" i="1"/>
  <c r="F5262" i="1" a="1"/>
  <c r="F5262" i="1" s="1"/>
  <c r="E5262" i="1" a="1"/>
  <c r="E5262" i="1" s="1"/>
  <c r="D5262" i="1"/>
  <c r="C5262" i="1"/>
  <c r="B5262" i="1"/>
  <c r="A5262" i="1"/>
  <c r="F5261" i="1" a="1"/>
  <c r="F5261" i="1" s="1"/>
  <c r="E5261" i="1" a="1"/>
  <c r="E5261" i="1" s="1"/>
  <c r="D5261" i="1"/>
  <c r="C5261" i="1"/>
  <c r="B5261" i="1"/>
  <c r="A5261" i="1"/>
  <c r="F5260" i="1" a="1"/>
  <c r="F5260" i="1" s="1"/>
  <c r="E5260" i="1" a="1"/>
  <c r="E5260" i="1" s="1"/>
  <c r="D5260" i="1"/>
  <c r="C5260" i="1"/>
  <c r="B5260" i="1"/>
  <c r="A5260" i="1"/>
  <c r="F5259" i="1" a="1"/>
  <c r="F5259" i="1" s="1"/>
  <c r="E5259" i="1" a="1"/>
  <c r="E5259" i="1" s="1"/>
  <c r="D5259" i="1"/>
  <c r="C5259" i="1"/>
  <c r="B5259" i="1"/>
  <c r="A5259" i="1"/>
  <c r="F5258" i="1" a="1"/>
  <c r="F5258" i="1" s="1"/>
  <c r="E5258" i="1"/>
  <c r="E5258" i="1" a="1"/>
  <c r="D5258" i="1"/>
  <c r="C5258" i="1"/>
  <c r="B5258" i="1"/>
  <c r="A5258" i="1"/>
  <c r="F5257" i="1" a="1"/>
  <c r="F5257" i="1" s="1"/>
  <c r="E5257" i="1"/>
  <c r="E5257" i="1" a="1"/>
  <c r="D5257" i="1"/>
  <c r="C5257" i="1"/>
  <c r="B5257" i="1"/>
  <c r="A5257" i="1"/>
  <c r="F5256" i="1" a="1"/>
  <c r="F5256" i="1" s="1"/>
  <c r="E5256" i="1" a="1"/>
  <c r="E5256" i="1" s="1"/>
  <c r="D5256" i="1"/>
  <c r="C5256" i="1"/>
  <c r="B5256" i="1"/>
  <c r="A5256" i="1"/>
  <c r="F5255" i="1" a="1"/>
  <c r="F5255" i="1" s="1"/>
  <c r="E5255" i="1"/>
  <c r="E5255" i="1" a="1"/>
  <c r="D5255" i="1"/>
  <c r="C5255" i="1"/>
  <c r="B5255" i="1"/>
  <c r="A5255" i="1"/>
  <c r="F5254" i="1" a="1"/>
  <c r="F5254" i="1" s="1"/>
  <c r="E5254" i="1" a="1"/>
  <c r="E5254" i="1" s="1"/>
  <c r="D5254" i="1"/>
  <c r="C5254" i="1"/>
  <c r="B5254" i="1"/>
  <c r="A5254" i="1"/>
  <c r="F5253" i="1" a="1"/>
  <c r="F5253" i="1" s="1"/>
  <c r="E5253" i="1" a="1"/>
  <c r="E5253" i="1" s="1"/>
  <c r="D5253" i="1"/>
  <c r="C5253" i="1"/>
  <c r="B5253" i="1"/>
  <c r="A5253" i="1"/>
  <c r="F5252" i="1" a="1"/>
  <c r="F5252" i="1" s="1"/>
  <c r="E5252" i="1" a="1"/>
  <c r="E5252" i="1" s="1"/>
  <c r="D5252" i="1"/>
  <c r="C5252" i="1"/>
  <c r="B5252" i="1"/>
  <c r="A5252" i="1"/>
  <c r="F5251" i="1" a="1"/>
  <c r="F5251" i="1" s="1"/>
  <c r="E5251" i="1" a="1"/>
  <c r="E5251" i="1" s="1"/>
  <c r="D5251" i="1"/>
  <c r="C5251" i="1"/>
  <c r="B5251" i="1"/>
  <c r="A5251" i="1"/>
  <c r="F5250" i="1" a="1"/>
  <c r="F5250" i="1" s="1"/>
  <c r="E5250" i="1"/>
  <c r="E5250" i="1" a="1"/>
  <c r="D5250" i="1"/>
  <c r="C5250" i="1"/>
  <c r="B5250" i="1"/>
  <c r="A5250" i="1"/>
  <c r="F5249" i="1" a="1"/>
  <c r="F5249" i="1" s="1"/>
  <c r="E5249" i="1"/>
  <c r="E5249" i="1" a="1"/>
  <c r="D5249" i="1"/>
  <c r="C5249" i="1"/>
  <c r="B5249" i="1"/>
  <c r="A5249" i="1"/>
  <c r="F5248" i="1" a="1"/>
  <c r="F5248" i="1" s="1"/>
  <c r="E5248" i="1"/>
  <c r="E5248" i="1" a="1"/>
  <c r="D5248" i="1"/>
  <c r="C5248" i="1"/>
  <c r="B5248" i="1"/>
  <c r="A5248" i="1"/>
  <c r="F5247" i="1" a="1"/>
  <c r="F5247" i="1" s="1"/>
  <c r="E5247" i="1" a="1"/>
  <c r="E5247" i="1" s="1"/>
  <c r="D5247" i="1"/>
  <c r="C5247" i="1"/>
  <c r="B5247" i="1"/>
  <c r="A5247" i="1"/>
  <c r="F5246" i="1" a="1"/>
  <c r="F5246" i="1" s="1"/>
  <c r="E5246" i="1" a="1"/>
  <c r="E5246" i="1" s="1"/>
  <c r="D5246" i="1"/>
  <c r="C5246" i="1"/>
  <c r="B5246" i="1"/>
  <c r="A5246" i="1"/>
  <c r="F5245" i="1" a="1"/>
  <c r="F5245" i="1" s="1"/>
  <c r="E5245" i="1" a="1"/>
  <c r="E5245" i="1" s="1"/>
  <c r="D5245" i="1"/>
  <c r="C5245" i="1"/>
  <c r="B5245" i="1"/>
  <c r="A5245" i="1"/>
  <c r="F5244" i="1" a="1"/>
  <c r="F5244" i="1" s="1"/>
  <c r="E5244" i="1" a="1"/>
  <c r="E5244" i="1" s="1"/>
  <c r="D5244" i="1"/>
  <c r="C5244" i="1"/>
  <c r="B5244" i="1"/>
  <c r="A5244" i="1"/>
  <c r="F5243" i="1" a="1"/>
  <c r="F5243" i="1" s="1"/>
  <c r="E5243" i="1" a="1"/>
  <c r="E5243" i="1" s="1"/>
  <c r="D5243" i="1"/>
  <c r="C5243" i="1"/>
  <c r="B5243" i="1"/>
  <c r="A5243" i="1"/>
  <c r="F5242" i="1" a="1"/>
  <c r="F5242" i="1" s="1"/>
  <c r="E5242" i="1" a="1"/>
  <c r="E5242" i="1" s="1"/>
  <c r="D5242" i="1"/>
  <c r="C5242" i="1"/>
  <c r="B5242" i="1"/>
  <c r="A5242" i="1"/>
  <c r="F5241" i="1" a="1"/>
  <c r="F5241" i="1" s="1"/>
  <c r="E5241" i="1"/>
  <c r="E5241" i="1" a="1"/>
  <c r="D5241" i="1"/>
  <c r="C5241" i="1"/>
  <c r="B5241" i="1"/>
  <c r="A5241" i="1"/>
  <c r="F5240" i="1" a="1"/>
  <c r="F5240" i="1" s="1"/>
  <c r="E5240" i="1" a="1"/>
  <c r="E5240" i="1" s="1"/>
  <c r="D5240" i="1"/>
  <c r="C5240" i="1"/>
  <c r="B5240" i="1"/>
  <c r="A5240" i="1"/>
  <c r="F5239" i="1" a="1"/>
  <c r="F5239" i="1" s="1"/>
  <c r="E5239" i="1" a="1"/>
  <c r="E5239" i="1" s="1"/>
  <c r="D5239" i="1"/>
  <c r="C5239" i="1"/>
  <c r="B5239" i="1"/>
  <c r="A5239" i="1"/>
  <c r="F5238" i="1" a="1"/>
  <c r="F5238" i="1" s="1"/>
  <c r="E5238" i="1" a="1"/>
  <c r="E5238" i="1" s="1"/>
  <c r="D5238" i="1"/>
  <c r="C5238" i="1"/>
  <c r="B5238" i="1"/>
  <c r="A5238" i="1"/>
  <c r="F5237" i="1" a="1"/>
  <c r="F5237" i="1" s="1"/>
  <c r="E5237" i="1" a="1"/>
  <c r="E5237" i="1" s="1"/>
  <c r="D5237" i="1"/>
  <c r="C5237" i="1"/>
  <c r="B5237" i="1"/>
  <c r="A5237" i="1"/>
  <c r="F5236" i="1" a="1"/>
  <c r="F5236" i="1" s="1"/>
  <c r="E5236" i="1" a="1"/>
  <c r="E5236" i="1" s="1"/>
  <c r="D5236" i="1"/>
  <c r="C5236" i="1"/>
  <c r="B5236" i="1"/>
  <c r="A5236" i="1"/>
  <c r="F5235" i="1" a="1"/>
  <c r="F5235" i="1" s="1"/>
  <c r="E5235" i="1" a="1"/>
  <c r="E5235" i="1" s="1"/>
  <c r="D5235" i="1"/>
  <c r="C5235" i="1"/>
  <c r="B5235" i="1"/>
  <c r="A5235" i="1"/>
  <c r="F5234" i="1" a="1"/>
  <c r="F5234" i="1" s="1"/>
  <c r="E5234" i="1"/>
  <c r="E5234" i="1" a="1"/>
  <c r="D5234" i="1"/>
  <c r="C5234" i="1"/>
  <c r="B5234" i="1"/>
  <c r="A5234" i="1"/>
  <c r="F5233" i="1" a="1"/>
  <c r="F5233" i="1" s="1"/>
  <c r="E5233" i="1"/>
  <c r="E5233" i="1" a="1"/>
  <c r="D5233" i="1"/>
  <c r="C5233" i="1"/>
  <c r="B5233" i="1"/>
  <c r="A5233" i="1"/>
  <c r="F5232" i="1" a="1"/>
  <c r="F5232" i="1" s="1"/>
  <c r="E5232" i="1" a="1"/>
  <c r="E5232" i="1" s="1"/>
  <c r="D5232" i="1"/>
  <c r="C5232" i="1"/>
  <c r="B5232" i="1"/>
  <c r="A5232" i="1"/>
  <c r="F5231" i="1" a="1"/>
  <c r="F5231" i="1" s="1"/>
  <c r="E5231" i="1" a="1"/>
  <c r="E5231" i="1" s="1"/>
  <c r="D5231" i="1"/>
  <c r="C5231" i="1"/>
  <c r="B5231" i="1"/>
  <c r="A5231" i="1"/>
  <c r="F5230" i="1" a="1"/>
  <c r="F5230" i="1" s="1"/>
  <c r="E5230" i="1" a="1"/>
  <c r="E5230" i="1" s="1"/>
  <c r="D5230" i="1"/>
  <c r="C5230" i="1"/>
  <c r="B5230" i="1"/>
  <c r="A5230" i="1"/>
  <c r="F5229" i="1" a="1"/>
  <c r="F5229" i="1" s="1"/>
  <c r="E5229" i="1" a="1"/>
  <c r="E5229" i="1" s="1"/>
  <c r="D5229" i="1"/>
  <c r="C5229" i="1"/>
  <c r="B5229" i="1"/>
  <c r="A5229" i="1"/>
  <c r="F5228" i="1" a="1"/>
  <c r="F5228" i="1" s="1"/>
  <c r="E5228" i="1" a="1"/>
  <c r="E5228" i="1" s="1"/>
  <c r="D5228" i="1"/>
  <c r="C5228" i="1"/>
  <c r="B5228" i="1"/>
  <c r="A5228" i="1"/>
  <c r="F5227" i="1"/>
  <c r="F5227" i="1" a="1"/>
  <c r="E5227" i="1" a="1"/>
  <c r="E5227" i="1" s="1"/>
  <c r="D5227" i="1"/>
  <c r="C5227" i="1"/>
  <c r="B5227" i="1"/>
  <c r="A5227" i="1"/>
  <c r="F5226" i="1"/>
  <c r="F5226" i="1" a="1"/>
  <c r="E5226" i="1" a="1"/>
  <c r="E5226" i="1" s="1"/>
  <c r="D5226" i="1"/>
  <c r="C5226" i="1"/>
  <c r="B5226" i="1"/>
  <c r="A5226" i="1"/>
  <c r="F5225" i="1"/>
  <c r="F5225" i="1" a="1"/>
  <c r="E5225" i="1" a="1"/>
  <c r="E5225" i="1" s="1"/>
  <c r="D5225" i="1"/>
  <c r="C5225" i="1"/>
  <c r="B5225" i="1"/>
  <c r="A5225" i="1"/>
  <c r="F5224" i="1"/>
  <c r="F5224" i="1" a="1"/>
  <c r="E5224" i="1" a="1"/>
  <c r="E5224" i="1" s="1"/>
  <c r="D5224" i="1"/>
  <c r="C5224" i="1"/>
  <c r="B5224" i="1"/>
  <c r="A5224" i="1"/>
  <c r="F5223" i="1" a="1"/>
  <c r="F5223" i="1" s="1"/>
  <c r="E5223" i="1" a="1"/>
  <c r="E5223" i="1" s="1"/>
  <c r="D5223" i="1"/>
  <c r="C5223" i="1"/>
  <c r="B5223" i="1"/>
  <c r="A5223" i="1"/>
  <c r="F5222" i="1" a="1"/>
  <c r="F5222" i="1" s="1"/>
  <c r="E5222" i="1" a="1"/>
  <c r="E5222" i="1" s="1"/>
  <c r="D5222" i="1"/>
  <c r="C5222" i="1"/>
  <c r="B5222" i="1"/>
  <c r="A5222" i="1"/>
  <c r="F5221" i="1"/>
  <c r="F5221" i="1" a="1"/>
  <c r="E5221" i="1" a="1"/>
  <c r="E5221" i="1" s="1"/>
  <c r="D5221" i="1"/>
  <c r="C5221" i="1"/>
  <c r="B5221" i="1"/>
  <c r="A5221" i="1"/>
  <c r="F5220" i="1"/>
  <c r="F5220" i="1" a="1"/>
  <c r="E5220" i="1" a="1"/>
  <c r="E5220" i="1" s="1"/>
  <c r="D5220" i="1"/>
  <c r="C5220" i="1"/>
  <c r="B5220" i="1"/>
  <c r="A5220" i="1"/>
  <c r="F5219" i="1" a="1"/>
  <c r="F5219" i="1" s="1"/>
  <c r="E5219" i="1" a="1"/>
  <c r="E5219" i="1" s="1"/>
  <c r="D5219" i="1"/>
  <c r="C5219" i="1"/>
  <c r="B5219" i="1"/>
  <c r="A5219" i="1"/>
  <c r="F5218" i="1"/>
  <c r="F5218" i="1" a="1"/>
  <c r="E5218" i="1" a="1"/>
  <c r="E5218" i="1" s="1"/>
  <c r="D5218" i="1"/>
  <c r="C5218" i="1"/>
  <c r="B5218" i="1"/>
  <c r="A5218" i="1"/>
  <c r="F5217" i="1" a="1"/>
  <c r="F5217" i="1" s="1"/>
  <c r="E5217" i="1" a="1"/>
  <c r="E5217" i="1" s="1"/>
  <c r="D5217" i="1"/>
  <c r="C5217" i="1"/>
  <c r="B5217" i="1"/>
  <c r="A5217" i="1"/>
  <c r="F5216" i="1"/>
  <c r="F5216" i="1" a="1"/>
  <c r="E5216" i="1" a="1"/>
  <c r="E5216" i="1" s="1"/>
  <c r="D5216" i="1"/>
  <c r="C5216" i="1"/>
  <c r="B5216" i="1"/>
  <c r="A5216" i="1"/>
  <c r="F5215" i="1" a="1"/>
  <c r="F5215" i="1" s="1"/>
  <c r="E5215" i="1" a="1"/>
  <c r="E5215" i="1" s="1"/>
  <c r="D5215" i="1"/>
  <c r="C5215" i="1"/>
  <c r="B5215" i="1"/>
  <c r="A5215" i="1"/>
  <c r="F5214" i="1" a="1"/>
  <c r="F5214" i="1" s="1"/>
  <c r="E5214" i="1" a="1"/>
  <c r="E5214" i="1" s="1"/>
  <c r="D5214" i="1"/>
  <c r="C5214" i="1"/>
  <c r="B5214" i="1"/>
  <c r="A5214" i="1"/>
  <c r="F5213" i="1"/>
  <c r="F5213" i="1" a="1"/>
  <c r="E5213" i="1" a="1"/>
  <c r="E5213" i="1" s="1"/>
  <c r="D5213" i="1"/>
  <c r="C5213" i="1"/>
  <c r="B5213" i="1"/>
  <c r="A5213" i="1"/>
  <c r="F5212" i="1"/>
  <c r="F5212" i="1" a="1"/>
  <c r="E5212" i="1" a="1"/>
  <c r="E5212" i="1" s="1"/>
  <c r="D5212" i="1"/>
  <c r="C5212" i="1"/>
  <c r="B5212" i="1"/>
  <c r="A5212" i="1"/>
  <c r="F5211" i="1" a="1"/>
  <c r="F5211" i="1" s="1"/>
  <c r="E5211" i="1" a="1"/>
  <c r="E5211" i="1" s="1"/>
  <c r="D5211" i="1"/>
  <c r="C5211" i="1"/>
  <c r="B5211" i="1"/>
  <c r="A5211" i="1"/>
  <c r="F5210" i="1"/>
  <c r="F5210" i="1" a="1"/>
  <c r="E5210" i="1" a="1"/>
  <c r="E5210" i="1" s="1"/>
  <c r="D5210" i="1"/>
  <c r="C5210" i="1"/>
  <c r="B5210" i="1"/>
  <c r="A5210" i="1"/>
  <c r="F5209" i="1" a="1"/>
  <c r="F5209" i="1" s="1"/>
  <c r="E5209" i="1" a="1"/>
  <c r="E5209" i="1" s="1"/>
  <c r="D5209" i="1"/>
  <c r="C5209" i="1"/>
  <c r="B5209" i="1"/>
  <c r="A5209" i="1"/>
  <c r="F5208" i="1"/>
  <c r="F5208" i="1" a="1"/>
  <c r="E5208" i="1" a="1"/>
  <c r="E5208" i="1" s="1"/>
  <c r="D5208" i="1"/>
  <c r="C5208" i="1"/>
  <c r="B5208" i="1"/>
  <c r="A5208" i="1"/>
  <c r="F5207" i="1" a="1"/>
  <c r="F5207" i="1" s="1"/>
  <c r="E5207" i="1" a="1"/>
  <c r="E5207" i="1" s="1"/>
  <c r="D5207" i="1"/>
  <c r="C5207" i="1"/>
  <c r="B5207" i="1"/>
  <c r="A5207" i="1"/>
  <c r="F5206" i="1" a="1"/>
  <c r="F5206" i="1" s="1"/>
  <c r="E5206" i="1" a="1"/>
  <c r="E5206" i="1" s="1"/>
  <c r="D5206" i="1"/>
  <c r="C5206" i="1"/>
  <c r="B5206" i="1"/>
  <c r="A5206" i="1"/>
  <c r="F5205" i="1"/>
  <c r="F5205" i="1" a="1"/>
  <c r="E5205" i="1" a="1"/>
  <c r="E5205" i="1" s="1"/>
  <c r="D5205" i="1"/>
  <c r="C5205" i="1"/>
  <c r="B5205" i="1"/>
  <c r="A5205" i="1"/>
  <c r="F5204" i="1"/>
  <c r="F5204" i="1" a="1"/>
  <c r="E5204" i="1" a="1"/>
  <c r="E5204" i="1" s="1"/>
  <c r="D5204" i="1"/>
  <c r="C5204" i="1"/>
  <c r="B5204" i="1"/>
  <c r="A5204" i="1"/>
  <c r="F5203" i="1" a="1"/>
  <c r="F5203" i="1" s="1"/>
  <c r="E5203" i="1" a="1"/>
  <c r="E5203" i="1" s="1"/>
  <c r="D5203" i="1"/>
  <c r="C5203" i="1"/>
  <c r="B5203" i="1"/>
  <c r="A5203" i="1"/>
  <c r="F5202" i="1"/>
  <c r="F5202" i="1" a="1"/>
  <c r="E5202" i="1" a="1"/>
  <c r="E5202" i="1" s="1"/>
  <c r="D5202" i="1"/>
  <c r="C5202" i="1"/>
  <c r="B5202" i="1"/>
  <c r="A5202" i="1"/>
  <c r="F5201" i="1" a="1"/>
  <c r="F5201" i="1" s="1"/>
  <c r="E5201" i="1" a="1"/>
  <c r="E5201" i="1" s="1"/>
  <c r="D5201" i="1"/>
  <c r="C5201" i="1"/>
  <c r="B5201" i="1"/>
  <c r="A5201" i="1"/>
  <c r="F5200" i="1"/>
  <c r="F5200" i="1" a="1"/>
  <c r="E5200" i="1" a="1"/>
  <c r="E5200" i="1" s="1"/>
  <c r="D5200" i="1"/>
  <c r="C5200" i="1"/>
  <c r="B5200" i="1"/>
  <c r="A5200" i="1"/>
  <c r="F5199" i="1" a="1"/>
  <c r="F5199" i="1" s="1"/>
  <c r="E5199" i="1" a="1"/>
  <c r="E5199" i="1" s="1"/>
  <c r="D5199" i="1"/>
  <c r="C5199" i="1"/>
  <c r="B5199" i="1"/>
  <c r="A5199" i="1"/>
  <c r="F5198" i="1"/>
  <c r="F5198" i="1" a="1"/>
  <c r="E5198" i="1" a="1"/>
  <c r="E5198" i="1" s="1"/>
  <c r="D5198" i="1"/>
  <c r="C5198" i="1"/>
  <c r="B5198" i="1"/>
  <c r="A5198" i="1"/>
  <c r="F5197" i="1"/>
  <c r="F5197" i="1" a="1"/>
  <c r="E5197" i="1" a="1"/>
  <c r="E5197" i="1" s="1"/>
  <c r="D5197" i="1"/>
  <c r="C5197" i="1"/>
  <c r="B5197" i="1"/>
  <c r="A5197" i="1"/>
  <c r="F5196" i="1"/>
  <c r="F5196" i="1" a="1"/>
  <c r="E5196" i="1" a="1"/>
  <c r="E5196" i="1" s="1"/>
  <c r="D5196" i="1"/>
  <c r="C5196" i="1"/>
  <c r="B5196" i="1"/>
  <c r="A5196" i="1"/>
  <c r="F5195" i="1" a="1"/>
  <c r="F5195" i="1" s="1"/>
  <c r="E5195" i="1" a="1"/>
  <c r="E5195" i="1" s="1"/>
  <c r="D5195" i="1"/>
  <c r="C5195" i="1"/>
  <c r="B5195" i="1"/>
  <c r="A5195" i="1"/>
  <c r="F5194" i="1"/>
  <c r="F5194" i="1" a="1"/>
  <c r="E5194" i="1" a="1"/>
  <c r="E5194" i="1" s="1"/>
  <c r="D5194" i="1"/>
  <c r="C5194" i="1"/>
  <c r="B5194" i="1"/>
  <c r="A5194" i="1"/>
  <c r="F5193" i="1" a="1"/>
  <c r="F5193" i="1" s="1"/>
  <c r="E5193" i="1" a="1"/>
  <c r="E5193" i="1" s="1"/>
  <c r="D5193" i="1"/>
  <c r="C5193" i="1"/>
  <c r="B5193" i="1"/>
  <c r="A5193" i="1"/>
  <c r="F5192" i="1"/>
  <c r="F5192" i="1" a="1"/>
  <c r="E5192" i="1" a="1"/>
  <c r="E5192" i="1" s="1"/>
  <c r="D5192" i="1"/>
  <c r="C5192" i="1"/>
  <c r="B5192" i="1"/>
  <c r="A5192" i="1"/>
  <c r="F5191" i="1" a="1"/>
  <c r="F5191" i="1" s="1"/>
  <c r="E5191" i="1" a="1"/>
  <c r="E5191" i="1" s="1"/>
  <c r="D5191" i="1"/>
  <c r="C5191" i="1"/>
  <c r="B5191" i="1"/>
  <c r="A5191" i="1"/>
  <c r="F5190" i="1"/>
  <c r="F5190" i="1" a="1"/>
  <c r="E5190" i="1" a="1"/>
  <c r="E5190" i="1" s="1"/>
  <c r="D5190" i="1"/>
  <c r="C5190" i="1"/>
  <c r="B5190" i="1"/>
  <c r="A5190" i="1"/>
  <c r="F5189" i="1"/>
  <c r="F5189" i="1" a="1"/>
  <c r="E5189" i="1" a="1"/>
  <c r="E5189" i="1" s="1"/>
  <c r="D5189" i="1"/>
  <c r="C5189" i="1"/>
  <c r="B5189" i="1"/>
  <c r="A5189" i="1"/>
  <c r="F5188" i="1"/>
  <c r="F5188" i="1" a="1"/>
  <c r="E5188" i="1" a="1"/>
  <c r="E5188" i="1" s="1"/>
  <c r="D5188" i="1"/>
  <c r="C5188" i="1"/>
  <c r="B5188" i="1"/>
  <c r="A5188" i="1"/>
  <c r="F5187" i="1" a="1"/>
  <c r="F5187" i="1" s="1"/>
  <c r="E5187" i="1" a="1"/>
  <c r="E5187" i="1" s="1"/>
  <c r="D5187" i="1"/>
  <c r="C5187" i="1"/>
  <c r="B5187" i="1"/>
  <c r="A5187" i="1"/>
  <c r="F5186" i="1"/>
  <c r="F5186" i="1" a="1"/>
  <c r="E5186" i="1" a="1"/>
  <c r="E5186" i="1" s="1"/>
  <c r="D5186" i="1"/>
  <c r="C5186" i="1"/>
  <c r="B5186" i="1"/>
  <c r="A5186" i="1"/>
  <c r="F5185" i="1" a="1"/>
  <c r="F5185" i="1" s="1"/>
  <c r="E5185" i="1" a="1"/>
  <c r="E5185" i="1" s="1"/>
  <c r="D5185" i="1"/>
  <c r="C5185" i="1"/>
  <c r="B5185" i="1"/>
  <c r="A5185" i="1"/>
  <c r="F5184" i="1"/>
  <c r="F5184" i="1" a="1"/>
  <c r="E5184" i="1" a="1"/>
  <c r="E5184" i="1" s="1"/>
  <c r="D5184" i="1"/>
  <c r="C5184" i="1"/>
  <c r="B5184" i="1"/>
  <c r="A5184" i="1"/>
  <c r="F5183" i="1" a="1"/>
  <c r="F5183" i="1" s="1"/>
  <c r="E5183" i="1" a="1"/>
  <c r="E5183" i="1" s="1"/>
  <c r="D5183" i="1"/>
  <c r="C5183" i="1"/>
  <c r="B5183" i="1"/>
  <c r="A5183" i="1"/>
  <c r="F5182" i="1"/>
  <c r="F5182" i="1" a="1"/>
  <c r="E5182" i="1" a="1"/>
  <c r="E5182" i="1" s="1"/>
  <c r="D5182" i="1"/>
  <c r="C5182" i="1"/>
  <c r="B5182" i="1"/>
  <c r="A5182" i="1"/>
  <c r="F5181" i="1"/>
  <c r="F5181" i="1" a="1"/>
  <c r="E5181" i="1" a="1"/>
  <c r="E5181" i="1" s="1"/>
  <c r="D5181" i="1"/>
  <c r="C5181" i="1"/>
  <c r="B5181" i="1"/>
  <c r="A5181" i="1"/>
  <c r="F5180" i="1"/>
  <c r="F5180" i="1" a="1"/>
  <c r="E5180" i="1" a="1"/>
  <c r="E5180" i="1" s="1"/>
  <c r="D5180" i="1"/>
  <c r="C5180" i="1"/>
  <c r="B5180" i="1"/>
  <c r="A5180" i="1"/>
  <c r="F5179" i="1" a="1"/>
  <c r="F5179" i="1" s="1"/>
  <c r="E5179" i="1" a="1"/>
  <c r="E5179" i="1" s="1"/>
  <c r="D5179" i="1"/>
  <c r="C5179" i="1"/>
  <c r="B5179" i="1"/>
  <c r="A5179" i="1"/>
  <c r="F5178" i="1"/>
  <c r="F5178" i="1" a="1"/>
  <c r="E5178" i="1" a="1"/>
  <c r="E5178" i="1" s="1"/>
  <c r="D5178" i="1"/>
  <c r="C5178" i="1"/>
  <c r="B5178" i="1"/>
  <c r="A5178" i="1"/>
  <c r="F5177" i="1" a="1"/>
  <c r="F5177" i="1" s="1"/>
  <c r="E5177" i="1" a="1"/>
  <c r="E5177" i="1" s="1"/>
  <c r="D5177" i="1"/>
  <c r="C5177" i="1"/>
  <c r="B5177" i="1"/>
  <c r="A5177" i="1"/>
  <c r="F5176" i="1"/>
  <c r="F5176" i="1" a="1"/>
  <c r="E5176" i="1" a="1"/>
  <c r="E5176" i="1" s="1"/>
  <c r="D5176" i="1"/>
  <c r="C5176" i="1"/>
  <c r="B5176" i="1"/>
  <c r="A5176" i="1"/>
  <c r="F5175" i="1" a="1"/>
  <c r="F5175" i="1" s="1"/>
  <c r="E5175" i="1" a="1"/>
  <c r="E5175" i="1" s="1"/>
  <c r="D5175" i="1"/>
  <c r="C5175" i="1"/>
  <c r="B5175" i="1"/>
  <c r="A5175" i="1"/>
  <c r="F5174" i="1"/>
  <c r="F5174" i="1" a="1"/>
  <c r="E5174" i="1" a="1"/>
  <c r="E5174" i="1" s="1"/>
  <c r="D5174" i="1"/>
  <c r="C5174" i="1"/>
  <c r="B5174" i="1"/>
  <c r="A5174" i="1"/>
  <c r="F5173" i="1"/>
  <c r="F5173" i="1" a="1"/>
  <c r="E5173" i="1" a="1"/>
  <c r="E5173" i="1" s="1"/>
  <c r="D5173" i="1"/>
  <c r="C5173" i="1"/>
  <c r="B5173" i="1"/>
  <c r="A5173" i="1"/>
  <c r="F5172" i="1"/>
  <c r="F5172" i="1" a="1"/>
  <c r="E5172" i="1" a="1"/>
  <c r="E5172" i="1" s="1"/>
  <c r="D5172" i="1"/>
  <c r="C5172" i="1"/>
  <c r="B5172" i="1"/>
  <c r="A5172" i="1"/>
  <c r="F5171" i="1" a="1"/>
  <c r="F5171" i="1" s="1"/>
  <c r="E5171" i="1" a="1"/>
  <c r="E5171" i="1" s="1"/>
  <c r="D5171" i="1"/>
  <c r="C5171" i="1"/>
  <c r="B5171" i="1"/>
  <c r="A5171" i="1"/>
  <c r="F5170" i="1"/>
  <c r="F5170" i="1" a="1"/>
  <c r="E5170" i="1" a="1"/>
  <c r="E5170" i="1" s="1"/>
  <c r="D5170" i="1"/>
  <c r="C5170" i="1"/>
  <c r="B5170" i="1"/>
  <c r="A5170" i="1"/>
  <c r="F5169" i="1" a="1"/>
  <c r="F5169" i="1" s="1"/>
  <c r="E5169" i="1" a="1"/>
  <c r="E5169" i="1" s="1"/>
  <c r="D5169" i="1"/>
  <c r="C5169" i="1"/>
  <c r="B5169" i="1"/>
  <c r="A5169" i="1"/>
  <c r="F5168" i="1"/>
  <c r="F5168" i="1" a="1"/>
  <c r="E5168" i="1" a="1"/>
  <c r="E5168" i="1" s="1"/>
  <c r="D5168" i="1"/>
  <c r="C5168" i="1"/>
  <c r="B5168" i="1"/>
  <c r="A5168" i="1"/>
  <c r="F5167" i="1" a="1"/>
  <c r="F5167" i="1" s="1"/>
  <c r="E5167" i="1" a="1"/>
  <c r="E5167" i="1" s="1"/>
  <c r="D5167" i="1"/>
  <c r="C5167" i="1"/>
  <c r="B5167" i="1"/>
  <c r="A5167" i="1"/>
  <c r="F5166" i="1" a="1"/>
  <c r="F5166" i="1" s="1"/>
  <c r="E5166" i="1" a="1"/>
  <c r="E5166" i="1" s="1"/>
  <c r="D5166" i="1"/>
  <c r="C5166" i="1"/>
  <c r="B5166" i="1"/>
  <c r="A5166" i="1"/>
  <c r="F5165" i="1"/>
  <c r="F5165" i="1" a="1"/>
  <c r="E5165" i="1" a="1"/>
  <c r="E5165" i="1" s="1"/>
  <c r="D5165" i="1"/>
  <c r="C5165" i="1"/>
  <c r="B5165" i="1"/>
  <c r="A5165" i="1"/>
  <c r="F5164" i="1"/>
  <c r="F5164" i="1" a="1"/>
  <c r="E5164" i="1" a="1"/>
  <c r="E5164" i="1" s="1"/>
  <c r="D5164" i="1"/>
  <c r="C5164" i="1"/>
  <c r="B5164" i="1"/>
  <c r="A5164" i="1"/>
  <c r="F5163" i="1" a="1"/>
  <c r="F5163" i="1" s="1"/>
  <c r="E5163" i="1" a="1"/>
  <c r="E5163" i="1" s="1"/>
  <c r="D5163" i="1"/>
  <c r="C5163" i="1"/>
  <c r="B5163" i="1"/>
  <c r="A5163" i="1"/>
  <c r="F5162" i="1" a="1"/>
  <c r="F5162" i="1" s="1"/>
  <c r="E5162" i="1" a="1"/>
  <c r="E5162" i="1" s="1"/>
  <c r="D5162" i="1"/>
  <c r="C5162" i="1"/>
  <c r="B5162" i="1"/>
  <c r="A5162" i="1"/>
  <c r="F5161" i="1" a="1"/>
  <c r="F5161" i="1" s="1"/>
  <c r="E5161" i="1" a="1"/>
  <c r="E5161" i="1" s="1"/>
  <c r="D5161" i="1"/>
  <c r="C5161" i="1"/>
  <c r="B5161" i="1"/>
  <c r="A5161" i="1"/>
  <c r="F5160" i="1"/>
  <c r="F5160" i="1" a="1"/>
  <c r="E5160" i="1" a="1"/>
  <c r="E5160" i="1" s="1"/>
  <c r="D5160" i="1"/>
  <c r="C5160" i="1"/>
  <c r="B5160" i="1"/>
  <c r="A5160" i="1"/>
  <c r="F5159" i="1"/>
  <c r="F5159" i="1" a="1"/>
  <c r="E5159" i="1" a="1"/>
  <c r="E5159" i="1" s="1"/>
  <c r="D5159" i="1"/>
  <c r="C5159" i="1"/>
  <c r="B5159" i="1"/>
  <c r="A5159" i="1"/>
  <c r="F5158" i="1"/>
  <c r="F5158" i="1" a="1"/>
  <c r="E5158" i="1" a="1"/>
  <c r="E5158" i="1" s="1"/>
  <c r="D5158" i="1"/>
  <c r="C5158" i="1"/>
  <c r="B5158" i="1"/>
  <c r="A5158" i="1"/>
  <c r="F5157" i="1"/>
  <c r="F5157" i="1" a="1"/>
  <c r="E5157" i="1" a="1"/>
  <c r="E5157" i="1" s="1"/>
  <c r="D5157" i="1"/>
  <c r="C5157" i="1"/>
  <c r="B5157" i="1"/>
  <c r="A5157" i="1"/>
  <c r="F5156" i="1"/>
  <c r="F5156" i="1" a="1"/>
  <c r="E5156" i="1" a="1"/>
  <c r="E5156" i="1" s="1"/>
  <c r="D5156" i="1"/>
  <c r="C5156" i="1"/>
  <c r="B5156" i="1"/>
  <c r="A5156" i="1"/>
  <c r="F5155" i="1" a="1"/>
  <c r="F5155" i="1" s="1"/>
  <c r="E5155" i="1" a="1"/>
  <c r="E5155" i="1" s="1"/>
  <c r="D5155" i="1"/>
  <c r="C5155" i="1"/>
  <c r="B5155" i="1"/>
  <c r="A5155" i="1"/>
  <c r="F5154" i="1" a="1"/>
  <c r="F5154" i="1" s="1"/>
  <c r="E5154" i="1" a="1"/>
  <c r="E5154" i="1" s="1"/>
  <c r="D5154" i="1"/>
  <c r="C5154" i="1"/>
  <c r="B5154" i="1"/>
  <c r="A5154" i="1"/>
  <c r="F5153" i="1" a="1"/>
  <c r="F5153" i="1" s="1"/>
  <c r="E5153" i="1" a="1"/>
  <c r="E5153" i="1" s="1"/>
  <c r="D5153" i="1"/>
  <c r="C5153" i="1"/>
  <c r="B5153" i="1"/>
  <c r="A5153" i="1"/>
  <c r="F5152" i="1" a="1"/>
  <c r="F5152" i="1" s="1"/>
  <c r="E5152" i="1" a="1"/>
  <c r="E5152" i="1" s="1"/>
  <c r="D5152" i="1"/>
  <c r="C5152" i="1"/>
  <c r="B5152" i="1"/>
  <c r="A5152" i="1"/>
  <c r="F5151" i="1" a="1"/>
  <c r="F5151" i="1" s="1"/>
  <c r="E5151" i="1"/>
  <c r="E5151" i="1" a="1"/>
  <c r="D5151" i="1"/>
  <c r="C5151" i="1"/>
  <c r="B5151" i="1"/>
  <c r="A5151" i="1"/>
  <c r="F5150" i="1" a="1"/>
  <c r="F5150" i="1" s="1"/>
  <c r="E5150" i="1" a="1"/>
  <c r="E5150" i="1" s="1"/>
  <c r="D5150" i="1"/>
  <c r="C5150" i="1"/>
  <c r="B5150" i="1"/>
  <c r="A5150" i="1"/>
  <c r="F5149" i="1" a="1"/>
  <c r="F5149" i="1" s="1"/>
  <c r="E5149" i="1"/>
  <c r="E5149" i="1" a="1"/>
  <c r="D5149" i="1"/>
  <c r="C5149" i="1"/>
  <c r="B5149" i="1"/>
  <c r="A5149" i="1"/>
  <c r="F5148" i="1" a="1"/>
  <c r="F5148" i="1" s="1"/>
  <c r="E5148" i="1" a="1"/>
  <c r="E5148" i="1" s="1"/>
  <c r="D5148" i="1"/>
  <c r="C5148" i="1"/>
  <c r="B5148" i="1"/>
  <c r="A5148" i="1"/>
  <c r="F5147" i="1" a="1"/>
  <c r="F5147" i="1" s="1"/>
  <c r="E5147" i="1" a="1"/>
  <c r="E5147" i="1" s="1"/>
  <c r="D5147" i="1"/>
  <c r="C5147" i="1"/>
  <c r="B5147" i="1"/>
  <c r="A5147" i="1"/>
  <c r="F5146" i="1" a="1"/>
  <c r="F5146" i="1" s="1"/>
  <c r="E5146" i="1" a="1"/>
  <c r="E5146" i="1" s="1"/>
  <c r="D5146" i="1"/>
  <c r="C5146" i="1"/>
  <c r="B5146" i="1"/>
  <c r="A5146" i="1"/>
  <c r="F5145" i="1" a="1"/>
  <c r="F5145" i="1" s="1"/>
  <c r="E5145" i="1" a="1"/>
  <c r="E5145" i="1" s="1"/>
  <c r="D5145" i="1"/>
  <c r="C5145" i="1"/>
  <c r="B5145" i="1"/>
  <c r="A5145" i="1"/>
  <c r="F5144" i="1" a="1"/>
  <c r="F5144" i="1" s="1"/>
  <c r="E5144" i="1" a="1"/>
  <c r="E5144" i="1" s="1"/>
  <c r="D5144" i="1"/>
  <c r="C5144" i="1"/>
  <c r="B5144" i="1"/>
  <c r="A5144" i="1"/>
  <c r="F5143" i="1" a="1"/>
  <c r="F5143" i="1" s="1"/>
  <c r="E5143" i="1"/>
  <c r="E5143" i="1" a="1"/>
  <c r="D5143" i="1"/>
  <c r="C5143" i="1"/>
  <c r="B5143" i="1"/>
  <c r="A5143" i="1"/>
  <c r="F5142" i="1" a="1"/>
  <c r="F5142" i="1" s="1"/>
  <c r="E5142" i="1" a="1"/>
  <c r="E5142" i="1" s="1"/>
  <c r="D5142" i="1"/>
  <c r="C5142" i="1"/>
  <c r="B5142" i="1"/>
  <c r="A5142" i="1"/>
  <c r="F5141" i="1" a="1"/>
  <c r="F5141" i="1" s="1"/>
  <c r="E5141" i="1"/>
  <c r="E5141" i="1" a="1"/>
  <c r="D5141" i="1"/>
  <c r="C5141" i="1"/>
  <c r="B5141" i="1"/>
  <c r="A5141" i="1"/>
  <c r="F5140" i="1" a="1"/>
  <c r="F5140" i="1" s="1"/>
  <c r="E5140" i="1" a="1"/>
  <c r="E5140" i="1" s="1"/>
  <c r="D5140" i="1"/>
  <c r="C5140" i="1"/>
  <c r="B5140" i="1"/>
  <c r="A5140" i="1"/>
  <c r="F5139" i="1" a="1"/>
  <c r="F5139" i="1" s="1"/>
  <c r="E5139" i="1" a="1"/>
  <c r="E5139" i="1" s="1"/>
  <c r="D5139" i="1"/>
  <c r="C5139" i="1"/>
  <c r="B5139" i="1"/>
  <c r="A5139" i="1"/>
  <c r="F5138" i="1" a="1"/>
  <c r="F5138" i="1" s="1"/>
  <c r="E5138" i="1" a="1"/>
  <c r="E5138" i="1" s="1"/>
  <c r="D5138" i="1"/>
  <c r="C5138" i="1"/>
  <c r="B5138" i="1"/>
  <c r="A5138" i="1"/>
  <c r="F5137" i="1" a="1"/>
  <c r="F5137" i="1" s="1"/>
  <c r="E5137" i="1" a="1"/>
  <c r="E5137" i="1" s="1"/>
  <c r="D5137" i="1"/>
  <c r="C5137" i="1"/>
  <c r="B5137" i="1"/>
  <c r="A5137" i="1"/>
  <c r="F5136" i="1" a="1"/>
  <c r="F5136" i="1" s="1"/>
  <c r="E5136" i="1" a="1"/>
  <c r="E5136" i="1" s="1"/>
  <c r="D5136" i="1"/>
  <c r="C5136" i="1"/>
  <c r="B5136" i="1"/>
  <c r="A5136" i="1"/>
  <c r="F5135" i="1" a="1"/>
  <c r="F5135" i="1" s="1"/>
  <c r="E5135" i="1"/>
  <c r="E5135" i="1" a="1"/>
  <c r="D5135" i="1"/>
  <c r="C5135" i="1"/>
  <c r="B5135" i="1"/>
  <c r="A5135" i="1"/>
  <c r="F5134" i="1" a="1"/>
  <c r="F5134" i="1" s="1"/>
  <c r="E5134" i="1" a="1"/>
  <c r="E5134" i="1" s="1"/>
  <c r="D5134" i="1"/>
  <c r="C5134" i="1"/>
  <c r="B5134" i="1"/>
  <c r="A5134" i="1"/>
  <c r="F5133" i="1" a="1"/>
  <c r="F5133" i="1" s="1"/>
  <c r="E5133" i="1"/>
  <c r="E5133" i="1" a="1"/>
  <c r="D5133" i="1"/>
  <c r="C5133" i="1"/>
  <c r="B5133" i="1"/>
  <c r="A5133" i="1"/>
  <c r="F5132" i="1" a="1"/>
  <c r="F5132" i="1" s="1"/>
  <c r="E5132" i="1" a="1"/>
  <c r="E5132" i="1" s="1"/>
  <c r="D5132" i="1"/>
  <c r="C5132" i="1"/>
  <c r="B5132" i="1"/>
  <c r="A5132" i="1"/>
  <c r="F5131" i="1" a="1"/>
  <c r="F5131" i="1" s="1"/>
  <c r="E5131" i="1" a="1"/>
  <c r="E5131" i="1" s="1"/>
  <c r="D5131" i="1"/>
  <c r="C5131" i="1"/>
  <c r="B5131" i="1"/>
  <c r="A5131" i="1"/>
  <c r="F5130" i="1" a="1"/>
  <c r="F5130" i="1" s="1"/>
  <c r="E5130" i="1" a="1"/>
  <c r="E5130" i="1" s="1"/>
  <c r="D5130" i="1"/>
  <c r="C5130" i="1"/>
  <c r="B5130" i="1"/>
  <c r="A5130" i="1"/>
  <c r="F5129" i="1" a="1"/>
  <c r="F5129" i="1" s="1"/>
  <c r="E5129" i="1" a="1"/>
  <c r="E5129" i="1" s="1"/>
  <c r="D5129" i="1"/>
  <c r="C5129" i="1"/>
  <c r="B5129" i="1"/>
  <c r="A5129" i="1"/>
  <c r="F5128" i="1" a="1"/>
  <c r="F5128" i="1" s="1"/>
  <c r="E5128" i="1" a="1"/>
  <c r="E5128" i="1" s="1"/>
  <c r="D5128" i="1"/>
  <c r="C5128" i="1"/>
  <c r="B5128" i="1"/>
  <c r="A5128" i="1"/>
  <c r="F5127" i="1" a="1"/>
  <c r="F5127" i="1" s="1"/>
  <c r="E5127" i="1"/>
  <c r="E5127" i="1" a="1"/>
  <c r="D5127" i="1"/>
  <c r="C5127" i="1"/>
  <c r="B5127" i="1"/>
  <c r="A5127" i="1"/>
  <c r="F5126" i="1" a="1"/>
  <c r="F5126" i="1" s="1"/>
  <c r="E5126" i="1" a="1"/>
  <c r="E5126" i="1" s="1"/>
  <c r="D5126" i="1"/>
  <c r="C5126" i="1"/>
  <c r="B5126" i="1"/>
  <c r="A5126" i="1"/>
  <c r="F5125" i="1" a="1"/>
  <c r="F5125" i="1" s="1"/>
  <c r="E5125" i="1"/>
  <c r="E5125" i="1" a="1"/>
  <c r="D5125" i="1"/>
  <c r="C5125" i="1"/>
  <c r="B5125" i="1"/>
  <c r="A5125" i="1"/>
  <c r="F5124" i="1" a="1"/>
  <c r="F5124" i="1" s="1"/>
  <c r="E5124" i="1" a="1"/>
  <c r="E5124" i="1" s="1"/>
  <c r="D5124" i="1"/>
  <c r="C5124" i="1"/>
  <c r="B5124" i="1"/>
  <c r="A5124" i="1"/>
  <c r="F5123" i="1" a="1"/>
  <c r="F5123" i="1" s="1"/>
  <c r="E5123" i="1" a="1"/>
  <c r="E5123" i="1" s="1"/>
  <c r="D5123" i="1"/>
  <c r="C5123" i="1"/>
  <c r="B5123" i="1"/>
  <c r="A5123" i="1"/>
  <c r="F5122" i="1" a="1"/>
  <c r="F5122" i="1" s="1"/>
  <c r="E5122" i="1" a="1"/>
  <c r="E5122" i="1" s="1"/>
  <c r="D5122" i="1"/>
  <c r="C5122" i="1"/>
  <c r="B5122" i="1"/>
  <c r="A5122" i="1"/>
  <c r="F5121" i="1" a="1"/>
  <c r="F5121" i="1" s="1"/>
  <c r="E5121" i="1" a="1"/>
  <c r="E5121" i="1" s="1"/>
  <c r="D5121" i="1"/>
  <c r="C5121" i="1"/>
  <c r="B5121" i="1"/>
  <c r="A5121" i="1"/>
  <c r="F5120" i="1" a="1"/>
  <c r="F5120" i="1" s="1"/>
  <c r="E5120" i="1" a="1"/>
  <c r="E5120" i="1" s="1"/>
  <c r="D5120" i="1"/>
  <c r="C5120" i="1"/>
  <c r="B5120" i="1"/>
  <c r="A5120" i="1"/>
  <c r="F5119" i="1" a="1"/>
  <c r="F5119" i="1" s="1"/>
  <c r="E5119" i="1"/>
  <c r="E5119" i="1" a="1"/>
  <c r="D5119" i="1"/>
  <c r="C5119" i="1"/>
  <c r="B5119" i="1"/>
  <c r="A5119" i="1"/>
  <c r="F5118" i="1" a="1"/>
  <c r="F5118" i="1" s="1"/>
  <c r="E5118" i="1" a="1"/>
  <c r="E5118" i="1" s="1"/>
  <c r="D5118" i="1"/>
  <c r="C5118" i="1"/>
  <c r="B5118" i="1"/>
  <c r="A5118" i="1"/>
  <c r="F5117" i="1" a="1"/>
  <c r="F5117" i="1" s="1"/>
  <c r="E5117" i="1"/>
  <c r="E5117" i="1" a="1"/>
  <c r="D5117" i="1"/>
  <c r="C5117" i="1"/>
  <c r="B5117" i="1"/>
  <c r="A5117" i="1"/>
  <c r="F5116" i="1" a="1"/>
  <c r="F5116" i="1" s="1"/>
  <c r="E5116" i="1" a="1"/>
  <c r="E5116" i="1" s="1"/>
  <c r="D5116" i="1"/>
  <c r="C5116" i="1"/>
  <c r="B5116" i="1"/>
  <c r="A5116" i="1"/>
  <c r="F5115" i="1" a="1"/>
  <c r="F5115" i="1" s="1"/>
  <c r="E5115" i="1" a="1"/>
  <c r="E5115" i="1" s="1"/>
  <c r="D5115" i="1"/>
  <c r="C5115" i="1"/>
  <c r="B5115" i="1"/>
  <c r="A5115" i="1"/>
  <c r="F5114" i="1" a="1"/>
  <c r="F5114" i="1" s="1"/>
  <c r="E5114" i="1" a="1"/>
  <c r="E5114" i="1" s="1"/>
  <c r="D5114" i="1"/>
  <c r="C5114" i="1"/>
  <c r="B5114" i="1"/>
  <c r="A5114" i="1"/>
  <c r="F5113" i="1" a="1"/>
  <c r="F5113" i="1" s="1"/>
  <c r="E5113" i="1" a="1"/>
  <c r="E5113" i="1" s="1"/>
  <c r="D5113" i="1"/>
  <c r="C5113" i="1"/>
  <c r="B5113" i="1"/>
  <c r="A5113" i="1"/>
  <c r="F5112" i="1" a="1"/>
  <c r="F5112" i="1" s="1"/>
  <c r="E5112" i="1" a="1"/>
  <c r="E5112" i="1" s="1"/>
  <c r="D5112" i="1"/>
  <c r="C5112" i="1"/>
  <c r="B5112" i="1"/>
  <c r="A5112" i="1"/>
  <c r="F5111" i="1" a="1"/>
  <c r="F5111" i="1" s="1"/>
  <c r="E5111" i="1"/>
  <c r="E5111" i="1" a="1"/>
  <c r="D5111" i="1"/>
  <c r="C5111" i="1"/>
  <c r="B5111" i="1"/>
  <c r="A5111" i="1"/>
  <c r="F5110" i="1" a="1"/>
  <c r="F5110" i="1" s="1"/>
  <c r="E5110" i="1" a="1"/>
  <c r="E5110" i="1" s="1"/>
  <c r="D5110" i="1"/>
  <c r="C5110" i="1"/>
  <c r="B5110" i="1"/>
  <c r="A5110" i="1"/>
  <c r="F5109" i="1" a="1"/>
  <c r="F5109" i="1" s="1"/>
  <c r="E5109" i="1"/>
  <c r="E5109" i="1" a="1"/>
  <c r="D5109" i="1"/>
  <c r="C5109" i="1"/>
  <c r="B5109" i="1"/>
  <c r="A5109" i="1"/>
  <c r="F5108" i="1" a="1"/>
  <c r="F5108" i="1" s="1"/>
  <c r="E5108" i="1" a="1"/>
  <c r="E5108" i="1" s="1"/>
  <c r="D5108" i="1"/>
  <c r="C5108" i="1"/>
  <c r="B5108" i="1"/>
  <c r="A5108" i="1"/>
  <c r="F5107" i="1" a="1"/>
  <c r="F5107" i="1" s="1"/>
  <c r="E5107" i="1" a="1"/>
  <c r="E5107" i="1" s="1"/>
  <c r="D5107" i="1"/>
  <c r="C5107" i="1"/>
  <c r="B5107" i="1"/>
  <c r="A5107" i="1"/>
  <c r="F5106" i="1" a="1"/>
  <c r="F5106" i="1" s="1"/>
  <c r="E5106" i="1" a="1"/>
  <c r="E5106" i="1" s="1"/>
  <c r="D5106" i="1"/>
  <c r="C5106" i="1"/>
  <c r="B5106" i="1"/>
  <c r="A5106" i="1"/>
  <c r="F5105" i="1" a="1"/>
  <c r="F5105" i="1" s="1"/>
  <c r="E5105" i="1" a="1"/>
  <c r="E5105" i="1" s="1"/>
  <c r="D5105" i="1"/>
  <c r="C5105" i="1"/>
  <c r="B5105" i="1"/>
  <c r="A5105" i="1"/>
  <c r="F5104" i="1" a="1"/>
  <c r="F5104" i="1" s="1"/>
  <c r="E5104" i="1" a="1"/>
  <c r="E5104" i="1" s="1"/>
  <c r="D5104" i="1"/>
  <c r="C5104" i="1"/>
  <c r="B5104" i="1"/>
  <c r="A5104" i="1"/>
  <c r="F5103" i="1" a="1"/>
  <c r="F5103" i="1" s="1"/>
  <c r="E5103" i="1"/>
  <c r="E5103" i="1" a="1"/>
  <c r="D5103" i="1"/>
  <c r="C5103" i="1"/>
  <c r="B5103" i="1"/>
  <c r="A5103" i="1"/>
  <c r="F5102" i="1" a="1"/>
  <c r="F5102" i="1" s="1"/>
  <c r="E5102" i="1" a="1"/>
  <c r="E5102" i="1" s="1"/>
  <c r="D5102" i="1"/>
  <c r="C5102" i="1"/>
  <c r="B5102" i="1"/>
  <c r="A5102" i="1"/>
  <c r="F5101" i="1" a="1"/>
  <c r="F5101" i="1" s="1"/>
  <c r="E5101" i="1"/>
  <c r="E5101" i="1" a="1"/>
  <c r="D5101" i="1"/>
  <c r="C5101" i="1"/>
  <c r="B5101" i="1"/>
  <c r="A5101" i="1"/>
  <c r="F5100" i="1" a="1"/>
  <c r="F5100" i="1" s="1"/>
  <c r="E5100" i="1" a="1"/>
  <c r="E5100" i="1" s="1"/>
  <c r="D5100" i="1"/>
  <c r="C5100" i="1"/>
  <c r="B5100" i="1"/>
  <c r="A5100" i="1"/>
  <c r="F5099" i="1" a="1"/>
  <c r="F5099" i="1" s="1"/>
  <c r="E5099" i="1" a="1"/>
  <c r="E5099" i="1" s="1"/>
  <c r="D5099" i="1"/>
  <c r="C5099" i="1"/>
  <c r="B5099" i="1"/>
  <c r="A5099" i="1"/>
  <c r="F5098" i="1" a="1"/>
  <c r="F5098" i="1" s="1"/>
  <c r="E5098" i="1" a="1"/>
  <c r="E5098" i="1" s="1"/>
  <c r="D5098" i="1"/>
  <c r="C5098" i="1"/>
  <c r="B5098" i="1"/>
  <c r="A5098" i="1"/>
  <c r="F5097" i="1" a="1"/>
  <c r="F5097" i="1" s="1"/>
  <c r="E5097" i="1" a="1"/>
  <c r="E5097" i="1" s="1"/>
  <c r="D5097" i="1"/>
  <c r="C5097" i="1"/>
  <c r="B5097" i="1"/>
  <c r="A5097" i="1"/>
  <c r="F5096" i="1" a="1"/>
  <c r="F5096" i="1" s="1"/>
  <c r="E5096" i="1" a="1"/>
  <c r="E5096" i="1" s="1"/>
  <c r="D5096" i="1"/>
  <c r="C5096" i="1"/>
  <c r="B5096" i="1"/>
  <c r="A5096" i="1"/>
  <c r="F5095" i="1" a="1"/>
  <c r="F5095" i="1" s="1"/>
  <c r="E5095" i="1"/>
  <c r="E5095" i="1" a="1"/>
  <c r="D5095" i="1"/>
  <c r="C5095" i="1"/>
  <c r="B5095" i="1"/>
  <c r="A5095" i="1"/>
  <c r="F5094" i="1" a="1"/>
  <c r="F5094" i="1" s="1"/>
  <c r="E5094" i="1" a="1"/>
  <c r="E5094" i="1" s="1"/>
  <c r="D5094" i="1"/>
  <c r="C5094" i="1"/>
  <c r="B5094" i="1"/>
  <c r="A5094" i="1"/>
  <c r="F5093" i="1" a="1"/>
  <c r="F5093" i="1" s="1"/>
  <c r="E5093" i="1"/>
  <c r="E5093" i="1" a="1"/>
  <c r="D5093" i="1"/>
  <c r="C5093" i="1"/>
  <c r="B5093" i="1"/>
  <c r="A5093" i="1"/>
  <c r="F5092" i="1" a="1"/>
  <c r="F5092" i="1" s="1"/>
  <c r="E5092" i="1" a="1"/>
  <c r="E5092" i="1" s="1"/>
  <c r="D5092" i="1"/>
  <c r="C5092" i="1"/>
  <c r="B5092" i="1"/>
  <c r="A5092" i="1"/>
  <c r="F5091" i="1" a="1"/>
  <c r="F5091" i="1" s="1"/>
  <c r="E5091" i="1"/>
  <c r="E5091" i="1" a="1"/>
  <c r="D5091" i="1"/>
  <c r="C5091" i="1"/>
  <c r="B5091" i="1"/>
  <c r="A5091" i="1"/>
  <c r="F5090" i="1" a="1"/>
  <c r="F5090" i="1" s="1"/>
  <c r="E5090" i="1" a="1"/>
  <c r="E5090" i="1" s="1"/>
  <c r="D5090" i="1"/>
  <c r="C5090" i="1"/>
  <c r="B5090" i="1"/>
  <c r="A5090" i="1"/>
  <c r="F5089" i="1" a="1"/>
  <c r="F5089" i="1" s="1"/>
  <c r="E5089" i="1" a="1"/>
  <c r="E5089" i="1" s="1"/>
  <c r="D5089" i="1"/>
  <c r="C5089" i="1"/>
  <c r="B5089" i="1"/>
  <c r="A5089" i="1"/>
  <c r="F5088" i="1" a="1"/>
  <c r="F5088" i="1" s="1"/>
  <c r="E5088" i="1" a="1"/>
  <c r="E5088" i="1" s="1"/>
  <c r="D5088" i="1"/>
  <c r="C5088" i="1"/>
  <c r="B5088" i="1"/>
  <c r="A5088" i="1"/>
  <c r="F5087" i="1" a="1"/>
  <c r="F5087" i="1" s="1"/>
  <c r="E5087" i="1"/>
  <c r="E5087" i="1" a="1"/>
  <c r="D5087" i="1"/>
  <c r="C5087" i="1"/>
  <c r="B5087" i="1"/>
  <c r="A5087" i="1"/>
  <c r="F5086" i="1" a="1"/>
  <c r="F5086" i="1" s="1"/>
  <c r="E5086" i="1" a="1"/>
  <c r="E5086" i="1" s="1"/>
  <c r="D5086" i="1"/>
  <c r="C5086" i="1"/>
  <c r="B5086" i="1"/>
  <c r="A5086" i="1"/>
  <c r="F5085" i="1" a="1"/>
  <c r="F5085" i="1" s="1"/>
  <c r="E5085" i="1"/>
  <c r="E5085" i="1" a="1"/>
  <c r="D5085" i="1"/>
  <c r="C5085" i="1"/>
  <c r="B5085" i="1"/>
  <c r="A5085" i="1"/>
  <c r="F5084" i="1" a="1"/>
  <c r="F5084" i="1" s="1"/>
  <c r="E5084" i="1" a="1"/>
  <c r="E5084" i="1" s="1"/>
  <c r="D5084" i="1"/>
  <c r="C5084" i="1"/>
  <c r="B5084" i="1"/>
  <c r="A5084" i="1"/>
  <c r="F5083" i="1" a="1"/>
  <c r="F5083" i="1" s="1"/>
  <c r="E5083" i="1" a="1"/>
  <c r="E5083" i="1" s="1"/>
  <c r="D5083" i="1"/>
  <c r="C5083" i="1"/>
  <c r="B5083" i="1"/>
  <c r="A5083" i="1"/>
  <c r="F5082" i="1" a="1"/>
  <c r="F5082" i="1" s="1"/>
  <c r="E5082" i="1" a="1"/>
  <c r="E5082" i="1" s="1"/>
  <c r="D5082" i="1"/>
  <c r="C5082" i="1"/>
  <c r="B5082" i="1"/>
  <c r="A5082" i="1"/>
  <c r="F5081" i="1" a="1"/>
  <c r="F5081" i="1" s="1"/>
  <c r="E5081" i="1" a="1"/>
  <c r="E5081" i="1" s="1"/>
  <c r="D5081" i="1"/>
  <c r="C5081" i="1"/>
  <c r="B5081" i="1"/>
  <c r="A5081" i="1"/>
  <c r="F5080" i="1" a="1"/>
  <c r="F5080" i="1" s="1"/>
  <c r="E5080" i="1" a="1"/>
  <c r="E5080" i="1" s="1"/>
  <c r="D5080" i="1"/>
  <c r="C5080" i="1"/>
  <c r="B5080" i="1"/>
  <c r="A5080" i="1"/>
  <c r="F5079" i="1" a="1"/>
  <c r="F5079" i="1" s="1"/>
  <c r="E5079" i="1"/>
  <c r="E5079" i="1" a="1"/>
  <c r="D5079" i="1"/>
  <c r="C5079" i="1"/>
  <c r="B5079" i="1"/>
  <c r="A5079" i="1"/>
  <c r="F5078" i="1" a="1"/>
  <c r="F5078" i="1" s="1"/>
  <c r="E5078" i="1" a="1"/>
  <c r="E5078" i="1" s="1"/>
  <c r="D5078" i="1"/>
  <c r="C5078" i="1"/>
  <c r="B5078" i="1"/>
  <c r="A5078" i="1"/>
  <c r="F5077" i="1" a="1"/>
  <c r="F5077" i="1" s="1"/>
  <c r="E5077" i="1"/>
  <c r="E5077" i="1" a="1"/>
  <c r="D5077" i="1"/>
  <c r="C5077" i="1"/>
  <c r="B5077" i="1"/>
  <c r="A5077" i="1"/>
  <c r="F5076" i="1" a="1"/>
  <c r="F5076" i="1" s="1"/>
  <c r="E5076" i="1" a="1"/>
  <c r="E5076" i="1" s="1"/>
  <c r="D5076" i="1"/>
  <c r="C5076" i="1"/>
  <c r="B5076" i="1"/>
  <c r="A5076" i="1"/>
  <c r="F5075" i="1" a="1"/>
  <c r="F5075" i="1" s="1"/>
  <c r="E5075" i="1" a="1"/>
  <c r="E5075" i="1" s="1"/>
  <c r="D5075" i="1"/>
  <c r="C5075" i="1"/>
  <c r="B5075" i="1"/>
  <c r="A5075" i="1"/>
  <c r="F5074" i="1" a="1"/>
  <c r="F5074" i="1" s="1"/>
  <c r="E5074" i="1" a="1"/>
  <c r="E5074" i="1" s="1"/>
  <c r="D5074" i="1"/>
  <c r="C5074" i="1"/>
  <c r="B5074" i="1"/>
  <c r="A5074" i="1"/>
  <c r="F5073" i="1" a="1"/>
  <c r="F5073" i="1" s="1"/>
  <c r="E5073" i="1" a="1"/>
  <c r="E5073" i="1" s="1"/>
  <c r="D5073" i="1"/>
  <c r="C5073" i="1"/>
  <c r="B5073" i="1"/>
  <c r="A5073" i="1"/>
  <c r="F5072" i="1" a="1"/>
  <c r="F5072" i="1" s="1"/>
  <c r="E5072" i="1" a="1"/>
  <c r="E5072" i="1" s="1"/>
  <c r="D5072" i="1"/>
  <c r="C5072" i="1"/>
  <c r="B5072" i="1"/>
  <c r="A5072" i="1"/>
  <c r="F5071" i="1" a="1"/>
  <c r="F5071" i="1" s="1"/>
  <c r="E5071" i="1"/>
  <c r="E5071" i="1" a="1"/>
  <c r="D5071" i="1"/>
  <c r="C5071" i="1"/>
  <c r="B5071" i="1"/>
  <c r="A5071" i="1"/>
  <c r="F5070" i="1" a="1"/>
  <c r="F5070" i="1" s="1"/>
  <c r="E5070" i="1" a="1"/>
  <c r="E5070" i="1" s="1"/>
  <c r="D5070" i="1"/>
  <c r="C5070" i="1"/>
  <c r="B5070" i="1"/>
  <c r="A5070" i="1"/>
  <c r="F5069" i="1" a="1"/>
  <c r="F5069" i="1" s="1"/>
  <c r="E5069" i="1"/>
  <c r="E5069" i="1" a="1"/>
  <c r="D5069" i="1"/>
  <c r="C5069" i="1"/>
  <c r="B5069" i="1"/>
  <c r="A5069" i="1"/>
  <c r="F5068" i="1" a="1"/>
  <c r="F5068" i="1" s="1"/>
  <c r="E5068" i="1" a="1"/>
  <c r="E5068" i="1" s="1"/>
  <c r="D5068" i="1"/>
  <c r="C5068" i="1"/>
  <c r="B5068" i="1"/>
  <c r="A5068" i="1"/>
  <c r="F5067" i="1" a="1"/>
  <c r="F5067" i="1" s="1"/>
  <c r="E5067" i="1" a="1"/>
  <c r="E5067" i="1" s="1"/>
  <c r="D5067" i="1"/>
  <c r="C5067" i="1"/>
  <c r="B5067" i="1"/>
  <c r="A5067" i="1"/>
  <c r="F5066" i="1" a="1"/>
  <c r="F5066" i="1" s="1"/>
  <c r="E5066" i="1" a="1"/>
  <c r="E5066" i="1" s="1"/>
  <c r="D5066" i="1"/>
  <c r="C5066" i="1"/>
  <c r="B5066" i="1"/>
  <c r="A5066" i="1"/>
  <c r="F5065" i="1" a="1"/>
  <c r="F5065" i="1" s="1"/>
  <c r="E5065" i="1" a="1"/>
  <c r="E5065" i="1" s="1"/>
  <c r="D5065" i="1"/>
  <c r="C5065" i="1"/>
  <c r="B5065" i="1"/>
  <c r="A5065" i="1"/>
  <c r="F5064" i="1" a="1"/>
  <c r="F5064" i="1" s="1"/>
  <c r="E5064" i="1" a="1"/>
  <c r="E5064" i="1" s="1"/>
  <c r="D5064" i="1"/>
  <c r="C5064" i="1"/>
  <c r="B5064" i="1"/>
  <c r="A5064" i="1"/>
  <c r="F5063" i="1" a="1"/>
  <c r="F5063" i="1" s="1"/>
  <c r="E5063" i="1"/>
  <c r="E5063" i="1" a="1"/>
  <c r="D5063" i="1"/>
  <c r="C5063" i="1"/>
  <c r="B5063" i="1"/>
  <c r="A5063" i="1"/>
  <c r="F5062" i="1" a="1"/>
  <c r="F5062" i="1" s="1"/>
  <c r="E5062" i="1" a="1"/>
  <c r="E5062" i="1" s="1"/>
  <c r="D5062" i="1"/>
  <c r="C5062" i="1"/>
  <c r="B5062" i="1"/>
  <c r="A5062" i="1"/>
  <c r="F5061" i="1" a="1"/>
  <c r="F5061" i="1" s="1"/>
  <c r="E5061" i="1"/>
  <c r="E5061" i="1" a="1"/>
  <c r="D5061" i="1"/>
  <c r="C5061" i="1"/>
  <c r="B5061" i="1"/>
  <c r="A5061" i="1"/>
  <c r="F5060" i="1" a="1"/>
  <c r="F5060" i="1" s="1"/>
  <c r="E5060" i="1" a="1"/>
  <c r="E5060" i="1" s="1"/>
  <c r="D5060" i="1"/>
  <c r="C5060" i="1"/>
  <c r="B5060" i="1"/>
  <c r="A5060" i="1"/>
  <c r="F5059" i="1" a="1"/>
  <c r="F5059" i="1" s="1"/>
  <c r="E5059" i="1" a="1"/>
  <c r="E5059" i="1" s="1"/>
  <c r="D5059" i="1"/>
  <c r="C5059" i="1"/>
  <c r="B5059" i="1"/>
  <c r="A5059" i="1"/>
  <c r="F5058" i="1" a="1"/>
  <c r="F5058" i="1" s="1"/>
  <c r="E5058" i="1" a="1"/>
  <c r="E5058" i="1" s="1"/>
  <c r="D5058" i="1"/>
  <c r="C5058" i="1"/>
  <c r="B5058" i="1"/>
  <c r="A5058" i="1"/>
  <c r="F5057" i="1" a="1"/>
  <c r="F5057" i="1" s="1"/>
  <c r="E5057" i="1" a="1"/>
  <c r="E5057" i="1" s="1"/>
  <c r="D5057" i="1"/>
  <c r="C5057" i="1"/>
  <c r="B5057" i="1"/>
  <c r="A5057" i="1"/>
  <c r="F5056" i="1" a="1"/>
  <c r="F5056" i="1" s="1"/>
  <c r="E5056" i="1" a="1"/>
  <c r="E5056" i="1" s="1"/>
  <c r="D5056" i="1"/>
  <c r="C5056" i="1"/>
  <c r="B5056" i="1"/>
  <c r="A5056" i="1"/>
  <c r="F5055" i="1" a="1"/>
  <c r="F5055" i="1" s="1"/>
  <c r="E5055" i="1"/>
  <c r="E5055" i="1" a="1"/>
  <c r="D5055" i="1"/>
  <c r="C5055" i="1"/>
  <c r="B5055" i="1"/>
  <c r="A5055" i="1"/>
  <c r="F5054" i="1" a="1"/>
  <c r="F5054" i="1" s="1"/>
  <c r="E5054" i="1" a="1"/>
  <c r="E5054" i="1" s="1"/>
  <c r="D5054" i="1"/>
  <c r="C5054" i="1"/>
  <c r="B5054" i="1"/>
  <c r="A5054" i="1"/>
  <c r="F5053" i="1" a="1"/>
  <c r="F5053" i="1" s="1"/>
  <c r="E5053" i="1"/>
  <c r="E5053" i="1" a="1"/>
  <c r="D5053" i="1"/>
  <c r="C5053" i="1"/>
  <c r="B5053" i="1"/>
  <c r="A5053" i="1"/>
  <c r="F5052" i="1" a="1"/>
  <c r="F5052" i="1" s="1"/>
  <c r="E5052" i="1" a="1"/>
  <c r="E5052" i="1" s="1"/>
  <c r="D5052" i="1"/>
  <c r="C5052" i="1"/>
  <c r="B5052" i="1"/>
  <c r="A5052" i="1"/>
  <c r="F5051" i="1" a="1"/>
  <c r="F5051" i="1" s="1"/>
  <c r="E5051" i="1" a="1"/>
  <c r="E5051" i="1" s="1"/>
  <c r="D5051" i="1"/>
  <c r="C5051" i="1"/>
  <c r="B5051" i="1"/>
  <c r="A5051" i="1"/>
  <c r="F5050" i="1" a="1"/>
  <c r="F5050" i="1" s="1"/>
  <c r="E5050" i="1" a="1"/>
  <c r="E5050" i="1" s="1"/>
  <c r="D5050" i="1"/>
  <c r="C5050" i="1"/>
  <c r="B5050" i="1"/>
  <c r="A5050" i="1"/>
  <c r="F5049" i="1" a="1"/>
  <c r="F5049" i="1" s="1"/>
  <c r="E5049" i="1" a="1"/>
  <c r="E5049" i="1" s="1"/>
  <c r="D5049" i="1"/>
  <c r="C5049" i="1"/>
  <c r="B5049" i="1"/>
  <c r="A5049" i="1"/>
  <c r="F5048" i="1" a="1"/>
  <c r="F5048" i="1" s="1"/>
  <c r="E5048" i="1" a="1"/>
  <c r="E5048" i="1" s="1"/>
  <c r="D5048" i="1"/>
  <c r="C5048" i="1"/>
  <c r="B5048" i="1"/>
  <c r="A5048" i="1"/>
  <c r="F5047" i="1" a="1"/>
  <c r="F5047" i="1" s="1"/>
  <c r="E5047" i="1"/>
  <c r="E5047" i="1" a="1"/>
  <c r="D5047" i="1"/>
  <c r="C5047" i="1"/>
  <c r="B5047" i="1"/>
  <c r="A5047" i="1"/>
  <c r="F5046" i="1" a="1"/>
  <c r="F5046" i="1" s="1"/>
  <c r="E5046" i="1" a="1"/>
  <c r="E5046" i="1" s="1"/>
  <c r="D5046" i="1"/>
  <c r="C5046" i="1"/>
  <c r="B5046" i="1"/>
  <c r="A5046" i="1"/>
  <c r="F5045" i="1" a="1"/>
  <c r="F5045" i="1" s="1"/>
  <c r="E5045" i="1"/>
  <c r="E5045" i="1" a="1"/>
  <c r="D5045" i="1"/>
  <c r="C5045" i="1"/>
  <c r="B5045" i="1"/>
  <c r="A5045" i="1"/>
  <c r="F5044" i="1" a="1"/>
  <c r="F5044" i="1" s="1"/>
  <c r="E5044" i="1" a="1"/>
  <c r="E5044" i="1" s="1"/>
  <c r="D5044" i="1"/>
  <c r="C5044" i="1"/>
  <c r="B5044" i="1"/>
  <c r="A5044" i="1"/>
  <c r="F5043" i="1" a="1"/>
  <c r="F5043" i="1" s="1"/>
  <c r="E5043" i="1" a="1"/>
  <c r="E5043" i="1" s="1"/>
  <c r="D5043" i="1"/>
  <c r="C5043" i="1"/>
  <c r="B5043" i="1"/>
  <c r="A5043" i="1"/>
  <c r="F5042" i="1" a="1"/>
  <c r="F5042" i="1" s="1"/>
  <c r="E5042" i="1" a="1"/>
  <c r="E5042" i="1" s="1"/>
  <c r="D5042" i="1"/>
  <c r="C5042" i="1"/>
  <c r="B5042" i="1"/>
  <c r="A5042" i="1"/>
  <c r="F5041" i="1" a="1"/>
  <c r="F5041" i="1" s="1"/>
  <c r="E5041" i="1" a="1"/>
  <c r="E5041" i="1" s="1"/>
  <c r="D5041" i="1"/>
  <c r="C5041" i="1"/>
  <c r="B5041" i="1"/>
  <c r="A5041" i="1"/>
  <c r="F5040" i="1" a="1"/>
  <c r="F5040" i="1" s="1"/>
  <c r="E5040" i="1" a="1"/>
  <c r="E5040" i="1" s="1"/>
  <c r="D5040" i="1"/>
  <c r="C5040" i="1"/>
  <c r="B5040" i="1"/>
  <c r="A5040" i="1"/>
  <c r="F5039" i="1" a="1"/>
  <c r="F5039" i="1" s="1"/>
  <c r="E5039" i="1"/>
  <c r="E5039" i="1" a="1"/>
  <c r="D5039" i="1"/>
  <c r="C5039" i="1"/>
  <c r="B5039" i="1"/>
  <c r="A5039" i="1"/>
  <c r="F5038" i="1" a="1"/>
  <c r="F5038" i="1" s="1"/>
  <c r="E5038" i="1" a="1"/>
  <c r="E5038" i="1" s="1"/>
  <c r="D5038" i="1"/>
  <c r="C5038" i="1"/>
  <c r="B5038" i="1"/>
  <c r="A5038" i="1"/>
  <c r="F5037" i="1" a="1"/>
  <c r="F5037" i="1" s="1"/>
  <c r="E5037" i="1"/>
  <c r="E5037" i="1" a="1"/>
  <c r="D5037" i="1"/>
  <c r="C5037" i="1"/>
  <c r="B5037" i="1"/>
  <c r="A5037" i="1"/>
  <c r="F5036" i="1" a="1"/>
  <c r="F5036" i="1" s="1"/>
  <c r="E5036" i="1" a="1"/>
  <c r="E5036" i="1" s="1"/>
  <c r="D5036" i="1"/>
  <c r="C5036" i="1"/>
  <c r="B5036" i="1"/>
  <c r="A5036" i="1"/>
  <c r="F5035" i="1" a="1"/>
  <c r="F5035" i="1" s="1"/>
  <c r="E5035" i="1" a="1"/>
  <c r="E5035" i="1" s="1"/>
  <c r="D5035" i="1"/>
  <c r="C5035" i="1"/>
  <c r="B5035" i="1"/>
  <c r="A5035" i="1"/>
  <c r="F5034" i="1" a="1"/>
  <c r="F5034" i="1" s="1"/>
  <c r="E5034" i="1" a="1"/>
  <c r="E5034" i="1" s="1"/>
  <c r="D5034" i="1"/>
  <c r="C5034" i="1"/>
  <c r="B5034" i="1"/>
  <c r="A5034" i="1"/>
  <c r="F5033" i="1" a="1"/>
  <c r="F5033" i="1" s="1"/>
  <c r="E5033" i="1" a="1"/>
  <c r="E5033" i="1" s="1"/>
  <c r="D5033" i="1"/>
  <c r="C5033" i="1"/>
  <c r="B5033" i="1"/>
  <c r="A5033" i="1"/>
  <c r="F5032" i="1" a="1"/>
  <c r="F5032" i="1" s="1"/>
  <c r="E5032" i="1" a="1"/>
  <c r="E5032" i="1" s="1"/>
  <c r="D5032" i="1"/>
  <c r="C5032" i="1"/>
  <c r="B5032" i="1"/>
  <c r="A5032" i="1"/>
  <c r="F5031" i="1" a="1"/>
  <c r="F5031" i="1" s="1"/>
  <c r="E5031" i="1"/>
  <c r="E5031" i="1" a="1"/>
  <c r="D5031" i="1"/>
  <c r="C5031" i="1"/>
  <c r="B5031" i="1"/>
  <c r="A5031" i="1"/>
  <c r="F5030" i="1" a="1"/>
  <c r="F5030" i="1" s="1"/>
  <c r="E5030" i="1" a="1"/>
  <c r="E5030" i="1" s="1"/>
  <c r="D5030" i="1"/>
  <c r="C5030" i="1"/>
  <c r="B5030" i="1"/>
  <c r="A5030" i="1"/>
  <c r="F5029" i="1" a="1"/>
  <c r="F5029" i="1" s="1"/>
  <c r="E5029" i="1"/>
  <c r="E5029" i="1" a="1"/>
  <c r="D5029" i="1"/>
  <c r="C5029" i="1"/>
  <c r="B5029" i="1"/>
  <c r="A5029" i="1"/>
  <c r="F5028" i="1" a="1"/>
  <c r="F5028" i="1" s="1"/>
  <c r="E5028" i="1" a="1"/>
  <c r="E5028" i="1" s="1"/>
  <c r="D5028" i="1"/>
  <c r="C5028" i="1"/>
  <c r="B5028" i="1"/>
  <c r="A5028" i="1"/>
  <c r="F5027" i="1" a="1"/>
  <c r="F5027" i="1" s="1"/>
  <c r="E5027" i="1" a="1"/>
  <c r="E5027" i="1" s="1"/>
  <c r="D5027" i="1"/>
  <c r="C5027" i="1"/>
  <c r="B5027" i="1"/>
  <c r="A5027" i="1"/>
  <c r="F5026" i="1" a="1"/>
  <c r="F5026" i="1" s="1"/>
  <c r="E5026" i="1" a="1"/>
  <c r="E5026" i="1" s="1"/>
  <c r="D5026" i="1"/>
  <c r="C5026" i="1"/>
  <c r="B5026" i="1"/>
  <c r="A5026" i="1"/>
  <c r="F5025" i="1" a="1"/>
  <c r="F5025" i="1" s="1"/>
  <c r="E5025" i="1" a="1"/>
  <c r="E5025" i="1" s="1"/>
  <c r="D5025" i="1"/>
  <c r="C5025" i="1"/>
  <c r="B5025" i="1"/>
  <c r="A5025" i="1"/>
  <c r="F5024" i="1" a="1"/>
  <c r="F5024" i="1" s="1"/>
  <c r="E5024" i="1" a="1"/>
  <c r="E5024" i="1" s="1"/>
  <c r="D5024" i="1"/>
  <c r="C5024" i="1"/>
  <c r="B5024" i="1"/>
  <c r="A5024" i="1"/>
  <c r="F5023" i="1" a="1"/>
  <c r="F5023" i="1" s="1"/>
  <c r="E5023" i="1"/>
  <c r="E5023" i="1" a="1"/>
  <c r="D5023" i="1"/>
  <c r="C5023" i="1"/>
  <c r="B5023" i="1"/>
  <c r="A5023" i="1"/>
  <c r="F5022" i="1" a="1"/>
  <c r="F5022" i="1" s="1"/>
  <c r="E5022" i="1" a="1"/>
  <c r="E5022" i="1" s="1"/>
  <c r="D5022" i="1"/>
  <c r="C5022" i="1"/>
  <c r="B5022" i="1"/>
  <c r="A5022" i="1"/>
  <c r="F5021" i="1" a="1"/>
  <c r="F5021" i="1" s="1"/>
  <c r="E5021" i="1"/>
  <c r="E5021" i="1" a="1"/>
  <c r="D5021" i="1"/>
  <c r="C5021" i="1"/>
  <c r="B5021" i="1"/>
  <c r="A5021" i="1"/>
  <c r="F5020" i="1" a="1"/>
  <c r="F5020" i="1" s="1"/>
  <c r="E5020" i="1" a="1"/>
  <c r="E5020" i="1" s="1"/>
  <c r="D5020" i="1"/>
  <c r="C5020" i="1"/>
  <c r="B5020" i="1"/>
  <c r="A5020" i="1"/>
  <c r="F5019" i="1" a="1"/>
  <c r="F5019" i="1" s="1"/>
  <c r="E5019" i="1" a="1"/>
  <c r="E5019" i="1" s="1"/>
  <c r="D5019" i="1"/>
  <c r="C5019" i="1"/>
  <c r="B5019" i="1"/>
  <c r="A5019" i="1"/>
  <c r="F5018" i="1" a="1"/>
  <c r="F5018" i="1" s="1"/>
  <c r="E5018" i="1" a="1"/>
  <c r="E5018" i="1" s="1"/>
  <c r="D5018" i="1"/>
  <c r="C5018" i="1"/>
  <c r="B5018" i="1"/>
  <c r="A5018" i="1"/>
  <c r="F5017" i="1" a="1"/>
  <c r="F5017" i="1" s="1"/>
  <c r="E5017" i="1" a="1"/>
  <c r="E5017" i="1" s="1"/>
  <c r="D5017" i="1"/>
  <c r="C5017" i="1"/>
  <c r="B5017" i="1"/>
  <c r="A5017" i="1"/>
  <c r="F5016" i="1" a="1"/>
  <c r="F5016" i="1" s="1"/>
  <c r="E5016" i="1" a="1"/>
  <c r="E5016" i="1" s="1"/>
  <c r="D5016" i="1"/>
  <c r="C5016" i="1"/>
  <c r="B5016" i="1"/>
  <c r="A5016" i="1"/>
  <c r="F5015" i="1" a="1"/>
  <c r="F5015" i="1" s="1"/>
  <c r="E5015" i="1"/>
  <c r="E5015" i="1" a="1"/>
  <c r="D5015" i="1"/>
  <c r="C5015" i="1"/>
  <c r="B5015" i="1"/>
  <c r="A5015" i="1"/>
  <c r="F5014" i="1" a="1"/>
  <c r="F5014" i="1" s="1"/>
  <c r="E5014" i="1" a="1"/>
  <c r="E5014" i="1" s="1"/>
  <c r="D5014" i="1"/>
  <c r="C5014" i="1"/>
  <c r="B5014" i="1"/>
  <c r="A5014" i="1"/>
  <c r="F5013" i="1" a="1"/>
  <c r="F5013" i="1" s="1"/>
  <c r="E5013" i="1"/>
  <c r="E5013" i="1" a="1"/>
  <c r="D5013" i="1"/>
  <c r="C5013" i="1"/>
  <c r="B5013" i="1"/>
  <c r="A5013" i="1"/>
  <c r="F5012" i="1" a="1"/>
  <c r="F5012" i="1" s="1"/>
  <c r="E5012" i="1" a="1"/>
  <c r="E5012" i="1" s="1"/>
  <c r="D5012" i="1"/>
  <c r="C5012" i="1"/>
  <c r="B5012" i="1"/>
  <c r="A5012" i="1"/>
  <c r="F5011" i="1" a="1"/>
  <c r="F5011" i="1" s="1"/>
  <c r="E5011" i="1" a="1"/>
  <c r="E5011" i="1" s="1"/>
  <c r="D5011" i="1"/>
  <c r="C5011" i="1"/>
  <c r="B5011" i="1"/>
  <c r="A5011" i="1"/>
  <c r="F5010" i="1" a="1"/>
  <c r="F5010" i="1" s="1"/>
  <c r="E5010" i="1" a="1"/>
  <c r="E5010" i="1" s="1"/>
  <c r="D5010" i="1"/>
  <c r="C5010" i="1"/>
  <c r="B5010" i="1"/>
  <c r="A5010" i="1"/>
  <c r="F5009" i="1" a="1"/>
  <c r="F5009" i="1" s="1"/>
  <c r="E5009" i="1" a="1"/>
  <c r="E5009" i="1" s="1"/>
  <c r="D5009" i="1"/>
  <c r="C5009" i="1"/>
  <c r="B5009" i="1"/>
  <c r="A5009" i="1"/>
  <c r="F5008" i="1" a="1"/>
  <c r="F5008" i="1" s="1"/>
  <c r="E5008" i="1" a="1"/>
  <c r="E5008" i="1" s="1"/>
  <c r="D5008" i="1"/>
  <c r="C5008" i="1"/>
  <c r="B5008" i="1"/>
  <c r="A5008" i="1"/>
  <c r="F5007" i="1" a="1"/>
  <c r="F5007" i="1" s="1"/>
  <c r="E5007" i="1"/>
  <c r="E5007" i="1" a="1"/>
  <c r="D5007" i="1"/>
  <c r="C5007" i="1"/>
  <c r="B5007" i="1"/>
  <c r="A5007" i="1"/>
  <c r="F5006" i="1" a="1"/>
  <c r="F5006" i="1" s="1"/>
  <c r="E5006" i="1" a="1"/>
  <c r="E5006" i="1" s="1"/>
  <c r="D5006" i="1"/>
  <c r="C5006" i="1"/>
  <c r="B5006" i="1"/>
  <c r="A5006" i="1"/>
  <c r="F5005" i="1" a="1"/>
  <c r="F5005" i="1" s="1"/>
  <c r="E5005" i="1"/>
  <c r="E5005" i="1" a="1"/>
  <c r="D5005" i="1"/>
  <c r="C5005" i="1"/>
  <c r="B5005" i="1"/>
  <c r="A5005" i="1"/>
  <c r="F5004" i="1" a="1"/>
  <c r="F5004" i="1" s="1"/>
  <c r="E5004" i="1" a="1"/>
  <c r="E5004" i="1" s="1"/>
  <c r="D5004" i="1"/>
  <c r="C5004" i="1"/>
  <c r="B5004" i="1"/>
  <c r="A5004" i="1"/>
  <c r="F5003" i="1" a="1"/>
  <c r="F5003" i="1" s="1"/>
  <c r="E5003" i="1" a="1"/>
  <c r="E5003" i="1" s="1"/>
  <c r="D5003" i="1"/>
  <c r="C5003" i="1"/>
  <c r="B5003" i="1"/>
  <c r="A5003" i="1"/>
  <c r="F5002" i="1" a="1"/>
  <c r="F5002" i="1" s="1"/>
  <c r="E5002" i="1" a="1"/>
  <c r="E5002" i="1" s="1"/>
  <c r="D5002" i="1"/>
  <c r="C5002" i="1"/>
  <c r="B5002" i="1"/>
  <c r="A5002" i="1"/>
  <c r="F5001" i="1" a="1"/>
  <c r="F5001" i="1" s="1"/>
  <c r="E5001" i="1" a="1"/>
  <c r="E5001" i="1" s="1"/>
  <c r="D5001" i="1"/>
  <c r="C5001" i="1"/>
  <c r="B5001" i="1"/>
  <c r="A5001" i="1"/>
  <c r="F5000" i="1" a="1"/>
  <c r="F5000" i="1" s="1"/>
  <c r="E5000" i="1" a="1"/>
  <c r="E5000" i="1" s="1"/>
  <c r="D5000" i="1"/>
  <c r="C5000" i="1"/>
  <c r="B5000" i="1"/>
  <c r="A5000" i="1"/>
  <c r="F4999" i="1" a="1"/>
  <c r="F4999" i="1" s="1"/>
  <c r="E4999" i="1"/>
  <c r="E4999" i="1" a="1"/>
  <c r="D4999" i="1"/>
  <c r="C4999" i="1"/>
  <c r="B4999" i="1"/>
  <c r="A4999" i="1"/>
  <c r="F4998" i="1" a="1"/>
  <c r="F4998" i="1" s="1"/>
  <c r="E4998" i="1" a="1"/>
  <c r="E4998" i="1" s="1"/>
  <c r="D4998" i="1"/>
  <c r="C4998" i="1"/>
  <c r="B4998" i="1"/>
  <c r="A4998" i="1"/>
  <c r="F4997" i="1" a="1"/>
  <c r="F4997" i="1" s="1"/>
  <c r="E4997" i="1"/>
  <c r="E4997" i="1" a="1"/>
  <c r="D4997" i="1"/>
  <c r="C4997" i="1"/>
  <c r="B4997" i="1"/>
  <c r="A4997" i="1"/>
  <c r="F4996" i="1" a="1"/>
  <c r="F4996" i="1" s="1"/>
  <c r="E4996" i="1" a="1"/>
  <c r="E4996" i="1" s="1"/>
  <c r="D4996" i="1"/>
  <c r="C4996" i="1"/>
  <c r="B4996" i="1"/>
  <c r="A4996" i="1"/>
  <c r="F4995" i="1" a="1"/>
  <c r="F4995" i="1" s="1"/>
  <c r="E4995" i="1"/>
  <c r="E4995" i="1" a="1"/>
  <c r="D4995" i="1"/>
  <c r="C4995" i="1"/>
  <c r="B4995" i="1"/>
  <c r="A4995" i="1"/>
  <c r="F4994" i="1" a="1"/>
  <c r="F4994" i="1" s="1"/>
  <c r="E4994" i="1" a="1"/>
  <c r="E4994" i="1" s="1"/>
  <c r="D4994" i="1"/>
  <c r="C4994" i="1"/>
  <c r="B4994" i="1"/>
  <c r="A4994" i="1"/>
  <c r="F4993" i="1" a="1"/>
  <c r="F4993" i="1" s="1"/>
  <c r="E4993" i="1" a="1"/>
  <c r="E4993" i="1" s="1"/>
  <c r="D4993" i="1"/>
  <c r="C4993" i="1"/>
  <c r="B4993" i="1"/>
  <c r="A4993" i="1"/>
  <c r="F4992" i="1" a="1"/>
  <c r="F4992" i="1" s="1"/>
  <c r="E4992" i="1" a="1"/>
  <c r="E4992" i="1" s="1"/>
  <c r="D4992" i="1"/>
  <c r="C4992" i="1"/>
  <c r="B4992" i="1"/>
  <c r="A4992" i="1"/>
  <c r="F4991" i="1" a="1"/>
  <c r="F4991" i="1" s="1"/>
  <c r="E4991" i="1"/>
  <c r="E4991" i="1" a="1"/>
  <c r="D4991" i="1"/>
  <c r="C4991" i="1"/>
  <c r="B4991" i="1"/>
  <c r="A4991" i="1"/>
  <c r="F4990" i="1" a="1"/>
  <c r="F4990" i="1" s="1"/>
  <c r="E4990" i="1" a="1"/>
  <c r="E4990" i="1" s="1"/>
  <c r="D4990" i="1"/>
  <c r="C4990" i="1"/>
  <c r="B4990" i="1"/>
  <c r="A4990" i="1"/>
  <c r="F4989" i="1" a="1"/>
  <c r="F4989" i="1" s="1"/>
  <c r="E4989" i="1"/>
  <c r="E4989" i="1" a="1"/>
  <c r="D4989" i="1"/>
  <c r="C4989" i="1"/>
  <c r="B4989" i="1"/>
  <c r="A4989" i="1"/>
  <c r="F4988" i="1" a="1"/>
  <c r="F4988" i="1" s="1"/>
  <c r="E4988" i="1" a="1"/>
  <c r="E4988" i="1" s="1"/>
  <c r="D4988" i="1"/>
  <c r="C4988" i="1"/>
  <c r="B4988" i="1"/>
  <c r="A4988" i="1"/>
  <c r="F4987" i="1" a="1"/>
  <c r="F4987" i="1" s="1"/>
  <c r="E4987" i="1" a="1"/>
  <c r="E4987" i="1" s="1"/>
  <c r="D4987" i="1"/>
  <c r="C4987" i="1"/>
  <c r="B4987" i="1"/>
  <c r="A4987" i="1"/>
  <c r="F4986" i="1" a="1"/>
  <c r="F4986" i="1" s="1"/>
  <c r="E4986" i="1" a="1"/>
  <c r="E4986" i="1" s="1"/>
  <c r="D4986" i="1"/>
  <c r="C4986" i="1"/>
  <c r="B4986" i="1"/>
  <c r="A4986" i="1"/>
  <c r="F4985" i="1" a="1"/>
  <c r="F4985" i="1" s="1"/>
  <c r="E4985" i="1" a="1"/>
  <c r="E4985" i="1" s="1"/>
  <c r="D4985" i="1"/>
  <c r="C4985" i="1"/>
  <c r="B4985" i="1"/>
  <c r="A4985" i="1"/>
  <c r="F4984" i="1" a="1"/>
  <c r="F4984" i="1" s="1"/>
  <c r="E4984" i="1" a="1"/>
  <c r="E4984" i="1" s="1"/>
  <c r="D4984" i="1"/>
  <c r="C4984" i="1"/>
  <c r="B4984" i="1"/>
  <c r="A4984" i="1"/>
  <c r="F4983" i="1" a="1"/>
  <c r="F4983" i="1" s="1"/>
  <c r="E4983" i="1"/>
  <c r="E4983" i="1" a="1"/>
  <c r="D4983" i="1"/>
  <c r="C4983" i="1"/>
  <c r="B4983" i="1"/>
  <c r="A4983" i="1"/>
  <c r="F4982" i="1" a="1"/>
  <c r="F4982" i="1" s="1"/>
  <c r="E4982" i="1" a="1"/>
  <c r="E4982" i="1" s="1"/>
  <c r="D4982" i="1"/>
  <c r="C4982" i="1"/>
  <c r="B4982" i="1"/>
  <c r="A4982" i="1"/>
  <c r="F4981" i="1" a="1"/>
  <c r="F4981" i="1" s="1"/>
  <c r="E4981" i="1" a="1"/>
  <c r="E4981" i="1" s="1"/>
  <c r="D4981" i="1"/>
  <c r="C4981" i="1"/>
  <c r="B4981" i="1"/>
  <c r="A4981" i="1"/>
  <c r="F4980" i="1" a="1"/>
  <c r="F4980" i="1" s="1"/>
  <c r="E4980" i="1" a="1"/>
  <c r="E4980" i="1" s="1"/>
  <c r="D4980" i="1"/>
  <c r="C4980" i="1"/>
  <c r="B4980" i="1"/>
  <c r="A4980" i="1"/>
  <c r="F4979" i="1" a="1"/>
  <c r="F4979" i="1" s="1"/>
  <c r="E4979" i="1" a="1"/>
  <c r="E4979" i="1" s="1"/>
  <c r="D4979" i="1"/>
  <c r="C4979" i="1"/>
  <c r="B4979" i="1"/>
  <c r="A4979" i="1"/>
  <c r="F4978" i="1" a="1"/>
  <c r="F4978" i="1" s="1"/>
  <c r="E4978" i="1" a="1"/>
  <c r="E4978" i="1" s="1"/>
  <c r="D4978" i="1"/>
  <c r="C4978" i="1"/>
  <c r="B4978" i="1"/>
  <c r="A4978" i="1"/>
  <c r="F4977" i="1" a="1"/>
  <c r="F4977" i="1" s="1"/>
  <c r="E4977" i="1" a="1"/>
  <c r="E4977" i="1" s="1"/>
  <c r="D4977" i="1"/>
  <c r="C4977" i="1"/>
  <c r="B4977" i="1"/>
  <c r="A4977" i="1"/>
  <c r="F4976" i="1" a="1"/>
  <c r="F4976" i="1" s="1"/>
  <c r="E4976" i="1" a="1"/>
  <c r="E4976" i="1" s="1"/>
  <c r="D4976" i="1"/>
  <c r="C4976" i="1"/>
  <c r="B4976" i="1"/>
  <c r="A4976" i="1"/>
  <c r="F4975" i="1" a="1"/>
  <c r="F4975" i="1" s="1"/>
  <c r="E4975" i="1"/>
  <c r="E4975" i="1" a="1"/>
  <c r="D4975" i="1"/>
  <c r="C4975" i="1"/>
  <c r="B4975" i="1"/>
  <c r="A4975" i="1"/>
  <c r="F4974" i="1" a="1"/>
  <c r="F4974" i="1" s="1"/>
  <c r="E4974" i="1" a="1"/>
  <c r="E4974" i="1" s="1"/>
  <c r="D4974" i="1"/>
  <c r="C4974" i="1"/>
  <c r="B4974" i="1"/>
  <c r="A4974" i="1"/>
  <c r="F4973" i="1" a="1"/>
  <c r="F4973" i="1" s="1"/>
  <c r="E4973" i="1" a="1"/>
  <c r="E4973" i="1" s="1"/>
  <c r="D4973" i="1"/>
  <c r="C4973" i="1"/>
  <c r="B4973" i="1"/>
  <c r="A4973" i="1"/>
  <c r="F4972" i="1" a="1"/>
  <c r="F4972" i="1" s="1"/>
  <c r="E4972" i="1" a="1"/>
  <c r="E4972" i="1" s="1"/>
  <c r="D4972" i="1"/>
  <c r="C4972" i="1"/>
  <c r="B4972" i="1"/>
  <c r="A4972" i="1"/>
  <c r="F4971" i="1" a="1"/>
  <c r="F4971" i="1" s="1"/>
  <c r="E4971" i="1" a="1"/>
  <c r="E4971" i="1" s="1"/>
  <c r="D4971" i="1"/>
  <c r="C4971" i="1"/>
  <c r="B4971" i="1"/>
  <c r="A4971" i="1"/>
  <c r="F4970" i="1" a="1"/>
  <c r="F4970" i="1" s="1"/>
  <c r="E4970" i="1" a="1"/>
  <c r="E4970" i="1" s="1"/>
  <c r="D4970" i="1"/>
  <c r="C4970" i="1"/>
  <c r="B4970" i="1"/>
  <c r="A4970" i="1"/>
  <c r="F4969" i="1" a="1"/>
  <c r="F4969" i="1" s="1"/>
  <c r="E4969" i="1" a="1"/>
  <c r="E4969" i="1" s="1"/>
  <c r="D4969" i="1"/>
  <c r="C4969" i="1"/>
  <c r="B4969" i="1"/>
  <c r="A4969" i="1"/>
  <c r="F4968" i="1" a="1"/>
  <c r="F4968" i="1" s="1"/>
  <c r="E4968" i="1" a="1"/>
  <c r="E4968" i="1" s="1"/>
  <c r="D4968" i="1"/>
  <c r="C4968" i="1"/>
  <c r="B4968" i="1"/>
  <c r="A4968" i="1"/>
  <c r="F4967" i="1" a="1"/>
  <c r="F4967" i="1" s="1"/>
  <c r="E4967" i="1"/>
  <c r="E4967" i="1" a="1"/>
  <c r="D4967" i="1"/>
  <c r="C4967" i="1"/>
  <c r="B4967" i="1"/>
  <c r="A4967" i="1"/>
  <c r="F4966" i="1" a="1"/>
  <c r="F4966" i="1" s="1"/>
  <c r="E4966" i="1" a="1"/>
  <c r="E4966" i="1" s="1"/>
  <c r="D4966" i="1"/>
  <c r="C4966" i="1"/>
  <c r="B4966" i="1"/>
  <c r="A4966" i="1"/>
  <c r="F4965" i="1" a="1"/>
  <c r="F4965" i="1" s="1"/>
  <c r="E4965" i="1" a="1"/>
  <c r="E4965" i="1" s="1"/>
  <c r="D4965" i="1"/>
  <c r="C4965" i="1"/>
  <c r="B4965" i="1"/>
  <c r="A4965" i="1"/>
  <c r="F4964" i="1" a="1"/>
  <c r="F4964" i="1" s="1"/>
  <c r="E4964" i="1" a="1"/>
  <c r="E4964" i="1" s="1"/>
  <c r="D4964" i="1"/>
  <c r="C4964" i="1"/>
  <c r="B4964" i="1"/>
  <c r="A4964" i="1"/>
  <c r="F4963" i="1" a="1"/>
  <c r="F4963" i="1" s="1"/>
  <c r="E4963" i="1" a="1"/>
  <c r="E4963" i="1" s="1"/>
  <c r="D4963" i="1"/>
  <c r="C4963" i="1"/>
  <c r="B4963" i="1"/>
  <c r="A4963" i="1"/>
  <c r="F4962" i="1" a="1"/>
  <c r="F4962" i="1" s="1"/>
  <c r="E4962" i="1" a="1"/>
  <c r="E4962" i="1" s="1"/>
  <c r="D4962" i="1"/>
  <c r="C4962" i="1"/>
  <c r="B4962" i="1"/>
  <c r="A4962" i="1"/>
  <c r="F4961" i="1" a="1"/>
  <c r="F4961" i="1" s="1"/>
  <c r="E4961" i="1" a="1"/>
  <c r="E4961" i="1" s="1"/>
  <c r="D4961" i="1"/>
  <c r="C4961" i="1"/>
  <c r="B4961" i="1"/>
  <c r="A4961" i="1"/>
  <c r="F4960" i="1" a="1"/>
  <c r="F4960" i="1" s="1"/>
  <c r="E4960" i="1" a="1"/>
  <c r="E4960" i="1" s="1"/>
  <c r="D4960" i="1"/>
  <c r="C4960" i="1"/>
  <c r="B4960" i="1"/>
  <c r="A4960" i="1"/>
  <c r="F4959" i="1" a="1"/>
  <c r="F4959" i="1" s="1"/>
  <c r="E4959" i="1"/>
  <c r="E4959" i="1" a="1"/>
  <c r="D4959" i="1"/>
  <c r="C4959" i="1"/>
  <c r="B4959" i="1"/>
  <c r="A4959" i="1"/>
  <c r="F4958" i="1" a="1"/>
  <c r="F4958" i="1" s="1"/>
  <c r="E4958" i="1" a="1"/>
  <c r="E4958" i="1" s="1"/>
  <c r="D4958" i="1"/>
  <c r="C4958" i="1"/>
  <c r="B4958" i="1"/>
  <c r="A4958" i="1"/>
  <c r="F4957" i="1" a="1"/>
  <c r="F4957" i="1" s="1"/>
  <c r="E4957" i="1" a="1"/>
  <c r="E4957" i="1" s="1"/>
  <c r="D4957" i="1"/>
  <c r="C4957" i="1"/>
  <c r="B4957" i="1"/>
  <c r="A4957" i="1"/>
  <c r="F4956" i="1" a="1"/>
  <c r="F4956" i="1" s="1"/>
  <c r="E4956" i="1" a="1"/>
  <c r="E4956" i="1" s="1"/>
  <c r="D4956" i="1"/>
  <c r="C4956" i="1"/>
  <c r="B4956" i="1"/>
  <c r="A4956" i="1"/>
  <c r="F4955" i="1" a="1"/>
  <c r="F4955" i="1" s="1"/>
  <c r="E4955" i="1" a="1"/>
  <c r="E4955" i="1" s="1"/>
  <c r="D4955" i="1"/>
  <c r="C4955" i="1"/>
  <c r="B4955" i="1"/>
  <c r="A4955" i="1"/>
  <c r="F4954" i="1" a="1"/>
  <c r="F4954" i="1" s="1"/>
  <c r="E4954" i="1" a="1"/>
  <c r="E4954" i="1" s="1"/>
  <c r="D4954" i="1"/>
  <c r="C4954" i="1"/>
  <c r="B4954" i="1"/>
  <c r="A4954" i="1"/>
  <c r="F4953" i="1" a="1"/>
  <c r="F4953" i="1" s="1"/>
  <c r="E4953" i="1" a="1"/>
  <c r="E4953" i="1" s="1"/>
  <c r="D4953" i="1"/>
  <c r="C4953" i="1"/>
  <c r="B4953" i="1"/>
  <c r="A4953" i="1"/>
  <c r="F4952" i="1" a="1"/>
  <c r="F4952" i="1" s="1"/>
  <c r="E4952" i="1" a="1"/>
  <c r="E4952" i="1" s="1"/>
  <c r="D4952" i="1"/>
  <c r="C4952" i="1"/>
  <c r="B4952" i="1"/>
  <c r="A4952" i="1"/>
  <c r="F4951" i="1" a="1"/>
  <c r="F4951" i="1" s="1"/>
  <c r="E4951" i="1"/>
  <c r="E4951" i="1" a="1"/>
  <c r="D4951" i="1"/>
  <c r="C4951" i="1"/>
  <c r="B4951" i="1"/>
  <c r="A4951" i="1"/>
  <c r="F4950" i="1" a="1"/>
  <c r="F4950" i="1" s="1"/>
  <c r="E4950" i="1" a="1"/>
  <c r="E4950" i="1" s="1"/>
  <c r="D4950" i="1"/>
  <c r="C4950" i="1"/>
  <c r="B4950" i="1"/>
  <c r="A4950" i="1"/>
  <c r="F4949" i="1" a="1"/>
  <c r="F4949" i="1" s="1"/>
  <c r="E4949" i="1" a="1"/>
  <c r="E4949" i="1" s="1"/>
  <c r="D4949" i="1"/>
  <c r="C4949" i="1"/>
  <c r="B4949" i="1"/>
  <c r="A4949" i="1"/>
  <c r="F4948" i="1" a="1"/>
  <c r="F4948" i="1" s="1"/>
  <c r="E4948" i="1" a="1"/>
  <c r="E4948" i="1" s="1"/>
  <c r="D4948" i="1"/>
  <c r="C4948" i="1"/>
  <c r="B4948" i="1"/>
  <c r="A4948" i="1"/>
  <c r="F4947" i="1" a="1"/>
  <c r="F4947" i="1" s="1"/>
  <c r="E4947" i="1" a="1"/>
  <c r="E4947" i="1" s="1"/>
  <c r="D4947" i="1"/>
  <c r="C4947" i="1"/>
  <c r="B4947" i="1"/>
  <c r="A4947" i="1"/>
  <c r="F4946" i="1" a="1"/>
  <c r="F4946" i="1" s="1"/>
  <c r="E4946" i="1" a="1"/>
  <c r="E4946" i="1" s="1"/>
  <c r="D4946" i="1"/>
  <c r="C4946" i="1"/>
  <c r="B4946" i="1"/>
  <c r="A4946" i="1"/>
  <c r="F4945" i="1" a="1"/>
  <c r="F4945" i="1" s="1"/>
  <c r="E4945" i="1" a="1"/>
  <c r="E4945" i="1" s="1"/>
  <c r="D4945" i="1"/>
  <c r="C4945" i="1"/>
  <c r="B4945" i="1"/>
  <c r="A4945" i="1"/>
  <c r="F4944" i="1" a="1"/>
  <c r="F4944" i="1" s="1"/>
  <c r="E4944" i="1" a="1"/>
  <c r="E4944" i="1" s="1"/>
  <c r="D4944" i="1"/>
  <c r="C4944" i="1"/>
  <c r="B4944" i="1"/>
  <c r="A4944" i="1"/>
  <c r="F4943" i="1" a="1"/>
  <c r="F4943" i="1" s="1"/>
  <c r="E4943" i="1"/>
  <c r="E4943" i="1" a="1"/>
  <c r="D4943" i="1"/>
  <c r="C4943" i="1"/>
  <c r="B4943" i="1"/>
  <c r="A4943" i="1"/>
  <c r="F4942" i="1" a="1"/>
  <c r="F4942" i="1" s="1"/>
  <c r="E4942" i="1" a="1"/>
  <c r="E4942" i="1" s="1"/>
  <c r="D4942" i="1"/>
  <c r="C4942" i="1"/>
  <c r="B4942" i="1"/>
  <c r="A4942" i="1"/>
  <c r="F4941" i="1" a="1"/>
  <c r="F4941" i="1" s="1"/>
  <c r="E4941" i="1" a="1"/>
  <c r="E4941" i="1" s="1"/>
  <c r="D4941" i="1"/>
  <c r="C4941" i="1"/>
  <c r="B4941" i="1"/>
  <c r="A4941" i="1"/>
  <c r="F4940" i="1" a="1"/>
  <c r="F4940" i="1" s="1"/>
  <c r="E4940" i="1" a="1"/>
  <c r="E4940" i="1" s="1"/>
  <c r="D4940" i="1"/>
  <c r="C4940" i="1"/>
  <c r="B4940" i="1"/>
  <c r="A4940" i="1"/>
  <c r="F4939" i="1" a="1"/>
  <c r="F4939" i="1" s="1"/>
  <c r="E4939" i="1" a="1"/>
  <c r="E4939" i="1" s="1"/>
  <c r="D4939" i="1"/>
  <c r="C4939" i="1"/>
  <c r="B4939" i="1"/>
  <c r="A4939" i="1"/>
  <c r="F4938" i="1" a="1"/>
  <c r="F4938" i="1" s="1"/>
  <c r="E4938" i="1" a="1"/>
  <c r="E4938" i="1" s="1"/>
  <c r="D4938" i="1"/>
  <c r="C4938" i="1"/>
  <c r="B4938" i="1"/>
  <c r="A4938" i="1"/>
  <c r="F4937" i="1" a="1"/>
  <c r="F4937" i="1" s="1"/>
  <c r="E4937" i="1"/>
  <c r="E4937" i="1" a="1"/>
  <c r="D4937" i="1"/>
  <c r="C4937" i="1"/>
  <c r="B4937" i="1"/>
  <c r="A4937" i="1"/>
  <c r="F4936" i="1" a="1"/>
  <c r="F4936" i="1" s="1"/>
  <c r="E4936" i="1" a="1"/>
  <c r="E4936" i="1" s="1"/>
  <c r="D4936" i="1"/>
  <c r="C4936" i="1"/>
  <c r="B4936" i="1"/>
  <c r="A4936" i="1"/>
  <c r="F4935" i="1" a="1"/>
  <c r="F4935" i="1" s="1"/>
  <c r="E4935" i="1"/>
  <c r="E4935" i="1" a="1"/>
  <c r="D4935" i="1"/>
  <c r="C4935" i="1"/>
  <c r="B4935" i="1"/>
  <c r="A4935" i="1"/>
  <c r="F4934" i="1" a="1"/>
  <c r="F4934" i="1" s="1"/>
  <c r="E4934" i="1" a="1"/>
  <c r="E4934" i="1" s="1"/>
  <c r="D4934" i="1"/>
  <c r="C4934" i="1"/>
  <c r="B4934" i="1"/>
  <c r="A4934" i="1"/>
  <c r="F4933" i="1" a="1"/>
  <c r="F4933" i="1" s="1"/>
  <c r="E4933" i="1" a="1"/>
  <c r="E4933" i="1" s="1"/>
  <c r="D4933" i="1"/>
  <c r="C4933" i="1"/>
  <c r="B4933" i="1"/>
  <c r="A4933" i="1"/>
  <c r="F4932" i="1" a="1"/>
  <c r="F4932" i="1" s="1"/>
  <c r="E4932" i="1" a="1"/>
  <c r="E4932" i="1" s="1"/>
  <c r="D4932" i="1"/>
  <c r="C4932" i="1"/>
  <c r="B4932" i="1"/>
  <c r="A4932" i="1"/>
  <c r="F4931" i="1" a="1"/>
  <c r="F4931" i="1" s="1"/>
  <c r="E4931" i="1" a="1"/>
  <c r="E4931" i="1" s="1"/>
  <c r="D4931" i="1"/>
  <c r="C4931" i="1"/>
  <c r="B4931" i="1"/>
  <c r="A4931" i="1"/>
  <c r="F4930" i="1" a="1"/>
  <c r="F4930" i="1" s="1"/>
  <c r="E4930" i="1" a="1"/>
  <c r="E4930" i="1" s="1"/>
  <c r="D4930" i="1"/>
  <c r="C4930" i="1"/>
  <c r="B4930" i="1"/>
  <c r="A4930" i="1"/>
  <c r="F4929" i="1" a="1"/>
  <c r="F4929" i="1" s="1"/>
  <c r="E4929" i="1" a="1"/>
  <c r="E4929" i="1" s="1"/>
  <c r="D4929" i="1"/>
  <c r="C4929" i="1"/>
  <c r="B4929" i="1"/>
  <c r="A4929" i="1"/>
  <c r="F4928" i="1" a="1"/>
  <c r="F4928" i="1" s="1"/>
  <c r="E4928" i="1" a="1"/>
  <c r="E4928" i="1" s="1"/>
  <c r="D4928" i="1"/>
  <c r="C4928" i="1"/>
  <c r="B4928" i="1"/>
  <c r="A4928" i="1"/>
  <c r="F4927" i="1" a="1"/>
  <c r="F4927" i="1" s="1"/>
  <c r="E4927" i="1"/>
  <c r="E4927" i="1" a="1"/>
  <c r="D4927" i="1"/>
  <c r="C4927" i="1"/>
  <c r="B4927" i="1"/>
  <c r="A4927" i="1"/>
  <c r="F4926" i="1" a="1"/>
  <c r="F4926" i="1" s="1"/>
  <c r="E4926" i="1" a="1"/>
  <c r="E4926" i="1" s="1"/>
  <c r="D4926" i="1"/>
  <c r="C4926" i="1"/>
  <c r="B4926" i="1"/>
  <c r="A4926" i="1"/>
  <c r="F4925" i="1" a="1"/>
  <c r="F4925" i="1" s="1"/>
  <c r="E4925" i="1" a="1"/>
  <c r="E4925" i="1" s="1"/>
  <c r="D4925" i="1"/>
  <c r="C4925" i="1"/>
  <c r="B4925" i="1"/>
  <c r="A4925" i="1"/>
  <c r="F4924" i="1" a="1"/>
  <c r="F4924" i="1" s="1"/>
  <c r="E4924" i="1" a="1"/>
  <c r="E4924" i="1" s="1"/>
  <c r="D4924" i="1"/>
  <c r="C4924" i="1"/>
  <c r="B4924" i="1"/>
  <c r="A4924" i="1"/>
  <c r="F4923" i="1" a="1"/>
  <c r="F4923" i="1" s="1"/>
  <c r="E4923" i="1" a="1"/>
  <c r="E4923" i="1" s="1"/>
  <c r="D4923" i="1"/>
  <c r="C4923" i="1"/>
  <c r="B4923" i="1"/>
  <c r="A4923" i="1"/>
  <c r="F4922" i="1" a="1"/>
  <c r="F4922" i="1" s="1"/>
  <c r="E4922" i="1" a="1"/>
  <c r="E4922" i="1" s="1"/>
  <c r="D4922" i="1"/>
  <c r="C4922" i="1"/>
  <c r="B4922" i="1"/>
  <c r="A4922" i="1"/>
  <c r="F4921" i="1" a="1"/>
  <c r="F4921" i="1" s="1"/>
  <c r="E4921" i="1" a="1"/>
  <c r="E4921" i="1" s="1"/>
  <c r="D4921" i="1"/>
  <c r="C4921" i="1"/>
  <c r="B4921" i="1"/>
  <c r="A4921" i="1"/>
  <c r="F4920" i="1" a="1"/>
  <c r="F4920" i="1" s="1"/>
  <c r="E4920" i="1" a="1"/>
  <c r="E4920" i="1" s="1"/>
  <c r="D4920" i="1"/>
  <c r="C4920" i="1"/>
  <c r="B4920" i="1"/>
  <c r="A4920" i="1"/>
  <c r="F4919" i="1" a="1"/>
  <c r="F4919" i="1" s="1"/>
  <c r="E4919" i="1"/>
  <c r="E4919" i="1" a="1"/>
  <c r="D4919" i="1"/>
  <c r="C4919" i="1"/>
  <c r="B4919" i="1"/>
  <c r="A4919" i="1"/>
  <c r="F4918" i="1" a="1"/>
  <c r="F4918" i="1" s="1"/>
  <c r="E4918" i="1" a="1"/>
  <c r="E4918" i="1" s="1"/>
  <c r="D4918" i="1"/>
  <c r="C4918" i="1"/>
  <c r="B4918" i="1"/>
  <c r="A4918" i="1"/>
  <c r="F4917" i="1" a="1"/>
  <c r="F4917" i="1" s="1"/>
  <c r="E4917" i="1" a="1"/>
  <c r="E4917" i="1" s="1"/>
  <c r="D4917" i="1"/>
  <c r="C4917" i="1"/>
  <c r="B4917" i="1"/>
  <c r="A4917" i="1"/>
  <c r="F4916" i="1" a="1"/>
  <c r="F4916" i="1" s="1"/>
  <c r="E4916" i="1" a="1"/>
  <c r="E4916" i="1" s="1"/>
  <c r="D4916" i="1"/>
  <c r="C4916" i="1"/>
  <c r="B4916" i="1"/>
  <c r="A4916" i="1"/>
  <c r="F4915" i="1" a="1"/>
  <c r="F4915" i="1" s="1"/>
  <c r="E4915" i="1" a="1"/>
  <c r="E4915" i="1" s="1"/>
  <c r="D4915" i="1"/>
  <c r="C4915" i="1"/>
  <c r="B4915" i="1"/>
  <c r="A4915" i="1"/>
  <c r="F4914" i="1" a="1"/>
  <c r="F4914" i="1" s="1"/>
  <c r="E4914" i="1" a="1"/>
  <c r="E4914" i="1" s="1"/>
  <c r="D4914" i="1"/>
  <c r="C4914" i="1"/>
  <c r="B4914" i="1"/>
  <c r="A4914" i="1"/>
  <c r="F4913" i="1" a="1"/>
  <c r="F4913" i="1" s="1"/>
  <c r="E4913" i="1" a="1"/>
  <c r="E4913" i="1" s="1"/>
  <c r="D4913" i="1"/>
  <c r="C4913" i="1"/>
  <c r="B4913" i="1"/>
  <c r="A4913" i="1"/>
  <c r="F4912" i="1" a="1"/>
  <c r="F4912" i="1" s="1"/>
  <c r="E4912" i="1" a="1"/>
  <c r="E4912" i="1" s="1"/>
  <c r="D4912" i="1"/>
  <c r="C4912" i="1"/>
  <c r="B4912" i="1"/>
  <c r="A4912" i="1"/>
  <c r="F4911" i="1" a="1"/>
  <c r="F4911" i="1" s="1"/>
  <c r="E4911" i="1"/>
  <c r="E4911" i="1" a="1"/>
  <c r="D4911" i="1"/>
  <c r="C4911" i="1"/>
  <c r="B4911" i="1"/>
  <c r="A4911" i="1"/>
  <c r="F4910" i="1" a="1"/>
  <c r="F4910" i="1" s="1"/>
  <c r="E4910" i="1" a="1"/>
  <c r="E4910" i="1" s="1"/>
  <c r="D4910" i="1"/>
  <c r="C4910" i="1"/>
  <c r="B4910" i="1"/>
  <c r="A4910" i="1"/>
  <c r="F4909" i="1" a="1"/>
  <c r="F4909" i="1" s="1"/>
  <c r="E4909" i="1" a="1"/>
  <c r="E4909" i="1" s="1"/>
  <c r="D4909" i="1"/>
  <c r="C4909" i="1"/>
  <c r="B4909" i="1"/>
  <c r="A4909" i="1"/>
  <c r="F4908" i="1" a="1"/>
  <c r="F4908" i="1" s="1"/>
  <c r="E4908" i="1" a="1"/>
  <c r="E4908" i="1" s="1"/>
  <c r="D4908" i="1"/>
  <c r="C4908" i="1"/>
  <c r="B4908" i="1"/>
  <c r="A4908" i="1"/>
  <c r="F4907" i="1" a="1"/>
  <c r="F4907" i="1" s="1"/>
  <c r="E4907" i="1" a="1"/>
  <c r="E4907" i="1" s="1"/>
  <c r="D4907" i="1"/>
  <c r="C4907" i="1"/>
  <c r="B4907" i="1"/>
  <c r="A4907" i="1"/>
  <c r="F4906" i="1" a="1"/>
  <c r="F4906" i="1" s="1"/>
  <c r="E4906" i="1" a="1"/>
  <c r="E4906" i="1" s="1"/>
  <c r="D4906" i="1"/>
  <c r="C4906" i="1"/>
  <c r="B4906" i="1"/>
  <c r="A4906" i="1"/>
  <c r="F4905" i="1" a="1"/>
  <c r="F4905" i="1" s="1"/>
  <c r="E4905" i="1" a="1"/>
  <c r="E4905" i="1" s="1"/>
  <c r="D4905" i="1"/>
  <c r="C4905" i="1"/>
  <c r="B4905" i="1"/>
  <c r="A4905" i="1"/>
  <c r="F4904" i="1" a="1"/>
  <c r="F4904" i="1" s="1"/>
  <c r="E4904" i="1" a="1"/>
  <c r="E4904" i="1" s="1"/>
  <c r="D4904" i="1"/>
  <c r="C4904" i="1"/>
  <c r="B4904" i="1"/>
  <c r="A4904" i="1"/>
  <c r="F4903" i="1" a="1"/>
  <c r="F4903" i="1" s="1"/>
  <c r="E4903" i="1"/>
  <c r="E4903" i="1" a="1"/>
  <c r="D4903" i="1"/>
  <c r="C4903" i="1"/>
  <c r="B4903" i="1"/>
  <c r="A4903" i="1"/>
  <c r="F4902" i="1" a="1"/>
  <c r="F4902" i="1" s="1"/>
  <c r="E4902" i="1" a="1"/>
  <c r="E4902" i="1" s="1"/>
  <c r="D4902" i="1"/>
  <c r="C4902" i="1"/>
  <c r="B4902" i="1"/>
  <c r="A4902" i="1"/>
  <c r="F4901" i="1" a="1"/>
  <c r="F4901" i="1" s="1"/>
  <c r="E4901" i="1" a="1"/>
  <c r="E4901" i="1" s="1"/>
  <c r="D4901" i="1"/>
  <c r="C4901" i="1"/>
  <c r="B4901" i="1"/>
  <c r="A4901" i="1"/>
  <c r="F4900" i="1" a="1"/>
  <c r="F4900" i="1" s="1"/>
  <c r="E4900" i="1" a="1"/>
  <c r="E4900" i="1" s="1"/>
  <c r="D4900" i="1"/>
  <c r="C4900" i="1"/>
  <c r="B4900" i="1"/>
  <c r="A4900" i="1"/>
  <c r="F4899" i="1" a="1"/>
  <c r="F4899" i="1" s="1"/>
  <c r="E4899" i="1" a="1"/>
  <c r="E4899" i="1" s="1"/>
  <c r="D4899" i="1"/>
  <c r="C4899" i="1"/>
  <c r="B4899" i="1"/>
  <c r="A4899" i="1"/>
  <c r="F4898" i="1" a="1"/>
  <c r="F4898" i="1" s="1"/>
  <c r="E4898" i="1" a="1"/>
  <c r="E4898" i="1" s="1"/>
  <c r="D4898" i="1"/>
  <c r="C4898" i="1"/>
  <c r="B4898" i="1"/>
  <c r="A4898" i="1"/>
  <c r="F4897" i="1" a="1"/>
  <c r="F4897" i="1" s="1"/>
  <c r="E4897" i="1" a="1"/>
  <c r="E4897" i="1" s="1"/>
  <c r="D4897" i="1"/>
  <c r="C4897" i="1"/>
  <c r="B4897" i="1"/>
  <c r="A4897" i="1"/>
  <c r="F4896" i="1" a="1"/>
  <c r="F4896" i="1" s="1"/>
  <c r="E4896" i="1" a="1"/>
  <c r="E4896" i="1" s="1"/>
  <c r="D4896" i="1"/>
  <c r="C4896" i="1"/>
  <c r="B4896" i="1"/>
  <c r="A4896" i="1"/>
  <c r="F4895" i="1" a="1"/>
  <c r="F4895" i="1" s="1"/>
  <c r="E4895" i="1"/>
  <c r="E4895" i="1" a="1"/>
  <c r="D4895" i="1"/>
  <c r="C4895" i="1"/>
  <c r="B4895" i="1"/>
  <c r="A4895" i="1"/>
  <c r="F4894" i="1" a="1"/>
  <c r="F4894" i="1" s="1"/>
  <c r="E4894" i="1" a="1"/>
  <c r="E4894" i="1" s="1"/>
  <c r="D4894" i="1"/>
  <c r="C4894" i="1"/>
  <c r="B4894" i="1"/>
  <c r="A4894" i="1"/>
  <c r="F4893" i="1" a="1"/>
  <c r="F4893" i="1" s="1"/>
  <c r="E4893" i="1" a="1"/>
  <c r="E4893" i="1" s="1"/>
  <c r="D4893" i="1"/>
  <c r="C4893" i="1"/>
  <c r="B4893" i="1"/>
  <c r="A4893" i="1"/>
  <c r="F4892" i="1" a="1"/>
  <c r="F4892" i="1" s="1"/>
  <c r="E4892" i="1" a="1"/>
  <c r="E4892" i="1" s="1"/>
  <c r="D4892" i="1"/>
  <c r="C4892" i="1"/>
  <c r="B4892" i="1"/>
  <c r="A4892" i="1"/>
  <c r="F4891" i="1" a="1"/>
  <c r="F4891" i="1" s="1"/>
  <c r="E4891" i="1" a="1"/>
  <c r="E4891" i="1" s="1"/>
  <c r="D4891" i="1"/>
  <c r="C4891" i="1"/>
  <c r="B4891" i="1"/>
  <c r="A4891" i="1"/>
  <c r="F4890" i="1" a="1"/>
  <c r="F4890" i="1" s="1"/>
  <c r="E4890" i="1" a="1"/>
  <c r="E4890" i="1" s="1"/>
  <c r="D4890" i="1"/>
  <c r="C4890" i="1"/>
  <c r="B4890" i="1"/>
  <c r="A4890" i="1"/>
  <c r="F4889" i="1" a="1"/>
  <c r="F4889" i="1" s="1"/>
  <c r="E4889" i="1" a="1"/>
  <c r="E4889" i="1" s="1"/>
  <c r="D4889" i="1"/>
  <c r="C4889" i="1"/>
  <c r="B4889" i="1"/>
  <c r="A4889" i="1"/>
  <c r="F4888" i="1" a="1"/>
  <c r="F4888" i="1" s="1"/>
  <c r="E4888" i="1" a="1"/>
  <c r="E4888" i="1" s="1"/>
  <c r="D4888" i="1"/>
  <c r="C4888" i="1"/>
  <c r="B4888" i="1"/>
  <c r="A4888" i="1"/>
  <c r="F4887" i="1" a="1"/>
  <c r="F4887" i="1" s="1"/>
  <c r="E4887" i="1"/>
  <c r="E4887" i="1" a="1"/>
  <c r="D4887" i="1"/>
  <c r="C4887" i="1"/>
  <c r="B4887" i="1"/>
  <c r="A4887" i="1"/>
  <c r="F4886" i="1" a="1"/>
  <c r="F4886" i="1" s="1"/>
  <c r="E4886" i="1" a="1"/>
  <c r="E4886" i="1" s="1"/>
  <c r="D4886" i="1"/>
  <c r="C4886" i="1"/>
  <c r="B4886" i="1"/>
  <c r="A4886" i="1"/>
  <c r="F4885" i="1" a="1"/>
  <c r="F4885" i="1" s="1"/>
  <c r="E4885" i="1"/>
  <c r="E4885" i="1" a="1"/>
  <c r="D4885" i="1"/>
  <c r="C4885" i="1"/>
  <c r="B4885" i="1"/>
  <c r="A4885" i="1"/>
  <c r="F4884" i="1" a="1"/>
  <c r="F4884" i="1" s="1"/>
  <c r="E4884" i="1" a="1"/>
  <c r="E4884" i="1" s="1"/>
  <c r="D4884" i="1"/>
  <c r="C4884" i="1"/>
  <c r="B4884" i="1"/>
  <c r="A4884" i="1"/>
  <c r="F4883" i="1" a="1"/>
  <c r="F4883" i="1" s="1"/>
  <c r="E4883" i="1" a="1"/>
  <c r="E4883" i="1" s="1"/>
  <c r="D4883" i="1"/>
  <c r="C4883" i="1"/>
  <c r="B4883" i="1"/>
  <c r="A4883" i="1"/>
  <c r="F4882" i="1" a="1"/>
  <c r="F4882" i="1" s="1"/>
  <c r="E4882" i="1" a="1"/>
  <c r="E4882" i="1" s="1"/>
  <c r="D4882" i="1"/>
  <c r="C4882" i="1"/>
  <c r="B4882" i="1"/>
  <c r="A4882" i="1"/>
  <c r="F4881" i="1" a="1"/>
  <c r="F4881" i="1" s="1"/>
  <c r="E4881" i="1" a="1"/>
  <c r="E4881" i="1" s="1"/>
  <c r="D4881" i="1"/>
  <c r="C4881" i="1"/>
  <c r="B4881" i="1"/>
  <c r="A4881" i="1"/>
  <c r="F4880" i="1" a="1"/>
  <c r="F4880" i="1" s="1"/>
  <c r="E4880" i="1" a="1"/>
  <c r="E4880" i="1" s="1"/>
  <c r="D4880" i="1"/>
  <c r="C4880" i="1"/>
  <c r="B4880" i="1"/>
  <c r="A4880" i="1"/>
  <c r="F4879" i="1" a="1"/>
  <c r="F4879" i="1" s="1"/>
  <c r="E4879" i="1"/>
  <c r="E4879" i="1" a="1"/>
  <c r="D4879" i="1"/>
  <c r="C4879" i="1"/>
  <c r="B4879" i="1"/>
  <c r="A4879" i="1"/>
  <c r="F4878" i="1" a="1"/>
  <c r="F4878" i="1" s="1"/>
  <c r="E4878" i="1" a="1"/>
  <c r="E4878" i="1" s="1"/>
  <c r="D4878" i="1"/>
  <c r="C4878" i="1"/>
  <c r="B4878" i="1"/>
  <c r="A4878" i="1"/>
  <c r="F4877" i="1" a="1"/>
  <c r="F4877" i="1" s="1"/>
  <c r="E4877" i="1" a="1"/>
  <c r="E4877" i="1" s="1"/>
  <c r="D4877" i="1"/>
  <c r="C4877" i="1"/>
  <c r="B4877" i="1"/>
  <c r="A4877" i="1"/>
  <c r="F4876" i="1" a="1"/>
  <c r="F4876" i="1" s="1"/>
  <c r="E4876" i="1" a="1"/>
  <c r="E4876" i="1" s="1"/>
  <c r="D4876" i="1"/>
  <c r="C4876" i="1"/>
  <c r="B4876" i="1"/>
  <c r="A4876" i="1"/>
  <c r="F4875" i="1" a="1"/>
  <c r="F4875" i="1" s="1"/>
  <c r="E4875" i="1" a="1"/>
  <c r="E4875" i="1" s="1"/>
  <c r="D4875" i="1"/>
  <c r="C4875" i="1"/>
  <c r="B4875" i="1"/>
  <c r="A4875" i="1"/>
  <c r="F4874" i="1" a="1"/>
  <c r="F4874" i="1" s="1"/>
  <c r="E4874" i="1" a="1"/>
  <c r="E4874" i="1" s="1"/>
  <c r="D4874" i="1"/>
  <c r="C4874" i="1"/>
  <c r="B4874" i="1"/>
  <c r="A4874" i="1"/>
  <c r="F4873" i="1" a="1"/>
  <c r="F4873" i="1" s="1"/>
  <c r="E4873" i="1" a="1"/>
  <c r="E4873" i="1" s="1"/>
  <c r="D4873" i="1"/>
  <c r="C4873" i="1"/>
  <c r="B4873" i="1"/>
  <c r="A4873" i="1"/>
  <c r="F4872" i="1" a="1"/>
  <c r="F4872" i="1" s="1"/>
  <c r="E4872" i="1" a="1"/>
  <c r="E4872" i="1" s="1"/>
  <c r="D4872" i="1"/>
  <c r="C4872" i="1"/>
  <c r="B4872" i="1"/>
  <c r="A4872" i="1"/>
  <c r="F4871" i="1" a="1"/>
  <c r="F4871" i="1" s="1"/>
  <c r="E4871" i="1"/>
  <c r="E4871" i="1" a="1"/>
  <c r="D4871" i="1"/>
  <c r="C4871" i="1"/>
  <c r="B4871" i="1"/>
  <c r="A4871" i="1"/>
  <c r="F4870" i="1" a="1"/>
  <c r="F4870" i="1" s="1"/>
  <c r="E4870" i="1" a="1"/>
  <c r="E4870" i="1" s="1"/>
  <c r="D4870" i="1"/>
  <c r="C4870" i="1"/>
  <c r="B4870" i="1"/>
  <c r="A4870" i="1"/>
  <c r="F4869" i="1" a="1"/>
  <c r="F4869" i="1" s="1"/>
  <c r="E4869" i="1" a="1"/>
  <c r="E4869" i="1" s="1"/>
  <c r="D4869" i="1"/>
  <c r="C4869" i="1"/>
  <c r="B4869" i="1"/>
  <c r="A4869" i="1"/>
  <c r="F4868" i="1" a="1"/>
  <c r="F4868" i="1" s="1"/>
  <c r="E4868" i="1" a="1"/>
  <c r="E4868" i="1" s="1"/>
  <c r="D4868" i="1"/>
  <c r="C4868" i="1"/>
  <c r="B4868" i="1"/>
  <c r="A4868" i="1"/>
  <c r="F4867" i="1" a="1"/>
  <c r="F4867" i="1" s="1"/>
  <c r="E4867" i="1" a="1"/>
  <c r="E4867" i="1" s="1"/>
  <c r="D4867" i="1"/>
  <c r="C4867" i="1"/>
  <c r="B4867" i="1"/>
  <c r="A4867" i="1"/>
  <c r="F4866" i="1" a="1"/>
  <c r="F4866" i="1" s="1"/>
  <c r="E4866" i="1" a="1"/>
  <c r="E4866" i="1" s="1"/>
  <c r="D4866" i="1"/>
  <c r="C4866" i="1"/>
  <c r="B4866" i="1"/>
  <c r="A4866" i="1"/>
  <c r="F4865" i="1" a="1"/>
  <c r="F4865" i="1" s="1"/>
  <c r="E4865" i="1" a="1"/>
  <c r="E4865" i="1" s="1"/>
  <c r="D4865" i="1"/>
  <c r="C4865" i="1"/>
  <c r="B4865" i="1"/>
  <c r="A4865" i="1"/>
  <c r="F4864" i="1" a="1"/>
  <c r="F4864" i="1" s="1"/>
  <c r="E4864" i="1" a="1"/>
  <c r="E4864" i="1" s="1"/>
  <c r="D4864" i="1"/>
  <c r="C4864" i="1"/>
  <c r="B4864" i="1"/>
  <c r="A4864" i="1"/>
  <c r="F4863" i="1" a="1"/>
  <c r="F4863" i="1" s="1"/>
  <c r="E4863" i="1"/>
  <c r="E4863" i="1" a="1"/>
  <c r="D4863" i="1"/>
  <c r="C4863" i="1"/>
  <c r="B4863" i="1"/>
  <c r="A4863" i="1"/>
  <c r="F4862" i="1" a="1"/>
  <c r="F4862" i="1" s="1"/>
  <c r="E4862" i="1" a="1"/>
  <c r="E4862" i="1" s="1"/>
  <c r="D4862" i="1"/>
  <c r="C4862" i="1"/>
  <c r="B4862" i="1"/>
  <c r="A4862" i="1"/>
  <c r="F4861" i="1" a="1"/>
  <c r="F4861" i="1" s="1"/>
  <c r="E4861" i="1" a="1"/>
  <c r="E4861" i="1" s="1"/>
  <c r="D4861" i="1"/>
  <c r="C4861" i="1"/>
  <c r="B4861" i="1"/>
  <c r="A4861" i="1"/>
  <c r="F4860" i="1" a="1"/>
  <c r="F4860" i="1" s="1"/>
  <c r="E4860" i="1" a="1"/>
  <c r="E4860" i="1" s="1"/>
  <c r="D4860" i="1"/>
  <c r="C4860" i="1"/>
  <c r="B4860" i="1"/>
  <c r="A4860" i="1"/>
  <c r="F4859" i="1" a="1"/>
  <c r="F4859" i="1" s="1"/>
  <c r="E4859" i="1" a="1"/>
  <c r="E4859" i="1" s="1"/>
  <c r="D4859" i="1"/>
  <c r="C4859" i="1"/>
  <c r="B4859" i="1"/>
  <c r="A4859" i="1"/>
  <c r="F4858" i="1" a="1"/>
  <c r="F4858" i="1" s="1"/>
  <c r="E4858" i="1" a="1"/>
  <c r="E4858" i="1" s="1"/>
  <c r="D4858" i="1"/>
  <c r="C4858" i="1"/>
  <c r="B4858" i="1"/>
  <c r="A4858" i="1"/>
  <c r="F4857" i="1" a="1"/>
  <c r="F4857" i="1" s="1"/>
  <c r="E4857" i="1" a="1"/>
  <c r="E4857" i="1" s="1"/>
  <c r="D4857" i="1"/>
  <c r="C4857" i="1"/>
  <c r="B4857" i="1"/>
  <c r="A4857" i="1"/>
  <c r="F4856" i="1" a="1"/>
  <c r="F4856" i="1" s="1"/>
  <c r="E4856" i="1" a="1"/>
  <c r="E4856" i="1" s="1"/>
  <c r="D4856" i="1"/>
  <c r="C4856" i="1"/>
  <c r="B4856" i="1"/>
  <c r="A4856" i="1"/>
  <c r="F4855" i="1" a="1"/>
  <c r="F4855" i="1" s="1"/>
  <c r="E4855" i="1"/>
  <c r="E4855" i="1" a="1"/>
  <c r="D4855" i="1"/>
  <c r="C4855" i="1"/>
  <c r="B4855" i="1"/>
  <c r="A4855" i="1"/>
  <c r="F4854" i="1" a="1"/>
  <c r="F4854" i="1" s="1"/>
  <c r="E4854" i="1" a="1"/>
  <c r="E4854" i="1" s="1"/>
  <c r="D4854" i="1"/>
  <c r="C4854" i="1"/>
  <c r="B4854" i="1"/>
  <c r="A4854" i="1"/>
  <c r="F4853" i="1" a="1"/>
  <c r="F4853" i="1" s="1"/>
  <c r="E4853" i="1" a="1"/>
  <c r="E4853" i="1" s="1"/>
  <c r="D4853" i="1"/>
  <c r="C4853" i="1"/>
  <c r="B4853" i="1"/>
  <c r="A4853" i="1"/>
  <c r="F4852" i="1" a="1"/>
  <c r="F4852" i="1" s="1"/>
  <c r="E4852" i="1" a="1"/>
  <c r="E4852" i="1" s="1"/>
  <c r="D4852" i="1"/>
  <c r="C4852" i="1"/>
  <c r="B4852" i="1"/>
  <c r="A4852" i="1"/>
  <c r="F4851" i="1" a="1"/>
  <c r="F4851" i="1" s="1"/>
  <c r="E4851" i="1" a="1"/>
  <c r="E4851" i="1" s="1"/>
  <c r="D4851" i="1"/>
  <c r="C4851" i="1"/>
  <c r="B4851" i="1"/>
  <c r="A4851" i="1"/>
  <c r="F4850" i="1" a="1"/>
  <c r="F4850" i="1" s="1"/>
  <c r="E4850" i="1" a="1"/>
  <c r="E4850" i="1" s="1"/>
  <c r="D4850" i="1"/>
  <c r="C4850" i="1"/>
  <c r="B4850" i="1"/>
  <c r="A4850" i="1"/>
  <c r="F4849" i="1" a="1"/>
  <c r="F4849" i="1" s="1"/>
  <c r="E4849" i="1" a="1"/>
  <c r="E4849" i="1" s="1"/>
  <c r="D4849" i="1"/>
  <c r="C4849" i="1"/>
  <c r="B4849" i="1"/>
  <c r="A4849" i="1"/>
  <c r="F4848" i="1" a="1"/>
  <c r="F4848" i="1" s="1"/>
  <c r="E4848" i="1" a="1"/>
  <c r="E4848" i="1" s="1"/>
  <c r="D4848" i="1"/>
  <c r="C4848" i="1"/>
  <c r="B4848" i="1"/>
  <c r="A4848" i="1"/>
  <c r="F4847" i="1" a="1"/>
  <c r="F4847" i="1" s="1"/>
  <c r="E4847" i="1"/>
  <c r="E4847" i="1" a="1"/>
  <c r="D4847" i="1"/>
  <c r="C4847" i="1"/>
  <c r="B4847" i="1"/>
  <c r="A4847" i="1"/>
  <c r="F4846" i="1" a="1"/>
  <c r="F4846" i="1" s="1"/>
  <c r="E4846" i="1" a="1"/>
  <c r="E4846" i="1" s="1"/>
  <c r="D4846" i="1"/>
  <c r="C4846" i="1"/>
  <c r="B4846" i="1"/>
  <c r="A4846" i="1"/>
  <c r="F4845" i="1" a="1"/>
  <c r="F4845" i="1" s="1"/>
  <c r="E4845" i="1" a="1"/>
  <c r="E4845" i="1" s="1"/>
  <c r="D4845" i="1"/>
  <c r="C4845" i="1"/>
  <c r="B4845" i="1"/>
  <c r="A4845" i="1"/>
  <c r="F4844" i="1" a="1"/>
  <c r="F4844" i="1" s="1"/>
  <c r="E4844" i="1" a="1"/>
  <c r="E4844" i="1" s="1"/>
  <c r="D4844" i="1"/>
  <c r="C4844" i="1"/>
  <c r="B4844" i="1"/>
  <c r="A4844" i="1"/>
  <c r="F4843" i="1" a="1"/>
  <c r="F4843" i="1" s="1"/>
  <c r="E4843" i="1" a="1"/>
  <c r="E4843" i="1" s="1"/>
  <c r="D4843" i="1"/>
  <c r="C4843" i="1"/>
  <c r="B4843" i="1"/>
  <c r="A4843" i="1"/>
  <c r="F4842" i="1" a="1"/>
  <c r="F4842" i="1" s="1"/>
  <c r="E4842" i="1" a="1"/>
  <c r="E4842" i="1" s="1"/>
  <c r="D4842" i="1"/>
  <c r="C4842" i="1"/>
  <c r="B4842" i="1"/>
  <c r="A4842" i="1"/>
  <c r="F4841" i="1" a="1"/>
  <c r="F4841" i="1" s="1"/>
  <c r="E4841" i="1" a="1"/>
  <c r="E4841" i="1" s="1"/>
  <c r="D4841" i="1"/>
  <c r="C4841" i="1"/>
  <c r="B4841" i="1"/>
  <c r="A4841" i="1"/>
  <c r="F4840" i="1" a="1"/>
  <c r="F4840" i="1" s="1"/>
  <c r="E4840" i="1" a="1"/>
  <c r="E4840" i="1" s="1"/>
  <c r="D4840" i="1"/>
  <c r="C4840" i="1"/>
  <c r="B4840" i="1"/>
  <c r="A4840" i="1"/>
  <c r="F4839" i="1" a="1"/>
  <c r="F4839" i="1" s="1"/>
  <c r="E4839" i="1"/>
  <c r="E4839" i="1" a="1"/>
  <c r="D4839" i="1"/>
  <c r="C4839" i="1"/>
  <c r="B4839" i="1"/>
  <c r="A4839" i="1"/>
  <c r="F4838" i="1" a="1"/>
  <c r="F4838" i="1" s="1"/>
  <c r="E4838" i="1" a="1"/>
  <c r="E4838" i="1" s="1"/>
  <c r="D4838" i="1"/>
  <c r="C4838" i="1"/>
  <c r="B4838" i="1"/>
  <c r="A4838" i="1"/>
  <c r="F4837" i="1" a="1"/>
  <c r="F4837" i="1" s="1"/>
  <c r="E4837" i="1"/>
  <c r="E4837" i="1" a="1"/>
  <c r="D4837" i="1"/>
  <c r="C4837" i="1"/>
  <c r="B4837" i="1"/>
  <c r="A4837" i="1"/>
  <c r="F4836" i="1" a="1"/>
  <c r="F4836" i="1" s="1"/>
  <c r="E4836" i="1" a="1"/>
  <c r="E4836" i="1" s="1"/>
  <c r="D4836" i="1"/>
  <c r="C4836" i="1"/>
  <c r="B4836" i="1"/>
  <c r="A4836" i="1"/>
  <c r="F4835" i="1" a="1"/>
  <c r="F4835" i="1" s="1"/>
  <c r="E4835" i="1" a="1"/>
  <c r="E4835" i="1" s="1"/>
  <c r="D4835" i="1"/>
  <c r="C4835" i="1"/>
  <c r="B4835" i="1"/>
  <c r="A4835" i="1"/>
  <c r="F4834" i="1" a="1"/>
  <c r="F4834" i="1" s="1"/>
  <c r="E4834" i="1" a="1"/>
  <c r="E4834" i="1" s="1"/>
  <c r="D4834" i="1"/>
  <c r="C4834" i="1"/>
  <c r="B4834" i="1"/>
  <c r="A4834" i="1"/>
  <c r="F4833" i="1" a="1"/>
  <c r="F4833" i="1" s="1"/>
  <c r="E4833" i="1" a="1"/>
  <c r="E4833" i="1" s="1"/>
  <c r="D4833" i="1"/>
  <c r="C4833" i="1"/>
  <c r="B4833" i="1"/>
  <c r="A4833" i="1"/>
  <c r="F4832" i="1" a="1"/>
  <c r="F4832" i="1" s="1"/>
  <c r="E4832" i="1" a="1"/>
  <c r="E4832" i="1" s="1"/>
  <c r="D4832" i="1"/>
  <c r="C4832" i="1"/>
  <c r="B4832" i="1"/>
  <c r="A4832" i="1"/>
  <c r="F4831" i="1" a="1"/>
  <c r="F4831" i="1" s="1"/>
  <c r="E4831" i="1" a="1"/>
  <c r="E4831" i="1" s="1"/>
  <c r="D4831" i="1"/>
  <c r="C4831" i="1"/>
  <c r="B4831" i="1"/>
  <c r="A4831" i="1"/>
  <c r="F4830" i="1" a="1"/>
  <c r="F4830" i="1" s="1"/>
  <c r="E4830" i="1" a="1"/>
  <c r="E4830" i="1" s="1"/>
  <c r="D4830" i="1"/>
  <c r="C4830" i="1"/>
  <c r="B4830" i="1"/>
  <c r="A4830" i="1"/>
  <c r="F4829" i="1" a="1"/>
  <c r="F4829" i="1" s="1"/>
  <c r="E4829" i="1"/>
  <c r="E4829" i="1" a="1"/>
  <c r="D4829" i="1"/>
  <c r="C4829" i="1"/>
  <c r="B4829" i="1"/>
  <c r="A4829" i="1"/>
  <c r="F4828" i="1" a="1"/>
  <c r="F4828" i="1" s="1"/>
  <c r="E4828" i="1" a="1"/>
  <c r="E4828" i="1" s="1"/>
  <c r="D4828" i="1"/>
  <c r="C4828" i="1"/>
  <c r="B4828" i="1"/>
  <c r="A4828" i="1"/>
  <c r="F4827" i="1" a="1"/>
  <c r="F4827" i="1" s="1"/>
  <c r="E4827" i="1" a="1"/>
  <c r="E4827" i="1" s="1"/>
  <c r="D4827" i="1"/>
  <c r="C4827" i="1"/>
  <c r="B4827" i="1"/>
  <c r="A4827" i="1"/>
  <c r="F4826" i="1" a="1"/>
  <c r="F4826" i="1" s="1"/>
  <c r="E4826" i="1" a="1"/>
  <c r="E4826" i="1" s="1"/>
  <c r="D4826" i="1"/>
  <c r="C4826" i="1"/>
  <c r="B4826" i="1"/>
  <c r="A4826" i="1"/>
  <c r="F4825" i="1" a="1"/>
  <c r="F4825" i="1" s="1"/>
  <c r="E4825" i="1" a="1"/>
  <c r="E4825" i="1" s="1"/>
  <c r="D4825" i="1"/>
  <c r="C4825" i="1"/>
  <c r="B4825" i="1"/>
  <c r="A4825" i="1"/>
  <c r="F4824" i="1" a="1"/>
  <c r="F4824" i="1" s="1"/>
  <c r="E4824" i="1" a="1"/>
  <c r="E4824" i="1" s="1"/>
  <c r="D4824" i="1"/>
  <c r="C4824" i="1"/>
  <c r="B4824" i="1"/>
  <c r="A4824" i="1"/>
  <c r="F4823" i="1" a="1"/>
  <c r="F4823" i="1" s="1"/>
  <c r="E4823" i="1"/>
  <c r="E4823" i="1" a="1"/>
  <c r="D4823" i="1"/>
  <c r="C4823" i="1"/>
  <c r="B4823" i="1"/>
  <c r="A4823" i="1"/>
  <c r="F4822" i="1" a="1"/>
  <c r="F4822" i="1" s="1"/>
  <c r="E4822" i="1" a="1"/>
  <c r="E4822" i="1" s="1"/>
  <c r="D4822" i="1"/>
  <c r="C4822" i="1"/>
  <c r="B4822" i="1"/>
  <c r="A4822" i="1"/>
  <c r="F4821" i="1" a="1"/>
  <c r="F4821" i="1" s="1"/>
  <c r="E4821" i="1" a="1"/>
  <c r="E4821" i="1" s="1"/>
  <c r="D4821" i="1"/>
  <c r="C4821" i="1"/>
  <c r="B4821" i="1"/>
  <c r="A4821" i="1"/>
  <c r="F4820" i="1" a="1"/>
  <c r="F4820" i="1" s="1"/>
  <c r="E4820" i="1" a="1"/>
  <c r="E4820" i="1" s="1"/>
  <c r="D4820" i="1"/>
  <c r="C4820" i="1"/>
  <c r="B4820" i="1"/>
  <c r="A4820" i="1"/>
  <c r="F4819" i="1" a="1"/>
  <c r="F4819" i="1" s="1"/>
  <c r="E4819" i="1" a="1"/>
  <c r="E4819" i="1" s="1"/>
  <c r="D4819" i="1"/>
  <c r="C4819" i="1"/>
  <c r="B4819" i="1"/>
  <c r="A4819" i="1"/>
  <c r="F4818" i="1" a="1"/>
  <c r="F4818" i="1" s="1"/>
  <c r="E4818" i="1" a="1"/>
  <c r="E4818" i="1" s="1"/>
  <c r="D4818" i="1"/>
  <c r="C4818" i="1"/>
  <c r="B4818" i="1"/>
  <c r="A4818" i="1"/>
  <c r="F4817" i="1" a="1"/>
  <c r="F4817" i="1" s="1"/>
  <c r="E4817" i="1" a="1"/>
  <c r="E4817" i="1" s="1"/>
  <c r="D4817" i="1"/>
  <c r="C4817" i="1"/>
  <c r="B4817" i="1"/>
  <c r="A4817" i="1"/>
  <c r="F4816" i="1" a="1"/>
  <c r="F4816" i="1" s="1"/>
  <c r="E4816" i="1" a="1"/>
  <c r="E4816" i="1" s="1"/>
  <c r="D4816" i="1"/>
  <c r="C4816" i="1"/>
  <c r="B4816" i="1"/>
  <c r="A4816" i="1"/>
  <c r="F4815" i="1" a="1"/>
  <c r="F4815" i="1" s="1"/>
  <c r="E4815" i="1"/>
  <c r="E4815" i="1" a="1"/>
  <c r="D4815" i="1"/>
  <c r="C4815" i="1"/>
  <c r="B4815" i="1"/>
  <c r="A4815" i="1"/>
  <c r="F4814" i="1" a="1"/>
  <c r="F4814" i="1" s="1"/>
  <c r="E4814" i="1" a="1"/>
  <c r="E4814" i="1" s="1"/>
  <c r="D4814" i="1"/>
  <c r="C4814" i="1"/>
  <c r="B4814" i="1"/>
  <c r="A4814" i="1"/>
  <c r="F4813" i="1" a="1"/>
  <c r="F4813" i="1" s="1"/>
  <c r="E4813" i="1"/>
  <c r="E4813" i="1" a="1"/>
  <c r="D4813" i="1"/>
  <c r="C4813" i="1"/>
  <c r="B4813" i="1"/>
  <c r="A4813" i="1"/>
  <c r="F4812" i="1" a="1"/>
  <c r="F4812" i="1" s="1"/>
  <c r="E4812" i="1" a="1"/>
  <c r="E4812" i="1" s="1"/>
  <c r="D4812" i="1"/>
  <c r="C4812" i="1"/>
  <c r="B4812" i="1"/>
  <c r="A4812" i="1"/>
  <c r="F4811" i="1" a="1"/>
  <c r="F4811" i="1" s="1"/>
  <c r="E4811" i="1" a="1"/>
  <c r="E4811" i="1" s="1"/>
  <c r="D4811" i="1"/>
  <c r="C4811" i="1"/>
  <c r="B4811" i="1"/>
  <c r="A4811" i="1"/>
  <c r="F4810" i="1" a="1"/>
  <c r="F4810" i="1" s="1"/>
  <c r="E4810" i="1" a="1"/>
  <c r="E4810" i="1" s="1"/>
  <c r="D4810" i="1"/>
  <c r="C4810" i="1"/>
  <c r="B4810" i="1"/>
  <c r="A4810" i="1"/>
  <c r="F4809" i="1" a="1"/>
  <c r="F4809" i="1" s="1"/>
  <c r="E4809" i="1" a="1"/>
  <c r="E4809" i="1" s="1"/>
  <c r="D4809" i="1"/>
  <c r="C4809" i="1"/>
  <c r="B4809" i="1"/>
  <c r="A4809" i="1"/>
  <c r="F4808" i="1" a="1"/>
  <c r="F4808" i="1" s="1"/>
  <c r="E4808" i="1" a="1"/>
  <c r="E4808" i="1" s="1"/>
  <c r="D4808" i="1"/>
  <c r="C4808" i="1"/>
  <c r="B4808" i="1"/>
  <c r="A4808" i="1"/>
  <c r="F4807" i="1" a="1"/>
  <c r="F4807" i="1" s="1"/>
  <c r="E4807" i="1"/>
  <c r="E4807" i="1" a="1"/>
  <c r="D4807" i="1"/>
  <c r="C4807" i="1"/>
  <c r="B4807" i="1"/>
  <c r="A4807" i="1"/>
  <c r="F4806" i="1" a="1"/>
  <c r="F4806" i="1" s="1"/>
  <c r="E4806" i="1" a="1"/>
  <c r="E4806" i="1" s="1"/>
  <c r="D4806" i="1"/>
  <c r="C4806" i="1"/>
  <c r="B4806" i="1"/>
  <c r="A4806" i="1"/>
  <c r="F4805" i="1" a="1"/>
  <c r="F4805" i="1" s="1"/>
  <c r="E4805" i="1"/>
  <c r="E4805" i="1" a="1"/>
  <c r="D4805" i="1"/>
  <c r="C4805" i="1"/>
  <c r="B4805" i="1"/>
  <c r="A4805" i="1"/>
  <c r="F4804" i="1" a="1"/>
  <c r="F4804" i="1" s="1"/>
  <c r="E4804" i="1" a="1"/>
  <c r="E4804" i="1" s="1"/>
  <c r="D4804" i="1"/>
  <c r="C4804" i="1"/>
  <c r="B4804" i="1"/>
  <c r="A4804" i="1"/>
  <c r="F4803" i="1" a="1"/>
  <c r="F4803" i="1" s="1"/>
  <c r="E4803" i="1" a="1"/>
  <c r="E4803" i="1" s="1"/>
  <c r="D4803" i="1"/>
  <c r="C4803" i="1"/>
  <c r="B4803" i="1"/>
  <c r="A4803" i="1"/>
  <c r="F4802" i="1" a="1"/>
  <c r="F4802" i="1" s="1"/>
  <c r="E4802" i="1" a="1"/>
  <c r="E4802" i="1" s="1"/>
  <c r="D4802" i="1"/>
  <c r="C4802" i="1"/>
  <c r="B4802" i="1"/>
  <c r="A4802" i="1"/>
  <c r="F4801" i="1" a="1"/>
  <c r="F4801" i="1" s="1"/>
  <c r="E4801" i="1" a="1"/>
  <c r="E4801" i="1" s="1"/>
  <c r="D4801" i="1"/>
  <c r="C4801" i="1"/>
  <c r="B4801" i="1"/>
  <c r="A4801" i="1"/>
  <c r="F4800" i="1" a="1"/>
  <c r="F4800" i="1" s="1"/>
  <c r="E4800" i="1" a="1"/>
  <c r="E4800" i="1" s="1"/>
  <c r="D4800" i="1"/>
  <c r="C4800" i="1"/>
  <c r="B4800" i="1"/>
  <c r="A4800" i="1"/>
  <c r="F4799" i="1" a="1"/>
  <c r="F4799" i="1" s="1"/>
  <c r="E4799" i="1"/>
  <c r="E4799" i="1" a="1"/>
  <c r="D4799" i="1"/>
  <c r="C4799" i="1"/>
  <c r="B4799" i="1"/>
  <c r="A4799" i="1"/>
  <c r="F4798" i="1" a="1"/>
  <c r="F4798" i="1" s="1"/>
  <c r="E4798" i="1" a="1"/>
  <c r="E4798" i="1" s="1"/>
  <c r="D4798" i="1"/>
  <c r="C4798" i="1"/>
  <c r="B4798" i="1"/>
  <c r="A4798" i="1"/>
  <c r="F4797" i="1" a="1"/>
  <c r="F4797" i="1" s="1"/>
  <c r="E4797" i="1" a="1"/>
  <c r="E4797" i="1" s="1"/>
  <c r="D4797" i="1"/>
  <c r="C4797" i="1"/>
  <c r="B4797" i="1"/>
  <c r="A4797" i="1"/>
  <c r="F4796" i="1" a="1"/>
  <c r="F4796" i="1" s="1"/>
  <c r="E4796" i="1" a="1"/>
  <c r="E4796" i="1" s="1"/>
  <c r="D4796" i="1"/>
  <c r="C4796" i="1"/>
  <c r="B4796" i="1"/>
  <c r="A4796" i="1"/>
  <c r="F4795" i="1" a="1"/>
  <c r="F4795" i="1" s="1"/>
  <c r="E4795" i="1" a="1"/>
  <c r="E4795" i="1" s="1"/>
  <c r="D4795" i="1"/>
  <c r="C4795" i="1"/>
  <c r="B4795" i="1"/>
  <c r="A4795" i="1"/>
  <c r="F4794" i="1" a="1"/>
  <c r="F4794" i="1" s="1"/>
  <c r="E4794" i="1" a="1"/>
  <c r="E4794" i="1" s="1"/>
  <c r="D4794" i="1"/>
  <c r="C4794" i="1"/>
  <c r="B4794" i="1"/>
  <c r="A4794" i="1"/>
  <c r="F4793" i="1" a="1"/>
  <c r="F4793" i="1" s="1"/>
  <c r="E4793" i="1" a="1"/>
  <c r="E4793" i="1" s="1"/>
  <c r="D4793" i="1"/>
  <c r="C4793" i="1"/>
  <c r="B4793" i="1"/>
  <c r="A4793" i="1"/>
  <c r="F4792" i="1" a="1"/>
  <c r="F4792" i="1" s="1"/>
  <c r="E4792" i="1" a="1"/>
  <c r="E4792" i="1" s="1"/>
  <c r="D4792" i="1"/>
  <c r="C4792" i="1"/>
  <c r="B4792" i="1"/>
  <c r="A4792" i="1"/>
  <c r="F4791" i="1" a="1"/>
  <c r="F4791" i="1" s="1"/>
  <c r="E4791" i="1"/>
  <c r="E4791" i="1" a="1"/>
  <c r="D4791" i="1"/>
  <c r="C4791" i="1"/>
  <c r="B4791" i="1"/>
  <c r="A4791" i="1"/>
  <c r="F4790" i="1" a="1"/>
  <c r="F4790" i="1" s="1"/>
  <c r="E4790" i="1" a="1"/>
  <c r="E4790" i="1" s="1"/>
  <c r="D4790" i="1"/>
  <c r="C4790" i="1"/>
  <c r="B4790" i="1"/>
  <c r="A4790" i="1"/>
  <c r="F4789" i="1" a="1"/>
  <c r="F4789" i="1" s="1"/>
  <c r="E4789" i="1" a="1"/>
  <c r="E4789" i="1" s="1"/>
  <c r="D4789" i="1"/>
  <c r="C4789" i="1"/>
  <c r="B4789" i="1"/>
  <c r="A4789" i="1"/>
  <c r="F4788" i="1" a="1"/>
  <c r="F4788" i="1" s="1"/>
  <c r="E4788" i="1" a="1"/>
  <c r="E4788" i="1" s="1"/>
  <c r="D4788" i="1"/>
  <c r="C4788" i="1"/>
  <c r="B4788" i="1"/>
  <c r="A4788" i="1"/>
  <c r="F4787" i="1" a="1"/>
  <c r="F4787" i="1" s="1"/>
  <c r="E4787" i="1" a="1"/>
  <c r="E4787" i="1" s="1"/>
  <c r="D4787" i="1"/>
  <c r="C4787" i="1"/>
  <c r="B4787" i="1"/>
  <c r="A4787" i="1"/>
  <c r="F4786" i="1" a="1"/>
  <c r="F4786" i="1" s="1"/>
  <c r="E4786" i="1" a="1"/>
  <c r="E4786" i="1" s="1"/>
  <c r="D4786" i="1"/>
  <c r="C4786" i="1"/>
  <c r="B4786" i="1"/>
  <c r="A4786" i="1"/>
  <c r="F4785" i="1" a="1"/>
  <c r="F4785" i="1" s="1"/>
  <c r="E4785" i="1" a="1"/>
  <c r="E4785" i="1" s="1"/>
  <c r="D4785" i="1"/>
  <c r="C4785" i="1"/>
  <c r="B4785" i="1"/>
  <c r="A4785" i="1"/>
  <c r="F4784" i="1" a="1"/>
  <c r="F4784" i="1" s="1"/>
  <c r="E4784" i="1" a="1"/>
  <c r="E4784" i="1" s="1"/>
  <c r="D4784" i="1"/>
  <c r="C4784" i="1"/>
  <c r="B4784" i="1"/>
  <c r="A4784" i="1"/>
  <c r="F4783" i="1" a="1"/>
  <c r="F4783" i="1" s="1"/>
  <c r="E4783" i="1" a="1"/>
  <c r="E4783" i="1" s="1"/>
  <c r="D4783" i="1"/>
  <c r="C4783" i="1"/>
  <c r="B4783" i="1"/>
  <c r="A4783" i="1"/>
  <c r="F4782" i="1" a="1"/>
  <c r="F4782" i="1" s="1"/>
  <c r="E4782" i="1" a="1"/>
  <c r="E4782" i="1" s="1"/>
  <c r="D4782" i="1"/>
  <c r="C4782" i="1"/>
  <c r="B4782" i="1"/>
  <c r="A4782" i="1"/>
  <c r="F4781" i="1" a="1"/>
  <c r="F4781" i="1" s="1"/>
  <c r="E4781" i="1" a="1"/>
  <c r="E4781" i="1" s="1"/>
  <c r="D4781" i="1"/>
  <c r="C4781" i="1"/>
  <c r="B4781" i="1"/>
  <c r="A4781" i="1"/>
  <c r="F4780" i="1" a="1"/>
  <c r="F4780" i="1" s="1"/>
  <c r="E4780" i="1" a="1"/>
  <c r="E4780" i="1" s="1"/>
  <c r="D4780" i="1"/>
  <c r="C4780" i="1"/>
  <c r="B4780" i="1"/>
  <c r="A4780" i="1"/>
  <c r="F4779" i="1" a="1"/>
  <c r="F4779" i="1" s="1"/>
  <c r="E4779" i="1" a="1"/>
  <c r="E4779" i="1" s="1"/>
  <c r="D4779" i="1"/>
  <c r="C4779" i="1"/>
  <c r="B4779" i="1"/>
  <c r="A4779" i="1"/>
  <c r="F4778" i="1" a="1"/>
  <c r="F4778" i="1" s="1"/>
  <c r="E4778" i="1" a="1"/>
  <c r="E4778" i="1" s="1"/>
  <c r="D4778" i="1"/>
  <c r="C4778" i="1"/>
  <c r="B4778" i="1"/>
  <c r="A4778" i="1"/>
  <c r="F4777" i="1" a="1"/>
  <c r="F4777" i="1" s="1"/>
  <c r="E4777" i="1" a="1"/>
  <c r="E4777" i="1" s="1"/>
  <c r="D4777" i="1"/>
  <c r="C4777" i="1"/>
  <c r="B4777" i="1"/>
  <c r="A4777" i="1"/>
  <c r="F4776" i="1" a="1"/>
  <c r="F4776" i="1" s="1"/>
  <c r="E4776" i="1" a="1"/>
  <c r="E4776" i="1" s="1"/>
  <c r="D4776" i="1"/>
  <c r="C4776" i="1"/>
  <c r="B4776" i="1"/>
  <c r="A4776" i="1"/>
  <c r="F4775" i="1" a="1"/>
  <c r="F4775" i="1" s="1"/>
  <c r="E4775" i="1"/>
  <c r="E4775" i="1" a="1"/>
  <c r="D4775" i="1"/>
  <c r="C4775" i="1"/>
  <c r="B4775" i="1"/>
  <c r="A4775" i="1"/>
  <c r="F4774" i="1" a="1"/>
  <c r="F4774" i="1" s="1"/>
  <c r="E4774" i="1" a="1"/>
  <c r="E4774" i="1" s="1"/>
  <c r="D4774" i="1"/>
  <c r="C4774" i="1"/>
  <c r="B4774" i="1"/>
  <c r="A4774" i="1"/>
  <c r="F4773" i="1" a="1"/>
  <c r="F4773" i="1" s="1"/>
  <c r="E4773" i="1" a="1"/>
  <c r="E4773" i="1" s="1"/>
  <c r="D4773" i="1"/>
  <c r="C4773" i="1"/>
  <c r="B4773" i="1"/>
  <c r="A4773" i="1"/>
  <c r="F4772" i="1" a="1"/>
  <c r="F4772" i="1" s="1"/>
  <c r="E4772" i="1" a="1"/>
  <c r="E4772" i="1" s="1"/>
  <c r="D4772" i="1"/>
  <c r="C4772" i="1"/>
  <c r="B4772" i="1"/>
  <c r="A4772" i="1"/>
  <c r="F4771" i="1" a="1"/>
  <c r="F4771" i="1" s="1"/>
  <c r="E4771" i="1" a="1"/>
  <c r="E4771" i="1" s="1"/>
  <c r="D4771" i="1"/>
  <c r="C4771" i="1"/>
  <c r="B4771" i="1"/>
  <c r="A4771" i="1"/>
  <c r="F4770" i="1"/>
  <c r="F4770" i="1" a="1"/>
  <c r="E4770" i="1" a="1"/>
  <c r="E4770" i="1" s="1"/>
  <c r="D4770" i="1"/>
  <c r="C4770" i="1"/>
  <c r="B4770" i="1"/>
  <c r="A4770" i="1"/>
  <c r="F4769" i="1"/>
  <c r="F4769" i="1" a="1"/>
  <c r="E4769" i="1" a="1"/>
  <c r="E4769" i="1" s="1"/>
  <c r="D4769" i="1"/>
  <c r="C4769" i="1"/>
  <c r="B4769" i="1"/>
  <c r="A4769" i="1"/>
  <c r="F4768" i="1" a="1"/>
  <c r="F4768" i="1" s="1"/>
  <c r="E4768" i="1" a="1"/>
  <c r="E4768" i="1" s="1"/>
  <c r="D4768" i="1"/>
  <c r="C4768" i="1"/>
  <c r="B4768" i="1"/>
  <c r="A4768" i="1"/>
  <c r="F4767" i="1"/>
  <c r="F4767" i="1" a="1"/>
  <c r="E4767" i="1" a="1"/>
  <c r="E4767" i="1" s="1"/>
  <c r="D4767" i="1"/>
  <c r="C4767" i="1"/>
  <c r="B4767" i="1"/>
  <c r="A4767" i="1"/>
  <c r="F4766" i="1" a="1"/>
  <c r="F4766" i="1" s="1"/>
  <c r="E4766" i="1" a="1"/>
  <c r="E4766" i="1" s="1"/>
  <c r="D4766" i="1"/>
  <c r="C4766" i="1"/>
  <c r="B4766" i="1"/>
  <c r="A4766" i="1"/>
  <c r="F4765" i="1" a="1"/>
  <c r="F4765" i="1" s="1"/>
  <c r="E4765" i="1" a="1"/>
  <c r="E4765" i="1" s="1"/>
  <c r="D4765" i="1"/>
  <c r="C4765" i="1"/>
  <c r="B4765" i="1"/>
  <c r="A4765" i="1"/>
  <c r="F4764" i="1"/>
  <c r="F4764" i="1" a="1"/>
  <c r="E4764" i="1" a="1"/>
  <c r="E4764" i="1" s="1"/>
  <c r="D4764" i="1"/>
  <c r="C4764" i="1"/>
  <c r="B4764" i="1"/>
  <c r="A4764" i="1"/>
  <c r="F4763" i="1" a="1"/>
  <c r="F4763" i="1" s="1"/>
  <c r="E4763" i="1" a="1"/>
  <c r="E4763" i="1" s="1"/>
  <c r="D4763" i="1"/>
  <c r="C4763" i="1"/>
  <c r="B4763" i="1"/>
  <c r="A4763" i="1"/>
  <c r="F4762" i="1"/>
  <c r="F4762" i="1" a="1"/>
  <c r="E4762" i="1" a="1"/>
  <c r="E4762" i="1" s="1"/>
  <c r="D4762" i="1"/>
  <c r="C4762" i="1"/>
  <c r="B4762" i="1"/>
  <c r="A4762" i="1"/>
  <c r="F4761" i="1"/>
  <c r="F4761" i="1" a="1"/>
  <c r="E4761" i="1" a="1"/>
  <c r="E4761" i="1" s="1"/>
  <c r="D4761" i="1"/>
  <c r="C4761" i="1"/>
  <c r="B4761" i="1"/>
  <c r="A4761" i="1"/>
  <c r="F4760" i="1" a="1"/>
  <c r="F4760" i="1" s="1"/>
  <c r="E4760" i="1" a="1"/>
  <c r="E4760" i="1" s="1"/>
  <c r="D4760" i="1"/>
  <c r="C4760" i="1"/>
  <c r="B4760" i="1"/>
  <c r="A4760" i="1"/>
  <c r="F4759" i="1"/>
  <c r="F4759" i="1" a="1"/>
  <c r="E4759" i="1" a="1"/>
  <c r="E4759" i="1" s="1"/>
  <c r="D4759" i="1"/>
  <c r="C4759" i="1"/>
  <c r="B4759" i="1"/>
  <c r="A4759" i="1"/>
  <c r="F4758" i="1" a="1"/>
  <c r="F4758" i="1" s="1"/>
  <c r="E4758" i="1" a="1"/>
  <c r="E4758" i="1" s="1"/>
  <c r="D4758" i="1"/>
  <c r="C4758" i="1"/>
  <c r="B4758" i="1"/>
  <c r="A4758" i="1"/>
  <c r="F4757" i="1" a="1"/>
  <c r="F4757" i="1" s="1"/>
  <c r="E4757" i="1" a="1"/>
  <c r="E4757" i="1" s="1"/>
  <c r="D4757" i="1"/>
  <c r="C4757" i="1"/>
  <c r="B4757" i="1"/>
  <c r="A4757" i="1"/>
  <c r="F4756" i="1"/>
  <c r="F4756" i="1" a="1"/>
  <c r="E4756" i="1" a="1"/>
  <c r="E4756" i="1" s="1"/>
  <c r="D4756" i="1"/>
  <c r="C4756" i="1"/>
  <c r="B4756" i="1"/>
  <c r="A4756" i="1"/>
  <c r="F4755" i="1" a="1"/>
  <c r="F4755" i="1" s="1"/>
  <c r="E4755" i="1" a="1"/>
  <c r="E4755" i="1" s="1"/>
  <c r="D4755" i="1"/>
  <c r="C4755" i="1"/>
  <c r="B4755" i="1"/>
  <c r="A4755" i="1"/>
  <c r="F4754" i="1"/>
  <c r="F4754" i="1" a="1"/>
  <c r="E4754" i="1" a="1"/>
  <c r="E4754" i="1" s="1"/>
  <c r="D4754" i="1"/>
  <c r="C4754" i="1"/>
  <c r="B4754" i="1"/>
  <c r="A4754" i="1"/>
  <c r="F4753" i="1"/>
  <c r="F4753" i="1" a="1"/>
  <c r="E4753" i="1" a="1"/>
  <c r="E4753" i="1" s="1"/>
  <c r="D4753" i="1"/>
  <c r="C4753" i="1"/>
  <c r="B4753" i="1"/>
  <c r="A4753" i="1"/>
  <c r="F4752" i="1" a="1"/>
  <c r="F4752" i="1" s="1"/>
  <c r="E4752" i="1" a="1"/>
  <c r="E4752" i="1" s="1"/>
  <c r="D4752" i="1"/>
  <c r="C4752" i="1"/>
  <c r="B4752" i="1"/>
  <c r="A4752" i="1"/>
  <c r="F4751" i="1"/>
  <c r="F4751" i="1" a="1"/>
  <c r="E4751" i="1" a="1"/>
  <c r="E4751" i="1" s="1"/>
  <c r="D4751" i="1"/>
  <c r="C4751" i="1"/>
  <c r="B4751" i="1"/>
  <c r="A4751" i="1"/>
  <c r="F4750" i="1" a="1"/>
  <c r="F4750" i="1" s="1"/>
  <c r="E4750" i="1" a="1"/>
  <c r="E4750" i="1" s="1"/>
  <c r="D4750" i="1"/>
  <c r="C4750" i="1"/>
  <c r="B4750" i="1"/>
  <c r="A4750" i="1"/>
  <c r="F4749" i="1" a="1"/>
  <c r="F4749" i="1" s="1"/>
  <c r="E4749" i="1" a="1"/>
  <c r="E4749" i="1" s="1"/>
  <c r="D4749" i="1"/>
  <c r="C4749" i="1"/>
  <c r="B4749" i="1"/>
  <c r="A4749" i="1"/>
  <c r="F4748" i="1"/>
  <c r="F4748" i="1" a="1"/>
  <c r="E4748" i="1" a="1"/>
  <c r="E4748" i="1" s="1"/>
  <c r="D4748" i="1"/>
  <c r="C4748" i="1"/>
  <c r="B4748" i="1"/>
  <c r="A4748" i="1"/>
  <c r="F4747" i="1" a="1"/>
  <c r="F4747" i="1" s="1"/>
  <c r="E4747" i="1" a="1"/>
  <c r="E4747" i="1" s="1"/>
  <c r="D4747" i="1"/>
  <c r="C4747" i="1"/>
  <c r="B4747" i="1"/>
  <c r="A4747" i="1"/>
  <c r="F4746" i="1"/>
  <c r="F4746" i="1" a="1"/>
  <c r="E4746" i="1" a="1"/>
  <c r="E4746" i="1" s="1"/>
  <c r="D4746" i="1"/>
  <c r="C4746" i="1"/>
  <c r="B4746" i="1"/>
  <c r="A4746" i="1"/>
  <c r="F4745" i="1" a="1"/>
  <c r="F4745" i="1" s="1"/>
  <c r="E4745" i="1" a="1"/>
  <c r="E4745" i="1" s="1"/>
  <c r="D4745" i="1"/>
  <c r="C4745" i="1"/>
  <c r="B4745" i="1"/>
  <c r="A4745" i="1"/>
  <c r="F4744" i="1" a="1"/>
  <c r="F4744" i="1" s="1"/>
  <c r="E4744" i="1" a="1"/>
  <c r="E4744" i="1" s="1"/>
  <c r="D4744" i="1"/>
  <c r="C4744" i="1"/>
  <c r="B4744" i="1"/>
  <c r="A4744" i="1"/>
  <c r="F4743" i="1"/>
  <c r="F4743" i="1" a="1"/>
  <c r="E4743" i="1" a="1"/>
  <c r="E4743" i="1" s="1"/>
  <c r="D4743" i="1"/>
  <c r="C4743" i="1"/>
  <c r="B4743" i="1"/>
  <c r="A4743" i="1"/>
  <c r="F4742" i="1" a="1"/>
  <c r="F4742" i="1" s="1"/>
  <c r="E4742" i="1" a="1"/>
  <c r="E4742" i="1" s="1"/>
  <c r="D4742" i="1"/>
  <c r="C4742" i="1"/>
  <c r="B4742" i="1"/>
  <c r="A4742" i="1"/>
  <c r="F4741" i="1" a="1"/>
  <c r="F4741" i="1" s="1"/>
  <c r="E4741" i="1" a="1"/>
  <c r="E4741" i="1" s="1"/>
  <c r="D4741" i="1"/>
  <c r="C4741" i="1"/>
  <c r="B4741" i="1"/>
  <c r="A4741" i="1"/>
  <c r="F4740" i="1"/>
  <c r="F4740" i="1" a="1"/>
  <c r="E4740" i="1" a="1"/>
  <c r="E4740" i="1" s="1"/>
  <c r="D4740" i="1"/>
  <c r="C4740" i="1"/>
  <c r="B4740" i="1"/>
  <c r="A4740" i="1"/>
  <c r="F4739" i="1" a="1"/>
  <c r="F4739" i="1" s="1"/>
  <c r="E4739" i="1" a="1"/>
  <c r="E4739" i="1" s="1"/>
  <c r="D4739" i="1"/>
  <c r="C4739" i="1"/>
  <c r="B4739" i="1"/>
  <c r="A4739" i="1"/>
  <c r="F4738" i="1"/>
  <c r="F4738" i="1" a="1"/>
  <c r="E4738" i="1" a="1"/>
  <c r="E4738" i="1" s="1"/>
  <c r="D4738" i="1"/>
  <c r="C4738" i="1"/>
  <c r="B4738" i="1"/>
  <c r="A4738" i="1"/>
  <c r="F4737" i="1" a="1"/>
  <c r="F4737" i="1" s="1"/>
  <c r="E4737" i="1" a="1"/>
  <c r="E4737" i="1" s="1"/>
  <c r="D4737" i="1"/>
  <c r="C4737" i="1"/>
  <c r="B4737" i="1"/>
  <c r="A4737" i="1"/>
  <c r="F4736" i="1" a="1"/>
  <c r="F4736" i="1" s="1"/>
  <c r="E4736" i="1" a="1"/>
  <c r="E4736" i="1" s="1"/>
  <c r="D4736" i="1"/>
  <c r="C4736" i="1"/>
  <c r="B4736" i="1"/>
  <c r="A4736" i="1"/>
  <c r="F4735" i="1"/>
  <c r="F4735" i="1" a="1"/>
  <c r="E4735" i="1" a="1"/>
  <c r="E4735" i="1" s="1"/>
  <c r="D4735" i="1"/>
  <c r="C4735" i="1"/>
  <c r="B4735" i="1"/>
  <c r="A4735" i="1"/>
  <c r="F4734" i="1" a="1"/>
  <c r="F4734" i="1" s="1"/>
  <c r="E4734" i="1" a="1"/>
  <c r="E4734" i="1" s="1"/>
  <c r="D4734" i="1"/>
  <c r="C4734" i="1"/>
  <c r="B4734" i="1"/>
  <c r="A4734" i="1"/>
  <c r="F4733" i="1" a="1"/>
  <c r="F4733" i="1" s="1"/>
  <c r="E4733" i="1" a="1"/>
  <c r="E4733" i="1" s="1"/>
  <c r="D4733" i="1"/>
  <c r="C4733" i="1"/>
  <c r="B4733" i="1"/>
  <c r="A4733" i="1"/>
  <c r="F4732" i="1"/>
  <c r="F4732" i="1" a="1"/>
  <c r="E4732" i="1" a="1"/>
  <c r="E4732" i="1" s="1"/>
  <c r="D4732" i="1"/>
  <c r="C4732" i="1"/>
  <c r="B4732" i="1"/>
  <c r="A4732" i="1"/>
  <c r="F4731" i="1" a="1"/>
  <c r="F4731" i="1" s="1"/>
  <c r="E4731" i="1" a="1"/>
  <c r="E4731" i="1" s="1"/>
  <c r="D4731" i="1"/>
  <c r="C4731" i="1"/>
  <c r="B4731" i="1"/>
  <c r="A4731" i="1"/>
  <c r="F4730" i="1"/>
  <c r="F4730" i="1" a="1"/>
  <c r="E4730" i="1" a="1"/>
  <c r="E4730" i="1" s="1"/>
  <c r="D4730" i="1"/>
  <c r="C4730" i="1"/>
  <c r="B4730" i="1"/>
  <c r="A4730" i="1"/>
  <c r="F4729" i="1" a="1"/>
  <c r="F4729" i="1" s="1"/>
  <c r="E4729" i="1" a="1"/>
  <c r="E4729" i="1" s="1"/>
  <c r="D4729" i="1"/>
  <c r="C4729" i="1"/>
  <c r="B4729" i="1"/>
  <c r="A4729" i="1"/>
  <c r="F4728" i="1" a="1"/>
  <c r="F4728" i="1" s="1"/>
  <c r="E4728" i="1" a="1"/>
  <c r="E4728" i="1" s="1"/>
  <c r="D4728" i="1"/>
  <c r="C4728" i="1"/>
  <c r="B4728" i="1"/>
  <c r="A4728" i="1"/>
  <c r="F4727" i="1"/>
  <c r="F4727" i="1" a="1"/>
  <c r="E4727" i="1" a="1"/>
  <c r="E4727" i="1" s="1"/>
  <c r="D4727" i="1"/>
  <c r="C4727" i="1"/>
  <c r="B4727" i="1"/>
  <c r="A4727" i="1"/>
  <c r="F4726" i="1" a="1"/>
  <c r="F4726" i="1" s="1"/>
  <c r="E4726" i="1" a="1"/>
  <c r="E4726" i="1" s="1"/>
  <c r="D4726" i="1"/>
  <c r="C4726" i="1"/>
  <c r="B4726" i="1"/>
  <c r="A4726" i="1"/>
  <c r="F4725" i="1" a="1"/>
  <c r="F4725" i="1" s="1"/>
  <c r="E4725" i="1" a="1"/>
  <c r="E4725" i="1" s="1"/>
  <c r="D4725" i="1"/>
  <c r="C4725" i="1"/>
  <c r="B4725" i="1"/>
  <c r="A4725" i="1"/>
  <c r="F4724" i="1"/>
  <c r="F4724" i="1" a="1"/>
  <c r="E4724" i="1" a="1"/>
  <c r="E4724" i="1" s="1"/>
  <c r="D4724" i="1"/>
  <c r="C4724" i="1"/>
  <c r="B4724" i="1"/>
  <c r="A4724" i="1"/>
  <c r="F4723" i="1" a="1"/>
  <c r="F4723" i="1" s="1"/>
  <c r="E4723" i="1" a="1"/>
  <c r="E4723" i="1" s="1"/>
  <c r="D4723" i="1"/>
  <c r="C4723" i="1"/>
  <c r="B4723" i="1"/>
  <c r="A4723" i="1"/>
  <c r="F4722" i="1"/>
  <c r="F4722" i="1" a="1"/>
  <c r="E4722" i="1" a="1"/>
  <c r="E4722" i="1" s="1"/>
  <c r="D4722" i="1"/>
  <c r="C4722" i="1"/>
  <c r="B4722" i="1"/>
  <c r="A4722" i="1"/>
  <c r="F4721" i="1"/>
  <c r="F4721" i="1" a="1"/>
  <c r="E4721" i="1" a="1"/>
  <c r="E4721" i="1" s="1"/>
  <c r="D4721" i="1"/>
  <c r="C4721" i="1"/>
  <c r="B4721" i="1"/>
  <c r="A4721" i="1"/>
  <c r="F4720" i="1" a="1"/>
  <c r="F4720" i="1" s="1"/>
  <c r="E4720" i="1" a="1"/>
  <c r="E4720" i="1" s="1"/>
  <c r="D4720" i="1"/>
  <c r="C4720" i="1"/>
  <c r="B4720" i="1"/>
  <c r="A4720" i="1"/>
  <c r="F4719" i="1"/>
  <c r="F4719" i="1" a="1"/>
  <c r="E4719" i="1" a="1"/>
  <c r="E4719" i="1" s="1"/>
  <c r="D4719" i="1"/>
  <c r="C4719" i="1"/>
  <c r="B4719" i="1"/>
  <c r="A4719" i="1"/>
  <c r="F4718" i="1" a="1"/>
  <c r="F4718" i="1" s="1"/>
  <c r="E4718" i="1" a="1"/>
  <c r="E4718" i="1" s="1"/>
  <c r="D4718" i="1"/>
  <c r="C4718" i="1"/>
  <c r="B4718" i="1"/>
  <c r="A4718" i="1"/>
  <c r="F4717" i="1" a="1"/>
  <c r="F4717" i="1" s="1"/>
  <c r="E4717" i="1" a="1"/>
  <c r="E4717" i="1" s="1"/>
  <c r="D4717" i="1"/>
  <c r="C4717" i="1"/>
  <c r="B4717" i="1"/>
  <c r="A4717" i="1"/>
  <c r="F4716" i="1"/>
  <c r="F4716" i="1" a="1"/>
  <c r="E4716" i="1" a="1"/>
  <c r="E4716" i="1" s="1"/>
  <c r="D4716" i="1"/>
  <c r="C4716" i="1"/>
  <c r="B4716" i="1"/>
  <c r="A4716" i="1"/>
  <c r="F4715" i="1" a="1"/>
  <c r="F4715" i="1" s="1"/>
  <c r="E4715" i="1" a="1"/>
  <c r="E4715" i="1" s="1"/>
  <c r="D4715" i="1"/>
  <c r="C4715" i="1"/>
  <c r="B4715" i="1"/>
  <c r="A4715" i="1"/>
  <c r="F4714" i="1"/>
  <c r="F4714" i="1" a="1"/>
  <c r="E4714" i="1" a="1"/>
  <c r="E4714" i="1" s="1"/>
  <c r="D4714" i="1"/>
  <c r="C4714" i="1"/>
  <c r="B4714" i="1"/>
  <c r="A4714" i="1"/>
  <c r="F4713" i="1"/>
  <c r="F4713" i="1" a="1"/>
  <c r="E4713" i="1" a="1"/>
  <c r="E4713" i="1" s="1"/>
  <c r="D4713" i="1"/>
  <c r="C4713" i="1"/>
  <c r="B4713" i="1"/>
  <c r="A4713" i="1"/>
  <c r="F4712" i="1" a="1"/>
  <c r="F4712" i="1" s="1"/>
  <c r="E4712" i="1" a="1"/>
  <c r="E4712" i="1" s="1"/>
  <c r="D4712" i="1"/>
  <c r="C4712" i="1"/>
  <c r="B4712" i="1"/>
  <c r="A4712" i="1"/>
  <c r="F4711" i="1"/>
  <c r="F4711" i="1" a="1"/>
  <c r="E4711" i="1" a="1"/>
  <c r="E4711" i="1" s="1"/>
  <c r="D4711" i="1"/>
  <c r="C4711" i="1"/>
  <c r="B4711" i="1"/>
  <c r="A4711" i="1"/>
  <c r="F4710" i="1" a="1"/>
  <c r="F4710" i="1" s="1"/>
  <c r="E4710" i="1" a="1"/>
  <c r="E4710" i="1" s="1"/>
  <c r="D4710" i="1"/>
  <c r="C4710" i="1"/>
  <c r="B4710" i="1"/>
  <c r="A4710" i="1"/>
  <c r="F4709" i="1" a="1"/>
  <c r="F4709" i="1" s="1"/>
  <c r="E4709" i="1" a="1"/>
  <c r="E4709" i="1" s="1"/>
  <c r="D4709" i="1"/>
  <c r="C4709" i="1"/>
  <c r="B4709" i="1"/>
  <c r="A4709" i="1"/>
  <c r="F4708" i="1"/>
  <c r="F4708" i="1" a="1"/>
  <c r="E4708" i="1" a="1"/>
  <c r="E4708" i="1" s="1"/>
  <c r="D4708" i="1"/>
  <c r="C4708" i="1"/>
  <c r="B4708" i="1"/>
  <c r="A4708" i="1"/>
  <c r="F4707" i="1" a="1"/>
  <c r="F4707" i="1" s="1"/>
  <c r="E4707" i="1" a="1"/>
  <c r="E4707" i="1" s="1"/>
  <c r="D4707" i="1"/>
  <c r="C4707" i="1"/>
  <c r="B4707" i="1"/>
  <c r="A4707" i="1"/>
  <c r="F4706" i="1"/>
  <c r="F4706" i="1" a="1"/>
  <c r="E4706" i="1" a="1"/>
  <c r="E4706" i="1" s="1"/>
  <c r="D4706" i="1"/>
  <c r="C4706" i="1"/>
  <c r="B4706" i="1"/>
  <c r="A4706" i="1"/>
  <c r="F4705" i="1"/>
  <c r="F4705" i="1" a="1"/>
  <c r="E4705" i="1" a="1"/>
  <c r="E4705" i="1" s="1"/>
  <c r="D4705" i="1"/>
  <c r="C4705" i="1"/>
  <c r="B4705" i="1"/>
  <c r="A4705" i="1"/>
  <c r="F4704" i="1" a="1"/>
  <c r="F4704" i="1" s="1"/>
  <c r="E4704" i="1" a="1"/>
  <c r="E4704" i="1" s="1"/>
  <c r="D4704" i="1"/>
  <c r="C4704" i="1"/>
  <c r="B4704" i="1"/>
  <c r="A4704" i="1"/>
  <c r="F4703" i="1"/>
  <c r="F4703" i="1" a="1"/>
  <c r="E4703" i="1" a="1"/>
  <c r="E4703" i="1" s="1"/>
  <c r="D4703" i="1"/>
  <c r="C4703" i="1"/>
  <c r="B4703" i="1"/>
  <c r="A4703" i="1"/>
  <c r="F4702" i="1" a="1"/>
  <c r="F4702" i="1" s="1"/>
  <c r="E4702" i="1" a="1"/>
  <c r="E4702" i="1" s="1"/>
  <c r="D4702" i="1"/>
  <c r="C4702" i="1"/>
  <c r="B4702" i="1"/>
  <c r="A4702" i="1"/>
  <c r="F4701" i="1" a="1"/>
  <c r="F4701" i="1" s="1"/>
  <c r="E4701" i="1" a="1"/>
  <c r="E4701" i="1" s="1"/>
  <c r="D4701" i="1"/>
  <c r="C4701" i="1"/>
  <c r="B4701" i="1"/>
  <c r="A4701" i="1"/>
  <c r="F4700" i="1"/>
  <c r="F4700" i="1" a="1"/>
  <c r="E4700" i="1" a="1"/>
  <c r="E4700" i="1" s="1"/>
  <c r="D4700" i="1"/>
  <c r="C4700" i="1"/>
  <c r="B4700" i="1"/>
  <c r="A4700" i="1"/>
  <c r="F4699" i="1" a="1"/>
  <c r="F4699" i="1" s="1"/>
  <c r="E4699" i="1" a="1"/>
  <c r="E4699" i="1" s="1"/>
  <c r="D4699" i="1"/>
  <c r="C4699" i="1"/>
  <c r="B4699" i="1"/>
  <c r="A4699" i="1"/>
  <c r="F4698" i="1"/>
  <c r="F4698" i="1" a="1"/>
  <c r="E4698" i="1" a="1"/>
  <c r="E4698" i="1" s="1"/>
  <c r="D4698" i="1"/>
  <c r="C4698" i="1"/>
  <c r="B4698" i="1"/>
  <c r="A4698" i="1"/>
  <c r="F4697" i="1"/>
  <c r="F4697" i="1" a="1"/>
  <c r="E4697" i="1" a="1"/>
  <c r="E4697" i="1" s="1"/>
  <c r="D4697" i="1"/>
  <c r="C4697" i="1"/>
  <c r="B4697" i="1"/>
  <c r="A4697" i="1"/>
  <c r="F4696" i="1" a="1"/>
  <c r="F4696" i="1" s="1"/>
  <c r="E4696" i="1" a="1"/>
  <c r="E4696" i="1" s="1"/>
  <c r="D4696" i="1"/>
  <c r="C4696" i="1"/>
  <c r="B4696" i="1"/>
  <c r="A4696" i="1"/>
  <c r="F4695" i="1"/>
  <c r="F4695" i="1" a="1"/>
  <c r="E4695" i="1" a="1"/>
  <c r="E4695" i="1" s="1"/>
  <c r="D4695" i="1"/>
  <c r="C4695" i="1"/>
  <c r="B4695" i="1"/>
  <c r="A4695" i="1"/>
  <c r="F4694" i="1" a="1"/>
  <c r="F4694" i="1" s="1"/>
  <c r="E4694" i="1" a="1"/>
  <c r="E4694" i="1" s="1"/>
  <c r="D4694" i="1"/>
  <c r="C4694" i="1"/>
  <c r="B4694" i="1"/>
  <c r="A4694" i="1"/>
  <c r="F4693" i="1" a="1"/>
  <c r="F4693" i="1" s="1"/>
  <c r="E4693" i="1" a="1"/>
  <c r="E4693" i="1" s="1"/>
  <c r="D4693" i="1"/>
  <c r="C4693" i="1"/>
  <c r="B4693" i="1"/>
  <c r="A4693" i="1"/>
  <c r="F4692" i="1"/>
  <c r="F4692" i="1" a="1"/>
  <c r="E4692" i="1" a="1"/>
  <c r="E4692" i="1" s="1"/>
  <c r="D4692" i="1"/>
  <c r="C4692" i="1"/>
  <c r="B4692" i="1"/>
  <c r="A4692" i="1"/>
  <c r="F4691" i="1" a="1"/>
  <c r="F4691" i="1" s="1"/>
  <c r="E4691" i="1" a="1"/>
  <c r="E4691" i="1" s="1"/>
  <c r="D4691" i="1"/>
  <c r="C4691" i="1"/>
  <c r="B4691" i="1"/>
  <c r="A4691" i="1"/>
  <c r="F4690" i="1"/>
  <c r="F4690" i="1" a="1"/>
  <c r="E4690" i="1" a="1"/>
  <c r="E4690" i="1" s="1"/>
  <c r="D4690" i="1"/>
  <c r="C4690" i="1"/>
  <c r="B4690" i="1"/>
  <c r="A4690" i="1"/>
  <c r="F4689" i="1"/>
  <c r="F4689" i="1" a="1"/>
  <c r="E4689" i="1" a="1"/>
  <c r="E4689" i="1" s="1"/>
  <c r="D4689" i="1"/>
  <c r="C4689" i="1"/>
  <c r="B4689" i="1"/>
  <c r="A4689" i="1"/>
  <c r="F4688" i="1" a="1"/>
  <c r="F4688" i="1" s="1"/>
  <c r="E4688" i="1" a="1"/>
  <c r="E4688" i="1" s="1"/>
  <c r="D4688" i="1"/>
  <c r="C4688" i="1"/>
  <c r="B4688" i="1"/>
  <c r="A4688" i="1"/>
  <c r="F4687" i="1"/>
  <c r="F4687" i="1" a="1"/>
  <c r="E4687" i="1" a="1"/>
  <c r="E4687" i="1" s="1"/>
  <c r="D4687" i="1"/>
  <c r="C4687" i="1"/>
  <c r="B4687" i="1"/>
  <c r="A4687" i="1"/>
  <c r="F4686" i="1" a="1"/>
  <c r="F4686" i="1" s="1"/>
  <c r="E4686" i="1" a="1"/>
  <c r="E4686" i="1" s="1"/>
  <c r="D4686" i="1"/>
  <c r="C4686" i="1"/>
  <c r="B4686" i="1"/>
  <c r="A4686" i="1"/>
  <c r="F4685" i="1" a="1"/>
  <c r="F4685" i="1" s="1"/>
  <c r="E4685" i="1" a="1"/>
  <c r="E4685" i="1" s="1"/>
  <c r="D4685" i="1"/>
  <c r="C4685" i="1"/>
  <c r="B4685" i="1"/>
  <c r="A4685" i="1"/>
  <c r="F4684" i="1"/>
  <c r="F4684" i="1" a="1"/>
  <c r="E4684" i="1" a="1"/>
  <c r="E4684" i="1" s="1"/>
  <c r="D4684" i="1"/>
  <c r="C4684" i="1"/>
  <c r="B4684" i="1"/>
  <c r="A4684" i="1"/>
  <c r="F4683" i="1" a="1"/>
  <c r="F4683" i="1" s="1"/>
  <c r="E4683" i="1" a="1"/>
  <c r="E4683" i="1" s="1"/>
  <c r="D4683" i="1"/>
  <c r="C4683" i="1"/>
  <c r="B4683" i="1"/>
  <c r="A4683" i="1"/>
  <c r="F4682" i="1"/>
  <c r="F4682" i="1" a="1"/>
  <c r="E4682" i="1" a="1"/>
  <c r="E4682" i="1" s="1"/>
  <c r="D4682" i="1"/>
  <c r="C4682" i="1"/>
  <c r="B4682" i="1"/>
  <c r="A4682" i="1"/>
  <c r="F4681" i="1"/>
  <c r="F4681" i="1" a="1"/>
  <c r="E4681" i="1" a="1"/>
  <c r="E4681" i="1" s="1"/>
  <c r="D4681" i="1"/>
  <c r="C4681" i="1"/>
  <c r="B4681" i="1"/>
  <c r="A4681" i="1"/>
  <c r="F4680" i="1" a="1"/>
  <c r="F4680" i="1" s="1"/>
  <c r="E4680" i="1" a="1"/>
  <c r="E4680" i="1" s="1"/>
  <c r="D4680" i="1"/>
  <c r="C4680" i="1"/>
  <c r="B4680" i="1"/>
  <c r="A4680" i="1"/>
  <c r="F4679" i="1"/>
  <c r="F4679" i="1" a="1"/>
  <c r="E4679" i="1" a="1"/>
  <c r="E4679" i="1" s="1"/>
  <c r="D4679" i="1"/>
  <c r="C4679" i="1"/>
  <c r="B4679" i="1"/>
  <c r="A4679" i="1"/>
  <c r="F4678" i="1" a="1"/>
  <c r="F4678" i="1" s="1"/>
  <c r="E4678" i="1" a="1"/>
  <c r="E4678" i="1" s="1"/>
  <c r="D4678" i="1"/>
  <c r="C4678" i="1"/>
  <c r="B4678" i="1"/>
  <c r="A4678" i="1"/>
  <c r="F4677" i="1" a="1"/>
  <c r="F4677" i="1" s="1"/>
  <c r="E4677" i="1" a="1"/>
  <c r="E4677" i="1" s="1"/>
  <c r="D4677" i="1"/>
  <c r="C4677" i="1"/>
  <c r="B4677" i="1"/>
  <c r="A4677" i="1"/>
  <c r="F4676" i="1"/>
  <c r="F4676" i="1" a="1"/>
  <c r="E4676" i="1" a="1"/>
  <c r="E4676" i="1" s="1"/>
  <c r="D4676" i="1"/>
  <c r="C4676" i="1"/>
  <c r="B4676" i="1"/>
  <c r="A4676" i="1"/>
  <c r="F4675" i="1" a="1"/>
  <c r="F4675" i="1" s="1"/>
  <c r="E4675" i="1" a="1"/>
  <c r="E4675" i="1" s="1"/>
  <c r="D4675" i="1"/>
  <c r="C4675" i="1"/>
  <c r="B4675" i="1"/>
  <c r="A4675" i="1"/>
  <c r="F4674" i="1"/>
  <c r="F4674" i="1" a="1"/>
  <c r="E4674" i="1" a="1"/>
  <c r="E4674" i="1" s="1"/>
  <c r="D4674" i="1"/>
  <c r="C4674" i="1"/>
  <c r="B4674" i="1"/>
  <c r="A4674" i="1"/>
  <c r="F4673" i="1"/>
  <c r="F4673" i="1" a="1"/>
  <c r="E4673" i="1" a="1"/>
  <c r="E4673" i="1" s="1"/>
  <c r="D4673" i="1"/>
  <c r="C4673" i="1"/>
  <c r="B4673" i="1"/>
  <c r="A4673" i="1"/>
  <c r="F4672" i="1" a="1"/>
  <c r="F4672" i="1" s="1"/>
  <c r="E4672" i="1" a="1"/>
  <c r="E4672" i="1" s="1"/>
  <c r="D4672" i="1"/>
  <c r="C4672" i="1"/>
  <c r="B4672" i="1"/>
  <c r="A4672" i="1"/>
  <c r="F4671" i="1"/>
  <c r="F4671" i="1" a="1"/>
  <c r="E4671" i="1" a="1"/>
  <c r="E4671" i="1" s="1"/>
  <c r="D4671" i="1"/>
  <c r="C4671" i="1"/>
  <c r="B4671" i="1"/>
  <c r="A4671" i="1"/>
  <c r="F4670" i="1" a="1"/>
  <c r="F4670" i="1" s="1"/>
  <c r="E4670" i="1" a="1"/>
  <c r="E4670" i="1" s="1"/>
  <c r="D4670" i="1"/>
  <c r="C4670" i="1"/>
  <c r="B4670" i="1"/>
  <c r="A4670" i="1"/>
  <c r="F4669" i="1" a="1"/>
  <c r="F4669" i="1" s="1"/>
  <c r="E4669" i="1" a="1"/>
  <c r="E4669" i="1" s="1"/>
  <c r="D4669" i="1"/>
  <c r="C4669" i="1"/>
  <c r="B4669" i="1"/>
  <c r="A4669" i="1"/>
  <c r="F4668" i="1"/>
  <c r="F4668" i="1" a="1"/>
  <c r="E4668" i="1" a="1"/>
  <c r="E4668" i="1" s="1"/>
  <c r="D4668" i="1"/>
  <c r="C4668" i="1"/>
  <c r="B4668" i="1"/>
  <c r="A4668" i="1"/>
  <c r="F4667" i="1" a="1"/>
  <c r="F4667" i="1" s="1"/>
  <c r="E4667" i="1" a="1"/>
  <c r="E4667" i="1" s="1"/>
  <c r="D4667" i="1"/>
  <c r="C4667" i="1"/>
  <c r="B4667" i="1"/>
  <c r="A4667" i="1"/>
  <c r="F4666" i="1"/>
  <c r="F4666" i="1" a="1"/>
  <c r="E4666" i="1" a="1"/>
  <c r="E4666" i="1" s="1"/>
  <c r="D4666" i="1"/>
  <c r="C4666" i="1"/>
  <c r="B4666" i="1"/>
  <c r="A4666" i="1"/>
  <c r="F4665" i="1"/>
  <c r="F4665" i="1" a="1"/>
  <c r="E4665" i="1" a="1"/>
  <c r="E4665" i="1" s="1"/>
  <c r="D4665" i="1"/>
  <c r="C4665" i="1"/>
  <c r="B4665" i="1"/>
  <c r="A4665" i="1"/>
  <c r="F4664" i="1" a="1"/>
  <c r="F4664" i="1" s="1"/>
  <c r="E4664" i="1" a="1"/>
  <c r="E4664" i="1" s="1"/>
  <c r="D4664" i="1"/>
  <c r="C4664" i="1"/>
  <c r="B4664" i="1"/>
  <c r="A4664" i="1"/>
  <c r="F4663" i="1"/>
  <c r="F4663" i="1" a="1"/>
  <c r="E4663" i="1" a="1"/>
  <c r="E4663" i="1" s="1"/>
  <c r="D4663" i="1"/>
  <c r="C4663" i="1"/>
  <c r="B4663" i="1"/>
  <c r="A4663" i="1"/>
  <c r="F4662" i="1" a="1"/>
  <c r="F4662" i="1" s="1"/>
  <c r="E4662" i="1" a="1"/>
  <c r="E4662" i="1" s="1"/>
  <c r="D4662" i="1"/>
  <c r="C4662" i="1"/>
  <c r="B4662" i="1"/>
  <c r="A4662" i="1"/>
  <c r="F4661" i="1" a="1"/>
  <c r="F4661" i="1" s="1"/>
  <c r="E4661" i="1" a="1"/>
  <c r="E4661" i="1" s="1"/>
  <c r="D4661" i="1"/>
  <c r="C4661" i="1"/>
  <c r="B4661" i="1"/>
  <c r="A4661" i="1"/>
  <c r="F4660" i="1"/>
  <c r="F4660" i="1" a="1"/>
  <c r="E4660" i="1" a="1"/>
  <c r="E4660" i="1" s="1"/>
  <c r="D4660" i="1"/>
  <c r="C4660" i="1"/>
  <c r="B4660" i="1"/>
  <c r="A4660" i="1"/>
  <c r="F4659" i="1" a="1"/>
  <c r="F4659" i="1" s="1"/>
  <c r="E4659" i="1" a="1"/>
  <c r="E4659" i="1" s="1"/>
  <c r="D4659" i="1"/>
  <c r="C4659" i="1"/>
  <c r="B4659" i="1"/>
  <c r="A4659" i="1"/>
  <c r="F4658" i="1"/>
  <c r="F4658" i="1" a="1"/>
  <c r="E4658" i="1" a="1"/>
  <c r="E4658" i="1" s="1"/>
  <c r="D4658" i="1"/>
  <c r="C4658" i="1"/>
  <c r="B4658" i="1"/>
  <c r="A4658" i="1"/>
  <c r="F4657" i="1"/>
  <c r="F4657" i="1" a="1"/>
  <c r="E4657" i="1" a="1"/>
  <c r="E4657" i="1" s="1"/>
  <c r="D4657" i="1"/>
  <c r="C4657" i="1"/>
  <c r="B4657" i="1"/>
  <c r="A4657" i="1"/>
  <c r="F4656" i="1" a="1"/>
  <c r="F4656" i="1" s="1"/>
  <c r="E4656" i="1" a="1"/>
  <c r="E4656" i="1" s="1"/>
  <c r="D4656" i="1"/>
  <c r="C4656" i="1"/>
  <c r="B4656" i="1"/>
  <c r="A4656" i="1"/>
  <c r="F4655" i="1"/>
  <c r="F4655" i="1" a="1"/>
  <c r="E4655" i="1" a="1"/>
  <c r="E4655" i="1" s="1"/>
  <c r="D4655" i="1"/>
  <c r="C4655" i="1"/>
  <c r="B4655" i="1"/>
  <c r="A4655" i="1"/>
  <c r="F4654" i="1" a="1"/>
  <c r="F4654" i="1" s="1"/>
  <c r="E4654" i="1" a="1"/>
  <c r="E4654" i="1" s="1"/>
  <c r="D4654" i="1"/>
  <c r="C4654" i="1"/>
  <c r="B4654" i="1"/>
  <c r="A4654" i="1"/>
  <c r="F4653" i="1" a="1"/>
  <c r="F4653" i="1" s="1"/>
  <c r="E4653" i="1" a="1"/>
  <c r="E4653" i="1" s="1"/>
  <c r="D4653" i="1"/>
  <c r="C4653" i="1"/>
  <c r="B4653" i="1"/>
  <c r="A4653" i="1"/>
  <c r="F4652" i="1"/>
  <c r="F4652" i="1" a="1"/>
  <c r="E4652" i="1" a="1"/>
  <c r="E4652" i="1" s="1"/>
  <c r="D4652" i="1"/>
  <c r="C4652" i="1"/>
  <c r="B4652" i="1"/>
  <c r="A4652" i="1"/>
  <c r="F4651" i="1" a="1"/>
  <c r="F4651" i="1" s="1"/>
  <c r="E4651" i="1" a="1"/>
  <c r="E4651" i="1" s="1"/>
  <c r="D4651" i="1"/>
  <c r="C4651" i="1"/>
  <c r="B4651" i="1"/>
  <c r="A4651" i="1"/>
  <c r="F4650" i="1"/>
  <c r="F4650" i="1" a="1"/>
  <c r="E4650" i="1" a="1"/>
  <c r="E4650" i="1" s="1"/>
  <c r="D4650" i="1"/>
  <c r="C4650" i="1"/>
  <c r="B4650" i="1"/>
  <c r="A4650" i="1"/>
  <c r="F4649" i="1"/>
  <c r="F4649" i="1" a="1"/>
  <c r="E4649" i="1" a="1"/>
  <c r="E4649" i="1" s="1"/>
  <c r="D4649" i="1"/>
  <c r="C4649" i="1"/>
  <c r="B4649" i="1"/>
  <c r="A4649" i="1"/>
  <c r="F4648" i="1" a="1"/>
  <c r="F4648" i="1" s="1"/>
  <c r="E4648" i="1" a="1"/>
  <c r="E4648" i="1" s="1"/>
  <c r="D4648" i="1"/>
  <c r="C4648" i="1"/>
  <c r="B4648" i="1"/>
  <c r="A4648" i="1"/>
  <c r="F4647" i="1"/>
  <c r="F4647" i="1" a="1"/>
  <c r="E4647" i="1" a="1"/>
  <c r="E4647" i="1" s="1"/>
  <c r="D4647" i="1"/>
  <c r="C4647" i="1"/>
  <c r="B4647" i="1"/>
  <c r="A4647" i="1"/>
  <c r="F4646" i="1" a="1"/>
  <c r="F4646" i="1" s="1"/>
  <c r="E4646" i="1" a="1"/>
  <c r="E4646" i="1" s="1"/>
  <c r="D4646" i="1"/>
  <c r="C4646" i="1"/>
  <c r="B4646" i="1"/>
  <c r="A4646" i="1"/>
  <c r="F4645" i="1" a="1"/>
  <c r="F4645" i="1" s="1"/>
  <c r="E4645" i="1" a="1"/>
  <c r="E4645" i="1" s="1"/>
  <c r="D4645" i="1"/>
  <c r="C4645" i="1"/>
  <c r="B4645" i="1"/>
  <c r="A4645" i="1"/>
  <c r="F4644" i="1"/>
  <c r="F4644" i="1" a="1"/>
  <c r="E4644" i="1" a="1"/>
  <c r="E4644" i="1" s="1"/>
  <c r="D4644" i="1"/>
  <c r="C4644" i="1"/>
  <c r="B4644" i="1"/>
  <c r="A4644" i="1"/>
  <c r="F4643" i="1" a="1"/>
  <c r="F4643" i="1" s="1"/>
  <c r="E4643" i="1" a="1"/>
  <c r="E4643" i="1" s="1"/>
  <c r="D4643" i="1"/>
  <c r="C4643" i="1"/>
  <c r="B4643" i="1"/>
  <c r="A4643" i="1"/>
  <c r="F4642" i="1"/>
  <c r="F4642" i="1" a="1"/>
  <c r="E4642" i="1" a="1"/>
  <c r="E4642" i="1" s="1"/>
  <c r="D4642" i="1"/>
  <c r="C4642" i="1"/>
  <c r="B4642" i="1"/>
  <c r="A4642" i="1"/>
  <c r="F4641" i="1"/>
  <c r="F4641" i="1" a="1"/>
  <c r="E4641" i="1" a="1"/>
  <c r="E4641" i="1" s="1"/>
  <c r="D4641" i="1"/>
  <c r="C4641" i="1"/>
  <c r="B4641" i="1"/>
  <c r="A4641" i="1"/>
  <c r="F4640" i="1" a="1"/>
  <c r="F4640" i="1" s="1"/>
  <c r="E4640" i="1" a="1"/>
  <c r="E4640" i="1" s="1"/>
  <c r="D4640" i="1"/>
  <c r="C4640" i="1"/>
  <c r="B4640" i="1"/>
  <c r="A4640" i="1"/>
  <c r="F4639" i="1"/>
  <c r="F4639" i="1" a="1"/>
  <c r="E4639" i="1" a="1"/>
  <c r="E4639" i="1" s="1"/>
  <c r="D4639" i="1"/>
  <c r="C4639" i="1"/>
  <c r="B4639" i="1"/>
  <c r="A4639" i="1"/>
  <c r="F4638" i="1" a="1"/>
  <c r="F4638" i="1" s="1"/>
  <c r="E4638" i="1" a="1"/>
  <c r="E4638" i="1" s="1"/>
  <c r="D4638" i="1"/>
  <c r="C4638" i="1"/>
  <c r="B4638" i="1"/>
  <c r="A4638" i="1"/>
  <c r="F4637" i="1" a="1"/>
  <c r="F4637" i="1" s="1"/>
  <c r="E4637" i="1" a="1"/>
  <c r="E4637" i="1" s="1"/>
  <c r="D4637" i="1"/>
  <c r="C4637" i="1"/>
  <c r="B4637" i="1"/>
  <c r="A4637" i="1"/>
  <c r="F4636" i="1"/>
  <c r="F4636" i="1" a="1"/>
  <c r="E4636" i="1" a="1"/>
  <c r="E4636" i="1" s="1"/>
  <c r="D4636" i="1"/>
  <c r="C4636" i="1"/>
  <c r="B4636" i="1"/>
  <c r="A4636" i="1"/>
  <c r="F4635" i="1" a="1"/>
  <c r="F4635" i="1" s="1"/>
  <c r="E4635" i="1" a="1"/>
  <c r="E4635" i="1" s="1"/>
  <c r="D4635" i="1"/>
  <c r="C4635" i="1"/>
  <c r="B4635" i="1"/>
  <c r="A4635" i="1"/>
  <c r="F4634" i="1"/>
  <c r="F4634" i="1" a="1"/>
  <c r="E4634" i="1" a="1"/>
  <c r="E4634" i="1" s="1"/>
  <c r="D4634" i="1"/>
  <c r="C4634" i="1"/>
  <c r="B4634" i="1"/>
  <c r="A4634" i="1"/>
  <c r="F4633" i="1"/>
  <c r="F4633" i="1" a="1"/>
  <c r="E4633" i="1" a="1"/>
  <c r="E4633" i="1" s="1"/>
  <c r="D4633" i="1"/>
  <c r="C4633" i="1"/>
  <c r="B4633" i="1"/>
  <c r="A4633" i="1"/>
  <c r="F4632" i="1" a="1"/>
  <c r="F4632" i="1" s="1"/>
  <c r="E4632" i="1" a="1"/>
  <c r="E4632" i="1" s="1"/>
  <c r="D4632" i="1"/>
  <c r="C4632" i="1"/>
  <c r="B4632" i="1"/>
  <c r="A4632" i="1"/>
  <c r="F4631" i="1"/>
  <c r="F4631" i="1" a="1"/>
  <c r="E4631" i="1" a="1"/>
  <c r="E4631" i="1" s="1"/>
  <c r="D4631" i="1"/>
  <c r="C4631" i="1"/>
  <c r="B4631" i="1"/>
  <c r="A4631" i="1"/>
  <c r="F4630" i="1" a="1"/>
  <c r="F4630" i="1" s="1"/>
  <c r="E4630" i="1" a="1"/>
  <c r="E4630" i="1" s="1"/>
  <c r="D4630" i="1"/>
  <c r="C4630" i="1"/>
  <c r="B4630" i="1"/>
  <c r="A4630" i="1"/>
  <c r="F4629" i="1" a="1"/>
  <c r="F4629" i="1" s="1"/>
  <c r="E4629" i="1" a="1"/>
  <c r="E4629" i="1" s="1"/>
  <c r="D4629" i="1"/>
  <c r="C4629" i="1"/>
  <c r="B4629" i="1"/>
  <c r="A4629" i="1"/>
  <c r="F4628" i="1"/>
  <c r="F4628" i="1" a="1"/>
  <c r="E4628" i="1" a="1"/>
  <c r="E4628" i="1" s="1"/>
  <c r="D4628" i="1"/>
  <c r="C4628" i="1"/>
  <c r="B4628" i="1"/>
  <c r="A4628" i="1"/>
  <c r="F4627" i="1" a="1"/>
  <c r="F4627" i="1" s="1"/>
  <c r="E4627" i="1" a="1"/>
  <c r="E4627" i="1" s="1"/>
  <c r="D4627" i="1"/>
  <c r="C4627" i="1"/>
  <c r="B4627" i="1"/>
  <c r="A4627" i="1"/>
  <c r="F4626" i="1"/>
  <c r="F4626" i="1" a="1"/>
  <c r="E4626" i="1" a="1"/>
  <c r="E4626" i="1" s="1"/>
  <c r="D4626" i="1"/>
  <c r="C4626" i="1"/>
  <c r="B4626" i="1"/>
  <c r="A4626" i="1"/>
  <c r="F4625" i="1"/>
  <c r="F4625" i="1" a="1"/>
  <c r="E4625" i="1" a="1"/>
  <c r="E4625" i="1" s="1"/>
  <c r="D4625" i="1"/>
  <c r="C4625" i="1"/>
  <c r="B4625" i="1"/>
  <c r="A4625" i="1"/>
  <c r="F4624" i="1" a="1"/>
  <c r="F4624" i="1" s="1"/>
  <c r="E4624" i="1" a="1"/>
  <c r="E4624" i="1" s="1"/>
  <c r="D4624" i="1"/>
  <c r="C4624" i="1"/>
  <c r="B4624" i="1"/>
  <c r="A4624" i="1"/>
  <c r="F4623" i="1"/>
  <c r="F4623" i="1" a="1"/>
  <c r="E4623" i="1" a="1"/>
  <c r="E4623" i="1" s="1"/>
  <c r="D4623" i="1"/>
  <c r="C4623" i="1"/>
  <c r="B4623" i="1"/>
  <c r="A4623" i="1"/>
  <c r="F4622" i="1" a="1"/>
  <c r="F4622" i="1" s="1"/>
  <c r="E4622" i="1" a="1"/>
  <c r="E4622" i="1" s="1"/>
  <c r="D4622" i="1"/>
  <c r="C4622" i="1"/>
  <c r="B4622" i="1"/>
  <c r="A4622" i="1"/>
  <c r="F4621" i="1" a="1"/>
  <c r="F4621" i="1" s="1"/>
  <c r="E4621" i="1" a="1"/>
  <c r="E4621" i="1" s="1"/>
  <c r="D4621" i="1"/>
  <c r="C4621" i="1"/>
  <c r="B4621" i="1"/>
  <c r="A4621" i="1"/>
  <c r="F4620" i="1"/>
  <c r="F4620" i="1" a="1"/>
  <c r="E4620" i="1" a="1"/>
  <c r="E4620" i="1" s="1"/>
  <c r="D4620" i="1"/>
  <c r="C4620" i="1"/>
  <c r="B4620" i="1"/>
  <c r="A4620" i="1"/>
  <c r="F4619" i="1" a="1"/>
  <c r="F4619" i="1" s="1"/>
  <c r="E4619" i="1" a="1"/>
  <c r="E4619" i="1" s="1"/>
  <c r="D4619" i="1"/>
  <c r="C4619" i="1"/>
  <c r="B4619" i="1"/>
  <c r="A4619" i="1"/>
  <c r="F4618" i="1"/>
  <c r="F4618" i="1" a="1"/>
  <c r="E4618" i="1" a="1"/>
  <c r="E4618" i="1" s="1"/>
  <c r="D4618" i="1"/>
  <c r="C4618" i="1"/>
  <c r="B4618" i="1"/>
  <c r="A4618" i="1"/>
  <c r="F4617" i="1"/>
  <c r="F4617" i="1" a="1"/>
  <c r="E4617" i="1" a="1"/>
  <c r="E4617" i="1" s="1"/>
  <c r="D4617" i="1"/>
  <c r="C4617" i="1"/>
  <c r="B4617" i="1"/>
  <c r="A4617" i="1"/>
  <c r="F4616" i="1" a="1"/>
  <c r="F4616" i="1" s="1"/>
  <c r="E4616" i="1" a="1"/>
  <c r="E4616" i="1" s="1"/>
  <c r="D4616" i="1"/>
  <c r="C4616" i="1"/>
  <c r="B4616" i="1"/>
  <c r="A4616" i="1"/>
  <c r="F4615" i="1"/>
  <c r="F4615" i="1" a="1"/>
  <c r="E4615" i="1" a="1"/>
  <c r="E4615" i="1" s="1"/>
  <c r="D4615" i="1"/>
  <c r="C4615" i="1"/>
  <c r="B4615" i="1"/>
  <c r="A4615" i="1"/>
  <c r="F4614" i="1" a="1"/>
  <c r="F4614" i="1" s="1"/>
  <c r="E4614" i="1" a="1"/>
  <c r="E4614" i="1" s="1"/>
  <c r="D4614" i="1"/>
  <c r="C4614" i="1"/>
  <c r="B4614" i="1"/>
  <c r="A4614" i="1"/>
  <c r="F4613" i="1" a="1"/>
  <c r="F4613" i="1" s="1"/>
  <c r="E4613" i="1" a="1"/>
  <c r="E4613" i="1" s="1"/>
  <c r="D4613" i="1"/>
  <c r="C4613" i="1"/>
  <c r="B4613" i="1"/>
  <c r="A4613" i="1"/>
  <c r="F4612" i="1"/>
  <c r="F4612" i="1" a="1"/>
  <c r="E4612" i="1" a="1"/>
  <c r="E4612" i="1" s="1"/>
  <c r="D4612" i="1"/>
  <c r="C4612" i="1"/>
  <c r="B4612" i="1"/>
  <c r="A4612" i="1"/>
  <c r="F4611" i="1" a="1"/>
  <c r="F4611" i="1" s="1"/>
  <c r="E4611" i="1" a="1"/>
  <c r="E4611" i="1" s="1"/>
  <c r="D4611" i="1"/>
  <c r="C4611" i="1"/>
  <c r="B4611" i="1"/>
  <c r="A4611" i="1"/>
  <c r="F4610" i="1"/>
  <c r="F4610" i="1" a="1"/>
  <c r="E4610" i="1" a="1"/>
  <c r="E4610" i="1" s="1"/>
  <c r="D4610" i="1"/>
  <c r="C4610" i="1"/>
  <c r="B4610" i="1"/>
  <c r="A4610" i="1"/>
  <c r="F4609" i="1"/>
  <c r="F4609" i="1" a="1"/>
  <c r="E4609" i="1" a="1"/>
  <c r="E4609" i="1" s="1"/>
  <c r="D4609" i="1"/>
  <c r="C4609" i="1"/>
  <c r="B4609" i="1"/>
  <c r="A4609" i="1"/>
  <c r="F4608" i="1" a="1"/>
  <c r="F4608" i="1" s="1"/>
  <c r="E4608" i="1" a="1"/>
  <c r="E4608" i="1" s="1"/>
  <c r="D4608" i="1"/>
  <c r="C4608" i="1"/>
  <c r="B4608" i="1"/>
  <c r="A4608" i="1"/>
  <c r="F4607" i="1"/>
  <c r="F4607" i="1" a="1"/>
  <c r="E4607" i="1" a="1"/>
  <c r="E4607" i="1" s="1"/>
  <c r="D4607" i="1"/>
  <c r="C4607" i="1"/>
  <c r="B4607" i="1"/>
  <c r="A4607" i="1"/>
  <c r="F4606" i="1" a="1"/>
  <c r="F4606" i="1" s="1"/>
  <c r="E4606" i="1" a="1"/>
  <c r="E4606" i="1" s="1"/>
  <c r="D4606" i="1"/>
  <c r="C4606" i="1"/>
  <c r="B4606" i="1"/>
  <c r="A4606" i="1"/>
  <c r="F4605" i="1" a="1"/>
  <c r="F4605" i="1" s="1"/>
  <c r="E4605" i="1" a="1"/>
  <c r="E4605" i="1" s="1"/>
  <c r="D4605" i="1"/>
  <c r="C4605" i="1"/>
  <c r="B4605" i="1"/>
  <c r="A4605" i="1"/>
  <c r="F4604" i="1"/>
  <c r="F4604" i="1" a="1"/>
  <c r="E4604" i="1" a="1"/>
  <c r="E4604" i="1" s="1"/>
  <c r="D4604" i="1"/>
  <c r="C4604" i="1"/>
  <c r="B4604" i="1"/>
  <c r="A4604" i="1"/>
  <c r="F4603" i="1" a="1"/>
  <c r="F4603" i="1" s="1"/>
  <c r="E4603" i="1" a="1"/>
  <c r="E4603" i="1" s="1"/>
  <c r="D4603" i="1"/>
  <c r="C4603" i="1"/>
  <c r="B4603" i="1"/>
  <c r="A4603" i="1"/>
  <c r="F4602" i="1"/>
  <c r="F4602" i="1" a="1"/>
  <c r="E4602" i="1" a="1"/>
  <c r="E4602" i="1" s="1"/>
  <c r="D4602" i="1"/>
  <c r="C4602" i="1"/>
  <c r="B4602" i="1"/>
  <c r="A4602" i="1"/>
  <c r="F4601" i="1"/>
  <c r="F4601" i="1" a="1"/>
  <c r="E4601" i="1" a="1"/>
  <c r="E4601" i="1" s="1"/>
  <c r="D4601" i="1"/>
  <c r="C4601" i="1"/>
  <c r="B4601" i="1"/>
  <c r="A4601" i="1"/>
  <c r="F4600" i="1" a="1"/>
  <c r="F4600" i="1" s="1"/>
  <c r="E4600" i="1" a="1"/>
  <c r="E4600" i="1" s="1"/>
  <c r="D4600" i="1"/>
  <c r="C4600" i="1"/>
  <c r="B4600" i="1"/>
  <c r="A4600" i="1"/>
  <c r="F4599" i="1"/>
  <c r="F4599" i="1" a="1"/>
  <c r="E4599" i="1" a="1"/>
  <c r="E4599" i="1" s="1"/>
  <c r="D4599" i="1"/>
  <c r="C4599" i="1"/>
  <c r="B4599" i="1"/>
  <c r="A4599" i="1"/>
  <c r="F4598" i="1" a="1"/>
  <c r="F4598" i="1" s="1"/>
  <c r="E4598" i="1" a="1"/>
  <c r="E4598" i="1" s="1"/>
  <c r="D4598" i="1"/>
  <c r="C4598" i="1"/>
  <c r="B4598" i="1"/>
  <c r="A4598" i="1"/>
  <c r="F4597" i="1" a="1"/>
  <c r="F4597" i="1" s="1"/>
  <c r="E4597" i="1" a="1"/>
  <c r="E4597" i="1" s="1"/>
  <c r="D4597" i="1"/>
  <c r="C4597" i="1"/>
  <c r="B4597" i="1"/>
  <c r="A4597" i="1"/>
  <c r="F4596" i="1"/>
  <c r="F4596" i="1" a="1"/>
  <c r="E4596" i="1" a="1"/>
  <c r="E4596" i="1" s="1"/>
  <c r="D4596" i="1"/>
  <c r="C4596" i="1"/>
  <c r="B4596" i="1"/>
  <c r="A4596" i="1"/>
  <c r="F4595" i="1" a="1"/>
  <c r="F4595" i="1" s="1"/>
  <c r="E4595" i="1" a="1"/>
  <c r="E4595" i="1" s="1"/>
  <c r="D4595" i="1"/>
  <c r="C4595" i="1"/>
  <c r="B4595" i="1"/>
  <c r="A4595" i="1"/>
  <c r="F4594" i="1"/>
  <c r="F4594" i="1" a="1"/>
  <c r="E4594" i="1" a="1"/>
  <c r="E4594" i="1" s="1"/>
  <c r="D4594" i="1"/>
  <c r="C4594" i="1"/>
  <c r="B4594" i="1"/>
  <c r="A4594" i="1"/>
  <c r="F4593" i="1"/>
  <c r="F4593" i="1" a="1"/>
  <c r="E4593" i="1" a="1"/>
  <c r="E4593" i="1" s="1"/>
  <c r="D4593" i="1"/>
  <c r="C4593" i="1"/>
  <c r="B4593" i="1"/>
  <c r="A4593" i="1"/>
  <c r="F4592" i="1" a="1"/>
  <c r="F4592" i="1" s="1"/>
  <c r="E4592" i="1" a="1"/>
  <c r="E4592" i="1" s="1"/>
  <c r="D4592" i="1"/>
  <c r="C4592" i="1"/>
  <c r="B4592" i="1"/>
  <c r="A4592" i="1"/>
  <c r="F4591" i="1"/>
  <c r="F4591" i="1" a="1"/>
  <c r="E4591" i="1" a="1"/>
  <c r="E4591" i="1" s="1"/>
  <c r="D4591" i="1"/>
  <c r="C4591" i="1"/>
  <c r="B4591" i="1"/>
  <c r="A4591" i="1"/>
  <c r="F4590" i="1" a="1"/>
  <c r="F4590" i="1" s="1"/>
  <c r="E4590" i="1" a="1"/>
  <c r="E4590" i="1" s="1"/>
  <c r="D4590" i="1"/>
  <c r="C4590" i="1"/>
  <c r="B4590" i="1"/>
  <c r="A4590" i="1"/>
  <c r="F4589" i="1" a="1"/>
  <c r="F4589" i="1" s="1"/>
  <c r="E4589" i="1" a="1"/>
  <c r="E4589" i="1" s="1"/>
  <c r="D4589" i="1"/>
  <c r="C4589" i="1"/>
  <c r="B4589" i="1"/>
  <c r="A4589" i="1"/>
  <c r="F4588" i="1"/>
  <c r="F4588" i="1" a="1"/>
  <c r="E4588" i="1" a="1"/>
  <c r="E4588" i="1" s="1"/>
  <c r="D4588" i="1"/>
  <c r="C4588" i="1"/>
  <c r="B4588" i="1"/>
  <c r="A4588" i="1"/>
  <c r="F4587" i="1" a="1"/>
  <c r="F4587" i="1" s="1"/>
  <c r="E4587" i="1" a="1"/>
  <c r="E4587" i="1" s="1"/>
  <c r="D4587" i="1"/>
  <c r="C4587" i="1"/>
  <c r="B4587" i="1"/>
  <c r="A4587" i="1"/>
  <c r="F4586" i="1"/>
  <c r="F4586" i="1" a="1"/>
  <c r="E4586" i="1" a="1"/>
  <c r="E4586" i="1" s="1"/>
  <c r="D4586" i="1"/>
  <c r="C4586" i="1"/>
  <c r="B4586" i="1"/>
  <c r="A4586" i="1"/>
  <c r="F4585" i="1"/>
  <c r="F4585" i="1" a="1"/>
  <c r="E4585" i="1" a="1"/>
  <c r="E4585" i="1" s="1"/>
  <c r="D4585" i="1"/>
  <c r="C4585" i="1"/>
  <c r="B4585" i="1"/>
  <c r="A4585" i="1"/>
  <c r="F4584" i="1" a="1"/>
  <c r="F4584" i="1" s="1"/>
  <c r="E4584" i="1" a="1"/>
  <c r="E4584" i="1" s="1"/>
  <c r="D4584" i="1"/>
  <c r="C4584" i="1"/>
  <c r="B4584" i="1"/>
  <c r="A4584" i="1"/>
  <c r="F4583" i="1"/>
  <c r="F4583" i="1" a="1"/>
  <c r="E4583" i="1" a="1"/>
  <c r="E4583" i="1" s="1"/>
  <c r="D4583" i="1"/>
  <c r="C4583" i="1"/>
  <c r="B4583" i="1"/>
  <c r="A4583" i="1"/>
  <c r="F4582" i="1" a="1"/>
  <c r="F4582" i="1" s="1"/>
  <c r="E4582" i="1" a="1"/>
  <c r="E4582" i="1" s="1"/>
  <c r="D4582" i="1"/>
  <c r="C4582" i="1"/>
  <c r="B4582" i="1"/>
  <c r="A4582" i="1"/>
  <c r="F4581" i="1" a="1"/>
  <c r="F4581" i="1" s="1"/>
  <c r="E4581" i="1" a="1"/>
  <c r="E4581" i="1" s="1"/>
  <c r="D4581" i="1"/>
  <c r="C4581" i="1"/>
  <c r="B4581" i="1"/>
  <c r="A4581" i="1"/>
  <c r="F4580" i="1"/>
  <c r="F4580" i="1" a="1"/>
  <c r="E4580" i="1" a="1"/>
  <c r="E4580" i="1" s="1"/>
  <c r="D4580" i="1"/>
  <c r="C4580" i="1"/>
  <c r="B4580" i="1"/>
  <c r="A4580" i="1"/>
  <c r="F4579" i="1" a="1"/>
  <c r="F4579" i="1" s="1"/>
  <c r="E4579" i="1" a="1"/>
  <c r="E4579" i="1" s="1"/>
  <c r="D4579" i="1"/>
  <c r="C4579" i="1"/>
  <c r="B4579" i="1"/>
  <c r="A4579" i="1"/>
  <c r="F4578" i="1"/>
  <c r="F4578" i="1" a="1"/>
  <c r="E4578" i="1" a="1"/>
  <c r="E4578" i="1" s="1"/>
  <c r="D4578" i="1"/>
  <c r="C4578" i="1"/>
  <c r="B4578" i="1"/>
  <c r="A4578" i="1"/>
  <c r="F4577" i="1"/>
  <c r="F4577" i="1" a="1"/>
  <c r="E4577" i="1" a="1"/>
  <c r="E4577" i="1" s="1"/>
  <c r="D4577" i="1"/>
  <c r="C4577" i="1"/>
  <c r="B4577" i="1"/>
  <c r="A4577" i="1"/>
  <c r="F4576" i="1" a="1"/>
  <c r="F4576" i="1" s="1"/>
  <c r="E4576" i="1" a="1"/>
  <c r="E4576" i="1" s="1"/>
  <c r="D4576" i="1"/>
  <c r="C4576" i="1"/>
  <c r="B4576" i="1"/>
  <c r="A4576" i="1"/>
  <c r="F4575" i="1"/>
  <c r="F4575" i="1" a="1"/>
  <c r="E4575" i="1" a="1"/>
  <c r="E4575" i="1" s="1"/>
  <c r="D4575" i="1"/>
  <c r="C4575" i="1"/>
  <c r="B4575" i="1"/>
  <c r="A4575" i="1"/>
  <c r="F4574" i="1" a="1"/>
  <c r="F4574" i="1" s="1"/>
  <c r="E4574" i="1" a="1"/>
  <c r="E4574" i="1" s="1"/>
  <c r="D4574" i="1"/>
  <c r="C4574" i="1"/>
  <c r="B4574" i="1"/>
  <c r="A4574" i="1"/>
  <c r="F4573" i="1" a="1"/>
  <c r="F4573" i="1" s="1"/>
  <c r="E4573" i="1" a="1"/>
  <c r="E4573" i="1" s="1"/>
  <c r="D4573" i="1"/>
  <c r="C4573" i="1"/>
  <c r="B4573" i="1"/>
  <c r="A4573" i="1"/>
  <c r="F4572" i="1"/>
  <c r="F4572" i="1" a="1"/>
  <c r="E4572" i="1" a="1"/>
  <c r="E4572" i="1" s="1"/>
  <c r="D4572" i="1"/>
  <c r="C4572" i="1"/>
  <c r="B4572" i="1"/>
  <c r="A4572" i="1"/>
  <c r="F4571" i="1" a="1"/>
  <c r="F4571" i="1" s="1"/>
  <c r="E4571" i="1" a="1"/>
  <c r="E4571" i="1" s="1"/>
  <c r="D4571" i="1"/>
  <c r="C4571" i="1"/>
  <c r="B4571" i="1"/>
  <c r="A4571" i="1"/>
  <c r="F4570" i="1"/>
  <c r="F4570" i="1" a="1"/>
  <c r="E4570" i="1" a="1"/>
  <c r="E4570" i="1" s="1"/>
  <c r="D4570" i="1"/>
  <c r="C4570" i="1"/>
  <c r="B4570" i="1"/>
  <c r="A4570" i="1"/>
  <c r="F4569" i="1"/>
  <c r="F4569" i="1" a="1"/>
  <c r="E4569" i="1" a="1"/>
  <c r="E4569" i="1" s="1"/>
  <c r="D4569" i="1"/>
  <c r="C4569" i="1"/>
  <c r="B4569" i="1"/>
  <c r="A4569" i="1"/>
  <c r="F4568" i="1" a="1"/>
  <c r="F4568" i="1" s="1"/>
  <c r="E4568" i="1" a="1"/>
  <c r="E4568" i="1" s="1"/>
  <c r="D4568" i="1"/>
  <c r="C4568" i="1"/>
  <c r="B4568" i="1"/>
  <c r="A4568" i="1"/>
  <c r="F4567" i="1"/>
  <c r="F4567" i="1" a="1"/>
  <c r="E4567" i="1" a="1"/>
  <c r="E4567" i="1" s="1"/>
  <c r="D4567" i="1"/>
  <c r="C4567" i="1"/>
  <c r="B4567" i="1"/>
  <c r="A4567" i="1"/>
  <c r="F4566" i="1" a="1"/>
  <c r="F4566" i="1" s="1"/>
  <c r="E4566" i="1" a="1"/>
  <c r="E4566" i="1" s="1"/>
  <c r="D4566" i="1"/>
  <c r="C4566" i="1"/>
  <c r="B4566" i="1"/>
  <c r="A4566" i="1"/>
  <c r="F4565" i="1" a="1"/>
  <c r="F4565" i="1" s="1"/>
  <c r="E4565" i="1" a="1"/>
  <c r="E4565" i="1" s="1"/>
  <c r="D4565" i="1"/>
  <c r="C4565" i="1"/>
  <c r="B4565" i="1"/>
  <c r="A4565" i="1"/>
  <c r="F4564" i="1"/>
  <c r="F4564" i="1" a="1"/>
  <c r="E4564" i="1" a="1"/>
  <c r="E4564" i="1" s="1"/>
  <c r="D4564" i="1"/>
  <c r="C4564" i="1"/>
  <c r="B4564" i="1"/>
  <c r="A4564" i="1"/>
  <c r="F4563" i="1" a="1"/>
  <c r="F4563" i="1" s="1"/>
  <c r="E4563" i="1" a="1"/>
  <c r="E4563" i="1" s="1"/>
  <c r="D4563" i="1"/>
  <c r="C4563" i="1"/>
  <c r="B4563" i="1"/>
  <c r="A4563" i="1"/>
  <c r="F4562" i="1"/>
  <c r="F4562" i="1" a="1"/>
  <c r="E4562" i="1" a="1"/>
  <c r="E4562" i="1" s="1"/>
  <c r="D4562" i="1"/>
  <c r="C4562" i="1"/>
  <c r="B4562" i="1"/>
  <c r="A4562" i="1"/>
  <c r="F4561" i="1"/>
  <c r="F4561" i="1" a="1"/>
  <c r="E4561" i="1" a="1"/>
  <c r="E4561" i="1" s="1"/>
  <c r="D4561" i="1"/>
  <c r="C4561" i="1"/>
  <c r="B4561" i="1"/>
  <c r="A4561" i="1"/>
  <c r="F4560" i="1" a="1"/>
  <c r="F4560" i="1" s="1"/>
  <c r="E4560" i="1" a="1"/>
  <c r="E4560" i="1" s="1"/>
  <c r="D4560" i="1"/>
  <c r="C4560" i="1"/>
  <c r="B4560" i="1"/>
  <c r="A4560" i="1"/>
  <c r="F4559" i="1"/>
  <c r="F4559" i="1" a="1"/>
  <c r="E4559" i="1" a="1"/>
  <c r="E4559" i="1" s="1"/>
  <c r="D4559" i="1"/>
  <c r="C4559" i="1"/>
  <c r="B4559" i="1"/>
  <c r="A4559" i="1"/>
  <c r="F4558" i="1" a="1"/>
  <c r="F4558" i="1" s="1"/>
  <c r="E4558" i="1" a="1"/>
  <c r="E4558" i="1" s="1"/>
  <c r="D4558" i="1"/>
  <c r="C4558" i="1"/>
  <c r="B4558" i="1"/>
  <c r="A4558" i="1"/>
  <c r="F4557" i="1" a="1"/>
  <c r="F4557" i="1" s="1"/>
  <c r="E4557" i="1" a="1"/>
  <c r="E4557" i="1" s="1"/>
  <c r="D4557" i="1"/>
  <c r="C4557" i="1"/>
  <c r="B4557" i="1"/>
  <c r="A4557" i="1"/>
  <c r="F4556" i="1"/>
  <c r="F4556" i="1" a="1"/>
  <c r="E4556" i="1" a="1"/>
  <c r="E4556" i="1" s="1"/>
  <c r="D4556" i="1"/>
  <c r="C4556" i="1"/>
  <c r="B4556" i="1"/>
  <c r="A4556" i="1"/>
  <c r="F4555" i="1" a="1"/>
  <c r="F4555" i="1" s="1"/>
  <c r="E4555" i="1" a="1"/>
  <c r="E4555" i="1" s="1"/>
  <c r="D4555" i="1"/>
  <c r="C4555" i="1"/>
  <c r="B4555" i="1"/>
  <c r="A4555" i="1"/>
  <c r="F4554" i="1"/>
  <c r="F4554" i="1" a="1"/>
  <c r="E4554" i="1" a="1"/>
  <c r="E4554" i="1" s="1"/>
  <c r="D4554" i="1"/>
  <c r="C4554" i="1"/>
  <c r="B4554" i="1"/>
  <c r="A4554" i="1"/>
  <c r="F4553" i="1"/>
  <c r="F4553" i="1" a="1"/>
  <c r="E4553" i="1" a="1"/>
  <c r="E4553" i="1" s="1"/>
  <c r="D4553" i="1"/>
  <c r="C4553" i="1"/>
  <c r="B4553" i="1"/>
  <c r="A4553" i="1"/>
  <c r="F4552" i="1" a="1"/>
  <c r="F4552" i="1" s="1"/>
  <c r="E4552" i="1" a="1"/>
  <c r="E4552" i="1" s="1"/>
  <c r="D4552" i="1"/>
  <c r="C4552" i="1"/>
  <c r="B4552" i="1"/>
  <c r="A4552" i="1"/>
  <c r="F4551" i="1"/>
  <c r="F4551" i="1" a="1"/>
  <c r="E4551" i="1" a="1"/>
  <c r="E4551" i="1" s="1"/>
  <c r="D4551" i="1"/>
  <c r="C4551" i="1"/>
  <c r="B4551" i="1"/>
  <c r="A4551" i="1"/>
  <c r="F4550" i="1" a="1"/>
  <c r="F4550" i="1" s="1"/>
  <c r="E4550" i="1" a="1"/>
  <c r="E4550" i="1" s="1"/>
  <c r="D4550" i="1"/>
  <c r="C4550" i="1"/>
  <c r="B4550" i="1"/>
  <c r="A4550" i="1"/>
  <c r="F4549" i="1" a="1"/>
  <c r="F4549" i="1" s="1"/>
  <c r="E4549" i="1" a="1"/>
  <c r="E4549" i="1" s="1"/>
  <c r="D4549" i="1"/>
  <c r="C4549" i="1"/>
  <c r="B4549" i="1"/>
  <c r="A4549" i="1"/>
  <c r="F4548" i="1"/>
  <c r="F4548" i="1" a="1"/>
  <c r="E4548" i="1" a="1"/>
  <c r="E4548" i="1" s="1"/>
  <c r="D4548" i="1"/>
  <c r="C4548" i="1"/>
  <c r="B4548" i="1"/>
  <c r="A4548" i="1"/>
  <c r="F4547" i="1" a="1"/>
  <c r="F4547" i="1" s="1"/>
  <c r="E4547" i="1" a="1"/>
  <c r="E4547" i="1" s="1"/>
  <c r="D4547" i="1"/>
  <c r="C4547" i="1"/>
  <c r="B4547" i="1"/>
  <c r="A4547" i="1"/>
  <c r="F4546" i="1"/>
  <c r="F4546" i="1" a="1"/>
  <c r="E4546" i="1" a="1"/>
  <c r="E4546" i="1" s="1"/>
  <c r="D4546" i="1"/>
  <c r="C4546" i="1"/>
  <c r="B4546" i="1"/>
  <c r="A4546" i="1"/>
  <c r="F4545" i="1"/>
  <c r="F4545" i="1" a="1"/>
  <c r="E4545" i="1" a="1"/>
  <c r="E4545" i="1" s="1"/>
  <c r="D4545" i="1"/>
  <c r="C4545" i="1"/>
  <c r="B4545" i="1"/>
  <c r="A4545" i="1"/>
  <c r="F4544" i="1" a="1"/>
  <c r="F4544" i="1" s="1"/>
  <c r="E4544" i="1" a="1"/>
  <c r="E4544" i="1" s="1"/>
  <c r="D4544" i="1"/>
  <c r="C4544" i="1"/>
  <c r="B4544" i="1"/>
  <c r="A4544" i="1"/>
  <c r="F4543" i="1"/>
  <c r="F4543" i="1" a="1"/>
  <c r="E4543" i="1" a="1"/>
  <c r="E4543" i="1" s="1"/>
  <c r="D4543" i="1"/>
  <c r="C4543" i="1"/>
  <c r="B4543" i="1"/>
  <c r="A4543" i="1"/>
  <c r="F4542" i="1" a="1"/>
  <c r="F4542" i="1" s="1"/>
  <c r="E4542" i="1" a="1"/>
  <c r="E4542" i="1" s="1"/>
  <c r="D4542" i="1"/>
  <c r="C4542" i="1"/>
  <c r="B4542" i="1"/>
  <c r="A4542" i="1"/>
  <c r="F4541" i="1" a="1"/>
  <c r="F4541" i="1" s="1"/>
  <c r="E4541" i="1" a="1"/>
  <c r="E4541" i="1" s="1"/>
  <c r="D4541" i="1"/>
  <c r="C4541" i="1"/>
  <c r="B4541" i="1"/>
  <c r="A4541" i="1"/>
  <c r="F4540" i="1"/>
  <c r="F4540" i="1" a="1"/>
  <c r="E4540" i="1" a="1"/>
  <c r="E4540" i="1" s="1"/>
  <c r="D4540" i="1"/>
  <c r="C4540" i="1"/>
  <c r="B4540" i="1"/>
  <c r="A4540" i="1"/>
  <c r="F4539" i="1" a="1"/>
  <c r="F4539" i="1" s="1"/>
  <c r="E4539" i="1" a="1"/>
  <c r="E4539" i="1" s="1"/>
  <c r="D4539" i="1"/>
  <c r="C4539" i="1"/>
  <c r="B4539" i="1"/>
  <c r="A4539" i="1"/>
  <c r="F4538" i="1"/>
  <c r="F4538" i="1" a="1"/>
  <c r="E4538" i="1" a="1"/>
  <c r="E4538" i="1" s="1"/>
  <c r="D4538" i="1"/>
  <c r="C4538" i="1"/>
  <c r="B4538" i="1"/>
  <c r="A4538" i="1"/>
  <c r="F4537" i="1"/>
  <c r="F4537" i="1" a="1"/>
  <c r="E4537" i="1" a="1"/>
  <c r="E4537" i="1" s="1"/>
  <c r="D4537" i="1"/>
  <c r="C4537" i="1"/>
  <c r="B4537" i="1"/>
  <c r="A4537" i="1"/>
  <c r="F4536" i="1" a="1"/>
  <c r="F4536" i="1" s="1"/>
  <c r="E4536" i="1" a="1"/>
  <c r="E4536" i="1" s="1"/>
  <c r="D4536" i="1"/>
  <c r="C4536" i="1"/>
  <c r="B4536" i="1"/>
  <c r="A4536" i="1"/>
  <c r="F4535" i="1"/>
  <c r="F4535" i="1" a="1"/>
  <c r="E4535" i="1" a="1"/>
  <c r="E4535" i="1" s="1"/>
  <c r="D4535" i="1"/>
  <c r="C4535" i="1"/>
  <c r="B4535" i="1"/>
  <c r="A4535" i="1"/>
  <c r="F4534" i="1" a="1"/>
  <c r="F4534" i="1" s="1"/>
  <c r="E4534" i="1" a="1"/>
  <c r="E4534" i="1" s="1"/>
  <c r="D4534" i="1"/>
  <c r="C4534" i="1"/>
  <c r="B4534" i="1"/>
  <c r="A4534" i="1"/>
  <c r="F4533" i="1" a="1"/>
  <c r="F4533" i="1" s="1"/>
  <c r="E4533" i="1" a="1"/>
  <c r="E4533" i="1" s="1"/>
  <c r="D4533" i="1"/>
  <c r="C4533" i="1"/>
  <c r="B4533" i="1"/>
  <c r="A4533" i="1"/>
  <c r="F4532" i="1"/>
  <c r="F4532" i="1" a="1"/>
  <c r="E4532" i="1" a="1"/>
  <c r="E4532" i="1" s="1"/>
  <c r="D4532" i="1"/>
  <c r="C4532" i="1"/>
  <c r="B4532" i="1"/>
  <c r="A4532" i="1"/>
  <c r="F4531" i="1" a="1"/>
  <c r="F4531" i="1" s="1"/>
  <c r="E4531" i="1" a="1"/>
  <c r="E4531" i="1" s="1"/>
  <c r="D4531" i="1"/>
  <c r="C4531" i="1"/>
  <c r="B4531" i="1"/>
  <c r="A4531" i="1"/>
  <c r="F4530" i="1"/>
  <c r="F4530" i="1" a="1"/>
  <c r="E4530" i="1" a="1"/>
  <c r="E4530" i="1" s="1"/>
  <c r="D4530" i="1"/>
  <c r="C4530" i="1"/>
  <c r="B4530" i="1"/>
  <c r="A4530" i="1"/>
  <c r="F4529" i="1"/>
  <c r="F4529" i="1" a="1"/>
  <c r="E4529" i="1" a="1"/>
  <c r="E4529" i="1" s="1"/>
  <c r="D4529" i="1"/>
  <c r="C4529" i="1"/>
  <c r="B4529" i="1"/>
  <c r="A4529" i="1"/>
  <c r="F4528" i="1" a="1"/>
  <c r="F4528" i="1" s="1"/>
  <c r="E4528" i="1" a="1"/>
  <c r="E4528" i="1" s="1"/>
  <c r="D4528" i="1"/>
  <c r="C4528" i="1"/>
  <c r="B4528" i="1"/>
  <c r="A4528" i="1"/>
  <c r="F4527" i="1"/>
  <c r="F4527" i="1" a="1"/>
  <c r="E4527" i="1" a="1"/>
  <c r="E4527" i="1" s="1"/>
  <c r="D4527" i="1"/>
  <c r="C4527" i="1"/>
  <c r="B4527" i="1"/>
  <c r="A4527" i="1"/>
  <c r="F4526" i="1" a="1"/>
  <c r="F4526" i="1" s="1"/>
  <c r="E4526" i="1" a="1"/>
  <c r="E4526" i="1" s="1"/>
  <c r="D4526" i="1"/>
  <c r="C4526" i="1"/>
  <c r="B4526" i="1"/>
  <c r="A4526" i="1"/>
  <c r="F4525" i="1" a="1"/>
  <c r="F4525" i="1" s="1"/>
  <c r="E4525" i="1" a="1"/>
  <c r="E4525" i="1" s="1"/>
  <c r="D4525" i="1"/>
  <c r="C4525" i="1"/>
  <c r="B4525" i="1"/>
  <c r="A4525" i="1"/>
  <c r="F4524" i="1"/>
  <c r="F4524" i="1" a="1"/>
  <c r="E4524" i="1" a="1"/>
  <c r="E4524" i="1" s="1"/>
  <c r="D4524" i="1"/>
  <c r="C4524" i="1"/>
  <c r="B4524" i="1"/>
  <c r="A4524" i="1"/>
  <c r="F4523" i="1" a="1"/>
  <c r="F4523" i="1" s="1"/>
  <c r="E4523" i="1" a="1"/>
  <c r="E4523" i="1" s="1"/>
  <c r="D4523" i="1"/>
  <c r="C4523" i="1"/>
  <c r="B4523" i="1"/>
  <c r="A4523" i="1"/>
  <c r="F4522" i="1"/>
  <c r="F4522" i="1" a="1"/>
  <c r="E4522" i="1" a="1"/>
  <c r="E4522" i="1" s="1"/>
  <c r="D4522" i="1"/>
  <c r="C4522" i="1"/>
  <c r="B4522" i="1"/>
  <c r="A4522" i="1"/>
  <c r="F4521" i="1"/>
  <c r="F4521" i="1" a="1"/>
  <c r="E4521" i="1" a="1"/>
  <c r="E4521" i="1" s="1"/>
  <c r="D4521" i="1"/>
  <c r="C4521" i="1"/>
  <c r="B4521" i="1"/>
  <c r="A4521" i="1"/>
  <c r="F4520" i="1" a="1"/>
  <c r="F4520" i="1" s="1"/>
  <c r="E4520" i="1" a="1"/>
  <c r="E4520" i="1" s="1"/>
  <c r="D4520" i="1"/>
  <c r="C4520" i="1"/>
  <c r="B4520" i="1"/>
  <c r="A4520" i="1"/>
  <c r="F4519" i="1"/>
  <c r="F4519" i="1" a="1"/>
  <c r="E4519" i="1" a="1"/>
  <c r="E4519" i="1" s="1"/>
  <c r="D4519" i="1"/>
  <c r="C4519" i="1"/>
  <c r="B4519" i="1"/>
  <c r="A4519" i="1"/>
  <c r="F4518" i="1" a="1"/>
  <c r="F4518" i="1" s="1"/>
  <c r="E4518" i="1" a="1"/>
  <c r="E4518" i="1" s="1"/>
  <c r="D4518" i="1"/>
  <c r="C4518" i="1"/>
  <c r="B4518" i="1"/>
  <c r="A4518" i="1"/>
  <c r="F4517" i="1" a="1"/>
  <c r="F4517" i="1" s="1"/>
  <c r="E4517" i="1" a="1"/>
  <c r="E4517" i="1" s="1"/>
  <c r="D4517" i="1"/>
  <c r="C4517" i="1"/>
  <c r="B4517" i="1"/>
  <c r="A4517" i="1"/>
  <c r="F4516" i="1"/>
  <c r="F4516" i="1" a="1"/>
  <c r="E4516" i="1" a="1"/>
  <c r="E4516" i="1" s="1"/>
  <c r="D4516" i="1"/>
  <c r="C4516" i="1"/>
  <c r="B4516" i="1"/>
  <c r="A4516" i="1"/>
  <c r="F4515" i="1" a="1"/>
  <c r="F4515" i="1" s="1"/>
  <c r="E4515" i="1" a="1"/>
  <c r="E4515" i="1" s="1"/>
  <c r="D4515" i="1"/>
  <c r="C4515" i="1"/>
  <c r="B4515" i="1"/>
  <c r="A4515" i="1"/>
  <c r="F4514" i="1"/>
  <c r="F4514" i="1" a="1"/>
  <c r="E4514" i="1" a="1"/>
  <c r="E4514" i="1" s="1"/>
  <c r="D4514" i="1"/>
  <c r="C4514" i="1"/>
  <c r="B4514" i="1"/>
  <c r="A4514" i="1"/>
  <c r="F4513" i="1"/>
  <c r="F4513" i="1" a="1"/>
  <c r="E4513" i="1" a="1"/>
  <c r="E4513" i="1" s="1"/>
  <c r="D4513" i="1"/>
  <c r="C4513" i="1"/>
  <c r="B4513" i="1"/>
  <c r="A4513" i="1"/>
  <c r="F4512" i="1" a="1"/>
  <c r="F4512" i="1" s="1"/>
  <c r="E4512" i="1" a="1"/>
  <c r="E4512" i="1" s="1"/>
  <c r="D4512" i="1"/>
  <c r="C4512" i="1"/>
  <c r="B4512" i="1"/>
  <c r="A4512" i="1"/>
  <c r="F4511" i="1"/>
  <c r="F4511" i="1" a="1"/>
  <c r="E4511" i="1" a="1"/>
  <c r="E4511" i="1" s="1"/>
  <c r="D4511" i="1"/>
  <c r="C4511" i="1"/>
  <c r="B4511" i="1"/>
  <c r="A4511" i="1"/>
  <c r="F4510" i="1" a="1"/>
  <c r="F4510" i="1" s="1"/>
  <c r="E4510" i="1" a="1"/>
  <c r="E4510" i="1" s="1"/>
  <c r="D4510" i="1"/>
  <c r="C4510" i="1"/>
  <c r="B4510" i="1"/>
  <c r="A4510" i="1"/>
  <c r="F4509" i="1" a="1"/>
  <c r="F4509" i="1" s="1"/>
  <c r="E4509" i="1" a="1"/>
  <c r="E4509" i="1" s="1"/>
  <c r="D4509" i="1"/>
  <c r="C4509" i="1"/>
  <c r="B4509" i="1"/>
  <c r="A4509" i="1"/>
  <c r="F4508" i="1"/>
  <c r="F4508" i="1" a="1"/>
  <c r="E4508" i="1" a="1"/>
  <c r="E4508" i="1" s="1"/>
  <c r="D4508" i="1"/>
  <c r="C4508" i="1"/>
  <c r="B4508" i="1"/>
  <c r="A4508" i="1"/>
  <c r="F4507" i="1" a="1"/>
  <c r="F4507" i="1" s="1"/>
  <c r="E4507" i="1" a="1"/>
  <c r="E4507" i="1" s="1"/>
  <c r="D4507" i="1"/>
  <c r="C4507" i="1"/>
  <c r="B4507" i="1"/>
  <c r="A4507" i="1"/>
  <c r="F4506" i="1"/>
  <c r="F4506" i="1" a="1"/>
  <c r="E4506" i="1" a="1"/>
  <c r="E4506" i="1" s="1"/>
  <c r="D4506" i="1"/>
  <c r="C4506" i="1"/>
  <c r="B4506" i="1"/>
  <c r="A4506" i="1"/>
  <c r="F4505" i="1"/>
  <c r="F4505" i="1" a="1"/>
  <c r="E4505" i="1" a="1"/>
  <c r="E4505" i="1" s="1"/>
  <c r="D4505" i="1"/>
  <c r="C4505" i="1"/>
  <c r="B4505" i="1"/>
  <c r="A4505" i="1"/>
  <c r="F4504" i="1" a="1"/>
  <c r="F4504" i="1" s="1"/>
  <c r="E4504" i="1" a="1"/>
  <c r="E4504" i="1" s="1"/>
  <c r="D4504" i="1"/>
  <c r="C4504" i="1"/>
  <c r="B4504" i="1"/>
  <c r="A4504" i="1"/>
  <c r="F4503" i="1"/>
  <c r="F4503" i="1" a="1"/>
  <c r="E4503" i="1" a="1"/>
  <c r="E4503" i="1" s="1"/>
  <c r="D4503" i="1"/>
  <c r="C4503" i="1"/>
  <c r="B4503" i="1"/>
  <c r="A4503" i="1"/>
  <c r="F4502" i="1" a="1"/>
  <c r="F4502" i="1" s="1"/>
  <c r="E4502" i="1" a="1"/>
  <c r="E4502" i="1" s="1"/>
  <c r="D4502" i="1"/>
  <c r="C4502" i="1"/>
  <c r="B4502" i="1"/>
  <c r="A4502" i="1"/>
  <c r="F4501" i="1" a="1"/>
  <c r="F4501" i="1" s="1"/>
  <c r="E4501" i="1" a="1"/>
  <c r="E4501" i="1" s="1"/>
  <c r="D4501" i="1"/>
  <c r="C4501" i="1"/>
  <c r="B4501" i="1"/>
  <c r="A4501" i="1"/>
  <c r="F4500" i="1"/>
  <c r="F4500" i="1" a="1"/>
  <c r="E4500" i="1" a="1"/>
  <c r="E4500" i="1" s="1"/>
  <c r="D4500" i="1"/>
  <c r="C4500" i="1"/>
  <c r="B4500" i="1"/>
  <c r="A4500" i="1"/>
  <c r="F4499" i="1" a="1"/>
  <c r="F4499" i="1" s="1"/>
  <c r="E4499" i="1" a="1"/>
  <c r="E4499" i="1" s="1"/>
  <c r="D4499" i="1"/>
  <c r="C4499" i="1"/>
  <c r="B4499" i="1"/>
  <c r="A4499" i="1"/>
  <c r="F4498" i="1"/>
  <c r="F4498" i="1" a="1"/>
  <c r="E4498" i="1" a="1"/>
  <c r="E4498" i="1" s="1"/>
  <c r="D4498" i="1"/>
  <c r="C4498" i="1"/>
  <c r="B4498" i="1"/>
  <c r="A4498" i="1"/>
  <c r="F4497" i="1"/>
  <c r="F4497" i="1" a="1"/>
  <c r="E4497" i="1" a="1"/>
  <c r="E4497" i="1" s="1"/>
  <c r="D4497" i="1"/>
  <c r="C4497" i="1"/>
  <c r="B4497" i="1"/>
  <c r="A4497" i="1"/>
  <c r="F4496" i="1" a="1"/>
  <c r="F4496" i="1" s="1"/>
  <c r="E4496" i="1" a="1"/>
  <c r="E4496" i="1" s="1"/>
  <c r="D4496" i="1"/>
  <c r="C4496" i="1"/>
  <c r="B4496" i="1"/>
  <c r="A4496" i="1"/>
  <c r="F4495" i="1"/>
  <c r="F4495" i="1" a="1"/>
  <c r="E4495" i="1" a="1"/>
  <c r="E4495" i="1" s="1"/>
  <c r="D4495" i="1"/>
  <c r="C4495" i="1"/>
  <c r="B4495" i="1"/>
  <c r="A4495" i="1"/>
  <c r="F4494" i="1" a="1"/>
  <c r="F4494" i="1" s="1"/>
  <c r="E4494" i="1" a="1"/>
  <c r="E4494" i="1" s="1"/>
  <c r="D4494" i="1"/>
  <c r="C4494" i="1"/>
  <c r="B4494" i="1"/>
  <c r="A4494" i="1"/>
  <c r="F4493" i="1" a="1"/>
  <c r="F4493" i="1" s="1"/>
  <c r="E4493" i="1" a="1"/>
  <c r="E4493" i="1" s="1"/>
  <c r="D4493" i="1"/>
  <c r="C4493" i="1"/>
  <c r="B4493" i="1"/>
  <c r="A4493" i="1"/>
  <c r="F4492" i="1"/>
  <c r="F4492" i="1" a="1"/>
  <c r="E4492" i="1" a="1"/>
  <c r="E4492" i="1" s="1"/>
  <c r="D4492" i="1"/>
  <c r="C4492" i="1"/>
  <c r="B4492" i="1"/>
  <c r="A4492" i="1"/>
  <c r="F4491" i="1" a="1"/>
  <c r="F4491" i="1" s="1"/>
  <c r="E4491" i="1" a="1"/>
  <c r="E4491" i="1" s="1"/>
  <c r="D4491" i="1"/>
  <c r="C4491" i="1"/>
  <c r="B4491" i="1"/>
  <c r="A4491" i="1"/>
  <c r="F4490" i="1"/>
  <c r="F4490" i="1" a="1"/>
  <c r="E4490" i="1" a="1"/>
  <c r="E4490" i="1" s="1"/>
  <c r="D4490" i="1"/>
  <c r="C4490" i="1"/>
  <c r="B4490" i="1"/>
  <c r="A4490" i="1"/>
  <c r="F4489" i="1"/>
  <c r="F4489" i="1" a="1"/>
  <c r="E4489" i="1" a="1"/>
  <c r="E4489" i="1" s="1"/>
  <c r="D4489" i="1"/>
  <c r="C4489" i="1"/>
  <c r="B4489" i="1"/>
  <c r="A4489" i="1"/>
  <c r="F4488" i="1" a="1"/>
  <c r="F4488" i="1" s="1"/>
  <c r="E4488" i="1" a="1"/>
  <c r="E4488" i="1" s="1"/>
  <c r="D4488" i="1"/>
  <c r="C4488" i="1"/>
  <c r="B4488" i="1"/>
  <c r="A4488" i="1"/>
  <c r="F4487" i="1"/>
  <c r="F4487" i="1" a="1"/>
  <c r="E4487" i="1" a="1"/>
  <c r="E4487" i="1" s="1"/>
  <c r="D4487" i="1"/>
  <c r="C4487" i="1"/>
  <c r="B4487" i="1"/>
  <c r="A4487" i="1"/>
  <c r="F4486" i="1" a="1"/>
  <c r="F4486" i="1" s="1"/>
  <c r="E4486" i="1" a="1"/>
  <c r="E4486" i="1" s="1"/>
  <c r="D4486" i="1"/>
  <c r="C4486" i="1"/>
  <c r="B4486" i="1"/>
  <c r="A4486" i="1"/>
  <c r="F4485" i="1" a="1"/>
  <c r="F4485" i="1" s="1"/>
  <c r="E4485" i="1" a="1"/>
  <c r="E4485" i="1" s="1"/>
  <c r="D4485" i="1"/>
  <c r="C4485" i="1"/>
  <c r="B4485" i="1"/>
  <c r="A4485" i="1"/>
  <c r="F4484" i="1"/>
  <c r="F4484" i="1" a="1"/>
  <c r="E4484" i="1" a="1"/>
  <c r="E4484" i="1" s="1"/>
  <c r="D4484" i="1"/>
  <c r="C4484" i="1"/>
  <c r="B4484" i="1"/>
  <c r="A4484" i="1"/>
  <c r="F4483" i="1" a="1"/>
  <c r="F4483" i="1" s="1"/>
  <c r="E4483" i="1" a="1"/>
  <c r="E4483" i="1" s="1"/>
  <c r="D4483" i="1"/>
  <c r="C4483" i="1"/>
  <c r="B4483" i="1"/>
  <c r="A4483" i="1"/>
  <c r="F4482" i="1"/>
  <c r="F4482" i="1" a="1"/>
  <c r="E4482" i="1" a="1"/>
  <c r="E4482" i="1" s="1"/>
  <c r="D4482" i="1"/>
  <c r="C4482" i="1"/>
  <c r="B4482" i="1"/>
  <c r="A4482" i="1"/>
  <c r="F4481" i="1"/>
  <c r="F4481" i="1" a="1"/>
  <c r="E4481" i="1" a="1"/>
  <c r="E4481" i="1" s="1"/>
  <c r="D4481" i="1"/>
  <c r="C4481" i="1"/>
  <c r="B4481" i="1"/>
  <c r="A4481" i="1"/>
  <c r="F4480" i="1" a="1"/>
  <c r="F4480" i="1" s="1"/>
  <c r="E4480" i="1" a="1"/>
  <c r="E4480" i="1" s="1"/>
  <c r="D4480" i="1"/>
  <c r="C4480" i="1"/>
  <c r="B4480" i="1"/>
  <c r="A4480" i="1"/>
  <c r="F4479" i="1"/>
  <c r="F4479" i="1" a="1"/>
  <c r="E4479" i="1" a="1"/>
  <c r="E4479" i="1" s="1"/>
  <c r="D4479" i="1"/>
  <c r="C4479" i="1"/>
  <c r="B4479" i="1"/>
  <c r="A4479" i="1"/>
  <c r="F4478" i="1" a="1"/>
  <c r="F4478" i="1" s="1"/>
  <c r="E4478" i="1" a="1"/>
  <c r="E4478" i="1" s="1"/>
  <c r="D4478" i="1"/>
  <c r="C4478" i="1"/>
  <c r="B4478" i="1"/>
  <c r="A4478" i="1"/>
  <c r="F4477" i="1" a="1"/>
  <c r="F4477" i="1" s="1"/>
  <c r="E4477" i="1" a="1"/>
  <c r="E4477" i="1" s="1"/>
  <c r="D4477" i="1"/>
  <c r="C4477" i="1"/>
  <c r="B4477" i="1"/>
  <c r="A4477" i="1"/>
  <c r="F4476" i="1"/>
  <c r="F4476" i="1" a="1"/>
  <c r="E4476" i="1" a="1"/>
  <c r="E4476" i="1" s="1"/>
  <c r="D4476" i="1"/>
  <c r="C4476" i="1"/>
  <c r="B4476" i="1"/>
  <c r="A4476" i="1"/>
  <c r="F4475" i="1" a="1"/>
  <c r="F4475" i="1" s="1"/>
  <c r="E4475" i="1" a="1"/>
  <c r="E4475" i="1" s="1"/>
  <c r="D4475" i="1"/>
  <c r="C4475" i="1"/>
  <c r="B4475" i="1"/>
  <c r="A4475" i="1"/>
  <c r="F4474" i="1"/>
  <c r="F4474" i="1" a="1"/>
  <c r="E4474" i="1" a="1"/>
  <c r="E4474" i="1" s="1"/>
  <c r="D4474" i="1"/>
  <c r="C4474" i="1"/>
  <c r="B4474" i="1"/>
  <c r="A4474" i="1"/>
  <c r="F4473" i="1"/>
  <c r="F4473" i="1" a="1"/>
  <c r="E4473" i="1" a="1"/>
  <c r="E4473" i="1" s="1"/>
  <c r="D4473" i="1"/>
  <c r="C4473" i="1"/>
  <c r="B4473" i="1"/>
  <c r="A4473" i="1"/>
  <c r="F4472" i="1" a="1"/>
  <c r="F4472" i="1" s="1"/>
  <c r="E4472" i="1" a="1"/>
  <c r="E4472" i="1" s="1"/>
  <c r="D4472" i="1"/>
  <c r="C4472" i="1"/>
  <c r="B4472" i="1"/>
  <c r="A4472" i="1"/>
  <c r="F4471" i="1"/>
  <c r="F4471" i="1" a="1"/>
  <c r="E4471" i="1" a="1"/>
  <c r="E4471" i="1" s="1"/>
  <c r="D4471" i="1"/>
  <c r="C4471" i="1"/>
  <c r="B4471" i="1"/>
  <c r="A4471" i="1"/>
  <c r="F4470" i="1" a="1"/>
  <c r="F4470" i="1" s="1"/>
  <c r="E4470" i="1" a="1"/>
  <c r="E4470" i="1" s="1"/>
  <c r="D4470" i="1"/>
  <c r="C4470" i="1"/>
  <c r="B4470" i="1"/>
  <c r="A4470" i="1"/>
  <c r="F4469" i="1" a="1"/>
  <c r="F4469" i="1" s="1"/>
  <c r="E4469" i="1" a="1"/>
  <c r="E4469" i="1" s="1"/>
  <c r="D4469" i="1"/>
  <c r="C4469" i="1"/>
  <c r="B4469" i="1"/>
  <c r="A4469" i="1"/>
  <c r="F4468" i="1"/>
  <c r="F4468" i="1" a="1"/>
  <c r="E4468" i="1" a="1"/>
  <c r="E4468" i="1" s="1"/>
  <c r="D4468" i="1"/>
  <c r="C4468" i="1"/>
  <c r="B4468" i="1"/>
  <c r="A4468" i="1"/>
  <c r="F4467" i="1" a="1"/>
  <c r="F4467" i="1" s="1"/>
  <c r="E4467" i="1" a="1"/>
  <c r="E4467" i="1" s="1"/>
  <c r="D4467" i="1"/>
  <c r="C4467" i="1"/>
  <c r="B4467" i="1"/>
  <c r="A4467" i="1"/>
  <c r="F4466" i="1"/>
  <c r="F4466" i="1" a="1"/>
  <c r="E4466" i="1" a="1"/>
  <c r="E4466" i="1" s="1"/>
  <c r="D4466" i="1"/>
  <c r="C4466" i="1"/>
  <c r="B4466" i="1"/>
  <c r="A4466" i="1"/>
  <c r="F4465" i="1"/>
  <c r="F4465" i="1" a="1"/>
  <c r="E4465" i="1" a="1"/>
  <c r="E4465" i="1" s="1"/>
  <c r="D4465" i="1"/>
  <c r="C4465" i="1"/>
  <c r="B4465" i="1"/>
  <c r="A4465" i="1"/>
  <c r="F4464" i="1" a="1"/>
  <c r="F4464" i="1" s="1"/>
  <c r="E4464" i="1" a="1"/>
  <c r="E4464" i="1" s="1"/>
  <c r="D4464" i="1"/>
  <c r="C4464" i="1"/>
  <c r="B4464" i="1"/>
  <c r="A4464" i="1"/>
  <c r="F4463" i="1"/>
  <c r="F4463" i="1" a="1"/>
  <c r="E4463" i="1" a="1"/>
  <c r="E4463" i="1" s="1"/>
  <c r="D4463" i="1"/>
  <c r="C4463" i="1"/>
  <c r="B4463" i="1"/>
  <c r="A4463" i="1"/>
  <c r="F4462" i="1" a="1"/>
  <c r="F4462" i="1" s="1"/>
  <c r="E4462" i="1" a="1"/>
  <c r="E4462" i="1" s="1"/>
  <c r="D4462" i="1"/>
  <c r="C4462" i="1"/>
  <c r="B4462" i="1"/>
  <c r="A4462" i="1"/>
  <c r="F4461" i="1" a="1"/>
  <c r="F4461" i="1" s="1"/>
  <c r="E4461" i="1" a="1"/>
  <c r="E4461" i="1" s="1"/>
  <c r="D4461" i="1"/>
  <c r="C4461" i="1"/>
  <c r="B4461" i="1"/>
  <c r="A4461" i="1"/>
  <c r="F4460" i="1"/>
  <c r="F4460" i="1" a="1"/>
  <c r="E4460" i="1" a="1"/>
  <c r="E4460" i="1" s="1"/>
  <c r="D4460" i="1"/>
  <c r="C4460" i="1"/>
  <c r="B4460" i="1"/>
  <c r="A4460" i="1"/>
  <c r="F4459" i="1" a="1"/>
  <c r="F4459" i="1" s="1"/>
  <c r="E4459" i="1" a="1"/>
  <c r="E4459" i="1" s="1"/>
  <c r="D4459" i="1"/>
  <c r="C4459" i="1"/>
  <c r="B4459" i="1"/>
  <c r="A4459" i="1"/>
  <c r="F4458" i="1"/>
  <c r="F4458" i="1" a="1"/>
  <c r="E4458" i="1" a="1"/>
  <c r="E4458" i="1" s="1"/>
  <c r="D4458" i="1"/>
  <c r="C4458" i="1"/>
  <c r="B4458" i="1"/>
  <c r="A4458" i="1"/>
  <c r="F4457" i="1"/>
  <c r="F4457" i="1" a="1"/>
  <c r="E4457" i="1" a="1"/>
  <c r="E4457" i="1" s="1"/>
  <c r="D4457" i="1"/>
  <c r="C4457" i="1"/>
  <c r="B4457" i="1"/>
  <c r="A4457" i="1"/>
  <c r="F4456" i="1" a="1"/>
  <c r="F4456" i="1" s="1"/>
  <c r="E4456" i="1" a="1"/>
  <c r="E4456" i="1" s="1"/>
  <c r="D4456" i="1"/>
  <c r="C4456" i="1"/>
  <c r="B4456" i="1"/>
  <c r="A4456" i="1"/>
  <c r="F4455" i="1"/>
  <c r="F4455" i="1" a="1"/>
  <c r="E4455" i="1" a="1"/>
  <c r="E4455" i="1" s="1"/>
  <c r="D4455" i="1"/>
  <c r="C4455" i="1"/>
  <c r="B4455" i="1"/>
  <c r="A4455" i="1"/>
  <c r="F4454" i="1" a="1"/>
  <c r="F4454" i="1" s="1"/>
  <c r="E4454" i="1" a="1"/>
  <c r="E4454" i="1" s="1"/>
  <c r="D4454" i="1"/>
  <c r="C4454" i="1"/>
  <c r="B4454" i="1"/>
  <c r="A4454" i="1"/>
  <c r="F4453" i="1" a="1"/>
  <c r="F4453" i="1" s="1"/>
  <c r="E4453" i="1" a="1"/>
  <c r="E4453" i="1" s="1"/>
  <c r="D4453" i="1"/>
  <c r="C4453" i="1"/>
  <c r="B4453" i="1"/>
  <c r="A4453" i="1"/>
  <c r="F4452" i="1"/>
  <c r="F4452" i="1" a="1"/>
  <c r="E4452" i="1" a="1"/>
  <c r="E4452" i="1" s="1"/>
  <c r="D4452" i="1"/>
  <c r="C4452" i="1"/>
  <c r="B4452" i="1"/>
  <c r="A4452" i="1"/>
  <c r="F4451" i="1" a="1"/>
  <c r="F4451" i="1" s="1"/>
  <c r="E4451" i="1" a="1"/>
  <c r="E4451" i="1" s="1"/>
  <c r="D4451" i="1"/>
  <c r="C4451" i="1"/>
  <c r="B4451" i="1"/>
  <c r="A4451" i="1"/>
  <c r="F4450" i="1"/>
  <c r="F4450" i="1" a="1"/>
  <c r="E4450" i="1" a="1"/>
  <c r="E4450" i="1" s="1"/>
  <c r="D4450" i="1"/>
  <c r="C4450" i="1"/>
  <c r="B4450" i="1"/>
  <c r="A4450" i="1"/>
  <c r="F4449" i="1"/>
  <c r="F4449" i="1" a="1"/>
  <c r="E4449" i="1" a="1"/>
  <c r="E4449" i="1" s="1"/>
  <c r="D4449" i="1"/>
  <c r="C4449" i="1"/>
  <c r="B4449" i="1"/>
  <c r="A4449" i="1"/>
  <c r="F4448" i="1" a="1"/>
  <c r="F4448" i="1" s="1"/>
  <c r="E4448" i="1" a="1"/>
  <c r="E4448" i="1" s="1"/>
  <c r="D4448" i="1"/>
  <c r="C4448" i="1"/>
  <c r="B4448" i="1"/>
  <c r="A4448" i="1"/>
  <c r="F4447" i="1"/>
  <c r="F4447" i="1" a="1"/>
  <c r="E4447" i="1" a="1"/>
  <c r="E4447" i="1" s="1"/>
  <c r="D4447" i="1"/>
  <c r="C4447" i="1"/>
  <c r="B4447" i="1"/>
  <c r="A4447" i="1"/>
  <c r="F4446" i="1" a="1"/>
  <c r="F4446" i="1" s="1"/>
  <c r="E4446" i="1" a="1"/>
  <c r="E4446" i="1" s="1"/>
  <c r="D4446" i="1"/>
  <c r="C4446" i="1"/>
  <c r="B4446" i="1"/>
  <c r="A4446" i="1"/>
  <c r="F4445" i="1"/>
  <c r="F4445" i="1" a="1"/>
  <c r="E4445" i="1" a="1"/>
  <c r="E4445" i="1" s="1"/>
  <c r="D4445" i="1"/>
  <c r="C4445" i="1"/>
  <c r="B4445" i="1"/>
  <c r="A4445" i="1"/>
  <c r="F4444" i="1"/>
  <c r="F4444" i="1" a="1"/>
  <c r="E4444" i="1" a="1"/>
  <c r="E4444" i="1" s="1"/>
  <c r="D4444" i="1"/>
  <c r="C4444" i="1"/>
  <c r="B4444" i="1"/>
  <c r="A4444" i="1"/>
  <c r="F4443" i="1" a="1"/>
  <c r="F4443" i="1" s="1"/>
  <c r="E4443" i="1" a="1"/>
  <c r="E4443" i="1" s="1"/>
  <c r="D4443" i="1"/>
  <c r="C4443" i="1"/>
  <c r="B4443" i="1"/>
  <c r="A4443" i="1"/>
  <c r="F4442" i="1"/>
  <c r="F4442" i="1" a="1"/>
  <c r="E4442" i="1" a="1"/>
  <c r="E4442" i="1" s="1"/>
  <c r="D4442" i="1"/>
  <c r="C4442" i="1"/>
  <c r="B4442" i="1"/>
  <c r="A4442" i="1"/>
  <c r="F4441" i="1" a="1"/>
  <c r="F4441" i="1" s="1"/>
  <c r="E4441" i="1" a="1"/>
  <c r="E4441" i="1" s="1"/>
  <c r="D4441" i="1"/>
  <c r="C4441" i="1"/>
  <c r="B4441" i="1"/>
  <c r="A4441" i="1"/>
  <c r="F4440" i="1" a="1"/>
  <c r="F4440" i="1" s="1"/>
  <c r="E4440" i="1" a="1"/>
  <c r="E4440" i="1" s="1"/>
  <c r="D4440" i="1"/>
  <c r="C4440" i="1"/>
  <c r="B4440" i="1"/>
  <c r="A4440" i="1"/>
  <c r="F4439" i="1"/>
  <c r="F4439" i="1" a="1"/>
  <c r="E4439" i="1" a="1"/>
  <c r="E4439" i="1" s="1"/>
  <c r="D4439" i="1"/>
  <c r="C4439" i="1"/>
  <c r="B4439" i="1"/>
  <c r="A4439" i="1"/>
  <c r="F4438" i="1" a="1"/>
  <c r="F4438" i="1" s="1"/>
  <c r="E4438" i="1" a="1"/>
  <c r="E4438" i="1" s="1"/>
  <c r="D4438" i="1"/>
  <c r="C4438" i="1"/>
  <c r="B4438" i="1"/>
  <c r="A4438" i="1"/>
  <c r="F4437" i="1" a="1"/>
  <c r="F4437" i="1" s="1"/>
  <c r="E4437" i="1" a="1"/>
  <c r="E4437" i="1" s="1"/>
  <c r="D4437" i="1"/>
  <c r="C4437" i="1"/>
  <c r="B4437" i="1"/>
  <c r="A4437" i="1"/>
  <c r="F4436" i="1" a="1"/>
  <c r="F4436" i="1" s="1"/>
  <c r="E4436" i="1"/>
  <c r="E4436" i="1" a="1"/>
  <c r="D4436" i="1"/>
  <c r="C4436" i="1"/>
  <c r="B4436" i="1"/>
  <c r="A4436" i="1"/>
  <c r="F4435" i="1" a="1"/>
  <c r="F4435" i="1" s="1"/>
  <c r="E4435" i="1" a="1"/>
  <c r="E4435" i="1" s="1"/>
  <c r="D4435" i="1"/>
  <c r="C4435" i="1"/>
  <c r="B4435" i="1"/>
  <c r="A4435" i="1"/>
  <c r="F4434" i="1" a="1"/>
  <c r="F4434" i="1" s="1"/>
  <c r="E4434" i="1" a="1"/>
  <c r="E4434" i="1" s="1"/>
  <c r="D4434" i="1"/>
  <c r="C4434" i="1"/>
  <c r="B4434" i="1"/>
  <c r="A4434" i="1"/>
  <c r="F4433" i="1" a="1"/>
  <c r="F4433" i="1" s="1"/>
  <c r="E4433" i="1"/>
  <c r="E4433" i="1" a="1"/>
  <c r="D4433" i="1"/>
  <c r="C4433" i="1"/>
  <c r="B4433" i="1"/>
  <c r="A4433" i="1"/>
  <c r="F4432" i="1" a="1"/>
  <c r="F4432" i="1" s="1"/>
  <c r="E4432" i="1"/>
  <c r="E4432" i="1" a="1"/>
  <c r="D4432" i="1"/>
  <c r="C4432" i="1"/>
  <c r="B4432" i="1"/>
  <c r="A4432" i="1"/>
  <c r="F4431" i="1" a="1"/>
  <c r="F4431" i="1" s="1"/>
  <c r="E4431" i="1" a="1"/>
  <c r="E4431" i="1" s="1"/>
  <c r="D4431" i="1"/>
  <c r="C4431" i="1"/>
  <c r="B4431" i="1"/>
  <c r="A4431" i="1"/>
  <c r="F4430" i="1" a="1"/>
  <c r="F4430" i="1" s="1"/>
  <c r="E4430" i="1" a="1"/>
  <c r="E4430" i="1" s="1"/>
  <c r="D4430" i="1"/>
  <c r="C4430" i="1"/>
  <c r="B4430" i="1"/>
  <c r="A4430" i="1"/>
  <c r="F4429" i="1" a="1"/>
  <c r="F4429" i="1" s="1"/>
  <c r="E4429" i="1" a="1"/>
  <c r="E4429" i="1" s="1"/>
  <c r="D4429" i="1"/>
  <c r="C4429" i="1"/>
  <c r="B4429" i="1"/>
  <c r="A4429" i="1"/>
  <c r="F4428" i="1" a="1"/>
  <c r="F4428" i="1" s="1"/>
  <c r="E4428" i="1"/>
  <c r="E4428" i="1" a="1"/>
  <c r="D4428" i="1"/>
  <c r="C4428" i="1"/>
  <c r="B4428" i="1"/>
  <c r="A4428" i="1"/>
  <c r="F4427" i="1" a="1"/>
  <c r="F4427" i="1" s="1"/>
  <c r="E4427" i="1" a="1"/>
  <c r="E4427" i="1" s="1"/>
  <c r="D4427" i="1"/>
  <c r="C4427" i="1"/>
  <c r="B4427" i="1"/>
  <c r="A4427" i="1"/>
  <c r="F4426" i="1" a="1"/>
  <c r="F4426" i="1" s="1"/>
  <c r="E4426" i="1" a="1"/>
  <c r="E4426" i="1" s="1"/>
  <c r="D4426" i="1"/>
  <c r="C4426" i="1"/>
  <c r="B4426" i="1"/>
  <c r="A4426" i="1"/>
  <c r="F4425" i="1" a="1"/>
  <c r="F4425" i="1" s="1"/>
  <c r="E4425" i="1"/>
  <c r="E4425" i="1" a="1"/>
  <c r="D4425" i="1"/>
  <c r="C4425" i="1"/>
  <c r="B4425" i="1"/>
  <c r="A4425" i="1"/>
  <c r="F4424" i="1" a="1"/>
  <c r="F4424" i="1" s="1"/>
  <c r="E4424" i="1"/>
  <c r="E4424" i="1" a="1"/>
  <c r="D4424" i="1"/>
  <c r="C4424" i="1"/>
  <c r="B4424" i="1"/>
  <c r="A4424" i="1"/>
  <c r="F4423" i="1" a="1"/>
  <c r="F4423" i="1" s="1"/>
  <c r="E4423" i="1" a="1"/>
  <c r="E4423" i="1" s="1"/>
  <c r="D4423" i="1"/>
  <c r="C4423" i="1"/>
  <c r="B4423" i="1"/>
  <c r="A4423" i="1"/>
  <c r="F4422" i="1" a="1"/>
  <c r="F4422" i="1" s="1"/>
  <c r="E4422" i="1" a="1"/>
  <c r="E4422" i="1" s="1"/>
  <c r="D4422" i="1"/>
  <c r="C4422" i="1"/>
  <c r="B4422" i="1"/>
  <c r="A4422" i="1"/>
  <c r="F4421" i="1" a="1"/>
  <c r="F4421" i="1" s="1"/>
  <c r="E4421" i="1" a="1"/>
  <c r="E4421" i="1" s="1"/>
  <c r="D4421" i="1"/>
  <c r="C4421" i="1"/>
  <c r="B4421" i="1"/>
  <c r="A4421" i="1"/>
  <c r="F4420" i="1" a="1"/>
  <c r="F4420" i="1" s="1"/>
  <c r="E4420" i="1"/>
  <c r="E4420" i="1" a="1"/>
  <c r="D4420" i="1"/>
  <c r="C4420" i="1"/>
  <c r="B4420" i="1"/>
  <c r="A4420" i="1"/>
  <c r="F4419" i="1" a="1"/>
  <c r="F4419" i="1" s="1"/>
  <c r="E4419" i="1" a="1"/>
  <c r="E4419" i="1" s="1"/>
  <c r="D4419" i="1"/>
  <c r="C4419" i="1"/>
  <c r="B4419" i="1"/>
  <c r="A4419" i="1"/>
  <c r="F4418" i="1" a="1"/>
  <c r="F4418" i="1" s="1"/>
  <c r="E4418" i="1" a="1"/>
  <c r="E4418" i="1" s="1"/>
  <c r="D4418" i="1"/>
  <c r="C4418" i="1"/>
  <c r="B4418" i="1"/>
  <c r="A4418" i="1"/>
  <c r="F4417" i="1" a="1"/>
  <c r="F4417" i="1" s="1"/>
  <c r="E4417" i="1"/>
  <c r="E4417" i="1" a="1"/>
  <c r="D4417" i="1"/>
  <c r="C4417" i="1"/>
  <c r="B4417" i="1"/>
  <c r="A4417" i="1"/>
  <c r="F4416" i="1" a="1"/>
  <c r="F4416" i="1" s="1"/>
  <c r="E4416" i="1"/>
  <c r="E4416" i="1" a="1"/>
  <c r="D4416" i="1"/>
  <c r="C4416" i="1"/>
  <c r="B4416" i="1"/>
  <c r="A4416" i="1"/>
  <c r="F4415" i="1" a="1"/>
  <c r="F4415" i="1" s="1"/>
  <c r="E4415" i="1" a="1"/>
  <c r="E4415" i="1" s="1"/>
  <c r="D4415" i="1"/>
  <c r="C4415" i="1"/>
  <c r="B4415" i="1"/>
  <c r="A4415" i="1"/>
  <c r="F4414" i="1" a="1"/>
  <c r="F4414" i="1" s="1"/>
  <c r="E4414" i="1" a="1"/>
  <c r="E4414" i="1" s="1"/>
  <c r="D4414" i="1"/>
  <c r="C4414" i="1"/>
  <c r="B4414" i="1"/>
  <c r="A4414" i="1"/>
  <c r="F4413" i="1" a="1"/>
  <c r="F4413" i="1" s="1"/>
  <c r="E4413" i="1" a="1"/>
  <c r="E4413" i="1" s="1"/>
  <c r="D4413" i="1"/>
  <c r="C4413" i="1"/>
  <c r="B4413" i="1"/>
  <c r="A4413" i="1"/>
  <c r="F4412" i="1" a="1"/>
  <c r="F4412" i="1" s="1"/>
  <c r="E4412" i="1"/>
  <c r="E4412" i="1" a="1"/>
  <c r="D4412" i="1"/>
  <c r="C4412" i="1"/>
  <c r="B4412" i="1"/>
  <c r="A4412" i="1"/>
  <c r="F4411" i="1" a="1"/>
  <c r="F4411" i="1" s="1"/>
  <c r="E4411" i="1" a="1"/>
  <c r="E4411" i="1" s="1"/>
  <c r="D4411" i="1"/>
  <c r="C4411" i="1"/>
  <c r="B4411" i="1"/>
  <c r="A4411" i="1"/>
  <c r="F4410" i="1" a="1"/>
  <c r="F4410" i="1" s="1"/>
  <c r="E4410" i="1" a="1"/>
  <c r="E4410" i="1" s="1"/>
  <c r="D4410" i="1"/>
  <c r="C4410" i="1"/>
  <c r="B4410" i="1"/>
  <c r="A4410" i="1"/>
  <c r="F4409" i="1" a="1"/>
  <c r="F4409" i="1" s="1"/>
  <c r="E4409" i="1" a="1"/>
  <c r="E4409" i="1" s="1"/>
  <c r="D4409" i="1"/>
  <c r="C4409" i="1"/>
  <c r="B4409" i="1"/>
  <c r="A4409" i="1"/>
  <c r="F4408" i="1" a="1"/>
  <c r="F4408" i="1" s="1"/>
  <c r="E4408" i="1"/>
  <c r="E4408" i="1" a="1"/>
  <c r="D4408" i="1"/>
  <c r="C4408" i="1"/>
  <c r="B4408" i="1"/>
  <c r="A4408" i="1"/>
  <c r="F4407" i="1" a="1"/>
  <c r="F4407" i="1" s="1"/>
  <c r="E4407" i="1" a="1"/>
  <c r="E4407" i="1" s="1"/>
  <c r="D4407" i="1"/>
  <c r="C4407" i="1"/>
  <c r="B4407" i="1"/>
  <c r="A4407" i="1"/>
  <c r="F4406" i="1" a="1"/>
  <c r="F4406" i="1" s="1"/>
  <c r="E4406" i="1" a="1"/>
  <c r="E4406" i="1" s="1"/>
  <c r="D4406" i="1"/>
  <c r="C4406" i="1"/>
  <c r="B4406" i="1"/>
  <c r="A4406" i="1"/>
  <c r="F4405" i="1" a="1"/>
  <c r="F4405" i="1" s="1"/>
  <c r="E4405" i="1" a="1"/>
  <c r="E4405" i="1" s="1"/>
  <c r="D4405" i="1"/>
  <c r="C4405" i="1"/>
  <c r="B4405" i="1"/>
  <c r="A4405" i="1"/>
  <c r="F4404" i="1" a="1"/>
  <c r="F4404" i="1" s="1"/>
  <c r="E4404" i="1"/>
  <c r="E4404" i="1" a="1"/>
  <c r="D4404" i="1"/>
  <c r="C4404" i="1"/>
  <c r="B4404" i="1"/>
  <c r="A4404" i="1"/>
  <c r="F4403" i="1" a="1"/>
  <c r="F4403" i="1" s="1"/>
  <c r="E4403" i="1" a="1"/>
  <c r="E4403" i="1" s="1"/>
  <c r="D4403" i="1"/>
  <c r="C4403" i="1"/>
  <c r="B4403" i="1"/>
  <c r="A4403" i="1"/>
  <c r="F4402" i="1" a="1"/>
  <c r="F4402" i="1" s="1"/>
  <c r="E4402" i="1" a="1"/>
  <c r="E4402" i="1" s="1"/>
  <c r="D4402" i="1"/>
  <c r="C4402" i="1"/>
  <c r="B4402" i="1"/>
  <c r="A4402" i="1"/>
  <c r="F4401" i="1" a="1"/>
  <c r="F4401" i="1" s="1"/>
  <c r="E4401" i="1" a="1"/>
  <c r="E4401" i="1" s="1"/>
  <c r="D4401" i="1"/>
  <c r="C4401" i="1"/>
  <c r="B4401" i="1"/>
  <c r="A4401" i="1"/>
  <c r="F4400" i="1" a="1"/>
  <c r="F4400" i="1" s="1"/>
  <c r="E4400" i="1" a="1"/>
  <c r="E4400" i="1" s="1"/>
  <c r="D4400" i="1"/>
  <c r="C4400" i="1"/>
  <c r="B4400" i="1"/>
  <c r="A4400" i="1"/>
  <c r="F4399" i="1" a="1"/>
  <c r="F4399" i="1" s="1"/>
  <c r="E4399" i="1" a="1"/>
  <c r="E4399" i="1" s="1"/>
  <c r="D4399" i="1"/>
  <c r="C4399" i="1"/>
  <c r="B4399" i="1"/>
  <c r="A4399" i="1"/>
  <c r="F4398" i="1" a="1"/>
  <c r="F4398" i="1" s="1"/>
  <c r="E4398" i="1" a="1"/>
  <c r="E4398" i="1" s="1"/>
  <c r="D4398" i="1"/>
  <c r="C4398" i="1"/>
  <c r="B4398" i="1"/>
  <c r="A4398" i="1"/>
  <c r="F4397" i="1" a="1"/>
  <c r="F4397" i="1" s="1"/>
  <c r="E4397" i="1" a="1"/>
  <c r="E4397" i="1" s="1"/>
  <c r="D4397" i="1"/>
  <c r="C4397" i="1"/>
  <c r="B4397" i="1"/>
  <c r="A4397" i="1"/>
  <c r="F4396" i="1" a="1"/>
  <c r="F4396" i="1" s="1"/>
  <c r="E4396" i="1"/>
  <c r="E4396" i="1" a="1"/>
  <c r="D4396" i="1"/>
  <c r="C4396" i="1"/>
  <c r="B4396" i="1"/>
  <c r="A4396" i="1"/>
  <c r="F4395" i="1" a="1"/>
  <c r="F4395" i="1" s="1"/>
  <c r="E4395" i="1" a="1"/>
  <c r="E4395" i="1" s="1"/>
  <c r="D4395" i="1"/>
  <c r="C4395" i="1"/>
  <c r="B4395" i="1"/>
  <c r="A4395" i="1"/>
  <c r="F4394" i="1" a="1"/>
  <c r="F4394" i="1" s="1"/>
  <c r="E4394" i="1" a="1"/>
  <c r="E4394" i="1" s="1"/>
  <c r="D4394" i="1"/>
  <c r="C4394" i="1"/>
  <c r="B4394" i="1"/>
  <c r="A4394" i="1"/>
  <c r="F4393" i="1" a="1"/>
  <c r="F4393" i="1" s="1"/>
  <c r="E4393" i="1" a="1"/>
  <c r="E4393" i="1" s="1"/>
  <c r="D4393" i="1"/>
  <c r="C4393" i="1"/>
  <c r="B4393" i="1"/>
  <c r="A4393" i="1"/>
  <c r="F4392" i="1" a="1"/>
  <c r="F4392" i="1" s="1"/>
  <c r="E4392" i="1" a="1"/>
  <c r="E4392" i="1" s="1"/>
  <c r="D4392" i="1"/>
  <c r="C4392" i="1"/>
  <c r="B4392" i="1"/>
  <c r="A4392" i="1"/>
  <c r="F4391" i="1" a="1"/>
  <c r="F4391" i="1" s="1"/>
  <c r="E4391" i="1" a="1"/>
  <c r="E4391" i="1" s="1"/>
  <c r="D4391" i="1"/>
  <c r="C4391" i="1"/>
  <c r="B4391" i="1"/>
  <c r="A4391" i="1"/>
  <c r="F4390" i="1" a="1"/>
  <c r="F4390" i="1" s="1"/>
  <c r="E4390" i="1" a="1"/>
  <c r="E4390" i="1" s="1"/>
  <c r="D4390" i="1"/>
  <c r="C4390" i="1"/>
  <c r="B4390" i="1"/>
  <c r="A4390" i="1"/>
  <c r="F4389" i="1" a="1"/>
  <c r="F4389" i="1" s="1"/>
  <c r="E4389" i="1" a="1"/>
  <c r="E4389" i="1" s="1"/>
  <c r="D4389" i="1"/>
  <c r="C4389" i="1"/>
  <c r="B4389" i="1"/>
  <c r="A4389" i="1"/>
  <c r="F4388" i="1" a="1"/>
  <c r="F4388" i="1" s="1"/>
  <c r="E4388" i="1"/>
  <c r="E4388" i="1" a="1"/>
  <c r="D4388" i="1"/>
  <c r="C4388" i="1"/>
  <c r="B4388" i="1"/>
  <c r="A4388" i="1"/>
  <c r="F4387" i="1" a="1"/>
  <c r="F4387" i="1" s="1"/>
  <c r="E4387" i="1" a="1"/>
  <c r="E4387" i="1" s="1"/>
  <c r="D4387" i="1"/>
  <c r="C4387" i="1"/>
  <c r="B4387" i="1"/>
  <c r="A4387" i="1"/>
  <c r="F4386" i="1" a="1"/>
  <c r="F4386" i="1" s="1"/>
  <c r="E4386" i="1" a="1"/>
  <c r="E4386" i="1" s="1"/>
  <c r="D4386" i="1"/>
  <c r="C4386" i="1"/>
  <c r="B4386" i="1"/>
  <c r="A4386" i="1"/>
  <c r="F4385" i="1" a="1"/>
  <c r="F4385" i="1" s="1"/>
  <c r="E4385" i="1" a="1"/>
  <c r="E4385" i="1" s="1"/>
  <c r="D4385" i="1"/>
  <c r="C4385" i="1"/>
  <c r="B4385" i="1"/>
  <c r="A4385" i="1"/>
  <c r="F4384" i="1" a="1"/>
  <c r="F4384" i="1" s="1"/>
  <c r="E4384" i="1" a="1"/>
  <c r="E4384" i="1" s="1"/>
  <c r="D4384" i="1"/>
  <c r="C4384" i="1"/>
  <c r="B4384" i="1"/>
  <c r="A4384" i="1"/>
  <c r="F4383" i="1" a="1"/>
  <c r="F4383" i="1" s="1"/>
  <c r="E4383" i="1" a="1"/>
  <c r="E4383" i="1" s="1"/>
  <c r="D4383" i="1"/>
  <c r="C4383" i="1"/>
  <c r="B4383" i="1"/>
  <c r="A4383" i="1"/>
  <c r="F4382" i="1" a="1"/>
  <c r="F4382" i="1" s="1"/>
  <c r="E4382" i="1" a="1"/>
  <c r="E4382" i="1" s="1"/>
  <c r="D4382" i="1"/>
  <c r="C4382" i="1"/>
  <c r="B4382" i="1"/>
  <c r="A4382" i="1"/>
  <c r="F4381" i="1" a="1"/>
  <c r="F4381" i="1" s="1"/>
  <c r="E4381" i="1" a="1"/>
  <c r="E4381" i="1" s="1"/>
  <c r="D4381" i="1"/>
  <c r="C4381" i="1"/>
  <c r="B4381" i="1"/>
  <c r="A4381" i="1"/>
  <c r="F4380" i="1" a="1"/>
  <c r="F4380" i="1" s="1"/>
  <c r="E4380" i="1"/>
  <c r="E4380" i="1" a="1"/>
  <c r="D4380" i="1"/>
  <c r="C4380" i="1"/>
  <c r="B4380" i="1"/>
  <c r="A4380" i="1"/>
  <c r="F4379" i="1" a="1"/>
  <c r="F4379" i="1" s="1"/>
  <c r="E4379" i="1" a="1"/>
  <c r="E4379" i="1" s="1"/>
  <c r="D4379" i="1"/>
  <c r="C4379" i="1"/>
  <c r="B4379" i="1"/>
  <c r="A4379" i="1"/>
  <c r="F4378" i="1" a="1"/>
  <c r="F4378" i="1" s="1"/>
  <c r="E4378" i="1" a="1"/>
  <c r="E4378" i="1" s="1"/>
  <c r="D4378" i="1"/>
  <c r="C4378" i="1"/>
  <c r="B4378" i="1"/>
  <c r="A4378" i="1"/>
  <c r="F4377" i="1" a="1"/>
  <c r="F4377" i="1" s="1"/>
  <c r="E4377" i="1" a="1"/>
  <c r="E4377" i="1" s="1"/>
  <c r="D4377" i="1"/>
  <c r="C4377" i="1"/>
  <c r="B4377" i="1"/>
  <c r="A4377" i="1"/>
  <c r="F4376" i="1" a="1"/>
  <c r="F4376" i="1" s="1"/>
  <c r="E4376" i="1" a="1"/>
  <c r="E4376" i="1" s="1"/>
  <c r="D4376" i="1"/>
  <c r="C4376" i="1"/>
  <c r="B4376" i="1"/>
  <c r="A4376" i="1"/>
  <c r="F4375" i="1" a="1"/>
  <c r="F4375" i="1" s="1"/>
  <c r="E4375" i="1" a="1"/>
  <c r="E4375" i="1" s="1"/>
  <c r="D4375" i="1"/>
  <c r="C4375" i="1"/>
  <c r="B4375" i="1"/>
  <c r="A4375" i="1"/>
  <c r="F4374" i="1" a="1"/>
  <c r="F4374" i="1" s="1"/>
  <c r="E4374" i="1" a="1"/>
  <c r="E4374" i="1" s="1"/>
  <c r="D4374" i="1"/>
  <c r="C4374" i="1"/>
  <c r="B4374" i="1"/>
  <c r="A4374" i="1"/>
  <c r="F4373" i="1" a="1"/>
  <c r="F4373" i="1" s="1"/>
  <c r="E4373" i="1" a="1"/>
  <c r="E4373" i="1" s="1"/>
  <c r="D4373" i="1"/>
  <c r="C4373" i="1"/>
  <c r="B4373" i="1"/>
  <c r="A4373" i="1"/>
  <c r="F4372" i="1" a="1"/>
  <c r="F4372" i="1" s="1"/>
  <c r="E4372" i="1"/>
  <c r="E4372" i="1" a="1"/>
  <c r="D4372" i="1"/>
  <c r="C4372" i="1"/>
  <c r="B4372" i="1"/>
  <c r="A4372" i="1"/>
  <c r="F4371" i="1" a="1"/>
  <c r="F4371" i="1" s="1"/>
  <c r="E4371" i="1" a="1"/>
  <c r="E4371" i="1" s="1"/>
  <c r="D4371" i="1"/>
  <c r="C4371" i="1"/>
  <c r="B4371" i="1"/>
  <c r="A4371" i="1"/>
  <c r="F4370" i="1" a="1"/>
  <c r="F4370" i="1" s="1"/>
  <c r="E4370" i="1" a="1"/>
  <c r="E4370" i="1" s="1"/>
  <c r="D4370" i="1"/>
  <c r="C4370" i="1"/>
  <c r="B4370" i="1"/>
  <c r="A4370" i="1"/>
  <c r="F4369" i="1" a="1"/>
  <c r="F4369" i="1" s="1"/>
  <c r="E4369" i="1" a="1"/>
  <c r="E4369" i="1" s="1"/>
  <c r="D4369" i="1"/>
  <c r="C4369" i="1"/>
  <c r="B4369" i="1"/>
  <c r="A4369" i="1"/>
  <c r="F4368" i="1" a="1"/>
  <c r="F4368" i="1" s="1"/>
  <c r="E4368" i="1" a="1"/>
  <c r="E4368" i="1" s="1"/>
  <c r="D4368" i="1"/>
  <c r="C4368" i="1"/>
  <c r="B4368" i="1"/>
  <c r="A4368" i="1"/>
  <c r="F4367" i="1" a="1"/>
  <c r="F4367" i="1" s="1"/>
  <c r="E4367" i="1" a="1"/>
  <c r="E4367" i="1" s="1"/>
  <c r="D4367" i="1"/>
  <c r="C4367" i="1"/>
  <c r="B4367" i="1"/>
  <c r="A4367" i="1"/>
  <c r="F4366" i="1" a="1"/>
  <c r="F4366" i="1" s="1"/>
  <c r="E4366" i="1" a="1"/>
  <c r="E4366" i="1" s="1"/>
  <c r="D4366" i="1"/>
  <c r="C4366" i="1"/>
  <c r="B4366" i="1"/>
  <c r="A4366" i="1"/>
  <c r="F4365" i="1" a="1"/>
  <c r="F4365" i="1" s="1"/>
  <c r="E4365" i="1" a="1"/>
  <c r="E4365" i="1" s="1"/>
  <c r="D4365" i="1"/>
  <c r="C4365" i="1"/>
  <c r="B4365" i="1"/>
  <c r="A4365" i="1"/>
  <c r="F4364" i="1" a="1"/>
  <c r="F4364" i="1" s="1"/>
  <c r="E4364" i="1"/>
  <c r="E4364" i="1" a="1"/>
  <c r="D4364" i="1"/>
  <c r="C4364" i="1"/>
  <c r="B4364" i="1"/>
  <c r="A4364" i="1"/>
  <c r="F4363" i="1" a="1"/>
  <c r="F4363" i="1" s="1"/>
  <c r="E4363" i="1" a="1"/>
  <c r="E4363" i="1" s="1"/>
  <c r="D4363" i="1"/>
  <c r="C4363" i="1"/>
  <c r="B4363" i="1"/>
  <c r="A4363" i="1"/>
  <c r="F4362" i="1" a="1"/>
  <c r="F4362" i="1" s="1"/>
  <c r="E4362" i="1" a="1"/>
  <c r="E4362" i="1" s="1"/>
  <c r="D4362" i="1"/>
  <c r="C4362" i="1"/>
  <c r="B4362" i="1"/>
  <c r="A4362" i="1"/>
  <c r="F4361" i="1" a="1"/>
  <c r="F4361" i="1" s="1"/>
  <c r="E4361" i="1" a="1"/>
  <c r="E4361" i="1" s="1"/>
  <c r="D4361" i="1"/>
  <c r="C4361" i="1"/>
  <c r="B4361" i="1"/>
  <c r="A4361" i="1"/>
  <c r="F4360" i="1" a="1"/>
  <c r="F4360" i="1" s="1"/>
  <c r="E4360" i="1" a="1"/>
  <c r="E4360" i="1" s="1"/>
  <c r="D4360" i="1"/>
  <c r="C4360" i="1"/>
  <c r="B4360" i="1"/>
  <c r="A4360" i="1"/>
  <c r="F4359" i="1" a="1"/>
  <c r="F4359" i="1" s="1"/>
  <c r="E4359" i="1" a="1"/>
  <c r="E4359" i="1" s="1"/>
  <c r="D4359" i="1"/>
  <c r="C4359" i="1"/>
  <c r="B4359" i="1"/>
  <c r="A4359" i="1"/>
  <c r="F4358" i="1" a="1"/>
  <c r="F4358" i="1" s="1"/>
  <c r="E4358" i="1" a="1"/>
  <c r="E4358" i="1" s="1"/>
  <c r="D4358" i="1"/>
  <c r="C4358" i="1"/>
  <c r="B4358" i="1"/>
  <c r="A4358" i="1"/>
  <c r="F4357" i="1" a="1"/>
  <c r="F4357" i="1" s="1"/>
  <c r="E4357" i="1" a="1"/>
  <c r="E4357" i="1" s="1"/>
  <c r="D4357" i="1"/>
  <c r="C4357" i="1"/>
  <c r="B4357" i="1"/>
  <c r="A4357" i="1"/>
  <c r="F4356" i="1" a="1"/>
  <c r="F4356" i="1" s="1"/>
  <c r="E4356" i="1"/>
  <c r="E4356" i="1" a="1"/>
  <c r="D4356" i="1"/>
  <c r="C4356" i="1"/>
  <c r="B4356" i="1"/>
  <c r="A4356" i="1"/>
  <c r="F4355" i="1" a="1"/>
  <c r="F4355" i="1" s="1"/>
  <c r="E4355" i="1" a="1"/>
  <c r="E4355" i="1" s="1"/>
  <c r="D4355" i="1"/>
  <c r="C4355" i="1"/>
  <c r="B4355" i="1"/>
  <c r="A4355" i="1"/>
  <c r="F4354" i="1" a="1"/>
  <c r="F4354" i="1" s="1"/>
  <c r="E4354" i="1" a="1"/>
  <c r="E4354" i="1" s="1"/>
  <c r="D4354" i="1"/>
  <c r="C4354" i="1"/>
  <c r="B4354" i="1"/>
  <c r="A4354" i="1"/>
  <c r="F4353" i="1" a="1"/>
  <c r="F4353" i="1" s="1"/>
  <c r="E4353" i="1" a="1"/>
  <c r="E4353" i="1" s="1"/>
  <c r="D4353" i="1"/>
  <c r="C4353" i="1"/>
  <c r="B4353" i="1"/>
  <c r="A4353" i="1"/>
  <c r="F4352" i="1" a="1"/>
  <c r="F4352" i="1" s="1"/>
  <c r="E4352" i="1" a="1"/>
  <c r="E4352" i="1" s="1"/>
  <c r="D4352" i="1"/>
  <c r="C4352" i="1"/>
  <c r="B4352" i="1"/>
  <c r="A4352" i="1"/>
  <c r="F4351" i="1" a="1"/>
  <c r="F4351" i="1" s="1"/>
  <c r="E4351" i="1" a="1"/>
  <c r="E4351" i="1" s="1"/>
  <c r="D4351" i="1"/>
  <c r="C4351" i="1"/>
  <c r="B4351" i="1"/>
  <c r="A4351" i="1"/>
  <c r="F4350" i="1" a="1"/>
  <c r="F4350" i="1" s="1"/>
  <c r="E4350" i="1" a="1"/>
  <c r="E4350" i="1" s="1"/>
  <c r="D4350" i="1"/>
  <c r="C4350" i="1"/>
  <c r="B4350" i="1"/>
  <c r="A4350" i="1"/>
  <c r="F4349" i="1" a="1"/>
  <c r="F4349" i="1" s="1"/>
  <c r="E4349" i="1" a="1"/>
  <c r="E4349" i="1" s="1"/>
  <c r="D4349" i="1"/>
  <c r="C4349" i="1"/>
  <c r="B4349" i="1"/>
  <c r="A4349" i="1"/>
  <c r="F4348" i="1" a="1"/>
  <c r="F4348" i="1" s="1"/>
  <c r="E4348" i="1"/>
  <c r="E4348" i="1" a="1"/>
  <c r="D4348" i="1"/>
  <c r="C4348" i="1"/>
  <c r="B4348" i="1"/>
  <c r="A4348" i="1"/>
  <c r="F4347" i="1" a="1"/>
  <c r="F4347" i="1" s="1"/>
  <c r="E4347" i="1" a="1"/>
  <c r="E4347" i="1" s="1"/>
  <c r="D4347" i="1"/>
  <c r="C4347" i="1"/>
  <c r="B4347" i="1"/>
  <c r="A4347" i="1"/>
  <c r="F4346" i="1" a="1"/>
  <c r="F4346" i="1" s="1"/>
  <c r="E4346" i="1" a="1"/>
  <c r="E4346" i="1" s="1"/>
  <c r="D4346" i="1"/>
  <c r="C4346" i="1"/>
  <c r="B4346" i="1"/>
  <c r="A4346" i="1"/>
  <c r="F4345" i="1" a="1"/>
  <c r="F4345" i="1" s="1"/>
  <c r="E4345" i="1" a="1"/>
  <c r="E4345" i="1" s="1"/>
  <c r="D4345" i="1"/>
  <c r="C4345" i="1"/>
  <c r="B4345" i="1"/>
  <c r="A4345" i="1"/>
  <c r="F4344" i="1" a="1"/>
  <c r="F4344" i="1" s="1"/>
  <c r="E4344" i="1" a="1"/>
  <c r="E4344" i="1" s="1"/>
  <c r="D4344" i="1"/>
  <c r="C4344" i="1"/>
  <c r="B4344" i="1"/>
  <c r="A4344" i="1"/>
  <c r="F4343" i="1" a="1"/>
  <c r="F4343" i="1" s="1"/>
  <c r="E4343" i="1" a="1"/>
  <c r="E4343" i="1" s="1"/>
  <c r="D4343" i="1"/>
  <c r="C4343" i="1"/>
  <c r="B4343" i="1"/>
  <c r="A4343" i="1"/>
  <c r="F4342" i="1" a="1"/>
  <c r="F4342" i="1" s="1"/>
  <c r="E4342" i="1" a="1"/>
  <c r="E4342" i="1" s="1"/>
  <c r="D4342" i="1"/>
  <c r="C4342" i="1"/>
  <c r="B4342" i="1"/>
  <c r="A4342" i="1"/>
  <c r="F4341" i="1" a="1"/>
  <c r="F4341" i="1" s="1"/>
  <c r="E4341" i="1" a="1"/>
  <c r="E4341" i="1" s="1"/>
  <c r="D4341" i="1"/>
  <c r="C4341" i="1"/>
  <c r="B4341" i="1"/>
  <c r="A4341" i="1"/>
  <c r="F4340" i="1" a="1"/>
  <c r="F4340" i="1" s="1"/>
  <c r="E4340" i="1"/>
  <c r="E4340" i="1" a="1"/>
  <c r="D4340" i="1"/>
  <c r="C4340" i="1"/>
  <c r="B4340" i="1"/>
  <c r="A4340" i="1"/>
  <c r="F4339" i="1" a="1"/>
  <c r="F4339" i="1" s="1"/>
  <c r="E4339" i="1" a="1"/>
  <c r="E4339" i="1" s="1"/>
  <c r="D4339" i="1"/>
  <c r="C4339" i="1"/>
  <c r="B4339" i="1"/>
  <c r="A4339" i="1"/>
  <c r="F4338" i="1" a="1"/>
  <c r="F4338" i="1" s="1"/>
  <c r="E4338" i="1" a="1"/>
  <c r="E4338" i="1" s="1"/>
  <c r="D4338" i="1"/>
  <c r="C4338" i="1"/>
  <c r="B4338" i="1"/>
  <c r="A4338" i="1"/>
  <c r="F4337" i="1" a="1"/>
  <c r="F4337" i="1" s="1"/>
  <c r="E4337" i="1" a="1"/>
  <c r="E4337" i="1" s="1"/>
  <c r="D4337" i="1"/>
  <c r="C4337" i="1"/>
  <c r="B4337" i="1"/>
  <c r="A4337" i="1"/>
  <c r="F4336" i="1" a="1"/>
  <c r="F4336" i="1" s="1"/>
  <c r="E4336" i="1" a="1"/>
  <c r="E4336" i="1" s="1"/>
  <c r="D4336" i="1"/>
  <c r="C4336" i="1"/>
  <c r="B4336" i="1"/>
  <c r="A4336" i="1"/>
  <c r="F4335" i="1" a="1"/>
  <c r="F4335" i="1" s="1"/>
  <c r="E4335" i="1" a="1"/>
  <c r="E4335" i="1" s="1"/>
  <c r="D4335" i="1"/>
  <c r="C4335" i="1"/>
  <c r="B4335" i="1"/>
  <c r="A4335" i="1"/>
  <c r="F4334" i="1" a="1"/>
  <c r="F4334" i="1" s="1"/>
  <c r="E4334" i="1" a="1"/>
  <c r="E4334" i="1" s="1"/>
  <c r="D4334" i="1"/>
  <c r="C4334" i="1"/>
  <c r="B4334" i="1"/>
  <c r="A4334" i="1"/>
  <c r="F4333" i="1" a="1"/>
  <c r="F4333" i="1" s="1"/>
  <c r="E4333" i="1" a="1"/>
  <c r="E4333" i="1" s="1"/>
  <c r="D4333" i="1"/>
  <c r="C4333" i="1"/>
  <c r="B4333" i="1"/>
  <c r="A4333" i="1"/>
  <c r="F4332" i="1" a="1"/>
  <c r="F4332" i="1" s="1"/>
  <c r="E4332" i="1"/>
  <c r="E4332" i="1" a="1"/>
  <c r="D4332" i="1"/>
  <c r="C4332" i="1"/>
  <c r="B4332" i="1"/>
  <c r="A4332" i="1"/>
  <c r="F4331" i="1" a="1"/>
  <c r="F4331" i="1" s="1"/>
  <c r="E4331" i="1" a="1"/>
  <c r="E4331" i="1" s="1"/>
  <c r="D4331" i="1"/>
  <c r="C4331" i="1"/>
  <c r="B4331" i="1"/>
  <c r="A4331" i="1"/>
  <c r="F4330" i="1" a="1"/>
  <c r="F4330" i="1" s="1"/>
  <c r="E4330" i="1" a="1"/>
  <c r="E4330" i="1" s="1"/>
  <c r="D4330" i="1"/>
  <c r="C4330" i="1"/>
  <c r="B4330" i="1"/>
  <c r="A4330" i="1"/>
  <c r="F4329" i="1" a="1"/>
  <c r="F4329" i="1" s="1"/>
  <c r="E4329" i="1" a="1"/>
  <c r="E4329" i="1" s="1"/>
  <c r="D4329" i="1"/>
  <c r="C4329" i="1"/>
  <c r="B4329" i="1"/>
  <c r="A4329" i="1"/>
  <c r="F4328" i="1" a="1"/>
  <c r="F4328" i="1" s="1"/>
  <c r="E4328" i="1" a="1"/>
  <c r="E4328" i="1" s="1"/>
  <c r="D4328" i="1"/>
  <c r="C4328" i="1"/>
  <c r="B4328" i="1"/>
  <c r="A4328" i="1"/>
  <c r="F4327" i="1" a="1"/>
  <c r="F4327" i="1" s="1"/>
  <c r="E4327" i="1" a="1"/>
  <c r="E4327" i="1" s="1"/>
  <c r="D4327" i="1"/>
  <c r="C4327" i="1"/>
  <c r="B4327" i="1"/>
  <c r="A4327" i="1"/>
  <c r="F4326" i="1" a="1"/>
  <c r="F4326" i="1" s="1"/>
  <c r="E4326" i="1" a="1"/>
  <c r="E4326" i="1" s="1"/>
  <c r="D4326" i="1"/>
  <c r="C4326" i="1"/>
  <c r="B4326" i="1"/>
  <c r="A4326" i="1"/>
  <c r="F4325" i="1" a="1"/>
  <c r="F4325" i="1" s="1"/>
  <c r="E4325" i="1" a="1"/>
  <c r="E4325" i="1" s="1"/>
  <c r="D4325" i="1"/>
  <c r="C4325" i="1"/>
  <c r="B4325" i="1"/>
  <c r="A4325" i="1"/>
  <c r="F4324" i="1" a="1"/>
  <c r="F4324" i="1" s="1"/>
  <c r="E4324" i="1"/>
  <c r="E4324" i="1" a="1"/>
  <c r="D4324" i="1"/>
  <c r="C4324" i="1"/>
  <c r="B4324" i="1"/>
  <c r="A4324" i="1"/>
  <c r="F4323" i="1" a="1"/>
  <c r="F4323" i="1" s="1"/>
  <c r="E4323" i="1" a="1"/>
  <c r="E4323" i="1" s="1"/>
  <c r="D4323" i="1"/>
  <c r="C4323" i="1"/>
  <c r="B4323" i="1"/>
  <c r="A4323" i="1"/>
  <c r="F4322" i="1" a="1"/>
  <c r="F4322" i="1" s="1"/>
  <c r="E4322" i="1" a="1"/>
  <c r="E4322" i="1" s="1"/>
  <c r="D4322" i="1"/>
  <c r="C4322" i="1"/>
  <c r="B4322" i="1"/>
  <c r="A4322" i="1"/>
  <c r="F4321" i="1" a="1"/>
  <c r="F4321" i="1" s="1"/>
  <c r="E4321" i="1" a="1"/>
  <c r="E4321" i="1" s="1"/>
  <c r="D4321" i="1"/>
  <c r="C4321" i="1"/>
  <c r="B4321" i="1"/>
  <c r="A4321" i="1"/>
  <c r="F4320" i="1" a="1"/>
  <c r="F4320" i="1" s="1"/>
  <c r="E4320" i="1" a="1"/>
  <c r="E4320" i="1" s="1"/>
  <c r="D4320" i="1"/>
  <c r="C4320" i="1"/>
  <c r="B4320" i="1"/>
  <c r="A4320" i="1"/>
  <c r="F4319" i="1" a="1"/>
  <c r="F4319" i="1" s="1"/>
  <c r="E4319" i="1" a="1"/>
  <c r="E4319" i="1" s="1"/>
  <c r="D4319" i="1"/>
  <c r="C4319" i="1"/>
  <c r="B4319" i="1"/>
  <c r="A4319" i="1"/>
  <c r="F4318" i="1" a="1"/>
  <c r="F4318" i="1" s="1"/>
  <c r="E4318" i="1" a="1"/>
  <c r="E4318" i="1" s="1"/>
  <c r="D4318" i="1"/>
  <c r="C4318" i="1"/>
  <c r="B4318" i="1"/>
  <c r="A4318" i="1"/>
  <c r="F4317" i="1" a="1"/>
  <c r="F4317" i="1" s="1"/>
  <c r="E4317" i="1" a="1"/>
  <c r="E4317" i="1" s="1"/>
  <c r="D4317" i="1"/>
  <c r="C4317" i="1"/>
  <c r="B4317" i="1"/>
  <c r="A4317" i="1"/>
  <c r="F4316" i="1" a="1"/>
  <c r="F4316" i="1" s="1"/>
  <c r="E4316" i="1"/>
  <c r="E4316" i="1" a="1"/>
  <c r="D4316" i="1"/>
  <c r="C4316" i="1"/>
  <c r="B4316" i="1"/>
  <c r="A4316" i="1"/>
  <c r="F4315" i="1" a="1"/>
  <c r="F4315" i="1" s="1"/>
  <c r="E4315" i="1"/>
  <c r="E4315" i="1" a="1"/>
  <c r="D4315" i="1"/>
  <c r="C4315" i="1"/>
  <c r="B4315" i="1"/>
  <c r="A4315" i="1"/>
  <c r="F4314" i="1" a="1"/>
  <c r="F4314" i="1" s="1"/>
  <c r="E4314" i="1" a="1"/>
  <c r="E4314" i="1" s="1"/>
  <c r="D4314" i="1"/>
  <c r="C4314" i="1"/>
  <c r="B4314" i="1"/>
  <c r="A4314" i="1"/>
  <c r="F4313" i="1" a="1"/>
  <c r="F4313" i="1" s="1"/>
  <c r="E4313" i="1"/>
  <c r="E4313" i="1" a="1"/>
  <c r="D4313" i="1"/>
  <c r="C4313" i="1"/>
  <c r="B4313" i="1"/>
  <c r="A4313" i="1"/>
  <c r="F4312" i="1" a="1"/>
  <c r="F4312" i="1" s="1"/>
  <c r="E4312" i="1" a="1"/>
  <c r="E4312" i="1" s="1"/>
  <c r="D4312" i="1"/>
  <c r="C4312" i="1"/>
  <c r="B4312" i="1"/>
  <c r="A4312" i="1"/>
  <c r="F4311" i="1" a="1"/>
  <c r="F4311" i="1" s="1"/>
  <c r="E4311" i="1" a="1"/>
  <c r="E4311" i="1" s="1"/>
  <c r="D4311" i="1"/>
  <c r="C4311" i="1"/>
  <c r="B4311" i="1"/>
  <c r="A4311" i="1"/>
  <c r="F4310" i="1" a="1"/>
  <c r="F4310" i="1" s="1"/>
  <c r="E4310" i="1" a="1"/>
  <c r="E4310" i="1" s="1"/>
  <c r="D4310" i="1"/>
  <c r="C4310" i="1"/>
  <c r="B4310" i="1"/>
  <c r="A4310" i="1"/>
  <c r="F4309" i="1"/>
  <c r="F4309" i="1" a="1"/>
  <c r="E4309" i="1" a="1"/>
  <c r="E4309" i="1" s="1"/>
  <c r="D4309" i="1"/>
  <c r="C4309" i="1"/>
  <c r="B4309" i="1"/>
  <c r="A4309" i="1"/>
  <c r="F4308" i="1"/>
  <c r="F4308" i="1" a="1"/>
  <c r="E4308" i="1" a="1"/>
  <c r="E4308" i="1" s="1"/>
  <c r="D4308" i="1"/>
  <c r="C4308" i="1"/>
  <c r="B4308" i="1"/>
  <c r="A4308" i="1"/>
  <c r="F4307" i="1" a="1"/>
  <c r="F4307" i="1" s="1"/>
  <c r="E4307" i="1" a="1"/>
  <c r="E4307" i="1" s="1"/>
  <c r="D4307" i="1"/>
  <c r="C4307" i="1"/>
  <c r="B4307" i="1"/>
  <c r="A4307" i="1"/>
  <c r="F4306" i="1"/>
  <c r="F4306" i="1" a="1"/>
  <c r="E4306" i="1" a="1"/>
  <c r="E4306" i="1" s="1"/>
  <c r="D4306" i="1"/>
  <c r="C4306" i="1"/>
  <c r="B4306" i="1"/>
  <c r="A4306" i="1"/>
  <c r="F4305" i="1" a="1"/>
  <c r="F4305" i="1" s="1"/>
  <c r="E4305" i="1" a="1"/>
  <c r="E4305" i="1" s="1"/>
  <c r="D4305" i="1"/>
  <c r="C4305" i="1"/>
  <c r="B4305" i="1"/>
  <c r="A4305" i="1"/>
  <c r="F4304" i="1" a="1"/>
  <c r="F4304" i="1" s="1"/>
  <c r="E4304" i="1" a="1"/>
  <c r="E4304" i="1" s="1"/>
  <c r="D4304" i="1"/>
  <c r="C4304" i="1"/>
  <c r="B4304" i="1"/>
  <c r="A4304" i="1"/>
  <c r="F4303" i="1"/>
  <c r="F4303" i="1" a="1"/>
  <c r="E4303" i="1" a="1"/>
  <c r="E4303" i="1" s="1"/>
  <c r="D4303" i="1"/>
  <c r="C4303" i="1"/>
  <c r="B4303" i="1"/>
  <c r="A4303" i="1"/>
  <c r="F4302" i="1"/>
  <c r="F4302" i="1" a="1"/>
  <c r="E4302" i="1" a="1"/>
  <c r="E4302" i="1" s="1"/>
  <c r="D4302" i="1"/>
  <c r="C4302" i="1"/>
  <c r="B4302" i="1"/>
  <c r="A4302" i="1"/>
  <c r="F4301" i="1" a="1"/>
  <c r="F4301" i="1" s="1"/>
  <c r="E4301" i="1" a="1"/>
  <c r="E4301" i="1" s="1"/>
  <c r="D4301" i="1"/>
  <c r="C4301" i="1"/>
  <c r="B4301" i="1"/>
  <c r="A4301" i="1"/>
  <c r="F4300" i="1"/>
  <c r="F4300" i="1" a="1"/>
  <c r="E4300" i="1" a="1"/>
  <c r="E4300" i="1" s="1"/>
  <c r="D4300" i="1"/>
  <c r="C4300" i="1"/>
  <c r="B4300" i="1"/>
  <c r="A4300" i="1"/>
  <c r="F4299" i="1" a="1"/>
  <c r="F4299" i="1" s="1"/>
  <c r="E4299" i="1" a="1"/>
  <c r="E4299" i="1" s="1"/>
  <c r="D4299" i="1"/>
  <c r="C4299" i="1"/>
  <c r="B4299" i="1"/>
  <c r="A4299" i="1"/>
  <c r="F4298" i="1"/>
  <c r="F4298" i="1" a="1"/>
  <c r="E4298" i="1" a="1"/>
  <c r="E4298" i="1" s="1"/>
  <c r="D4298" i="1"/>
  <c r="C4298" i="1"/>
  <c r="B4298" i="1"/>
  <c r="A4298" i="1"/>
  <c r="F4297" i="1" a="1"/>
  <c r="F4297" i="1" s="1"/>
  <c r="E4297" i="1" a="1"/>
  <c r="E4297" i="1" s="1"/>
  <c r="D4297" i="1"/>
  <c r="C4297" i="1"/>
  <c r="B4297" i="1"/>
  <c r="A4297" i="1"/>
  <c r="F4296" i="1" a="1"/>
  <c r="F4296" i="1" s="1"/>
  <c r="E4296" i="1" a="1"/>
  <c r="E4296" i="1" s="1"/>
  <c r="D4296" i="1"/>
  <c r="C4296" i="1"/>
  <c r="B4296" i="1"/>
  <c r="A4296" i="1"/>
  <c r="F4295" i="1"/>
  <c r="F4295" i="1" a="1"/>
  <c r="E4295" i="1" a="1"/>
  <c r="E4295" i="1" s="1"/>
  <c r="D4295" i="1"/>
  <c r="C4295" i="1"/>
  <c r="B4295" i="1"/>
  <c r="A4295" i="1"/>
  <c r="F4294" i="1"/>
  <c r="F4294" i="1" a="1"/>
  <c r="E4294" i="1" a="1"/>
  <c r="E4294" i="1" s="1"/>
  <c r="D4294" i="1"/>
  <c r="C4294" i="1"/>
  <c r="B4294" i="1"/>
  <c r="A4294" i="1"/>
  <c r="F4293" i="1" a="1"/>
  <c r="F4293" i="1" s="1"/>
  <c r="E4293" i="1" a="1"/>
  <c r="E4293" i="1" s="1"/>
  <c r="D4293" i="1"/>
  <c r="C4293" i="1"/>
  <c r="B4293" i="1"/>
  <c r="A4293" i="1"/>
  <c r="F4292" i="1"/>
  <c r="F4292" i="1" a="1"/>
  <c r="E4292" i="1" a="1"/>
  <c r="E4292" i="1" s="1"/>
  <c r="D4292" i="1"/>
  <c r="C4292" i="1"/>
  <c r="B4292" i="1"/>
  <c r="A4292" i="1"/>
  <c r="F4291" i="1" a="1"/>
  <c r="F4291" i="1" s="1"/>
  <c r="E4291" i="1" a="1"/>
  <c r="E4291" i="1" s="1"/>
  <c r="D4291" i="1"/>
  <c r="C4291" i="1"/>
  <c r="B4291" i="1"/>
  <c r="A4291" i="1"/>
  <c r="F4290" i="1"/>
  <c r="F4290" i="1" a="1"/>
  <c r="E4290" i="1" a="1"/>
  <c r="E4290" i="1" s="1"/>
  <c r="D4290" i="1"/>
  <c r="C4290" i="1"/>
  <c r="B4290" i="1"/>
  <c r="A4290" i="1"/>
  <c r="F4289" i="1" a="1"/>
  <c r="F4289" i="1" s="1"/>
  <c r="E4289" i="1" a="1"/>
  <c r="E4289" i="1" s="1"/>
  <c r="D4289" i="1"/>
  <c r="C4289" i="1"/>
  <c r="B4289" i="1"/>
  <c r="A4289" i="1"/>
  <c r="F4288" i="1" a="1"/>
  <c r="F4288" i="1" s="1"/>
  <c r="E4288" i="1" a="1"/>
  <c r="E4288" i="1" s="1"/>
  <c r="D4288" i="1"/>
  <c r="C4288" i="1"/>
  <c r="B4288" i="1"/>
  <c r="A4288" i="1"/>
  <c r="F4287" i="1"/>
  <c r="F4287" i="1" a="1"/>
  <c r="E4287" i="1" a="1"/>
  <c r="E4287" i="1" s="1"/>
  <c r="D4287" i="1"/>
  <c r="C4287" i="1"/>
  <c r="B4287" i="1"/>
  <c r="A4287" i="1"/>
  <c r="F4286" i="1"/>
  <c r="F4286" i="1" a="1"/>
  <c r="E4286" i="1" a="1"/>
  <c r="E4286" i="1" s="1"/>
  <c r="D4286" i="1"/>
  <c r="C4286" i="1"/>
  <c r="B4286" i="1"/>
  <c r="A4286" i="1"/>
  <c r="F4285" i="1" a="1"/>
  <c r="F4285" i="1" s="1"/>
  <c r="E4285" i="1" a="1"/>
  <c r="E4285" i="1" s="1"/>
  <c r="D4285" i="1"/>
  <c r="C4285" i="1"/>
  <c r="B4285" i="1"/>
  <c r="A4285" i="1"/>
  <c r="F4284" i="1"/>
  <c r="F4284" i="1" a="1"/>
  <c r="E4284" i="1" a="1"/>
  <c r="E4284" i="1" s="1"/>
  <c r="D4284" i="1"/>
  <c r="C4284" i="1"/>
  <c r="B4284" i="1"/>
  <c r="A4284" i="1"/>
  <c r="F4283" i="1" a="1"/>
  <c r="F4283" i="1" s="1"/>
  <c r="E4283" i="1" a="1"/>
  <c r="E4283" i="1" s="1"/>
  <c r="D4283" i="1"/>
  <c r="C4283" i="1"/>
  <c r="B4283" i="1"/>
  <c r="A4283" i="1"/>
  <c r="F4282" i="1"/>
  <c r="F4282" i="1" a="1"/>
  <c r="E4282" i="1" a="1"/>
  <c r="E4282" i="1" s="1"/>
  <c r="D4282" i="1"/>
  <c r="C4282" i="1"/>
  <c r="B4282" i="1"/>
  <c r="A4282" i="1"/>
  <c r="F4281" i="1" a="1"/>
  <c r="F4281" i="1" s="1"/>
  <c r="E4281" i="1" a="1"/>
  <c r="E4281" i="1" s="1"/>
  <c r="D4281" i="1"/>
  <c r="C4281" i="1"/>
  <c r="B4281" i="1"/>
  <c r="A4281" i="1"/>
  <c r="F4280" i="1"/>
  <c r="F4280" i="1" a="1"/>
  <c r="E4280" i="1" a="1"/>
  <c r="E4280" i="1" s="1"/>
  <c r="D4280" i="1"/>
  <c r="C4280" i="1"/>
  <c r="B4280" i="1"/>
  <c r="A4280" i="1"/>
  <c r="F4279" i="1"/>
  <c r="F4279" i="1" a="1"/>
  <c r="E4279" i="1" a="1"/>
  <c r="E4279" i="1" s="1"/>
  <c r="D4279" i="1"/>
  <c r="C4279" i="1"/>
  <c r="B4279" i="1"/>
  <c r="A4279" i="1"/>
  <c r="F4278" i="1"/>
  <c r="F4278" i="1" a="1"/>
  <c r="E4278" i="1" a="1"/>
  <c r="E4278" i="1" s="1"/>
  <c r="D4278" i="1"/>
  <c r="C4278" i="1"/>
  <c r="B4278" i="1"/>
  <c r="A4278" i="1"/>
  <c r="F4277" i="1" a="1"/>
  <c r="F4277" i="1" s="1"/>
  <c r="E4277" i="1" a="1"/>
  <c r="E4277" i="1" s="1"/>
  <c r="D4277" i="1"/>
  <c r="C4277" i="1"/>
  <c r="B4277" i="1"/>
  <c r="A4277" i="1"/>
  <c r="F4276" i="1"/>
  <c r="F4276" i="1" a="1"/>
  <c r="E4276" i="1" a="1"/>
  <c r="E4276" i="1" s="1"/>
  <c r="D4276" i="1"/>
  <c r="C4276" i="1"/>
  <c r="B4276" i="1"/>
  <c r="A4276" i="1"/>
  <c r="F4275" i="1" a="1"/>
  <c r="F4275" i="1" s="1"/>
  <c r="E4275" i="1" a="1"/>
  <c r="E4275" i="1" s="1"/>
  <c r="D4275" i="1"/>
  <c r="C4275" i="1"/>
  <c r="B4275" i="1"/>
  <c r="A4275" i="1"/>
  <c r="F4274" i="1"/>
  <c r="F4274" i="1" a="1"/>
  <c r="E4274" i="1" a="1"/>
  <c r="E4274" i="1" s="1"/>
  <c r="D4274" i="1"/>
  <c r="C4274" i="1"/>
  <c r="B4274" i="1"/>
  <c r="A4274" i="1"/>
  <c r="F4273" i="1" a="1"/>
  <c r="F4273" i="1" s="1"/>
  <c r="E4273" i="1" a="1"/>
  <c r="E4273" i="1" s="1"/>
  <c r="D4273" i="1"/>
  <c r="C4273" i="1"/>
  <c r="B4273" i="1"/>
  <c r="A4273" i="1"/>
  <c r="F4272" i="1"/>
  <c r="F4272" i="1" a="1"/>
  <c r="E4272" i="1" a="1"/>
  <c r="E4272" i="1" s="1"/>
  <c r="D4272" i="1"/>
  <c r="C4272" i="1"/>
  <c r="B4272" i="1"/>
  <c r="A4272" i="1"/>
  <c r="F4271" i="1"/>
  <c r="F4271" i="1" a="1"/>
  <c r="E4271" i="1" a="1"/>
  <c r="E4271" i="1" s="1"/>
  <c r="D4271" i="1"/>
  <c r="C4271" i="1"/>
  <c r="B4271" i="1"/>
  <c r="A4271" i="1"/>
  <c r="F4270" i="1"/>
  <c r="F4270" i="1" a="1"/>
  <c r="E4270" i="1" a="1"/>
  <c r="E4270" i="1" s="1"/>
  <c r="D4270" i="1"/>
  <c r="C4270" i="1"/>
  <c r="B4270" i="1"/>
  <c r="A4270" i="1"/>
  <c r="F4269" i="1" a="1"/>
  <c r="F4269" i="1" s="1"/>
  <c r="E4269" i="1" a="1"/>
  <c r="E4269" i="1" s="1"/>
  <c r="D4269" i="1"/>
  <c r="C4269" i="1"/>
  <c r="B4269" i="1"/>
  <c r="A4269" i="1"/>
  <c r="F4268" i="1"/>
  <c r="F4268" i="1" a="1"/>
  <c r="E4268" i="1" a="1"/>
  <c r="E4268" i="1" s="1"/>
  <c r="D4268" i="1"/>
  <c r="C4268" i="1"/>
  <c r="B4268" i="1"/>
  <c r="A4268" i="1"/>
  <c r="F4267" i="1" a="1"/>
  <c r="F4267" i="1" s="1"/>
  <c r="E4267" i="1" a="1"/>
  <c r="E4267" i="1" s="1"/>
  <c r="D4267" i="1"/>
  <c r="C4267" i="1"/>
  <c r="B4267" i="1"/>
  <c r="A4267" i="1"/>
  <c r="F4266" i="1"/>
  <c r="F4266" i="1" a="1"/>
  <c r="E4266" i="1" a="1"/>
  <c r="E4266" i="1" s="1"/>
  <c r="D4266" i="1"/>
  <c r="C4266" i="1"/>
  <c r="B4266" i="1"/>
  <c r="A4266" i="1"/>
  <c r="F4265" i="1" a="1"/>
  <c r="F4265" i="1" s="1"/>
  <c r="E4265" i="1" a="1"/>
  <c r="E4265" i="1" s="1"/>
  <c r="D4265" i="1"/>
  <c r="C4265" i="1"/>
  <c r="B4265" i="1"/>
  <c r="A4265" i="1"/>
  <c r="F4264" i="1"/>
  <c r="F4264" i="1" a="1"/>
  <c r="E4264" i="1" a="1"/>
  <c r="E4264" i="1" s="1"/>
  <c r="D4264" i="1"/>
  <c r="C4264" i="1"/>
  <c r="B4264" i="1"/>
  <c r="A4264" i="1"/>
  <c r="F4263" i="1"/>
  <c r="F4263" i="1" a="1"/>
  <c r="E4263" i="1" a="1"/>
  <c r="E4263" i="1" s="1"/>
  <c r="D4263" i="1"/>
  <c r="C4263" i="1"/>
  <c r="B4263" i="1"/>
  <c r="A4263" i="1"/>
  <c r="F4262" i="1"/>
  <c r="F4262" i="1" a="1"/>
  <c r="E4262" i="1" a="1"/>
  <c r="E4262" i="1" s="1"/>
  <c r="D4262" i="1"/>
  <c r="C4262" i="1"/>
  <c r="B4262" i="1"/>
  <c r="A4262" i="1"/>
  <c r="F4261" i="1" a="1"/>
  <c r="F4261" i="1" s="1"/>
  <c r="E4261" i="1" a="1"/>
  <c r="E4261" i="1" s="1"/>
  <c r="D4261" i="1"/>
  <c r="C4261" i="1"/>
  <c r="B4261" i="1"/>
  <c r="A4261" i="1"/>
  <c r="F4260" i="1"/>
  <c r="F4260" i="1" a="1"/>
  <c r="E4260" i="1" a="1"/>
  <c r="E4260" i="1" s="1"/>
  <c r="D4260" i="1"/>
  <c r="C4260" i="1"/>
  <c r="B4260" i="1"/>
  <c r="A4260" i="1"/>
  <c r="F4259" i="1" a="1"/>
  <c r="F4259" i="1" s="1"/>
  <c r="E4259" i="1" a="1"/>
  <c r="E4259" i="1" s="1"/>
  <c r="D4259" i="1"/>
  <c r="C4259" i="1"/>
  <c r="B4259" i="1"/>
  <c r="A4259" i="1"/>
  <c r="F4258" i="1"/>
  <c r="F4258" i="1" a="1"/>
  <c r="E4258" i="1" a="1"/>
  <c r="E4258" i="1" s="1"/>
  <c r="D4258" i="1"/>
  <c r="C4258" i="1"/>
  <c r="B4258" i="1"/>
  <c r="A4258" i="1"/>
  <c r="F4257" i="1" a="1"/>
  <c r="F4257" i="1" s="1"/>
  <c r="E4257" i="1" a="1"/>
  <c r="E4257" i="1" s="1"/>
  <c r="D4257" i="1"/>
  <c r="C4257" i="1"/>
  <c r="B4257" i="1"/>
  <c r="A4257" i="1"/>
  <c r="F4256" i="1"/>
  <c r="F4256" i="1" a="1"/>
  <c r="E4256" i="1" a="1"/>
  <c r="E4256" i="1" s="1"/>
  <c r="D4256" i="1"/>
  <c r="C4256" i="1"/>
  <c r="B4256" i="1"/>
  <c r="A4256" i="1"/>
  <c r="F4255" i="1"/>
  <c r="F4255" i="1" a="1"/>
  <c r="E4255" i="1" a="1"/>
  <c r="E4255" i="1" s="1"/>
  <c r="D4255" i="1"/>
  <c r="C4255" i="1"/>
  <c r="B4255" i="1"/>
  <c r="A4255" i="1"/>
  <c r="F4254" i="1"/>
  <c r="F4254" i="1" a="1"/>
  <c r="E4254" i="1" a="1"/>
  <c r="E4254" i="1" s="1"/>
  <c r="D4254" i="1"/>
  <c r="C4254" i="1"/>
  <c r="B4254" i="1"/>
  <c r="A4254" i="1"/>
  <c r="F4253" i="1" a="1"/>
  <c r="F4253" i="1" s="1"/>
  <c r="E4253" i="1" a="1"/>
  <c r="E4253" i="1" s="1"/>
  <c r="D4253" i="1"/>
  <c r="C4253" i="1"/>
  <c r="B4253" i="1"/>
  <c r="A4253" i="1"/>
  <c r="F4252" i="1"/>
  <c r="F4252" i="1" a="1"/>
  <c r="E4252" i="1" a="1"/>
  <c r="E4252" i="1" s="1"/>
  <c r="D4252" i="1"/>
  <c r="C4252" i="1"/>
  <c r="B4252" i="1"/>
  <c r="A4252" i="1"/>
  <c r="F4251" i="1" a="1"/>
  <c r="F4251" i="1" s="1"/>
  <c r="E4251" i="1" a="1"/>
  <c r="E4251" i="1" s="1"/>
  <c r="D4251" i="1"/>
  <c r="C4251" i="1"/>
  <c r="B4251" i="1"/>
  <c r="A4251" i="1"/>
  <c r="F4250" i="1"/>
  <c r="F4250" i="1" a="1"/>
  <c r="E4250" i="1" a="1"/>
  <c r="E4250" i="1" s="1"/>
  <c r="D4250" i="1"/>
  <c r="C4250" i="1"/>
  <c r="B4250" i="1"/>
  <c r="A4250" i="1"/>
  <c r="F4249" i="1" a="1"/>
  <c r="F4249" i="1" s="1"/>
  <c r="E4249" i="1" a="1"/>
  <c r="E4249" i="1" s="1"/>
  <c r="D4249" i="1"/>
  <c r="C4249" i="1"/>
  <c r="B4249" i="1"/>
  <c r="A4249" i="1"/>
  <c r="F4248" i="1"/>
  <c r="F4248" i="1" a="1"/>
  <c r="E4248" i="1" a="1"/>
  <c r="E4248" i="1" s="1"/>
  <c r="D4248" i="1"/>
  <c r="C4248" i="1"/>
  <c r="B4248" i="1"/>
  <c r="A4248" i="1"/>
  <c r="F4247" i="1"/>
  <c r="F4247" i="1" a="1"/>
  <c r="E4247" i="1" a="1"/>
  <c r="E4247" i="1" s="1"/>
  <c r="D4247" i="1"/>
  <c r="C4247" i="1"/>
  <c r="B4247" i="1"/>
  <c r="A4247" i="1"/>
  <c r="F4246" i="1"/>
  <c r="F4246" i="1" a="1"/>
  <c r="E4246" i="1" a="1"/>
  <c r="E4246" i="1" s="1"/>
  <c r="D4246" i="1"/>
  <c r="C4246" i="1"/>
  <c r="B4246" i="1"/>
  <c r="A4246" i="1"/>
  <c r="F4245" i="1" a="1"/>
  <c r="F4245" i="1" s="1"/>
  <c r="E4245" i="1" a="1"/>
  <c r="E4245" i="1" s="1"/>
  <c r="D4245" i="1"/>
  <c r="C4245" i="1"/>
  <c r="B4245" i="1"/>
  <c r="A4245" i="1"/>
  <c r="F4244" i="1"/>
  <c r="F4244" i="1" a="1"/>
  <c r="E4244" i="1" a="1"/>
  <c r="E4244" i="1" s="1"/>
  <c r="D4244" i="1"/>
  <c r="C4244" i="1"/>
  <c r="B4244" i="1"/>
  <c r="A4244" i="1"/>
  <c r="F4243" i="1" a="1"/>
  <c r="F4243" i="1" s="1"/>
  <c r="E4243" i="1" a="1"/>
  <c r="E4243" i="1" s="1"/>
  <c r="D4243" i="1"/>
  <c r="C4243" i="1"/>
  <c r="B4243" i="1"/>
  <c r="A4243" i="1"/>
  <c r="F4242" i="1"/>
  <c r="F4242" i="1" a="1"/>
  <c r="E4242" i="1" a="1"/>
  <c r="E4242" i="1" s="1"/>
  <c r="D4242" i="1"/>
  <c r="C4242" i="1"/>
  <c r="B4242" i="1"/>
  <c r="A4242" i="1"/>
  <c r="F4241" i="1" a="1"/>
  <c r="F4241" i="1" s="1"/>
  <c r="E4241" i="1" a="1"/>
  <c r="E4241" i="1" s="1"/>
  <c r="D4241" i="1"/>
  <c r="C4241" i="1"/>
  <c r="B4241" i="1"/>
  <c r="A4241" i="1"/>
  <c r="F4240" i="1"/>
  <c r="F4240" i="1" a="1"/>
  <c r="E4240" i="1" a="1"/>
  <c r="E4240" i="1" s="1"/>
  <c r="D4240" i="1"/>
  <c r="C4240" i="1"/>
  <c r="B4240" i="1"/>
  <c r="A4240" i="1"/>
  <c r="F4239" i="1"/>
  <c r="F4239" i="1" a="1"/>
  <c r="E4239" i="1" a="1"/>
  <c r="E4239" i="1" s="1"/>
  <c r="D4239" i="1"/>
  <c r="C4239" i="1"/>
  <c r="B4239" i="1"/>
  <c r="A4239" i="1"/>
  <c r="F4238" i="1"/>
  <c r="F4238" i="1" a="1"/>
  <c r="E4238" i="1" a="1"/>
  <c r="E4238" i="1" s="1"/>
  <c r="D4238" i="1"/>
  <c r="C4238" i="1"/>
  <c r="B4238" i="1"/>
  <c r="A4238" i="1"/>
  <c r="F4237" i="1" a="1"/>
  <c r="F4237" i="1" s="1"/>
  <c r="E4237" i="1" a="1"/>
  <c r="E4237" i="1" s="1"/>
  <c r="D4237" i="1"/>
  <c r="C4237" i="1"/>
  <c r="B4237" i="1"/>
  <c r="A4237" i="1"/>
  <c r="F4236" i="1"/>
  <c r="F4236" i="1" a="1"/>
  <c r="E4236" i="1" a="1"/>
  <c r="E4236" i="1" s="1"/>
  <c r="D4236" i="1"/>
  <c r="C4236" i="1"/>
  <c r="B4236" i="1"/>
  <c r="A4236" i="1"/>
  <c r="F4235" i="1" a="1"/>
  <c r="F4235" i="1" s="1"/>
  <c r="E4235" i="1" a="1"/>
  <c r="E4235" i="1" s="1"/>
  <c r="D4235" i="1"/>
  <c r="C4235" i="1"/>
  <c r="B4235" i="1"/>
  <c r="A4235" i="1"/>
  <c r="F4234" i="1"/>
  <c r="F4234" i="1" a="1"/>
  <c r="E4234" i="1" a="1"/>
  <c r="E4234" i="1" s="1"/>
  <c r="D4234" i="1"/>
  <c r="C4234" i="1"/>
  <c r="B4234" i="1"/>
  <c r="A4234" i="1"/>
  <c r="F4233" i="1" a="1"/>
  <c r="F4233" i="1" s="1"/>
  <c r="E4233" i="1" a="1"/>
  <c r="E4233" i="1" s="1"/>
  <c r="D4233" i="1"/>
  <c r="C4233" i="1"/>
  <c r="B4233" i="1"/>
  <c r="A4233" i="1"/>
  <c r="F4232" i="1"/>
  <c r="F4232" i="1" a="1"/>
  <c r="E4232" i="1" a="1"/>
  <c r="E4232" i="1" s="1"/>
  <c r="D4232" i="1"/>
  <c r="C4232" i="1"/>
  <c r="B4232" i="1"/>
  <c r="A4232" i="1"/>
  <c r="F4231" i="1"/>
  <c r="F4231" i="1" a="1"/>
  <c r="E4231" i="1" a="1"/>
  <c r="E4231" i="1" s="1"/>
  <c r="D4231" i="1"/>
  <c r="C4231" i="1"/>
  <c r="B4231" i="1"/>
  <c r="A4231" i="1"/>
  <c r="F4230" i="1"/>
  <c r="F4230" i="1" a="1"/>
  <c r="E4230" i="1" a="1"/>
  <c r="E4230" i="1" s="1"/>
  <c r="D4230" i="1"/>
  <c r="C4230" i="1"/>
  <c r="B4230" i="1"/>
  <c r="A4230" i="1"/>
  <c r="F4229" i="1" a="1"/>
  <c r="F4229" i="1" s="1"/>
  <c r="E4229" i="1" a="1"/>
  <c r="E4229" i="1" s="1"/>
  <c r="D4229" i="1"/>
  <c r="C4229" i="1"/>
  <c r="B4229" i="1"/>
  <c r="A4229" i="1"/>
  <c r="F4228" i="1"/>
  <c r="F4228" i="1" a="1"/>
  <c r="E4228" i="1" a="1"/>
  <c r="E4228" i="1" s="1"/>
  <c r="D4228" i="1"/>
  <c r="C4228" i="1"/>
  <c r="B4228" i="1"/>
  <c r="A4228" i="1"/>
  <c r="F4227" i="1" a="1"/>
  <c r="F4227" i="1" s="1"/>
  <c r="E4227" i="1" a="1"/>
  <c r="E4227" i="1" s="1"/>
  <c r="D4227" i="1"/>
  <c r="C4227" i="1"/>
  <c r="B4227" i="1"/>
  <c r="A4227" i="1"/>
  <c r="F4226" i="1"/>
  <c r="F4226" i="1" a="1"/>
  <c r="E4226" i="1" a="1"/>
  <c r="E4226" i="1" s="1"/>
  <c r="D4226" i="1"/>
  <c r="C4226" i="1"/>
  <c r="B4226" i="1"/>
  <c r="A4226" i="1"/>
  <c r="F4225" i="1" a="1"/>
  <c r="F4225" i="1" s="1"/>
  <c r="E4225" i="1" a="1"/>
  <c r="E4225" i="1" s="1"/>
  <c r="D4225" i="1"/>
  <c r="C4225" i="1"/>
  <c r="B4225" i="1"/>
  <c r="A4225" i="1"/>
  <c r="F4224" i="1"/>
  <c r="F4224" i="1" a="1"/>
  <c r="E4224" i="1" a="1"/>
  <c r="E4224" i="1" s="1"/>
  <c r="D4224" i="1"/>
  <c r="C4224" i="1"/>
  <c r="B4224" i="1"/>
  <c r="A4224" i="1"/>
  <c r="F4223" i="1"/>
  <c r="F4223" i="1" a="1"/>
  <c r="E4223" i="1" a="1"/>
  <c r="E4223" i="1" s="1"/>
  <c r="D4223" i="1"/>
  <c r="C4223" i="1"/>
  <c r="B4223" i="1"/>
  <c r="A4223" i="1"/>
  <c r="F4222" i="1"/>
  <c r="F4222" i="1" a="1"/>
  <c r="E4222" i="1" a="1"/>
  <c r="E4222" i="1" s="1"/>
  <c r="D4222" i="1"/>
  <c r="C4222" i="1"/>
  <c r="B4222" i="1"/>
  <c r="A4222" i="1"/>
  <c r="F4221" i="1" a="1"/>
  <c r="F4221" i="1" s="1"/>
  <c r="E4221" i="1" a="1"/>
  <c r="E4221" i="1" s="1"/>
  <c r="D4221" i="1"/>
  <c r="C4221" i="1"/>
  <c r="B4221" i="1"/>
  <c r="A4221" i="1"/>
  <c r="F4220" i="1"/>
  <c r="F4220" i="1" a="1"/>
  <c r="E4220" i="1" a="1"/>
  <c r="E4220" i="1" s="1"/>
  <c r="D4220" i="1"/>
  <c r="C4220" i="1"/>
  <c r="B4220" i="1"/>
  <c r="A4220" i="1"/>
  <c r="F4219" i="1" a="1"/>
  <c r="F4219" i="1" s="1"/>
  <c r="E4219" i="1" a="1"/>
  <c r="E4219" i="1" s="1"/>
  <c r="D4219" i="1"/>
  <c r="C4219" i="1"/>
  <c r="B4219" i="1"/>
  <c r="A4219" i="1"/>
  <c r="F4218" i="1"/>
  <c r="F4218" i="1" a="1"/>
  <c r="E4218" i="1" a="1"/>
  <c r="E4218" i="1" s="1"/>
  <c r="D4218" i="1"/>
  <c r="C4218" i="1"/>
  <c r="B4218" i="1"/>
  <c r="A4218" i="1"/>
  <c r="F4217" i="1" a="1"/>
  <c r="F4217" i="1" s="1"/>
  <c r="E4217" i="1" a="1"/>
  <c r="E4217" i="1" s="1"/>
  <c r="D4217" i="1"/>
  <c r="C4217" i="1"/>
  <c r="B4217" i="1"/>
  <c r="A4217" i="1"/>
  <c r="F4216" i="1"/>
  <c r="F4216" i="1" a="1"/>
  <c r="E4216" i="1" a="1"/>
  <c r="E4216" i="1" s="1"/>
  <c r="D4216" i="1"/>
  <c r="C4216" i="1"/>
  <c r="B4216" i="1"/>
  <c r="A4216" i="1"/>
  <c r="F4215" i="1"/>
  <c r="F4215" i="1" a="1"/>
  <c r="E4215" i="1" a="1"/>
  <c r="E4215" i="1" s="1"/>
  <c r="D4215" i="1"/>
  <c r="C4215" i="1"/>
  <c r="B4215" i="1"/>
  <c r="A4215" i="1"/>
  <c r="F4214" i="1"/>
  <c r="F4214" i="1" a="1"/>
  <c r="E4214" i="1" a="1"/>
  <c r="E4214" i="1" s="1"/>
  <c r="D4214" i="1"/>
  <c r="C4214" i="1"/>
  <c r="B4214" i="1"/>
  <c r="A4214" i="1"/>
  <c r="F4213" i="1" a="1"/>
  <c r="F4213" i="1" s="1"/>
  <c r="E4213" i="1" a="1"/>
  <c r="E4213" i="1" s="1"/>
  <c r="D4213" i="1"/>
  <c r="C4213" i="1"/>
  <c r="B4213" i="1"/>
  <c r="A4213" i="1"/>
  <c r="F4212" i="1"/>
  <c r="F4212" i="1" a="1"/>
  <c r="E4212" i="1" a="1"/>
  <c r="E4212" i="1" s="1"/>
  <c r="D4212" i="1"/>
  <c r="C4212" i="1"/>
  <c r="B4212" i="1"/>
  <c r="A4212" i="1"/>
  <c r="F4211" i="1" a="1"/>
  <c r="F4211" i="1" s="1"/>
  <c r="E4211" i="1" a="1"/>
  <c r="E4211" i="1" s="1"/>
  <c r="D4211" i="1"/>
  <c r="C4211" i="1"/>
  <c r="B4211" i="1"/>
  <c r="A4211" i="1"/>
  <c r="F4210" i="1"/>
  <c r="F4210" i="1" a="1"/>
  <c r="E4210" i="1" a="1"/>
  <c r="E4210" i="1" s="1"/>
  <c r="D4210" i="1"/>
  <c r="C4210" i="1"/>
  <c r="B4210" i="1"/>
  <c r="A4210" i="1"/>
  <c r="F4209" i="1" a="1"/>
  <c r="F4209" i="1" s="1"/>
  <c r="E4209" i="1" a="1"/>
  <c r="E4209" i="1" s="1"/>
  <c r="D4209" i="1"/>
  <c r="C4209" i="1"/>
  <c r="B4209" i="1"/>
  <c r="A4209" i="1"/>
  <c r="F4208" i="1"/>
  <c r="F4208" i="1" a="1"/>
  <c r="E4208" i="1" a="1"/>
  <c r="E4208" i="1" s="1"/>
  <c r="D4208" i="1"/>
  <c r="C4208" i="1"/>
  <c r="B4208" i="1"/>
  <c r="A4208" i="1"/>
  <c r="F4207" i="1"/>
  <c r="F4207" i="1" a="1"/>
  <c r="E4207" i="1" a="1"/>
  <c r="E4207" i="1" s="1"/>
  <c r="D4207" i="1"/>
  <c r="C4207" i="1"/>
  <c r="B4207" i="1"/>
  <c r="A4207" i="1"/>
  <c r="F4206" i="1"/>
  <c r="F4206" i="1" a="1"/>
  <c r="E4206" i="1" a="1"/>
  <c r="E4206" i="1" s="1"/>
  <c r="D4206" i="1"/>
  <c r="C4206" i="1"/>
  <c r="B4206" i="1"/>
  <c r="A4206" i="1"/>
  <c r="F4205" i="1" a="1"/>
  <c r="F4205" i="1" s="1"/>
  <c r="E4205" i="1" a="1"/>
  <c r="E4205" i="1" s="1"/>
  <c r="D4205" i="1"/>
  <c r="C4205" i="1"/>
  <c r="B4205" i="1"/>
  <c r="A4205" i="1"/>
  <c r="F4204" i="1"/>
  <c r="F4204" i="1" a="1"/>
  <c r="E4204" i="1" a="1"/>
  <c r="E4204" i="1" s="1"/>
  <c r="D4204" i="1"/>
  <c r="C4204" i="1"/>
  <c r="B4204" i="1"/>
  <c r="A4204" i="1"/>
  <c r="F4203" i="1" a="1"/>
  <c r="F4203" i="1" s="1"/>
  <c r="E4203" i="1" a="1"/>
  <c r="E4203" i="1" s="1"/>
  <c r="D4203" i="1"/>
  <c r="C4203" i="1"/>
  <c r="B4203" i="1"/>
  <c r="A4203" i="1"/>
  <c r="F4202" i="1"/>
  <c r="F4202" i="1" a="1"/>
  <c r="E4202" i="1" a="1"/>
  <c r="E4202" i="1" s="1"/>
  <c r="D4202" i="1"/>
  <c r="C4202" i="1"/>
  <c r="B4202" i="1"/>
  <c r="A4202" i="1"/>
  <c r="F4201" i="1" a="1"/>
  <c r="F4201" i="1" s="1"/>
  <c r="E4201" i="1" a="1"/>
  <c r="E4201" i="1" s="1"/>
  <c r="D4201" i="1"/>
  <c r="C4201" i="1"/>
  <c r="B4201" i="1"/>
  <c r="A4201" i="1"/>
  <c r="F4200" i="1"/>
  <c r="F4200" i="1" a="1"/>
  <c r="E4200" i="1" a="1"/>
  <c r="E4200" i="1" s="1"/>
  <c r="D4200" i="1"/>
  <c r="C4200" i="1"/>
  <c r="B4200" i="1"/>
  <c r="A4200" i="1"/>
  <c r="F4199" i="1"/>
  <c r="F4199" i="1" a="1"/>
  <c r="E4199" i="1" a="1"/>
  <c r="E4199" i="1" s="1"/>
  <c r="D4199" i="1"/>
  <c r="C4199" i="1"/>
  <c r="B4199" i="1"/>
  <c r="A4199" i="1"/>
  <c r="F4198" i="1"/>
  <c r="F4198" i="1" a="1"/>
  <c r="E4198" i="1" a="1"/>
  <c r="E4198" i="1" s="1"/>
  <c r="D4198" i="1"/>
  <c r="C4198" i="1"/>
  <c r="B4198" i="1"/>
  <c r="A4198" i="1"/>
  <c r="F4197" i="1" a="1"/>
  <c r="F4197" i="1" s="1"/>
  <c r="E4197" i="1" a="1"/>
  <c r="E4197" i="1" s="1"/>
  <c r="D4197" i="1"/>
  <c r="C4197" i="1"/>
  <c r="B4197" i="1"/>
  <c r="A4197" i="1"/>
  <c r="F4196" i="1"/>
  <c r="F4196" i="1" a="1"/>
  <c r="E4196" i="1" a="1"/>
  <c r="E4196" i="1" s="1"/>
  <c r="D4196" i="1"/>
  <c r="C4196" i="1"/>
  <c r="B4196" i="1"/>
  <c r="A4196" i="1"/>
  <c r="F4195" i="1" a="1"/>
  <c r="F4195" i="1" s="1"/>
  <c r="E4195" i="1" a="1"/>
  <c r="E4195" i="1" s="1"/>
  <c r="D4195" i="1"/>
  <c r="C4195" i="1"/>
  <c r="B4195" i="1"/>
  <c r="A4195" i="1"/>
  <c r="F4194" i="1"/>
  <c r="F4194" i="1" a="1"/>
  <c r="E4194" i="1" a="1"/>
  <c r="E4194" i="1" s="1"/>
  <c r="D4194" i="1"/>
  <c r="C4194" i="1"/>
  <c r="B4194" i="1"/>
  <c r="A4194" i="1"/>
  <c r="F4193" i="1" a="1"/>
  <c r="F4193" i="1" s="1"/>
  <c r="E4193" i="1" a="1"/>
  <c r="E4193" i="1" s="1"/>
  <c r="D4193" i="1"/>
  <c r="C4193" i="1"/>
  <c r="B4193" i="1"/>
  <c r="A4193" i="1"/>
  <c r="F4192" i="1"/>
  <c r="F4192" i="1" a="1"/>
  <c r="E4192" i="1" a="1"/>
  <c r="E4192" i="1" s="1"/>
  <c r="D4192" i="1"/>
  <c r="C4192" i="1"/>
  <c r="B4192" i="1"/>
  <c r="A4192" i="1"/>
  <c r="F4191" i="1"/>
  <c r="F4191" i="1" a="1"/>
  <c r="E4191" i="1" a="1"/>
  <c r="E4191" i="1" s="1"/>
  <c r="D4191" i="1"/>
  <c r="C4191" i="1"/>
  <c r="B4191" i="1"/>
  <c r="A4191" i="1"/>
  <c r="F4190" i="1"/>
  <c r="F4190" i="1" a="1"/>
  <c r="E4190" i="1" a="1"/>
  <c r="E4190" i="1" s="1"/>
  <c r="D4190" i="1"/>
  <c r="C4190" i="1"/>
  <c r="B4190" i="1"/>
  <c r="A4190" i="1"/>
  <c r="F4189" i="1" a="1"/>
  <c r="F4189" i="1" s="1"/>
  <c r="E4189" i="1" a="1"/>
  <c r="E4189" i="1" s="1"/>
  <c r="D4189" i="1"/>
  <c r="C4189" i="1"/>
  <c r="B4189" i="1"/>
  <c r="A4189" i="1"/>
  <c r="F4188" i="1"/>
  <c r="F4188" i="1" a="1"/>
  <c r="E4188" i="1" a="1"/>
  <c r="E4188" i="1" s="1"/>
  <c r="D4188" i="1"/>
  <c r="C4188" i="1"/>
  <c r="B4188" i="1"/>
  <c r="A4188" i="1"/>
  <c r="F4187" i="1" a="1"/>
  <c r="F4187" i="1" s="1"/>
  <c r="E4187" i="1" a="1"/>
  <c r="E4187" i="1" s="1"/>
  <c r="D4187" i="1"/>
  <c r="C4187" i="1"/>
  <c r="B4187" i="1"/>
  <c r="A4187" i="1"/>
  <c r="F4186" i="1"/>
  <c r="F4186" i="1" a="1"/>
  <c r="E4186" i="1" a="1"/>
  <c r="E4186" i="1" s="1"/>
  <c r="D4186" i="1"/>
  <c r="C4186" i="1"/>
  <c r="B4186" i="1"/>
  <c r="A4186" i="1"/>
  <c r="F4185" i="1" a="1"/>
  <c r="F4185" i="1" s="1"/>
  <c r="E4185" i="1" a="1"/>
  <c r="E4185" i="1" s="1"/>
  <c r="D4185" i="1"/>
  <c r="C4185" i="1"/>
  <c r="B4185" i="1"/>
  <c r="A4185" i="1"/>
  <c r="F4184" i="1"/>
  <c r="F4184" i="1" a="1"/>
  <c r="E4184" i="1" a="1"/>
  <c r="E4184" i="1" s="1"/>
  <c r="D4184" i="1"/>
  <c r="C4184" i="1"/>
  <c r="B4184" i="1"/>
  <c r="A4184" i="1"/>
  <c r="F4183" i="1"/>
  <c r="F4183" i="1" a="1"/>
  <c r="E4183" i="1" a="1"/>
  <c r="E4183" i="1" s="1"/>
  <c r="D4183" i="1"/>
  <c r="C4183" i="1"/>
  <c r="B4183" i="1"/>
  <c r="A4183" i="1"/>
  <c r="F4182" i="1"/>
  <c r="F4182" i="1" a="1"/>
  <c r="E4182" i="1" a="1"/>
  <c r="E4182" i="1" s="1"/>
  <c r="D4182" i="1"/>
  <c r="C4182" i="1"/>
  <c r="B4182" i="1"/>
  <c r="A4182" i="1"/>
  <c r="F4181" i="1" a="1"/>
  <c r="F4181" i="1" s="1"/>
  <c r="E4181" i="1" a="1"/>
  <c r="E4181" i="1" s="1"/>
  <c r="D4181" i="1"/>
  <c r="C4181" i="1"/>
  <c r="B4181" i="1"/>
  <c r="A4181" i="1"/>
  <c r="F4180" i="1"/>
  <c r="F4180" i="1" a="1"/>
  <c r="E4180" i="1" a="1"/>
  <c r="E4180" i="1" s="1"/>
  <c r="D4180" i="1"/>
  <c r="C4180" i="1"/>
  <c r="B4180" i="1"/>
  <c r="A4180" i="1"/>
  <c r="F4179" i="1" a="1"/>
  <c r="F4179" i="1" s="1"/>
  <c r="E4179" i="1" a="1"/>
  <c r="E4179" i="1" s="1"/>
  <c r="D4179" i="1"/>
  <c r="C4179" i="1"/>
  <c r="B4179" i="1"/>
  <c r="A4179" i="1"/>
  <c r="F4178" i="1"/>
  <c r="F4178" i="1" a="1"/>
  <c r="E4178" i="1" a="1"/>
  <c r="E4178" i="1" s="1"/>
  <c r="D4178" i="1"/>
  <c r="C4178" i="1"/>
  <c r="B4178" i="1"/>
  <c r="A4178" i="1"/>
  <c r="F4177" i="1" a="1"/>
  <c r="F4177" i="1" s="1"/>
  <c r="E4177" i="1" a="1"/>
  <c r="E4177" i="1" s="1"/>
  <c r="D4177" i="1"/>
  <c r="C4177" i="1"/>
  <c r="B4177" i="1"/>
  <c r="A4177" i="1"/>
  <c r="F4176" i="1"/>
  <c r="F4176" i="1" a="1"/>
  <c r="E4176" i="1" a="1"/>
  <c r="E4176" i="1" s="1"/>
  <c r="D4176" i="1"/>
  <c r="C4176" i="1"/>
  <c r="B4176" i="1"/>
  <c r="A4176" i="1"/>
  <c r="F4175" i="1"/>
  <c r="F4175" i="1" a="1"/>
  <c r="E4175" i="1" a="1"/>
  <c r="E4175" i="1" s="1"/>
  <c r="D4175" i="1"/>
  <c r="C4175" i="1"/>
  <c r="B4175" i="1"/>
  <c r="A4175" i="1"/>
  <c r="F4174" i="1"/>
  <c r="F4174" i="1" a="1"/>
  <c r="E4174" i="1" a="1"/>
  <c r="E4174" i="1" s="1"/>
  <c r="D4174" i="1"/>
  <c r="C4174" i="1"/>
  <c r="B4174" i="1"/>
  <c r="A4174" i="1"/>
  <c r="F4173" i="1" a="1"/>
  <c r="F4173" i="1" s="1"/>
  <c r="E4173" i="1" a="1"/>
  <c r="E4173" i="1" s="1"/>
  <c r="D4173" i="1"/>
  <c r="C4173" i="1"/>
  <c r="B4173" i="1"/>
  <c r="A4173" i="1"/>
  <c r="F4172" i="1"/>
  <c r="F4172" i="1" a="1"/>
  <c r="E4172" i="1" a="1"/>
  <c r="E4172" i="1" s="1"/>
  <c r="D4172" i="1"/>
  <c r="C4172" i="1"/>
  <c r="B4172" i="1"/>
  <c r="A4172" i="1"/>
  <c r="F4171" i="1" a="1"/>
  <c r="F4171" i="1" s="1"/>
  <c r="E4171" i="1" a="1"/>
  <c r="E4171" i="1" s="1"/>
  <c r="D4171" i="1"/>
  <c r="C4171" i="1"/>
  <c r="B4171" i="1"/>
  <c r="A4171" i="1"/>
  <c r="F4170" i="1"/>
  <c r="F4170" i="1" a="1"/>
  <c r="E4170" i="1" a="1"/>
  <c r="E4170" i="1" s="1"/>
  <c r="D4170" i="1"/>
  <c r="C4170" i="1"/>
  <c r="B4170" i="1"/>
  <c r="A4170" i="1"/>
  <c r="F4169" i="1" a="1"/>
  <c r="F4169" i="1" s="1"/>
  <c r="E4169" i="1" a="1"/>
  <c r="E4169" i="1" s="1"/>
  <c r="D4169" i="1"/>
  <c r="C4169" i="1"/>
  <c r="B4169" i="1"/>
  <c r="A4169" i="1"/>
  <c r="F4168" i="1"/>
  <c r="F4168" i="1" a="1"/>
  <c r="E4168" i="1" a="1"/>
  <c r="E4168" i="1" s="1"/>
  <c r="D4168" i="1"/>
  <c r="C4168" i="1"/>
  <c r="B4168" i="1"/>
  <c r="A4168" i="1"/>
  <c r="F4167" i="1"/>
  <c r="F4167" i="1" a="1"/>
  <c r="E4167" i="1" a="1"/>
  <c r="E4167" i="1" s="1"/>
  <c r="D4167" i="1"/>
  <c r="C4167" i="1"/>
  <c r="B4167" i="1"/>
  <c r="A4167" i="1"/>
  <c r="F4166" i="1"/>
  <c r="F4166" i="1" a="1"/>
  <c r="E4166" i="1" a="1"/>
  <c r="E4166" i="1" s="1"/>
  <c r="D4166" i="1"/>
  <c r="C4166" i="1"/>
  <c r="B4166" i="1"/>
  <c r="A4166" i="1"/>
  <c r="F4165" i="1" a="1"/>
  <c r="F4165" i="1" s="1"/>
  <c r="E4165" i="1" a="1"/>
  <c r="E4165" i="1" s="1"/>
  <c r="D4165" i="1"/>
  <c r="C4165" i="1"/>
  <c r="B4165" i="1"/>
  <c r="A4165" i="1"/>
  <c r="F4164" i="1"/>
  <c r="F4164" i="1" a="1"/>
  <c r="E4164" i="1" a="1"/>
  <c r="E4164" i="1" s="1"/>
  <c r="D4164" i="1"/>
  <c r="C4164" i="1"/>
  <c r="B4164" i="1"/>
  <c r="A4164" i="1"/>
  <c r="F4163" i="1" a="1"/>
  <c r="F4163" i="1" s="1"/>
  <c r="E4163" i="1" a="1"/>
  <c r="E4163" i="1" s="1"/>
  <c r="D4163" i="1"/>
  <c r="C4163" i="1"/>
  <c r="B4163" i="1"/>
  <c r="A4163" i="1"/>
  <c r="F4162" i="1"/>
  <c r="F4162" i="1" a="1"/>
  <c r="E4162" i="1" a="1"/>
  <c r="E4162" i="1" s="1"/>
  <c r="D4162" i="1"/>
  <c r="C4162" i="1"/>
  <c r="B4162" i="1"/>
  <c r="A4162" i="1"/>
  <c r="F4161" i="1" a="1"/>
  <c r="F4161" i="1" s="1"/>
  <c r="E4161" i="1" a="1"/>
  <c r="E4161" i="1" s="1"/>
  <c r="D4161" i="1"/>
  <c r="C4161" i="1"/>
  <c r="B4161" i="1"/>
  <c r="A4161" i="1"/>
  <c r="F4160" i="1" a="1"/>
  <c r="F4160" i="1" s="1"/>
  <c r="E4160" i="1" a="1"/>
  <c r="E4160" i="1" s="1"/>
  <c r="D4160" i="1"/>
  <c r="C4160" i="1"/>
  <c r="B4160" i="1"/>
  <c r="A4160" i="1"/>
  <c r="F4159" i="1"/>
  <c r="F4159" i="1" a="1"/>
  <c r="E4159" i="1" a="1"/>
  <c r="E4159" i="1" s="1"/>
  <c r="D4159" i="1"/>
  <c r="C4159" i="1"/>
  <c r="B4159" i="1"/>
  <c r="A4159" i="1"/>
  <c r="F4158" i="1"/>
  <c r="F4158" i="1" a="1"/>
  <c r="E4158" i="1" a="1"/>
  <c r="E4158" i="1" s="1"/>
  <c r="D4158" i="1"/>
  <c r="C4158" i="1"/>
  <c r="B4158" i="1"/>
  <c r="A4158" i="1"/>
  <c r="F4157" i="1" a="1"/>
  <c r="F4157" i="1" s="1"/>
  <c r="E4157" i="1" a="1"/>
  <c r="E4157" i="1" s="1"/>
  <c r="D4157" i="1"/>
  <c r="C4157" i="1"/>
  <c r="B4157" i="1"/>
  <c r="A4157" i="1"/>
  <c r="F4156" i="1"/>
  <c r="F4156" i="1" a="1"/>
  <c r="E4156" i="1" a="1"/>
  <c r="E4156" i="1" s="1"/>
  <c r="D4156" i="1"/>
  <c r="C4156" i="1"/>
  <c r="B4156" i="1"/>
  <c r="A4156" i="1"/>
  <c r="F4155" i="1" a="1"/>
  <c r="F4155" i="1" s="1"/>
  <c r="E4155" i="1" a="1"/>
  <c r="E4155" i="1" s="1"/>
  <c r="D4155" i="1"/>
  <c r="C4155" i="1"/>
  <c r="B4155" i="1"/>
  <c r="A4155" i="1"/>
  <c r="F4154" i="1"/>
  <c r="F4154" i="1" a="1"/>
  <c r="E4154" i="1" a="1"/>
  <c r="E4154" i="1" s="1"/>
  <c r="D4154" i="1"/>
  <c r="C4154" i="1"/>
  <c r="B4154" i="1"/>
  <c r="A4154" i="1"/>
  <c r="F4153" i="1" a="1"/>
  <c r="F4153" i="1" s="1"/>
  <c r="E4153" i="1" a="1"/>
  <c r="E4153" i="1" s="1"/>
  <c r="D4153" i="1"/>
  <c r="C4153" i="1"/>
  <c r="B4153" i="1"/>
  <c r="A4153" i="1"/>
  <c r="F4152" i="1" a="1"/>
  <c r="F4152" i="1" s="1"/>
  <c r="E4152" i="1" a="1"/>
  <c r="E4152" i="1" s="1"/>
  <c r="D4152" i="1"/>
  <c r="C4152" i="1"/>
  <c r="B4152" i="1"/>
  <c r="A4152" i="1"/>
  <c r="F4151" i="1"/>
  <c r="F4151" i="1" a="1"/>
  <c r="E4151" i="1" a="1"/>
  <c r="E4151" i="1" s="1"/>
  <c r="D4151" i="1"/>
  <c r="C4151" i="1"/>
  <c r="B4151" i="1"/>
  <c r="A4151" i="1"/>
  <c r="F4150" i="1"/>
  <c r="F4150" i="1" a="1"/>
  <c r="E4150" i="1" a="1"/>
  <c r="E4150" i="1" s="1"/>
  <c r="D4150" i="1"/>
  <c r="C4150" i="1"/>
  <c r="B4150" i="1"/>
  <c r="A4150" i="1"/>
  <c r="F4149" i="1" a="1"/>
  <c r="F4149" i="1" s="1"/>
  <c r="E4149" i="1" a="1"/>
  <c r="E4149" i="1" s="1"/>
  <c r="D4149" i="1"/>
  <c r="C4149" i="1"/>
  <c r="B4149" i="1"/>
  <c r="A4149" i="1"/>
  <c r="F4148" i="1"/>
  <c r="F4148" i="1" a="1"/>
  <c r="E4148" i="1" a="1"/>
  <c r="E4148" i="1" s="1"/>
  <c r="D4148" i="1"/>
  <c r="C4148" i="1"/>
  <c r="B4148" i="1"/>
  <c r="A4148" i="1"/>
  <c r="F4147" i="1" a="1"/>
  <c r="F4147" i="1" s="1"/>
  <c r="E4147" i="1" a="1"/>
  <c r="E4147" i="1" s="1"/>
  <c r="D4147" i="1"/>
  <c r="C4147" i="1"/>
  <c r="B4147" i="1"/>
  <c r="A4147" i="1"/>
  <c r="F4146" i="1" a="1"/>
  <c r="F4146" i="1" s="1"/>
  <c r="E4146" i="1" a="1"/>
  <c r="E4146" i="1" s="1"/>
  <c r="D4146" i="1"/>
  <c r="C4146" i="1"/>
  <c r="B4146" i="1"/>
  <c r="A4146" i="1"/>
  <c r="F4145" i="1" a="1"/>
  <c r="F4145" i="1" s="1"/>
  <c r="E4145" i="1" a="1"/>
  <c r="E4145" i="1" s="1"/>
  <c r="D4145" i="1"/>
  <c r="C4145" i="1"/>
  <c r="B4145" i="1"/>
  <c r="A4145" i="1"/>
  <c r="F4144" i="1" a="1"/>
  <c r="F4144" i="1" s="1"/>
  <c r="E4144" i="1" a="1"/>
  <c r="E4144" i="1" s="1"/>
  <c r="D4144" i="1"/>
  <c r="C4144" i="1"/>
  <c r="B4144" i="1"/>
  <c r="A4144" i="1"/>
  <c r="F4143" i="1"/>
  <c r="F4143" i="1" a="1"/>
  <c r="E4143" i="1" a="1"/>
  <c r="E4143" i="1" s="1"/>
  <c r="D4143" i="1"/>
  <c r="C4143" i="1"/>
  <c r="B4143" i="1"/>
  <c r="A4143" i="1"/>
  <c r="F4142" i="1"/>
  <c r="F4142" i="1" a="1"/>
  <c r="E4142" i="1" a="1"/>
  <c r="E4142" i="1" s="1"/>
  <c r="D4142" i="1"/>
  <c r="C4142" i="1"/>
  <c r="B4142" i="1"/>
  <c r="A4142" i="1"/>
  <c r="F4141" i="1" a="1"/>
  <c r="F4141" i="1" s="1"/>
  <c r="E4141" i="1" a="1"/>
  <c r="E4141" i="1" s="1"/>
  <c r="D4141" i="1"/>
  <c r="C4141" i="1"/>
  <c r="B4141" i="1"/>
  <c r="A4141" i="1"/>
  <c r="F4140" i="1"/>
  <c r="F4140" i="1" a="1"/>
  <c r="E4140" i="1" a="1"/>
  <c r="E4140" i="1" s="1"/>
  <c r="D4140" i="1"/>
  <c r="C4140" i="1"/>
  <c r="B4140" i="1"/>
  <c r="A4140" i="1"/>
  <c r="F4139" i="1" a="1"/>
  <c r="F4139" i="1" s="1"/>
  <c r="E4139" i="1" a="1"/>
  <c r="E4139" i="1" s="1"/>
  <c r="D4139" i="1"/>
  <c r="C4139" i="1"/>
  <c r="B4139" i="1"/>
  <c r="A4139" i="1"/>
  <c r="F4138" i="1" a="1"/>
  <c r="F4138" i="1" s="1"/>
  <c r="E4138" i="1" a="1"/>
  <c r="E4138" i="1" s="1"/>
  <c r="D4138" i="1"/>
  <c r="C4138" i="1"/>
  <c r="B4138" i="1"/>
  <c r="A4138" i="1"/>
  <c r="F4137" i="1" a="1"/>
  <c r="F4137" i="1" s="1"/>
  <c r="E4137" i="1" a="1"/>
  <c r="E4137" i="1" s="1"/>
  <c r="D4137" i="1"/>
  <c r="C4137" i="1"/>
  <c r="B4137" i="1"/>
  <c r="A4137" i="1"/>
  <c r="F4136" i="1" a="1"/>
  <c r="F4136" i="1" s="1"/>
  <c r="E4136" i="1" a="1"/>
  <c r="E4136" i="1" s="1"/>
  <c r="D4136" i="1"/>
  <c r="C4136" i="1"/>
  <c r="B4136" i="1"/>
  <c r="A4136" i="1"/>
  <c r="F4135" i="1"/>
  <c r="F4135" i="1" a="1"/>
  <c r="E4135" i="1" a="1"/>
  <c r="E4135" i="1" s="1"/>
  <c r="D4135" i="1"/>
  <c r="C4135" i="1"/>
  <c r="B4135" i="1"/>
  <c r="A4135" i="1"/>
  <c r="F4134" i="1"/>
  <c r="F4134" i="1" a="1"/>
  <c r="E4134" i="1" a="1"/>
  <c r="E4134" i="1" s="1"/>
  <c r="D4134" i="1"/>
  <c r="C4134" i="1"/>
  <c r="B4134" i="1"/>
  <c r="A4134" i="1"/>
  <c r="F4133" i="1" a="1"/>
  <c r="F4133" i="1" s="1"/>
  <c r="E4133" i="1" a="1"/>
  <c r="E4133" i="1" s="1"/>
  <c r="D4133" i="1"/>
  <c r="C4133" i="1"/>
  <c r="B4133" i="1"/>
  <c r="A4133" i="1"/>
  <c r="F4132" i="1"/>
  <c r="F4132" i="1" a="1"/>
  <c r="E4132" i="1" a="1"/>
  <c r="E4132" i="1" s="1"/>
  <c r="D4132" i="1"/>
  <c r="C4132" i="1"/>
  <c r="B4132" i="1"/>
  <c r="A4132" i="1"/>
  <c r="F4131" i="1" a="1"/>
  <c r="F4131" i="1" s="1"/>
  <c r="E4131" i="1" a="1"/>
  <c r="E4131" i="1" s="1"/>
  <c r="D4131" i="1"/>
  <c r="C4131" i="1"/>
  <c r="B4131" i="1"/>
  <c r="A4131" i="1"/>
  <c r="F4130" i="1" a="1"/>
  <c r="F4130" i="1" s="1"/>
  <c r="E4130" i="1" a="1"/>
  <c r="E4130" i="1" s="1"/>
  <c r="D4130" i="1"/>
  <c r="C4130" i="1"/>
  <c r="B4130" i="1"/>
  <c r="A4130" i="1"/>
  <c r="F4129" i="1" a="1"/>
  <c r="F4129" i="1" s="1"/>
  <c r="E4129" i="1" a="1"/>
  <c r="E4129" i="1" s="1"/>
  <c r="D4129" i="1"/>
  <c r="C4129" i="1"/>
  <c r="B4129" i="1"/>
  <c r="A4129" i="1"/>
  <c r="F4128" i="1" a="1"/>
  <c r="F4128" i="1" s="1"/>
  <c r="E4128" i="1" a="1"/>
  <c r="E4128" i="1" s="1"/>
  <c r="D4128" i="1"/>
  <c r="C4128" i="1"/>
  <c r="B4128" i="1"/>
  <c r="A4128" i="1"/>
  <c r="F4127" i="1"/>
  <c r="F4127" i="1" a="1"/>
  <c r="E4127" i="1" a="1"/>
  <c r="E4127" i="1" s="1"/>
  <c r="D4127" i="1"/>
  <c r="C4127" i="1"/>
  <c r="B4127" i="1"/>
  <c r="A4127" i="1"/>
  <c r="F4126" i="1"/>
  <c r="F4126" i="1" a="1"/>
  <c r="E4126" i="1" a="1"/>
  <c r="E4126" i="1" s="1"/>
  <c r="D4126" i="1"/>
  <c r="C4126" i="1"/>
  <c r="B4126" i="1"/>
  <c r="A4126" i="1"/>
  <c r="F4125" i="1" a="1"/>
  <c r="F4125" i="1" s="1"/>
  <c r="E4125" i="1" a="1"/>
  <c r="E4125" i="1" s="1"/>
  <c r="D4125" i="1"/>
  <c r="C4125" i="1"/>
  <c r="B4125" i="1"/>
  <c r="A4125" i="1"/>
  <c r="F4124" i="1"/>
  <c r="F4124" i="1" a="1"/>
  <c r="E4124" i="1" a="1"/>
  <c r="E4124" i="1" s="1"/>
  <c r="D4124" i="1"/>
  <c r="C4124" i="1"/>
  <c r="B4124" i="1"/>
  <c r="A4124" i="1"/>
  <c r="F4123" i="1" a="1"/>
  <c r="F4123" i="1" s="1"/>
  <c r="E4123" i="1" a="1"/>
  <c r="E4123" i="1" s="1"/>
  <c r="D4123" i="1"/>
  <c r="C4123" i="1"/>
  <c r="B4123" i="1"/>
  <c r="A4123" i="1"/>
  <c r="F4122" i="1" a="1"/>
  <c r="F4122" i="1" s="1"/>
  <c r="E4122" i="1" a="1"/>
  <c r="E4122" i="1" s="1"/>
  <c r="D4122" i="1"/>
  <c r="C4122" i="1"/>
  <c r="B4122" i="1"/>
  <c r="A4122" i="1"/>
  <c r="F4121" i="1" a="1"/>
  <c r="F4121" i="1" s="1"/>
  <c r="E4121" i="1" a="1"/>
  <c r="E4121" i="1" s="1"/>
  <c r="D4121" i="1"/>
  <c r="C4121" i="1"/>
  <c r="B4121" i="1"/>
  <c r="A4121" i="1"/>
  <c r="F4120" i="1" a="1"/>
  <c r="F4120" i="1" s="1"/>
  <c r="E4120" i="1" a="1"/>
  <c r="E4120" i="1" s="1"/>
  <c r="D4120" i="1"/>
  <c r="C4120" i="1"/>
  <c r="B4120" i="1"/>
  <c r="A4120" i="1"/>
  <c r="F4119" i="1"/>
  <c r="F4119" i="1" a="1"/>
  <c r="E4119" i="1" a="1"/>
  <c r="E4119" i="1" s="1"/>
  <c r="D4119" i="1"/>
  <c r="C4119" i="1"/>
  <c r="B4119" i="1"/>
  <c r="A4119" i="1"/>
  <c r="F4118" i="1"/>
  <c r="F4118" i="1" a="1"/>
  <c r="E4118" i="1" a="1"/>
  <c r="E4118" i="1" s="1"/>
  <c r="D4118" i="1"/>
  <c r="C4118" i="1"/>
  <c r="B4118" i="1"/>
  <c r="A4118" i="1"/>
  <c r="F4117" i="1"/>
  <c r="F4117" i="1" a="1"/>
  <c r="E4117" i="1" a="1"/>
  <c r="E4117" i="1" s="1"/>
  <c r="D4117" i="1"/>
  <c r="C4117" i="1"/>
  <c r="B4117" i="1"/>
  <c r="A4117" i="1"/>
  <c r="F4116" i="1"/>
  <c r="F4116" i="1" a="1"/>
  <c r="E4116" i="1" a="1"/>
  <c r="E4116" i="1" s="1"/>
  <c r="D4116" i="1"/>
  <c r="C4116" i="1"/>
  <c r="B4116" i="1"/>
  <c r="A4116" i="1"/>
  <c r="F4115" i="1" a="1"/>
  <c r="F4115" i="1" s="1"/>
  <c r="E4115" i="1" a="1"/>
  <c r="E4115" i="1" s="1"/>
  <c r="D4115" i="1"/>
  <c r="C4115" i="1"/>
  <c r="B4115" i="1"/>
  <c r="A4115" i="1"/>
  <c r="F4114" i="1" a="1"/>
  <c r="F4114" i="1" s="1"/>
  <c r="E4114" i="1" a="1"/>
  <c r="E4114" i="1" s="1"/>
  <c r="D4114" i="1"/>
  <c r="C4114" i="1"/>
  <c r="B4114" i="1"/>
  <c r="A4114" i="1"/>
  <c r="F4113" i="1" a="1"/>
  <c r="F4113" i="1" s="1"/>
  <c r="E4113" i="1" a="1"/>
  <c r="E4113" i="1" s="1"/>
  <c r="D4113" i="1"/>
  <c r="C4113" i="1"/>
  <c r="B4113" i="1"/>
  <c r="A4113" i="1"/>
  <c r="F4112" i="1" a="1"/>
  <c r="F4112" i="1" s="1"/>
  <c r="E4112" i="1" a="1"/>
  <c r="E4112" i="1" s="1"/>
  <c r="D4112" i="1"/>
  <c r="C4112" i="1"/>
  <c r="B4112" i="1"/>
  <c r="A4112" i="1"/>
  <c r="F4111" i="1"/>
  <c r="F4111" i="1" a="1"/>
  <c r="E4111" i="1" a="1"/>
  <c r="E4111" i="1" s="1"/>
  <c r="D4111" i="1"/>
  <c r="C4111" i="1"/>
  <c r="B4111" i="1"/>
  <c r="A4111" i="1"/>
  <c r="F4110" i="1"/>
  <c r="F4110" i="1" a="1"/>
  <c r="E4110" i="1" a="1"/>
  <c r="E4110" i="1" s="1"/>
  <c r="D4110" i="1"/>
  <c r="C4110" i="1"/>
  <c r="B4110" i="1"/>
  <c r="A4110" i="1"/>
  <c r="F4109" i="1" a="1"/>
  <c r="F4109" i="1" s="1"/>
  <c r="E4109" i="1" a="1"/>
  <c r="E4109" i="1" s="1"/>
  <c r="D4109" i="1"/>
  <c r="C4109" i="1"/>
  <c r="B4109" i="1"/>
  <c r="A4109" i="1"/>
  <c r="F4108" i="1"/>
  <c r="F4108" i="1" a="1"/>
  <c r="E4108" i="1" a="1"/>
  <c r="E4108" i="1" s="1"/>
  <c r="D4108" i="1"/>
  <c r="C4108" i="1"/>
  <c r="B4108" i="1"/>
  <c r="A4108" i="1"/>
  <c r="F4107" i="1" a="1"/>
  <c r="F4107" i="1" s="1"/>
  <c r="E4107" i="1" a="1"/>
  <c r="E4107" i="1" s="1"/>
  <c r="D4107" i="1"/>
  <c r="C4107" i="1"/>
  <c r="B4107" i="1"/>
  <c r="A4107" i="1"/>
  <c r="F4106" i="1" a="1"/>
  <c r="F4106" i="1" s="1"/>
  <c r="E4106" i="1" a="1"/>
  <c r="E4106" i="1" s="1"/>
  <c r="D4106" i="1"/>
  <c r="C4106" i="1"/>
  <c r="B4106" i="1"/>
  <c r="A4106" i="1"/>
  <c r="F4105" i="1" a="1"/>
  <c r="F4105" i="1" s="1"/>
  <c r="E4105" i="1" a="1"/>
  <c r="E4105" i="1" s="1"/>
  <c r="D4105" i="1"/>
  <c r="C4105" i="1"/>
  <c r="B4105" i="1"/>
  <c r="A4105" i="1"/>
  <c r="F4104" i="1" a="1"/>
  <c r="F4104" i="1" s="1"/>
  <c r="E4104" i="1" a="1"/>
  <c r="E4104" i="1" s="1"/>
  <c r="D4104" i="1"/>
  <c r="C4104" i="1"/>
  <c r="B4104" i="1"/>
  <c r="A4104" i="1"/>
  <c r="F4103" i="1"/>
  <c r="F4103" i="1" a="1"/>
  <c r="E4103" i="1" a="1"/>
  <c r="E4103" i="1" s="1"/>
  <c r="D4103" i="1"/>
  <c r="C4103" i="1"/>
  <c r="B4103" i="1"/>
  <c r="A4103" i="1"/>
  <c r="F4102" i="1"/>
  <c r="F4102" i="1" a="1"/>
  <c r="E4102" i="1" a="1"/>
  <c r="E4102" i="1" s="1"/>
  <c r="D4102" i="1"/>
  <c r="C4102" i="1"/>
  <c r="B4102" i="1"/>
  <c r="A4102" i="1"/>
  <c r="F4101" i="1" a="1"/>
  <c r="F4101" i="1" s="1"/>
  <c r="E4101" i="1" a="1"/>
  <c r="E4101" i="1" s="1"/>
  <c r="D4101" i="1"/>
  <c r="C4101" i="1"/>
  <c r="B4101" i="1"/>
  <c r="A4101" i="1"/>
  <c r="F4100" i="1"/>
  <c r="F4100" i="1" a="1"/>
  <c r="E4100" i="1" a="1"/>
  <c r="E4100" i="1" s="1"/>
  <c r="D4100" i="1"/>
  <c r="C4100" i="1"/>
  <c r="B4100" i="1"/>
  <c r="A4100" i="1"/>
  <c r="F4099" i="1" a="1"/>
  <c r="F4099" i="1" s="1"/>
  <c r="E4099" i="1" a="1"/>
  <c r="E4099" i="1" s="1"/>
  <c r="D4099" i="1"/>
  <c r="C4099" i="1"/>
  <c r="B4099" i="1"/>
  <c r="A4099" i="1"/>
  <c r="F4098" i="1" a="1"/>
  <c r="F4098" i="1" s="1"/>
  <c r="E4098" i="1" a="1"/>
  <c r="E4098" i="1" s="1"/>
  <c r="D4098" i="1"/>
  <c r="C4098" i="1"/>
  <c r="B4098" i="1"/>
  <c r="A4098" i="1"/>
  <c r="F4097" i="1" a="1"/>
  <c r="F4097" i="1" s="1"/>
  <c r="E4097" i="1" a="1"/>
  <c r="E4097" i="1" s="1"/>
  <c r="D4097" i="1"/>
  <c r="C4097" i="1"/>
  <c r="B4097" i="1"/>
  <c r="A4097" i="1"/>
  <c r="F4096" i="1"/>
  <c r="F4096" i="1" a="1"/>
  <c r="E4096" i="1" a="1"/>
  <c r="E4096" i="1" s="1"/>
  <c r="D4096" i="1"/>
  <c r="C4096" i="1"/>
  <c r="B4096" i="1"/>
  <c r="A4096" i="1"/>
  <c r="F4095" i="1"/>
  <c r="F4095" i="1" a="1"/>
  <c r="E4095" i="1" a="1"/>
  <c r="E4095" i="1" s="1"/>
  <c r="D4095" i="1"/>
  <c r="C4095" i="1"/>
  <c r="B4095" i="1"/>
  <c r="A4095" i="1"/>
  <c r="F4094" i="1"/>
  <c r="F4094" i="1" a="1"/>
  <c r="E4094" i="1" a="1"/>
  <c r="E4094" i="1" s="1"/>
  <c r="D4094" i="1"/>
  <c r="C4094" i="1"/>
  <c r="B4094" i="1"/>
  <c r="A4094" i="1"/>
  <c r="F4093" i="1" a="1"/>
  <c r="F4093" i="1" s="1"/>
  <c r="E4093" i="1" a="1"/>
  <c r="E4093" i="1" s="1"/>
  <c r="D4093" i="1"/>
  <c r="C4093" i="1"/>
  <c r="B4093" i="1"/>
  <c r="A4093" i="1"/>
  <c r="F4092" i="1"/>
  <c r="F4092" i="1" a="1"/>
  <c r="E4092" i="1" a="1"/>
  <c r="E4092" i="1" s="1"/>
  <c r="D4092" i="1"/>
  <c r="C4092" i="1"/>
  <c r="B4092" i="1"/>
  <c r="A4092" i="1"/>
  <c r="F4091" i="1" a="1"/>
  <c r="F4091" i="1" s="1"/>
  <c r="E4091" i="1" a="1"/>
  <c r="E4091" i="1" s="1"/>
  <c r="D4091" i="1"/>
  <c r="C4091" i="1"/>
  <c r="B4091" i="1"/>
  <c r="A4091" i="1"/>
  <c r="F4090" i="1" a="1"/>
  <c r="F4090" i="1" s="1"/>
  <c r="E4090" i="1" a="1"/>
  <c r="E4090" i="1" s="1"/>
  <c r="D4090" i="1"/>
  <c r="C4090" i="1"/>
  <c r="B4090" i="1"/>
  <c r="A4090" i="1"/>
  <c r="F4089" i="1" a="1"/>
  <c r="F4089" i="1" s="1"/>
  <c r="E4089" i="1" a="1"/>
  <c r="E4089" i="1" s="1"/>
  <c r="D4089" i="1"/>
  <c r="C4089" i="1"/>
  <c r="B4089" i="1"/>
  <c r="A4089" i="1"/>
  <c r="F4088" i="1"/>
  <c r="F4088" i="1" a="1"/>
  <c r="E4088" i="1" a="1"/>
  <c r="E4088" i="1" s="1"/>
  <c r="D4088" i="1"/>
  <c r="C4088" i="1"/>
  <c r="B4088" i="1"/>
  <c r="A4088" i="1"/>
  <c r="F4087" i="1"/>
  <c r="F4087" i="1" a="1"/>
  <c r="E4087" i="1" a="1"/>
  <c r="E4087" i="1" s="1"/>
  <c r="D4087" i="1"/>
  <c r="C4087" i="1"/>
  <c r="B4087" i="1"/>
  <c r="A4087" i="1"/>
  <c r="F4086" i="1"/>
  <c r="F4086" i="1" a="1"/>
  <c r="E4086" i="1" a="1"/>
  <c r="E4086" i="1" s="1"/>
  <c r="D4086" i="1"/>
  <c r="C4086" i="1"/>
  <c r="B4086" i="1"/>
  <c r="A4086" i="1"/>
  <c r="F4085" i="1" a="1"/>
  <c r="F4085" i="1" s="1"/>
  <c r="E4085" i="1" a="1"/>
  <c r="E4085" i="1" s="1"/>
  <c r="D4085" i="1"/>
  <c r="C4085" i="1"/>
  <c r="B4085" i="1"/>
  <c r="A4085" i="1"/>
  <c r="F4084" i="1"/>
  <c r="F4084" i="1" a="1"/>
  <c r="E4084" i="1" a="1"/>
  <c r="E4084" i="1" s="1"/>
  <c r="D4084" i="1"/>
  <c r="C4084" i="1"/>
  <c r="B4084" i="1"/>
  <c r="A4084" i="1"/>
  <c r="F4083" i="1" a="1"/>
  <c r="F4083" i="1" s="1"/>
  <c r="E4083" i="1" a="1"/>
  <c r="E4083" i="1" s="1"/>
  <c r="D4083" i="1"/>
  <c r="C4083" i="1"/>
  <c r="B4083" i="1"/>
  <c r="A4083" i="1"/>
  <c r="F4082" i="1" a="1"/>
  <c r="F4082" i="1" s="1"/>
  <c r="E4082" i="1" a="1"/>
  <c r="E4082" i="1" s="1"/>
  <c r="D4082" i="1"/>
  <c r="C4082" i="1"/>
  <c r="B4082" i="1"/>
  <c r="A4082" i="1"/>
  <c r="F4081" i="1" a="1"/>
  <c r="F4081" i="1" s="1"/>
  <c r="E4081" i="1" a="1"/>
  <c r="E4081" i="1" s="1"/>
  <c r="D4081" i="1"/>
  <c r="C4081" i="1"/>
  <c r="B4081" i="1"/>
  <c r="A4081" i="1"/>
  <c r="F4080" i="1"/>
  <c r="F4080" i="1" a="1"/>
  <c r="E4080" i="1" a="1"/>
  <c r="E4080" i="1" s="1"/>
  <c r="D4080" i="1"/>
  <c r="C4080" i="1"/>
  <c r="B4080" i="1"/>
  <c r="A4080" i="1"/>
  <c r="F4079" i="1"/>
  <c r="F4079" i="1" a="1"/>
  <c r="E4079" i="1" a="1"/>
  <c r="E4079" i="1" s="1"/>
  <c r="D4079" i="1"/>
  <c r="C4079" i="1"/>
  <c r="B4079" i="1"/>
  <c r="A4079" i="1"/>
  <c r="F4078" i="1"/>
  <c r="F4078" i="1" a="1"/>
  <c r="E4078" i="1" a="1"/>
  <c r="E4078" i="1" s="1"/>
  <c r="D4078" i="1"/>
  <c r="C4078" i="1"/>
  <c r="B4078" i="1"/>
  <c r="A4078" i="1"/>
  <c r="F4077" i="1" a="1"/>
  <c r="F4077" i="1" s="1"/>
  <c r="E4077" i="1" a="1"/>
  <c r="E4077" i="1" s="1"/>
  <c r="D4077" i="1"/>
  <c r="C4077" i="1"/>
  <c r="B4077" i="1"/>
  <c r="A4077" i="1"/>
  <c r="F4076" i="1"/>
  <c r="F4076" i="1" a="1"/>
  <c r="E4076" i="1" a="1"/>
  <c r="E4076" i="1" s="1"/>
  <c r="D4076" i="1"/>
  <c r="C4076" i="1"/>
  <c r="B4076" i="1"/>
  <c r="A4076" i="1"/>
  <c r="F4075" i="1" a="1"/>
  <c r="F4075" i="1" s="1"/>
  <c r="E4075" i="1" a="1"/>
  <c r="E4075" i="1" s="1"/>
  <c r="D4075" i="1"/>
  <c r="C4075" i="1"/>
  <c r="B4075" i="1"/>
  <c r="A4075" i="1"/>
  <c r="F4074" i="1" a="1"/>
  <c r="F4074" i="1" s="1"/>
  <c r="E4074" i="1" a="1"/>
  <c r="E4074" i="1" s="1"/>
  <c r="D4074" i="1"/>
  <c r="C4074" i="1"/>
  <c r="B4074" i="1"/>
  <c r="A4074" i="1"/>
  <c r="F4073" i="1" a="1"/>
  <c r="F4073" i="1" s="1"/>
  <c r="E4073" i="1" a="1"/>
  <c r="E4073" i="1" s="1"/>
  <c r="D4073" i="1"/>
  <c r="C4073" i="1"/>
  <c r="B4073" i="1"/>
  <c r="A4073" i="1"/>
  <c r="F4072" i="1"/>
  <c r="F4072" i="1" a="1"/>
  <c r="E4072" i="1" a="1"/>
  <c r="E4072" i="1" s="1"/>
  <c r="D4072" i="1"/>
  <c r="C4072" i="1"/>
  <c r="B4072" i="1"/>
  <c r="A4072" i="1"/>
  <c r="F4071" i="1"/>
  <c r="F4071" i="1" a="1"/>
  <c r="E4071" i="1" a="1"/>
  <c r="E4071" i="1" s="1"/>
  <c r="D4071" i="1"/>
  <c r="C4071" i="1"/>
  <c r="B4071" i="1"/>
  <c r="A4071" i="1"/>
  <c r="F4070" i="1"/>
  <c r="F4070" i="1" a="1"/>
  <c r="E4070" i="1" a="1"/>
  <c r="E4070" i="1" s="1"/>
  <c r="D4070" i="1"/>
  <c r="C4070" i="1"/>
  <c r="B4070" i="1"/>
  <c r="A4070" i="1"/>
  <c r="F4069" i="1" a="1"/>
  <c r="F4069" i="1" s="1"/>
  <c r="E4069" i="1" a="1"/>
  <c r="E4069" i="1" s="1"/>
  <c r="D4069" i="1"/>
  <c r="C4069" i="1"/>
  <c r="B4069" i="1"/>
  <c r="A4069" i="1"/>
  <c r="F4068" i="1"/>
  <c r="F4068" i="1" a="1"/>
  <c r="E4068" i="1" a="1"/>
  <c r="E4068" i="1" s="1"/>
  <c r="D4068" i="1"/>
  <c r="C4068" i="1"/>
  <c r="B4068" i="1"/>
  <c r="A4068" i="1"/>
  <c r="F4067" i="1" a="1"/>
  <c r="F4067" i="1" s="1"/>
  <c r="E4067" i="1" a="1"/>
  <c r="E4067" i="1" s="1"/>
  <c r="D4067" i="1"/>
  <c r="C4067" i="1"/>
  <c r="B4067" i="1"/>
  <c r="A4067" i="1"/>
  <c r="F4066" i="1" a="1"/>
  <c r="F4066" i="1" s="1"/>
  <c r="E4066" i="1" a="1"/>
  <c r="E4066" i="1" s="1"/>
  <c r="D4066" i="1"/>
  <c r="C4066" i="1"/>
  <c r="B4066" i="1"/>
  <c r="A4066" i="1"/>
  <c r="F4065" i="1" a="1"/>
  <c r="F4065" i="1" s="1"/>
  <c r="E4065" i="1" a="1"/>
  <c r="E4065" i="1" s="1"/>
  <c r="D4065" i="1"/>
  <c r="C4065" i="1"/>
  <c r="B4065" i="1"/>
  <c r="A4065" i="1"/>
  <c r="F4064" i="1"/>
  <c r="F4064" i="1" a="1"/>
  <c r="E4064" i="1" a="1"/>
  <c r="E4064" i="1" s="1"/>
  <c r="D4064" i="1"/>
  <c r="C4064" i="1"/>
  <c r="B4064" i="1"/>
  <c r="A4064" i="1"/>
  <c r="F4063" i="1"/>
  <c r="F4063" i="1" a="1"/>
  <c r="E4063" i="1" a="1"/>
  <c r="E4063" i="1" s="1"/>
  <c r="D4063" i="1"/>
  <c r="C4063" i="1"/>
  <c r="B4063" i="1"/>
  <c r="A4063" i="1"/>
  <c r="F4062" i="1"/>
  <c r="F4062" i="1" a="1"/>
  <c r="E4062" i="1" a="1"/>
  <c r="E4062" i="1" s="1"/>
  <c r="D4062" i="1"/>
  <c r="C4062" i="1"/>
  <c r="B4062" i="1"/>
  <c r="A4062" i="1"/>
  <c r="F4061" i="1" a="1"/>
  <c r="F4061" i="1" s="1"/>
  <c r="E4061" i="1" a="1"/>
  <c r="E4061" i="1" s="1"/>
  <c r="D4061" i="1"/>
  <c r="C4061" i="1"/>
  <c r="B4061" i="1"/>
  <c r="A4061" i="1"/>
  <c r="F4060" i="1"/>
  <c r="F4060" i="1" a="1"/>
  <c r="E4060" i="1" a="1"/>
  <c r="E4060" i="1" s="1"/>
  <c r="D4060" i="1"/>
  <c r="C4060" i="1"/>
  <c r="B4060" i="1"/>
  <c r="A4060" i="1"/>
  <c r="F4059" i="1" a="1"/>
  <c r="F4059" i="1" s="1"/>
  <c r="E4059" i="1" a="1"/>
  <c r="E4059" i="1" s="1"/>
  <c r="D4059" i="1"/>
  <c r="C4059" i="1"/>
  <c r="B4059" i="1"/>
  <c r="A4059" i="1"/>
  <c r="F4058" i="1" a="1"/>
  <c r="F4058" i="1" s="1"/>
  <c r="E4058" i="1" a="1"/>
  <c r="E4058" i="1" s="1"/>
  <c r="D4058" i="1"/>
  <c r="C4058" i="1"/>
  <c r="B4058" i="1"/>
  <c r="A4058" i="1"/>
  <c r="F4057" i="1" a="1"/>
  <c r="F4057" i="1" s="1"/>
  <c r="E4057" i="1" a="1"/>
  <c r="E4057" i="1" s="1"/>
  <c r="D4057" i="1"/>
  <c r="C4057" i="1"/>
  <c r="B4057" i="1"/>
  <c r="A4057" i="1"/>
  <c r="F4056" i="1"/>
  <c r="F4056" i="1" a="1"/>
  <c r="E4056" i="1" a="1"/>
  <c r="E4056" i="1" s="1"/>
  <c r="D4056" i="1"/>
  <c r="C4056" i="1"/>
  <c r="B4056" i="1"/>
  <c r="A4056" i="1"/>
  <c r="F4055" i="1"/>
  <c r="F4055" i="1" a="1"/>
  <c r="E4055" i="1" a="1"/>
  <c r="E4055" i="1" s="1"/>
  <c r="D4055" i="1"/>
  <c r="C4055" i="1"/>
  <c r="B4055" i="1"/>
  <c r="A4055" i="1"/>
  <c r="F4054" i="1"/>
  <c r="F4054" i="1" a="1"/>
  <c r="E4054" i="1" a="1"/>
  <c r="E4054" i="1" s="1"/>
  <c r="D4054" i="1"/>
  <c r="C4054" i="1"/>
  <c r="B4054" i="1"/>
  <c r="A4054" i="1"/>
  <c r="F4053" i="1"/>
  <c r="F4053" i="1" a="1"/>
  <c r="E4053" i="1" a="1"/>
  <c r="E4053" i="1" s="1"/>
  <c r="D4053" i="1"/>
  <c r="C4053" i="1"/>
  <c r="B4053" i="1"/>
  <c r="A4053" i="1"/>
  <c r="F4052" i="1"/>
  <c r="F4052" i="1" a="1"/>
  <c r="E4052" i="1" a="1"/>
  <c r="E4052" i="1" s="1"/>
  <c r="D4052" i="1"/>
  <c r="C4052" i="1"/>
  <c r="B4052" i="1"/>
  <c r="A4052" i="1"/>
  <c r="F4051" i="1" a="1"/>
  <c r="F4051" i="1" s="1"/>
  <c r="E4051" i="1" a="1"/>
  <c r="E4051" i="1" s="1"/>
  <c r="D4051" i="1"/>
  <c r="C4051" i="1"/>
  <c r="B4051" i="1"/>
  <c r="A4051" i="1"/>
  <c r="F4050" i="1" a="1"/>
  <c r="F4050" i="1" s="1"/>
  <c r="E4050" i="1" a="1"/>
  <c r="E4050" i="1" s="1"/>
  <c r="D4050" i="1"/>
  <c r="C4050" i="1"/>
  <c r="B4050" i="1"/>
  <c r="A4050" i="1"/>
  <c r="F4049" i="1" a="1"/>
  <c r="F4049" i="1" s="1"/>
  <c r="E4049" i="1" a="1"/>
  <c r="E4049" i="1" s="1"/>
  <c r="D4049" i="1"/>
  <c r="C4049" i="1"/>
  <c r="B4049" i="1"/>
  <c r="A4049" i="1"/>
  <c r="F4048" i="1"/>
  <c r="F4048" i="1" a="1"/>
  <c r="E4048" i="1" a="1"/>
  <c r="E4048" i="1" s="1"/>
  <c r="D4048" i="1"/>
  <c r="C4048" i="1"/>
  <c r="B4048" i="1"/>
  <c r="A4048" i="1"/>
  <c r="F4047" i="1"/>
  <c r="F4047" i="1" a="1"/>
  <c r="E4047" i="1" a="1"/>
  <c r="E4047" i="1" s="1"/>
  <c r="D4047" i="1"/>
  <c r="C4047" i="1"/>
  <c r="B4047" i="1"/>
  <c r="A4047" i="1"/>
  <c r="F4046" i="1"/>
  <c r="F4046" i="1" a="1"/>
  <c r="E4046" i="1" a="1"/>
  <c r="E4046" i="1" s="1"/>
  <c r="D4046" i="1"/>
  <c r="C4046" i="1"/>
  <c r="B4046" i="1"/>
  <c r="A4046" i="1"/>
  <c r="F4045" i="1"/>
  <c r="F4045" i="1" a="1"/>
  <c r="E4045" i="1" a="1"/>
  <c r="E4045" i="1" s="1"/>
  <c r="D4045" i="1"/>
  <c r="C4045" i="1"/>
  <c r="B4045" i="1"/>
  <c r="A4045" i="1"/>
  <c r="F4044" i="1"/>
  <c r="F4044" i="1" a="1"/>
  <c r="E4044" i="1" a="1"/>
  <c r="E4044" i="1" s="1"/>
  <c r="D4044" i="1"/>
  <c r="C4044" i="1"/>
  <c r="B4044" i="1"/>
  <c r="A4044" i="1"/>
  <c r="F4043" i="1" a="1"/>
  <c r="F4043" i="1" s="1"/>
  <c r="E4043" i="1" a="1"/>
  <c r="E4043" i="1" s="1"/>
  <c r="D4043" i="1"/>
  <c r="C4043" i="1"/>
  <c r="B4043" i="1"/>
  <c r="A4043" i="1"/>
  <c r="F4042" i="1" a="1"/>
  <c r="F4042" i="1" s="1"/>
  <c r="E4042" i="1" a="1"/>
  <c r="E4042" i="1" s="1"/>
  <c r="D4042" i="1"/>
  <c r="C4042" i="1"/>
  <c r="B4042" i="1"/>
  <c r="A4042" i="1"/>
  <c r="F4041" i="1" a="1"/>
  <c r="F4041" i="1" s="1"/>
  <c r="E4041" i="1" a="1"/>
  <c r="E4041" i="1" s="1"/>
  <c r="D4041" i="1"/>
  <c r="C4041" i="1"/>
  <c r="B4041" i="1"/>
  <c r="A4041" i="1"/>
  <c r="F4040" i="1"/>
  <c r="F4040" i="1" a="1"/>
  <c r="E4040" i="1" a="1"/>
  <c r="E4040" i="1" s="1"/>
  <c r="D4040" i="1"/>
  <c r="C4040" i="1"/>
  <c r="B4040" i="1"/>
  <c r="A4040" i="1"/>
  <c r="F4039" i="1"/>
  <c r="F4039" i="1" a="1"/>
  <c r="E4039" i="1" a="1"/>
  <c r="E4039" i="1" s="1"/>
  <c r="D4039" i="1"/>
  <c r="C4039" i="1"/>
  <c r="B4039" i="1"/>
  <c r="A4039" i="1"/>
  <c r="F4038" i="1"/>
  <c r="F4038" i="1" a="1"/>
  <c r="E4038" i="1" a="1"/>
  <c r="E4038" i="1" s="1"/>
  <c r="D4038" i="1"/>
  <c r="C4038" i="1"/>
  <c r="B4038" i="1"/>
  <c r="A4038" i="1"/>
  <c r="F4037" i="1"/>
  <c r="F4037" i="1" a="1"/>
  <c r="E4037" i="1" a="1"/>
  <c r="E4037" i="1" s="1"/>
  <c r="D4037" i="1"/>
  <c r="C4037" i="1"/>
  <c r="B4037" i="1"/>
  <c r="A4037" i="1"/>
  <c r="F4036" i="1" a="1"/>
  <c r="F4036" i="1" s="1"/>
  <c r="E4036" i="1" a="1"/>
  <c r="E4036" i="1" s="1"/>
  <c r="D4036" i="1"/>
  <c r="C4036" i="1"/>
  <c r="B4036" i="1"/>
  <c r="A4036" i="1"/>
  <c r="F4035" i="1" a="1"/>
  <c r="F4035" i="1" s="1"/>
  <c r="E4035" i="1" a="1"/>
  <c r="E4035" i="1" s="1"/>
  <c r="D4035" i="1"/>
  <c r="C4035" i="1"/>
  <c r="B4035" i="1"/>
  <c r="A4035" i="1"/>
  <c r="F4034" i="1" a="1"/>
  <c r="F4034" i="1" s="1"/>
  <c r="E4034" i="1" a="1"/>
  <c r="E4034" i="1" s="1"/>
  <c r="D4034" i="1"/>
  <c r="C4034" i="1"/>
  <c r="B4034" i="1"/>
  <c r="A4034" i="1"/>
  <c r="F4033" i="1" a="1"/>
  <c r="F4033" i="1" s="1"/>
  <c r="E4033" i="1" a="1"/>
  <c r="E4033" i="1" s="1"/>
  <c r="D4033" i="1"/>
  <c r="C4033" i="1"/>
  <c r="B4033" i="1"/>
  <c r="A4033" i="1"/>
  <c r="F4032" i="1"/>
  <c r="F4032" i="1" a="1"/>
  <c r="E4032" i="1" a="1"/>
  <c r="E4032" i="1" s="1"/>
  <c r="D4032" i="1"/>
  <c r="C4032" i="1"/>
  <c r="B4032" i="1"/>
  <c r="A4032" i="1"/>
  <c r="F4031" i="1"/>
  <c r="F4031" i="1" a="1"/>
  <c r="E4031" i="1" a="1"/>
  <c r="E4031" i="1" s="1"/>
  <c r="D4031" i="1"/>
  <c r="C4031" i="1"/>
  <c r="B4031" i="1"/>
  <c r="A4031" i="1"/>
  <c r="F4030" i="1"/>
  <c r="F4030" i="1" a="1"/>
  <c r="E4030" i="1" a="1"/>
  <c r="E4030" i="1" s="1"/>
  <c r="D4030" i="1"/>
  <c r="C4030" i="1"/>
  <c r="B4030" i="1"/>
  <c r="A4030" i="1"/>
  <c r="F4029" i="1"/>
  <c r="F4029" i="1" a="1"/>
  <c r="E4029" i="1" a="1"/>
  <c r="E4029" i="1" s="1"/>
  <c r="D4029" i="1"/>
  <c r="C4029" i="1"/>
  <c r="B4029" i="1"/>
  <c r="A4029" i="1"/>
  <c r="F4028" i="1" a="1"/>
  <c r="F4028" i="1" s="1"/>
  <c r="E4028" i="1" a="1"/>
  <c r="E4028" i="1" s="1"/>
  <c r="D4028" i="1"/>
  <c r="C4028" i="1"/>
  <c r="B4028" i="1"/>
  <c r="A4028" i="1"/>
  <c r="F4027" i="1" a="1"/>
  <c r="F4027" i="1" s="1"/>
  <c r="E4027" i="1" a="1"/>
  <c r="E4027" i="1" s="1"/>
  <c r="D4027" i="1"/>
  <c r="C4027" i="1"/>
  <c r="B4027" i="1"/>
  <c r="A4027" i="1"/>
  <c r="F4026" i="1" a="1"/>
  <c r="F4026" i="1" s="1"/>
  <c r="E4026" i="1" a="1"/>
  <c r="E4026" i="1" s="1"/>
  <c r="D4026" i="1"/>
  <c r="C4026" i="1"/>
  <c r="B4026" i="1"/>
  <c r="A4026" i="1"/>
  <c r="F4025" i="1" a="1"/>
  <c r="F4025" i="1" s="1"/>
  <c r="E4025" i="1" a="1"/>
  <c r="E4025" i="1" s="1"/>
  <c r="D4025" i="1"/>
  <c r="C4025" i="1"/>
  <c r="B4025" i="1"/>
  <c r="A4025" i="1"/>
  <c r="F4024" i="1"/>
  <c r="F4024" i="1" a="1"/>
  <c r="E4024" i="1" a="1"/>
  <c r="E4024" i="1" s="1"/>
  <c r="D4024" i="1"/>
  <c r="C4024" i="1"/>
  <c r="B4024" i="1"/>
  <c r="A4024" i="1"/>
  <c r="F4023" i="1"/>
  <c r="F4023" i="1" a="1"/>
  <c r="E4023" i="1" a="1"/>
  <c r="E4023" i="1" s="1"/>
  <c r="D4023" i="1"/>
  <c r="C4023" i="1"/>
  <c r="B4023" i="1"/>
  <c r="A4023" i="1"/>
  <c r="F4022" i="1"/>
  <c r="F4022" i="1" a="1"/>
  <c r="E4022" i="1" a="1"/>
  <c r="E4022" i="1" s="1"/>
  <c r="D4022" i="1"/>
  <c r="C4022" i="1"/>
  <c r="B4022" i="1"/>
  <c r="A4022" i="1"/>
  <c r="F4021" i="1"/>
  <c r="F4021" i="1" a="1"/>
  <c r="E4021" i="1" a="1"/>
  <c r="E4021" i="1" s="1"/>
  <c r="D4021" i="1"/>
  <c r="C4021" i="1"/>
  <c r="B4021" i="1"/>
  <c r="A4021" i="1"/>
  <c r="F4020" i="1" a="1"/>
  <c r="F4020" i="1" s="1"/>
  <c r="E4020" i="1" a="1"/>
  <c r="E4020" i="1" s="1"/>
  <c r="D4020" i="1"/>
  <c r="C4020" i="1"/>
  <c r="B4020" i="1"/>
  <c r="A4020" i="1"/>
  <c r="F4019" i="1" a="1"/>
  <c r="F4019" i="1" s="1"/>
  <c r="E4019" i="1" a="1"/>
  <c r="E4019" i="1" s="1"/>
  <c r="D4019" i="1"/>
  <c r="C4019" i="1"/>
  <c r="B4019" i="1"/>
  <c r="A4019" i="1"/>
  <c r="F4018" i="1" a="1"/>
  <c r="F4018" i="1" s="1"/>
  <c r="E4018" i="1" a="1"/>
  <c r="E4018" i="1" s="1"/>
  <c r="D4018" i="1"/>
  <c r="C4018" i="1"/>
  <c r="B4018" i="1"/>
  <c r="A4018" i="1"/>
  <c r="F4017" i="1" a="1"/>
  <c r="F4017" i="1" s="1"/>
  <c r="E4017" i="1" a="1"/>
  <c r="E4017" i="1" s="1"/>
  <c r="D4017" i="1"/>
  <c r="C4017" i="1"/>
  <c r="B4017" i="1"/>
  <c r="A4017" i="1"/>
  <c r="F4016" i="1"/>
  <c r="F4016" i="1" a="1"/>
  <c r="E4016" i="1" a="1"/>
  <c r="E4016" i="1" s="1"/>
  <c r="D4016" i="1"/>
  <c r="C4016" i="1"/>
  <c r="B4016" i="1"/>
  <c r="A4016" i="1"/>
  <c r="F4015" i="1"/>
  <c r="F4015" i="1" a="1"/>
  <c r="E4015" i="1" a="1"/>
  <c r="E4015" i="1" s="1"/>
  <c r="D4015" i="1"/>
  <c r="C4015" i="1"/>
  <c r="B4015" i="1"/>
  <c r="A4015" i="1"/>
  <c r="F4014" i="1"/>
  <c r="F4014" i="1" a="1"/>
  <c r="E4014" i="1" a="1"/>
  <c r="E4014" i="1" s="1"/>
  <c r="D4014" i="1"/>
  <c r="C4014" i="1"/>
  <c r="B4014" i="1"/>
  <c r="A4014" i="1"/>
  <c r="F4013" i="1"/>
  <c r="F4013" i="1" a="1"/>
  <c r="E4013" i="1" a="1"/>
  <c r="E4013" i="1" s="1"/>
  <c r="D4013" i="1"/>
  <c r="C4013" i="1"/>
  <c r="B4013" i="1"/>
  <c r="A4013" i="1"/>
  <c r="F4012" i="1" a="1"/>
  <c r="F4012" i="1" s="1"/>
  <c r="E4012" i="1" a="1"/>
  <c r="E4012" i="1" s="1"/>
  <c r="D4012" i="1"/>
  <c r="C4012" i="1"/>
  <c r="B4012" i="1"/>
  <c r="A4012" i="1"/>
  <c r="F4011" i="1" a="1"/>
  <c r="F4011" i="1" s="1"/>
  <c r="E4011" i="1" a="1"/>
  <c r="E4011" i="1" s="1"/>
  <c r="D4011" i="1"/>
  <c r="C4011" i="1"/>
  <c r="B4011" i="1"/>
  <c r="A4011" i="1"/>
  <c r="F4010" i="1" a="1"/>
  <c r="F4010" i="1" s="1"/>
  <c r="E4010" i="1" a="1"/>
  <c r="E4010" i="1" s="1"/>
  <c r="D4010" i="1"/>
  <c r="C4010" i="1"/>
  <c r="B4010" i="1"/>
  <c r="A4010" i="1"/>
  <c r="F4009" i="1" a="1"/>
  <c r="F4009" i="1" s="1"/>
  <c r="E4009" i="1" a="1"/>
  <c r="E4009" i="1" s="1"/>
  <c r="D4009" i="1"/>
  <c r="C4009" i="1"/>
  <c r="B4009" i="1"/>
  <c r="A4009" i="1"/>
  <c r="F4008" i="1"/>
  <c r="F4008" i="1" a="1"/>
  <c r="E4008" i="1" a="1"/>
  <c r="E4008" i="1" s="1"/>
  <c r="D4008" i="1"/>
  <c r="C4008" i="1"/>
  <c r="B4008" i="1"/>
  <c r="A4008" i="1"/>
  <c r="F4007" i="1"/>
  <c r="F4007" i="1" a="1"/>
  <c r="E4007" i="1" a="1"/>
  <c r="E4007" i="1" s="1"/>
  <c r="D4007" i="1"/>
  <c r="C4007" i="1"/>
  <c r="B4007" i="1"/>
  <c r="A4007" i="1"/>
  <c r="F4006" i="1"/>
  <c r="F4006" i="1" a="1"/>
  <c r="E4006" i="1" a="1"/>
  <c r="E4006" i="1" s="1"/>
  <c r="D4006" i="1"/>
  <c r="C4006" i="1"/>
  <c r="B4006" i="1"/>
  <c r="A4006" i="1"/>
  <c r="F4005" i="1"/>
  <c r="F4005" i="1" a="1"/>
  <c r="E4005" i="1" a="1"/>
  <c r="E4005" i="1" s="1"/>
  <c r="D4005" i="1"/>
  <c r="C4005" i="1"/>
  <c r="B4005" i="1"/>
  <c r="A4005" i="1"/>
  <c r="F4004" i="1" a="1"/>
  <c r="F4004" i="1" s="1"/>
  <c r="E4004" i="1" a="1"/>
  <c r="E4004" i="1" s="1"/>
  <c r="D4004" i="1"/>
  <c r="C4004" i="1"/>
  <c r="B4004" i="1"/>
  <c r="A4004" i="1"/>
  <c r="F4003" i="1" a="1"/>
  <c r="F4003" i="1" s="1"/>
  <c r="E4003" i="1" a="1"/>
  <c r="E4003" i="1" s="1"/>
  <c r="D4003" i="1"/>
  <c r="C4003" i="1"/>
  <c r="B4003" i="1"/>
  <c r="A4003" i="1"/>
  <c r="F4002" i="1" a="1"/>
  <c r="F4002" i="1" s="1"/>
  <c r="E4002" i="1" a="1"/>
  <c r="E4002" i="1" s="1"/>
  <c r="D4002" i="1"/>
  <c r="C4002" i="1"/>
  <c r="B4002" i="1"/>
  <c r="A4002" i="1"/>
  <c r="F4001" i="1" a="1"/>
  <c r="F4001" i="1" s="1"/>
  <c r="E4001" i="1" a="1"/>
  <c r="E4001" i="1" s="1"/>
  <c r="D4001" i="1"/>
  <c r="C4001" i="1"/>
  <c r="B4001" i="1"/>
  <c r="A4001" i="1"/>
  <c r="F4000" i="1"/>
  <c r="F4000" i="1" a="1"/>
  <c r="E4000" i="1" a="1"/>
  <c r="E4000" i="1" s="1"/>
  <c r="D4000" i="1"/>
  <c r="C4000" i="1"/>
  <c r="B4000" i="1"/>
  <c r="A4000" i="1"/>
  <c r="F3999" i="1"/>
  <c r="F3999" i="1" a="1"/>
  <c r="E3999" i="1" a="1"/>
  <c r="E3999" i="1" s="1"/>
  <c r="D3999" i="1"/>
  <c r="C3999" i="1"/>
  <c r="B3999" i="1"/>
  <c r="A3999" i="1"/>
  <c r="F3998" i="1"/>
  <c r="F3998" i="1" a="1"/>
  <c r="E3998" i="1" a="1"/>
  <c r="E3998" i="1" s="1"/>
  <c r="D3998" i="1"/>
  <c r="C3998" i="1"/>
  <c r="B3998" i="1"/>
  <c r="A3998" i="1"/>
  <c r="F3997" i="1"/>
  <c r="F3997" i="1" a="1"/>
  <c r="E3997" i="1" a="1"/>
  <c r="E3997" i="1" s="1"/>
  <c r="D3997" i="1"/>
  <c r="C3997" i="1"/>
  <c r="B3997" i="1"/>
  <c r="A3997" i="1"/>
  <c r="F3996" i="1" a="1"/>
  <c r="F3996" i="1" s="1"/>
  <c r="E3996" i="1" a="1"/>
  <c r="E3996" i="1" s="1"/>
  <c r="D3996" i="1"/>
  <c r="C3996" i="1"/>
  <c r="B3996" i="1"/>
  <c r="A3996" i="1"/>
  <c r="F3995" i="1" a="1"/>
  <c r="F3995" i="1" s="1"/>
  <c r="E3995" i="1" a="1"/>
  <c r="E3995" i="1" s="1"/>
  <c r="D3995" i="1"/>
  <c r="C3995" i="1"/>
  <c r="B3995" i="1"/>
  <c r="A3995" i="1"/>
  <c r="F3994" i="1" a="1"/>
  <c r="F3994" i="1" s="1"/>
  <c r="E3994" i="1" a="1"/>
  <c r="E3994" i="1" s="1"/>
  <c r="D3994" i="1"/>
  <c r="C3994" i="1"/>
  <c r="B3994" i="1"/>
  <c r="A3994" i="1"/>
  <c r="F3993" i="1" a="1"/>
  <c r="F3993" i="1" s="1"/>
  <c r="E3993" i="1" a="1"/>
  <c r="E3993" i="1" s="1"/>
  <c r="D3993" i="1"/>
  <c r="C3993" i="1"/>
  <c r="B3993" i="1"/>
  <c r="A3993" i="1"/>
  <c r="F3992" i="1"/>
  <c r="F3992" i="1" a="1"/>
  <c r="E3992" i="1" a="1"/>
  <c r="E3992" i="1" s="1"/>
  <c r="D3992" i="1"/>
  <c r="C3992" i="1"/>
  <c r="B3992" i="1"/>
  <c r="A3992" i="1"/>
  <c r="F3991" i="1"/>
  <c r="F3991" i="1" a="1"/>
  <c r="E3991" i="1" a="1"/>
  <c r="E3991" i="1" s="1"/>
  <c r="D3991" i="1"/>
  <c r="C3991" i="1"/>
  <c r="B3991" i="1"/>
  <c r="A3991" i="1"/>
  <c r="F3990" i="1" a="1"/>
  <c r="F3990" i="1" s="1"/>
  <c r="E3990" i="1" a="1"/>
  <c r="E3990" i="1" s="1"/>
  <c r="D3990" i="1"/>
  <c r="C3990" i="1"/>
  <c r="B3990" i="1"/>
  <c r="A3990" i="1"/>
  <c r="F3989" i="1"/>
  <c r="F3989" i="1" a="1"/>
  <c r="E3989" i="1" a="1"/>
  <c r="E3989" i="1" s="1"/>
  <c r="D3989" i="1"/>
  <c r="C3989" i="1"/>
  <c r="B3989" i="1"/>
  <c r="A3989" i="1"/>
  <c r="F3988" i="1" a="1"/>
  <c r="F3988" i="1" s="1"/>
  <c r="E3988" i="1" a="1"/>
  <c r="E3988" i="1" s="1"/>
  <c r="D3988" i="1"/>
  <c r="C3988" i="1"/>
  <c r="B3988" i="1"/>
  <c r="A3988" i="1"/>
  <c r="F3987" i="1"/>
  <c r="F3987" i="1" a="1"/>
  <c r="E3987" i="1" a="1"/>
  <c r="E3987" i="1" s="1"/>
  <c r="D3987" i="1"/>
  <c r="C3987" i="1"/>
  <c r="B3987" i="1"/>
  <c r="A3987" i="1"/>
  <c r="F3986" i="1" a="1"/>
  <c r="F3986" i="1" s="1"/>
  <c r="E3986" i="1" a="1"/>
  <c r="E3986" i="1" s="1"/>
  <c r="D3986" i="1"/>
  <c r="C3986" i="1"/>
  <c r="B3986" i="1"/>
  <c r="A3986" i="1"/>
  <c r="F3985" i="1" a="1"/>
  <c r="F3985" i="1" s="1"/>
  <c r="E3985" i="1" a="1"/>
  <c r="E3985" i="1" s="1"/>
  <c r="D3985" i="1"/>
  <c r="C3985" i="1"/>
  <c r="B3985" i="1"/>
  <c r="A3985" i="1"/>
  <c r="F3984" i="1" a="1"/>
  <c r="F3984" i="1" s="1"/>
  <c r="E3984" i="1" a="1"/>
  <c r="E3984" i="1" s="1"/>
  <c r="D3984" i="1"/>
  <c r="C3984" i="1"/>
  <c r="B3984" i="1"/>
  <c r="A3984" i="1"/>
  <c r="F3983" i="1" a="1"/>
  <c r="F3983" i="1" s="1"/>
  <c r="E3983" i="1" a="1"/>
  <c r="E3983" i="1" s="1"/>
  <c r="D3983" i="1"/>
  <c r="C3983" i="1"/>
  <c r="B3983" i="1"/>
  <c r="A3983" i="1"/>
  <c r="F3982" i="1" a="1"/>
  <c r="F3982" i="1" s="1"/>
  <c r="E3982" i="1"/>
  <c r="E3982" i="1" a="1"/>
  <c r="D3982" i="1"/>
  <c r="C3982" i="1"/>
  <c r="B3982" i="1"/>
  <c r="A3982" i="1"/>
  <c r="F3981" i="1" a="1"/>
  <c r="F3981" i="1" s="1"/>
  <c r="E3981" i="1" a="1"/>
  <c r="E3981" i="1" s="1"/>
  <c r="D3981" i="1"/>
  <c r="C3981" i="1"/>
  <c r="B3981" i="1"/>
  <c r="A3981" i="1"/>
  <c r="F3980" i="1" a="1"/>
  <c r="F3980" i="1" s="1"/>
  <c r="E3980" i="1" a="1"/>
  <c r="E3980" i="1" s="1"/>
  <c r="D3980" i="1"/>
  <c r="C3980" i="1"/>
  <c r="B3980" i="1"/>
  <c r="A3980" i="1"/>
  <c r="F3979" i="1" a="1"/>
  <c r="F3979" i="1" s="1"/>
  <c r="E3979" i="1" a="1"/>
  <c r="E3979" i="1" s="1"/>
  <c r="D3979" i="1"/>
  <c r="C3979" i="1"/>
  <c r="B3979" i="1"/>
  <c r="A3979" i="1"/>
  <c r="F3978" i="1" a="1"/>
  <c r="F3978" i="1" s="1"/>
  <c r="E3978" i="1" a="1"/>
  <c r="E3978" i="1" s="1"/>
  <c r="D3978" i="1"/>
  <c r="C3978" i="1"/>
  <c r="B3978" i="1"/>
  <c r="A3978" i="1"/>
  <c r="F3977" i="1" a="1"/>
  <c r="F3977" i="1" s="1"/>
  <c r="E3977" i="1" a="1"/>
  <c r="E3977" i="1" s="1"/>
  <c r="D3977" i="1"/>
  <c r="C3977" i="1"/>
  <c r="B3977" i="1"/>
  <c r="A3977" i="1"/>
  <c r="F3976" i="1" a="1"/>
  <c r="F3976" i="1" s="1"/>
  <c r="E3976" i="1" a="1"/>
  <c r="E3976" i="1" s="1"/>
  <c r="D3976" i="1"/>
  <c r="C3976" i="1"/>
  <c r="B3976" i="1"/>
  <c r="A3976" i="1"/>
  <c r="F3975" i="1" a="1"/>
  <c r="F3975" i="1" s="1"/>
  <c r="E3975" i="1" a="1"/>
  <c r="E3975" i="1" s="1"/>
  <c r="D3975" i="1"/>
  <c r="C3975" i="1"/>
  <c r="B3975" i="1"/>
  <c r="A3975" i="1"/>
  <c r="F3974" i="1" a="1"/>
  <c r="F3974" i="1" s="1"/>
  <c r="E3974" i="1"/>
  <c r="E3974" i="1" a="1"/>
  <c r="D3974" i="1"/>
  <c r="C3974" i="1"/>
  <c r="B3974" i="1"/>
  <c r="A3974" i="1"/>
  <c r="F3973" i="1" a="1"/>
  <c r="F3973" i="1" s="1"/>
  <c r="E3973" i="1" a="1"/>
  <c r="E3973" i="1" s="1"/>
  <c r="D3973" i="1"/>
  <c r="C3973" i="1"/>
  <c r="B3973" i="1"/>
  <c r="A3973" i="1"/>
  <c r="F3972" i="1" a="1"/>
  <c r="F3972" i="1" s="1"/>
  <c r="E3972" i="1" a="1"/>
  <c r="E3972" i="1" s="1"/>
  <c r="D3972" i="1"/>
  <c r="C3972" i="1"/>
  <c r="B3972" i="1"/>
  <c r="A3972" i="1"/>
  <c r="F3971" i="1" a="1"/>
  <c r="F3971" i="1" s="1"/>
  <c r="E3971" i="1" a="1"/>
  <c r="E3971" i="1" s="1"/>
  <c r="D3971" i="1"/>
  <c r="C3971" i="1"/>
  <c r="B3971" i="1"/>
  <c r="A3971" i="1"/>
  <c r="F3970" i="1" a="1"/>
  <c r="F3970" i="1" s="1"/>
  <c r="E3970" i="1" a="1"/>
  <c r="E3970" i="1" s="1"/>
  <c r="D3970" i="1"/>
  <c r="C3970" i="1"/>
  <c r="B3970" i="1"/>
  <c r="A3970" i="1"/>
  <c r="F3969" i="1" a="1"/>
  <c r="F3969" i="1" s="1"/>
  <c r="E3969" i="1" a="1"/>
  <c r="E3969" i="1" s="1"/>
  <c r="D3969" i="1"/>
  <c r="C3969" i="1"/>
  <c r="B3969" i="1"/>
  <c r="A3969" i="1"/>
  <c r="F3968" i="1" a="1"/>
  <c r="F3968" i="1" s="1"/>
  <c r="E3968" i="1" a="1"/>
  <c r="E3968" i="1" s="1"/>
  <c r="D3968" i="1"/>
  <c r="C3968" i="1"/>
  <c r="B3968" i="1"/>
  <c r="A3968" i="1"/>
  <c r="F3967" i="1" a="1"/>
  <c r="F3967" i="1" s="1"/>
  <c r="E3967" i="1" a="1"/>
  <c r="E3967" i="1" s="1"/>
  <c r="D3967" i="1"/>
  <c r="C3967" i="1"/>
  <c r="B3967" i="1"/>
  <c r="A3967" i="1"/>
  <c r="F3966" i="1" a="1"/>
  <c r="F3966" i="1" s="1"/>
  <c r="E3966" i="1"/>
  <c r="E3966" i="1" a="1"/>
  <c r="D3966" i="1"/>
  <c r="C3966" i="1"/>
  <c r="B3966" i="1"/>
  <c r="A3966" i="1"/>
  <c r="F3965" i="1" a="1"/>
  <c r="F3965" i="1" s="1"/>
  <c r="E3965" i="1" a="1"/>
  <c r="E3965" i="1" s="1"/>
  <c r="D3965" i="1"/>
  <c r="C3965" i="1"/>
  <c r="B3965" i="1"/>
  <c r="A3965" i="1"/>
  <c r="F3964" i="1" a="1"/>
  <c r="F3964" i="1" s="1"/>
  <c r="E3964" i="1" a="1"/>
  <c r="E3964" i="1" s="1"/>
  <c r="D3964" i="1"/>
  <c r="C3964" i="1"/>
  <c r="B3964" i="1"/>
  <c r="A3964" i="1"/>
  <c r="F3963" i="1" a="1"/>
  <c r="F3963" i="1" s="1"/>
  <c r="E3963" i="1" a="1"/>
  <c r="E3963" i="1" s="1"/>
  <c r="D3963" i="1"/>
  <c r="C3963" i="1"/>
  <c r="B3963" i="1"/>
  <c r="A3963" i="1"/>
  <c r="F3962" i="1" a="1"/>
  <c r="F3962" i="1" s="1"/>
  <c r="E3962" i="1" a="1"/>
  <c r="E3962" i="1" s="1"/>
  <c r="D3962" i="1"/>
  <c r="C3962" i="1"/>
  <c r="B3962" i="1"/>
  <c r="A3962" i="1"/>
  <c r="F3961" i="1" a="1"/>
  <c r="F3961" i="1" s="1"/>
  <c r="E3961" i="1" a="1"/>
  <c r="E3961" i="1" s="1"/>
  <c r="D3961" i="1"/>
  <c r="C3961" i="1"/>
  <c r="B3961" i="1"/>
  <c r="A3961" i="1"/>
  <c r="F3960" i="1" a="1"/>
  <c r="F3960" i="1" s="1"/>
  <c r="E3960" i="1" a="1"/>
  <c r="E3960" i="1" s="1"/>
  <c r="D3960" i="1"/>
  <c r="C3960" i="1"/>
  <c r="B3960" i="1"/>
  <c r="A3960" i="1"/>
  <c r="F3959" i="1" a="1"/>
  <c r="F3959" i="1" s="1"/>
  <c r="E3959" i="1" a="1"/>
  <c r="E3959" i="1" s="1"/>
  <c r="D3959" i="1"/>
  <c r="C3959" i="1"/>
  <c r="B3959" i="1"/>
  <c r="A3959" i="1"/>
  <c r="F3958" i="1" a="1"/>
  <c r="F3958" i="1" s="1"/>
  <c r="E3958" i="1"/>
  <c r="E3958" i="1" a="1"/>
  <c r="D3958" i="1"/>
  <c r="C3958" i="1"/>
  <c r="B3958" i="1"/>
  <c r="A3958" i="1"/>
  <c r="F3957" i="1" a="1"/>
  <c r="F3957" i="1" s="1"/>
  <c r="E3957" i="1" a="1"/>
  <c r="E3957" i="1" s="1"/>
  <c r="D3957" i="1"/>
  <c r="C3957" i="1"/>
  <c r="B3957" i="1"/>
  <c r="A3957" i="1"/>
  <c r="F3956" i="1" a="1"/>
  <c r="F3956" i="1" s="1"/>
  <c r="E3956" i="1" a="1"/>
  <c r="E3956" i="1" s="1"/>
  <c r="D3956" i="1"/>
  <c r="C3956" i="1"/>
  <c r="B3956" i="1"/>
  <c r="A3956" i="1"/>
  <c r="F3955" i="1" a="1"/>
  <c r="F3955" i="1" s="1"/>
  <c r="E3955" i="1" a="1"/>
  <c r="E3955" i="1" s="1"/>
  <c r="D3955" i="1"/>
  <c r="C3955" i="1"/>
  <c r="B3955" i="1"/>
  <c r="A3955" i="1"/>
  <c r="F3954" i="1" a="1"/>
  <c r="F3954" i="1" s="1"/>
  <c r="E3954" i="1" a="1"/>
  <c r="E3954" i="1" s="1"/>
  <c r="D3954" i="1"/>
  <c r="C3954" i="1"/>
  <c r="B3954" i="1"/>
  <c r="A3954" i="1"/>
  <c r="F3953" i="1" a="1"/>
  <c r="F3953" i="1" s="1"/>
  <c r="E3953" i="1" a="1"/>
  <c r="E3953" i="1" s="1"/>
  <c r="D3953" i="1"/>
  <c r="C3953" i="1"/>
  <c r="B3953" i="1"/>
  <c r="A3953" i="1"/>
  <c r="F3952" i="1" a="1"/>
  <c r="F3952" i="1" s="1"/>
  <c r="E3952" i="1" a="1"/>
  <c r="E3952" i="1" s="1"/>
  <c r="D3952" i="1"/>
  <c r="C3952" i="1"/>
  <c r="B3952" i="1"/>
  <c r="A3952" i="1"/>
  <c r="F3951" i="1" a="1"/>
  <c r="F3951" i="1" s="1"/>
  <c r="E3951" i="1" a="1"/>
  <c r="E3951" i="1" s="1"/>
  <c r="D3951" i="1"/>
  <c r="C3951" i="1"/>
  <c r="B3951" i="1"/>
  <c r="A3951" i="1"/>
  <c r="F3950" i="1" a="1"/>
  <c r="F3950" i="1" s="1"/>
  <c r="E3950" i="1"/>
  <c r="E3950" i="1" a="1"/>
  <c r="D3950" i="1"/>
  <c r="C3950" i="1"/>
  <c r="B3950" i="1"/>
  <c r="A3950" i="1"/>
  <c r="F3949" i="1" a="1"/>
  <c r="F3949" i="1" s="1"/>
  <c r="E3949" i="1" a="1"/>
  <c r="E3949" i="1" s="1"/>
  <c r="D3949" i="1"/>
  <c r="C3949" i="1"/>
  <c r="B3949" i="1"/>
  <c r="A3949" i="1"/>
  <c r="F3948" i="1" a="1"/>
  <c r="F3948" i="1" s="1"/>
  <c r="E3948" i="1"/>
  <c r="E3948" i="1" a="1"/>
  <c r="D3948" i="1"/>
  <c r="C3948" i="1"/>
  <c r="B3948" i="1"/>
  <c r="A3948" i="1"/>
  <c r="F3947" i="1" a="1"/>
  <c r="F3947" i="1" s="1"/>
  <c r="E3947" i="1" a="1"/>
  <c r="E3947" i="1" s="1"/>
  <c r="D3947" i="1"/>
  <c r="C3947" i="1"/>
  <c r="B3947" i="1"/>
  <c r="A3947" i="1"/>
  <c r="F3946" i="1" a="1"/>
  <c r="F3946" i="1" s="1"/>
  <c r="E3946" i="1" a="1"/>
  <c r="E3946" i="1" s="1"/>
  <c r="D3946" i="1"/>
  <c r="C3946" i="1"/>
  <c r="B3946" i="1"/>
  <c r="A3946" i="1"/>
  <c r="F3945" i="1" a="1"/>
  <c r="F3945" i="1" s="1"/>
  <c r="E3945" i="1"/>
  <c r="E3945" i="1" a="1"/>
  <c r="D3945" i="1"/>
  <c r="C3945" i="1"/>
  <c r="B3945" i="1"/>
  <c r="A3945" i="1"/>
  <c r="F3944" i="1" a="1"/>
  <c r="F3944" i="1" s="1"/>
  <c r="E3944" i="1" a="1"/>
  <c r="E3944" i="1" s="1"/>
  <c r="D3944" i="1"/>
  <c r="C3944" i="1"/>
  <c r="B3944" i="1"/>
  <c r="A3944" i="1"/>
  <c r="F3943" i="1" a="1"/>
  <c r="F3943" i="1" s="1"/>
  <c r="E3943" i="1" a="1"/>
  <c r="E3943" i="1" s="1"/>
  <c r="D3943" i="1"/>
  <c r="C3943" i="1"/>
  <c r="B3943" i="1"/>
  <c r="A3943" i="1"/>
  <c r="F3942" i="1" a="1"/>
  <c r="F3942" i="1" s="1"/>
  <c r="E3942" i="1" a="1"/>
  <c r="E3942" i="1" s="1"/>
  <c r="D3942" i="1"/>
  <c r="C3942" i="1"/>
  <c r="B3942" i="1"/>
  <c r="A3942" i="1"/>
  <c r="F3941" i="1" a="1"/>
  <c r="F3941" i="1" s="1"/>
  <c r="E3941" i="1" a="1"/>
  <c r="E3941" i="1" s="1"/>
  <c r="D3941" i="1"/>
  <c r="C3941" i="1"/>
  <c r="B3941" i="1"/>
  <c r="A3941" i="1"/>
  <c r="F3940" i="1" a="1"/>
  <c r="F3940" i="1" s="1"/>
  <c r="E3940" i="1" a="1"/>
  <c r="E3940" i="1" s="1"/>
  <c r="D3940" i="1"/>
  <c r="C3940" i="1"/>
  <c r="B3940" i="1"/>
  <c r="A3940" i="1"/>
  <c r="F3939" i="1" a="1"/>
  <c r="F3939" i="1" s="1"/>
  <c r="E3939" i="1" a="1"/>
  <c r="E3939" i="1" s="1"/>
  <c r="D3939" i="1"/>
  <c r="C3939" i="1"/>
  <c r="B3939" i="1"/>
  <c r="A3939" i="1"/>
  <c r="F3938" i="1" a="1"/>
  <c r="F3938" i="1" s="1"/>
  <c r="E3938" i="1" a="1"/>
  <c r="E3938" i="1" s="1"/>
  <c r="D3938" i="1"/>
  <c r="C3938" i="1"/>
  <c r="B3938" i="1"/>
  <c r="A3938" i="1"/>
  <c r="F3937" i="1" a="1"/>
  <c r="F3937" i="1" s="1"/>
  <c r="E3937" i="1" a="1"/>
  <c r="E3937" i="1" s="1"/>
  <c r="D3937" i="1"/>
  <c r="C3937" i="1"/>
  <c r="B3937" i="1"/>
  <c r="A3937" i="1"/>
  <c r="F3936" i="1" a="1"/>
  <c r="F3936" i="1" s="1"/>
  <c r="E3936" i="1" a="1"/>
  <c r="E3936" i="1" s="1"/>
  <c r="D3936" i="1"/>
  <c r="C3936" i="1"/>
  <c r="B3936" i="1"/>
  <c r="A3936" i="1"/>
  <c r="F3935" i="1" a="1"/>
  <c r="F3935" i="1" s="1"/>
  <c r="E3935" i="1" a="1"/>
  <c r="E3935" i="1" s="1"/>
  <c r="D3935" i="1"/>
  <c r="C3935" i="1"/>
  <c r="B3935" i="1"/>
  <c r="A3935" i="1"/>
  <c r="F3934" i="1" a="1"/>
  <c r="F3934" i="1" s="1"/>
  <c r="E3934" i="1" a="1"/>
  <c r="E3934" i="1" s="1"/>
  <c r="D3934" i="1"/>
  <c r="C3934" i="1"/>
  <c r="B3934" i="1"/>
  <c r="A3934" i="1"/>
  <c r="F3933" i="1" a="1"/>
  <c r="F3933" i="1" s="1"/>
  <c r="E3933" i="1" a="1"/>
  <c r="E3933" i="1" s="1"/>
  <c r="D3933" i="1"/>
  <c r="C3933" i="1"/>
  <c r="B3933" i="1"/>
  <c r="A3933" i="1"/>
  <c r="F3932" i="1" a="1"/>
  <c r="F3932" i="1" s="1"/>
  <c r="E3932" i="1" a="1"/>
  <c r="E3932" i="1" s="1"/>
  <c r="D3932" i="1"/>
  <c r="C3932" i="1"/>
  <c r="B3932" i="1"/>
  <c r="A3932" i="1"/>
  <c r="F3931" i="1" a="1"/>
  <c r="F3931" i="1" s="1"/>
  <c r="E3931" i="1" a="1"/>
  <c r="E3931" i="1" s="1"/>
  <c r="D3931" i="1"/>
  <c r="C3931" i="1"/>
  <c r="B3931" i="1"/>
  <c r="A3931" i="1"/>
  <c r="F3930" i="1" a="1"/>
  <c r="F3930" i="1" s="1"/>
  <c r="E3930" i="1" a="1"/>
  <c r="E3930" i="1" s="1"/>
  <c r="D3930" i="1"/>
  <c r="C3930" i="1"/>
  <c r="B3930" i="1"/>
  <c r="A3930" i="1"/>
  <c r="F3929" i="1" a="1"/>
  <c r="F3929" i="1" s="1"/>
  <c r="E3929" i="1" a="1"/>
  <c r="E3929" i="1" s="1"/>
  <c r="D3929" i="1"/>
  <c r="C3929" i="1"/>
  <c r="B3929" i="1"/>
  <c r="A3929" i="1"/>
  <c r="F3928" i="1" a="1"/>
  <c r="F3928" i="1" s="1"/>
  <c r="E3928" i="1" a="1"/>
  <c r="E3928" i="1" s="1"/>
  <c r="D3928" i="1"/>
  <c r="C3928" i="1"/>
  <c r="B3928" i="1"/>
  <c r="A3928" i="1"/>
  <c r="F3927" i="1" a="1"/>
  <c r="F3927" i="1" s="1"/>
  <c r="E3927" i="1" a="1"/>
  <c r="E3927" i="1" s="1"/>
  <c r="D3927" i="1"/>
  <c r="C3927" i="1"/>
  <c r="B3927" i="1"/>
  <c r="A3927" i="1"/>
  <c r="F3926" i="1" a="1"/>
  <c r="F3926" i="1" s="1"/>
  <c r="E3926" i="1" a="1"/>
  <c r="E3926" i="1" s="1"/>
  <c r="D3926" i="1"/>
  <c r="C3926" i="1"/>
  <c r="B3926" i="1"/>
  <c r="A3926" i="1"/>
  <c r="F3925" i="1" a="1"/>
  <c r="F3925" i="1" s="1"/>
  <c r="E3925" i="1"/>
  <c r="E3925" i="1" a="1"/>
  <c r="D3925" i="1"/>
  <c r="C3925" i="1"/>
  <c r="B3925" i="1"/>
  <c r="A3925" i="1"/>
  <c r="F3924" i="1" a="1"/>
  <c r="F3924" i="1" s="1"/>
  <c r="E3924" i="1" a="1"/>
  <c r="E3924" i="1" s="1"/>
  <c r="D3924" i="1"/>
  <c r="C3924" i="1"/>
  <c r="B3924" i="1"/>
  <c r="A3924" i="1"/>
  <c r="F3923" i="1" a="1"/>
  <c r="F3923" i="1" s="1"/>
  <c r="E3923" i="1" a="1"/>
  <c r="E3923" i="1" s="1"/>
  <c r="D3923" i="1"/>
  <c r="C3923" i="1"/>
  <c r="B3923" i="1"/>
  <c r="A3923" i="1"/>
  <c r="F3922" i="1" a="1"/>
  <c r="F3922" i="1" s="1"/>
  <c r="E3922" i="1" a="1"/>
  <c r="E3922" i="1" s="1"/>
  <c r="D3922" i="1"/>
  <c r="C3922" i="1"/>
  <c r="B3922" i="1"/>
  <c r="A3922" i="1"/>
  <c r="F3921" i="1" a="1"/>
  <c r="F3921" i="1" s="1"/>
  <c r="E3921" i="1" a="1"/>
  <c r="E3921" i="1" s="1"/>
  <c r="D3921" i="1"/>
  <c r="C3921" i="1"/>
  <c r="B3921" i="1"/>
  <c r="A3921" i="1"/>
  <c r="F3920" i="1" a="1"/>
  <c r="F3920" i="1" s="1"/>
  <c r="E3920" i="1" a="1"/>
  <c r="E3920" i="1" s="1"/>
  <c r="D3920" i="1"/>
  <c r="C3920" i="1"/>
  <c r="B3920" i="1"/>
  <c r="A3920" i="1"/>
  <c r="F3919" i="1" a="1"/>
  <c r="F3919" i="1" s="1"/>
  <c r="E3919" i="1" a="1"/>
  <c r="E3919" i="1" s="1"/>
  <c r="D3919" i="1"/>
  <c r="C3919" i="1"/>
  <c r="B3919" i="1"/>
  <c r="A3919" i="1"/>
  <c r="F3918" i="1" a="1"/>
  <c r="F3918" i="1" s="1"/>
  <c r="E3918" i="1" a="1"/>
  <c r="E3918" i="1" s="1"/>
  <c r="D3918" i="1"/>
  <c r="C3918" i="1"/>
  <c r="B3918" i="1"/>
  <c r="A3918" i="1"/>
  <c r="F3917" i="1" a="1"/>
  <c r="F3917" i="1" s="1"/>
  <c r="E3917" i="1" a="1"/>
  <c r="E3917" i="1" s="1"/>
  <c r="D3917" i="1"/>
  <c r="C3917" i="1"/>
  <c r="B3917" i="1"/>
  <c r="A3917" i="1"/>
  <c r="F3916" i="1" a="1"/>
  <c r="F3916" i="1" s="1"/>
  <c r="E3916" i="1" a="1"/>
  <c r="E3916" i="1" s="1"/>
  <c r="D3916" i="1"/>
  <c r="C3916" i="1"/>
  <c r="B3916" i="1"/>
  <c r="A3916" i="1"/>
  <c r="F3915" i="1" a="1"/>
  <c r="F3915" i="1" s="1"/>
  <c r="E3915" i="1" a="1"/>
  <c r="E3915" i="1" s="1"/>
  <c r="D3915" i="1"/>
  <c r="C3915" i="1"/>
  <c r="B3915" i="1"/>
  <c r="A3915" i="1"/>
  <c r="F3914" i="1" a="1"/>
  <c r="F3914" i="1" s="1"/>
  <c r="E3914" i="1" a="1"/>
  <c r="E3914" i="1" s="1"/>
  <c r="D3914" i="1"/>
  <c r="C3914" i="1"/>
  <c r="B3914" i="1"/>
  <c r="A3914" i="1"/>
  <c r="F3913" i="1" a="1"/>
  <c r="F3913" i="1" s="1"/>
  <c r="E3913" i="1" a="1"/>
  <c r="E3913" i="1" s="1"/>
  <c r="D3913" i="1"/>
  <c r="C3913" i="1"/>
  <c r="B3913" i="1"/>
  <c r="A3913" i="1"/>
  <c r="F3912" i="1" a="1"/>
  <c r="F3912" i="1" s="1"/>
  <c r="E3912" i="1" a="1"/>
  <c r="E3912" i="1" s="1"/>
  <c r="D3912" i="1"/>
  <c r="C3912" i="1"/>
  <c r="B3912" i="1"/>
  <c r="A3912" i="1"/>
  <c r="F3911" i="1" a="1"/>
  <c r="F3911" i="1" s="1"/>
  <c r="E3911" i="1" a="1"/>
  <c r="E3911" i="1" s="1"/>
  <c r="D3911" i="1"/>
  <c r="C3911" i="1"/>
  <c r="B3911" i="1"/>
  <c r="A3911" i="1"/>
  <c r="F3910" i="1" a="1"/>
  <c r="F3910" i="1" s="1"/>
  <c r="E3910" i="1" a="1"/>
  <c r="E3910" i="1" s="1"/>
  <c r="D3910" i="1"/>
  <c r="C3910" i="1"/>
  <c r="B3910" i="1"/>
  <c r="A3910" i="1"/>
  <c r="F3909" i="1" a="1"/>
  <c r="F3909" i="1" s="1"/>
  <c r="E3909" i="1"/>
  <c r="E3909" i="1" a="1"/>
  <c r="D3909" i="1"/>
  <c r="C3909" i="1"/>
  <c r="B3909" i="1"/>
  <c r="A3909" i="1"/>
  <c r="F3908" i="1" a="1"/>
  <c r="F3908" i="1" s="1"/>
  <c r="E3908" i="1" a="1"/>
  <c r="E3908" i="1" s="1"/>
  <c r="D3908" i="1"/>
  <c r="C3908" i="1"/>
  <c r="B3908" i="1"/>
  <c r="A3908" i="1"/>
  <c r="F3907" i="1" a="1"/>
  <c r="F3907" i="1" s="1"/>
  <c r="E3907" i="1" a="1"/>
  <c r="E3907" i="1" s="1"/>
  <c r="D3907" i="1"/>
  <c r="C3907" i="1"/>
  <c r="B3907" i="1"/>
  <c r="A3907" i="1"/>
  <c r="F3906" i="1" a="1"/>
  <c r="F3906" i="1" s="1"/>
  <c r="E3906" i="1" a="1"/>
  <c r="E3906" i="1" s="1"/>
  <c r="D3906" i="1"/>
  <c r="C3906" i="1"/>
  <c r="B3906" i="1"/>
  <c r="A3906" i="1"/>
  <c r="F3905" i="1" a="1"/>
  <c r="F3905" i="1" s="1"/>
  <c r="E3905" i="1" a="1"/>
  <c r="E3905" i="1" s="1"/>
  <c r="D3905" i="1"/>
  <c r="C3905" i="1"/>
  <c r="B3905" i="1"/>
  <c r="A3905" i="1"/>
  <c r="F3904" i="1" a="1"/>
  <c r="F3904" i="1" s="1"/>
  <c r="E3904" i="1" a="1"/>
  <c r="E3904" i="1" s="1"/>
  <c r="D3904" i="1"/>
  <c r="C3904" i="1"/>
  <c r="B3904" i="1"/>
  <c r="A3904" i="1"/>
  <c r="F3903" i="1" a="1"/>
  <c r="F3903" i="1" s="1"/>
  <c r="E3903" i="1" a="1"/>
  <c r="E3903" i="1" s="1"/>
  <c r="D3903" i="1"/>
  <c r="C3903" i="1"/>
  <c r="B3903" i="1"/>
  <c r="A3903" i="1"/>
  <c r="F3902" i="1" a="1"/>
  <c r="F3902" i="1" s="1"/>
  <c r="E3902" i="1" a="1"/>
  <c r="E3902" i="1" s="1"/>
  <c r="D3902" i="1"/>
  <c r="C3902" i="1"/>
  <c r="B3902" i="1"/>
  <c r="A3902" i="1"/>
  <c r="F3901" i="1" a="1"/>
  <c r="F3901" i="1" s="1"/>
  <c r="E3901" i="1"/>
  <c r="E3901" i="1" a="1"/>
  <c r="D3901" i="1"/>
  <c r="C3901" i="1"/>
  <c r="B3901" i="1"/>
  <c r="A3901" i="1"/>
  <c r="F3900" i="1" a="1"/>
  <c r="F3900" i="1" s="1"/>
  <c r="E3900" i="1" a="1"/>
  <c r="E3900" i="1" s="1"/>
  <c r="D3900" i="1"/>
  <c r="C3900" i="1"/>
  <c r="B3900" i="1"/>
  <c r="A3900" i="1"/>
  <c r="F3899" i="1" a="1"/>
  <c r="F3899" i="1" s="1"/>
  <c r="E3899" i="1" a="1"/>
  <c r="E3899" i="1" s="1"/>
  <c r="D3899" i="1"/>
  <c r="C3899" i="1"/>
  <c r="B3899" i="1"/>
  <c r="A3899" i="1"/>
  <c r="F3898" i="1" a="1"/>
  <c r="F3898" i="1" s="1"/>
  <c r="E3898" i="1" a="1"/>
  <c r="E3898" i="1" s="1"/>
  <c r="D3898" i="1"/>
  <c r="C3898" i="1"/>
  <c r="B3898" i="1"/>
  <c r="A3898" i="1"/>
  <c r="F3897" i="1" a="1"/>
  <c r="F3897" i="1" s="1"/>
  <c r="E3897" i="1" a="1"/>
  <c r="E3897" i="1" s="1"/>
  <c r="D3897" i="1"/>
  <c r="C3897" i="1"/>
  <c r="B3897" i="1"/>
  <c r="A3897" i="1"/>
  <c r="F3896" i="1" a="1"/>
  <c r="F3896" i="1" s="1"/>
  <c r="E3896" i="1" a="1"/>
  <c r="E3896" i="1" s="1"/>
  <c r="D3896" i="1"/>
  <c r="C3896" i="1"/>
  <c r="B3896" i="1"/>
  <c r="A3896" i="1"/>
  <c r="F3895" i="1" a="1"/>
  <c r="F3895" i="1" s="1"/>
  <c r="E3895" i="1" a="1"/>
  <c r="E3895" i="1" s="1"/>
  <c r="D3895" i="1"/>
  <c r="C3895" i="1"/>
  <c r="B3895" i="1"/>
  <c r="A3895" i="1"/>
  <c r="F3894" i="1" a="1"/>
  <c r="F3894" i="1" s="1"/>
  <c r="E3894" i="1" a="1"/>
  <c r="E3894" i="1" s="1"/>
  <c r="D3894" i="1"/>
  <c r="C3894" i="1"/>
  <c r="B3894" i="1"/>
  <c r="A3894" i="1"/>
  <c r="F3893" i="1" a="1"/>
  <c r="F3893" i="1" s="1"/>
  <c r="E3893" i="1"/>
  <c r="E3893" i="1" a="1"/>
  <c r="D3893" i="1"/>
  <c r="C3893" i="1"/>
  <c r="B3893" i="1"/>
  <c r="A3893" i="1"/>
  <c r="F3892" i="1" a="1"/>
  <c r="F3892" i="1" s="1"/>
  <c r="E3892" i="1" a="1"/>
  <c r="E3892" i="1" s="1"/>
  <c r="D3892" i="1"/>
  <c r="C3892" i="1"/>
  <c r="B3892" i="1"/>
  <c r="A3892" i="1"/>
  <c r="F3891" i="1" a="1"/>
  <c r="F3891" i="1" s="1"/>
  <c r="E3891" i="1" a="1"/>
  <c r="E3891" i="1" s="1"/>
  <c r="D3891" i="1"/>
  <c r="C3891" i="1"/>
  <c r="B3891" i="1"/>
  <c r="A3891" i="1"/>
  <c r="F3890" i="1" a="1"/>
  <c r="F3890" i="1" s="1"/>
  <c r="E3890" i="1" a="1"/>
  <c r="E3890" i="1" s="1"/>
  <c r="D3890" i="1"/>
  <c r="C3890" i="1"/>
  <c r="B3890" i="1"/>
  <c r="A3890" i="1"/>
  <c r="F3889" i="1" a="1"/>
  <c r="F3889" i="1" s="1"/>
  <c r="E3889" i="1" a="1"/>
  <c r="E3889" i="1" s="1"/>
  <c r="D3889" i="1"/>
  <c r="C3889" i="1"/>
  <c r="B3889" i="1"/>
  <c r="A3889" i="1"/>
  <c r="F3888" i="1" a="1"/>
  <c r="F3888" i="1" s="1"/>
  <c r="E3888" i="1" a="1"/>
  <c r="E3888" i="1" s="1"/>
  <c r="D3888" i="1"/>
  <c r="C3888" i="1"/>
  <c r="B3888" i="1"/>
  <c r="A3888" i="1"/>
  <c r="F3887" i="1" a="1"/>
  <c r="F3887" i="1" s="1"/>
  <c r="E3887" i="1" a="1"/>
  <c r="E3887" i="1" s="1"/>
  <c r="D3887" i="1"/>
  <c r="C3887" i="1"/>
  <c r="B3887" i="1"/>
  <c r="A3887" i="1"/>
  <c r="F3886" i="1" a="1"/>
  <c r="F3886" i="1" s="1"/>
  <c r="E3886" i="1" a="1"/>
  <c r="E3886" i="1" s="1"/>
  <c r="D3886" i="1"/>
  <c r="C3886" i="1"/>
  <c r="B3886" i="1"/>
  <c r="A3886" i="1"/>
  <c r="F3885" i="1" a="1"/>
  <c r="F3885" i="1" s="1"/>
  <c r="E3885" i="1"/>
  <c r="E3885" i="1" a="1"/>
  <c r="D3885" i="1"/>
  <c r="C3885" i="1"/>
  <c r="B3885" i="1"/>
  <c r="A3885" i="1"/>
  <c r="F3884" i="1" a="1"/>
  <c r="F3884" i="1" s="1"/>
  <c r="E3884" i="1" a="1"/>
  <c r="E3884" i="1" s="1"/>
  <c r="D3884" i="1"/>
  <c r="C3884" i="1"/>
  <c r="B3884" i="1"/>
  <c r="A3884" i="1"/>
  <c r="F3883" i="1" a="1"/>
  <c r="F3883" i="1" s="1"/>
  <c r="E3883" i="1" a="1"/>
  <c r="E3883" i="1" s="1"/>
  <c r="D3883" i="1"/>
  <c r="C3883" i="1"/>
  <c r="B3883" i="1"/>
  <c r="A3883" i="1"/>
  <c r="F3882" i="1" a="1"/>
  <c r="F3882" i="1" s="1"/>
  <c r="E3882" i="1" a="1"/>
  <c r="E3882" i="1" s="1"/>
  <c r="D3882" i="1"/>
  <c r="C3882" i="1"/>
  <c r="B3882" i="1"/>
  <c r="A3882" i="1"/>
  <c r="F3881" i="1" a="1"/>
  <c r="F3881" i="1" s="1"/>
  <c r="E3881" i="1" a="1"/>
  <c r="E3881" i="1" s="1"/>
  <c r="D3881" i="1"/>
  <c r="C3881" i="1"/>
  <c r="B3881" i="1"/>
  <c r="A3881" i="1"/>
  <c r="F3880" i="1" a="1"/>
  <c r="F3880" i="1" s="1"/>
  <c r="E3880" i="1" a="1"/>
  <c r="E3880" i="1" s="1"/>
  <c r="D3880" i="1"/>
  <c r="C3880" i="1"/>
  <c r="B3880" i="1"/>
  <c r="A3880" i="1"/>
  <c r="F3879" i="1" a="1"/>
  <c r="F3879" i="1" s="1"/>
  <c r="E3879" i="1" a="1"/>
  <c r="E3879" i="1" s="1"/>
  <c r="D3879" i="1"/>
  <c r="C3879" i="1"/>
  <c r="B3879" i="1"/>
  <c r="A3879" i="1"/>
  <c r="F3878" i="1" a="1"/>
  <c r="F3878" i="1" s="1"/>
  <c r="E3878" i="1" a="1"/>
  <c r="E3878" i="1" s="1"/>
  <c r="D3878" i="1"/>
  <c r="C3878" i="1"/>
  <c r="B3878" i="1"/>
  <c r="A3878" i="1"/>
  <c r="F3877" i="1" a="1"/>
  <c r="F3877" i="1" s="1"/>
  <c r="E3877" i="1"/>
  <c r="E3877" i="1" a="1"/>
  <c r="D3877" i="1"/>
  <c r="C3877" i="1"/>
  <c r="B3877" i="1"/>
  <c r="A3877" i="1"/>
  <c r="F3876" i="1" a="1"/>
  <c r="F3876" i="1" s="1"/>
  <c r="E3876" i="1" a="1"/>
  <c r="E3876" i="1" s="1"/>
  <c r="D3876" i="1"/>
  <c r="C3876" i="1"/>
  <c r="B3876" i="1"/>
  <c r="A3876" i="1"/>
  <c r="F3875" i="1" a="1"/>
  <c r="F3875" i="1" s="1"/>
  <c r="E3875" i="1" a="1"/>
  <c r="E3875" i="1" s="1"/>
  <c r="D3875" i="1"/>
  <c r="C3875" i="1"/>
  <c r="B3875" i="1"/>
  <c r="A3875" i="1"/>
  <c r="F3874" i="1" a="1"/>
  <c r="F3874" i="1" s="1"/>
  <c r="E3874" i="1" a="1"/>
  <c r="E3874" i="1" s="1"/>
  <c r="D3874" i="1"/>
  <c r="C3874" i="1"/>
  <c r="B3874" i="1"/>
  <c r="A3874" i="1"/>
  <c r="F3873" i="1" a="1"/>
  <c r="F3873" i="1" s="1"/>
  <c r="E3873" i="1" a="1"/>
  <c r="E3873" i="1" s="1"/>
  <c r="D3873" i="1"/>
  <c r="C3873" i="1"/>
  <c r="B3873" i="1"/>
  <c r="A3873" i="1"/>
  <c r="F3872" i="1" a="1"/>
  <c r="F3872" i="1" s="1"/>
  <c r="E3872" i="1"/>
  <c r="E3872" i="1" a="1"/>
  <c r="D3872" i="1"/>
  <c r="C3872" i="1"/>
  <c r="B3872" i="1"/>
  <c r="A3872" i="1"/>
  <c r="F3871" i="1" a="1"/>
  <c r="F3871" i="1" s="1"/>
  <c r="E3871" i="1" a="1"/>
  <c r="E3871" i="1" s="1"/>
  <c r="D3871" i="1"/>
  <c r="C3871" i="1"/>
  <c r="B3871" i="1"/>
  <c r="A3871" i="1"/>
  <c r="F3870" i="1" a="1"/>
  <c r="F3870" i="1" s="1"/>
  <c r="E3870" i="1" a="1"/>
  <c r="E3870" i="1" s="1"/>
  <c r="D3870" i="1"/>
  <c r="C3870" i="1"/>
  <c r="B3870" i="1"/>
  <c r="A3870" i="1"/>
  <c r="F3869" i="1" a="1"/>
  <c r="F3869" i="1" s="1"/>
  <c r="E3869" i="1"/>
  <c r="E3869" i="1" a="1"/>
  <c r="D3869" i="1"/>
  <c r="C3869" i="1"/>
  <c r="B3869" i="1"/>
  <c r="A3869" i="1"/>
  <c r="F3868" i="1" a="1"/>
  <c r="F3868" i="1" s="1"/>
  <c r="E3868" i="1" a="1"/>
  <c r="E3868" i="1" s="1"/>
  <c r="D3868" i="1"/>
  <c r="C3868" i="1"/>
  <c r="B3868" i="1"/>
  <c r="A3868" i="1"/>
  <c r="F3867" i="1" a="1"/>
  <c r="F3867" i="1" s="1"/>
  <c r="E3867" i="1" a="1"/>
  <c r="E3867" i="1" s="1"/>
  <c r="D3867" i="1"/>
  <c r="C3867" i="1"/>
  <c r="B3867" i="1"/>
  <c r="A3867" i="1"/>
  <c r="F3866" i="1" a="1"/>
  <c r="F3866" i="1" s="1"/>
  <c r="E3866" i="1" a="1"/>
  <c r="E3866" i="1" s="1"/>
  <c r="D3866" i="1"/>
  <c r="C3866" i="1"/>
  <c r="B3866" i="1"/>
  <c r="A3866" i="1"/>
  <c r="F3865" i="1" a="1"/>
  <c r="F3865" i="1" s="1"/>
  <c r="E3865" i="1"/>
  <c r="E3865" i="1" a="1"/>
  <c r="D3865" i="1"/>
  <c r="C3865" i="1"/>
  <c r="B3865" i="1"/>
  <c r="A3865" i="1"/>
  <c r="F3864" i="1" a="1"/>
  <c r="F3864" i="1" s="1"/>
  <c r="E3864" i="1" a="1"/>
  <c r="E3864" i="1" s="1"/>
  <c r="D3864" i="1"/>
  <c r="C3864" i="1"/>
  <c r="B3864" i="1"/>
  <c r="A3864" i="1"/>
  <c r="F3863" i="1" a="1"/>
  <c r="F3863" i="1" s="1"/>
  <c r="E3863" i="1" a="1"/>
  <c r="E3863" i="1" s="1"/>
  <c r="D3863" i="1"/>
  <c r="C3863" i="1"/>
  <c r="B3863" i="1"/>
  <c r="A3863" i="1"/>
  <c r="F3862" i="1" a="1"/>
  <c r="F3862" i="1" s="1"/>
  <c r="E3862" i="1" a="1"/>
  <c r="E3862" i="1" s="1"/>
  <c r="D3862" i="1"/>
  <c r="C3862" i="1"/>
  <c r="B3862" i="1"/>
  <c r="A3862" i="1"/>
  <c r="F3861" i="1" a="1"/>
  <c r="F3861" i="1" s="1"/>
  <c r="E3861" i="1" a="1"/>
  <c r="E3861" i="1" s="1"/>
  <c r="D3861" i="1"/>
  <c r="C3861" i="1"/>
  <c r="B3861" i="1"/>
  <c r="A3861" i="1"/>
  <c r="F3860" i="1" a="1"/>
  <c r="F3860" i="1" s="1"/>
  <c r="E3860" i="1" a="1"/>
  <c r="E3860" i="1" s="1"/>
  <c r="D3860" i="1"/>
  <c r="C3860" i="1"/>
  <c r="B3860" i="1"/>
  <c r="A3860" i="1"/>
  <c r="F3859" i="1"/>
  <c r="F3859" i="1" a="1"/>
  <c r="E3859" i="1" a="1"/>
  <c r="E3859" i="1" s="1"/>
  <c r="D3859" i="1"/>
  <c r="C3859" i="1"/>
  <c r="B3859" i="1"/>
  <c r="A3859" i="1"/>
  <c r="F3858" i="1" a="1"/>
  <c r="F3858" i="1" s="1"/>
  <c r="E3858" i="1" a="1"/>
  <c r="E3858" i="1" s="1"/>
  <c r="D3858" i="1"/>
  <c r="C3858" i="1"/>
  <c r="B3858" i="1"/>
  <c r="A3858" i="1"/>
  <c r="F3857" i="1" a="1"/>
  <c r="F3857" i="1" s="1"/>
  <c r="E3857" i="1" a="1"/>
  <c r="E3857" i="1" s="1"/>
  <c r="D3857" i="1"/>
  <c r="C3857" i="1"/>
  <c r="B3857" i="1"/>
  <c r="A3857" i="1"/>
  <c r="F3856" i="1"/>
  <c r="F3856" i="1" a="1"/>
  <c r="E3856" i="1" a="1"/>
  <c r="E3856" i="1" s="1"/>
  <c r="D3856" i="1"/>
  <c r="C3856" i="1"/>
  <c r="B3856" i="1"/>
  <c r="A3856" i="1"/>
  <c r="F3855" i="1" a="1"/>
  <c r="F3855" i="1" s="1"/>
  <c r="E3855" i="1" a="1"/>
  <c r="E3855" i="1" s="1"/>
  <c r="D3855" i="1"/>
  <c r="C3855" i="1"/>
  <c r="B3855" i="1"/>
  <c r="A3855" i="1"/>
  <c r="F3854" i="1" a="1"/>
  <c r="F3854" i="1" s="1"/>
  <c r="E3854" i="1" a="1"/>
  <c r="E3854" i="1" s="1"/>
  <c r="D3854" i="1"/>
  <c r="C3854" i="1"/>
  <c r="B3854" i="1"/>
  <c r="A3854" i="1"/>
  <c r="F3853" i="1" a="1"/>
  <c r="F3853" i="1" s="1"/>
  <c r="E3853" i="1" a="1"/>
  <c r="E3853" i="1" s="1"/>
  <c r="D3853" i="1"/>
  <c r="C3853" i="1"/>
  <c r="B3853" i="1"/>
  <c r="A3853" i="1"/>
  <c r="F3852" i="1" a="1"/>
  <c r="F3852" i="1" s="1"/>
  <c r="E3852" i="1" a="1"/>
  <c r="E3852" i="1" s="1"/>
  <c r="D3852" i="1"/>
  <c r="C3852" i="1"/>
  <c r="B3852" i="1"/>
  <c r="A3852" i="1"/>
  <c r="F3851" i="1"/>
  <c r="F3851" i="1" a="1"/>
  <c r="E3851" i="1" a="1"/>
  <c r="E3851" i="1" s="1"/>
  <c r="D3851" i="1"/>
  <c r="C3851" i="1"/>
  <c r="B3851" i="1"/>
  <c r="A3851" i="1"/>
  <c r="F3850" i="1" a="1"/>
  <c r="F3850" i="1" s="1"/>
  <c r="E3850" i="1" a="1"/>
  <c r="E3850" i="1" s="1"/>
  <c r="D3850" i="1"/>
  <c r="C3850" i="1"/>
  <c r="B3850" i="1"/>
  <c r="A3850" i="1"/>
  <c r="F3849" i="1" a="1"/>
  <c r="F3849" i="1" s="1"/>
  <c r="E3849" i="1" a="1"/>
  <c r="E3849" i="1" s="1"/>
  <c r="D3849" i="1"/>
  <c r="C3849" i="1"/>
  <c r="B3849" i="1"/>
  <c r="A3849" i="1"/>
  <c r="F3848" i="1"/>
  <c r="F3848" i="1" a="1"/>
  <c r="E3848" i="1" a="1"/>
  <c r="E3848" i="1" s="1"/>
  <c r="D3848" i="1"/>
  <c r="C3848" i="1"/>
  <c r="B3848" i="1"/>
  <c r="A3848" i="1"/>
  <c r="F3847" i="1"/>
  <c r="F3847" i="1" a="1"/>
  <c r="E3847" i="1" a="1"/>
  <c r="E3847" i="1" s="1"/>
  <c r="D3847" i="1"/>
  <c r="C3847" i="1"/>
  <c r="B3847" i="1"/>
  <c r="A3847" i="1"/>
  <c r="F3846" i="1" a="1"/>
  <c r="F3846" i="1" s="1"/>
  <c r="E3846" i="1" a="1"/>
  <c r="E3846" i="1" s="1"/>
  <c r="D3846" i="1"/>
  <c r="C3846" i="1"/>
  <c r="B3846" i="1"/>
  <c r="A3846" i="1"/>
  <c r="F3845" i="1" a="1"/>
  <c r="F3845" i="1" s="1"/>
  <c r="E3845" i="1" a="1"/>
  <c r="E3845" i="1" s="1"/>
  <c r="D3845" i="1"/>
  <c r="C3845" i="1"/>
  <c r="B3845" i="1"/>
  <c r="A3845" i="1"/>
  <c r="F3844" i="1" a="1"/>
  <c r="F3844" i="1" s="1"/>
  <c r="E3844" i="1" a="1"/>
  <c r="E3844" i="1" s="1"/>
  <c r="D3844" i="1"/>
  <c r="C3844" i="1"/>
  <c r="B3844" i="1"/>
  <c r="A3844" i="1"/>
  <c r="F3843" i="1"/>
  <c r="F3843" i="1" a="1"/>
  <c r="E3843" i="1" a="1"/>
  <c r="E3843" i="1" s="1"/>
  <c r="D3843" i="1"/>
  <c r="C3843" i="1"/>
  <c r="B3843" i="1"/>
  <c r="A3843" i="1"/>
  <c r="F3842" i="1" a="1"/>
  <c r="F3842" i="1" s="1"/>
  <c r="E3842" i="1" a="1"/>
  <c r="E3842" i="1" s="1"/>
  <c r="D3842" i="1"/>
  <c r="C3842" i="1"/>
  <c r="B3842" i="1"/>
  <c r="A3842" i="1"/>
  <c r="F3841" i="1" a="1"/>
  <c r="F3841" i="1" s="1"/>
  <c r="E3841" i="1" a="1"/>
  <c r="E3841" i="1" s="1"/>
  <c r="D3841" i="1"/>
  <c r="C3841" i="1"/>
  <c r="B3841" i="1"/>
  <c r="A3841" i="1"/>
  <c r="F3840" i="1"/>
  <c r="F3840" i="1" a="1"/>
  <c r="E3840" i="1" a="1"/>
  <c r="E3840" i="1" s="1"/>
  <c r="D3840" i="1"/>
  <c r="C3840" i="1"/>
  <c r="B3840" i="1"/>
  <c r="A3840" i="1"/>
  <c r="F3839" i="1"/>
  <c r="F3839" i="1" a="1"/>
  <c r="E3839" i="1" a="1"/>
  <c r="E3839" i="1" s="1"/>
  <c r="D3839" i="1"/>
  <c r="C3839" i="1"/>
  <c r="B3839" i="1"/>
  <c r="A3839" i="1"/>
  <c r="F3838" i="1" a="1"/>
  <c r="F3838" i="1" s="1"/>
  <c r="E3838" i="1" a="1"/>
  <c r="E3838" i="1" s="1"/>
  <c r="D3838" i="1"/>
  <c r="C3838" i="1"/>
  <c r="B3838" i="1"/>
  <c r="A3838" i="1"/>
  <c r="F3837" i="1" a="1"/>
  <c r="F3837" i="1" s="1"/>
  <c r="E3837" i="1" a="1"/>
  <c r="E3837" i="1" s="1"/>
  <c r="D3837" i="1"/>
  <c r="C3837" i="1"/>
  <c r="B3837" i="1"/>
  <c r="A3837" i="1"/>
  <c r="F3836" i="1"/>
  <c r="F3836" i="1" a="1"/>
  <c r="E3836" i="1" a="1"/>
  <c r="E3836" i="1" s="1"/>
  <c r="D3836" i="1"/>
  <c r="C3836" i="1"/>
  <c r="B3836" i="1"/>
  <c r="A3836" i="1"/>
  <c r="F3835" i="1"/>
  <c r="F3835" i="1" a="1"/>
  <c r="E3835" i="1" a="1"/>
  <c r="E3835" i="1" s="1"/>
  <c r="D3835" i="1"/>
  <c r="C3835" i="1"/>
  <c r="B3835" i="1"/>
  <c r="A3835" i="1"/>
  <c r="F3834" i="1" a="1"/>
  <c r="F3834" i="1" s="1"/>
  <c r="E3834" i="1" a="1"/>
  <c r="E3834" i="1" s="1"/>
  <c r="D3834" i="1"/>
  <c r="C3834" i="1"/>
  <c r="B3834" i="1"/>
  <c r="A3834" i="1"/>
  <c r="F3833" i="1" a="1"/>
  <c r="F3833" i="1" s="1"/>
  <c r="E3833" i="1" a="1"/>
  <c r="E3833" i="1" s="1"/>
  <c r="D3833" i="1"/>
  <c r="C3833" i="1"/>
  <c r="B3833" i="1"/>
  <c r="A3833" i="1"/>
  <c r="F3832" i="1"/>
  <c r="F3832" i="1" a="1"/>
  <c r="E3832" i="1" a="1"/>
  <c r="E3832" i="1" s="1"/>
  <c r="D3832" i="1"/>
  <c r="C3832" i="1"/>
  <c r="B3832" i="1"/>
  <c r="A3832" i="1"/>
  <c r="F3831" i="1"/>
  <c r="F3831" i="1" a="1"/>
  <c r="E3831" i="1" a="1"/>
  <c r="E3831" i="1" s="1"/>
  <c r="D3831" i="1"/>
  <c r="C3831" i="1"/>
  <c r="B3831" i="1"/>
  <c r="A3831" i="1"/>
  <c r="F3830" i="1" a="1"/>
  <c r="F3830" i="1" s="1"/>
  <c r="E3830" i="1" a="1"/>
  <c r="E3830" i="1" s="1"/>
  <c r="D3830" i="1"/>
  <c r="C3830" i="1"/>
  <c r="B3830" i="1"/>
  <c r="A3830" i="1"/>
  <c r="F3829" i="1" a="1"/>
  <c r="F3829" i="1" s="1"/>
  <c r="E3829" i="1" a="1"/>
  <c r="E3829" i="1" s="1"/>
  <c r="D3829" i="1"/>
  <c r="C3829" i="1"/>
  <c r="B3829" i="1"/>
  <c r="A3829" i="1"/>
  <c r="F3828" i="1" a="1"/>
  <c r="F3828" i="1" s="1"/>
  <c r="E3828" i="1" a="1"/>
  <c r="E3828" i="1" s="1"/>
  <c r="D3828" i="1"/>
  <c r="C3828" i="1"/>
  <c r="B3828" i="1"/>
  <c r="A3828" i="1"/>
  <c r="F3827" i="1"/>
  <c r="F3827" i="1" a="1"/>
  <c r="E3827" i="1" a="1"/>
  <c r="E3827" i="1" s="1"/>
  <c r="D3827" i="1"/>
  <c r="C3827" i="1"/>
  <c r="B3827" i="1"/>
  <c r="A3827" i="1"/>
  <c r="F3826" i="1" a="1"/>
  <c r="F3826" i="1" s="1"/>
  <c r="E3826" i="1" a="1"/>
  <c r="E3826" i="1" s="1"/>
  <c r="D3826" i="1"/>
  <c r="C3826" i="1"/>
  <c r="B3826" i="1"/>
  <c r="A3826" i="1"/>
  <c r="F3825" i="1" a="1"/>
  <c r="F3825" i="1" s="1"/>
  <c r="E3825" i="1" a="1"/>
  <c r="E3825" i="1" s="1"/>
  <c r="D3825" i="1"/>
  <c r="C3825" i="1"/>
  <c r="B3825" i="1"/>
  <c r="A3825" i="1"/>
  <c r="F3824" i="1"/>
  <c r="F3824" i="1" a="1"/>
  <c r="E3824" i="1" a="1"/>
  <c r="E3824" i="1" s="1"/>
  <c r="D3824" i="1"/>
  <c r="C3824" i="1"/>
  <c r="B3824" i="1"/>
  <c r="A3824" i="1"/>
  <c r="F3823" i="1"/>
  <c r="F3823" i="1" a="1"/>
  <c r="E3823" i="1" a="1"/>
  <c r="E3823" i="1" s="1"/>
  <c r="D3823" i="1"/>
  <c r="C3823" i="1"/>
  <c r="B3823" i="1"/>
  <c r="A3823" i="1"/>
  <c r="F3822" i="1" a="1"/>
  <c r="F3822" i="1" s="1"/>
  <c r="E3822" i="1" a="1"/>
  <c r="E3822" i="1" s="1"/>
  <c r="D3822" i="1"/>
  <c r="C3822" i="1"/>
  <c r="B3822" i="1"/>
  <c r="A3822" i="1"/>
  <c r="F3821" i="1" a="1"/>
  <c r="F3821" i="1" s="1"/>
  <c r="E3821" i="1" a="1"/>
  <c r="E3821" i="1" s="1"/>
  <c r="D3821" i="1"/>
  <c r="C3821" i="1"/>
  <c r="B3821" i="1"/>
  <c r="A3821" i="1"/>
  <c r="F3820" i="1" a="1"/>
  <c r="F3820" i="1" s="1"/>
  <c r="E3820" i="1" a="1"/>
  <c r="E3820" i="1" s="1"/>
  <c r="D3820" i="1"/>
  <c r="C3820" i="1"/>
  <c r="B3820" i="1"/>
  <c r="A3820" i="1"/>
  <c r="F3819" i="1"/>
  <c r="F3819" i="1" a="1"/>
  <c r="E3819" i="1" a="1"/>
  <c r="E3819" i="1" s="1"/>
  <c r="D3819" i="1"/>
  <c r="C3819" i="1"/>
  <c r="B3819" i="1"/>
  <c r="A3819" i="1"/>
  <c r="F3818" i="1" a="1"/>
  <c r="F3818" i="1" s="1"/>
  <c r="E3818" i="1" a="1"/>
  <c r="E3818" i="1" s="1"/>
  <c r="D3818" i="1"/>
  <c r="C3818" i="1"/>
  <c r="B3818" i="1"/>
  <c r="A3818" i="1"/>
  <c r="F3817" i="1" a="1"/>
  <c r="F3817" i="1" s="1"/>
  <c r="E3817" i="1" a="1"/>
  <c r="E3817" i="1" s="1"/>
  <c r="D3817" i="1"/>
  <c r="C3817" i="1"/>
  <c r="B3817" i="1"/>
  <c r="A3817" i="1"/>
  <c r="F3816" i="1"/>
  <c r="F3816" i="1" a="1"/>
  <c r="E3816" i="1" a="1"/>
  <c r="E3816" i="1" s="1"/>
  <c r="D3816" i="1"/>
  <c r="C3816" i="1"/>
  <c r="B3816" i="1"/>
  <c r="A3816" i="1"/>
  <c r="F3815" i="1"/>
  <c r="F3815" i="1" a="1"/>
  <c r="E3815" i="1" a="1"/>
  <c r="E3815" i="1" s="1"/>
  <c r="D3815" i="1"/>
  <c r="C3815" i="1"/>
  <c r="B3815" i="1"/>
  <c r="A3815" i="1"/>
  <c r="F3814" i="1" a="1"/>
  <c r="F3814" i="1" s="1"/>
  <c r="E3814" i="1" a="1"/>
  <c r="E3814" i="1" s="1"/>
  <c r="D3814" i="1"/>
  <c r="C3814" i="1"/>
  <c r="B3814" i="1"/>
  <c r="A3814" i="1"/>
  <c r="F3813" i="1" a="1"/>
  <c r="F3813" i="1" s="1"/>
  <c r="E3813" i="1" a="1"/>
  <c r="E3813" i="1" s="1"/>
  <c r="D3813" i="1"/>
  <c r="C3813" i="1"/>
  <c r="B3813" i="1"/>
  <c r="A3813" i="1"/>
  <c r="F3812" i="1" a="1"/>
  <c r="F3812" i="1" s="1"/>
  <c r="E3812" i="1" a="1"/>
  <c r="E3812" i="1" s="1"/>
  <c r="D3812" i="1"/>
  <c r="C3812" i="1"/>
  <c r="B3812" i="1"/>
  <c r="A3812" i="1"/>
  <c r="F3811" i="1"/>
  <c r="F3811" i="1" a="1"/>
  <c r="E3811" i="1" a="1"/>
  <c r="E3811" i="1" s="1"/>
  <c r="D3811" i="1"/>
  <c r="C3811" i="1"/>
  <c r="B3811" i="1"/>
  <c r="A3811" i="1"/>
  <c r="F3810" i="1" a="1"/>
  <c r="F3810" i="1" s="1"/>
  <c r="E3810" i="1" a="1"/>
  <c r="E3810" i="1" s="1"/>
  <c r="D3810" i="1"/>
  <c r="C3810" i="1"/>
  <c r="B3810" i="1"/>
  <c r="A3810" i="1"/>
  <c r="F3809" i="1" a="1"/>
  <c r="F3809" i="1" s="1"/>
  <c r="E3809" i="1" a="1"/>
  <c r="E3809" i="1" s="1"/>
  <c r="D3809" i="1"/>
  <c r="C3809" i="1"/>
  <c r="B3809" i="1"/>
  <c r="A3809" i="1"/>
  <c r="F3808" i="1"/>
  <c r="F3808" i="1" a="1"/>
  <c r="E3808" i="1" a="1"/>
  <c r="E3808" i="1" s="1"/>
  <c r="D3808" i="1"/>
  <c r="C3808" i="1"/>
  <c r="B3808" i="1"/>
  <c r="A3808" i="1"/>
  <c r="F3807" i="1"/>
  <c r="F3807" i="1" a="1"/>
  <c r="E3807" i="1" a="1"/>
  <c r="E3807" i="1" s="1"/>
  <c r="D3807" i="1"/>
  <c r="C3807" i="1"/>
  <c r="B3807" i="1"/>
  <c r="A3807" i="1"/>
  <c r="F3806" i="1" a="1"/>
  <c r="F3806" i="1" s="1"/>
  <c r="E3806" i="1" a="1"/>
  <c r="E3806" i="1" s="1"/>
  <c r="D3806" i="1"/>
  <c r="C3806" i="1"/>
  <c r="B3806" i="1"/>
  <c r="A3806" i="1"/>
  <c r="F3805" i="1" a="1"/>
  <c r="F3805" i="1" s="1"/>
  <c r="E3805" i="1" a="1"/>
  <c r="E3805" i="1" s="1"/>
  <c r="D3805" i="1"/>
  <c r="C3805" i="1"/>
  <c r="B3805" i="1"/>
  <c r="A3805" i="1"/>
  <c r="F3804" i="1" a="1"/>
  <c r="F3804" i="1" s="1"/>
  <c r="E3804" i="1" a="1"/>
  <c r="E3804" i="1" s="1"/>
  <c r="D3804" i="1"/>
  <c r="C3804" i="1"/>
  <c r="B3804" i="1"/>
  <c r="A3804" i="1"/>
  <c r="F3803" i="1"/>
  <c r="F3803" i="1" a="1"/>
  <c r="E3803" i="1" a="1"/>
  <c r="E3803" i="1" s="1"/>
  <c r="D3803" i="1"/>
  <c r="C3803" i="1"/>
  <c r="B3803" i="1"/>
  <c r="A3803" i="1"/>
  <c r="F3802" i="1" a="1"/>
  <c r="F3802" i="1" s="1"/>
  <c r="E3802" i="1" a="1"/>
  <c r="E3802" i="1" s="1"/>
  <c r="D3802" i="1"/>
  <c r="C3802" i="1"/>
  <c r="B3802" i="1"/>
  <c r="A3802" i="1"/>
  <c r="F3801" i="1" a="1"/>
  <c r="F3801" i="1" s="1"/>
  <c r="E3801" i="1" a="1"/>
  <c r="E3801" i="1" s="1"/>
  <c r="D3801" i="1"/>
  <c r="C3801" i="1"/>
  <c r="B3801" i="1"/>
  <c r="A3801" i="1"/>
  <c r="F3800" i="1"/>
  <c r="F3800" i="1" a="1"/>
  <c r="E3800" i="1" a="1"/>
  <c r="E3800" i="1" s="1"/>
  <c r="D3800" i="1"/>
  <c r="C3800" i="1"/>
  <c r="B3800" i="1"/>
  <c r="A3800" i="1"/>
  <c r="F3799" i="1"/>
  <c r="F3799" i="1" a="1"/>
  <c r="E3799" i="1" a="1"/>
  <c r="E3799" i="1" s="1"/>
  <c r="D3799" i="1"/>
  <c r="C3799" i="1"/>
  <c r="B3799" i="1"/>
  <c r="A3799" i="1"/>
  <c r="F3798" i="1" a="1"/>
  <c r="F3798" i="1" s="1"/>
  <c r="E3798" i="1" a="1"/>
  <c r="E3798" i="1" s="1"/>
  <c r="D3798" i="1"/>
  <c r="C3798" i="1"/>
  <c r="B3798" i="1"/>
  <c r="A3798" i="1"/>
  <c r="F3797" i="1" a="1"/>
  <c r="F3797" i="1" s="1"/>
  <c r="E3797" i="1" a="1"/>
  <c r="E3797" i="1" s="1"/>
  <c r="D3797" i="1"/>
  <c r="C3797" i="1"/>
  <c r="B3797" i="1"/>
  <c r="A3797" i="1"/>
  <c r="F3796" i="1" a="1"/>
  <c r="F3796" i="1" s="1"/>
  <c r="E3796" i="1" a="1"/>
  <c r="E3796" i="1" s="1"/>
  <c r="D3796" i="1"/>
  <c r="C3796" i="1"/>
  <c r="B3796" i="1"/>
  <c r="A3796" i="1"/>
  <c r="F3795" i="1"/>
  <c r="F3795" i="1" a="1"/>
  <c r="E3795" i="1" a="1"/>
  <c r="E3795" i="1" s="1"/>
  <c r="D3795" i="1"/>
  <c r="C3795" i="1"/>
  <c r="B3795" i="1"/>
  <c r="A3795" i="1"/>
  <c r="F3794" i="1" a="1"/>
  <c r="F3794" i="1" s="1"/>
  <c r="E3794" i="1" a="1"/>
  <c r="E3794" i="1" s="1"/>
  <c r="D3794" i="1"/>
  <c r="C3794" i="1"/>
  <c r="B3794" i="1"/>
  <c r="A3794" i="1"/>
  <c r="F3793" i="1" a="1"/>
  <c r="F3793" i="1" s="1"/>
  <c r="E3793" i="1" a="1"/>
  <c r="E3793" i="1" s="1"/>
  <c r="D3793" i="1"/>
  <c r="C3793" i="1"/>
  <c r="B3793" i="1"/>
  <c r="A3793" i="1"/>
  <c r="F3792" i="1"/>
  <c r="F3792" i="1" a="1"/>
  <c r="E3792" i="1" a="1"/>
  <c r="E3792" i="1" s="1"/>
  <c r="D3792" i="1"/>
  <c r="C3792" i="1"/>
  <c r="B3792" i="1"/>
  <c r="A3792" i="1"/>
  <c r="F3791" i="1"/>
  <c r="F3791" i="1" a="1"/>
  <c r="E3791" i="1" a="1"/>
  <c r="E3791" i="1" s="1"/>
  <c r="D3791" i="1"/>
  <c r="C3791" i="1"/>
  <c r="B3791" i="1"/>
  <c r="A3791" i="1"/>
  <c r="F3790" i="1"/>
  <c r="F3790" i="1" a="1"/>
  <c r="E3790" i="1" a="1"/>
  <c r="E3790" i="1" s="1"/>
  <c r="D3790" i="1"/>
  <c r="C3790" i="1"/>
  <c r="B3790" i="1"/>
  <c r="A3790" i="1"/>
  <c r="F3789" i="1" a="1"/>
  <c r="F3789" i="1" s="1"/>
  <c r="E3789" i="1" a="1"/>
  <c r="E3789" i="1" s="1"/>
  <c r="D3789" i="1"/>
  <c r="C3789" i="1"/>
  <c r="B3789" i="1"/>
  <c r="A3789" i="1"/>
  <c r="F3788" i="1" a="1"/>
  <c r="F3788" i="1" s="1"/>
  <c r="E3788" i="1" a="1"/>
  <c r="E3788" i="1" s="1"/>
  <c r="D3788" i="1"/>
  <c r="C3788" i="1"/>
  <c r="B3788" i="1"/>
  <c r="A3788" i="1"/>
  <c r="F3787" i="1"/>
  <c r="F3787" i="1" a="1"/>
  <c r="E3787" i="1" a="1"/>
  <c r="E3787" i="1" s="1"/>
  <c r="D3787" i="1"/>
  <c r="C3787" i="1"/>
  <c r="B3787" i="1"/>
  <c r="A3787" i="1"/>
  <c r="F3786" i="1" a="1"/>
  <c r="F3786" i="1" s="1"/>
  <c r="E3786" i="1" a="1"/>
  <c r="E3786" i="1" s="1"/>
  <c r="D3786" i="1"/>
  <c r="C3786" i="1"/>
  <c r="B3786" i="1"/>
  <c r="A3786" i="1"/>
  <c r="F3785" i="1" a="1"/>
  <c r="F3785" i="1" s="1"/>
  <c r="E3785" i="1" a="1"/>
  <c r="E3785" i="1" s="1"/>
  <c r="D3785" i="1"/>
  <c r="C3785" i="1"/>
  <c r="B3785" i="1"/>
  <c r="A3785" i="1"/>
  <c r="F3784" i="1"/>
  <c r="F3784" i="1" a="1"/>
  <c r="E3784" i="1" a="1"/>
  <c r="E3784" i="1" s="1"/>
  <c r="D3784" i="1"/>
  <c r="C3784" i="1"/>
  <c r="B3784" i="1"/>
  <c r="A3784" i="1"/>
  <c r="F3783" i="1"/>
  <c r="F3783" i="1" a="1"/>
  <c r="E3783" i="1" a="1"/>
  <c r="E3783" i="1" s="1"/>
  <c r="D3783" i="1"/>
  <c r="C3783" i="1"/>
  <c r="B3783" i="1"/>
  <c r="A3783" i="1"/>
  <c r="F3782" i="1" a="1"/>
  <c r="F3782" i="1" s="1"/>
  <c r="E3782" i="1" a="1"/>
  <c r="E3782" i="1" s="1"/>
  <c r="D3782" i="1"/>
  <c r="C3782" i="1"/>
  <c r="B3782" i="1"/>
  <c r="A3782" i="1"/>
  <c r="F3781" i="1" a="1"/>
  <c r="F3781" i="1" s="1"/>
  <c r="E3781" i="1" a="1"/>
  <c r="E3781" i="1" s="1"/>
  <c r="D3781" i="1"/>
  <c r="C3781" i="1"/>
  <c r="B3781" i="1"/>
  <c r="A3781" i="1"/>
  <c r="F3780" i="1" a="1"/>
  <c r="F3780" i="1" s="1"/>
  <c r="E3780" i="1" a="1"/>
  <c r="E3780" i="1" s="1"/>
  <c r="D3780" i="1"/>
  <c r="C3780" i="1"/>
  <c r="B3780" i="1"/>
  <c r="A3780" i="1"/>
  <c r="F3779" i="1"/>
  <c r="F3779" i="1" a="1"/>
  <c r="E3779" i="1" a="1"/>
  <c r="E3779" i="1" s="1"/>
  <c r="D3779" i="1"/>
  <c r="C3779" i="1"/>
  <c r="B3779" i="1"/>
  <c r="A3779" i="1"/>
  <c r="F3778" i="1" a="1"/>
  <c r="F3778" i="1" s="1"/>
  <c r="E3778" i="1" a="1"/>
  <c r="E3778" i="1" s="1"/>
  <c r="D3778" i="1"/>
  <c r="C3778" i="1"/>
  <c r="B3778" i="1"/>
  <c r="A3778" i="1"/>
  <c r="F3777" i="1" a="1"/>
  <c r="F3777" i="1" s="1"/>
  <c r="E3777" i="1" a="1"/>
  <c r="E3777" i="1" s="1"/>
  <c r="D3777" i="1"/>
  <c r="C3777" i="1"/>
  <c r="B3777" i="1"/>
  <c r="A3777" i="1"/>
  <c r="F3776" i="1"/>
  <c r="F3776" i="1" a="1"/>
  <c r="E3776" i="1" a="1"/>
  <c r="E3776" i="1" s="1"/>
  <c r="D3776" i="1"/>
  <c r="C3776" i="1"/>
  <c r="B3776" i="1"/>
  <c r="A3776" i="1"/>
  <c r="F3775" i="1"/>
  <c r="F3775" i="1" a="1"/>
  <c r="E3775" i="1" a="1"/>
  <c r="E3775" i="1" s="1"/>
  <c r="D3775" i="1"/>
  <c r="C3775" i="1"/>
  <c r="B3775" i="1"/>
  <c r="A3775" i="1"/>
  <c r="F3774" i="1" a="1"/>
  <c r="F3774" i="1" s="1"/>
  <c r="E3774" i="1" a="1"/>
  <c r="E3774" i="1" s="1"/>
  <c r="D3774" i="1"/>
  <c r="C3774" i="1"/>
  <c r="B3774" i="1"/>
  <c r="A3774" i="1"/>
  <c r="F3773" i="1" a="1"/>
  <c r="F3773" i="1" s="1"/>
  <c r="E3773" i="1" a="1"/>
  <c r="E3773" i="1" s="1"/>
  <c r="D3773" i="1"/>
  <c r="C3773" i="1"/>
  <c r="B3773" i="1"/>
  <c r="A3773" i="1"/>
  <c r="F3772" i="1" a="1"/>
  <c r="F3772" i="1" s="1"/>
  <c r="E3772" i="1" a="1"/>
  <c r="E3772" i="1" s="1"/>
  <c r="D3772" i="1"/>
  <c r="C3772" i="1"/>
  <c r="B3772" i="1"/>
  <c r="A3772" i="1"/>
  <c r="F3771" i="1"/>
  <c r="F3771" i="1" a="1"/>
  <c r="E3771" i="1" a="1"/>
  <c r="E3771" i="1" s="1"/>
  <c r="D3771" i="1"/>
  <c r="C3771" i="1"/>
  <c r="B3771" i="1"/>
  <c r="A3771" i="1"/>
  <c r="F3770" i="1" a="1"/>
  <c r="F3770" i="1" s="1"/>
  <c r="E3770" i="1" a="1"/>
  <c r="E3770" i="1" s="1"/>
  <c r="D3770" i="1"/>
  <c r="C3770" i="1"/>
  <c r="B3770" i="1"/>
  <c r="A3770" i="1"/>
  <c r="F3769" i="1" a="1"/>
  <c r="F3769" i="1" s="1"/>
  <c r="E3769" i="1" a="1"/>
  <c r="E3769" i="1" s="1"/>
  <c r="D3769" i="1"/>
  <c r="C3769" i="1"/>
  <c r="B3769" i="1"/>
  <c r="A3769" i="1"/>
  <c r="F3768" i="1"/>
  <c r="F3768" i="1" a="1"/>
  <c r="E3768" i="1" a="1"/>
  <c r="E3768" i="1" s="1"/>
  <c r="D3768" i="1"/>
  <c r="C3768" i="1"/>
  <c r="B3768" i="1"/>
  <c r="A3768" i="1"/>
  <c r="F3767" i="1"/>
  <c r="F3767" i="1" a="1"/>
  <c r="E3767" i="1" a="1"/>
  <c r="E3767" i="1" s="1"/>
  <c r="D3767" i="1"/>
  <c r="C3767" i="1"/>
  <c r="B3767" i="1"/>
  <c r="A3767" i="1"/>
  <c r="F3766" i="1"/>
  <c r="F3766" i="1" a="1"/>
  <c r="E3766" i="1" a="1"/>
  <c r="E3766" i="1" s="1"/>
  <c r="D3766" i="1"/>
  <c r="C3766" i="1"/>
  <c r="B3766" i="1"/>
  <c r="A3766" i="1"/>
  <c r="F3765" i="1" a="1"/>
  <c r="F3765" i="1" s="1"/>
  <c r="E3765" i="1" a="1"/>
  <c r="E3765" i="1" s="1"/>
  <c r="D3765" i="1"/>
  <c r="C3765" i="1"/>
  <c r="B3765" i="1"/>
  <c r="A3765" i="1"/>
  <c r="F3764" i="1" a="1"/>
  <c r="F3764" i="1" s="1"/>
  <c r="E3764" i="1" a="1"/>
  <c r="E3764" i="1" s="1"/>
  <c r="D3764" i="1"/>
  <c r="C3764" i="1"/>
  <c r="B3764" i="1"/>
  <c r="A3764" i="1"/>
  <c r="F3763" i="1"/>
  <c r="F3763" i="1" a="1"/>
  <c r="E3763" i="1" a="1"/>
  <c r="E3763" i="1" s="1"/>
  <c r="D3763" i="1"/>
  <c r="C3763" i="1"/>
  <c r="B3763" i="1"/>
  <c r="A3763" i="1"/>
  <c r="F3762" i="1" a="1"/>
  <c r="F3762" i="1" s="1"/>
  <c r="E3762" i="1" a="1"/>
  <c r="E3762" i="1" s="1"/>
  <c r="D3762" i="1"/>
  <c r="C3762" i="1"/>
  <c r="B3762" i="1"/>
  <c r="A3762" i="1"/>
  <c r="F3761" i="1" a="1"/>
  <c r="F3761" i="1" s="1"/>
  <c r="E3761" i="1" a="1"/>
  <c r="E3761" i="1" s="1"/>
  <c r="D3761" i="1"/>
  <c r="C3761" i="1"/>
  <c r="B3761" i="1"/>
  <c r="A3761" i="1"/>
  <c r="F3760" i="1"/>
  <c r="F3760" i="1" a="1"/>
  <c r="E3760" i="1" a="1"/>
  <c r="E3760" i="1" s="1"/>
  <c r="D3760" i="1"/>
  <c r="C3760" i="1"/>
  <c r="B3760" i="1"/>
  <c r="A3760" i="1"/>
  <c r="F3759" i="1"/>
  <c r="F3759" i="1" a="1"/>
  <c r="E3759" i="1" a="1"/>
  <c r="E3759" i="1" s="1"/>
  <c r="D3759" i="1"/>
  <c r="C3759" i="1"/>
  <c r="B3759" i="1"/>
  <c r="A3759" i="1"/>
  <c r="F3758" i="1" a="1"/>
  <c r="F3758" i="1" s="1"/>
  <c r="E3758" i="1" a="1"/>
  <c r="E3758" i="1" s="1"/>
  <c r="D3758" i="1"/>
  <c r="C3758" i="1"/>
  <c r="B3758" i="1"/>
  <c r="A3758" i="1"/>
  <c r="F3757" i="1" a="1"/>
  <c r="F3757" i="1" s="1"/>
  <c r="E3757" i="1" a="1"/>
  <c r="E3757" i="1" s="1"/>
  <c r="D3757" i="1"/>
  <c r="C3757" i="1"/>
  <c r="B3757" i="1"/>
  <c r="A3757" i="1"/>
  <c r="F3756" i="1" a="1"/>
  <c r="F3756" i="1" s="1"/>
  <c r="E3756" i="1" a="1"/>
  <c r="E3756" i="1" s="1"/>
  <c r="D3756" i="1"/>
  <c r="C3756" i="1"/>
  <c r="B3756" i="1"/>
  <c r="A3756" i="1"/>
  <c r="F3755" i="1"/>
  <c r="F3755" i="1" a="1"/>
  <c r="E3755" i="1" a="1"/>
  <c r="E3755" i="1" s="1"/>
  <c r="D3755" i="1"/>
  <c r="C3755" i="1"/>
  <c r="B3755" i="1"/>
  <c r="A3755" i="1"/>
  <c r="F3754" i="1" a="1"/>
  <c r="F3754" i="1" s="1"/>
  <c r="E3754" i="1" a="1"/>
  <c r="E3754" i="1" s="1"/>
  <c r="D3754" i="1"/>
  <c r="C3754" i="1"/>
  <c r="B3754" i="1"/>
  <c r="A3754" i="1"/>
  <c r="F3753" i="1" a="1"/>
  <c r="F3753" i="1" s="1"/>
  <c r="E3753" i="1" a="1"/>
  <c r="E3753" i="1" s="1"/>
  <c r="D3753" i="1"/>
  <c r="C3753" i="1"/>
  <c r="B3753" i="1"/>
  <c r="A3753" i="1"/>
  <c r="F3752" i="1"/>
  <c r="F3752" i="1" a="1"/>
  <c r="E3752" i="1" a="1"/>
  <c r="E3752" i="1" s="1"/>
  <c r="D3752" i="1"/>
  <c r="C3752" i="1"/>
  <c r="B3752" i="1"/>
  <c r="A3752" i="1"/>
  <c r="F3751" i="1"/>
  <c r="F3751" i="1" a="1"/>
  <c r="E3751" i="1" a="1"/>
  <c r="E3751" i="1" s="1"/>
  <c r="D3751" i="1"/>
  <c r="C3751" i="1"/>
  <c r="B3751" i="1"/>
  <c r="A3751" i="1"/>
  <c r="F3750" i="1"/>
  <c r="F3750" i="1" a="1"/>
  <c r="E3750" i="1" a="1"/>
  <c r="E3750" i="1" s="1"/>
  <c r="D3750" i="1"/>
  <c r="C3750" i="1"/>
  <c r="B3750" i="1"/>
  <c r="A3750" i="1"/>
  <c r="F3749" i="1" a="1"/>
  <c r="F3749" i="1" s="1"/>
  <c r="E3749" i="1" a="1"/>
  <c r="E3749" i="1" s="1"/>
  <c r="D3749" i="1"/>
  <c r="C3749" i="1"/>
  <c r="B3749" i="1"/>
  <c r="A3749" i="1"/>
  <c r="F3748" i="1" a="1"/>
  <c r="F3748" i="1" s="1"/>
  <c r="E3748" i="1" a="1"/>
  <c r="E3748" i="1" s="1"/>
  <c r="D3748" i="1"/>
  <c r="C3748" i="1"/>
  <c r="B3748" i="1"/>
  <c r="A3748" i="1"/>
  <c r="F3747" i="1"/>
  <c r="F3747" i="1" a="1"/>
  <c r="E3747" i="1" a="1"/>
  <c r="E3747" i="1" s="1"/>
  <c r="D3747" i="1"/>
  <c r="C3747" i="1"/>
  <c r="B3747" i="1"/>
  <c r="A3747" i="1"/>
  <c r="F3746" i="1" a="1"/>
  <c r="F3746" i="1" s="1"/>
  <c r="E3746" i="1" a="1"/>
  <c r="E3746" i="1" s="1"/>
  <c r="D3746" i="1"/>
  <c r="C3746" i="1"/>
  <c r="B3746" i="1"/>
  <c r="A3746" i="1"/>
  <c r="F3745" i="1" a="1"/>
  <c r="F3745" i="1" s="1"/>
  <c r="E3745" i="1" a="1"/>
  <c r="E3745" i="1" s="1"/>
  <c r="D3745" i="1"/>
  <c r="C3745" i="1"/>
  <c r="B3745" i="1"/>
  <c r="A3745" i="1"/>
  <c r="F3744" i="1"/>
  <c r="F3744" i="1" a="1"/>
  <c r="E3744" i="1" a="1"/>
  <c r="E3744" i="1" s="1"/>
  <c r="D3744" i="1"/>
  <c r="C3744" i="1"/>
  <c r="B3744" i="1"/>
  <c r="A3744" i="1"/>
  <c r="F3743" i="1"/>
  <c r="F3743" i="1" a="1"/>
  <c r="E3743" i="1" a="1"/>
  <c r="E3743" i="1" s="1"/>
  <c r="D3743" i="1"/>
  <c r="C3743" i="1"/>
  <c r="B3743" i="1"/>
  <c r="A3743" i="1"/>
  <c r="F3742" i="1" a="1"/>
  <c r="F3742" i="1" s="1"/>
  <c r="E3742" i="1" a="1"/>
  <c r="E3742" i="1" s="1"/>
  <c r="D3742" i="1"/>
  <c r="C3742" i="1"/>
  <c r="B3742" i="1"/>
  <c r="A3742" i="1"/>
  <c r="F3741" i="1" a="1"/>
  <c r="F3741" i="1" s="1"/>
  <c r="E3741" i="1" a="1"/>
  <c r="E3741" i="1" s="1"/>
  <c r="D3741" i="1"/>
  <c r="C3741" i="1"/>
  <c r="B3741" i="1"/>
  <c r="A3741" i="1"/>
  <c r="F3740" i="1" a="1"/>
  <c r="F3740" i="1" s="1"/>
  <c r="E3740" i="1" a="1"/>
  <c r="E3740" i="1" s="1"/>
  <c r="D3740" i="1"/>
  <c r="C3740" i="1"/>
  <c r="B3740" i="1"/>
  <c r="A3740" i="1"/>
  <c r="F3739" i="1"/>
  <c r="F3739" i="1" a="1"/>
  <c r="E3739" i="1" a="1"/>
  <c r="E3739" i="1" s="1"/>
  <c r="D3739" i="1"/>
  <c r="C3739" i="1"/>
  <c r="B3739" i="1"/>
  <c r="A3739" i="1"/>
  <c r="F3738" i="1" a="1"/>
  <c r="F3738" i="1" s="1"/>
  <c r="E3738" i="1" a="1"/>
  <c r="E3738" i="1" s="1"/>
  <c r="D3738" i="1"/>
  <c r="C3738" i="1"/>
  <c r="B3738" i="1"/>
  <c r="A3738" i="1"/>
  <c r="F3737" i="1" a="1"/>
  <c r="F3737" i="1" s="1"/>
  <c r="E3737" i="1" a="1"/>
  <c r="E3737" i="1" s="1"/>
  <c r="D3737" i="1"/>
  <c r="C3737" i="1"/>
  <c r="B3737" i="1"/>
  <c r="A3737" i="1"/>
  <c r="F3736" i="1" a="1"/>
  <c r="F3736" i="1" s="1"/>
  <c r="E3736" i="1" a="1"/>
  <c r="E3736" i="1" s="1"/>
  <c r="D3736" i="1"/>
  <c r="C3736" i="1"/>
  <c r="B3736" i="1"/>
  <c r="A3736" i="1"/>
  <c r="F3735" i="1"/>
  <c r="F3735" i="1" a="1"/>
  <c r="E3735" i="1" a="1"/>
  <c r="E3735" i="1" s="1"/>
  <c r="D3735" i="1"/>
  <c r="C3735" i="1"/>
  <c r="B3735" i="1"/>
  <c r="A3735" i="1"/>
  <c r="F3734" i="1"/>
  <c r="F3734" i="1" a="1"/>
  <c r="E3734" i="1" a="1"/>
  <c r="E3734" i="1" s="1"/>
  <c r="D3734" i="1"/>
  <c r="C3734" i="1"/>
  <c r="B3734" i="1"/>
  <c r="A3734" i="1"/>
  <c r="F3733" i="1" a="1"/>
  <c r="F3733" i="1" s="1"/>
  <c r="E3733" i="1" a="1"/>
  <c r="E3733" i="1" s="1"/>
  <c r="D3733" i="1"/>
  <c r="C3733" i="1"/>
  <c r="B3733" i="1"/>
  <c r="A3733" i="1"/>
  <c r="F3732" i="1" a="1"/>
  <c r="F3732" i="1" s="1"/>
  <c r="E3732" i="1" a="1"/>
  <c r="E3732" i="1" s="1"/>
  <c r="D3732" i="1"/>
  <c r="C3732" i="1"/>
  <c r="B3732" i="1"/>
  <c r="A3732" i="1"/>
  <c r="F3731" i="1"/>
  <c r="F3731" i="1" a="1"/>
  <c r="E3731" i="1" a="1"/>
  <c r="E3731" i="1" s="1"/>
  <c r="D3731" i="1"/>
  <c r="C3731" i="1"/>
  <c r="B3731" i="1"/>
  <c r="A3731" i="1"/>
  <c r="F3730" i="1" a="1"/>
  <c r="F3730" i="1" s="1"/>
  <c r="E3730" i="1" a="1"/>
  <c r="E3730" i="1" s="1"/>
  <c r="D3730" i="1"/>
  <c r="C3730" i="1"/>
  <c r="B3730" i="1"/>
  <c r="A3730" i="1"/>
  <c r="F3729" i="1" a="1"/>
  <c r="F3729" i="1" s="1"/>
  <c r="E3729" i="1" a="1"/>
  <c r="E3729" i="1" s="1"/>
  <c r="D3729" i="1"/>
  <c r="C3729" i="1"/>
  <c r="B3729" i="1"/>
  <c r="A3729" i="1"/>
  <c r="F3728" i="1" a="1"/>
  <c r="F3728" i="1" s="1"/>
  <c r="E3728" i="1" a="1"/>
  <c r="E3728" i="1" s="1"/>
  <c r="D3728" i="1"/>
  <c r="C3728" i="1"/>
  <c r="B3728" i="1"/>
  <c r="A3728" i="1"/>
  <c r="F3727" i="1"/>
  <c r="F3727" i="1" a="1"/>
  <c r="E3727" i="1" a="1"/>
  <c r="E3727" i="1" s="1"/>
  <c r="D3727" i="1"/>
  <c r="C3727" i="1"/>
  <c r="B3727" i="1"/>
  <c r="A3727" i="1"/>
  <c r="F3726" i="1" a="1"/>
  <c r="F3726" i="1" s="1"/>
  <c r="E3726" i="1" a="1"/>
  <c r="E3726" i="1" s="1"/>
  <c r="D3726" i="1"/>
  <c r="C3726" i="1"/>
  <c r="B3726" i="1"/>
  <c r="A3726" i="1"/>
  <c r="F3725" i="1" a="1"/>
  <c r="F3725" i="1" s="1"/>
  <c r="E3725" i="1" a="1"/>
  <c r="E3725" i="1" s="1"/>
  <c r="D3725" i="1"/>
  <c r="C3725" i="1"/>
  <c r="B3725" i="1"/>
  <c r="A3725" i="1"/>
  <c r="F3724" i="1" a="1"/>
  <c r="F3724" i="1" s="1"/>
  <c r="E3724" i="1" a="1"/>
  <c r="E3724" i="1" s="1"/>
  <c r="D3724" i="1"/>
  <c r="C3724" i="1"/>
  <c r="B3724" i="1"/>
  <c r="A3724" i="1"/>
  <c r="F3723" i="1"/>
  <c r="F3723" i="1" a="1"/>
  <c r="E3723" i="1" a="1"/>
  <c r="E3723" i="1" s="1"/>
  <c r="D3723" i="1"/>
  <c r="C3723" i="1"/>
  <c r="B3723" i="1"/>
  <c r="A3723" i="1"/>
  <c r="F3722" i="1" a="1"/>
  <c r="F3722" i="1" s="1"/>
  <c r="E3722" i="1" a="1"/>
  <c r="E3722" i="1" s="1"/>
  <c r="D3722" i="1"/>
  <c r="C3722" i="1"/>
  <c r="B3722" i="1"/>
  <c r="A3722" i="1"/>
  <c r="F3721" i="1" a="1"/>
  <c r="F3721" i="1" s="1"/>
  <c r="E3721" i="1" a="1"/>
  <c r="E3721" i="1" s="1"/>
  <c r="D3721" i="1"/>
  <c r="C3721" i="1"/>
  <c r="B3721" i="1"/>
  <c r="A3721" i="1"/>
  <c r="F3720" i="1" a="1"/>
  <c r="F3720" i="1" s="1"/>
  <c r="E3720" i="1" a="1"/>
  <c r="E3720" i="1" s="1"/>
  <c r="D3720" i="1"/>
  <c r="C3720" i="1"/>
  <c r="B3720" i="1"/>
  <c r="A3720" i="1"/>
  <c r="F3719" i="1"/>
  <c r="F3719" i="1" a="1"/>
  <c r="E3719" i="1" a="1"/>
  <c r="E3719" i="1" s="1"/>
  <c r="D3719" i="1"/>
  <c r="C3719" i="1"/>
  <c r="B3719" i="1"/>
  <c r="A3719" i="1"/>
  <c r="F3718" i="1"/>
  <c r="F3718" i="1" a="1"/>
  <c r="E3718" i="1" a="1"/>
  <c r="E3718" i="1" s="1"/>
  <c r="D3718" i="1"/>
  <c r="C3718" i="1"/>
  <c r="B3718" i="1"/>
  <c r="A3718" i="1"/>
  <c r="F3717" i="1" a="1"/>
  <c r="F3717" i="1" s="1"/>
  <c r="E3717" i="1" a="1"/>
  <c r="E3717" i="1" s="1"/>
  <c r="D3717" i="1"/>
  <c r="C3717" i="1"/>
  <c r="B3717" i="1"/>
  <c r="A3717" i="1"/>
  <c r="F3716" i="1" a="1"/>
  <c r="F3716" i="1" s="1"/>
  <c r="E3716" i="1" a="1"/>
  <c r="E3716" i="1" s="1"/>
  <c r="D3716" i="1"/>
  <c r="C3716" i="1"/>
  <c r="B3716" i="1"/>
  <c r="A3716" i="1"/>
  <c r="F3715" i="1"/>
  <c r="F3715" i="1" a="1"/>
  <c r="E3715" i="1" a="1"/>
  <c r="E3715" i="1" s="1"/>
  <c r="D3715" i="1"/>
  <c r="C3715" i="1"/>
  <c r="B3715" i="1"/>
  <c r="A3715" i="1"/>
  <c r="F3714" i="1" a="1"/>
  <c r="F3714" i="1" s="1"/>
  <c r="E3714" i="1" a="1"/>
  <c r="E3714" i="1" s="1"/>
  <c r="D3714" i="1"/>
  <c r="C3714" i="1"/>
  <c r="B3714" i="1"/>
  <c r="A3714" i="1"/>
  <c r="F3713" i="1" a="1"/>
  <c r="F3713" i="1" s="1"/>
  <c r="E3713" i="1" a="1"/>
  <c r="E3713" i="1" s="1"/>
  <c r="D3713" i="1"/>
  <c r="C3713" i="1"/>
  <c r="B3713" i="1"/>
  <c r="A3713" i="1"/>
  <c r="F3712" i="1" a="1"/>
  <c r="F3712" i="1" s="1"/>
  <c r="E3712" i="1" a="1"/>
  <c r="E3712" i="1" s="1"/>
  <c r="D3712" i="1"/>
  <c r="C3712" i="1"/>
  <c r="B3712" i="1"/>
  <c r="A3712" i="1"/>
  <c r="F3711" i="1"/>
  <c r="F3711" i="1" a="1"/>
  <c r="E3711" i="1" a="1"/>
  <c r="E3711" i="1" s="1"/>
  <c r="D3711" i="1"/>
  <c r="C3711" i="1"/>
  <c r="B3711" i="1"/>
  <c r="A3711" i="1"/>
  <c r="F3710" i="1"/>
  <c r="F3710" i="1" a="1"/>
  <c r="E3710" i="1" a="1"/>
  <c r="E3710" i="1" s="1"/>
  <c r="D3710" i="1"/>
  <c r="C3710" i="1"/>
  <c r="B3710" i="1"/>
  <c r="A3710" i="1"/>
  <c r="F3709" i="1" a="1"/>
  <c r="F3709" i="1" s="1"/>
  <c r="E3709" i="1" a="1"/>
  <c r="E3709" i="1" s="1"/>
  <c r="D3709" i="1"/>
  <c r="C3709" i="1"/>
  <c r="B3709" i="1"/>
  <c r="A3709" i="1"/>
  <c r="F3708" i="1" a="1"/>
  <c r="F3708" i="1" s="1"/>
  <c r="E3708" i="1" a="1"/>
  <c r="E3708" i="1" s="1"/>
  <c r="D3708" i="1"/>
  <c r="C3708" i="1"/>
  <c r="B3708" i="1"/>
  <c r="A3708" i="1"/>
  <c r="F3707" i="1"/>
  <c r="F3707" i="1" a="1"/>
  <c r="E3707" i="1" a="1"/>
  <c r="E3707" i="1" s="1"/>
  <c r="D3707" i="1"/>
  <c r="C3707" i="1"/>
  <c r="B3707" i="1"/>
  <c r="A3707" i="1"/>
  <c r="F3706" i="1" a="1"/>
  <c r="F3706" i="1" s="1"/>
  <c r="E3706" i="1" a="1"/>
  <c r="E3706" i="1" s="1"/>
  <c r="D3706" i="1"/>
  <c r="C3706" i="1"/>
  <c r="B3706" i="1"/>
  <c r="A3706" i="1"/>
  <c r="F3705" i="1" a="1"/>
  <c r="F3705" i="1" s="1"/>
  <c r="E3705" i="1" a="1"/>
  <c r="E3705" i="1" s="1"/>
  <c r="D3705" i="1"/>
  <c r="C3705" i="1"/>
  <c r="B3705" i="1"/>
  <c r="A3705" i="1"/>
  <c r="F3704" i="1" a="1"/>
  <c r="F3704" i="1" s="1"/>
  <c r="E3704" i="1" a="1"/>
  <c r="E3704" i="1" s="1"/>
  <c r="D3704" i="1"/>
  <c r="C3704" i="1"/>
  <c r="B3704" i="1"/>
  <c r="A3704" i="1"/>
  <c r="F3703" i="1"/>
  <c r="F3703" i="1" a="1"/>
  <c r="E3703" i="1" a="1"/>
  <c r="E3703" i="1" s="1"/>
  <c r="D3703" i="1"/>
  <c r="C3703" i="1"/>
  <c r="B3703" i="1"/>
  <c r="A3703" i="1"/>
  <c r="F3702" i="1" a="1"/>
  <c r="F3702" i="1" s="1"/>
  <c r="E3702" i="1" a="1"/>
  <c r="E3702" i="1" s="1"/>
  <c r="D3702" i="1"/>
  <c r="C3702" i="1"/>
  <c r="B3702" i="1"/>
  <c r="A3702" i="1"/>
  <c r="F3701" i="1"/>
  <c r="F3701" i="1" a="1"/>
  <c r="E3701" i="1" a="1"/>
  <c r="E3701" i="1" s="1"/>
  <c r="D3701" i="1"/>
  <c r="C3701" i="1"/>
  <c r="B3701" i="1"/>
  <c r="A3701" i="1"/>
  <c r="F3700" i="1"/>
  <c r="F3700" i="1" a="1"/>
  <c r="E3700" i="1" a="1"/>
  <c r="E3700" i="1" s="1"/>
  <c r="D3700" i="1"/>
  <c r="C3700" i="1"/>
  <c r="B3700" i="1"/>
  <c r="A3700" i="1"/>
  <c r="F3699" i="1" a="1"/>
  <c r="F3699" i="1" s="1"/>
  <c r="E3699" i="1" a="1"/>
  <c r="E3699" i="1" s="1"/>
  <c r="D3699" i="1"/>
  <c r="C3699" i="1"/>
  <c r="B3699" i="1"/>
  <c r="A3699" i="1"/>
  <c r="F3698" i="1"/>
  <c r="F3698" i="1" a="1"/>
  <c r="E3698" i="1" a="1"/>
  <c r="E3698" i="1" s="1"/>
  <c r="D3698" i="1"/>
  <c r="C3698" i="1"/>
  <c r="B3698" i="1"/>
  <c r="A3698" i="1"/>
  <c r="F3697" i="1"/>
  <c r="F3697" i="1" a="1"/>
  <c r="E3697" i="1" a="1"/>
  <c r="E3697" i="1" s="1"/>
  <c r="D3697" i="1"/>
  <c r="C3697" i="1"/>
  <c r="B3697" i="1"/>
  <c r="A3697" i="1"/>
  <c r="F3696" i="1" a="1"/>
  <c r="F3696" i="1" s="1"/>
  <c r="E3696" i="1" a="1"/>
  <c r="E3696" i="1" s="1"/>
  <c r="D3696" i="1"/>
  <c r="C3696" i="1"/>
  <c r="B3696" i="1"/>
  <c r="A3696" i="1"/>
  <c r="F3695" i="1"/>
  <c r="F3695" i="1" a="1"/>
  <c r="E3695" i="1" a="1"/>
  <c r="E3695" i="1" s="1"/>
  <c r="D3695" i="1"/>
  <c r="C3695" i="1"/>
  <c r="B3695" i="1"/>
  <c r="A3695" i="1"/>
  <c r="F3694" i="1" a="1"/>
  <c r="F3694" i="1" s="1"/>
  <c r="E3694" i="1" a="1"/>
  <c r="E3694" i="1" s="1"/>
  <c r="D3694" i="1"/>
  <c r="C3694" i="1"/>
  <c r="B3694" i="1"/>
  <c r="A3694" i="1"/>
  <c r="F3693" i="1"/>
  <c r="F3693" i="1" a="1"/>
  <c r="E3693" i="1" a="1"/>
  <c r="E3693" i="1" s="1"/>
  <c r="D3693" i="1"/>
  <c r="C3693" i="1"/>
  <c r="B3693" i="1"/>
  <c r="A3693" i="1"/>
  <c r="F3692" i="1" a="1"/>
  <c r="F3692" i="1" s="1"/>
  <c r="E3692" i="1" a="1"/>
  <c r="E3692" i="1" s="1"/>
  <c r="D3692" i="1"/>
  <c r="C3692" i="1"/>
  <c r="B3692" i="1"/>
  <c r="A3692" i="1"/>
  <c r="F3691" i="1" a="1"/>
  <c r="F3691" i="1" s="1"/>
  <c r="E3691" i="1" a="1"/>
  <c r="E3691" i="1" s="1"/>
  <c r="D3691" i="1"/>
  <c r="C3691" i="1"/>
  <c r="B3691" i="1"/>
  <c r="A3691" i="1"/>
  <c r="F3690" i="1"/>
  <c r="F3690" i="1" a="1"/>
  <c r="E3690" i="1" a="1"/>
  <c r="E3690" i="1" s="1"/>
  <c r="D3690" i="1"/>
  <c r="C3690" i="1"/>
  <c r="B3690" i="1"/>
  <c r="A3690" i="1"/>
  <c r="F3689" i="1"/>
  <c r="F3689" i="1" a="1"/>
  <c r="E3689" i="1" a="1"/>
  <c r="E3689" i="1" s="1"/>
  <c r="D3689" i="1"/>
  <c r="C3689" i="1"/>
  <c r="B3689" i="1"/>
  <c r="A3689" i="1"/>
  <c r="F3688" i="1" a="1"/>
  <c r="F3688" i="1" s="1"/>
  <c r="E3688" i="1" a="1"/>
  <c r="E3688" i="1" s="1"/>
  <c r="D3688" i="1"/>
  <c r="C3688" i="1"/>
  <c r="B3688" i="1"/>
  <c r="A3688" i="1"/>
  <c r="F3687" i="1"/>
  <c r="F3687" i="1" a="1"/>
  <c r="E3687" i="1" a="1"/>
  <c r="E3687" i="1" s="1"/>
  <c r="D3687" i="1"/>
  <c r="C3687" i="1"/>
  <c r="B3687" i="1"/>
  <c r="A3687" i="1"/>
  <c r="F3686" i="1" a="1"/>
  <c r="F3686" i="1" s="1"/>
  <c r="E3686" i="1" a="1"/>
  <c r="E3686" i="1" s="1"/>
  <c r="D3686" i="1"/>
  <c r="C3686" i="1"/>
  <c r="B3686" i="1"/>
  <c r="A3686" i="1"/>
  <c r="F3685" i="1"/>
  <c r="F3685" i="1" a="1"/>
  <c r="E3685" i="1" a="1"/>
  <c r="E3685" i="1" s="1"/>
  <c r="D3685" i="1"/>
  <c r="C3685" i="1"/>
  <c r="B3685" i="1"/>
  <c r="A3685" i="1"/>
  <c r="F3684" i="1" a="1"/>
  <c r="F3684" i="1" s="1"/>
  <c r="E3684" i="1" a="1"/>
  <c r="E3684" i="1" s="1"/>
  <c r="D3684" i="1"/>
  <c r="C3684" i="1"/>
  <c r="B3684" i="1"/>
  <c r="A3684" i="1"/>
  <c r="F3683" i="1" a="1"/>
  <c r="F3683" i="1" s="1"/>
  <c r="E3683" i="1" a="1"/>
  <c r="E3683" i="1" s="1"/>
  <c r="D3683" i="1"/>
  <c r="C3683" i="1"/>
  <c r="B3683" i="1"/>
  <c r="A3683" i="1"/>
  <c r="F3682" i="1"/>
  <c r="F3682" i="1" a="1"/>
  <c r="E3682" i="1" a="1"/>
  <c r="E3682" i="1" s="1"/>
  <c r="D3682" i="1"/>
  <c r="C3682" i="1"/>
  <c r="B3682" i="1"/>
  <c r="A3682" i="1"/>
  <c r="F3681" i="1"/>
  <c r="F3681" i="1" a="1"/>
  <c r="E3681" i="1" a="1"/>
  <c r="E3681" i="1" s="1"/>
  <c r="D3681" i="1"/>
  <c r="C3681" i="1"/>
  <c r="B3681" i="1"/>
  <c r="A3681" i="1"/>
  <c r="F3680" i="1" a="1"/>
  <c r="F3680" i="1" s="1"/>
  <c r="E3680" i="1" a="1"/>
  <c r="E3680" i="1" s="1"/>
  <c r="D3680" i="1"/>
  <c r="C3680" i="1"/>
  <c r="B3680" i="1"/>
  <c r="A3680" i="1"/>
  <c r="F3679" i="1"/>
  <c r="F3679" i="1" a="1"/>
  <c r="E3679" i="1" a="1"/>
  <c r="E3679" i="1" s="1"/>
  <c r="D3679" i="1"/>
  <c r="C3679" i="1"/>
  <c r="B3679" i="1"/>
  <c r="A3679" i="1"/>
  <c r="F3678" i="1" a="1"/>
  <c r="F3678" i="1" s="1"/>
  <c r="E3678" i="1" a="1"/>
  <c r="E3678" i="1" s="1"/>
  <c r="D3678" i="1"/>
  <c r="C3678" i="1"/>
  <c r="B3678" i="1"/>
  <c r="A3678" i="1"/>
  <c r="F3677" i="1"/>
  <c r="F3677" i="1" a="1"/>
  <c r="E3677" i="1" a="1"/>
  <c r="E3677" i="1" s="1"/>
  <c r="D3677" i="1"/>
  <c r="C3677" i="1"/>
  <c r="B3677" i="1"/>
  <c r="A3677" i="1"/>
  <c r="F3676" i="1" a="1"/>
  <c r="F3676" i="1" s="1"/>
  <c r="E3676" i="1" a="1"/>
  <c r="E3676" i="1" s="1"/>
  <c r="D3676" i="1"/>
  <c r="C3676" i="1"/>
  <c r="B3676" i="1"/>
  <c r="A3676" i="1"/>
  <c r="F3675" i="1" a="1"/>
  <c r="F3675" i="1" s="1"/>
  <c r="E3675" i="1" a="1"/>
  <c r="E3675" i="1" s="1"/>
  <c r="D3675" i="1"/>
  <c r="C3675" i="1"/>
  <c r="B3675" i="1"/>
  <c r="A3675" i="1"/>
  <c r="F3674" i="1"/>
  <c r="F3674" i="1" a="1"/>
  <c r="E3674" i="1" a="1"/>
  <c r="E3674" i="1" s="1"/>
  <c r="D3674" i="1"/>
  <c r="C3674" i="1"/>
  <c r="B3674" i="1"/>
  <c r="A3674" i="1"/>
  <c r="F3673" i="1"/>
  <c r="F3673" i="1" a="1"/>
  <c r="E3673" i="1" a="1"/>
  <c r="E3673" i="1" s="1"/>
  <c r="D3673" i="1"/>
  <c r="C3673" i="1"/>
  <c r="B3673" i="1"/>
  <c r="A3673" i="1"/>
  <c r="F3672" i="1" a="1"/>
  <c r="F3672" i="1" s="1"/>
  <c r="E3672" i="1" a="1"/>
  <c r="E3672" i="1" s="1"/>
  <c r="D3672" i="1"/>
  <c r="C3672" i="1"/>
  <c r="B3672" i="1"/>
  <c r="A3672" i="1"/>
  <c r="F3671" i="1"/>
  <c r="F3671" i="1" a="1"/>
  <c r="E3671" i="1" a="1"/>
  <c r="E3671" i="1" s="1"/>
  <c r="D3671" i="1"/>
  <c r="C3671" i="1"/>
  <c r="B3671" i="1"/>
  <c r="A3671" i="1"/>
  <c r="F3670" i="1" a="1"/>
  <c r="F3670" i="1" s="1"/>
  <c r="E3670" i="1" a="1"/>
  <c r="E3670" i="1" s="1"/>
  <c r="D3670" i="1"/>
  <c r="C3670" i="1"/>
  <c r="B3670" i="1"/>
  <c r="A3670" i="1"/>
  <c r="F3669" i="1"/>
  <c r="F3669" i="1" a="1"/>
  <c r="E3669" i="1" a="1"/>
  <c r="E3669" i="1" s="1"/>
  <c r="D3669" i="1"/>
  <c r="C3669" i="1"/>
  <c r="B3669" i="1"/>
  <c r="A3669" i="1"/>
  <c r="F3668" i="1" a="1"/>
  <c r="F3668" i="1" s="1"/>
  <c r="E3668" i="1" a="1"/>
  <c r="E3668" i="1" s="1"/>
  <c r="D3668" i="1"/>
  <c r="C3668" i="1"/>
  <c r="B3668" i="1"/>
  <c r="A3668" i="1"/>
  <c r="F3667" i="1" a="1"/>
  <c r="F3667" i="1" s="1"/>
  <c r="E3667" i="1" a="1"/>
  <c r="E3667" i="1" s="1"/>
  <c r="D3667" i="1"/>
  <c r="C3667" i="1"/>
  <c r="B3667" i="1"/>
  <c r="A3667" i="1"/>
  <c r="F3666" i="1"/>
  <c r="F3666" i="1" a="1"/>
  <c r="E3666" i="1" a="1"/>
  <c r="E3666" i="1" s="1"/>
  <c r="D3666" i="1"/>
  <c r="C3666" i="1"/>
  <c r="B3666" i="1"/>
  <c r="A3666" i="1"/>
  <c r="F3665" i="1"/>
  <c r="F3665" i="1" a="1"/>
  <c r="E3665" i="1" a="1"/>
  <c r="E3665" i="1" s="1"/>
  <c r="D3665" i="1"/>
  <c r="C3665" i="1"/>
  <c r="B3665" i="1"/>
  <c r="A3665" i="1"/>
  <c r="F3664" i="1" a="1"/>
  <c r="F3664" i="1" s="1"/>
  <c r="E3664" i="1" a="1"/>
  <c r="E3664" i="1" s="1"/>
  <c r="D3664" i="1"/>
  <c r="C3664" i="1"/>
  <c r="B3664" i="1"/>
  <c r="A3664" i="1"/>
  <c r="F3663" i="1"/>
  <c r="F3663" i="1" a="1"/>
  <c r="E3663" i="1" a="1"/>
  <c r="E3663" i="1" s="1"/>
  <c r="D3663" i="1"/>
  <c r="C3663" i="1"/>
  <c r="B3663" i="1"/>
  <c r="A3663" i="1"/>
  <c r="F3662" i="1" a="1"/>
  <c r="F3662" i="1" s="1"/>
  <c r="E3662" i="1" a="1"/>
  <c r="E3662" i="1" s="1"/>
  <c r="D3662" i="1"/>
  <c r="C3662" i="1"/>
  <c r="B3662" i="1"/>
  <c r="A3662" i="1"/>
  <c r="F3661" i="1"/>
  <c r="F3661" i="1" a="1"/>
  <c r="E3661" i="1" a="1"/>
  <c r="E3661" i="1" s="1"/>
  <c r="D3661" i="1"/>
  <c r="C3661" i="1"/>
  <c r="B3661" i="1"/>
  <c r="A3661" i="1"/>
  <c r="F3660" i="1" a="1"/>
  <c r="F3660" i="1" s="1"/>
  <c r="E3660" i="1" a="1"/>
  <c r="E3660" i="1" s="1"/>
  <c r="D3660" i="1"/>
  <c r="C3660" i="1"/>
  <c r="B3660" i="1"/>
  <c r="A3660" i="1"/>
  <c r="F3659" i="1" a="1"/>
  <c r="F3659" i="1" s="1"/>
  <c r="E3659" i="1" a="1"/>
  <c r="E3659" i="1" s="1"/>
  <c r="D3659" i="1"/>
  <c r="C3659" i="1"/>
  <c r="B3659" i="1"/>
  <c r="A3659" i="1"/>
  <c r="F3658" i="1"/>
  <c r="F3658" i="1" a="1"/>
  <c r="E3658" i="1" a="1"/>
  <c r="E3658" i="1" s="1"/>
  <c r="D3658" i="1"/>
  <c r="C3658" i="1"/>
  <c r="B3658" i="1"/>
  <c r="A3658" i="1"/>
  <c r="F3657" i="1"/>
  <c r="F3657" i="1" a="1"/>
  <c r="E3657" i="1" a="1"/>
  <c r="E3657" i="1" s="1"/>
  <c r="D3657" i="1"/>
  <c r="C3657" i="1"/>
  <c r="B3657" i="1"/>
  <c r="A3657" i="1"/>
  <c r="F3656" i="1" a="1"/>
  <c r="F3656" i="1" s="1"/>
  <c r="E3656" i="1" a="1"/>
  <c r="E3656" i="1" s="1"/>
  <c r="D3656" i="1"/>
  <c r="C3656" i="1"/>
  <c r="B3656" i="1"/>
  <c r="A3656" i="1"/>
  <c r="F3655" i="1"/>
  <c r="F3655" i="1" a="1"/>
  <c r="E3655" i="1" a="1"/>
  <c r="E3655" i="1" s="1"/>
  <c r="D3655" i="1"/>
  <c r="C3655" i="1"/>
  <c r="B3655" i="1"/>
  <c r="A3655" i="1"/>
  <c r="F3654" i="1" a="1"/>
  <c r="F3654" i="1" s="1"/>
  <c r="E3654" i="1" a="1"/>
  <c r="E3654" i="1" s="1"/>
  <c r="D3654" i="1"/>
  <c r="C3654" i="1"/>
  <c r="B3654" i="1"/>
  <c r="A3654" i="1"/>
  <c r="F3653" i="1"/>
  <c r="F3653" i="1" a="1"/>
  <c r="E3653" i="1" a="1"/>
  <c r="E3653" i="1" s="1"/>
  <c r="D3653" i="1"/>
  <c r="C3653" i="1"/>
  <c r="B3653" i="1"/>
  <c r="A3653" i="1"/>
  <c r="F3652" i="1" a="1"/>
  <c r="F3652" i="1" s="1"/>
  <c r="E3652" i="1" a="1"/>
  <c r="E3652" i="1" s="1"/>
  <c r="D3652" i="1"/>
  <c r="C3652" i="1"/>
  <c r="B3652" i="1"/>
  <c r="A3652" i="1"/>
  <c r="F3651" i="1" a="1"/>
  <c r="F3651" i="1" s="1"/>
  <c r="E3651" i="1" a="1"/>
  <c r="E3651" i="1" s="1"/>
  <c r="D3651" i="1"/>
  <c r="C3651" i="1"/>
  <c r="B3651" i="1"/>
  <c r="A3651" i="1"/>
  <c r="F3650" i="1"/>
  <c r="F3650" i="1" a="1"/>
  <c r="E3650" i="1" a="1"/>
  <c r="E3650" i="1" s="1"/>
  <c r="D3650" i="1"/>
  <c r="C3650" i="1"/>
  <c r="B3650" i="1"/>
  <c r="A3650" i="1"/>
  <c r="F3649" i="1"/>
  <c r="F3649" i="1" a="1"/>
  <c r="E3649" i="1" a="1"/>
  <c r="E3649" i="1" s="1"/>
  <c r="D3649" i="1"/>
  <c r="C3649" i="1"/>
  <c r="B3649" i="1"/>
  <c r="A3649" i="1"/>
  <c r="F3648" i="1" a="1"/>
  <c r="F3648" i="1" s="1"/>
  <c r="E3648" i="1" a="1"/>
  <c r="E3648" i="1" s="1"/>
  <c r="D3648" i="1"/>
  <c r="C3648" i="1"/>
  <c r="B3648" i="1"/>
  <c r="A3648" i="1"/>
  <c r="F3647" i="1"/>
  <c r="F3647" i="1" a="1"/>
  <c r="E3647" i="1" a="1"/>
  <c r="E3647" i="1" s="1"/>
  <c r="D3647" i="1"/>
  <c r="C3647" i="1"/>
  <c r="B3647" i="1"/>
  <c r="A3647" i="1"/>
  <c r="F3646" i="1" a="1"/>
  <c r="F3646" i="1" s="1"/>
  <c r="E3646" i="1" a="1"/>
  <c r="E3646" i="1" s="1"/>
  <c r="D3646" i="1"/>
  <c r="C3646" i="1"/>
  <c r="B3646" i="1"/>
  <c r="A3646" i="1"/>
  <c r="F3645" i="1"/>
  <c r="F3645" i="1" a="1"/>
  <c r="E3645" i="1" a="1"/>
  <c r="E3645" i="1" s="1"/>
  <c r="D3645" i="1"/>
  <c r="C3645" i="1"/>
  <c r="B3645" i="1"/>
  <c r="A3645" i="1"/>
  <c r="F3644" i="1" a="1"/>
  <c r="F3644" i="1" s="1"/>
  <c r="E3644" i="1" a="1"/>
  <c r="E3644" i="1" s="1"/>
  <c r="D3644" i="1"/>
  <c r="C3644" i="1"/>
  <c r="B3644" i="1"/>
  <c r="A3644" i="1"/>
  <c r="F3643" i="1" a="1"/>
  <c r="F3643" i="1" s="1"/>
  <c r="E3643" i="1" a="1"/>
  <c r="E3643" i="1" s="1"/>
  <c r="D3643" i="1"/>
  <c r="C3643" i="1"/>
  <c r="B3643" i="1"/>
  <c r="A3643" i="1"/>
  <c r="F3642" i="1"/>
  <c r="F3642" i="1" a="1"/>
  <c r="E3642" i="1" a="1"/>
  <c r="E3642" i="1" s="1"/>
  <c r="D3642" i="1"/>
  <c r="C3642" i="1"/>
  <c r="B3642" i="1"/>
  <c r="A3642" i="1"/>
  <c r="F3641" i="1"/>
  <c r="F3641" i="1" a="1"/>
  <c r="E3641" i="1" a="1"/>
  <c r="E3641" i="1" s="1"/>
  <c r="D3641" i="1"/>
  <c r="C3641" i="1"/>
  <c r="B3641" i="1"/>
  <c r="A3641" i="1"/>
  <c r="F3640" i="1" a="1"/>
  <c r="F3640" i="1" s="1"/>
  <c r="E3640" i="1" a="1"/>
  <c r="E3640" i="1" s="1"/>
  <c r="D3640" i="1"/>
  <c r="C3640" i="1"/>
  <c r="B3640" i="1"/>
  <c r="A3640" i="1"/>
  <c r="F3639" i="1"/>
  <c r="F3639" i="1" a="1"/>
  <c r="E3639" i="1" a="1"/>
  <c r="E3639" i="1" s="1"/>
  <c r="D3639" i="1"/>
  <c r="C3639" i="1"/>
  <c r="B3639" i="1"/>
  <c r="A3639" i="1"/>
  <c r="F3638" i="1" a="1"/>
  <c r="F3638" i="1" s="1"/>
  <c r="E3638" i="1" a="1"/>
  <c r="E3638" i="1" s="1"/>
  <c r="D3638" i="1"/>
  <c r="C3638" i="1"/>
  <c r="B3638" i="1"/>
  <c r="A3638" i="1"/>
  <c r="F3637" i="1"/>
  <c r="F3637" i="1" a="1"/>
  <c r="E3637" i="1" a="1"/>
  <c r="E3637" i="1" s="1"/>
  <c r="D3637" i="1"/>
  <c r="C3637" i="1"/>
  <c r="B3637" i="1"/>
  <c r="A3637" i="1"/>
  <c r="F3636" i="1" a="1"/>
  <c r="F3636" i="1" s="1"/>
  <c r="E3636" i="1" a="1"/>
  <c r="E3636" i="1" s="1"/>
  <c r="D3636" i="1"/>
  <c r="C3636" i="1"/>
  <c r="B3636" i="1"/>
  <c r="A3636" i="1"/>
  <c r="F3635" i="1" a="1"/>
  <c r="F3635" i="1" s="1"/>
  <c r="E3635" i="1" a="1"/>
  <c r="E3635" i="1" s="1"/>
  <c r="D3635" i="1"/>
  <c r="C3635" i="1"/>
  <c r="B3635" i="1"/>
  <c r="A3635" i="1"/>
  <c r="F3634" i="1"/>
  <c r="F3634" i="1" a="1"/>
  <c r="E3634" i="1" a="1"/>
  <c r="E3634" i="1" s="1"/>
  <c r="D3634" i="1"/>
  <c r="C3634" i="1"/>
  <c r="B3634" i="1"/>
  <c r="A3634" i="1"/>
  <c r="F3633" i="1"/>
  <c r="F3633" i="1" a="1"/>
  <c r="E3633" i="1" a="1"/>
  <c r="E3633" i="1" s="1"/>
  <c r="D3633" i="1"/>
  <c r="C3633" i="1"/>
  <c r="B3633" i="1"/>
  <c r="A3633" i="1"/>
  <c r="F3632" i="1" a="1"/>
  <c r="F3632" i="1" s="1"/>
  <c r="E3632" i="1" a="1"/>
  <c r="E3632" i="1" s="1"/>
  <c r="D3632" i="1"/>
  <c r="C3632" i="1"/>
  <c r="B3632" i="1"/>
  <c r="A3632" i="1"/>
  <c r="F3631" i="1"/>
  <c r="F3631" i="1" a="1"/>
  <c r="E3631" i="1" a="1"/>
  <c r="E3631" i="1" s="1"/>
  <c r="D3631" i="1"/>
  <c r="C3631" i="1"/>
  <c r="B3631" i="1"/>
  <c r="A3631" i="1"/>
  <c r="F3630" i="1" a="1"/>
  <c r="F3630" i="1" s="1"/>
  <c r="E3630" i="1" a="1"/>
  <c r="E3630" i="1" s="1"/>
  <c r="D3630" i="1"/>
  <c r="C3630" i="1"/>
  <c r="B3630" i="1"/>
  <c r="A3630" i="1"/>
  <c r="F3629" i="1"/>
  <c r="F3629" i="1" a="1"/>
  <c r="E3629" i="1" a="1"/>
  <c r="E3629" i="1" s="1"/>
  <c r="D3629" i="1"/>
  <c r="C3629" i="1"/>
  <c r="B3629" i="1"/>
  <c r="A3629" i="1"/>
  <c r="F3628" i="1" a="1"/>
  <c r="F3628" i="1" s="1"/>
  <c r="E3628" i="1" a="1"/>
  <c r="E3628" i="1" s="1"/>
  <c r="D3628" i="1"/>
  <c r="C3628" i="1"/>
  <c r="B3628" i="1"/>
  <c r="A3628" i="1"/>
  <c r="F3627" i="1" a="1"/>
  <c r="F3627" i="1" s="1"/>
  <c r="E3627" i="1" a="1"/>
  <c r="E3627" i="1" s="1"/>
  <c r="D3627" i="1"/>
  <c r="C3627" i="1"/>
  <c r="B3627" i="1"/>
  <c r="A3627" i="1"/>
  <c r="F3626" i="1"/>
  <c r="F3626" i="1" a="1"/>
  <c r="E3626" i="1" a="1"/>
  <c r="E3626" i="1" s="1"/>
  <c r="D3626" i="1"/>
  <c r="C3626" i="1"/>
  <c r="B3626" i="1"/>
  <c r="A3626" i="1"/>
  <c r="F3625" i="1"/>
  <c r="F3625" i="1" a="1"/>
  <c r="E3625" i="1" a="1"/>
  <c r="E3625" i="1" s="1"/>
  <c r="D3625" i="1"/>
  <c r="C3625" i="1"/>
  <c r="B3625" i="1"/>
  <c r="A3625" i="1"/>
  <c r="F3624" i="1" a="1"/>
  <c r="F3624" i="1" s="1"/>
  <c r="E3624" i="1" a="1"/>
  <c r="E3624" i="1" s="1"/>
  <c r="D3624" i="1"/>
  <c r="C3624" i="1"/>
  <c r="B3624" i="1"/>
  <c r="A3624" i="1"/>
  <c r="F3623" i="1"/>
  <c r="F3623" i="1" a="1"/>
  <c r="E3623" i="1" a="1"/>
  <c r="E3623" i="1" s="1"/>
  <c r="D3623" i="1"/>
  <c r="C3623" i="1"/>
  <c r="B3623" i="1"/>
  <c r="A3623" i="1"/>
  <c r="F3622" i="1" a="1"/>
  <c r="F3622" i="1" s="1"/>
  <c r="E3622" i="1" a="1"/>
  <c r="E3622" i="1" s="1"/>
  <c r="D3622" i="1"/>
  <c r="C3622" i="1"/>
  <c r="B3622" i="1"/>
  <c r="A3622" i="1"/>
  <c r="F3621" i="1"/>
  <c r="F3621" i="1" a="1"/>
  <c r="E3621" i="1" a="1"/>
  <c r="E3621" i="1" s="1"/>
  <c r="D3621" i="1"/>
  <c r="C3621" i="1"/>
  <c r="B3621" i="1"/>
  <c r="A3621" i="1"/>
  <c r="F3620" i="1" a="1"/>
  <c r="F3620" i="1" s="1"/>
  <c r="E3620" i="1" a="1"/>
  <c r="E3620" i="1" s="1"/>
  <c r="D3620" i="1"/>
  <c r="C3620" i="1"/>
  <c r="B3620" i="1"/>
  <c r="A3620" i="1"/>
  <c r="F3619" i="1" a="1"/>
  <c r="F3619" i="1" s="1"/>
  <c r="E3619" i="1" a="1"/>
  <c r="E3619" i="1" s="1"/>
  <c r="D3619" i="1"/>
  <c r="C3619" i="1"/>
  <c r="B3619" i="1"/>
  <c r="A3619" i="1"/>
  <c r="F3618" i="1" a="1"/>
  <c r="F3618" i="1" s="1"/>
  <c r="E3618" i="1" a="1"/>
  <c r="E3618" i="1" s="1"/>
  <c r="D3618" i="1"/>
  <c r="C3618" i="1"/>
  <c r="B3618" i="1"/>
  <c r="A3618" i="1"/>
  <c r="F3617" i="1"/>
  <c r="F3617" i="1" a="1"/>
  <c r="E3617" i="1" a="1"/>
  <c r="E3617" i="1" s="1"/>
  <c r="D3617" i="1"/>
  <c r="C3617" i="1"/>
  <c r="B3617" i="1"/>
  <c r="A3617" i="1"/>
  <c r="F3616" i="1" a="1"/>
  <c r="F3616" i="1" s="1"/>
  <c r="E3616" i="1" a="1"/>
  <c r="E3616" i="1" s="1"/>
  <c r="D3616" i="1"/>
  <c r="C3616" i="1"/>
  <c r="B3616" i="1"/>
  <c r="A3616" i="1"/>
  <c r="F3615" i="1"/>
  <c r="F3615" i="1" a="1"/>
  <c r="E3615" i="1" a="1"/>
  <c r="E3615" i="1" s="1"/>
  <c r="D3615" i="1"/>
  <c r="C3615" i="1"/>
  <c r="B3615" i="1"/>
  <c r="A3615" i="1"/>
  <c r="F3614" i="1" a="1"/>
  <c r="F3614" i="1" s="1"/>
  <c r="E3614" i="1" a="1"/>
  <c r="E3614" i="1" s="1"/>
  <c r="D3614" i="1"/>
  <c r="C3614" i="1"/>
  <c r="B3614" i="1"/>
  <c r="A3614" i="1"/>
  <c r="F3613" i="1"/>
  <c r="F3613" i="1" a="1"/>
  <c r="E3613" i="1" a="1"/>
  <c r="E3613" i="1" s="1"/>
  <c r="D3613" i="1"/>
  <c r="C3613" i="1"/>
  <c r="B3613" i="1"/>
  <c r="A3613" i="1"/>
  <c r="F3612" i="1" a="1"/>
  <c r="F3612" i="1" s="1"/>
  <c r="E3612" i="1" a="1"/>
  <c r="E3612" i="1" s="1"/>
  <c r="D3612" i="1"/>
  <c r="C3612" i="1"/>
  <c r="B3612" i="1"/>
  <c r="A3612" i="1"/>
  <c r="F3611" i="1"/>
  <c r="F3611" i="1" a="1"/>
  <c r="E3611" i="1" a="1"/>
  <c r="E3611" i="1" s="1"/>
  <c r="D3611" i="1"/>
  <c r="C3611" i="1"/>
  <c r="B3611" i="1"/>
  <c r="A3611" i="1"/>
  <c r="F3610" i="1" a="1"/>
  <c r="F3610" i="1" s="1"/>
  <c r="E3610" i="1" a="1"/>
  <c r="E3610" i="1" s="1"/>
  <c r="D3610" i="1"/>
  <c r="C3610" i="1"/>
  <c r="B3610" i="1"/>
  <c r="A3610" i="1"/>
  <c r="F3609" i="1"/>
  <c r="F3609" i="1" a="1"/>
  <c r="E3609" i="1" a="1"/>
  <c r="E3609" i="1" s="1"/>
  <c r="D3609" i="1"/>
  <c r="C3609" i="1"/>
  <c r="B3609" i="1"/>
  <c r="A3609" i="1"/>
  <c r="F3608" i="1" a="1"/>
  <c r="F3608" i="1" s="1"/>
  <c r="E3608" i="1" a="1"/>
  <c r="E3608" i="1" s="1"/>
  <c r="D3608" i="1"/>
  <c r="C3608" i="1"/>
  <c r="B3608" i="1"/>
  <c r="A3608" i="1"/>
  <c r="F3607" i="1"/>
  <c r="F3607" i="1" a="1"/>
  <c r="E3607" i="1" a="1"/>
  <c r="E3607" i="1" s="1"/>
  <c r="D3607" i="1"/>
  <c r="C3607" i="1"/>
  <c r="B3607" i="1"/>
  <c r="A3607" i="1"/>
  <c r="F3606" i="1" a="1"/>
  <c r="F3606" i="1" s="1"/>
  <c r="E3606" i="1" a="1"/>
  <c r="E3606" i="1" s="1"/>
  <c r="D3606" i="1"/>
  <c r="C3606" i="1"/>
  <c r="B3606" i="1"/>
  <c r="A3606" i="1"/>
  <c r="F3605" i="1"/>
  <c r="F3605" i="1" a="1"/>
  <c r="E3605" i="1" a="1"/>
  <c r="E3605" i="1" s="1"/>
  <c r="D3605" i="1"/>
  <c r="C3605" i="1"/>
  <c r="B3605" i="1"/>
  <c r="A3605" i="1"/>
  <c r="F3604" i="1" a="1"/>
  <c r="F3604" i="1" s="1"/>
  <c r="E3604" i="1" a="1"/>
  <c r="E3604" i="1" s="1"/>
  <c r="D3604" i="1"/>
  <c r="C3604" i="1"/>
  <c r="B3604" i="1"/>
  <c r="A3604" i="1"/>
  <c r="F3603" i="1"/>
  <c r="F3603" i="1" a="1"/>
  <c r="E3603" i="1" a="1"/>
  <c r="E3603" i="1" s="1"/>
  <c r="D3603" i="1"/>
  <c r="C3603" i="1"/>
  <c r="B3603" i="1"/>
  <c r="A3603" i="1"/>
  <c r="F3602" i="1" a="1"/>
  <c r="F3602" i="1" s="1"/>
  <c r="E3602" i="1" a="1"/>
  <c r="E3602" i="1" s="1"/>
  <c r="D3602" i="1"/>
  <c r="C3602" i="1"/>
  <c r="B3602" i="1"/>
  <c r="A3602" i="1"/>
  <c r="F3601" i="1"/>
  <c r="F3601" i="1" a="1"/>
  <c r="E3601" i="1" a="1"/>
  <c r="E3601" i="1" s="1"/>
  <c r="D3601" i="1"/>
  <c r="C3601" i="1"/>
  <c r="B3601" i="1"/>
  <c r="A3601" i="1"/>
  <c r="F3600" i="1" a="1"/>
  <c r="F3600" i="1" s="1"/>
  <c r="E3600" i="1" a="1"/>
  <c r="E3600" i="1" s="1"/>
  <c r="D3600" i="1"/>
  <c r="C3600" i="1"/>
  <c r="B3600" i="1"/>
  <c r="A3600" i="1"/>
  <c r="F3599" i="1"/>
  <c r="F3599" i="1" a="1"/>
  <c r="E3599" i="1" a="1"/>
  <c r="E3599" i="1" s="1"/>
  <c r="D3599" i="1"/>
  <c r="C3599" i="1"/>
  <c r="B3599" i="1"/>
  <c r="A3599" i="1"/>
  <c r="F3598" i="1" a="1"/>
  <c r="F3598" i="1" s="1"/>
  <c r="E3598" i="1" a="1"/>
  <c r="E3598" i="1" s="1"/>
  <c r="D3598" i="1"/>
  <c r="C3598" i="1"/>
  <c r="B3598" i="1"/>
  <c r="A3598" i="1"/>
  <c r="F3597" i="1"/>
  <c r="F3597" i="1" a="1"/>
  <c r="E3597" i="1" a="1"/>
  <c r="E3597" i="1" s="1"/>
  <c r="D3597" i="1"/>
  <c r="C3597" i="1"/>
  <c r="B3597" i="1"/>
  <c r="A3597" i="1"/>
  <c r="F3596" i="1" a="1"/>
  <c r="F3596" i="1" s="1"/>
  <c r="E3596" i="1" a="1"/>
  <c r="E3596" i="1" s="1"/>
  <c r="D3596" i="1"/>
  <c r="C3596" i="1"/>
  <c r="B3596" i="1"/>
  <c r="A3596" i="1"/>
  <c r="F3595" i="1"/>
  <c r="F3595" i="1" a="1"/>
  <c r="E3595" i="1" a="1"/>
  <c r="E3595" i="1" s="1"/>
  <c r="D3595" i="1"/>
  <c r="C3595" i="1"/>
  <c r="B3595" i="1"/>
  <c r="A3595" i="1"/>
  <c r="F3594" i="1" a="1"/>
  <c r="F3594" i="1" s="1"/>
  <c r="E3594" i="1" a="1"/>
  <c r="E3594" i="1" s="1"/>
  <c r="D3594" i="1"/>
  <c r="C3594" i="1"/>
  <c r="B3594" i="1"/>
  <c r="A3594" i="1"/>
  <c r="F3593" i="1"/>
  <c r="F3593" i="1" a="1"/>
  <c r="E3593" i="1" a="1"/>
  <c r="E3593" i="1" s="1"/>
  <c r="D3593" i="1"/>
  <c r="C3593" i="1"/>
  <c r="B3593" i="1"/>
  <c r="A3593" i="1"/>
  <c r="F3592" i="1" a="1"/>
  <c r="F3592" i="1" s="1"/>
  <c r="E3592" i="1" a="1"/>
  <c r="E3592" i="1" s="1"/>
  <c r="D3592" i="1"/>
  <c r="C3592" i="1"/>
  <c r="B3592" i="1"/>
  <c r="A3592" i="1"/>
  <c r="F3591" i="1"/>
  <c r="F3591" i="1" a="1"/>
  <c r="E3591" i="1" a="1"/>
  <c r="E3591" i="1" s="1"/>
  <c r="D3591" i="1"/>
  <c r="C3591" i="1"/>
  <c r="B3591" i="1"/>
  <c r="A3591" i="1"/>
  <c r="F3590" i="1" a="1"/>
  <c r="F3590" i="1" s="1"/>
  <c r="E3590" i="1" a="1"/>
  <c r="E3590" i="1" s="1"/>
  <c r="D3590" i="1"/>
  <c r="C3590" i="1"/>
  <c r="B3590" i="1"/>
  <c r="A3590" i="1"/>
  <c r="F3589" i="1"/>
  <c r="F3589" i="1" a="1"/>
  <c r="E3589" i="1" a="1"/>
  <c r="E3589" i="1" s="1"/>
  <c r="D3589" i="1"/>
  <c r="C3589" i="1"/>
  <c r="B3589" i="1"/>
  <c r="A3589" i="1"/>
  <c r="F3588" i="1" a="1"/>
  <c r="F3588" i="1" s="1"/>
  <c r="E3588" i="1" a="1"/>
  <c r="E3588" i="1" s="1"/>
  <c r="D3588" i="1"/>
  <c r="C3588" i="1"/>
  <c r="B3588" i="1"/>
  <c r="A3588" i="1"/>
  <c r="F3587" i="1"/>
  <c r="F3587" i="1" a="1"/>
  <c r="E3587" i="1" a="1"/>
  <c r="E3587" i="1" s="1"/>
  <c r="D3587" i="1"/>
  <c r="C3587" i="1"/>
  <c r="B3587" i="1"/>
  <c r="A3587" i="1"/>
  <c r="F3586" i="1" a="1"/>
  <c r="F3586" i="1" s="1"/>
  <c r="E3586" i="1" a="1"/>
  <c r="E3586" i="1" s="1"/>
  <c r="D3586" i="1"/>
  <c r="C3586" i="1"/>
  <c r="B3586" i="1"/>
  <c r="A3586" i="1"/>
  <c r="F3585" i="1"/>
  <c r="F3585" i="1" a="1"/>
  <c r="E3585" i="1" a="1"/>
  <c r="E3585" i="1" s="1"/>
  <c r="D3585" i="1"/>
  <c r="C3585" i="1"/>
  <c r="B3585" i="1"/>
  <c r="A3585" i="1"/>
  <c r="F3584" i="1" a="1"/>
  <c r="F3584" i="1" s="1"/>
  <c r="E3584" i="1" a="1"/>
  <c r="E3584" i="1" s="1"/>
  <c r="D3584" i="1"/>
  <c r="C3584" i="1"/>
  <c r="B3584" i="1"/>
  <c r="A3584" i="1"/>
  <c r="F3583" i="1"/>
  <c r="F3583" i="1" a="1"/>
  <c r="E3583" i="1" a="1"/>
  <c r="E3583" i="1" s="1"/>
  <c r="D3583" i="1"/>
  <c r="C3583" i="1"/>
  <c r="B3583" i="1"/>
  <c r="A3583" i="1"/>
  <c r="F3582" i="1" a="1"/>
  <c r="F3582" i="1" s="1"/>
  <c r="E3582" i="1" a="1"/>
  <c r="E3582" i="1" s="1"/>
  <c r="D3582" i="1"/>
  <c r="C3582" i="1"/>
  <c r="B3582" i="1"/>
  <c r="A3582" i="1"/>
  <c r="F3581" i="1"/>
  <c r="F3581" i="1" a="1"/>
  <c r="E3581" i="1" a="1"/>
  <c r="E3581" i="1" s="1"/>
  <c r="D3581" i="1"/>
  <c r="C3581" i="1"/>
  <c r="B3581" i="1"/>
  <c r="A3581" i="1"/>
  <c r="F3580" i="1" a="1"/>
  <c r="F3580" i="1" s="1"/>
  <c r="E3580" i="1" a="1"/>
  <c r="E3580" i="1" s="1"/>
  <c r="D3580" i="1"/>
  <c r="C3580" i="1"/>
  <c r="B3580" i="1"/>
  <c r="A3580" i="1"/>
  <c r="F3579" i="1"/>
  <c r="F3579" i="1" a="1"/>
  <c r="E3579" i="1" a="1"/>
  <c r="E3579" i="1" s="1"/>
  <c r="D3579" i="1"/>
  <c r="C3579" i="1"/>
  <c r="B3579" i="1"/>
  <c r="A3579" i="1"/>
  <c r="F3578" i="1" a="1"/>
  <c r="F3578" i="1" s="1"/>
  <c r="E3578" i="1" a="1"/>
  <c r="E3578" i="1" s="1"/>
  <c r="D3578" i="1"/>
  <c r="C3578" i="1"/>
  <c r="B3578" i="1"/>
  <c r="A3578" i="1"/>
  <c r="F3577" i="1"/>
  <c r="F3577" i="1" a="1"/>
  <c r="E3577" i="1" a="1"/>
  <c r="E3577" i="1" s="1"/>
  <c r="D3577" i="1"/>
  <c r="C3577" i="1"/>
  <c r="B3577" i="1"/>
  <c r="A3577" i="1"/>
  <c r="F3576" i="1" a="1"/>
  <c r="F3576" i="1" s="1"/>
  <c r="E3576" i="1" a="1"/>
  <c r="E3576" i="1" s="1"/>
  <c r="D3576" i="1"/>
  <c r="C3576" i="1"/>
  <c r="B3576" i="1"/>
  <c r="A3576" i="1"/>
  <c r="F3575" i="1"/>
  <c r="F3575" i="1" a="1"/>
  <c r="E3575" i="1" a="1"/>
  <c r="E3575" i="1" s="1"/>
  <c r="D3575" i="1"/>
  <c r="C3575" i="1"/>
  <c r="B3575" i="1"/>
  <c r="A3575" i="1"/>
  <c r="F3574" i="1" a="1"/>
  <c r="F3574" i="1" s="1"/>
  <c r="E3574" i="1" a="1"/>
  <c r="E3574" i="1" s="1"/>
  <c r="D3574" i="1"/>
  <c r="C3574" i="1"/>
  <c r="B3574" i="1"/>
  <c r="A3574" i="1"/>
  <c r="F3573" i="1"/>
  <c r="F3573" i="1" a="1"/>
  <c r="E3573" i="1" a="1"/>
  <c r="E3573" i="1" s="1"/>
  <c r="D3573" i="1"/>
  <c r="C3573" i="1"/>
  <c r="B3573" i="1"/>
  <c r="A3573" i="1"/>
  <c r="F3572" i="1" a="1"/>
  <c r="F3572" i="1" s="1"/>
  <c r="E3572" i="1" a="1"/>
  <c r="E3572" i="1" s="1"/>
  <c r="D3572" i="1"/>
  <c r="C3572" i="1"/>
  <c r="B3572" i="1"/>
  <c r="A3572" i="1"/>
  <c r="F3571" i="1"/>
  <c r="F3571" i="1" a="1"/>
  <c r="E3571" i="1" a="1"/>
  <c r="E3571" i="1" s="1"/>
  <c r="D3571" i="1"/>
  <c r="C3571" i="1"/>
  <c r="B3571" i="1"/>
  <c r="A3571" i="1"/>
  <c r="F3570" i="1" a="1"/>
  <c r="F3570" i="1" s="1"/>
  <c r="E3570" i="1" a="1"/>
  <c r="E3570" i="1" s="1"/>
  <c r="D3570" i="1"/>
  <c r="C3570" i="1"/>
  <c r="B3570" i="1"/>
  <c r="A3570" i="1"/>
  <c r="F3569" i="1"/>
  <c r="F3569" i="1" a="1"/>
  <c r="E3569" i="1" a="1"/>
  <c r="E3569" i="1" s="1"/>
  <c r="D3569" i="1"/>
  <c r="C3569" i="1"/>
  <c r="B3569" i="1"/>
  <c r="A3569" i="1"/>
  <c r="F3568" i="1" a="1"/>
  <c r="F3568" i="1" s="1"/>
  <c r="E3568" i="1" a="1"/>
  <c r="E3568" i="1" s="1"/>
  <c r="D3568" i="1"/>
  <c r="C3568" i="1"/>
  <c r="B3568" i="1"/>
  <c r="A3568" i="1"/>
  <c r="F3567" i="1"/>
  <c r="F3567" i="1" a="1"/>
  <c r="E3567" i="1" a="1"/>
  <c r="E3567" i="1" s="1"/>
  <c r="D3567" i="1"/>
  <c r="C3567" i="1"/>
  <c r="B3567" i="1"/>
  <c r="A3567" i="1"/>
  <c r="F3566" i="1" a="1"/>
  <c r="F3566" i="1" s="1"/>
  <c r="E3566" i="1" a="1"/>
  <c r="E3566" i="1" s="1"/>
  <c r="D3566" i="1"/>
  <c r="C3566" i="1"/>
  <c r="B3566" i="1"/>
  <c r="A3566" i="1"/>
  <c r="F3565" i="1"/>
  <c r="F3565" i="1" a="1"/>
  <c r="E3565" i="1" a="1"/>
  <c r="E3565" i="1" s="1"/>
  <c r="D3565" i="1"/>
  <c r="C3565" i="1"/>
  <c r="B3565" i="1"/>
  <c r="A3565" i="1"/>
  <c r="F3564" i="1" a="1"/>
  <c r="F3564" i="1" s="1"/>
  <c r="E3564" i="1" a="1"/>
  <c r="E3564" i="1" s="1"/>
  <c r="D3564" i="1"/>
  <c r="C3564" i="1"/>
  <c r="B3564" i="1"/>
  <c r="A3564" i="1"/>
  <c r="F3563" i="1"/>
  <c r="F3563" i="1" a="1"/>
  <c r="E3563" i="1" a="1"/>
  <c r="E3563" i="1" s="1"/>
  <c r="D3563" i="1"/>
  <c r="C3563" i="1"/>
  <c r="B3563" i="1"/>
  <c r="A3563" i="1"/>
  <c r="F3562" i="1" a="1"/>
  <c r="F3562" i="1" s="1"/>
  <c r="E3562" i="1" a="1"/>
  <c r="E3562" i="1" s="1"/>
  <c r="D3562" i="1"/>
  <c r="C3562" i="1"/>
  <c r="B3562" i="1"/>
  <c r="A3562" i="1"/>
  <c r="F3561" i="1"/>
  <c r="F3561" i="1" a="1"/>
  <c r="E3561" i="1" a="1"/>
  <c r="E3561" i="1" s="1"/>
  <c r="D3561" i="1"/>
  <c r="C3561" i="1"/>
  <c r="B3561" i="1"/>
  <c r="A3561" i="1"/>
  <c r="F3560" i="1" a="1"/>
  <c r="F3560" i="1" s="1"/>
  <c r="E3560" i="1" a="1"/>
  <c r="E3560" i="1" s="1"/>
  <c r="D3560" i="1"/>
  <c r="C3560" i="1"/>
  <c r="B3560" i="1"/>
  <c r="A3560" i="1"/>
  <c r="F3559" i="1"/>
  <c r="F3559" i="1" a="1"/>
  <c r="E3559" i="1" a="1"/>
  <c r="E3559" i="1" s="1"/>
  <c r="D3559" i="1"/>
  <c r="C3559" i="1"/>
  <c r="B3559" i="1"/>
  <c r="A3559" i="1"/>
  <c r="F3558" i="1" a="1"/>
  <c r="F3558" i="1" s="1"/>
  <c r="E3558" i="1" a="1"/>
  <c r="E3558" i="1" s="1"/>
  <c r="D3558" i="1"/>
  <c r="C3558" i="1"/>
  <c r="B3558" i="1"/>
  <c r="A3558" i="1"/>
  <c r="F3557" i="1"/>
  <c r="F3557" i="1" a="1"/>
  <c r="E3557" i="1" a="1"/>
  <c r="E3557" i="1" s="1"/>
  <c r="D3557" i="1"/>
  <c r="C3557" i="1"/>
  <c r="B3557" i="1"/>
  <c r="A3557" i="1"/>
  <c r="F3556" i="1" a="1"/>
  <c r="F3556" i="1" s="1"/>
  <c r="E3556" i="1" a="1"/>
  <c r="E3556" i="1" s="1"/>
  <c r="D3556" i="1"/>
  <c r="C3556" i="1"/>
  <c r="B3556" i="1"/>
  <c r="A3556" i="1"/>
  <c r="F3555" i="1"/>
  <c r="F3555" i="1" a="1"/>
  <c r="E3555" i="1" a="1"/>
  <c r="E3555" i="1" s="1"/>
  <c r="D3555" i="1"/>
  <c r="C3555" i="1"/>
  <c r="B3555" i="1"/>
  <c r="A3555" i="1"/>
  <c r="F3554" i="1" a="1"/>
  <c r="F3554" i="1" s="1"/>
  <c r="E3554" i="1" a="1"/>
  <c r="E3554" i="1" s="1"/>
  <c r="D3554" i="1"/>
  <c r="C3554" i="1"/>
  <c r="B3554" i="1"/>
  <c r="A3554" i="1"/>
  <c r="F3553" i="1"/>
  <c r="F3553" i="1" a="1"/>
  <c r="E3553" i="1" a="1"/>
  <c r="E3553" i="1" s="1"/>
  <c r="D3553" i="1"/>
  <c r="C3553" i="1"/>
  <c r="B3553" i="1"/>
  <c r="A3553" i="1"/>
  <c r="F3552" i="1" a="1"/>
  <c r="F3552" i="1" s="1"/>
  <c r="E3552" i="1" a="1"/>
  <c r="E3552" i="1" s="1"/>
  <c r="D3552" i="1"/>
  <c r="C3552" i="1"/>
  <c r="B3552" i="1"/>
  <c r="A3552" i="1"/>
  <c r="F3551" i="1"/>
  <c r="F3551" i="1" a="1"/>
  <c r="E3551" i="1" a="1"/>
  <c r="E3551" i="1" s="1"/>
  <c r="D3551" i="1"/>
  <c r="C3551" i="1"/>
  <c r="B3551" i="1"/>
  <c r="A3551" i="1"/>
  <c r="F3550" i="1" a="1"/>
  <c r="F3550" i="1" s="1"/>
  <c r="E3550" i="1" a="1"/>
  <c r="E3550" i="1" s="1"/>
  <c r="D3550" i="1"/>
  <c r="C3550" i="1"/>
  <c r="B3550" i="1"/>
  <c r="A3550" i="1"/>
  <c r="F3549" i="1"/>
  <c r="F3549" i="1" a="1"/>
  <c r="E3549" i="1" a="1"/>
  <c r="E3549" i="1" s="1"/>
  <c r="D3549" i="1"/>
  <c r="C3549" i="1"/>
  <c r="B3549" i="1"/>
  <c r="A3549" i="1"/>
  <c r="F3548" i="1" a="1"/>
  <c r="F3548" i="1" s="1"/>
  <c r="E3548" i="1" a="1"/>
  <c r="E3548" i="1" s="1"/>
  <c r="D3548" i="1"/>
  <c r="C3548" i="1"/>
  <c r="B3548" i="1"/>
  <c r="A3548" i="1"/>
  <c r="F3547" i="1"/>
  <c r="F3547" i="1" a="1"/>
  <c r="E3547" i="1" a="1"/>
  <c r="E3547" i="1" s="1"/>
  <c r="D3547" i="1"/>
  <c r="C3547" i="1"/>
  <c r="B3547" i="1"/>
  <c r="A3547" i="1"/>
  <c r="F3546" i="1" a="1"/>
  <c r="F3546" i="1" s="1"/>
  <c r="E3546" i="1" a="1"/>
  <c r="E3546" i="1" s="1"/>
  <c r="D3546" i="1"/>
  <c r="C3546" i="1"/>
  <c r="B3546" i="1"/>
  <c r="A3546" i="1"/>
  <c r="F3545" i="1"/>
  <c r="F3545" i="1" a="1"/>
  <c r="E3545" i="1" a="1"/>
  <c r="E3545" i="1" s="1"/>
  <c r="D3545" i="1"/>
  <c r="C3545" i="1"/>
  <c r="B3545" i="1"/>
  <c r="A3545" i="1"/>
  <c r="F3544" i="1" a="1"/>
  <c r="F3544" i="1" s="1"/>
  <c r="E3544" i="1" a="1"/>
  <c r="E3544" i="1" s="1"/>
  <c r="D3544" i="1"/>
  <c r="C3544" i="1"/>
  <c r="B3544" i="1"/>
  <c r="A3544" i="1"/>
  <c r="F3543" i="1"/>
  <c r="F3543" i="1" a="1"/>
  <c r="E3543" i="1" a="1"/>
  <c r="E3543" i="1" s="1"/>
  <c r="D3543" i="1"/>
  <c r="C3543" i="1"/>
  <c r="B3543" i="1"/>
  <c r="A3543" i="1"/>
  <c r="F3542" i="1" a="1"/>
  <c r="F3542" i="1" s="1"/>
  <c r="E3542" i="1" a="1"/>
  <c r="E3542" i="1" s="1"/>
  <c r="D3542" i="1"/>
  <c r="C3542" i="1"/>
  <c r="B3542" i="1"/>
  <c r="A3542" i="1"/>
  <c r="F3541" i="1"/>
  <c r="F3541" i="1" a="1"/>
  <c r="E3541" i="1" a="1"/>
  <c r="E3541" i="1" s="1"/>
  <c r="D3541" i="1"/>
  <c r="C3541" i="1"/>
  <c r="B3541" i="1"/>
  <c r="A3541" i="1"/>
  <c r="F3540" i="1" a="1"/>
  <c r="F3540" i="1" s="1"/>
  <c r="E3540" i="1" a="1"/>
  <c r="E3540" i="1" s="1"/>
  <c r="D3540" i="1"/>
  <c r="C3540" i="1"/>
  <c r="B3540" i="1"/>
  <c r="A3540" i="1"/>
  <c r="F3539" i="1"/>
  <c r="F3539" i="1" a="1"/>
  <c r="E3539" i="1" a="1"/>
  <c r="E3539" i="1" s="1"/>
  <c r="D3539" i="1"/>
  <c r="C3539" i="1"/>
  <c r="B3539" i="1"/>
  <c r="A3539" i="1"/>
  <c r="F3538" i="1" a="1"/>
  <c r="F3538" i="1" s="1"/>
  <c r="E3538" i="1" a="1"/>
  <c r="E3538" i="1" s="1"/>
  <c r="D3538" i="1"/>
  <c r="C3538" i="1"/>
  <c r="B3538" i="1"/>
  <c r="A3538" i="1"/>
  <c r="F3537" i="1"/>
  <c r="F3537" i="1" a="1"/>
  <c r="E3537" i="1" a="1"/>
  <c r="E3537" i="1" s="1"/>
  <c r="D3537" i="1"/>
  <c r="C3537" i="1"/>
  <c r="B3537" i="1"/>
  <c r="A3537" i="1"/>
  <c r="F3536" i="1" a="1"/>
  <c r="F3536" i="1" s="1"/>
  <c r="E3536" i="1" a="1"/>
  <c r="E3536" i="1" s="1"/>
  <c r="D3536" i="1"/>
  <c r="C3536" i="1"/>
  <c r="B3536" i="1"/>
  <c r="A3536" i="1"/>
  <c r="F3535" i="1"/>
  <c r="F3535" i="1" a="1"/>
  <c r="E3535" i="1" a="1"/>
  <c r="E3535" i="1" s="1"/>
  <c r="D3535" i="1"/>
  <c r="C3535" i="1"/>
  <c r="B3535" i="1"/>
  <c r="A3535" i="1"/>
  <c r="F3534" i="1" a="1"/>
  <c r="F3534" i="1" s="1"/>
  <c r="E3534" i="1" a="1"/>
  <c r="E3534" i="1" s="1"/>
  <c r="D3534" i="1"/>
  <c r="C3534" i="1"/>
  <c r="B3534" i="1"/>
  <c r="A3534" i="1"/>
  <c r="F3533" i="1"/>
  <c r="F3533" i="1" a="1"/>
  <c r="E3533" i="1" a="1"/>
  <c r="E3533" i="1" s="1"/>
  <c r="D3533" i="1"/>
  <c r="C3533" i="1"/>
  <c r="B3533" i="1"/>
  <c r="A3533" i="1"/>
  <c r="F3532" i="1" a="1"/>
  <c r="F3532" i="1" s="1"/>
  <c r="E3532" i="1" a="1"/>
  <c r="E3532" i="1" s="1"/>
  <c r="D3532" i="1"/>
  <c r="C3532" i="1"/>
  <c r="B3532" i="1"/>
  <c r="A3532" i="1"/>
  <c r="F3531" i="1"/>
  <c r="F3531" i="1" a="1"/>
  <c r="E3531" i="1" a="1"/>
  <c r="E3531" i="1" s="1"/>
  <c r="D3531" i="1"/>
  <c r="C3531" i="1"/>
  <c r="B3531" i="1"/>
  <c r="A3531" i="1"/>
  <c r="F3530" i="1" a="1"/>
  <c r="F3530" i="1" s="1"/>
  <c r="E3530" i="1" a="1"/>
  <c r="E3530" i="1" s="1"/>
  <c r="D3530" i="1"/>
  <c r="C3530" i="1"/>
  <c r="B3530" i="1"/>
  <c r="A3530" i="1"/>
  <c r="F3529" i="1"/>
  <c r="F3529" i="1" a="1"/>
  <c r="E3529" i="1" a="1"/>
  <c r="E3529" i="1" s="1"/>
  <c r="D3529" i="1"/>
  <c r="C3529" i="1"/>
  <c r="B3529" i="1"/>
  <c r="A3529" i="1"/>
  <c r="F3528" i="1" a="1"/>
  <c r="F3528" i="1" s="1"/>
  <c r="E3528" i="1" a="1"/>
  <c r="E3528" i="1" s="1"/>
  <c r="D3528" i="1"/>
  <c r="C3528" i="1"/>
  <c r="B3528" i="1"/>
  <c r="A3528" i="1"/>
  <c r="F3527" i="1"/>
  <c r="F3527" i="1" a="1"/>
  <c r="E3527" i="1" a="1"/>
  <c r="E3527" i="1" s="1"/>
  <c r="D3527" i="1"/>
  <c r="C3527" i="1"/>
  <c r="B3527" i="1"/>
  <c r="A3527" i="1"/>
  <c r="F3526" i="1" a="1"/>
  <c r="F3526" i="1" s="1"/>
  <c r="E3526" i="1" a="1"/>
  <c r="E3526" i="1" s="1"/>
  <c r="D3526" i="1"/>
  <c r="C3526" i="1"/>
  <c r="B3526" i="1"/>
  <c r="A3526" i="1"/>
  <c r="F3525" i="1"/>
  <c r="F3525" i="1" a="1"/>
  <c r="E3525" i="1" a="1"/>
  <c r="E3525" i="1" s="1"/>
  <c r="D3525" i="1"/>
  <c r="C3525" i="1"/>
  <c r="B3525" i="1"/>
  <c r="A3525" i="1"/>
  <c r="F3524" i="1" a="1"/>
  <c r="F3524" i="1" s="1"/>
  <c r="E3524" i="1" a="1"/>
  <c r="E3524" i="1" s="1"/>
  <c r="D3524" i="1"/>
  <c r="C3524" i="1"/>
  <c r="B3524" i="1"/>
  <c r="A3524" i="1"/>
  <c r="F3523" i="1"/>
  <c r="F3523" i="1" a="1"/>
  <c r="E3523" i="1" a="1"/>
  <c r="E3523" i="1" s="1"/>
  <c r="D3523" i="1"/>
  <c r="C3523" i="1"/>
  <c r="B3523" i="1"/>
  <c r="A3523" i="1"/>
  <c r="F3522" i="1" a="1"/>
  <c r="F3522" i="1" s="1"/>
  <c r="E3522" i="1" a="1"/>
  <c r="E3522" i="1" s="1"/>
  <c r="D3522" i="1"/>
  <c r="C3522" i="1"/>
  <c r="B3522" i="1"/>
  <c r="A3522" i="1"/>
  <c r="F3521" i="1"/>
  <c r="F3521" i="1" a="1"/>
  <c r="E3521" i="1" a="1"/>
  <c r="E3521" i="1" s="1"/>
  <c r="D3521" i="1"/>
  <c r="C3521" i="1"/>
  <c r="B3521" i="1"/>
  <c r="A3521" i="1"/>
  <c r="F3520" i="1" a="1"/>
  <c r="F3520" i="1" s="1"/>
  <c r="E3520" i="1" a="1"/>
  <c r="E3520" i="1" s="1"/>
  <c r="D3520" i="1"/>
  <c r="C3520" i="1"/>
  <c r="B3520" i="1"/>
  <c r="A3520" i="1"/>
  <c r="F3519" i="1"/>
  <c r="F3519" i="1" a="1"/>
  <c r="E3519" i="1" a="1"/>
  <c r="E3519" i="1" s="1"/>
  <c r="D3519" i="1"/>
  <c r="C3519" i="1"/>
  <c r="B3519" i="1"/>
  <c r="A3519" i="1"/>
  <c r="F3518" i="1" a="1"/>
  <c r="F3518" i="1" s="1"/>
  <c r="E3518" i="1" a="1"/>
  <c r="E3518" i="1" s="1"/>
  <c r="D3518" i="1"/>
  <c r="C3518" i="1"/>
  <c r="B3518" i="1"/>
  <c r="A3518" i="1"/>
  <c r="F3517" i="1"/>
  <c r="F3517" i="1" a="1"/>
  <c r="E3517" i="1" a="1"/>
  <c r="E3517" i="1" s="1"/>
  <c r="D3517" i="1"/>
  <c r="C3517" i="1"/>
  <c r="B3517" i="1"/>
  <c r="A3517" i="1"/>
  <c r="F3516" i="1" a="1"/>
  <c r="F3516" i="1" s="1"/>
  <c r="E3516" i="1" a="1"/>
  <c r="E3516" i="1" s="1"/>
  <c r="D3516" i="1"/>
  <c r="C3516" i="1"/>
  <c r="B3516" i="1"/>
  <c r="A3516" i="1"/>
  <c r="F3515" i="1"/>
  <c r="F3515" i="1" a="1"/>
  <c r="E3515" i="1" a="1"/>
  <c r="E3515" i="1" s="1"/>
  <c r="D3515" i="1"/>
  <c r="C3515" i="1"/>
  <c r="B3515" i="1"/>
  <c r="A3515" i="1"/>
  <c r="F3514" i="1" a="1"/>
  <c r="F3514" i="1" s="1"/>
  <c r="E3514" i="1" a="1"/>
  <c r="E3514" i="1" s="1"/>
  <c r="D3514" i="1"/>
  <c r="C3514" i="1"/>
  <c r="B3514" i="1"/>
  <c r="A3514" i="1"/>
  <c r="F3513" i="1"/>
  <c r="F3513" i="1" a="1"/>
  <c r="E3513" i="1" a="1"/>
  <c r="E3513" i="1" s="1"/>
  <c r="D3513" i="1"/>
  <c r="C3513" i="1"/>
  <c r="B3513" i="1"/>
  <c r="A3513" i="1"/>
  <c r="F3512" i="1" a="1"/>
  <c r="F3512" i="1" s="1"/>
  <c r="E3512" i="1" a="1"/>
  <c r="E3512" i="1" s="1"/>
  <c r="D3512" i="1"/>
  <c r="C3512" i="1"/>
  <c r="B3512" i="1"/>
  <c r="A3512" i="1"/>
  <c r="F3511" i="1"/>
  <c r="F3511" i="1" a="1"/>
  <c r="E3511" i="1" a="1"/>
  <c r="E3511" i="1" s="1"/>
  <c r="D3511" i="1"/>
  <c r="C3511" i="1"/>
  <c r="B3511" i="1"/>
  <c r="A3511" i="1"/>
  <c r="F3510" i="1" a="1"/>
  <c r="F3510" i="1" s="1"/>
  <c r="E3510" i="1" a="1"/>
  <c r="E3510" i="1" s="1"/>
  <c r="D3510" i="1"/>
  <c r="C3510" i="1"/>
  <c r="B3510" i="1"/>
  <c r="A3510" i="1"/>
  <c r="F3509" i="1"/>
  <c r="F3509" i="1" a="1"/>
  <c r="E3509" i="1" a="1"/>
  <c r="E3509" i="1" s="1"/>
  <c r="D3509" i="1"/>
  <c r="C3509" i="1"/>
  <c r="B3509" i="1"/>
  <c r="A3509" i="1"/>
  <c r="F3508" i="1" a="1"/>
  <c r="F3508" i="1" s="1"/>
  <c r="E3508" i="1" a="1"/>
  <c r="E3508" i="1" s="1"/>
  <c r="D3508" i="1"/>
  <c r="C3508" i="1"/>
  <c r="B3508" i="1"/>
  <c r="A3508" i="1"/>
  <c r="F3507" i="1"/>
  <c r="F3507" i="1" a="1"/>
  <c r="E3507" i="1" a="1"/>
  <c r="E3507" i="1" s="1"/>
  <c r="D3507" i="1"/>
  <c r="C3507" i="1"/>
  <c r="B3507" i="1"/>
  <c r="A3507" i="1"/>
  <c r="F3506" i="1" a="1"/>
  <c r="F3506" i="1" s="1"/>
  <c r="E3506" i="1" a="1"/>
  <c r="E3506" i="1" s="1"/>
  <c r="D3506" i="1"/>
  <c r="C3506" i="1"/>
  <c r="B3506" i="1"/>
  <c r="A3506" i="1"/>
  <c r="F3505" i="1"/>
  <c r="F3505" i="1" a="1"/>
  <c r="E3505" i="1" a="1"/>
  <c r="E3505" i="1" s="1"/>
  <c r="D3505" i="1"/>
  <c r="C3505" i="1"/>
  <c r="B3505" i="1"/>
  <c r="A3505" i="1"/>
  <c r="F3504" i="1" a="1"/>
  <c r="F3504" i="1" s="1"/>
  <c r="E3504" i="1" a="1"/>
  <c r="E3504" i="1" s="1"/>
  <c r="D3504" i="1"/>
  <c r="C3504" i="1"/>
  <c r="B3504" i="1"/>
  <c r="A3504" i="1"/>
  <c r="F3503" i="1"/>
  <c r="F3503" i="1" a="1"/>
  <c r="E3503" i="1" a="1"/>
  <c r="E3503" i="1" s="1"/>
  <c r="D3503" i="1"/>
  <c r="C3503" i="1"/>
  <c r="B3503" i="1"/>
  <c r="A3503" i="1"/>
  <c r="F3502" i="1" a="1"/>
  <c r="F3502" i="1" s="1"/>
  <c r="E3502" i="1" a="1"/>
  <c r="E3502" i="1" s="1"/>
  <c r="D3502" i="1"/>
  <c r="C3502" i="1"/>
  <c r="B3502" i="1"/>
  <c r="A3502" i="1"/>
  <c r="F3501" i="1"/>
  <c r="F3501" i="1" a="1"/>
  <c r="E3501" i="1" a="1"/>
  <c r="E3501" i="1" s="1"/>
  <c r="D3501" i="1"/>
  <c r="C3501" i="1"/>
  <c r="B3501" i="1"/>
  <c r="A3501" i="1"/>
  <c r="F3500" i="1" a="1"/>
  <c r="F3500" i="1" s="1"/>
  <c r="E3500" i="1" a="1"/>
  <c r="E3500" i="1" s="1"/>
  <c r="D3500" i="1"/>
  <c r="C3500" i="1"/>
  <c r="B3500" i="1"/>
  <c r="A3500" i="1"/>
  <c r="F3499" i="1"/>
  <c r="F3499" i="1" a="1"/>
  <c r="E3499" i="1" a="1"/>
  <c r="E3499" i="1" s="1"/>
  <c r="D3499" i="1"/>
  <c r="C3499" i="1"/>
  <c r="B3499" i="1"/>
  <c r="A3499" i="1"/>
  <c r="F3498" i="1" a="1"/>
  <c r="F3498" i="1" s="1"/>
  <c r="E3498" i="1" a="1"/>
  <c r="E3498" i="1" s="1"/>
  <c r="D3498" i="1"/>
  <c r="C3498" i="1"/>
  <c r="B3498" i="1"/>
  <c r="A3498" i="1"/>
  <c r="F3497" i="1"/>
  <c r="F3497" i="1" a="1"/>
  <c r="E3497" i="1" a="1"/>
  <c r="E3497" i="1" s="1"/>
  <c r="D3497" i="1"/>
  <c r="C3497" i="1"/>
  <c r="B3497" i="1"/>
  <c r="A3497" i="1"/>
  <c r="F3496" i="1" a="1"/>
  <c r="F3496" i="1" s="1"/>
  <c r="E3496" i="1" a="1"/>
  <c r="E3496" i="1" s="1"/>
  <c r="D3496" i="1"/>
  <c r="C3496" i="1"/>
  <c r="B3496" i="1"/>
  <c r="A3496" i="1"/>
  <c r="F3495" i="1"/>
  <c r="F3495" i="1" a="1"/>
  <c r="E3495" i="1" a="1"/>
  <c r="E3495" i="1" s="1"/>
  <c r="D3495" i="1"/>
  <c r="C3495" i="1"/>
  <c r="B3495" i="1"/>
  <c r="A3495" i="1"/>
  <c r="F3494" i="1" a="1"/>
  <c r="F3494" i="1" s="1"/>
  <c r="E3494" i="1" a="1"/>
  <c r="E3494" i="1" s="1"/>
  <c r="D3494" i="1"/>
  <c r="C3494" i="1"/>
  <c r="B3494" i="1"/>
  <c r="A3494" i="1"/>
  <c r="F3493" i="1"/>
  <c r="F3493" i="1" a="1"/>
  <c r="E3493" i="1" a="1"/>
  <c r="E3493" i="1" s="1"/>
  <c r="D3493" i="1"/>
  <c r="C3493" i="1"/>
  <c r="B3493" i="1"/>
  <c r="A3493" i="1"/>
  <c r="F3492" i="1" a="1"/>
  <c r="F3492" i="1" s="1"/>
  <c r="E3492" i="1" a="1"/>
  <c r="E3492" i="1" s="1"/>
  <c r="D3492" i="1"/>
  <c r="C3492" i="1"/>
  <c r="B3492" i="1"/>
  <c r="A3492" i="1"/>
  <c r="F3491" i="1"/>
  <c r="F3491" i="1" a="1"/>
  <c r="E3491" i="1" a="1"/>
  <c r="E3491" i="1" s="1"/>
  <c r="D3491" i="1"/>
  <c r="C3491" i="1"/>
  <c r="B3491" i="1"/>
  <c r="A3491" i="1"/>
  <c r="F3490" i="1" a="1"/>
  <c r="F3490" i="1" s="1"/>
  <c r="E3490" i="1" a="1"/>
  <c r="E3490" i="1" s="1"/>
  <c r="D3490" i="1"/>
  <c r="C3490" i="1"/>
  <c r="B3490" i="1"/>
  <c r="A3490" i="1"/>
  <c r="F3489" i="1"/>
  <c r="F3489" i="1" a="1"/>
  <c r="E3489" i="1" a="1"/>
  <c r="E3489" i="1" s="1"/>
  <c r="D3489" i="1"/>
  <c r="C3489" i="1"/>
  <c r="B3489" i="1"/>
  <c r="A3489" i="1"/>
  <c r="F3488" i="1" a="1"/>
  <c r="F3488" i="1" s="1"/>
  <c r="E3488" i="1" a="1"/>
  <c r="E3488" i="1" s="1"/>
  <c r="D3488" i="1"/>
  <c r="C3488" i="1"/>
  <c r="B3488" i="1"/>
  <c r="A3488" i="1"/>
  <c r="F3487" i="1"/>
  <c r="F3487" i="1" a="1"/>
  <c r="E3487" i="1" a="1"/>
  <c r="E3487" i="1" s="1"/>
  <c r="D3487" i="1"/>
  <c r="C3487" i="1"/>
  <c r="B3487" i="1"/>
  <c r="A3487" i="1"/>
  <c r="F3486" i="1" a="1"/>
  <c r="F3486" i="1" s="1"/>
  <c r="E3486" i="1" a="1"/>
  <c r="E3486" i="1" s="1"/>
  <c r="D3486" i="1"/>
  <c r="C3486" i="1"/>
  <c r="B3486" i="1"/>
  <c r="A3486" i="1"/>
  <c r="F3485" i="1"/>
  <c r="F3485" i="1" a="1"/>
  <c r="E3485" i="1" a="1"/>
  <c r="E3485" i="1" s="1"/>
  <c r="D3485" i="1"/>
  <c r="C3485" i="1"/>
  <c r="B3485" i="1"/>
  <c r="A3485" i="1"/>
  <c r="F3484" i="1" a="1"/>
  <c r="F3484" i="1" s="1"/>
  <c r="E3484" i="1" a="1"/>
  <c r="E3484" i="1" s="1"/>
  <c r="D3484" i="1"/>
  <c r="C3484" i="1"/>
  <c r="B3484" i="1"/>
  <c r="A3484" i="1"/>
  <c r="F3483" i="1"/>
  <c r="F3483" i="1" a="1"/>
  <c r="E3483" i="1" a="1"/>
  <c r="E3483" i="1" s="1"/>
  <c r="D3483" i="1"/>
  <c r="C3483" i="1"/>
  <c r="B3483" i="1"/>
  <c r="A3483" i="1"/>
  <c r="F3482" i="1" a="1"/>
  <c r="F3482" i="1" s="1"/>
  <c r="E3482" i="1" a="1"/>
  <c r="E3482" i="1" s="1"/>
  <c r="D3482" i="1"/>
  <c r="C3482" i="1"/>
  <c r="B3482" i="1"/>
  <c r="A3482" i="1"/>
  <c r="F3481" i="1"/>
  <c r="F3481" i="1" a="1"/>
  <c r="E3481" i="1" a="1"/>
  <c r="E3481" i="1" s="1"/>
  <c r="D3481" i="1"/>
  <c r="C3481" i="1"/>
  <c r="B3481" i="1"/>
  <c r="A3481" i="1"/>
  <c r="F3480" i="1" a="1"/>
  <c r="F3480" i="1" s="1"/>
  <c r="E3480" i="1" a="1"/>
  <c r="E3480" i="1" s="1"/>
  <c r="D3480" i="1"/>
  <c r="C3480" i="1"/>
  <c r="B3480" i="1"/>
  <c r="A3480" i="1"/>
  <c r="F3479" i="1"/>
  <c r="F3479" i="1" a="1"/>
  <c r="E3479" i="1" a="1"/>
  <c r="E3479" i="1" s="1"/>
  <c r="D3479" i="1"/>
  <c r="C3479" i="1"/>
  <c r="B3479" i="1"/>
  <c r="A3479" i="1"/>
  <c r="F3478" i="1" a="1"/>
  <c r="F3478" i="1" s="1"/>
  <c r="E3478" i="1" a="1"/>
  <c r="E3478" i="1" s="1"/>
  <c r="D3478" i="1"/>
  <c r="C3478" i="1"/>
  <c r="B3478" i="1"/>
  <c r="A3478" i="1"/>
  <c r="F3477" i="1"/>
  <c r="F3477" i="1" a="1"/>
  <c r="E3477" i="1" a="1"/>
  <c r="E3477" i="1" s="1"/>
  <c r="D3477" i="1"/>
  <c r="C3477" i="1"/>
  <c r="B3477" i="1"/>
  <c r="A3477" i="1"/>
  <c r="F3476" i="1" a="1"/>
  <c r="F3476" i="1" s="1"/>
  <c r="E3476" i="1" a="1"/>
  <c r="E3476" i="1" s="1"/>
  <c r="D3476" i="1"/>
  <c r="C3476" i="1"/>
  <c r="B3476" i="1"/>
  <c r="A3476" i="1"/>
  <c r="F3475" i="1"/>
  <c r="F3475" i="1" a="1"/>
  <c r="E3475" i="1" a="1"/>
  <c r="E3475" i="1" s="1"/>
  <c r="D3475" i="1"/>
  <c r="C3475" i="1"/>
  <c r="B3475" i="1"/>
  <c r="A3475" i="1"/>
  <c r="F3474" i="1" a="1"/>
  <c r="F3474" i="1" s="1"/>
  <c r="E3474" i="1" a="1"/>
  <c r="E3474" i="1" s="1"/>
  <c r="D3474" i="1"/>
  <c r="C3474" i="1"/>
  <c r="B3474" i="1"/>
  <c r="A3474" i="1"/>
  <c r="F3473" i="1"/>
  <c r="F3473" i="1" a="1"/>
  <c r="E3473" i="1" a="1"/>
  <c r="E3473" i="1" s="1"/>
  <c r="D3473" i="1"/>
  <c r="C3473" i="1"/>
  <c r="B3473" i="1"/>
  <c r="A3473" i="1"/>
  <c r="F3472" i="1" a="1"/>
  <c r="F3472" i="1" s="1"/>
  <c r="E3472" i="1" a="1"/>
  <c r="E3472" i="1" s="1"/>
  <c r="D3472" i="1"/>
  <c r="C3472" i="1"/>
  <c r="B3472" i="1"/>
  <c r="A3472" i="1"/>
  <c r="F3471" i="1"/>
  <c r="F3471" i="1" a="1"/>
  <c r="E3471" i="1" a="1"/>
  <c r="E3471" i="1" s="1"/>
  <c r="D3471" i="1"/>
  <c r="C3471" i="1"/>
  <c r="B3471" i="1"/>
  <c r="A3471" i="1"/>
  <c r="F3470" i="1" a="1"/>
  <c r="F3470" i="1" s="1"/>
  <c r="E3470" i="1" a="1"/>
  <c r="E3470" i="1" s="1"/>
  <c r="D3470" i="1"/>
  <c r="C3470" i="1"/>
  <c r="B3470" i="1"/>
  <c r="A3470" i="1"/>
  <c r="F3469" i="1"/>
  <c r="F3469" i="1" a="1"/>
  <c r="E3469" i="1" a="1"/>
  <c r="E3469" i="1" s="1"/>
  <c r="D3469" i="1"/>
  <c r="C3469" i="1"/>
  <c r="B3469" i="1"/>
  <c r="A3469" i="1"/>
  <c r="F3468" i="1" a="1"/>
  <c r="F3468" i="1" s="1"/>
  <c r="E3468" i="1" a="1"/>
  <c r="E3468" i="1" s="1"/>
  <c r="D3468" i="1"/>
  <c r="C3468" i="1"/>
  <c r="B3468" i="1"/>
  <c r="A3468" i="1"/>
  <c r="F3467" i="1"/>
  <c r="F3467" i="1" a="1"/>
  <c r="E3467" i="1" a="1"/>
  <c r="E3467" i="1" s="1"/>
  <c r="D3467" i="1"/>
  <c r="C3467" i="1"/>
  <c r="B3467" i="1"/>
  <c r="A3467" i="1"/>
  <c r="F3466" i="1" a="1"/>
  <c r="F3466" i="1" s="1"/>
  <c r="E3466" i="1" a="1"/>
  <c r="E3466" i="1" s="1"/>
  <c r="D3466" i="1"/>
  <c r="C3466" i="1"/>
  <c r="B3466" i="1"/>
  <c r="A3466" i="1"/>
  <c r="F3465" i="1"/>
  <c r="F3465" i="1" a="1"/>
  <c r="E3465" i="1" a="1"/>
  <c r="E3465" i="1" s="1"/>
  <c r="D3465" i="1"/>
  <c r="C3465" i="1"/>
  <c r="B3465" i="1"/>
  <c r="A3465" i="1"/>
  <c r="F3464" i="1" a="1"/>
  <c r="F3464" i="1" s="1"/>
  <c r="E3464" i="1" a="1"/>
  <c r="E3464" i="1" s="1"/>
  <c r="D3464" i="1"/>
  <c r="C3464" i="1"/>
  <c r="B3464" i="1"/>
  <c r="A3464" i="1"/>
  <c r="F3463" i="1"/>
  <c r="F3463" i="1" a="1"/>
  <c r="E3463" i="1" a="1"/>
  <c r="E3463" i="1" s="1"/>
  <c r="D3463" i="1"/>
  <c r="C3463" i="1"/>
  <c r="B3463" i="1"/>
  <c r="A3463" i="1"/>
  <c r="F3462" i="1" a="1"/>
  <c r="F3462" i="1" s="1"/>
  <c r="E3462" i="1" a="1"/>
  <c r="E3462" i="1" s="1"/>
  <c r="D3462" i="1"/>
  <c r="C3462" i="1"/>
  <c r="B3462" i="1"/>
  <c r="A3462" i="1"/>
  <c r="F3461" i="1"/>
  <c r="F3461" i="1" a="1"/>
  <c r="E3461" i="1" a="1"/>
  <c r="E3461" i="1" s="1"/>
  <c r="D3461" i="1"/>
  <c r="C3461" i="1"/>
  <c r="B3461" i="1"/>
  <c r="A3461" i="1"/>
  <c r="F3460" i="1" a="1"/>
  <c r="F3460" i="1" s="1"/>
  <c r="E3460" i="1" a="1"/>
  <c r="E3460" i="1" s="1"/>
  <c r="D3460" i="1"/>
  <c r="C3460" i="1"/>
  <c r="B3460" i="1"/>
  <c r="A3460" i="1"/>
  <c r="F3459" i="1"/>
  <c r="F3459" i="1" a="1"/>
  <c r="E3459" i="1" a="1"/>
  <c r="E3459" i="1" s="1"/>
  <c r="D3459" i="1"/>
  <c r="C3459" i="1"/>
  <c r="B3459" i="1"/>
  <c r="A3459" i="1"/>
  <c r="F3458" i="1" a="1"/>
  <c r="F3458" i="1" s="1"/>
  <c r="E3458" i="1" a="1"/>
  <c r="E3458" i="1" s="1"/>
  <c r="D3458" i="1"/>
  <c r="C3458" i="1"/>
  <c r="B3458" i="1"/>
  <c r="A3458" i="1"/>
  <c r="F3457" i="1"/>
  <c r="F3457" i="1" a="1"/>
  <c r="E3457" i="1" a="1"/>
  <c r="E3457" i="1" s="1"/>
  <c r="D3457" i="1"/>
  <c r="C3457" i="1"/>
  <c r="B3457" i="1"/>
  <c r="A3457" i="1"/>
  <c r="F3456" i="1" a="1"/>
  <c r="F3456" i="1" s="1"/>
  <c r="E3456" i="1" a="1"/>
  <c r="E3456" i="1" s="1"/>
  <c r="D3456" i="1"/>
  <c r="C3456" i="1"/>
  <c r="B3456" i="1"/>
  <c r="A3456" i="1"/>
  <c r="F3455" i="1"/>
  <c r="F3455" i="1" a="1"/>
  <c r="E3455" i="1" a="1"/>
  <c r="E3455" i="1" s="1"/>
  <c r="D3455" i="1"/>
  <c r="C3455" i="1"/>
  <c r="B3455" i="1"/>
  <c r="A3455" i="1"/>
  <c r="F3454" i="1" a="1"/>
  <c r="F3454" i="1" s="1"/>
  <c r="E3454" i="1" a="1"/>
  <c r="E3454" i="1" s="1"/>
  <c r="D3454" i="1"/>
  <c r="C3454" i="1"/>
  <c r="B3454" i="1"/>
  <c r="A3454" i="1"/>
  <c r="F3453" i="1"/>
  <c r="F3453" i="1" a="1"/>
  <c r="E3453" i="1" a="1"/>
  <c r="E3453" i="1" s="1"/>
  <c r="D3453" i="1"/>
  <c r="C3453" i="1"/>
  <c r="B3453" i="1"/>
  <c r="A3453" i="1"/>
  <c r="F3452" i="1" a="1"/>
  <c r="F3452" i="1" s="1"/>
  <c r="E3452" i="1" a="1"/>
  <c r="E3452" i="1" s="1"/>
  <c r="D3452" i="1"/>
  <c r="C3452" i="1"/>
  <c r="B3452" i="1"/>
  <c r="A3452" i="1"/>
  <c r="F3451" i="1"/>
  <c r="F3451" i="1" a="1"/>
  <c r="E3451" i="1" a="1"/>
  <c r="E3451" i="1" s="1"/>
  <c r="D3451" i="1"/>
  <c r="C3451" i="1"/>
  <c r="B3451" i="1"/>
  <c r="A3451" i="1"/>
  <c r="F3450" i="1" a="1"/>
  <c r="F3450" i="1" s="1"/>
  <c r="E3450" i="1" a="1"/>
  <c r="E3450" i="1" s="1"/>
  <c r="D3450" i="1"/>
  <c r="C3450" i="1"/>
  <c r="B3450" i="1"/>
  <c r="A3450" i="1"/>
  <c r="F3449" i="1"/>
  <c r="F3449" i="1" a="1"/>
  <c r="E3449" i="1" a="1"/>
  <c r="E3449" i="1" s="1"/>
  <c r="D3449" i="1"/>
  <c r="C3449" i="1"/>
  <c r="B3449" i="1"/>
  <c r="A3449" i="1"/>
  <c r="F3448" i="1" a="1"/>
  <c r="F3448" i="1" s="1"/>
  <c r="E3448" i="1" a="1"/>
  <c r="E3448" i="1" s="1"/>
  <c r="D3448" i="1"/>
  <c r="C3448" i="1"/>
  <c r="B3448" i="1"/>
  <c r="A3448" i="1"/>
  <c r="F3447" i="1"/>
  <c r="F3447" i="1" a="1"/>
  <c r="E3447" i="1" a="1"/>
  <c r="E3447" i="1" s="1"/>
  <c r="D3447" i="1"/>
  <c r="C3447" i="1"/>
  <c r="B3447" i="1"/>
  <c r="A3447" i="1"/>
  <c r="F3446" i="1" a="1"/>
  <c r="F3446" i="1" s="1"/>
  <c r="E3446" i="1" a="1"/>
  <c r="E3446" i="1" s="1"/>
  <c r="D3446" i="1"/>
  <c r="C3446" i="1"/>
  <c r="B3446" i="1"/>
  <c r="A3446" i="1"/>
  <c r="F3445" i="1"/>
  <c r="F3445" i="1" a="1"/>
  <c r="E3445" i="1" a="1"/>
  <c r="E3445" i="1" s="1"/>
  <c r="D3445" i="1"/>
  <c r="C3445" i="1"/>
  <c r="B3445" i="1"/>
  <c r="A3445" i="1"/>
  <c r="F3444" i="1" a="1"/>
  <c r="F3444" i="1" s="1"/>
  <c r="E3444" i="1" a="1"/>
  <c r="E3444" i="1" s="1"/>
  <c r="D3444" i="1"/>
  <c r="C3444" i="1"/>
  <c r="B3444" i="1"/>
  <c r="A3444" i="1"/>
  <c r="F3443" i="1"/>
  <c r="F3443" i="1" a="1"/>
  <c r="E3443" i="1" a="1"/>
  <c r="E3443" i="1" s="1"/>
  <c r="D3443" i="1"/>
  <c r="C3443" i="1"/>
  <c r="B3443" i="1"/>
  <c r="A3443" i="1"/>
  <c r="F3442" i="1" a="1"/>
  <c r="F3442" i="1" s="1"/>
  <c r="E3442" i="1" a="1"/>
  <c r="E3442" i="1" s="1"/>
  <c r="D3442" i="1"/>
  <c r="C3442" i="1"/>
  <c r="B3442" i="1"/>
  <c r="A3442" i="1"/>
  <c r="F3441" i="1"/>
  <c r="F3441" i="1" a="1"/>
  <c r="E3441" i="1" a="1"/>
  <c r="E3441" i="1" s="1"/>
  <c r="D3441" i="1"/>
  <c r="C3441" i="1"/>
  <c r="B3441" i="1"/>
  <c r="A3441" i="1"/>
  <c r="F3440" i="1" a="1"/>
  <c r="F3440" i="1" s="1"/>
  <c r="E3440" i="1" a="1"/>
  <c r="E3440" i="1" s="1"/>
  <c r="D3440" i="1"/>
  <c r="C3440" i="1"/>
  <c r="B3440" i="1"/>
  <c r="A3440" i="1"/>
  <c r="F3439" i="1"/>
  <c r="F3439" i="1" a="1"/>
  <c r="E3439" i="1" a="1"/>
  <c r="E3439" i="1" s="1"/>
  <c r="D3439" i="1"/>
  <c r="C3439" i="1"/>
  <c r="B3439" i="1"/>
  <c r="A3439" i="1"/>
  <c r="F3438" i="1" a="1"/>
  <c r="F3438" i="1" s="1"/>
  <c r="E3438" i="1" a="1"/>
  <c r="E3438" i="1" s="1"/>
  <c r="D3438" i="1"/>
  <c r="C3438" i="1"/>
  <c r="B3438" i="1"/>
  <c r="A3438" i="1"/>
  <c r="F3437" i="1"/>
  <c r="F3437" i="1" a="1"/>
  <c r="E3437" i="1" a="1"/>
  <c r="E3437" i="1" s="1"/>
  <c r="D3437" i="1"/>
  <c r="C3437" i="1"/>
  <c r="B3437" i="1"/>
  <c r="A3437" i="1"/>
  <c r="F3436" i="1" a="1"/>
  <c r="F3436" i="1" s="1"/>
  <c r="E3436" i="1" a="1"/>
  <c r="E3436" i="1" s="1"/>
  <c r="D3436" i="1"/>
  <c r="C3436" i="1"/>
  <c r="B3436" i="1"/>
  <c r="A3436" i="1"/>
  <c r="F3435" i="1"/>
  <c r="F3435" i="1" a="1"/>
  <c r="E3435" i="1" a="1"/>
  <c r="E3435" i="1" s="1"/>
  <c r="D3435" i="1"/>
  <c r="C3435" i="1"/>
  <c r="B3435" i="1"/>
  <c r="A3435" i="1"/>
  <c r="F3434" i="1" a="1"/>
  <c r="F3434" i="1" s="1"/>
  <c r="E3434" i="1" a="1"/>
  <c r="E3434" i="1" s="1"/>
  <c r="D3434" i="1"/>
  <c r="C3434" i="1"/>
  <c r="B3434" i="1"/>
  <c r="A3434" i="1"/>
  <c r="F3433" i="1"/>
  <c r="F3433" i="1" a="1"/>
  <c r="E3433" i="1" a="1"/>
  <c r="E3433" i="1" s="1"/>
  <c r="D3433" i="1"/>
  <c r="C3433" i="1"/>
  <c r="B3433" i="1"/>
  <c r="A3433" i="1"/>
  <c r="F3432" i="1" a="1"/>
  <c r="F3432" i="1" s="1"/>
  <c r="E3432" i="1" a="1"/>
  <c r="E3432" i="1" s="1"/>
  <c r="D3432" i="1"/>
  <c r="C3432" i="1"/>
  <c r="B3432" i="1"/>
  <c r="A3432" i="1"/>
  <c r="F3431" i="1"/>
  <c r="F3431" i="1" a="1"/>
  <c r="E3431" i="1" a="1"/>
  <c r="E3431" i="1" s="1"/>
  <c r="D3431" i="1"/>
  <c r="C3431" i="1"/>
  <c r="B3431" i="1"/>
  <c r="A3431" i="1"/>
  <c r="F3430" i="1" a="1"/>
  <c r="F3430" i="1" s="1"/>
  <c r="E3430" i="1" a="1"/>
  <c r="E3430" i="1" s="1"/>
  <c r="D3430" i="1"/>
  <c r="C3430" i="1"/>
  <c r="B3430" i="1"/>
  <c r="A3430" i="1"/>
  <c r="F3429" i="1"/>
  <c r="F3429" i="1" a="1"/>
  <c r="E3429" i="1" a="1"/>
  <c r="E3429" i="1" s="1"/>
  <c r="D3429" i="1"/>
  <c r="C3429" i="1"/>
  <c r="B3429" i="1"/>
  <c r="A3429" i="1"/>
  <c r="F3428" i="1" a="1"/>
  <c r="F3428" i="1" s="1"/>
  <c r="E3428" i="1" a="1"/>
  <c r="E3428" i="1" s="1"/>
  <c r="D3428" i="1"/>
  <c r="C3428" i="1"/>
  <c r="B3428" i="1"/>
  <c r="A3428" i="1"/>
  <c r="F3427" i="1"/>
  <c r="F3427" i="1" a="1"/>
  <c r="E3427" i="1" a="1"/>
  <c r="E3427" i="1" s="1"/>
  <c r="D3427" i="1"/>
  <c r="C3427" i="1"/>
  <c r="B3427" i="1"/>
  <c r="A3427" i="1"/>
  <c r="F3426" i="1" a="1"/>
  <c r="F3426" i="1" s="1"/>
  <c r="E3426" i="1" a="1"/>
  <c r="E3426" i="1" s="1"/>
  <c r="D3426" i="1"/>
  <c r="C3426" i="1"/>
  <c r="B3426" i="1"/>
  <c r="A3426" i="1"/>
  <c r="F3425" i="1"/>
  <c r="F3425" i="1" a="1"/>
  <c r="E3425" i="1" a="1"/>
  <c r="E3425" i="1" s="1"/>
  <c r="D3425" i="1"/>
  <c r="C3425" i="1"/>
  <c r="B3425" i="1"/>
  <c r="A3425" i="1"/>
  <c r="F3424" i="1" a="1"/>
  <c r="F3424" i="1" s="1"/>
  <c r="E3424" i="1" a="1"/>
  <c r="E3424" i="1" s="1"/>
  <c r="D3424" i="1"/>
  <c r="C3424" i="1"/>
  <c r="B3424" i="1"/>
  <c r="A3424" i="1"/>
  <c r="F3423" i="1"/>
  <c r="F3423" i="1" a="1"/>
  <c r="E3423" i="1" a="1"/>
  <c r="E3423" i="1" s="1"/>
  <c r="D3423" i="1"/>
  <c r="C3423" i="1"/>
  <c r="B3423" i="1"/>
  <c r="A3423" i="1"/>
  <c r="F3422" i="1" a="1"/>
  <c r="F3422" i="1" s="1"/>
  <c r="E3422" i="1" a="1"/>
  <c r="E3422" i="1" s="1"/>
  <c r="D3422" i="1"/>
  <c r="C3422" i="1"/>
  <c r="B3422" i="1"/>
  <c r="A3422" i="1"/>
  <c r="F3421" i="1"/>
  <c r="F3421" i="1" a="1"/>
  <c r="E3421" i="1" a="1"/>
  <c r="E3421" i="1" s="1"/>
  <c r="D3421" i="1"/>
  <c r="C3421" i="1"/>
  <c r="B3421" i="1"/>
  <c r="A3421" i="1"/>
  <c r="F3420" i="1" a="1"/>
  <c r="F3420" i="1" s="1"/>
  <c r="E3420" i="1" a="1"/>
  <c r="E3420" i="1" s="1"/>
  <c r="D3420" i="1"/>
  <c r="C3420" i="1"/>
  <c r="B3420" i="1"/>
  <c r="A3420" i="1"/>
  <c r="F3419" i="1"/>
  <c r="F3419" i="1" a="1"/>
  <c r="E3419" i="1" a="1"/>
  <c r="E3419" i="1" s="1"/>
  <c r="D3419" i="1"/>
  <c r="C3419" i="1"/>
  <c r="B3419" i="1"/>
  <c r="A3419" i="1"/>
  <c r="F3418" i="1" a="1"/>
  <c r="F3418" i="1" s="1"/>
  <c r="E3418" i="1" a="1"/>
  <c r="E3418" i="1" s="1"/>
  <c r="D3418" i="1"/>
  <c r="C3418" i="1"/>
  <c r="B3418" i="1"/>
  <c r="A3418" i="1"/>
  <c r="F3417" i="1"/>
  <c r="F3417" i="1" a="1"/>
  <c r="E3417" i="1" a="1"/>
  <c r="E3417" i="1" s="1"/>
  <c r="D3417" i="1"/>
  <c r="C3417" i="1"/>
  <c r="B3417" i="1"/>
  <c r="A3417" i="1"/>
  <c r="F3416" i="1" a="1"/>
  <c r="F3416" i="1" s="1"/>
  <c r="E3416" i="1" a="1"/>
  <c r="E3416" i="1" s="1"/>
  <c r="D3416" i="1"/>
  <c r="C3416" i="1"/>
  <c r="B3416" i="1"/>
  <c r="A3416" i="1"/>
  <c r="F3415" i="1"/>
  <c r="F3415" i="1" a="1"/>
  <c r="E3415" i="1" a="1"/>
  <c r="E3415" i="1" s="1"/>
  <c r="D3415" i="1"/>
  <c r="C3415" i="1"/>
  <c r="B3415" i="1"/>
  <c r="A3415" i="1"/>
  <c r="F3414" i="1" a="1"/>
  <c r="F3414" i="1" s="1"/>
  <c r="E3414" i="1" a="1"/>
  <c r="E3414" i="1" s="1"/>
  <c r="D3414" i="1"/>
  <c r="C3414" i="1"/>
  <c r="B3414" i="1"/>
  <c r="A3414" i="1"/>
  <c r="F3413" i="1"/>
  <c r="F3413" i="1" a="1"/>
  <c r="E3413" i="1" a="1"/>
  <c r="E3413" i="1" s="1"/>
  <c r="D3413" i="1"/>
  <c r="C3413" i="1"/>
  <c r="B3413" i="1"/>
  <c r="A3413" i="1"/>
  <c r="F3412" i="1" a="1"/>
  <c r="F3412" i="1" s="1"/>
  <c r="E3412" i="1" a="1"/>
  <c r="E3412" i="1" s="1"/>
  <c r="D3412" i="1"/>
  <c r="C3412" i="1"/>
  <c r="B3412" i="1"/>
  <c r="A3412" i="1"/>
  <c r="F3411" i="1"/>
  <c r="F3411" i="1" a="1"/>
  <c r="E3411" i="1" a="1"/>
  <c r="E3411" i="1" s="1"/>
  <c r="D3411" i="1"/>
  <c r="C3411" i="1"/>
  <c r="B3411" i="1"/>
  <c r="A3411" i="1"/>
  <c r="F3410" i="1" a="1"/>
  <c r="F3410" i="1" s="1"/>
  <c r="E3410" i="1" a="1"/>
  <c r="E3410" i="1" s="1"/>
  <c r="D3410" i="1"/>
  <c r="C3410" i="1"/>
  <c r="B3410" i="1"/>
  <c r="A3410" i="1"/>
  <c r="F3409" i="1"/>
  <c r="F3409" i="1" a="1"/>
  <c r="E3409" i="1" a="1"/>
  <c r="E3409" i="1" s="1"/>
  <c r="D3409" i="1"/>
  <c r="C3409" i="1"/>
  <c r="B3409" i="1"/>
  <c r="A3409" i="1"/>
  <c r="F3408" i="1" a="1"/>
  <c r="F3408" i="1" s="1"/>
  <c r="E3408" i="1" a="1"/>
  <c r="E3408" i="1" s="1"/>
  <c r="D3408" i="1"/>
  <c r="C3408" i="1"/>
  <c r="B3408" i="1"/>
  <c r="A3408" i="1"/>
  <c r="F3407" i="1"/>
  <c r="F3407" i="1" a="1"/>
  <c r="E3407" i="1" a="1"/>
  <c r="E3407" i="1" s="1"/>
  <c r="D3407" i="1"/>
  <c r="C3407" i="1"/>
  <c r="B3407" i="1"/>
  <c r="A3407" i="1"/>
  <c r="F3406" i="1" a="1"/>
  <c r="F3406" i="1" s="1"/>
  <c r="E3406" i="1" a="1"/>
  <c r="E3406" i="1" s="1"/>
  <c r="D3406" i="1"/>
  <c r="C3406" i="1"/>
  <c r="B3406" i="1"/>
  <c r="A3406" i="1"/>
  <c r="F3405" i="1"/>
  <c r="F3405" i="1" a="1"/>
  <c r="E3405" i="1" a="1"/>
  <c r="E3405" i="1" s="1"/>
  <c r="D3405" i="1"/>
  <c r="C3405" i="1"/>
  <c r="B3405" i="1"/>
  <c r="A3405" i="1"/>
  <c r="F3404" i="1" a="1"/>
  <c r="F3404" i="1" s="1"/>
  <c r="E3404" i="1" a="1"/>
  <c r="E3404" i="1" s="1"/>
  <c r="D3404" i="1"/>
  <c r="C3404" i="1"/>
  <c r="B3404" i="1"/>
  <c r="A3404" i="1"/>
  <c r="F3403" i="1"/>
  <c r="F3403" i="1" a="1"/>
  <c r="E3403" i="1" a="1"/>
  <c r="E3403" i="1" s="1"/>
  <c r="D3403" i="1"/>
  <c r="C3403" i="1"/>
  <c r="B3403" i="1"/>
  <c r="A3403" i="1"/>
  <c r="F3402" i="1" a="1"/>
  <c r="F3402" i="1" s="1"/>
  <c r="E3402" i="1" a="1"/>
  <c r="E3402" i="1" s="1"/>
  <c r="D3402" i="1"/>
  <c r="C3402" i="1"/>
  <c r="B3402" i="1"/>
  <c r="A3402" i="1"/>
  <c r="F3401" i="1"/>
  <c r="F3401" i="1" a="1"/>
  <c r="E3401" i="1" a="1"/>
  <c r="E3401" i="1" s="1"/>
  <c r="D3401" i="1"/>
  <c r="C3401" i="1"/>
  <c r="B3401" i="1"/>
  <c r="A3401" i="1"/>
  <c r="F3400" i="1" a="1"/>
  <c r="F3400" i="1" s="1"/>
  <c r="E3400" i="1" a="1"/>
  <c r="E3400" i="1" s="1"/>
  <c r="D3400" i="1"/>
  <c r="C3400" i="1"/>
  <c r="B3400" i="1"/>
  <c r="A3400" i="1"/>
  <c r="F3399" i="1"/>
  <c r="F3399" i="1" a="1"/>
  <c r="E3399" i="1" a="1"/>
  <c r="E3399" i="1" s="1"/>
  <c r="D3399" i="1"/>
  <c r="C3399" i="1"/>
  <c r="B3399" i="1"/>
  <c r="A3399" i="1"/>
  <c r="F3398" i="1" a="1"/>
  <c r="F3398" i="1" s="1"/>
  <c r="E3398" i="1" a="1"/>
  <c r="E3398" i="1" s="1"/>
  <c r="D3398" i="1"/>
  <c r="C3398" i="1"/>
  <c r="B3398" i="1"/>
  <c r="A3398" i="1"/>
  <c r="F3397" i="1"/>
  <c r="F3397" i="1" a="1"/>
  <c r="E3397" i="1" a="1"/>
  <c r="E3397" i="1" s="1"/>
  <c r="D3397" i="1"/>
  <c r="C3397" i="1"/>
  <c r="B3397" i="1"/>
  <c r="A3397" i="1"/>
  <c r="F3396" i="1" a="1"/>
  <c r="F3396" i="1" s="1"/>
  <c r="E3396" i="1" a="1"/>
  <c r="E3396" i="1" s="1"/>
  <c r="D3396" i="1"/>
  <c r="C3396" i="1"/>
  <c r="B3396" i="1"/>
  <c r="A3396" i="1"/>
  <c r="F3395" i="1"/>
  <c r="F3395" i="1" a="1"/>
  <c r="E3395" i="1" a="1"/>
  <c r="E3395" i="1" s="1"/>
  <c r="D3395" i="1"/>
  <c r="C3395" i="1"/>
  <c r="B3395" i="1"/>
  <c r="A3395" i="1"/>
  <c r="F3394" i="1" a="1"/>
  <c r="F3394" i="1" s="1"/>
  <c r="E3394" i="1" a="1"/>
  <c r="E3394" i="1" s="1"/>
  <c r="D3394" i="1"/>
  <c r="C3394" i="1"/>
  <c r="B3394" i="1"/>
  <c r="A3394" i="1"/>
  <c r="F3393" i="1"/>
  <c r="F3393" i="1" a="1"/>
  <c r="E3393" i="1" a="1"/>
  <c r="E3393" i="1" s="1"/>
  <c r="D3393" i="1"/>
  <c r="C3393" i="1"/>
  <c r="B3393" i="1"/>
  <c r="A3393" i="1"/>
  <c r="F3392" i="1" a="1"/>
  <c r="F3392" i="1" s="1"/>
  <c r="E3392" i="1" a="1"/>
  <c r="E3392" i="1" s="1"/>
  <c r="D3392" i="1"/>
  <c r="C3392" i="1"/>
  <c r="B3392" i="1"/>
  <c r="A3392" i="1"/>
  <c r="F3391" i="1"/>
  <c r="F3391" i="1" a="1"/>
  <c r="E3391" i="1" a="1"/>
  <c r="E3391" i="1" s="1"/>
  <c r="D3391" i="1"/>
  <c r="C3391" i="1"/>
  <c r="B3391" i="1"/>
  <c r="A3391" i="1"/>
  <c r="F3390" i="1" a="1"/>
  <c r="F3390" i="1" s="1"/>
  <c r="E3390" i="1" a="1"/>
  <c r="E3390" i="1" s="1"/>
  <c r="D3390" i="1"/>
  <c r="C3390" i="1"/>
  <c r="B3390" i="1"/>
  <c r="A3390" i="1"/>
  <c r="F3389" i="1"/>
  <c r="F3389" i="1" a="1"/>
  <c r="E3389" i="1" a="1"/>
  <c r="E3389" i="1" s="1"/>
  <c r="D3389" i="1"/>
  <c r="C3389" i="1"/>
  <c r="B3389" i="1"/>
  <c r="A3389" i="1"/>
  <c r="F3388" i="1" a="1"/>
  <c r="F3388" i="1" s="1"/>
  <c r="E3388" i="1" a="1"/>
  <c r="E3388" i="1" s="1"/>
  <c r="D3388" i="1"/>
  <c r="C3388" i="1"/>
  <c r="B3388" i="1"/>
  <c r="A3388" i="1"/>
  <c r="F3387" i="1"/>
  <c r="F3387" i="1" a="1"/>
  <c r="E3387" i="1" a="1"/>
  <c r="E3387" i="1" s="1"/>
  <c r="D3387" i="1"/>
  <c r="C3387" i="1"/>
  <c r="B3387" i="1"/>
  <c r="A3387" i="1"/>
  <c r="F3386" i="1" a="1"/>
  <c r="F3386" i="1" s="1"/>
  <c r="E3386" i="1" a="1"/>
  <c r="E3386" i="1" s="1"/>
  <c r="D3386" i="1"/>
  <c r="C3386" i="1"/>
  <c r="B3386" i="1"/>
  <c r="A3386" i="1"/>
  <c r="F3385" i="1"/>
  <c r="F3385" i="1" a="1"/>
  <c r="E3385" i="1" a="1"/>
  <c r="E3385" i="1" s="1"/>
  <c r="D3385" i="1"/>
  <c r="C3385" i="1"/>
  <c r="B3385" i="1"/>
  <c r="A3385" i="1"/>
  <c r="F3384" i="1" a="1"/>
  <c r="F3384" i="1" s="1"/>
  <c r="E3384" i="1" a="1"/>
  <c r="E3384" i="1" s="1"/>
  <c r="D3384" i="1"/>
  <c r="C3384" i="1"/>
  <c r="B3384" i="1"/>
  <c r="A3384" i="1"/>
  <c r="F3383" i="1"/>
  <c r="F3383" i="1" a="1"/>
  <c r="E3383" i="1" a="1"/>
  <c r="E3383" i="1" s="1"/>
  <c r="D3383" i="1"/>
  <c r="C3383" i="1"/>
  <c r="B3383" i="1"/>
  <c r="A3383" i="1"/>
  <c r="F3382" i="1" a="1"/>
  <c r="F3382" i="1" s="1"/>
  <c r="E3382" i="1" a="1"/>
  <c r="E3382" i="1" s="1"/>
  <c r="D3382" i="1"/>
  <c r="C3382" i="1"/>
  <c r="B3382" i="1"/>
  <c r="A3382" i="1"/>
  <c r="F3381" i="1"/>
  <c r="F3381" i="1" a="1"/>
  <c r="E3381" i="1" a="1"/>
  <c r="E3381" i="1" s="1"/>
  <c r="D3381" i="1"/>
  <c r="C3381" i="1"/>
  <c r="B3381" i="1"/>
  <c r="A3381" i="1"/>
  <c r="F3380" i="1" a="1"/>
  <c r="F3380" i="1" s="1"/>
  <c r="E3380" i="1" a="1"/>
  <c r="E3380" i="1" s="1"/>
  <c r="D3380" i="1"/>
  <c r="C3380" i="1"/>
  <c r="B3380" i="1"/>
  <c r="A3380" i="1"/>
  <c r="F3379" i="1"/>
  <c r="F3379" i="1" a="1"/>
  <c r="E3379" i="1" a="1"/>
  <c r="E3379" i="1" s="1"/>
  <c r="D3379" i="1"/>
  <c r="C3379" i="1"/>
  <c r="B3379" i="1"/>
  <c r="A3379" i="1"/>
  <c r="F3378" i="1" a="1"/>
  <c r="F3378" i="1" s="1"/>
  <c r="E3378" i="1" a="1"/>
  <c r="E3378" i="1" s="1"/>
  <c r="D3378" i="1"/>
  <c r="C3378" i="1"/>
  <c r="B3378" i="1"/>
  <c r="A3378" i="1"/>
  <c r="F3377" i="1"/>
  <c r="F3377" i="1" a="1"/>
  <c r="E3377" i="1" a="1"/>
  <c r="E3377" i="1" s="1"/>
  <c r="D3377" i="1"/>
  <c r="C3377" i="1"/>
  <c r="B3377" i="1"/>
  <c r="A3377" i="1"/>
  <c r="F3376" i="1" a="1"/>
  <c r="F3376" i="1" s="1"/>
  <c r="E3376" i="1" a="1"/>
  <c r="E3376" i="1" s="1"/>
  <c r="D3376" i="1"/>
  <c r="C3376" i="1"/>
  <c r="B3376" i="1"/>
  <c r="A3376" i="1"/>
  <c r="F3375" i="1"/>
  <c r="F3375" i="1" a="1"/>
  <c r="E3375" i="1" a="1"/>
  <c r="E3375" i="1" s="1"/>
  <c r="D3375" i="1"/>
  <c r="C3375" i="1"/>
  <c r="B3375" i="1"/>
  <c r="A3375" i="1"/>
  <c r="F3374" i="1" a="1"/>
  <c r="F3374" i="1" s="1"/>
  <c r="E3374" i="1" a="1"/>
  <c r="E3374" i="1" s="1"/>
  <c r="D3374" i="1"/>
  <c r="C3374" i="1"/>
  <c r="B3374" i="1"/>
  <c r="A3374" i="1"/>
  <c r="F3373" i="1"/>
  <c r="F3373" i="1" a="1"/>
  <c r="E3373" i="1" a="1"/>
  <c r="E3373" i="1" s="1"/>
  <c r="D3373" i="1"/>
  <c r="C3373" i="1"/>
  <c r="B3373" i="1"/>
  <c r="A3373" i="1"/>
  <c r="F3372" i="1" a="1"/>
  <c r="F3372" i="1" s="1"/>
  <c r="E3372" i="1" a="1"/>
  <c r="E3372" i="1" s="1"/>
  <c r="D3372" i="1"/>
  <c r="C3372" i="1"/>
  <c r="B3372" i="1"/>
  <c r="A3372" i="1"/>
  <c r="F3371" i="1"/>
  <c r="F3371" i="1" a="1"/>
  <c r="E3371" i="1" a="1"/>
  <c r="E3371" i="1" s="1"/>
  <c r="D3371" i="1"/>
  <c r="C3371" i="1"/>
  <c r="B3371" i="1"/>
  <c r="A3371" i="1"/>
  <c r="F3370" i="1" a="1"/>
  <c r="F3370" i="1" s="1"/>
  <c r="E3370" i="1" a="1"/>
  <c r="E3370" i="1" s="1"/>
  <c r="D3370" i="1"/>
  <c r="C3370" i="1"/>
  <c r="B3370" i="1"/>
  <c r="A3370" i="1"/>
  <c r="F3369" i="1"/>
  <c r="F3369" i="1" a="1"/>
  <c r="E3369" i="1" a="1"/>
  <c r="E3369" i="1" s="1"/>
  <c r="D3369" i="1"/>
  <c r="C3369" i="1"/>
  <c r="B3369" i="1"/>
  <c r="A3369" i="1"/>
  <c r="F3368" i="1" a="1"/>
  <c r="F3368" i="1" s="1"/>
  <c r="E3368" i="1" a="1"/>
  <c r="E3368" i="1" s="1"/>
  <c r="D3368" i="1"/>
  <c r="C3368" i="1"/>
  <c r="B3368" i="1"/>
  <c r="A3368" i="1"/>
  <c r="F3367" i="1"/>
  <c r="F3367" i="1" a="1"/>
  <c r="E3367" i="1" a="1"/>
  <c r="E3367" i="1" s="1"/>
  <c r="D3367" i="1"/>
  <c r="C3367" i="1"/>
  <c r="B3367" i="1"/>
  <c r="A3367" i="1"/>
  <c r="F3366" i="1" a="1"/>
  <c r="F3366" i="1" s="1"/>
  <c r="E3366" i="1" a="1"/>
  <c r="E3366" i="1" s="1"/>
  <c r="D3366" i="1"/>
  <c r="C3366" i="1"/>
  <c r="B3366" i="1"/>
  <c r="A3366" i="1"/>
  <c r="F3365" i="1"/>
  <c r="F3365" i="1" a="1"/>
  <c r="E3365" i="1" a="1"/>
  <c r="E3365" i="1" s="1"/>
  <c r="D3365" i="1"/>
  <c r="C3365" i="1"/>
  <c r="B3365" i="1"/>
  <c r="A3365" i="1"/>
  <c r="F3364" i="1" a="1"/>
  <c r="F3364" i="1" s="1"/>
  <c r="E3364" i="1" a="1"/>
  <c r="E3364" i="1" s="1"/>
  <c r="D3364" i="1"/>
  <c r="C3364" i="1"/>
  <c r="B3364" i="1"/>
  <c r="A3364" i="1"/>
  <c r="F3363" i="1"/>
  <c r="F3363" i="1" a="1"/>
  <c r="E3363" i="1" a="1"/>
  <c r="E3363" i="1" s="1"/>
  <c r="D3363" i="1"/>
  <c r="C3363" i="1"/>
  <c r="B3363" i="1"/>
  <c r="A3363" i="1"/>
  <c r="F3362" i="1" a="1"/>
  <c r="F3362" i="1" s="1"/>
  <c r="E3362" i="1" a="1"/>
  <c r="E3362" i="1" s="1"/>
  <c r="D3362" i="1"/>
  <c r="C3362" i="1"/>
  <c r="B3362" i="1"/>
  <c r="A3362" i="1"/>
  <c r="F3361" i="1"/>
  <c r="F3361" i="1" a="1"/>
  <c r="E3361" i="1" a="1"/>
  <c r="E3361" i="1" s="1"/>
  <c r="D3361" i="1"/>
  <c r="C3361" i="1"/>
  <c r="B3361" i="1"/>
  <c r="A3361" i="1"/>
  <c r="F3360" i="1" a="1"/>
  <c r="F3360" i="1" s="1"/>
  <c r="E3360" i="1" a="1"/>
  <c r="E3360" i="1" s="1"/>
  <c r="D3360" i="1"/>
  <c r="C3360" i="1"/>
  <c r="B3360" i="1"/>
  <c r="A3360" i="1"/>
  <c r="F3359" i="1"/>
  <c r="F3359" i="1" a="1"/>
  <c r="E3359" i="1" a="1"/>
  <c r="E3359" i="1" s="1"/>
  <c r="D3359" i="1"/>
  <c r="C3359" i="1"/>
  <c r="B3359" i="1"/>
  <c r="A3359" i="1"/>
  <c r="F3358" i="1" a="1"/>
  <c r="F3358" i="1" s="1"/>
  <c r="E3358" i="1" a="1"/>
  <c r="E3358" i="1" s="1"/>
  <c r="D3358" i="1"/>
  <c r="C3358" i="1"/>
  <c r="B3358" i="1"/>
  <c r="A3358" i="1"/>
  <c r="F3357" i="1"/>
  <c r="F3357" i="1" a="1"/>
  <c r="E3357" i="1" a="1"/>
  <c r="E3357" i="1" s="1"/>
  <c r="D3357" i="1"/>
  <c r="C3357" i="1"/>
  <c r="B3357" i="1"/>
  <c r="A3357" i="1"/>
  <c r="F3356" i="1" a="1"/>
  <c r="F3356" i="1" s="1"/>
  <c r="E3356" i="1" a="1"/>
  <c r="E3356" i="1" s="1"/>
  <c r="D3356" i="1"/>
  <c r="C3356" i="1"/>
  <c r="B3356" i="1"/>
  <c r="A3356" i="1"/>
  <c r="F3355" i="1"/>
  <c r="F3355" i="1" a="1"/>
  <c r="E3355" i="1" a="1"/>
  <c r="E3355" i="1" s="1"/>
  <c r="D3355" i="1"/>
  <c r="C3355" i="1"/>
  <c r="B3355" i="1"/>
  <c r="A3355" i="1"/>
  <c r="F3354" i="1" a="1"/>
  <c r="F3354" i="1" s="1"/>
  <c r="E3354" i="1" a="1"/>
  <c r="E3354" i="1" s="1"/>
  <c r="D3354" i="1"/>
  <c r="C3354" i="1"/>
  <c r="B3354" i="1"/>
  <c r="A3354" i="1"/>
  <c r="F3353" i="1"/>
  <c r="F3353" i="1" a="1"/>
  <c r="E3353" i="1" a="1"/>
  <c r="E3353" i="1" s="1"/>
  <c r="D3353" i="1"/>
  <c r="C3353" i="1"/>
  <c r="B3353" i="1"/>
  <c r="A3353" i="1"/>
  <c r="F3352" i="1" a="1"/>
  <c r="F3352" i="1" s="1"/>
  <c r="E3352" i="1" a="1"/>
  <c r="E3352" i="1" s="1"/>
  <c r="D3352" i="1"/>
  <c r="C3352" i="1"/>
  <c r="B3352" i="1"/>
  <c r="A3352" i="1"/>
  <c r="F3351" i="1"/>
  <c r="F3351" i="1" a="1"/>
  <c r="E3351" i="1" a="1"/>
  <c r="E3351" i="1" s="1"/>
  <c r="D3351" i="1"/>
  <c r="C3351" i="1"/>
  <c r="B3351" i="1"/>
  <c r="A3351" i="1"/>
  <c r="F3350" i="1" a="1"/>
  <c r="F3350" i="1" s="1"/>
  <c r="E3350" i="1" a="1"/>
  <c r="E3350" i="1" s="1"/>
  <c r="D3350" i="1"/>
  <c r="C3350" i="1"/>
  <c r="B3350" i="1"/>
  <c r="A3350" i="1"/>
  <c r="F3349" i="1"/>
  <c r="F3349" i="1" a="1"/>
  <c r="E3349" i="1" a="1"/>
  <c r="E3349" i="1" s="1"/>
  <c r="D3349" i="1"/>
  <c r="C3349" i="1"/>
  <c r="B3349" i="1"/>
  <c r="A3349" i="1"/>
  <c r="F3348" i="1" a="1"/>
  <c r="F3348" i="1" s="1"/>
  <c r="E3348" i="1" a="1"/>
  <c r="E3348" i="1" s="1"/>
  <c r="D3348" i="1"/>
  <c r="C3348" i="1"/>
  <c r="B3348" i="1"/>
  <c r="A3348" i="1"/>
  <c r="F3347" i="1"/>
  <c r="F3347" i="1" a="1"/>
  <c r="E3347" i="1" a="1"/>
  <c r="E3347" i="1" s="1"/>
  <c r="D3347" i="1"/>
  <c r="C3347" i="1"/>
  <c r="B3347" i="1"/>
  <c r="A3347" i="1"/>
  <c r="F3346" i="1" a="1"/>
  <c r="F3346" i="1" s="1"/>
  <c r="E3346" i="1" a="1"/>
  <c r="E3346" i="1" s="1"/>
  <c r="D3346" i="1"/>
  <c r="C3346" i="1"/>
  <c r="B3346" i="1"/>
  <c r="A3346" i="1"/>
  <c r="F3345" i="1"/>
  <c r="F3345" i="1" a="1"/>
  <c r="E3345" i="1" a="1"/>
  <c r="E3345" i="1" s="1"/>
  <c r="D3345" i="1"/>
  <c r="C3345" i="1"/>
  <c r="B3345" i="1"/>
  <c r="A3345" i="1"/>
  <c r="F3344" i="1" a="1"/>
  <c r="F3344" i="1" s="1"/>
  <c r="E3344" i="1" a="1"/>
  <c r="E3344" i="1" s="1"/>
  <c r="D3344" i="1"/>
  <c r="C3344" i="1"/>
  <c r="B3344" i="1"/>
  <c r="A3344" i="1"/>
  <c r="F3343" i="1"/>
  <c r="F3343" i="1" a="1"/>
  <c r="E3343" i="1" a="1"/>
  <c r="E3343" i="1" s="1"/>
  <c r="D3343" i="1"/>
  <c r="C3343" i="1"/>
  <c r="B3343" i="1"/>
  <c r="A3343" i="1"/>
  <c r="F3342" i="1" a="1"/>
  <c r="F3342" i="1" s="1"/>
  <c r="E3342" i="1" a="1"/>
  <c r="E3342" i="1" s="1"/>
  <c r="D3342" i="1"/>
  <c r="C3342" i="1"/>
  <c r="B3342" i="1"/>
  <c r="A3342" i="1"/>
  <c r="F3341" i="1"/>
  <c r="F3341" i="1" a="1"/>
  <c r="E3341" i="1" a="1"/>
  <c r="E3341" i="1" s="1"/>
  <c r="D3341" i="1"/>
  <c r="C3341" i="1"/>
  <c r="B3341" i="1"/>
  <c r="A3341" i="1"/>
  <c r="F3340" i="1" a="1"/>
  <c r="F3340" i="1" s="1"/>
  <c r="E3340" i="1" a="1"/>
  <c r="E3340" i="1" s="1"/>
  <c r="D3340" i="1"/>
  <c r="C3340" i="1"/>
  <c r="B3340" i="1"/>
  <c r="A3340" i="1"/>
  <c r="F3339" i="1"/>
  <c r="F3339" i="1" a="1"/>
  <c r="E3339" i="1" a="1"/>
  <c r="E3339" i="1" s="1"/>
  <c r="D3339" i="1"/>
  <c r="C3339" i="1"/>
  <c r="B3339" i="1"/>
  <c r="A3339" i="1"/>
  <c r="F3338" i="1" a="1"/>
  <c r="F3338" i="1" s="1"/>
  <c r="E3338" i="1" a="1"/>
  <c r="E3338" i="1" s="1"/>
  <c r="D3338" i="1"/>
  <c r="C3338" i="1"/>
  <c r="B3338" i="1"/>
  <c r="A3338" i="1"/>
  <c r="F3337" i="1"/>
  <c r="F3337" i="1" a="1"/>
  <c r="E3337" i="1" a="1"/>
  <c r="E3337" i="1" s="1"/>
  <c r="D3337" i="1"/>
  <c r="C3337" i="1"/>
  <c r="B3337" i="1"/>
  <c r="A3337" i="1"/>
  <c r="F3336" i="1" a="1"/>
  <c r="F3336" i="1" s="1"/>
  <c r="E3336" i="1" a="1"/>
  <c r="E3336" i="1" s="1"/>
  <c r="D3336" i="1"/>
  <c r="C3336" i="1"/>
  <c r="B3336" i="1"/>
  <c r="A3336" i="1"/>
  <c r="F3335" i="1"/>
  <c r="F3335" i="1" a="1"/>
  <c r="E3335" i="1" a="1"/>
  <c r="E3335" i="1" s="1"/>
  <c r="D3335" i="1"/>
  <c r="C3335" i="1"/>
  <c r="B3335" i="1"/>
  <c r="A3335" i="1"/>
  <c r="F3334" i="1" a="1"/>
  <c r="F3334" i="1" s="1"/>
  <c r="E3334" i="1" a="1"/>
  <c r="E3334" i="1" s="1"/>
  <c r="D3334" i="1"/>
  <c r="C3334" i="1"/>
  <c r="B3334" i="1"/>
  <c r="A3334" i="1"/>
  <c r="F3333" i="1"/>
  <c r="F3333" i="1" a="1"/>
  <c r="E3333" i="1" a="1"/>
  <c r="E3333" i="1" s="1"/>
  <c r="D3333" i="1"/>
  <c r="C3333" i="1"/>
  <c r="B3333" i="1"/>
  <c r="A3333" i="1"/>
  <c r="F3332" i="1" a="1"/>
  <c r="F3332" i="1" s="1"/>
  <c r="E3332" i="1" a="1"/>
  <c r="E3332" i="1" s="1"/>
  <c r="D3332" i="1"/>
  <c r="C3332" i="1"/>
  <c r="B3332" i="1"/>
  <c r="A3332" i="1"/>
  <c r="F3331" i="1"/>
  <c r="F3331" i="1" a="1"/>
  <c r="E3331" i="1" a="1"/>
  <c r="E3331" i="1" s="1"/>
  <c r="D3331" i="1"/>
  <c r="C3331" i="1"/>
  <c r="B3331" i="1"/>
  <c r="A3331" i="1"/>
  <c r="F3330" i="1" a="1"/>
  <c r="F3330" i="1" s="1"/>
  <c r="E3330" i="1" a="1"/>
  <c r="E3330" i="1" s="1"/>
  <c r="D3330" i="1"/>
  <c r="C3330" i="1"/>
  <c r="B3330" i="1"/>
  <c r="A3330" i="1"/>
  <c r="F3329" i="1"/>
  <c r="F3329" i="1" a="1"/>
  <c r="E3329" i="1" a="1"/>
  <c r="E3329" i="1" s="1"/>
  <c r="D3329" i="1"/>
  <c r="C3329" i="1"/>
  <c r="B3329" i="1"/>
  <c r="A3329" i="1"/>
  <c r="F3328" i="1" a="1"/>
  <c r="F3328" i="1" s="1"/>
  <c r="E3328" i="1" a="1"/>
  <c r="E3328" i="1" s="1"/>
  <c r="D3328" i="1"/>
  <c r="C3328" i="1"/>
  <c r="B3328" i="1"/>
  <c r="A3328" i="1"/>
  <c r="F3327" i="1"/>
  <c r="F3327" i="1" a="1"/>
  <c r="E3327" i="1" a="1"/>
  <c r="E3327" i="1" s="1"/>
  <c r="D3327" i="1"/>
  <c r="C3327" i="1"/>
  <c r="B3327" i="1"/>
  <c r="A3327" i="1"/>
  <c r="F3326" i="1" a="1"/>
  <c r="F3326" i="1" s="1"/>
  <c r="E3326" i="1" a="1"/>
  <c r="E3326" i="1" s="1"/>
  <c r="D3326" i="1"/>
  <c r="C3326" i="1"/>
  <c r="B3326" i="1"/>
  <c r="A3326" i="1"/>
  <c r="F3325" i="1"/>
  <c r="F3325" i="1" a="1"/>
  <c r="E3325" i="1" a="1"/>
  <c r="E3325" i="1" s="1"/>
  <c r="D3325" i="1"/>
  <c r="C3325" i="1"/>
  <c r="B3325" i="1"/>
  <c r="A3325" i="1"/>
  <c r="F3324" i="1" a="1"/>
  <c r="F3324" i="1" s="1"/>
  <c r="E3324" i="1" a="1"/>
  <c r="E3324" i="1" s="1"/>
  <c r="D3324" i="1"/>
  <c r="C3324" i="1"/>
  <c r="B3324" i="1"/>
  <c r="A3324" i="1"/>
  <c r="F3323" i="1"/>
  <c r="F3323" i="1" a="1"/>
  <c r="E3323" i="1" a="1"/>
  <c r="E3323" i="1" s="1"/>
  <c r="D3323" i="1"/>
  <c r="C3323" i="1"/>
  <c r="B3323" i="1"/>
  <c r="A3323" i="1"/>
  <c r="F3322" i="1" a="1"/>
  <c r="F3322" i="1" s="1"/>
  <c r="E3322" i="1" a="1"/>
  <c r="E3322" i="1" s="1"/>
  <c r="D3322" i="1"/>
  <c r="C3322" i="1"/>
  <c r="B3322" i="1"/>
  <c r="A3322" i="1"/>
  <c r="F3321" i="1"/>
  <c r="F3321" i="1" a="1"/>
  <c r="E3321" i="1" a="1"/>
  <c r="E3321" i="1" s="1"/>
  <c r="D3321" i="1"/>
  <c r="C3321" i="1"/>
  <c r="B3321" i="1"/>
  <c r="A3321" i="1"/>
  <c r="F3320" i="1" a="1"/>
  <c r="F3320" i="1" s="1"/>
  <c r="E3320" i="1" a="1"/>
  <c r="E3320" i="1" s="1"/>
  <c r="D3320" i="1"/>
  <c r="C3320" i="1"/>
  <c r="B3320" i="1"/>
  <c r="A3320" i="1"/>
  <c r="F3319" i="1"/>
  <c r="F3319" i="1" a="1"/>
  <c r="E3319" i="1" a="1"/>
  <c r="E3319" i="1" s="1"/>
  <c r="D3319" i="1"/>
  <c r="C3319" i="1"/>
  <c r="B3319" i="1"/>
  <c r="A3319" i="1"/>
  <c r="F3318" i="1" a="1"/>
  <c r="F3318" i="1" s="1"/>
  <c r="E3318" i="1" a="1"/>
  <c r="E3318" i="1" s="1"/>
  <c r="D3318" i="1"/>
  <c r="C3318" i="1"/>
  <c r="B3318" i="1"/>
  <c r="A3318" i="1"/>
  <c r="F3317" i="1"/>
  <c r="F3317" i="1" a="1"/>
  <c r="E3317" i="1" a="1"/>
  <c r="E3317" i="1" s="1"/>
  <c r="D3317" i="1"/>
  <c r="C3317" i="1"/>
  <c r="B3317" i="1"/>
  <c r="A3317" i="1"/>
  <c r="F3316" i="1" a="1"/>
  <c r="F3316" i="1" s="1"/>
  <c r="E3316" i="1" a="1"/>
  <c r="E3316" i="1" s="1"/>
  <c r="D3316" i="1"/>
  <c r="C3316" i="1"/>
  <c r="B3316" i="1"/>
  <c r="A3316" i="1"/>
  <c r="F3315" i="1"/>
  <c r="F3315" i="1" a="1"/>
  <c r="E3315" i="1" a="1"/>
  <c r="E3315" i="1" s="1"/>
  <c r="D3315" i="1"/>
  <c r="C3315" i="1"/>
  <c r="B3315" i="1"/>
  <c r="A3315" i="1"/>
  <c r="F3314" i="1" a="1"/>
  <c r="F3314" i="1" s="1"/>
  <c r="E3314" i="1" a="1"/>
  <c r="E3314" i="1" s="1"/>
  <c r="D3314" i="1"/>
  <c r="C3314" i="1"/>
  <c r="B3314" i="1"/>
  <c r="A3314" i="1"/>
  <c r="F3313" i="1"/>
  <c r="F3313" i="1" a="1"/>
  <c r="E3313" i="1" a="1"/>
  <c r="E3313" i="1" s="1"/>
  <c r="D3313" i="1"/>
  <c r="C3313" i="1"/>
  <c r="B3313" i="1"/>
  <c r="A3313" i="1"/>
  <c r="F3312" i="1" a="1"/>
  <c r="F3312" i="1" s="1"/>
  <c r="E3312" i="1" a="1"/>
  <c r="E3312" i="1" s="1"/>
  <c r="D3312" i="1"/>
  <c r="C3312" i="1"/>
  <c r="B3312" i="1"/>
  <c r="A3312" i="1"/>
  <c r="F3311" i="1"/>
  <c r="F3311" i="1" a="1"/>
  <c r="E3311" i="1" a="1"/>
  <c r="E3311" i="1" s="1"/>
  <c r="D3311" i="1"/>
  <c r="C3311" i="1"/>
  <c r="B3311" i="1"/>
  <c r="A3311" i="1"/>
  <c r="F3310" i="1" a="1"/>
  <c r="F3310" i="1" s="1"/>
  <c r="E3310" i="1" a="1"/>
  <c r="E3310" i="1" s="1"/>
  <c r="D3310" i="1"/>
  <c r="C3310" i="1"/>
  <c r="B3310" i="1"/>
  <c r="A3310" i="1"/>
  <c r="F3309" i="1"/>
  <c r="F3309" i="1" a="1"/>
  <c r="E3309" i="1" a="1"/>
  <c r="E3309" i="1" s="1"/>
  <c r="D3309" i="1"/>
  <c r="C3309" i="1"/>
  <c r="B3309" i="1"/>
  <c r="A3309" i="1"/>
  <c r="F3308" i="1" a="1"/>
  <c r="F3308" i="1" s="1"/>
  <c r="E3308" i="1" a="1"/>
  <c r="E3308" i="1" s="1"/>
  <c r="D3308" i="1"/>
  <c r="C3308" i="1"/>
  <c r="B3308" i="1"/>
  <c r="A3308" i="1"/>
  <c r="F3307" i="1"/>
  <c r="F3307" i="1" a="1"/>
  <c r="E3307" i="1" a="1"/>
  <c r="E3307" i="1" s="1"/>
  <c r="D3307" i="1"/>
  <c r="C3307" i="1"/>
  <c r="B3307" i="1"/>
  <c r="A3307" i="1"/>
  <c r="F3306" i="1" a="1"/>
  <c r="F3306" i="1" s="1"/>
  <c r="E3306" i="1" a="1"/>
  <c r="E3306" i="1" s="1"/>
  <c r="D3306" i="1"/>
  <c r="C3306" i="1"/>
  <c r="B3306" i="1"/>
  <c r="A3306" i="1"/>
  <c r="F3305" i="1"/>
  <c r="F3305" i="1" a="1"/>
  <c r="E3305" i="1" a="1"/>
  <c r="E3305" i="1" s="1"/>
  <c r="D3305" i="1"/>
  <c r="C3305" i="1"/>
  <c r="B3305" i="1"/>
  <c r="A3305" i="1"/>
  <c r="F3304" i="1" a="1"/>
  <c r="F3304" i="1" s="1"/>
  <c r="E3304" i="1" a="1"/>
  <c r="E3304" i="1" s="1"/>
  <c r="D3304" i="1"/>
  <c r="C3304" i="1"/>
  <c r="B3304" i="1"/>
  <c r="A3304" i="1"/>
  <c r="F3303" i="1"/>
  <c r="F3303" i="1" a="1"/>
  <c r="E3303" i="1" a="1"/>
  <c r="E3303" i="1" s="1"/>
  <c r="D3303" i="1"/>
  <c r="C3303" i="1"/>
  <c r="B3303" i="1"/>
  <c r="A3303" i="1"/>
  <c r="F3302" i="1" a="1"/>
  <c r="F3302" i="1" s="1"/>
  <c r="E3302" i="1" a="1"/>
  <c r="E3302" i="1" s="1"/>
  <c r="D3302" i="1"/>
  <c r="C3302" i="1"/>
  <c r="B3302" i="1"/>
  <c r="A3302" i="1"/>
  <c r="F3301" i="1"/>
  <c r="F3301" i="1" a="1"/>
  <c r="E3301" i="1" a="1"/>
  <c r="E3301" i="1" s="1"/>
  <c r="D3301" i="1"/>
  <c r="C3301" i="1"/>
  <c r="B3301" i="1"/>
  <c r="A3301" i="1"/>
  <c r="F3300" i="1" a="1"/>
  <c r="F3300" i="1" s="1"/>
  <c r="E3300" i="1" a="1"/>
  <c r="E3300" i="1" s="1"/>
  <c r="D3300" i="1"/>
  <c r="C3300" i="1"/>
  <c r="B3300" i="1"/>
  <c r="A3300" i="1"/>
  <c r="F3299" i="1"/>
  <c r="F3299" i="1" a="1"/>
  <c r="E3299" i="1" a="1"/>
  <c r="E3299" i="1" s="1"/>
  <c r="D3299" i="1"/>
  <c r="C3299" i="1"/>
  <c r="B3299" i="1"/>
  <c r="A3299" i="1"/>
  <c r="F3298" i="1" a="1"/>
  <c r="F3298" i="1" s="1"/>
  <c r="E3298" i="1" a="1"/>
  <c r="E3298" i="1" s="1"/>
  <c r="D3298" i="1"/>
  <c r="C3298" i="1"/>
  <c r="B3298" i="1"/>
  <c r="A3298" i="1"/>
  <c r="F3297" i="1"/>
  <c r="F3297" i="1" a="1"/>
  <c r="E3297" i="1" a="1"/>
  <c r="E3297" i="1" s="1"/>
  <c r="D3297" i="1"/>
  <c r="C3297" i="1"/>
  <c r="B3297" i="1"/>
  <c r="A3297" i="1"/>
  <c r="F3296" i="1" a="1"/>
  <c r="F3296" i="1" s="1"/>
  <c r="E3296" i="1" a="1"/>
  <c r="E3296" i="1" s="1"/>
  <c r="D3296" i="1"/>
  <c r="C3296" i="1"/>
  <c r="B3296" i="1"/>
  <c r="A3296" i="1"/>
  <c r="F3295" i="1"/>
  <c r="F3295" i="1" a="1"/>
  <c r="E3295" i="1" a="1"/>
  <c r="E3295" i="1" s="1"/>
  <c r="D3295" i="1"/>
  <c r="C3295" i="1"/>
  <c r="B3295" i="1"/>
  <c r="A3295" i="1"/>
  <c r="F3294" i="1" a="1"/>
  <c r="F3294" i="1" s="1"/>
  <c r="E3294" i="1" a="1"/>
  <c r="E3294" i="1" s="1"/>
  <c r="D3294" i="1"/>
  <c r="C3294" i="1"/>
  <c r="B3294" i="1"/>
  <c r="A3294" i="1"/>
  <c r="F3293" i="1"/>
  <c r="F3293" i="1" a="1"/>
  <c r="E3293" i="1" a="1"/>
  <c r="E3293" i="1" s="1"/>
  <c r="D3293" i="1"/>
  <c r="C3293" i="1"/>
  <c r="B3293" i="1"/>
  <c r="A3293" i="1"/>
  <c r="F3292" i="1" a="1"/>
  <c r="F3292" i="1" s="1"/>
  <c r="E3292" i="1" a="1"/>
  <c r="E3292" i="1" s="1"/>
  <c r="D3292" i="1"/>
  <c r="C3292" i="1"/>
  <c r="B3292" i="1"/>
  <c r="A3292" i="1"/>
  <c r="F3291" i="1"/>
  <c r="F3291" i="1" a="1"/>
  <c r="E3291" i="1" a="1"/>
  <c r="E3291" i="1" s="1"/>
  <c r="D3291" i="1"/>
  <c r="C3291" i="1"/>
  <c r="B3291" i="1"/>
  <c r="A3291" i="1"/>
  <c r="F3290" i="1" a="1"/>
  <c r="F3290" i="1" s="1"/>
  <c r="E3290" i="1" a="1"/>
  <c r="E3290" i="1" s="1"/>
  <c r="D3290" i="1"/>
  <c r="C3290" i="1"/>
  <c r="B3290" i="1"/>
  <c r="A3290" i="1"/>
  <c r="F3289" i="1"/>
  <c r="F3289" i="1" a="1"/>
  <c r="E3289" i="1" a="1"/>
  <c r="E3289" i="1" s="1"/>
  <c r="D3289" i="1"/>
  <c r="C3289" i="1"/>
  <c r="B3289" i="1"/>
  <c r="A3289" i="1"/>
  <c r="F3288" i="1" a="1"/>
  <c r="F3288" i="1" s="1"/>
  <c r="E3288" i="1" a="1"/>
  <c r="E3288" i="1" s="1"/>
  <c r="D3288" i="1"/>
  <c r="C3288" i="1"/>
  <c r="B3288" i="1"/>
  <c r="A3288" i="1"/>
  <c r="F3287" i="1"/>
  <c r="F3287" i="1" a="1"/>
  <c r="E3287" i="1" a="1"/>
  <c r="E3287" i="1" s="1"/>
  <c r="D3287" i="1"/>
  <c r="C3287" i="1"/>
  <c r="B3287" i="1"/>
  <c r="A3287" i="1"/>
  <c r="F3286" i="1" a="1"/>
  <c r="F3286" i="1" s="1"/>
  <c r="E3286" i="1" a="1"/>
  <c r="E3286" i="1" s="1"/>
  <c r="D3286" i="1"/>
  <c r="C3286" i="1"/>
  <c r="B3286" i="1"/>
  <c r="A3286" i="1"/>
  <c r="F3285" i="1"/>
  <c r="F3285" i="1" a="1"/>
  <c r="E3285" i="1" a="1"/>
  <c r="E3285" i="1" s="1"/>
  <c r="D3285" i="1"/>
  <c r="C3285" i="1"/>
  <c r="B3285" i="1"/>
  <c r="A3285" i="1"/>
  <c r="F3284" i="1" a="1"/>
  <c r="F3284" i="1" s="1"/>
  <c r="E3284" i="1" a="1"/>
  <c r="E3284" i="1" s="1"/>
  <c r="D3284" i="1"/>
  <c r="C3284" i="1"/>
  <c r="B3284" i="1"/>
  <c r="A3284" i="1"/>
  <c r="F3283" i="1"/>
  <c r="F3283" i="1" a="1"/>
  <c r="E3283" i="1" a="1"/>
  <c r="E3283" i="1" s="1"/>
  <c r="D3283" i="1"/>
  <c r="C3283" i="1"/>
  <c r="B3283" i="1"/>
  <c r="A3283" i="1"/>
  <c r="F3282" i="1" a="1"/>
  <c r="F3282" i="1" s="1"/>
  <c r="E3282" i="1" a="1"/>
  <c r="E3282" i="1" s="1"/>
  <c r="D3282" i="1"/>
  <c r="C3282" i="1"/>
  <c r="B3282" i="1"/>
  <c r="A3282" i="1"/>
  <c r="F3281" i="1"/>
  <c r="F3281" i="1" a="1"/>
  <c r="E3281" i="1" a="1"/>
  <c r="E3281" i="1" s="1"/>
  <c r="D3281" i="1"/>
  <c r="C3281" i="1"/>
  <c r="B3281" i="1"/>
  <c r="A3281" i="1"/>
  <c r="F3280" i="1" a="1"/>
  <c r="F3280" i="1" s="1"/>
  <c r="E3280" i="1" a="1"/>
  <c r="E3280" i="1" s="1"/>
  <c r="D3280" i="1"/>
  <c r="C3280" i="1"/>
  <c r="B3280" i="1"/>
  <c r="A3280" i="1"/>
  <c r="F3279" i="1"/>
  <c r="F3279" i="1" a="1"/>
  <c r="E3279" i="1" a="1"/>
  <c r="E3279" i="1" s="1"/>
  <c r="D3279" i="1"/>
  <c r="C3279" i="1"/>
  <c r="B3279" i="1"/>
  <c r="A3279" i="1"/>
  <c r="F3278" i="1" a="1"/>
  <c r="F3278" i="1" s="1"/>
  <c r="E3278" i="1" a="1"/>
  <c r="E3278" i="1" s="1"/>
  <c r="D3278" i="1"/>
  <c r="C3278" i="1"/>
  <c r="B3278" i="1"/>
  <c r="A3278" i="1"/>
  <c r="F3277" i="1"/>
  <c r="F3277" i="1" a="1"/>
  <c r="E3277" i="1" a="1"/>
  <c r="E3277" i="1" s="1"/>
  <c r="D3277" i="1"/>
  <c r="C3277" i="1"/>
  <c r="B3277" i="1"/>
  <c r="A3277" i="1"/>
  <c r="F3276" i="1" a="1"/>
  <c r="F3276" i="1" s="1"/>
  <c r="E3276" i="1" a="1"/>
  <c r="E3276" i="1" s="1"/>
  <c r="D3276" i="1"/>
  <c r="C3276" i="1"/>
  <c r="B3276" i="1"/>
  <c r="A3276" i="1"/>
  <c r="F3275" i="1"/>
  <c r="F3275" i="1" a="1"/>
  <c r="E3275" i="1" a="1"/>
  <c r="E3275" i="1" s="1"/>
  <c r="D3275" i="1"/>
  <c r="C3275" i="1"/>
  <c r="B3275" i="1"/>
  <c r="A3275" i="1"/>
  <c r="F3274" i="1" a="1"/>
  <c r="F3274" i="1" s="1"/>
  <c r="E3274" i="1" a="1"/>
  <c r="E3274" i="1" s="1"/>
  <c r="D3274" i="1"/>
  <c r="C3274" i="1"/>
  <c r="B3274" i="1"/>
  <c r="A3274" i="1"/>
  <c r="F3273" i="1"/>
  <c r="F3273" i="1" a="1"/>
  <c r="E3273" i="1" a="1"/>
  <c r="E3273" i="1" s="1"/>
  <c r="D3273" i="1"/>
  <c r="C3273" i="1"/>
  <c r="B3273" i="1"/>
  <c r="A3273" i="1"/>
  <c r="F3272" i="1" a="1"/>
  <c r="F3272" i="1" s="1"/>
  <c r="E3272" i="1" a="1"/>
  <c r="E3272" i="1" s="1"/>
  <c r="D3272" i="1"/>
  <c r="C3272" i="1"/>
  <c r="B3272" i="1"/>
  <c r="A3272" i="1"/>
  <c r="F3271" i="1"/>
  <c r="F3271" i="1" a="1"/>
  <c r="E3271" i="1" a="1"/>
  <c r="E3271" i="1" s="1"/>
  <c r="D3271" i="1"/>
  <c r="C3271" i="1"/>
  <c r="B3271" i="1"/>
  <c r="A3271" i="1"/>
  <c r="F3270" i="1" a="1"/>
  <c r="F3270" i="1" s="1"/>
  <c r="E3270" i="1" a="1"/>
  <c r="E3270" i="1" s="1"/>
  <c r="D3270" i="1"/>
  <c r="C3270" i="1"/>
  <c r="B3270" i="1"/>
  <c r="A3270" i="1"/>
  <c r="F3269" i="1"/>
  <c r="F3269" i="1" a="1"/>
  <c r="E3269" i="1" a="1"/>
  <c r="E3269" i="1" s="1"/>
  <c r="D3269" i="1"/>
  <c r="C3269" i="1"/>
  <c r="B3269" i="1"/>
  <c r="A3269" i="1"/>
  <c r="F3268" i="1" a="1"/>
  <c r="F3268" i="1" s="1"/>
  <c r="E3268" i="1" a="1"/>
  <c r="E3268" i="1" s="1"/>
  <c r="D3268" i="1"/>
  <c r="C3268" i="1"/>
  <c r="B3268" i="1"/>
  <c r="A3268" i="1"/>
  <c r="F3267" i="1"/>
  <c r="F3267" i="1" a="1"/>
  <c r="E3267" i="1" a="1"/>
  <c r="E3267" i="1" s="1"/>
  <c r="D3267" i="1"/>
  <c r="C3267" i="1"/>
  <c r="B3267" i="1"/>
  <c r="A3267" i="1"/>
  <c r="F3266" i="1" a="1"/>
  <c r="F3266" i="1" s="1"/>
  <c r="E3266" i="1" a="1"/>
  <c r="E3266" i="1" s="1"/>
  <c r="D3266" i="1"/>
  <c r="C3266" i="1"/>
  <c r="B3266" i="1"/>
  <c r="A3266" i="1"/>
  <c r="F3265" i="1"/>
  <c r="F3265" i="1" a="1"/>
  <c r="E3265" i="1" a="1"/>
  <c r="E3265" i="1" s="1"/>
  <c r="D3265" i="1"/>
  <c r="C3265" i="1"/>
  <c r="B3265" i="1"/>
  <c r="A3265" i="1"/>
  <c r="F3264" i="1" a="1"/>
  <c r="F3264" i="1" s="1"/>
  <c r="E3264" i="1" a="1"/>
  <c r="E3264" i="1" s="1"/>
  <c r="D3264" i="1"/>
  <c r="C3264" i="1"/>
  <c r="B3264" i="1"/>
  <c r="A3264" i="1"/>
  <c r="F3263" i="1"/>
  <c r="F3263" i="1" a="1"/>
  <c r="E3263" i="1" a="1"/>
  <c r="E3263" i="1" s="1"/>
  <c r="D3263" i="1"/>
  <c r="C3263" i="1"/>
  <c r="B3263" i="1"/>
  <c r="A3263" i="1"/>
  <c r="F3262" i="1" a="1"/>
  <c r="F3262" i="1" s="1"/>
  <c r="E3262" i="1" a="1"/>
  <c r="E3262" i="1" s="1"/>
  <c r="D3262" i="1"/>
  <c r="C3262" i="1"/>
  <c r="B3262" i="1"/>
  <c r="A3262" i="1"/>
  <c r="F3261" i="1"/>
  <c r="F3261" i="1" a="1"/>
  <c r="E3261" i="1" a="1"/>
  <c r="E3261" i="1" s="1"/>
  <c r="D3261" i="1"/>
  <c r="C3261" i="1"/>
  <c r="B3261" i="1"/>
  <c r="A3261" i="1"/>
  <c r="F3260" i="1" a="1"/>
  <c r="F3260" i="1" s="1"/>
  <c r="E3260" i="1" a="1"/>
  <c r="E3260" i="1" s="1"/>
  <c r="D3260" i="1"/>
  <c r="C3260" i="1"/>
  <c r="B3260" i="1"/>
  <c r="A3260" i="1"/>
  <c r="F3259" i="1"/>
  <c r="F3259" i="1" a="1"/>
  <c r="E3259" i="1" a="1"/>
  <c r="E3259" i="1" s="1"/>
  <c r="D3259" i="1"/>
  <c r="C3259" i="1"/>
  <c r="B3259" i="1"/>
  <c r="A3259" i="1"/>
  <c r="F3258" i="1" a="1"/>
  <c r="F3258" i="1" s="1"/>
  <c r="E3258" i="1" a="1"/>
  <c r="E3258" i="1" s="1"/>
  <c r="D3258" i="1"/>
  <c r="C3258" i="1"/>
  <c r="B3258" i="1"/>
  <c r="A3258" i="1"/>
  <c r="F3257" i="1"/>
  <c r="F3257" i="1" a="1"/>
  <c r="E3257" i="1" a="1"/>
  <c r="E3257" i="1" s="1"/>
  <c r="D3257" i="1"/>
  <c r="C3257" i="1"/>
  <c r="B3257" i="1"/>
  <c r="A3257" i="1"/>
  <c r="F3256" i="1" a="1"/>
  <c r="F3256" i="1" s="1"/>
  <c r="E3256" i="1" a="1"/>
  <c r="E3256" i="1" s="1"/>
  <c r="D3256" i="1"/>
  <c r="C3256" i="1"/>
  <c r="B3256" i="1"/>
  <c r="A3256" i="1"/>
  <c r="F3255" i="1"/>
  <c r="F3255" i="1" a="1"/>
  <c r="E3255" i="1" a="1"/>
  <c r="E3255" i="1" s="1"/>
  <c r="D3255" i="1"/>
  <c r="C3255" i="1"/>
  <c r="B3255" i="1"/>
  <c r="A3255" i="1"/>
  <c r="F3254" i="1" a="1"/>
  <c r="F3254" i="1" s="1"/>
  <c r="E3254" i="1" a="1"/>
  <c r="E3254" i="1" s="1"/>
  <c r="D3254" i="1"/>
  <c r="C3254" i="1"/>
  <c r="B3254" i="1"/>
  <c r="A3254" i="1"/>
  <c r="F3253" i="1"/>
  <c r="F3253" i="1" a="1"/>
  <c r="E3253" i="1" a="1"/>
  <c r="E3253" i="1" s="1"/>
  <c r="D3253" i="1"/>
  <c r="C3253" i="1"/>
  <c r="B3253" i="1"/>
  <c r="A3253" i="1"/>
  <c r="F3252" i="1" a="1"/>
  <c r="F3252" i="1" s="1"/>
  <c r="E3252" i="1" a="1"/>
  <c r="E3252" i="1" s="1"/>
  <c r="D3252" i="1"/>
  <c r="C3252" i="1"/>
  <c r="B3252" i="1"/>
  <c r="A3252" i="1"/>
  <c r="F3251" i="1"/>
  <c r="F3251" i="1" a="1"/>
  <c r="E3251" i="1" a="1"/>
  <c r="E3251" i="1" s="1"/>
  <c r="D3251" i="1"/>
  <c r="C3251" i="1"/>
  <c r="B3251" i="1"/>
  <c r="A3251" i="1"/>
  <c r="F3250" i="1" a="1"/>
  <c r="F3250" i="1" s="1"/>
  <c r="E3250" i="1" a="1"/>
  <c r="E3250" i="1" s="1"/>
  <c r="D3250" i="1"/>
  <c r="C3250" i="1"/>
  <c r="B3250" i="1"/>
  <c r="A3250" i="1"/>
  <c r="F3249" i="1"/>
  <c r="F3249" i="1" a="1"/>
  <c r="E3249" i="1" a="1"/>
  <c r="E3249" i="1" s="1"/>
  <c r="D3249" i="1"/>
  <c r="C3249" i="1"/>
  <c r="B3249" i="1"/>
  <c r="A3249" i="1"/>
  <c r="F3248" i="1" a="1"/>
  <c r="F3248" i="1" s="1"/>
  <c r="E3248" i="1" a="1"/>
  <c r="E3248" i="1" s="1"/>
  <c r="D3248" i="1"/>
  <c r="C3248" i="1"/>
  <c r="B3248" i="1"/>
  <c r="A3248" i="1"/>
  <c r="F3247" i="1"/>
  <c r="F3247" i="1" a="1"/>
  <c r="E3247" i="1" a="1"/>
  <c r="E3247" i="1" s="1"/>
  <c r="D3247" i="1"/>
  <c r="C3247" i="1"/>
  <c r="B3247" i="1"/>
  <c r="A3247" i="1"/>
  <c r="F3246" i="1" a="1"/>
  <c r="F3246" i="1" s="1"/>
  <c r="E3246" i="1" a="1"/>
  <c r="E3246" i="1" s="1"/>
  <c r="D3246" i="1"/>
  <c r="C3246" i="1"/>
  <c r="B3246" i="1"/>
  <c r="A3246" i="1"/>
  <c r="F3245" i="1"/>
  <c r="F3245" i="1" a="1"/>
  <c r="E3245" i="1" a="1"/>
  <c r="E3245" i="1" s="1"/>
  <c r="D3245" i="1"/>
  <c r="C3245" i="1"/>
  <c r="B3245" i="1"/>
  <c r="A3245" i="1"/>
  <c r="F3244" i="1" a="1"/>
  <c r="F3244" i="1" s="1"/>
  <c r="E3244" i="1" a="1"/>
  <c r="E3244" i="1" s="1"/>
  <c r="D3244" i="1"/>
  <c r="C3244" i="1"/>
  <c r="B3244" i="1"/>
  <c r="A3244" i="1"/>
  <c r="F3243" i="1"/>
  <c r="F3243" i="1" a="1"/>
  <c r="E3243" i="1" a="1"/>
  <c r="E3243" i="1" s="1"/>
  <c r="D3243" i="1"/>
  <c r="C3243" i="1"/>
  <c r="B3243" i="1"/>
  <c r="A3243" i="1"/>
  <c r="F3242" i="1" a="1"/>
  <c r="F3242" i="1" s="1"/>
  <c r="E3242" i="1" a="1"/>
  <c r="E3242" i="1" s="1"/>
  <c r="D3242" i="1"/>
  <c r="C3242" i="1"/>
  <c r="B3242" i="1"/>
  <c r="A3242" i="1"/>
  <c r="F3241" i="1"/>
  <c r="F3241" i="1" a="1"/>
  <c r="E3241" i="1" a="1"/>
  <c r="E3241" i="1" s="1"/>
  <c r="D3241" i="1"/>
  <c r="C3241" i="1"/>
  <c r="B3241" i="1"/>
  <c r="A3241" i="1"/>
  <c r="F3240" i="1" a="1"/>
  <c r="F3240" i="1" s="1"/>
  <c r="E3240" i="1" a="1"/>
  <c r="E3240" i="1" s="1"/>
  <c r="D3240" i="1"/>
  <c r="C3240" i="1"/>
  <c r="B3240" i="1"/>
  <c r="A3240" i="1"/>
  <c r="F3239" i="1"/>
  <c r="F3239" i="1" a="1"/>
  <c r="E3239" i="1" a="1"/>
  <c r="E3239" i="1" s="1"/>
  <c r="D3239" i="1"/>
  <c r="C3239" i="1"/>
  <c r="B3239" i="1"/>
  <c r="A3239" i="1"/>
  <c r="F3238" i="1" a="1"/>
  <c r="F3238" i="1" s="1"/>
  <c r="E3238" i="1" a="1"/>
  <c r="E3238" i="1" s="1"/>
  <c r="D3238" i="1"/>
  <c r="C3238" i="1"/>
  <c r="B3238" i="1"/>
  <c r="A3238" i="1"/>
  <c r="F3237" i="1"/>
  <c r="F3237" i="1" a="1"/>
  <c r="E3237" i="1" a="1"/>
  <c r="E3237" i="1" s="1"/>
  <c r="D3237" i="1"/>
  <c r="C3237" i="1"/>
  <c r="B3237" i="1"/>
  <c r="A3237" i="1"/>
  <c r="F3236" i="1" a="1"/>
  <c r="F3236" i="1" s="1"/>
  <c r="E3236" i="1" a="1"/>
  <c r="E3236" i="1" s="1"/>
  <c r="D3236" i="1"/>
  <c r="C3236" i="1"/>
  <c r="B3236" i="1"/>
  <c r="A3236" i="1"/>
  <c r="F3235" i="1"/>
  <c r="F3235" i="1" a="1"/>
  <c r="E3235" i="1" a="1"/>
  <c r="E3235" i="1" s="1"/>
  <c r="D3235" i="1"/>
  <c r="C3235" i="1"/>
  <c r="B3235" i="1"/>
  <c r="A3235" i="1"/>
  <c r="F3234" i="1" a="1"/>
  <c r="F3234" i="1" s="1"/>
  <c r="E3234" i="1" a="1"/>
  <c r="E3234" i="1" s="1"/>
  <c r="D3234" i="1"/>
  <c r="C3234" i="1"/>
  <c r="B3234" i="1"/>
  <c r="A3234" i="1"/>
  <c r="F3233" i="1"/>
  <c r="F3233" i="1" a="1"/>
  <c r="E3233" i="1" a="1"/>
  <c r="E3233" i="1" s="1"/>
  <c r="D3233" i="1"/>
  <c r="C3233" i="1"/>
  <c r="B3233" i="1"/>
  <c r="A3233" i="1"/>
  <c r="F3232" i="1" a="1"/>
  <c r="F3232" i="1" s="1"/>
  <c r="E3232" i="1" a="1"/>
  <c r="E3232" i="1" s="1"/>
  <c r="D3232" i="1"/>
  <c r="C3232" i="1"/>
  <c r="B3232" i="1"/>
  <c r="A3232" i="1"/>
  <c r="F3231" i="1"/>
  <c r="F3231" i="1" a="1"/>
  <c r="E3231" i="1" a="1"/>
  <c r="E3231" i="1" s="1"/>
  <c r="D3231" i="1"/>
  <c r="C3231" i="1"/>
  <c r="B3231" i="1"/>
  <c r="A3231" i="1"/>
  <c r="F3230" i="1" a="1"/>
  <c r="F3230" i="1" s="1"/>
  <c r="E3230" i="1" a="1"/>
  <c r="E3230" i="1" s="1"/>
  <c r="D3230" i="1"/>
  <c r="C3230" i="1"/>
  <c r="B3230" i="1"/>
  <c r="A3230" i="1"/>
  <c r="F3229" i="1"/>
  <c r="F3229" i="1" a="1"/>
  <c r="E3229" i="1" a="1"/>
  <c r="E3229" i="1" s="1"/>
  <c r="D3229" i="1"/>
  <c r="C3229" i="1"/>
  <c r="B3229" i="1"/>
  <c r="A3229" i="1"/>
  <c r="F3228" i="1" a="1"/>
  <c r="F3228" i="1" s="1"/>
  <c r="E3228" i="1" a="1"/>
  <c r="E3228" i="1" s="1"/>
  <c r="D3228" i="1"/>
  <c r="C3228" i="1"/>
  <c r="B3228" i="1"/>
  <c r="A3228" i="1"/>
  <c r="F3227" i="1"/>
  <c r="F3227" i="1" a="1"/>
  <c r="E3227" i="1" a="1"/>
  <c r="E3227" i="1" s="1"/>
  <c r="D3227" i="1"/>
  <c r="C3227" i="1"/>
  <c r="B3227" i="1"/>
  <c r="A3227" i="1"/>
  <c r="F3226" i="1" a="1"/>
  <c r="F3226" i="1" s="1"/>
  <c r="E3226" i="1" a="1"/>
  <c r="E3226" i="1" s="1"/>
  <c r="D3226" i="1"/>
  <c r="C3226" i="1"/>
  <c r="B3226" i="1"/>
  <c r="A3226" i="1"/>
  <c r="F3225" i="1"/>
  <c r="F3225" i="1" a="1"/>
  <c r="E3225" i="1" a="1"/>
  <c r="E3225" i="1" s="1"/>
  <c r="D3225" i="1"/>
  <c r="C3225" i="1"/>
  <c r="B3225" i="1"/>
  <c r="A3225" i="1"/>
  <c r="F3224" i="1" a="1"/>
  <c r="F3224" i="1" s="1"/>
  <c r="E3224" i="1" a="1"/>
  <c r="E3224" i="1" s="1"/>
  <c r="D3224" i="1"/>
  <c r="C3224" i="1"/>
  <c r="B3224" i="1"/>
  <c r="A3224" i="1"/>
  <c r="F3223" i="1"/>
  <c r="F3223" i="1" a="1"/>
  <c r="E3223" i="1" a="1"/>
  <c r="E3223" i="1" s="1"/>
  <c r="D3223" i="1"/>
  <c r="C3223" i="1"/>
  <c r="B3223" i="1"/>
  <c r="A3223" i="1"/>
  <c r="F3222" i="1" a="1"/>
  <c r="F3222" i="1" s="1"/>
  <c r="E3222" i="1" a="1"/>
  <c r="E3222" i="1" s="1"/>
  <c r="D3222" i="1"/>
  <c r="C3222" i="1"/>
  <c r="B3222" i="1"/>
  <c r="A3222" i="1"/>
  <c r="F3221" i="1"/>
  <c r="F3221" i="1" a="1"/>
  <c r="E3221" i="1" a="1"/>
  <c r="E3221" i="1" s="1"/>
  <c r="D3221" i="1"/>
  <c r="C3221" i="1"/>
  <c r="B3221" i="1"/>
  <c r="A3221" i="1"/>
  <c r="F3220" i="1" a="1"/>
  <c r="F3220" i="1" s="1"/>
  <c r="E3220" i="1" a="1"/>
  <c r="E3220" i="1" s="1"/>
  <c r="D3220" i="1"/>
  <c r="C3220" i="1"/>
  <c r="B3220" i="1"/>
  <c r="A3220" i="1"/>
  <c r="F3219" i="1"/>
  <c r="F3219" i="1" a="1"/>
  <c r="E3219" i="1" a="1"/>
  <c r="E3219" i="1" s="1"/>
  <c r="D3219" i="1"/>
  <c r="C3219" i="1"/>
  <c r="B3219" i="1"/>
  <c r="A3219" i="1"/>
  <c r="F3218" i="1" a="1"/>
  <c r="F3218" i="1" s="1"/>
  <c r="E3218" i="1" a="1"/>
  <c r="E3218" i="1" s="1"/>
  <c r="D3218" i="1"/>
  <c r="C3218" i="1"/>
  <c r="B3218" i="1"/>
  <c r="A3218" i="1"/>
  <c r="F3217" i="1"/>
  <c r="F3217" i="1" a="1"/>
  <c r="E3217" i="1" a="1"/>
  <c r="E3217" i="1" s="1"/>
  <c r="D3217" i="1"/>
  <c r="C3217" i="1"/>
  <c r="B3217" i="1"/>
  <c r="A3217" i="1"/>
  <c r="F3216" i="1" a="1"/>
  <c r="F3216" i="1" s="1"/>
  <c r="E3216" i="1" a="1"/>
  <c r="E3216" i="1" s="1"/>
  <c r="D3216" i="1"/>
  <c r="C3216" i="1"/>
  <c r="B3216" i="1"/>
  <c r="A3216" i="1"/>
  <c r="F3215" i="1"/>
  <c r="F3215" i="1" a="1"/>
  <c r="E3215" i="1" a="1"/>
  <c r="E3215" i="1" s="1"/>
  <c r="D3215" i="1"/>
  <c r="C3215" i="1"/>
  <c r="B3215" i="1"/>
  <c r="A3215" i="1"/>
  <c r="F3214" i="1" a="1"/>
  <c r="F3214" i="1" s="1"/>
  <c r="E3214" i="1" a="1"/>
  <c r="E3214" i="1" s="1"/>
  <c r="D3214" i="1"/>
  <c r="C3214" i="1"/>
  <c r="B3214" i="1"/>
  <c r="A3214" i="1"/>
  <c r="F3213" i="1"/>
  <c r="F3213" i="1" a="1"/>
  <c r="E3213" i="1" a="1"/>
  <c r="E3213" i="1" s="1"/>
  <c r="D3213" i="1"/>
  <c r="C3213" i="1"/>
  <c r="B3213" i="1"/>
  <c r="A3213" i="1"/>
  <c r="F3212" i="1" a="1"/>
  <c r="F3212" i="1" s="1"/>
  <c r="E3212" i="1" a="1"/>
  <c r="E3212" i="1" s="1"/>
  <c r="D3212" i="1"/>
  <c r="C3212" i="1"/>
  <c r="B3212" i="1"/>
  <c r="A3212" i="1"/>
  <c r="F3211" i="1"/>
  <c r="F3211" i="1" a="1"/>
  <c r="E3211" i="1" a="1"/>
  <c r="E3211" i="1" s="1"/>
  <c r="D3211" i="1"/>
  <c r="C3211" i="1"/>
  <c r="B3211" i="1"/>
  <c r="A3211" i="1"/>
  <c r="F3210" i="1" a="1"/>
  <c r="F3210" i="1" s="1"/>
  <c r="E3210" i="1" a="1"/>
  <c r="E3210" i="1" s="1"/>
  <c r="D3210" i="1"/>
  <c r="C3210" i="1"/>
  <c r="B3210" i="1"/>
  <c r="A3210" i="1"/>
  <c r="F3209" i="1"/>
  <c r="F3209" i="1" a="1"/>
  <c r="E3209" i="1" a="1"/>
  <c r="E3209" i="1" s="1"/>
  <c r="D3209" i="1"/>
  <c r="C3209" i="1"/>
  <c r="B3209" i="1"/>
  <c r="A3209" i="1"/>
  <c r="F3208" i="1" a="1"/>
  <c r="F3208" i="1" s="1"/>
  <c r="E3208" i="1" a="1"/>
  <c r="E3208" i="1" s="1"/>
  <c r="D3208" i="1"/>
  <c r="C3208" i="1"/>
  <c r="B3208" i="1"/>
  <c r="A3208" i="1"/>
  <c r="F3207" i="1"/>
  <c r="F3207" i="1" a="1"/>
  <c r="E3207" i="1" a="1"/>
  <c r="E3207" i="1" s="1"/>
  <c r="D3207" i="1"/>
  <c r="C3207" i="1"/>
  <c r="B3207" i="1"/>
  <c r="A3207" i="1"/>
  <c r="F3206" i="1" a="1"/>
  <c r="F3206" i="1" s="1"/>
  <c r="E3206" i="1" a="1"/>
  <c r="E3206" i="1" s="1"/>
  <c r="D3206" i="1"/>
  <c r="C3206" i="1"/>
  <c r="B3206" i="1"/>
  <c r="A3206" i="1"/>
  <c r="F3205" i="1"/>
  <c r="F3205" i="1" a="1"/>
  <c r="E3205" i="1" a="1"/>
  <c r="E3205" i="1" s="1"/>
  <c r="D3205" i="1"/>
  <c r="C3205" i="1"/>
  <c r="B3205" i="1"/>
  <c r="A3205" i="1"/>
  <c r="F3204" i="1" a="1"/>
  <c r="F3204" i="1" s="1"/>
  <c r="E3204" i="1" a="1"/>
  <c r="E3204" i="1" s="1"/>
  <c r="D3204" i="1"/>
  <c r="C3204" i="1"/>
  <c r="B3204" i="1"/>
  <c r="A3204" i="1"/>
  <c r="F3203" i="1"/>
  <c r="F3203" i="1" a="1"/>
  <c r="E3203" i="1" a="1"/>
  <c r="E3203" i="1" s="1"/>
  <c r="D3203" i="1"/>
  <c r="C3203" i="1"/>
  <c r="B3203" i="1"/>
  <c r="A3203" i="1"/>
  <c r="F3202" i="1" a="1"/>
  <c r="F3202" i="1" s="1"/>
  <c r="E3202" i="1" a="1"/>
  <c r="E3202" i="1" s="1"/>
  <c r="D3202" i="1"/>
  <c r="C3202" i="1"/>
  <c r="B3202" i="1"/>
  <c r="A3202" i="1"/>
  <c r="F3201" i="1"/>
  <c r="F3201" i="1" a="1"/>
  <c r="E3201" i="1" a="1"/>
  <c r="E3201" i="1" s="1"/>
  <c r="D3201" i="1"/>
  <c r="C3201" i="1"/>
  <c r="B3201" i="1"/>
  <c r="A3201" i="1"/>
  <c r="F3200" i="1" a="1"/>
  <c r="F3200" i="1" s="1"/>
  <c r="E3200" i="1" a="1"/>
  <c r="E3200" i="1" s="1"/>
  <c r="D3200" i="1"/>
  <c r="C3200" i="1"/>
  <c r="B3200" i="1"/>
  <c r="A3200" i="1"/>
  <c r="F3199" i="1"/>
  <c r="F3199" i="1" a="1"/>
  <c r="E3199" i="1" a="1"/>
  <c r="E3199" i="1" s="1"/>
  <c r="D3199" i="1"/>
  <c r="C3199" i="1"/>
  <c r="B3199" i="1"/>
  <c r="A3199" i="1"/>
  <c r="F3198" i="1" a="1"/>
  <c r="F3198" i="1" s="1"/>
  <c r="E3198" i="1" a="1"/>
  <c r="E3198" i="1" s="1"/>
  <c r="D3198" i="1"/>
  <c r="C3198" i="1"/>
  <c r="B3198" i="1"/>
  <c r="A3198" i="1"/>
  <c r="F3197" i="1"/>
  <c r="F3197" i="1" a="1"/>
  <c r="E3197" i="1" a="1"/>
  <c r="E3197" i="1" s="1"/>
  <c r="D3197" i="1"/>
  <c r="C3197" i="1"/>
  <c r="B3197" i="1"/>
  <c r="A3197" i="1"/>
  <c r="F3196" i="1" a="1"/>
  <c r="F3196" i="1" s="1"/>
  <c r="E3196" i="1" a="1"/>
  <c r="E3196" i="1" s="1"/>
  <c r="D3196" i="1"/>
  <c r="C3196" i="1"/>
  <c r="B3196" i="1"/>
  <c r="A3196" i="1"/>
  <c r="F3195" i="1"/>
  <c r="F3195" i="1" a="1"/>
  <c r="E3195" i="1" a="1"/>
  <c r="E3195" i="1" s="1"/>
  <c r="D3195" i="1"/>
  <c r="C3195" i="1"/>
  <c r="B3195" i="1"/>
  <c r="A3195" i="1"/>
  <c r="F3194" i="1" a="1"/>
  <c r="F3194" i="1" s="1"/>
  <c r="E3194" i="1" a="1"/>
  <c r="E3194" i="1" s="1"/>
  <c r="D3194" i="1"/>
  <c r="C3194" i="1"/>
  <c r="B3194" i="1"/>
  <c r="A3194" i="1"/>
  <c r="F3193" i="1"/>
  <c r="F3193" i="1" a="1"/>
  <c r="E3193" i="1" a="1"/>
  <c r="E3193" i="1" s="1"/>
  <c r="D3193" i="1"/>
  <c r="C3193" i="1"/>
  <c r="B3193" i="1"/>
  <c r="A3193" i="1"/>
  <c r="F3192" i="1" a="1"/>
  <c r="F3192" i="1" s="1"/>
  <c r="E3192" i="1" a="1"/>
  <c r="E3192" i="1" s="1"/>
  <c r="D3192" i="1"/>
  <c r="C3192" i="1"/>
  <c r="B3192" i="1"/>
  <c r="A3192" i="1"/>
  <c r="F3191" i="1"/>
  <c r="F3191" i="1" a="1"/>
  <c r="E3191" i="1" a="1"/>
  <c r="E3191" i="1" s="1"/>
  <c r="D3191" i="1"/>
  <c r="C3191" i="1"/>
  <c r="B3191" i="1"/>
  <c r="A3191" i="1"/>
  <c r="F3190" i="1" a="1"/>
  <c r="F3190" i="1" s="1"/>
  <c r="E3190" i="1" a="1"/>
  <c r="E3190" i="1" s="1"/>
  <c r="D3190" i="1"/>
  <c r="C3190" i="1"/>
  <c r="B3190" i="1"/>
  <c r="A3190" i="1"/>
  <c r="F3189" i="1"/>
  <c r="F3189" i="1" a="1"/>
  <c r="E3189" i="1" a="1"/>
  <c r="E3189" i="1" s="1"/>
  <c r="D3189" i="1"/>
  <c r="C3189" i="1"/>
  <c r="B3189" i="1"/>
  <c r="A3189" i="1"/>
  <c r="F3188" i="1" a="1"/>
  <c r="F3188" i="1" s="1"/>
  <c r="E3188" i="1" a="1"/>
  <c r="E3188" i="1" s="1"/>
  <c r="D3188" i="1"/>
  <c r="C3188" i="1"/>
  <c r="B3188" i="1"/>
  <c r="A3188" i="1"/>
  <c r="F3187" i="1"/>
  <c r="F3187" i="1" a="1"/>
  <c r="E3187" i="1" a="1"/>
  <c r="E3187" i="1" s="1"/>
  <c r="D3187" i="1"/>
  <c r="C3187" i="1"/>
  <c r="B3187" i="1"/>
  <c r="A3187" i="1"/>
  <c r="F3186" i="1" a="1"/>
  <c r="F3186" i="1" s="1"/>
  <c r="E3186" i="1" a="1"/>
  <c r="E3186" i="1" s="1"/>
  <c r="D3186" i="1"/>
  <c r="C3186" i="1"/>
  <c r="B3186" i="1"/>
  <c r="A3186" i="1"/>
  <c r="F3185" i="1"/>
  <c r="F3185" i="1" a="1"/>
  <c r="E3185" i="1" a="1"/>
  <c r="E3185" i="1" s="1"/>
  <c r="D3185" i="1"/>
  <c r="C3185" i="1"/>
  <c r="B3185" i="1"/>
  <c r="A3185" i="1"/>
  <c r="F3184" i="1" a="1"/>
  <c r="F3184" i="1" s="1"/>
  <c r="E3184" i="1" a="1"/>
  <c r="E3184" i="1" s="1"/>
  <c r="D3184" i="1"/>
  <c r="C3184" i="1"/>
  <c r="B3184" i="1"/>
  <c r="A3184" i="1"/>
  <c r="F3183" i="1"/>
  <c r="F3183" i="1" a="1"/>
  <c r="E3183" i="1" a="1"/>
  <c r="E3183" i="1" s="1"/>
  <c r="D3183" i="1"/>
  <c r="C3183" i="1"/>
  <c r="B3183" i="1"/>
  <c r="A3183" i="1"/>
  <c r="F3182" i="1" a="1"/>
  <c r="F3182" i="1" s="1"/>
  <c r="E3182" i="1" a="1"/>
  <c r="E3182" i="1" s="1"/>
  <c r="D3182" i="1"/>
  <c r="C3182" i="1"/>
  <c r="B3182" i="1"/>
  <c r="A3182" i="1"/>
  <c r="F3181" i="1"/>
  <c r="F3181" i="1" a="1"/>
  <c r="E3181" i="1" a="1"/>
  <c r="E3181" i="1" s="1"/>
  <c r="D3181" i="1"/>
  <c r="C3181" i="1"/>
  <c r="B3181" i="1"/>
  <c r="A3181" i="1"/>
  <c r="F3180" i="1" a="1"/>
  <c r="F3180" i="1" s="1"/>
  <c r="E3180" i="1" a="1"/>
  <c r="E3180" i="1" s="1"/>
  <c r="D3180" i="1"/>
  <c r="C3180" i="1"/>
  <c r="B3180" i="1"/>
  <c r="A3180" i="1"/>
  <c r="F3179" i="1"/>
  <c r="F3179" i="1" a="1"/>
  <c r="E3179" i="1" a="1"/>
  <c r="E3179" i="1" s="1"/>
  <c r="D3179" i="1"/>
  <c r="C3179" i="1"/>
  <c r="B3179" i="1"/>
  <c r="A3179" i="1"/>
  <c r="F3178" i="1" a="1"/>
  <c r="F3178" i="1" s="1"/>
  <c r="E3178" i="1" a="1"/>
  <c r="E3178" i="1" s="1"/>
  <c r="D3178" i="1"/>
  <c r="C3178" i="1"/>
  <c r="B3178" i="1"/>
  <c r="A3178" i="1"/>
  <c r="F3177" i="1"/>
  <c r="F3177" i="1" a="1"/>
  <c r="E3177" i="1" a="1"/>
  <c r="E3177" i="1" s="1"/>
  <c r="D3177" i="1"/>
  <c r="C3177" i="1"/>
  <c r="B3177" i="1"/>
  <c r="A3177" i="1"/>
  <c r="F3176" i="1" a="1"/>
  <c r="F3176" i="1" s="1"/>
  <c r="E3176" i="1" a="1"/>
  <c r="E3176" i="1" s="1"/>
  <c r="D3176" i="1"/>
  <c r="C3176" i="1"/>
  <c r="B3176" i="1"/>
  <c r="A3176" i="1"/>
  <c r="F3175" i="1"/>
  <c r="F3175" i="1" a="1"/>
  <c r="E3175" i="1" a="1"/>
  <c r="E3175" i="1" s="1"/>
  <c r="D3175" i="1"/>
  <c r="C3175" i="1"/>
  <c r="B3175" i="1"/>
  <c r="A3175" i="1"/>
  <c r="F3174" i="1" a="1"/>
  <c r="F3174" i="1" s="1"/>
  <c r="E3174" i="1" a="1"/>
  <c r="E3174" i="1" s="1"/>
  <c r="D3174" i="1"/>
  <c r="C3174" i="1"/>
  <c r="B3174" i="1"/>
  <c r="A3174" i="1"/>
  <c r="F3173" i="1"/>
  <c r="F3173" i="1" a="1"/>
  <c r="E3173" i="1" a="1"/>
  <c r="E3173" i="1" s="1"/>
  <c r="D3173" i="1"/>
  <c r="C3173" i="1"/>
  <c r="B3173" i="1"/>
  <c r="A3173" i="1"/>
  <c r="F3172" i="1" a="1"/>
  <c r="F3172" i="1" s="1"/>
  <c r="E3172" i="1" a="1"/>
  <c r="E3172" i="1" s="1"/>
  <c r="D3172" i="1"/>
  <c r="C3172" i="1"/>
  <c r="B3172" i="1"/>
  <c r="A3172" i="1"/>
  <c r="F3171" i="1"/>
  <c r="F3171" i="1" a="1"/>
  <c r="E3171" i="1" a="1"/>
  <c r="E3171" i="1" s="1"/>
  <c r="D3171" i="1"/>
  <c r="C3171" i="1"/>
  <c r="B3171" i="1"/>
  <c r="A3171" i="1"/>
  <c r="F3170" i="1" a="1"/>
  <c r="F3170" i="1" s="1"/>
  <c r="E3170" i="1" a="1"/>
  <c r="E3170" i="1" s="1"/>
  <c r="D3170" i="1"/>
  <c r="C3170" i="1"/>
  <c r="B3170" i="1"/>
  <c r="A3170" i="1"/>
  <c r="F3169" i="1"/>
  <c r="F3169" i="1" a="1"/>
  <c r="E3169" i="1" a="1"/>
  <c r="E3169" i="1" s="1"/>
  <c r="D3169" i="1"/>
  <c r="C3169" i="1"/>
  <c r="B3169" i="1"/>
  <c r="A3169" i="1"/>
  <c r="F3168" i="1" a="1"/>
  <c r="F3168" i="1" s="1"/>
  <c r="E3168" i="1" a="1"/>
  <c r="E3168" i="1" s="1"/>
  <c r="D3168" i="1"/>
  <c r="C3168" i="1"/>
  <c r="B3168" i="1"/>
  <c r="A3168" i="1"/>
  <c r="F3167" i="1"/>
  <c r="F3167" i="1" a="1"/>
  <c r="E3167" i="1" a="1"/>
  <c r="E3167" i="1" s="1"/>
  <c r="D3167" i="1"/>
  <c r="C3167" i="1"/>
  <c r="B3167" i="1"/>
  <c r="A3167" i="1"/>
  <c r="F3166" i="1" a="1"/>
  <c r="F3166" i="1" s="1"/>
  <c r="E3166" i="1" a="1"/>
  <c r="E3166" i="1" s="1"/>
  <c r="D3166" i="1"/>
  <c r="C3166" i="1"/>
  <c r="B3166" i="1"/>
  <c r="A3166" i="1"/>
  <c r="F3165" i="1"/>
  <c r="F3165" i="1" a="1"/>
  <c r="E3165" i="1" a="1"/>
  <c r="E3165" i="1" s="1"/>
  <c r="D3165" i="1"/>
  <c r="C3165" i="1"/>
  <c r="B3165" i="1"/>
  <c r="A3165" i="1"/>
  <c r="F3164" i="1" a="1"/>
  <c r="F3164" i="1" s="1"/>
  <c r="E3164" i="1" a="1"/>
  <c r="E3164" i="1" s="1"/>
  <c r="D3164" i="1"/>
  <c r="C3164" i="1"/>
  <c r="B3164" i="1"/>
  <c r="A3164" i="1"/>
  <c r="F3163" i="1"/>
  <c r="F3163" i="1" a="1"/>
  <c r="E3163" i="1" a="1"/>
  <c r="E3163" i="1" s="1"/>
  <c r="D3163" i="1"/>
  <c r="C3163" i="1"/>
  <c r="B3163" i="1"/>
  <c r="A3163" i="1"/>
  <c r="F3162" i="1" a="1"/>
  <c r="F3162" i="1" s="1"/>
  <c r="E3162" i="1" a="1"/>
  <c r="E3162" i="1" s="1"/>
  <c r="D3162" i="1"/>
  <c r="C3162" i="1"/>
  <c r="B3162" i="1"/>
  <c r="A3162" i="1"/>
  <c r="F3161" i="1"/>
  <c r="F3161" i="1" a="1"/>
  <c r="E3161" i="1" a="1"/>
  <c r="E3161" i="1" s="1"/>
  <c r="D3161" i="1"/>
  <c r="C3161" i="1"/>
  <c r="B3161" i="1"/>
  <c r="A3161" i="1"/>
  <c r="F3160" i="1" a="1"/>
  <c r="F3160" i="1" s="1"/>
  <c r="E3160" i="1" a="1"/>
  <c r="E3160" i="1" s="1"/>
  <c r="D3160" i="1"/>
  <c r="C3160" i="1"/>
  <c r="B3160" i="1"/>
  <c r="A3160" i="1"/>
  <c r="F3159" i="1" a="1"/>
  <c r="F3159" i="1" s="1"/>
  <c r="E3159" i="1" a="1"/>
  <c r="E3159" i="1" s="1"/>
  <c r="D3159" i="1"/>
  <c r="C3159" i="1"/>
  <c r="B3159" i="1"/>
  <c r="A3159" i="1"/>
  <c r="F3158" i="1" a="1"/>
  <c r="F3158" i="1" s="1"/>
  <c r="E3158" i="1" a="1"/>
  <c r="E3158" i="1" s="1"/>
  <c r="D3158" i="1"/>
  <c r="C3158" i="1"/>
  <c r="B3158" i="1"/>
  <c r="A3158" i="1"/>
  <c r="F3157" i="1"/>
  <c r="F3157" i="1" a="1"/>
  <c r="E3157" i="1" a="1"/>
  <c r="E3157" i="1" s="1"/>
  <c r="D3157" i="1"/>
  <c r="C3157" i="1"/>
  <c r="B3157" i="1"/>
  <c r="A3157" i="1"/>
  <c r="F3156" i="1" a="1"/>
  <c r="F3156" i="1" s="1"/>
  <c r="E3156" i="1" a="1"/>
  <c r="E3156" i="1" s="1"/>
  <c r="D3156" i="1"/>
  <c r="C3156" i="1"/>
  <c r="B3156" i="1"/>
  <c r="A3156" i="1"/>
  <c r="F3155" i="1"/>
  <c r="F3155" i="1" a="1"/>
  <c r="E3155" i="1" a="1"/>
  <c r="E3155" i="1" s="1"/>
  <c r="D3155" i="1"/>
  <c r="C3155" i="1"/>
  <c r="B3155" i="1"/>
  <c r="A3155" i="1"/>
  <c r="F3154" i="1" a="1"/>
  <c r="F3154" i="1" s="1"/>
  <c r="E3154" i="1" a="1"/>
  <c r="E3154" i="1" s="1"/>
  <c r="D3154" i="1"/>
  <c r="C3154" i="1"/>
  <c r="B3154" i="1"/>
  <c r="A3154" i="1"/>
  <c r="F3153" i="1"/>
  <c r="F3153" i="1" a="1"/>
  <c r="E3153" i="1" a="1"/>
  <c r="E3153" i="1" s="1"/>
  <c r="D3153" i="1"/>
  <c r="C3153" i="1"/>
  <c r="B3153" i="1"/>
  <c r="A3153" i="1"/>
  <c r="F3152" i="1" a="1"/>
  <c r="F3152" i="1" s="1"/>
  <c r="E3152" i="1" a="1"/>
  <c r="E3152" i="1" s="1"/>
  <c r="D3152" i="1"/>
  <c r="C3152" i="1"/>
  <c r="B3152" i="1"/>
  <c r="A3152" i="1"/>
  <c r="F3151" i="1" a="1"/>
  <c r="F3151" i="1" s="1"/>
  <c r="E3151" i="1" a="1"/>
  <c r="E3151" i="1" s="1"/>
  <c r="D3151" i="1"/>
  <c r="C3151" i="1"/>
  <c r="B3151" i="1"/>
  <c r="A3151" i="1"/>
  <c r="F3150" i="1" a="1"/>
  <c r="F3150" i="1" s="1"/>
  <c r="E3150" i="1" a="1"/>
  <c r="E3150" i="1" s="1"/>
  <c r="D3150" i="1"/>
  <c r="C3150" i="1"/>
  <c r="B3150" i="1"/>
  <c r="A3150" i="1"/>
  <c r="F3149" i="1"/>
  <c r="F3149" i="1" a="1"/>
  <c r="E3149" i="1" a="1"/>
  <c r="E3149" i="1" s="1"/>
  <c r="D3149" i="1"/>
  <c r="C3149" i="1"/>
  <c r="B3149" i="1"/>
  <c r="A3149" i="1"/>
  <c r="F3148" i="1" a="1"/>
  <c r="F3148" i="1" s="1"/>
  <c r="E3148" i="1" a="1"/>
  <c r="E3148" i="1" s="1"/>
  <c r="D3148" i="1"/>
  <c r="C3148" i="1"/>
  <c r="B3148" i="1"/>
  <c r="A3148" i="1"/>
  <c r="F3147" i="1"/>
  <c r="F3147" i="1" a="1"/>
  <c r="E3147" i="1" a="1"/>
  <c r="E3147" i="1" s="1"/>
  <c r="D3147" i="1"/>
  <c r="C3147" i="1"/>
  <c r="B3147" i="1"/>
  <c r="A3147" i="1"/>
  <c r="F3146" i="1" a="1"/>
  <c r="F3146" i="1" s="1"/>
  <c r="E3146" i="1" a="1"/>
  <c r="E3146" i="1" s="1"/>
  <c r="D3146" i="1"/>
  <c r="C3146" i="1"/>
  <c r="B3146" i="1"/>
  <c r="A3146" i="1"/>
  <c r="F3145" i="1"/>
  <c r="F3145" i="1" a="1"/>
  <c r="E3145" i="1" a="1"/>
  <c r="E3145" i="1" s="1"/>
  <c r="D3145" i="1"/>
  <c r="C3145" i="1"/>
  <c r="B3145" i="1"/>
  <c r="A3145" i="1"/>
  <c r="F3144" i="1" a="1"/>
  <c r="F3144" i="1" s="1"/>
  <c r="E3144" i="1" a="1"/>
  <c r="E3144" i="1" s="1"/>
  <c r="D3144" i="1"/>
  <c r="C3144" i="1"/>
  <c r="B3144" i="1"/>
  <c r="A3144" i="1"/>
  <c r="F3143" i="1" a="1"/>
  <c r="F3143" i="1" s="1"/>
  <c r="E3143" i="1" a="1"/>
  <c r="E3143" i="1" s="1"/>
  <c r="D3143" i="1"/>
  <c r="C3143" i="1"/>
  <c r="B3143" i="1"/>
  <c r="A3143" i="1"/>
  <c r="F3142" i="1" a="1"/>
  <c r="F3142" i="1" s="1"/>
  <c r="E3142" i="1" a="1"/>
  <c r="E3142" i="1" s="1"/>
  <c r="D3142" i="1"/>
  <c r="C3142" i="1"/>
  <c r="B3142" i="1"/>
  <c r="A3142" i="1"/>
  <c r="F3141" i="1"/>
  <c r="F3141" i="1" a="1"/>
  <c r="E3141" i="1" a="1"/>
  <c r="E3141" i="1" s="1"/>
  <c r="D3141" i="1"/>
  <c r="C3141" i="1"/>
  <c r="B3141" i="1"/>
  <c r="A3141" i="1"/>
  <c r="F3140" i="1" a="1"/>
  <c r="F3140" i="1" s="1"/>
  <c r="E3140" i="1" a="1"/>
  <c r="E3140" i="1" s="1"/>
  <c r="D3140" i="1"/>
  <c r="C3140" i="1"/>
  <c r="B3140" i="1"/>
  <c r="A3140" i="1"/>
  <c r="F3139" i="1"/>
  <c r="F3139" i="1" a="1"/>
  <c r="E3139" i="1" a="1"/>
  <c r="E3139" i="1" s="1"/>
  <c r="D3139" i="1"/>
  <c r="C3139" i="1"/>
  <c r="B3139" i="1"/>
  <c r="A3139" i="1"/>
  <c r="F3138" i="1" a="1"/>
  <c r="F3138" i="1" s="1"/>
  <c r="E3138" i="1" a="1"/>
  <c r="E3138" i="1" s="1"/>
  <c r="D3138" i="1"/>
  <c r="C3138" i="1"/>
  <c r="B3138" i="1"/>
  <c r="A3138" i="1"/>
  <c r="F3137" i="1"/>
  <c r="F3137" i="1" a="1"/>
  <c r="E3137" i="1" a="1"/>
  <c r="E3137" i="1" s="1"/>
  <c r="D3137" i="1"/>
  <c r="C3137" i="1"/>
  <c r="B3137" i="1"/>
  <c r="A3137" i="1"/>
  <c r="F3136" i="1" a="1"/>
  <c r="F3136" i="1" s="1"/>
  <c r="E3136" i="1" a="1"/>
  <c r="E3136" i="1" s="1"/>
  <c r="D3136" i="1"/>
  <c r="C3136" i="1"/>
  <c r="B3136" i="1"/>
  <c r="A3136" i="1"/>
  <c r="F3135" i="1"/>
  <c r="F3135" i="1" a="1"/>
  <c r="E3135" i="1" a="1"/>
  <c r="E3135" i="1" s="1"/>
  <c r="D3135" i="1"/>
  <c r="C3135" i="1"/>
  <c r="B3135" i="1"/>
  <c r="A3135" i="1"/>
  <c r="F3134" i="1" a="1"/>
  <c r="F3134" i="1" s="1"/>
  <c r="E3134" i="1" a="1"/>
  <c r="E3134" i="1" s="1"/>
  <c r="D3134" i="1"/>
  <c r="C3134" i="1"/>
  <c r="B3134" i="1"/>
  <c r="A3134" i="1"/>
  <c r="F3133" i="1"/>
  <c r="F3133" i="1" a="1"/>
  <c r="E3133" i="1" a="1"/>
  <c r="E3133" i="1" s="1"/>
  <c r="D3133" i="1"/>
  <c r="C3133" i="1"/>
  <c r="B3133" i="1"/>
  <c r="A3133" i="1"/>
  <c r="F3132" i="1" a="1"/>
  <c r="F3132" i="1" s="1"/>
  <c r="E3132" i="1" a="1"/>
  <c r="E3132" i="1" s="1"/>
  <c r="D3132" i="1"/>
  <c r="C3132" i="1"/>
  <c r="B3132" i="1"/>
  <c r="A3132" i="1"/>
  <c r="F3131" i="1"/>
  <c r="F3131" i="1" a="1"/>
  <c r="E3131" i="1" a="1"/>
  <c r="E3131" i="1" s="1"/>
  <c r="D3131" i="1"/>
  <c r="C3131" i="1"/>
  <c r="B3131" i="1"/>
  <c r="A3131" i="1"/>
  <c r="F3130" i="1" a="1"/>
  <c r="F3130" i="1" s="1"/>
  <c r="E3130" i="1" a="1"/>
  <c r="E3130" i="1" s="1"/>
  <c r="D3130" i="1"/>
  <c r="C3130" i="1"/>
  <c r="B3130" i="1"/>
  <c r="A3130" i="1"/>
  <c r="F3129" i="1"/>
  <c r="F3129" i="1" a="1"/>
  <c r="E3129" i="1" a="1"/>
  <c r="E3129" i="1" s="1"/>
  <c r="D3129" i="1"/>
  <c r="C3129" i="1"/>
  <c r="B3129" i="1"/>
  <c r="A3129" i="1"/>
  <c r="F3128" i="1" a="1"/>
  <c r="F3128" i="1" s="1"/>
  <c r="E3128" i="1" a="1"/>
  <c r="E3128" i="1" s="1"/>
  <c r="D3128" i="1"/>
  <c r="C3128" i="1"/>
  <c r="B3128" i="1"/>
  <c r="A3128" i="1"/>
  <c r="F3127" i="1"/>
  <c r="F3127" i="1" a="1"/>
  <c r="E3127" i="1" a="1"/>
  <c r="E3127" i="1" s="1"/>
  <c r="D3127" i="1"/>
  <c r="C3127" i="1"/>
  <c r="B3127" i="1"/>
  <c r="A3127" i="1"/>
  <c r="F3126" i="1" a="1"/>
  <c r="F3126" i="1" s="1"/>
  <c r="E3126" i="1" a="1"/>
  <c r="E3126" i="1" s="1"/>
  <c r="D3126" i="1"/>
  <c r="C3126" i="1"/>
  <c r="B3126" i="1"/>
  <c r="A3126" i="1"/>
  <c r="F3125" i="1"/>
  <c r="F3125" i="1" a="1"/>
  <c r="E3125" i="1" a="1"/>
  <c r="E3125" i="1" s="1"/>
  <c r="D3125" i="1"/>
  <c r="C3125" i="1"/>
  <c r="B3125" i="1"/>
  <c r="A3125" i="1"/>
  <c r="F3124" i="1" a="1"/>
  <c r="F3124" i="1" s="1"/>
  <c r="E3124" i="1" a="1"/>
  <c r="E3124" i="1" s="1"/>
  <c r="D3124" i="1"/>
  <c r="C3124" i="1"/>
  <c r="B3124" i="1"/>
  <c r="A3124" i="1"/>
  <c r="F3123" i="1"/>
  <c r="F3123" i="1" a="1"/>
  <c r="E3123" i="1" a="1"/>
  <c r="E3123" i="1" s="1"/>
  <c r="D3123" i="1"/>
  <c r="C3123" i="1"/>
  <c r="B3123" i="1"/>
  <c r="A3123" i="1"/>
  <c r="F3122" i="1" a="1"/>
  <c r="F3122" i="1" s="1"/>
  <c r="E3122" i="1" a="1"/>
  <c r="E3122" i="1" s="1"/>
  <c r="D3122" i="1"/>
  <c r="C3122" i="1"/>
  <c r="B3122" i="1"/>
  <c r="A3122" i="1"/>
  <c r="F3121" i="1"/>
  <c r="F3121" i="1" a="1"/>
  <c r="E3121" i="1" a="1"/>
  <c r="E3121" i="1" s="1"/>
  <c r="D3121" i="1"/>
  <c r="C3121" i="1"/>
  <c r="B3121" i="1"/>
  <c r="A3121" i="1"/>
  <c r="F3120" i="1" a="1"/>
  <c r="F3120" i="1" s="1"/>
  <c r="E3120" i="1" a="1"/>
  <c r="E3120" i="1" s="1"/>
  <c r="D3120" i="1"/>
  <c r="C3120" i="1"/>
  <c r="B3120" i="1"/>
  <c r="A3120" i="1"/>
  <c r="F3119" i="1" a="1"/>
  <c r="F3119" i="1" s="1"/>
  <c r="E3119" i="1" a="1"/>
  <c r="E3119" i="1" s="1"/>
  <c r="D3119" i="1"/>
  <c r="C3119" i="1"/>
  <c r="B3119" i="1"/>
  <c r="A3119" i="1"/>
  <c r="F3118" i="1" a="1"/>
  <c r="F3118" i="1" s="1"/>
  <c r="E3118" i="1" a="1"/>
  <c r="E3118" i="1" s="1"/>
  <c r="D3118" i="1"/>
  <c r="C3118" i="1"/>
  <c r="B3118" i="1"/>
  <c r="A3118" i="1"/>
  <c r="F3117" i="1"/>
  <c r="F3117" i="1" a="1"/>
  <c r="E3117" i="1" a="1"/>
  <c r="E3117" i="1" s="1"/>
  <c r="D3117" i="1"/>
  <c r="C3117" i="1"/>
  <c r="B3117" i="1"/>
  <c r="A3117" i="1"/>
  <c r="F3116" i="1" a="1"/>
  <c r="F3116" i="1" s="1"/>
  <c r="E3116" i="1" a="1"/>
  <c r="E3116" i="1" s="1"/>
  <c r="D3116" i="1"/>
  <c r="C3116" i="1"/>
  <c r="B3116" i="1"/>
  <c r="A3116" i="1"/>
  <c r="F3115" i="1"/>
  <c r="F3115" i="1" a="1"/>
  <c r="E3115" i="1" a="1"/>
  <c r="E3115" i="1" s="1"/>
  <c r="D3115" i="1"/>
  <c r="C3115" i="1"/>
  <c r="B3115" i="1"/>
  <c r="A3115" i="1"/>
  <c r="F3114" i="1" a="1"/>
  <c r="F3114" i="1" s="1"/>
  <c r="E3114" i="1" a="1"/>
  <c r="E3114" i="1" s="1"/>
  <c r="D3114" i="1"/>
  <c r="C3114" i="1"/>
  <c r="B3114" i="1"/>
  <c r="A3114" i="1"/>
  <c r="F3113" i="1"/>
  <c r="F3113" i="1" a="1"/>
  <c r="E3113" i="1" a="1"/>
  <c r="E3113" i="1" s="1"/>
  <c r="D3113" i="1"/>
  <c r="C3113" i="1"/>
  <c r="B3113" i="1"/>
  <c r="A3113" i="1"/>
  <c r="F3112" i="1" a="1"/>
  <c r="F3112" i="1" s="1"/>
  <c r="E3112" i="1" a="1"/>
  <c r="E3112" i="1" s="1"/>
  <c r="D3112" i="1"/>
  <c r="C3112" i="1"/>
  <c r="B3112" i="1"/>
  <c r="A3112" i="1"/>
  <c r="F3111" i="1" a="1"/>
  <c r="F3111" i="1" s="1"/>
  <c r="E3111" i="1" a="1"/>
  <c r="E3111" i="1" s="1"/>
  <c r="D3111" i="1"/>
  <c r="C3111" i="1"/>
  <c r="B3111" i="1"/>
  <c r="A3111" i="1"/>
  <c r="F3110" i="1" a="1"/>
  <c r="F3110" i="1" s="1"/>
  <c r="E3110" i="1" a="1"/>
  <c r="E3110" i="1" s="1"/>
  <c r="D3110" i="1"/>
  <c r="C3110" i="1"/>
  <c r="B3110" i="1"/>
  <c r="A3110" i="1"/>
  <c r="F3109" i="1"/>
  <c r="F3109" i="1" a="1"/>
  <c r="E3109" i="1" a="1"/>
  <c r="E3109" i="1" s="1"/>
  <c r="D3109" i="1"/>
  <c r="C3109" i="1"/>
  <c r="B3109" i="1"/>
  <c r="A3109" i="1"/>
  <c r="F3108" i="1" a="1"/>
  <c r="F3108" i="1" s="1"/>
  <c r="E3108" i="1" a="1"/>
  <c r="E3108" i="1" s="1"/>
  <c r="D3108" i="1"/>
  <c r="C3108" i="1"/>
  <c r="B3108" i="1"/>
  <c r="A3108" i="1"/>
  <c r="F3107" i="1"/>
  <c r="F3107" i="1" a="1"/>
  <c r="E3107" i="1" a="1"/>
  <c r="E3107" i="1" s="1"/>
  <c r="D3107" i="1"/>
  <c r="C3107" i="1"/>
  <c r="B3107" i="1"/>
  <c r="A3107" i="1"/>
  <c r="F3106" i="1" a="1"/>
  <c r="F3106" i="1" s="1"/>
  <c r="E3106" i="1" a="1"/>
  <c r="E3106" i="1" s="1"/>
  <c r="D3106" i="1"/>
  <c r="C3106" i="1"/>
  <c r="B3106" i="1"/>
  <c r="A3106" i="1"/>
  <c r="F3105" i="1"/>
  <c r="F3105" i="1" a="1"/>
  <c r="E3105" i="1" a="1"/>
  <c r="E3105" i="1" s="1"/>
  <c r="D3105" i="1"/>
  <c r="C3105" i="1"/>
  <c r="B3105" i="1"/>
  <c r="A3105" i="1"/>
  <c r="F3104" i="1" a="1"/>
  <c r="F3104" i="1" s="1"/>
  <c r="E3104" i="1" a="1"/>
  <c r="E3104" i="1" s="1"/>
  <c r="D3104" i="1"/>
  <c r="C3104" i="1"/>
  <c r="B3104" i="1"/>
  <c r="A3104" i="1"/>
  <c r="F3103" i="1"/>
  <c r="F3103" i="1" a="1"/>
  <c r="E3103" i="1" a="1"/>
  <c r="E3103" i="1" s="1"/>
  <c r="D3103" i="1"/>
  <c r="C3103" i="1"/>
  <c r="B3103" i="1"/>
  <c r="A3103" i="1"/>
  <c r="F3102" i="1" a="1"/>
  <c r="F3102" i="1" s="1"/>
  <c r="E3102" i="1" a="1"/>
  <c r="E3102" i="1" s="1"/>
  <c r="D3102" i="1"/>
  <c r="C3102" i="1"/>
  <c r="B3102" i="1"/>
  <c r="A3102" i="1"/>
  <c r="F3101" i="1"/>
  <c r="F3101" i="1" a="1"/>
  <c r="E3101" i="1" a="1"/>
  <c r="E3101" i="1" s="1"/>
  <c r="D3101" i="1"/>
  <c r="C3101" i="1"/>
  <c r="B3101" i="1"/>
  <c r="A3101" i="1"/>
  <c r="F3100" i="1" a="1"/>
  <c r="F3100" i="1" s="1"/>
  <c r="E3100" i="1" a="1"/>
  <c r="E3100" i="1" s="1"/>
  <c r="D3100" i="1"/>
  <c r="C3100" i="1"/>
  <c r="B3100" i="1"/>
  <c r="A3100" i="1"/>
  <c r="F3099" i="1"/>
  <c r="F3099" i="1" a="1"/>
  <c r="E3099" i="1" a="1"/>
  <c r="E3099" i="1" s="1"/>
  <c r="D3099" i="1"/>
  <c r="C3099" i="1"/>
  <c r="B3099" i="1"/>
  <c r="A3099" i="1"/>
  <c r="F3098" i="1" a="1"/>
  <c r="F3098" i="1" s="1"/>
  <c r="E3098" i="1" a="1"/>
  <c r="E3098" i="1" s="1"/>
  <c r="D3098" i="1"/>
  <c r="C3098" i="1"/>
  <c r="B3098" i="1"/>
  <c r="A3098" i="1"/>
  <c r="F3097" i="1"/>
  <c r="F3097" i="1" a="1"/>
  <c r="E3097" i="1" a="1"/>
  <c r="E3097" i="1" s="1"/>
  <c r="D3097" i="1"/>
  <c r="C3097" i="1"/>
  <c r="B3097" i="1"/>
  <c r="A3097" i="1"/>
  <c r="F3096" i="1" a="1"/>
  <c r="F3096" i="1" s="1"/>
  <c r="E3096" i="1" a="1"/>
  <c r="E3096" i="1" s="1"/>
  <c r="D3096" i="1"/>
  <c r="C3096" i="1"/>
  <c r="B3096" i="1"/>
  <c r="A3096" i="1"/>
  <c r="F3095" i="1"/>
  <c r="F3095" i="1" a="1"/>
  <c r="E3095" i="1" a="1"/>
  <c r="E3095" i="1" s="1"/>
  <c r="D3095" i="1"/>
  <c r="C3095" i="1"/>
  <c r="B3095" i="1"/>
  <c r="A3095" i="1"/>
  <c r="F3094" i="1" a="1"/>
  <c r="F3094" i="1" s="1"/>
  <c r="E3094" i="1" a="1"/>
  <c r="E3094" i="1" s="1"/>
  <c r="D3094" i="1"/>
  <c r="C3094" i="1"/>
  <c r="B3094" i="1"/>
  <c r="A3094" i="1"/>
  <c r="F3093" i="1"/>
  <c r="F3093" i="1" a="1"/>
  <c r="E3093" i="1" a="1"/>
  <c r="E3093" i="1" s="1"/>
  <c r="D3093" i="1"/>
  <c r="C3093" i="1"/>
  <c r="B3093" i="1"/>
  <c r="A3093" i="1"/>
  <c r="F3092" i="1" a="1"/>
  <c r="F3092" i="1" s="1"/>
  <c r="E3092" i="1" a="1"/>
  <c r="E3092" i="1" s="1"/>
  <c r="D3092" i="1"/>
  <c r="C3092" i="1"/>
  <c r="B3092" i="1"/>
  <c r="A3092" i="1"/>
  <c r="F3091" i="1"/>
  <c r="F3091" i="1" a="1"/>
  <c r="E3091" i="1" a="1"/>
  <c r="E3091" i="1" s="1"/>
  <c r="D3091" i="1"/>
  <c r="C3091" i="1"/>
  <c r="B3091" i="1"/>
  <c r="A3091" i="1"/>
  <c r="F3090" i="1" a="1"/>
  <c r="F3090" i="1" s="1"/>
  <c r="E3090" i="1" a="1"/>
  <c r="E3090" i="1" s="1"/>
  <c r="D3090" i="1"/>
  <c r="C3090" i="1"/>
  <c r="B3090" i="1"/>
  <c r="A3090" i="1"/>
  <c r="F3089" i="1"/>
  <c r="F3089" i="1" a="1"/>
  <c r="E3089" i="1" a="1"/>
  <c r="E3089" i="1" s="1"/>
  <c r="D3089" i="1"/>
  <c r="C3089" i="1"/>
  <c r="B3089" i="1"/>
  <c r="A3089" i="1"/>
  <c r="F3088" i="1" a="1"/>
  <c r="F3088" i="1" s="1"/>
  <c r="E3088" i="1" a="1"/>
  <c r="E3088" i="1" s="1"/>
  <c r="D3088" i="1"/>
  <c r="C3088" i="1"/>
  <c r="B3088" i="1"/>
  <c r="A3088" i="1"/>
  <c r="F3087" i="1"/>
  <c r="F3087" i="1" a="1"/>
  <c r="E3087" i="1" a="1"/>
  <c r="E3087" i="1" s="1"/>
  <c r="D3087" i="1"/>
  <c r="C3087" i="1"/>
  <c r="B3087" i="1"/>
  <c r="A3087" i="1"/>
  <c r="F3086" i="1" a="1"/>
  <c r="F3086" i="1" s="1"/>
  <c r="E3086" i="1" a="1"/>
  <c r="E3086" i="1" s="1"/>
  <c r="D3086" i="1"/>
  <c r="C3086" i="1"/>
  <c r="B3086" i="1"/>
  <c r="A3086" i="1"/>
  <c r="F3085" i="1"/>
  <c r="F3085" i="1" a="1"/>
  <c r="E3085" i="1" a="1"/>
  <c r="E3085" i="1" s="1"/>
  <c r="D3085" i="1"/>
  <c r="C3085" i="1"/>
  <c r="B3085" i="1"/>
  <c r="A3085" i="1"/>
  <c r="F3084" i="1" a="1"/>
  <c r="F3084" i="1" s="1"/>
  <c r="E3084" i="1" a="1"/>
  <c r="E3084" i="1" s="1"/>
  <c r="D3084" i="1"/>
  <c r="C3084" i="1"/>
  <c r="B3084" i="1"/>
  <c r="A3084" i="1"/>
  <c r="F3083" i="1"/>
  <c r="F3083" i="1" a="1"/>
  <c r="E3083" i="1" a="1"/>
  <c r="E3083" i="1" s="1"/>
  <c r="D3083" i="1"/>
  <c r="C3083" i="1"/>
  <c r="B3083" i="1"/>
  <c r="A3083" i="1"/>
  <c r="F3082" i="1" a="1"/>
  <c r="F3082" i="1" s="1"/>
  <c r="E3082" i="1" a="1"/>
  <c r="E3082" i="1" s="1"/>
  <c r="D3082" i="1"/>
  <c r="C3082" i="1"/>
  <c r="B3082" i="1"/>
  <c r="A3082" i="1"/>
  <c r="F3081" i="1"/>
  <c r="F3081" i="1" a="1"/>
  <c r="E3081" i="1" a="1"/>
  <c r="E3081" i="1" s="1"/>
  <c r="D3081" i="1"/>
  <c r="C3081" i="1"/>
  <c r="B3081" i="1"/>
  <c r="A3081" i="1"/>
  <c r="F3080" i="1" a="1"/>
  <c r="F3080" i="1" s="1"/>
  <c r="E3080" i="1" a="1"/>
  <c r="E3080" i="1" s="1"/>
  <c r="D3080" i="1"/>
  <c r="C3080" i="1"/>
  <c r="B3080" i="1"/>
  <c r="A3080" i="1"/>
  <c r="F3079" i="1"/>
  <c r="F3079" i="1" a="1"/>
  <c r="E3079" i="1" a="1"/>
  <c r="E3079" i="1" s="1"/>
  <c r="D3079" i="1"/>
  <c r="C3079" i="1"/>
  <c r="B3079" i="1"/>
  <c r="A3079" i="1"/>
  <c r="F3078" i="1" a="1"/>
  <c r="F3078" i="1" s="1"/>
  <c r="E3078" i="1" a="1"/>
  <c r="E3078" i="1" s="1"/>
  <c r="D3078" i="1"/>
  <c r="C3078" i="1"/>
  <c r="B3078" i="1"/>
  <c r="A3078" i="1"/>
  <c r="F3077" i="1"/>
  <c r="F3077" i="1" a="1"/>
  <c r="E3077" i="1" a="1"/>
  <c r="E3077" i="1" s="1"/>
  <c r="D3077" i="1"/>
  <c r="C3077" i="1"/>
  <c r="B3077" i="1"/>
  <c r="A3077" i="1"/>
  <c r="F3076" i="1" a="1"/>
  <c r="F3076" i="1" s="1"/>
  <c r="E3076" i="1" a="1"/>
  <c r="E3076" i="1" s="1"/>
  <c r="D3076" i="1"/>
  <c r="C3076" i="1"/>
  <c r="B3076" i="1"/>
  <c r="A3076" i="1"/>
  <c r="F3075" i="1"/>
  <c r="F3075" i="1" a="1"/>
  <c r="E3075" i="1" a="1"/>
  <c r="E3075" i="1" s="1"/>
  <c r="D3075" i="1"/>
  <c r="C3075" i="1"/>
  <c r="B3075" i="1"/>
  <c r="A3075" i="1"/>
  <c r="F3074" i="1" a="1"/>
  <c r="F3074" i="1" s="1"/>
  <c r="E3074" i="1" a="1"/>
  <c r="E3074" i="1" s="1"/>
  <c r="D3074" i="1"/>
  <c r="C3074" i="1"/>
  <c r="B3074" i="1"/>
  <c r="A3074" i="1"/>
  <c r="F3073" i="1"/>
  <c r="F3073" i="1" a="1"/>
  <c r="E3073" i="1" a="1"/>
  <c r="E3073" i="1" s="1"/>
  <c r="D3073" i="1"/>
  <c r="C3073" i="1"/>
  <c r="B3073" i="1"/>
  <c r="A3073" i="1"/>
  <c r="F3072" i="1" a="1"/>
  <c r="F3072" i="1" s="1"/>
  <c r="E3072" i="1" a="1"/>
  <c r="E3072" i="1" s="1"/>
  <c r="D3072" i="1"/>
  <c r="C3072" i="1"/>
  <c r="B3072" i="1"/>
  <c r="A3072" i="1"/>
  <c r="F3071" i="1"/>
  <c r="F3071" i="1" a="1"/>
  <c r="E3071" i="1" a="1"/>
  <c r="E3071" i="1" s="1"/>
  <c r="D3071" i="1"/>
  <c r="C3071" i="1"/>
  <c r="B3071" i="1"/>
  <c r="A3071" i="1"/>
  <c r="F3070" i="1" a="1"/>
  <c r="F3070" i="1" s="1"/>
  <c r="E3070" i="1" a="1"/>
  <c r="E3070" i="1" s="1"/>
  <c r="D3070" i="1"/>
  <c r="C3070" i="1"/>
  <c r="B3070" i="1"/>
  <c r="A3070" i="1"/>
  <c r="F3069" i="1"/>
  <c r="F3069" i="1" a="1"/>
  <c r="E3069" i="1" a="1"/>
  <c r="E3069" i="1" s="1"/>
  <c r="D3069" i="1"/>
  <c r="C3069" i="1"/>
  <c r="B3069" i="1"/>
  <c r="A3069" i="1"/>
  <c r="F3068" i="1" a="1"/>
  <c r="F3068" i="1" s="1"/>
  <c r="E3068" i="1" a="1"/>
  <c r="E3068" i="1" s="1"/>
  <c r="D3068" i="1"/>
  <c r="C3068" i="1"/>
  <c r="B3068" i="1"/>
  <c r="A3068" i="1"/>
  <c r="F3067" i="1"/>
  <c r="F3067" i="1" a="1"/>
  <c r="E3067" i="1" a="1"/>
  <c r="E3067" i="1" s="1"/>
  <c r="D3067" i="1"/>
  <c r="C3067" i="1"/>
  <c r="B3067" i="1"/>
  <c r="A3067" i="1"/>
  <c r="F3066" i="1" a="1"/>
  <c r="F3066" i="1" s="1"/>
  <c r="E3066" i="1" a="1"/>
  <c r="E3066" i="1" s="1"/>
  <c r="D3066" i="1"/>
  <c r="C3066" i="1"/>
  <c r="B3066" i="1"/>
  <c r="A3066" i="1"/>
  <c r="F3065" i="1"/>
  <c r="F3065" i="1" a="1"/>
  <c r="E3065" i="1" a="1"/>
  <c r="E3065" i="1" s="1"/>
  <c r="D3065" i="1"/>
  <c r="C3065" i="1"/>
  <c r="B3065" i="1"/>
  <c r="A3065" i="1"/>
  <c r="F3064" i="1" a="1"/>
  <c r="F3064" i="1" s="1"/>
  <c r="E3064" i="1" a="1"/>
  <c r="E3064" i="1" s="1"/>
  <c r="D3064" i="1"/>
  <c r="C3064" i="1"/>
  <c r="B3064" i="1"/>
  <c r="A3064" i="1"/>
  <c r="F3063" i="1"/>
  <c r="F3063" i="1" a="1"/>
  <c r="E3063" i="1" a="1"/>
  <c r="E3063" i="1" s="1"/>
  <c r="D3063" i="1"/>
  <c r="C3063" i="1"/>
  <c r="B3063" i="1"/>
  <c r="A3063" i="1"/>
  <c r="F3062" i="1" a="1"/>
  <c r="F3062" i="1" s="1"/>
  <c r="E3062" i="1" a="1"/>
  <c r="E3062" i="1" s="1"/>
  <c r="D3062" i="1"/>
  <c r="C3062" i="1"/>
  <c r="B3062" i="1"/>
  <c r="A3062" i="1"/>
  <c r="F3061" i="1"/>
  <c r="F3061" i="1" a="1"/>
  <c r="E3061" i="1" a="1"/>
  <c r="E3061" i="1" s="1"/>
  <c r="D3061" i="1"/>
  <c r="C3061" i="1"/>
  <c r="B3061" i="1"/>
  <c r="A3061" i="1"/>
  <c r="F3060" i="1" a="1"/>
  <c r="F3060" i="1" s="1"/>
  <c r="E3060" i="1" a="1"/>
  <c r="E3060" i="1" s="1"/>
  <c r="D3060" i="1"/>
  <c r="C3060" i="1"/>
  <c r="B3060" i="1"/>
  <c r="A3060" i="1"/>
  <c r="F3059" i="1"/>
  <c r="F3059" i="1" a="1"/>
  <c r="E3059" i="1" a="1"/>
  <c r="E3059" i="1" s="1"/>
  <c r="D3059" i="1"/>
  <c r="C3059" i="1"/>
  <c r="B3059" i="1"/>
  <c r="A3059" i="1"/>
  <c r="F3058" i="1" a="1"/>
  <c r="F3058" i="1" s="1"/>
  <c r="E3058" i="1" a="1"/>
  <c r="E3058" i="1" s="1"/>
  <c r="D3058" i="1"/>
  <c r="C3058" i="1"/>
  <c r="B3058" i="1"/>
  <c r="A3058" i="1"/>
  <c r="F3057" i="1"/>
  <c r="F3057" i="1" a="1"/>
  <c r="E3057" i="1" a="1"/>
  <c r="E3057" i="1" s="1"/>
  <c r="D3057" i="1"/>
  <c r="C3057" i="1"/>
  <c r="B3057" i="1"/>
  <c r="A3057" i="1"/>
  <c r="F3056" i="1" a="1"/>
  <c r="F3056" i="1" s="1"/>
  <c r="E3056" i="1" a="1"/>
  <c r="E3056" i="1" s="1"/>
  <c r="D3056" i="1"/>
  <c r="C3056" i="1"/>
  <c r="B3056" i="1"/>
  <c r="A3056" i="1"/>
  <c r="F3055" i="1" a="1"/>
  <c r="F3055" i="1" s="1"/>
  <c r="E3055" i="1" a="1"/>
  <c r="E3055" i="1" s="1"/>
  <c r="D3055" i="1"/>
  <c r="C3055" i="1"/>
  <c r="B3055" i="1"/>
  <c r="A3055" i="1"/>
  <c r="F3054" i="1" a="1"/>
  <c r="F3054" i="1" s="1"/>
  <c r="E3054" i="1" a="1"/>
  <c r="E3054" i="1" s="1"/>
  <c r="D3054" i="1"/>
  <c r="C3054" i="1"/>
  <c r="B3054" i="1"/>
  <c r="A3054" i="1"/>
  <c r="F3053" i="1"/>
  <c r="F3053" i="1" a="1"/>
  <c r="E3053" i="1" a="1"/>
  <c r="E3053" i="1" s="1"/>
  <c r="D3053" i="1"/>
  <c r="C3053" i="1"/>
  <c r="B3053" i="1"/>
  <c r="A3053" i="1"/>
  <c r="F3052" i="1" a="1"/>
  <c r="F3052" i="1" s="1"/>
  <c r="E3052" i="1" a="1"/>
  <c r="E3052" i="1" s="1"/>
  <c r="D3052" i="1"/>
  <c r="C3052" i="1"/>
  <c r="B3052" i="1"/>
  <c r="A3052" i="1"/>
  <c r="F3051" i="1"/>
  <c r="F3051" i="1" a="1"/>
  <c r="E3051" i="1" a="1"/>
  <c r="E3051" i="1" s="1"/>
  <c r="D3051" i="1"/>
  <c r="C3051" i="1"/>
  <c r="B3051" i="1"/>
  <c r="A3051" i="1"/>
  <c r="F3050" i="1" a="1"/>
  <c r="F3050" i="1" s="1"/>
  <c r="E3050" i="1" a="1"/>
  <c r="E3050" i="1" s="1"/>
  <c r="D3050" i="1"/>
  <c r="C3050" i="1"/>
  <c r="B3050" i="1"/>
  <c r="A3050" i="1"/>
  <c r="F3049" i="1"/>
  <c r="F3049" i="1" a="1"/>
  <c r="E3049" i="1" a="1"/>
  <c r="E3049" i="1" s="1"/>
  <c r="D3049" i="1"/>
  <c r="C3049" i="1"/>
  <c r="B3049" i="1"/>
  <c r="A3049" i="1"/>
  <c r="F3048" i="1" a="1"/>
  <c r="F3048" i="1" s="1"/>
  <c r="E3048" i="1" a="1"/>
  <c r="E3048" i="1" s="1"/>
  <c r="D3048" i="1"/>
  <c r="C3048" i="1"/>
  <c r="B3048" i="1"/>
  <c r="A3048" i="1"/>
  <c r="F3047" i="1"/>
  <c r="F3047" i="1" a="1"/>
  <c r="E3047" i="1" a="1"/>
  <c r="E3047" i="1" s="1"/>
  <c r="D3047" i="1"/>
  <c r="C3047" i="1"/>
  <c r="B3047" i="1"/>
  <c r="A3047" i="1"/>
  <c r="F3046" i="1" a="1"/>
  <c r="F3046" i="1" s="1"/>
  <c r="E3046" i="1" a="1"/>
  <c r="E3046" i="1" s="1"/>
  <c r="D3046" i="1"/>
  <c r="C3046" i="1"/>
  <c r="B3046" i="1"/>
  <c r="A3046" i="1"/>
  <c r="F3045" i="1"/>
  <c r="F3045" i="1" a="1"/>
  <c r="E3045" i="1" a="1"/>
  <c r="E3045" i="1" s="1"/>
  <c r="D3045" i="1"/>
  <c r="C3045" i="1"/>
  <c r="B3045" i="1"/>
  <c r="A3045" i="1"/>
  <c r="F3044" i="1" a="1"/>
  <c r="F3044" i="1" s="1"/>
  <c r="E3044" i="1" a="1"/>
  <c r="E3044" i="1" s="1"/>
  <c r="D3044" i="1"/>
  <c r="C3044" i="1"/>
  <c r="B3044" i="1"/>
  <c r="A3044" i="1"/>
  <c r="F3043" i="1"/>
  <c r="F3043" i="1" a="1"/>
  <c r="E3043" i="1" a="1"/>
  <c r="E3043" i="1" s="1"/>
  <c r="D3043" i="1"/>
  <c r="C3043" i="1"/>
  <c r="B3043" i="1"/>
  <c r="A3043" i="1"/>
  <c r="F3042" i="1" a="1"/>
  <c r="F3042" i="1" s="1"/>
  <c r="E3042" i="1" a="1"/>
  <c r="E3042" i="1" s="1"/>
  <c r="D3042" i="1"/>
  <c r="C3042" i="1"/>
  <c r="B3042" i="1"/>
  <c r="A3042" i="1"/>
  <c r="F3041" i="1"/>
  <c r="F3041" i="1" a="1"/>
  <c r="E3041" i="1" a="1"/>
  <c r="E3041" i="1" s="1"/>
  <c r="D3041" i="1"/>
  <c r="C3041" i="1"/>
  <c r="B3041" i="1"/>
  <c r="A3041" i="1"/>
  <c r="F3040" i="1" a="1"/>
  <c r="F3040" i="1" s="1"/>
  <c r="E3040" i="1" a="1"/>
  <c r="E3040" i="1" s="1"/>
  <c r="D3040" i="1"/>
  <c r="C3040" i="1"/>
  <c r="B3040" i="1"/>
  <c r="A3040" i="1"/>
  <c r="F3039" i="1" a="1"/>
  <c r="F3039" i="1" s="1"/>
  <c r="E3039" i="1" a="1"/>
  <c r="E3039" i="1" s="1"/>
  <c r="D3039" i="1"/>
  <c r="C3039" i="1"/>
  <c r="B3039" i="1"/>
  <c r="A3039" i="1"/>
  <c r="F3038" i="1" a="1"/>
  <c r="F3038" i="1" s="1"/>
  <c r="E3038" i="1" a="1"/>
  <c r="E3038" i="1" s="1"/>
  <c r="D3038" i="1"/>
  <c r="C3038" i="1"/>
  <c r="B3038" i="1"/>
  <c r="A3038" i="1"/>
  <c r="F3037" i="1"/>
  <c r="F3037" i="1" a="1"/>
  <c r="E3037" i="1" a="1"/>
  <c r="E3037" i="1" s="1"/>
  <c r="D3037" i="1"/>
  <c r="C3037" i="1"/>
  <c r="B3037" i="1"/>
  <c r="A3037" i="1"/>
  <c r="F3036" i="1" a="1"/>
  <c r="F3036" i="1" s="1"/>
  <c r="E3036" i="1" a="1"/>
  <c r="E3036" i="1" s="1"/>
  <c r="D3036" i="1"/>
  <c r="C3036" i="1"/>
  <c r="B3036" i="1"/>
  <c r="A3036" i="1"/>
  <c r="F3035" i="1"/>
  <c r="F3035" i="1" a="1"/>
  <c r="E3035" i="1" a="1"/>
  <c r="E3035" i="1" s="1"/>
  <c r="D3035" i="1"/>
  <c r="C3035" i="1"/>
  <c r="B3035" i="1"/>
  <c r="A3035" i="1"/>
  <c r="F3034" i="1" a="1"/>
  <c r="F3034" i="1" s="1"/>
  <c r="E3034" i="1" a="1"/>
  <c r="E3034" i="1" s="1"/>
  <c r="D3034" i="1"/>
  <c r="C3034" i="1"/>
  <c r="B3034" i="1"/>
  <c r="A3034" i="1"/>
  <c r="F3033" i="1"/>
  <c r="F3033" i="1" a="1"/>
  <c r="E3033" i="1" a="1"/>
  <c r="E3033" i="1" s="1"/>
  <c r="D3033" i="1"/>
  <c r="C3033" i="1"/>
  <c r="B3033" i="1"/>
  <c r="A3033" i="1"/>
  <c r="F3032" i="1"/>
  <c r="F3032" i="1" a="1"/>
  <c r="E3032" i="1" a="1"/>
  <c r="E3032" i="1" s="1"/>
  <c r="D3032" i="1"/>
  <c r="C3032" i="1"/>
  <c r="B3032" i="1"/>
  <c r="A3032" i="1"/>
  <c r="F3031" i="1" a="1"/>
  <c r="F3031" i="1" s="1"/>
  <c r="E3031" i="1" a="1"/>
  <c r="E3031" i="1" s="1"/>
  <c r="D3031" i="1"/>
  <c r="C3031" i="1"/>
  <c r="B3031" i="1"/>
  <c r="A3031" i="1"/>
  <c r="F3030" i="1" a="1"/>
  <c r="F3030" i="1" s="1"/>
  <c r="E3030" i="1" a="1"/>
  <c r="E3030" i="1" s="1"/>
  <c r="D3030" i="1"/>
  <c r="C3030" i="1"/>
  <c r="B3030" i="1"/>
  <c r="A3030" i="1"/>
  <c r="F3029" i="1"/>
  <c r="F3029" i="1" a="1"/>
  <c r="E3029" i="1" a="1"/>
  <c r="E3029" i="1" s="1"/>
  <c r="D3029" i="1"/>
  <c r="C3029" i="1"/>
  <c r="B3029" i="1"/>
  <c r="A3029" i="1"/>
  <c r="F3028" i="1"/>
  <c r="F3028" i="1" a="1"/>
  <c r="E3028" i="1" a="1"/>
  <c r="E3028" i="1" s="1"/>
  <c r="D3028" i="1"/>
  <c r="C3028" i="1"/>
  <c r="B3028" i="1"/>
  <c r="A3028" i="1"/>
  <c r="F3027" i="1" a="1"/>
  <c r="F3027" i="1" s="1"/>
  <c r="E3027" i="1" a="1"/>
  <c r="E3027" i="1" s="1"/>
  <c r="D3027" i="1"/>
  <c r="C3027" i="1"/>
  <c r="B3027" i="1"/>
  <c r="A3027" i="1"/>
  <c r="F3026" i="1"/>
  <c r="F3026" i="1" a="1"/>
  <c r="E3026" i="1" a="1"/>
  <c r="E3026" i="1" s="1"/>
  <c r="D3026" i="1"/>
  <c r="C3026" i="1"/>
  <c r="B3026" i="1"/>
  <c r="A3026" i="1"/>
  <c r="F3025" i="1"/>
  <c r="F3025" i="1" a="1"/>
  <c r="E3025" i="1" a="1"/>
  <c r="E3025" i="1" s="1"/>
  <c r="D3025" i="1"/>
  <c r="C3025" i="1"/>
  <c r="B3025" i="1"/>
  <c r="A3025" i="1"/>
  <c r="F3024" i="1"/>
  <c r="F3024" i="1" a="1"/>
  <c r="E3024" i="1" a="1"/>
  <c r="E3024" i="1" s="1"/>
  <c r="D3024" i="1"/>
  <c r="C3024" i="1"/>
  <c r="B3024" i="1"/>
  <c r="A3024" i="1"/>
  <c r="F3023" i="1" a="1"/>
  <c r="F3023" i="1" s="1"/>
  <c r="E3023" i="1" a="1"/>
  <c r="E3023" i="1" s="1"/>
  <c r="D3023" i="1"/>
  <c r="C3023" i="1"/>
  <c r="B3023" i="1"/>
  <c r="A3023" i="1"/>
  <c r="F3022" i="1" a="1"/>
  <c r="F3022" i="1" s="1"/>
  <c r="E3022" i="1" a="1"/>
  <c r="E3022" i="1" s="1"/>
  <c r="D3022" i="1"/>
  <c r="C3022" i="1"/>
  <c r="B3022" i="1"/>
  <c r="A3022" i="1"/>
  <c r="F3021" i="1" a="1"/>
  <c r="F3021" i="1" s="1"/>
  <c r="E3021" i="1" a="1"/>
  <c r="E3021" i="1" s="1"/>
  <c r="D3021" i="1"/>
  <c r="C3021" i="1"/>
  <c r="B3021" i="1"/>
  <c r="A3021" i="1"/>
  <c r="F3020" i="1"/>
  <c r="F3020" i="1" a="1"/>
  <c r="E3020" i="1" a="1"/>
  <c r="E3020" i="1" s="1"/>
  <c r="D3020" i="1"/>
  <c r="C3020" i="1"/>
  <c r="B3020" i="1"/>
  <c r="A3020" i="1"/>
  <c r="F3019" i="1" a="1"/>
  <c r="F3019" i="1" s="1"/>
  <c r="E3019" i="1" a="1"/>
  <c r="E3019" i="1" s="1"/>
  <c r="D3019" i="1"/>
  <c r="C3019" i="1"/>
  <c r="B3019" i="1"/>
  <c r="A3019" i="1"/>
  <c r="F3018" i="1"/>
  <c r="F3018" i="1" a="1"/>
  <c r="E3018" i="1" a="1"/>
  <c r="E3018" i="1" s="1"/>
  <c r="D3018" i="1"/>
  <c r="C3018" i="1"/>
  <c r="B3018" i="1"/>
  <c r="A3018" i="1"/>
  <c r="F3017" i="1"/>
  <c r="F3017" i="1" a="1"/>
  <c r="E3017" i="1" a="1"/>
  <c r="E3017" i="1" s="1"/>
  <c r="D3017" i="1"/>
  <c r="C3017" i="1"/>
  <c r="B3017" i="1"/>
  <c r="A3017" i="1"/>
  <c r="F3016" i="1" a="1"/>
  <c r="F3016" i="1" s="1"/>
  <c r="E3016" i="1" a="1"/>
  <c r="E3016" i="1" s="1"/>
  <c r="D3016" i="1"/>
  <c r="C3016" i="1"/>
  <c r="B3016" i="1"/>
  <c r="A3016" i="1"/>
  <c r="F3015" i="1" a="1"/>
  <c r="F3015" i="1" s="1"/>
  <c r="E3015" i="1" a="1"/>
  <c r="E3015" i="1" s="1"/>
  <c r="D3015" i="1"/>
  <c r="C3015" i="1"/>
  <c r="B3015" i="1"/>
  <c r="A3015" i="1"/>
  <c r="F3014" i="1" a="1"/>
  <c r="F3014" i="1" s="1"/>
  <c r="E3014" i="1" a="1"/>
  <c r="E3014" i="1" s="1"/>
  <c r="D3014" i="1"/>
  <c r="C3014" i="1"/>
  <c r="B3014" i="1"/>
  <c r="A3014" i="1"/>
  <c r="F3013" i="1" a="1"/>
  <c r="F3013" i="1" s="1"/>
  <c r="E3013" i="1" a="1"/>
  <c r="E3013" i="1" s="1"/>
  <c r="D3013" i="1"/>
  <c r="C3013" i="1"/>
  <c r="B3013" i="1"/>
  <c r="A3013" i="1"/>
  <c r="F3012" i="1"/>
  <c r="F3012" i="1" a="1"/>
  <c r="E3012" i="1" a="1"/>
  <c r="E3012" i="1" s="1"/>
  <c r="D3012" i="1"/>
  <c r="C3012" i="1"/>
  <c r="B3012" i="1"/>
  <c r="A3012" i="1"/>
  <c r="F3011" i="1" a="1"/>
  <c r="F3011" i="1" s="1"/>
  <c r="E3011" i="1" a="1"/>
  <c r="E3011" i="1" s="1"/>
  <c r="D3011" i="1"/>
  <c r="C3011" i="1"/>
  <c r="B3011" i="1"/>
  <c r="A3011" i="1"/>
  <c r="F3010" i="1"/>
  <c r="F3010" i="1" a="1"/>
  <c r="E3010" i="1" a="1"/>
  <c r="E3010" i="1" s="1"/>
  <c r="D3010" i="1"/>
  <c r="C3010" i="1"/>
  <c r="B3010" i="1"/>
  <c r="A3010" i="1"/>
  <c r="F3009" i="1"/>
  <c r="F3009" i="1" a="1"/>
  <c r="E3009" i="1" a="1"/>
  <c r="E3009" i="1" s="1"/>
  <c r="D3009" i="1"/>
  <c r="C3009" i="1"/>
  <c r="B3009" i="1"/>
  <c r="A3009" i="1"/>
  <c r="F3008" i="1"/>
  <c r="F3008" i="1" a="1"/>
  <c r="E3008" i="1" a="1"/>
  <c r="E3008" i="1" s="1"/>
  <c r="D3008" i="1"/>
  <c r="C3008" i="1"/>
  <c r="B3008" i="1"/>
  <c r="A3008" i="1"/>
  <c r="F3007" i="1" a="1"/>
  <c r="F3007" i="1" s="1"/>
  <c r="E3007" i="1" a="1"/>
  <c r="E3007" i="1" s="1"/>
  <c r="D3007" i="1"/>
  <c r="C3007" i="1"/>
  <c r="B3007" i="1"/>
  <c r="A3007" i="1"/>
  <c r="F3006" i="1" a="1"/>
  <c r="F3006" i="1" s="1"/>
  <c r="E3006" i="1" a="1"/>
  <c r="E3006" i="1" s="1"/>
  <c r="D3006" i="1"/>
  <c r="C3006" i="1"/>
  <c r="B3006" i="1"/>
  <c r="A3006" i="1"/>
  <c r="F3005" i="1" a="1"/>
  <c r="F3005" i="1" s="1"/>
  <c r="E3005" i="1" a="1"/>
  <c r="E3005" i="1" s="1"/>
  <c r="D3005" i="1"/>
  <c r="C3005" i="1"/>
  <c r="B3005" i="1"/>
  <c r="A3005" i="1"/>
  <c r="F3004" i="1"/>
  <c r="F3004" i="1" a="1"/>
  <c r="E3004" i="1" a="1"/>
  <c r="E3004" i="1" s="1"/>
  <c r="D3004" i="1"/>
  <c r="C3004" i="1"/>
  <c r="B3004" i="1"/>
  <c r="A3004" i="1"/>
  <c r="F3003" i="1" a="1"/>
  <c r="F3003" i="1" s="1"/>
  <c r="E3003" i="1" a="1"/>
  <c r="E3003" i="1" s="1"/>
  <c r="D3003" i="1"/>
  <c r="C3003" i="1"/>
  <c r="B3003" i="1"/>
  <c r="A3003" i="1"/>
  <c r="F3002" i="1"/>
  <c r="F3002" i="1" a="1"/>
  <c r="E3002" i="1" a="1"/>
  <c r="E3002" i="1" s="1"/>
  <c r="D3002" i="1"/>
  <c r="C3002" i="1"/>
  <c r="B3002" i="1"/>
  <c r="A3002" i="1"/>
  <c r="F3001" i="1"/>
  <c r="F3001" i="1" a="1"/>
  <c r="E3001" i="1" a="1"/>
  <c r="E3001" i="1" s="1"/>
  <c r="D3001" i="1"/>
  <c r="C3001" i="1"/>
  <c r="B3001" i="1"/>
  <c r="A3001" i="1"/>
  <c r="F3000" i="1" a="1"/>
  <c r="F3000" i="1" s="1"/>
  <c r="E3000" i="1" a="1"/>
  <c r="E3000" i="1" s="1"/>
  <c r="D3000" i="1"/>
  <c r="C3000" i="1"/>
  <c r="B3000" i="1"/>
  <c r="A3000" i="1"/>
  <c r="F2999" i="1" a="1"/>
  <c r="F2999" i="1" s="1"/>
  <c r="E2999" i="1" a="1"/>
  <c r="E2999" i="1" s="1"/>
  <c r="D2999" i="1"/>
  <c r="C2999" i="1"/>
  <c r="B2999" i="1"/>
  <c r="A2999" i="1"/>
  <c r="F2998" i="1" a="1"/>
  <c r="F2998" i="1" s="1"/>
  <c r="E2998" i="1" a="1"/>
  <c r="E2998" i="1" s="1"/>
  <c r="D2998" i="1"/>
  <c r="C2998" i="1"/>
  <c r="B2998" i="1"/>
  <c r="A2998" i="1"/>
  <c r="F2997" i="1" a="1"/>
  <c r="F2997" i="1" s="1"/>
  <c r="E2997" i="1" a="1"/>
  <c r="E2997" i="1" s="1"/>
  <c r="D2997" i="1"/>
  <c r="C2997" i="1"/>
  <c r="B2997" i="1"/>
  <c r="A2997" i="1"/>
  <c r="F2996" i="1"/>
  <c r="F2996" i="1" a="1"/>
  <c r="E2996" i="1" a="1"/>
  <c r="E2996" i="1" s="1"/>
  <c r="D2996" i="1"/>
  <c r="C2996" i="1"/>
  <c r="B2996" i="1"/>
  <c r="A2996" i="1"/>
  <c r="F2995" i="1" a="1"/>
  <c r="F2995" i="1" s="1"/>
  <c r="E2995" i="1" a="1"/>
  <c r="E2995" i="1" s="1"/>
  <c r="D2995" i="1"/>
  <c r="C2995" i="1"/>
  <c r="B2995" i="1"/>
  <c r="A2995" i="1"/>
  <c r="F2994" i="1"/>
  <c r="F2994" i="1" a="1"/>
  <c r="E2994" i="1" a="1"/>
  <c r="E2994" i="1" s="1"/>
  <c r="D2994" i="1"/>
  <c r="C2994" i="1"/>
  <c r="B2994" i="1"/>
  <c r="A2994" i="1"/>
  <c r="F2993" i="1"/>
  <c r="F2993" i="1" a="1"/>
  <c r="E2993" i="1" a="1"/>
  <c r="E2993" i="1" s="1"/>
  <c r="D2993" i="1"/>
  <c r="C2993" i="1"/>
  <c r="B2993" i="1"/>
  <c r="A2993" i="1"/>
  <c r="F2992" i="1" a="1"/>
  <c r="F2992" i="1" s="1"/>
  <c r="E2992" i="1" a="1"/>
  <c r="E2992" i="1" s="1"/>
  <c r="D2992" i="1"/>
  <c r="C2992" i="1"/>
  <c r="B2992" i="1"/>
  <c r="A2992" i="1"/>
  <c r="F2991" i="1" a="1"/>
  <c r="F2991" i="1" s="1"/>
  <c r="E2991" i="1" a="1"/>
  <c r="E2991" i="1" s="1"/>
  <c r="D2991" i="1"/>
  <c r="C2991" i="1"/>
  <c r="B2991" i="1"/>
  <c r="A2991" i="1"/>
  <c r="F2990" i="1" a="1"/>
  <c r="F2990" i="1" s="1"/>
  <c r="E2990" i="1" a="1"/>
  <c r="E2990" i="1" s="1"/>
  <c r="D2990" i="1"/>
  <c r="C2990" i="1"/>
  <c r="B2990" i="1"/>
  <c r="A2990" i="1"/>
  <c r="F2989" i="1" a="1"/>
  <c r="F2989" i="1" s="1"/>
  <c r="E2989" i="1" a="1"/>
  <c r="E2989" i="1" s="1"/>
  <c r="D2989" i="1"/>
  <c r="C2989" i="1"/>
  <c r="B2989" i="1"/>
  <c r="A2989" i="1"/>
  <c r="F2988" i="1"/>
  <c r="F2988" i="1" a="1"/>
  <c r="E2988" i="1" a="1"/>
  <c r="E2988" i="1" s="1"/>
  <c r="D2988" i="1"/>
  <c r="C2988" i="1"/>
  <c r="B2988" i="1"/>
  <c r="A2988" i="1"/>
  <c r="F2987" i="1" a="1"/>
  <c r="F2987" i="1" s="1"/>
  <c r="E2987" i="1" a="1"/>
  <c r="E2987" i="1" s="1"/>
  <c r="D2987" i="1"/>
  <c r="C2987" i="1"/>
  <c r="B2987" i="1"/>
  <c r="A2987" i="1"/>
  <c r="F2986" i="1"/>
  <c r="F2986" i="1" a="1"/>
  <c r="E2986" i="1" a="1"/>
  <c r="E2986" i="1" s="1"/>
  <c r="D2986" i="1"/>
  <c r="C2986" i="1"/>
  <c r="B2986" i="1"/>
  <c r="A2986" i="1"/>
  <c r="F2985" i="1"/>
  <c r="F2985" i="1" a="1"/>
  <c r="E2985" i="1" a="1"/>
  <c r="E2985" i="1" s="1"/>
  <c r="D2985" i="1"/>
  <c r="C2985" i="1"/>
  <c r="B2985" i="1"/>
  <c r="A2985" i="1"/>
  <c r="F2984" i="1" a="1"/>
  <c r="F2984" i="1" s="1"/>
  <c r="E2984" i="1" a="1"/>
  <c r="E2984" i="1" s="1"/>
  <c r="D2984" i="1"/>
  <c r="C2984" i="1"/>
  <c r="B2984" i="1"/>
  <c r="A2984" i="1"/>
  <c r="F2983" i="1" a="1"/>
  <c r="F2983" i="1" s="1"/>
  <c r="E2983" i="1" a="1"/>
  <c r="E2983" i="1" s="1"/>
  <c r="D2983" i="1"/>
  <c r="C2983" i="1"/>
  <c r="B2983" i="1"/>
  <c r="A2983" i="1"/>
  <c r="F2982" i="1" a="1"/>
  <c r="F2982" i="1" s="1"/>
  <c r="E2982" i="1" a="1"/>
  <c r="E2982" i="1" s="1"/>
  <c r="D2982" i="1"/>
  <c r="C2982" i="1"/>
  <c r="B2982" i="1"/>
  <c r="A2982" i="1"/>
  <c r="F2981" i="1" a="1"/>
  <c r="F2981" i="1" s="1"/>
  <c r="E2981" i="1" a="1"/>
  <c r="E2981" i="1" s="1"/>
  <c r="D2981" i="1"/>
  <c r="C2981" i="1"/>
  <c r="B2981" i="1"/>
  <c r="A2981" i="1"/>
  <c r="F2980" i="1"/>
  <c r="F2980" i="1" a="1"/>
  <c r="E2980" i="1" a="1"/>
  <c r="E2980" i="1" s="1"/>
  <c r="D2980" i="1"/>
  <c r="C2980" i="1"/>
  <c r="B2980" i="1"/>
  <c r="A2980" i="1"/>
  <c r="F2979" i="1" a="1"/>
  <c r="F2979" i="1" s="1"/>
  <c r="E2979" i="1" a="1"/>
  <c r="E2979" i="1" s="1"/>
  <c r="D2979" i="1"/>
  <c r="C2979" i="1"/>
  <c r="B2979" i="1"/>
  <c r="A2979" i="1"/>
  <c r="F2978" i="1"/>
  <c r="F2978" i="1" a="1"/>
  <c r="E2978" i="1" a="1"/>
  <c r="E2978" i="1" s="1"/>
  <c r="D2978" i="1"/>
  <c r="C2978" i="1"/>
  <c r="B2978" i="1"/>
  <c r="A2978" i="1"/>
  <c r="F2977" i="1"/>
  <c r="F2977" i="1" a="1"/>
  <c r="E2977" i="1" a="1"/>
  <c r="E2977" i="1" s="1"/>
  <c r="D2977" i="1"/>
  <c r="C2977" i="1"/>
  <c r="B2977" i="1"/>
  <c r="A2977" i="1"/>
  <c r="F2976" i="1" a="1"/>
  <c r="F2976" i="1" s="1"/>
  <c r="E2976" i="1" a="1"/>
  <c r="E2976" i="1" s="1"/>
  <c r="D2976" i="1"/>
  <c r="C2976" i="1"/>
  <c r="B2976" i="1"/>
  <c r="A2976" i="1"/>
  <c r="F2975" i="1" a="1"/>
  <c r="F2975" i="1" s="1"/>
  <c r="E2975" i="1" a="1"/>
  <c r="E2975" i="1" s="1"/>
  <c r="D2975" i="1"/>
  <c r="C2975" i="1"/>
  <c r="B2975" i="1"/>
  <c r="A2975" i="1"/>
  <c r="F2974" i="1" a="1"/>
  <c r="F2974" i="1" s="1"/>
  <c r="E2974" i="1" a="1"/>
  <c r="E2974" i="1" s="1"/>
  <c r="D2974" i="1"/>
  <c r="C2974" i="1"/>
  <c r="B2974" i="1"/>
  <c r="A2974" i="1"/>
  <c r="F2973" i="1" a="1"/>
  <c r="F2973" i="1" s="1"/>
  <c r="E2973" i="1" a="1"/>
  <c r="E2973" i="1" s="1"/>
  <c r="D2973" i="1"/>
  <c r="C2973" i="1"/>
  <c r="B2973" i="1"/>
  <c r="A2973" i="1"/>
  <c r="F2972" i="1"/>
  <c r="F2972" i="1" a="1"/>
  <c r="E2972" i="1" a="1"/>
  <c r="E2972" i="1" s="1"/>
  <c r="D2972" i="1"/>
  <c r="C2972" i="1"/>
  <c r="B2972" i="1"/>
  <c r="A2972" i="1"/>
  <c r="F2971" i="1" a="1"/>
  <c r="F2971" i="1" s="1"/>
  <c r="E2971" i="1" a="1"/>
  <c r="E2971" i="1" s="1"/>
  <c r="D2971" i="1"/>
  <c r="C2971" i="1"/>
  <c r="B2971" i="1"/>
  <c r="A2971" i="1"/>
  <c r="F2970" i="1"/>
  <c r="F2970" i="1" a="1"/>
  <c r="E2970" i="1" a="1"/>
  <c r="E2970" i="1" s="1"/>
  <c r="D2970" i="1"/>
  <c r="C2970" i="1"/>
  <c r="B2970" i="1"/>
  <c r="A2970" i="1"/>
  <c r="F2969" i="1"/>
  <c r="F2969" i="1" a="1"/>
  <c r="E2969" i="1" a="1"/>
  <c r="E2969" i="1" s="1"/>
  <c r="D2969" i="1"/>
  <c r="C2969" i="1"/>
  <c r="B2969" i="1"/>
  <c r="A2969" i="1"/>
  <c r="F2968" i="1" a="1"/>
  <c r="F2968" i="1" s="1"/>
  <c r="E2968" i="1" a="1"/>
  <c r="E2968" i="1" s="1"/>
  <c r="D2968" i="1"/>
  <c r="C2968" i="1"/>
  <c r="B2968" i="1"/>
  <c r="A2968" i="1"/>
  <c r="F2967" i="1" a="1"/>
  <c r="F2967" i="1" s="1"/>
  <c r="E2967" i="1" a="1"/>
  <c r="E2967" i="1" s="1"/>
  <c r="D2967" i="1"/>
  <c r="C2967" i="1"/>
  <c r="B2967" i="1"/>
  <c r="A2967" i="1"/>
  <c r="F2966" i="1" a="1"/>
  <c r="F2966" i="1" s="1"/>
  <c r="E2966" i="1" a="1"/>
  <c r="E2966" i="1" s="1"/>
  <c r="D2966" i="1"/>
  <c r="C2966" i="1"/>
  <c r="B2966" i="1"/>
  <c r="A2966" i="1"/>
  <c r="F2965" i="1" a="1"/>
  <c r="F2965" i="1" s="1"/>
  <c r="E2965" i="1" a="1"/>
  <c r="E2965" i="1" s="1"/>
  <c r="D2965" i="1"/>
  <c r="C2965" i="1"/>
  <c r="B2965" i="1"/>
  <c r="A2965" i="1"/>
  <c r="F2964" i="1"/>
  <c r="F2964" i="1" a="1"/>
  <c r="E2964" i="1" a="1"/>
  <c r="E2964" i="1" s="1"/>
  <c r="D2964" i="1"/>
  <c r="C2964" i="1"/>
  <c r="B2964" i="1"/>
  <c r="A2964" i="1"/>
  <c r="F2963" i="1" a="1"/>
  <c r="F2963" i="1" s="1"/>
  <c r="E2963" i="1" a="1"/>
  <c r="E2963" i="1" s="1"/>
  <c r="D2963" i="1"/>
  <c r="C2963" i="1"/>
  <c r="B2963" i="1"/>
  <c r="A2963" i="1"/>
  <c r="F2962" i="1"/>
  <c r="F2962" i="1" a="1"/>
  <c r="E2962" i="1" a="1"/>
  <c r="E2962" i="1" s="1"/>
  <c r="D2962" i="1"/>
  <c r="C2962" i="1"/>
  <c r="B2962" i="1"/>
  <c r="A2962" i="1"/>
  <c r="F2961" i="1"/>
  <c r="F2961" i="1" a="1"/>
  <c r="E2961" i="1" a="1"/>
  <c r="E2961" i="1" s="1"/>
  <c r="D2961" i="1"/>
  <c r="C2961" i="1"/>
  <c r="B2961" i="1"/>
  <c r="A2961" i="1"/>
  <c r="F2960" i="1" a="1"/>
  <c r="F2960" i="1" s="1"/>
  <c r="E2960" i="1" a="1"/>
  <c r="E2960" i="1" s="1"/>
  <c r="D2960" i="1"/>
  <c r="C2960" i="1"/>
  <c r="B2960" i="1"/>
  <c r="A2960" i="1"/>
  <c r="F2959" i="1" a="1"/>
  <c r="F2959" i="1" s="1"/>
  <c r="E2959" i="1" a="1"/>
  <c r="E2959" i="1" s="1"/>
  <c r="D2959" i="1"/>
  <c r="C2959" i="1"/>
  <c r="B2959" i="1"/>
  <c r="A2959" i="1"/>
  <c r="F2958" i="1" a="1"/>
  <c r="F2958" i="1" s="1"/>
  <c r="E2958" i="1" a="1"/>
  <c r="E2958" i="1" s="1"/>
  <c r="D2958" i="1"/>
  <c r="C2958" i="1"/>
  <c r="B2958" i="1"/>
  <c r="A2958" i="1"/>
  <c r="F2957" i="1" a="1"/>
  <c r="F2957" i="1" s="1"/>
  <c r="E2957" i="1" a="1"/>
  <c r="E2957" i="1" s="1"/>
  <c r="D2957" i="1"/>
  <c r="C2957" i="1"/>
  <c r="B2957" i="1"/>
  <c r="A2957" i="1"/>
  <c r="F2956" i="1"/>
  <c r="F2956" i="1" a="1"/>
  <c r="E2956" i="1" a="1"/>
  <c r="E2956" i="1" s="1"/>
  <c r="D2956" i="1"/>
  <c r="C2956" i="1"/>
  <c r="B2956" i="1"/>
  <c r="A2956" i="1"/>
  <c r="F2955" i="1" a="1"/>
  <c r="F2955" i="1" s="1"/>
  <c r="E2955" i="1" a="1"/>
  <c r="E2955" i="1" s="1"/>
  <c r="D2955" i="1"/>
  <c r="C2955" i="1"/>
  <c r="B2955" i="1"/>
  <c r="A2955" i="1"/>
  <c r="F2954" i="1"/>
  <c r="F2954" i="1" a="1"/>
  <c r="E2954" i="1" a="1"/>
  <c r="E2954" i="1" s="1"/>
  <c r="D2954" i="1"/>
  <c r="C2954" i="1"/>
  <c r="B2954" i="1"/>
  <c r="A2954" i="1"/>
  <c r="F2953" i="1"/>
  <c r="F2953" i="1" a="1"/>
  <c r="E2953" i="1" a="1"/>
  <c r="E2953" i="1" s="1"/>
  <c r="D2953" i="1"/>
  <c r="C2953" i="1"/>
  <c r="B2953" i="1"/>
  <c r="A2953" i="1"/>
  <c r="F2952" i="1" a="1"/>
  <c r="F2952" i="1" s="1"/>
  <c r="E2952" i="1" a="1"/>
  <c r="E2952" i="1" s="1"/>
  <c r="D2952" i="1"/>
  <c r="C2952" i="1"/>
  <c r="B2952" i="1"/>
  <c r="A2952" i="1"/>
  <c r="F2951" i="1" a="1"/>
  <c r="F2951" i="1" s="1"/>
  <c r="E2951" i="1" a="1"/>
  <c r="E2951" i="1" s="1"/>
  <c r="D2951" i="1"/>
  <c r="C2951" i="1"/>
  <c r="B2951" i="1"/>
  <c r="A2951" i="1"/>
  <c r="F2950" i="1" a="1"/>
  <c r="F2950" i="1" s="1"/>
  <c r="E2950" i="1" a="1"/>
  <c r="E2950" i="1" s="1"/>
  <c r="D2950" i="1"/>
  <c r="C2950" i="1"/>
  <c r="B2950" i="1"/>
  <c r="A2950" i="1"/>
  <c r="F2949" i="1" a="1"/>
  <c r="F2949" i="1" s="1"/>
  <c r="E2949" i="1" a="1"/>
  <c r="E2949" i="1" s="1"/>
  <c r="D2949" i="1"/>
  <c r="C2949" i="1"/>
  <c r="B2949" i="1"/>
  <c r="A2949" i="1"/>
  <c r="F2948" i="1"/>
  <c r="F2948" i="1" a="1"/>
  <c r="E2948" i="1" a="1"/>
  <c r="E2948" i="1" s="1"/>
  <c r="D2948" i="1"/>
  <c r="C2948" i="1"/>
  <c r="B2948" i="1"/>
  <c r="A2948" i="1"/>
  <c r="F2947" i="1" a="1"/>
  <c r="F2947" i="1" s="1"/>
  <c r="E2947" i="1" a="1"/>
  <c r="E2947" i="1" s="1"/>
  <c r="D2947" i="1"/>
  <c r="C2947" i="1"/>
  <c r="B2947" i="1"/>
  <c r="A2947" i="1"/>
  <c r="F2946" i="1"/>
  <c r="F2946" i="1" a="1"/>
  <c r="E2946" i="1" a="1"/>
  <c r="E2946" i="1" s="1"/>
  <c r="D2946" i="1"/>
  <c r="C2946" i="1"/>
  <c r="B2946" i="1"/>
  <c r="A2946" i="1"/>
  <c r="F2945" i="1"/>
  <c r="F2945" i="1" a="1"/>
  <c r="E2945" i="1" a="1"/>
  <c r="E2945" i="1" s="1"/>
  <c r="D2945" i="1"/>
  <c r="C2945" i="1"/>
  <c r="B2945" i="1"/>
  <c r="A2945" i="1"/>
  <c r="F2944" i="1" a="1"/>
  <c r="F2944" i="1" s="1"/>
  <c r="E2944" i="1" a="1"/>
  <c r="E2944" i="1" s="1"/>
  <c r="D2944" i="1"/>
  <c r="C2944" i="1"/>
  <c r="B2944" i="1"/>
  <c r="A2944" i="1"/>
  <c r="F2943" i="1" a="1"/>
  <c r="F2943" i="1" s="1"/>
  <c r="E2943" i="1" a="1"/>
  <c r="E2943" i="1" s="1"/>
  <c r="D2943" i="1"/>
  <c r="C2943" i="1"/>
  <c r="B2943" i="1"/>
  <c r="A2943" i="1"/>
  <c r="F2942" i="1" a="1"/>
  <c r="F2942" i="1" s="1"/>
  <c r="E2942" i="1" a="1"/>
  <c r="E2942" i="1" s="1"/>
  <c r="D2942" i="1"/>
  <c r="C2942" i="1"/>
  <c r="B2942" i="1"/>
  <c r="A2942" i="1"/>
  <c r="F2941" i="1" a="1"/>
  <c r="F2941" i="1" s="1"/>
  <c r="E2941" i="1" a="1"/>
  <c r="E2941" i="1" s="1"/>
  <c r="D2941" i="1"/>
  <c r="C2941" i="1"/>
  <c r="B2941" i="1"/>
  <c r="A2941" i="1"/>
  <c r="F2940" i="1"/>
  <c r="F2940" i="1" a="1"/>
  <c r="E2940" i="1" a="1"/>
  <c r="E2940" i="1" s="1"/>
  <c r="D2940" i="1"/>
  <c r="C2940" i="1"/>
  <c r="B2940" i="1"/>
  <c r="A2940" i="1"/>
  <c r="F2939" i="1" a="1"/>
  <c r="F2939" i="1" s="1"/>
  <c r="E2939" i="1" a="1"/>
  <c r="E2939" i="1" s="1"/>
  <c r="D2939" i="1"/>
  <c r="C2939" i="1"/>
  <c r="B2939" i="1"/>
  <c r="A2939" i="1"/>
  <c r="F2938" i="1"/>
  <c r="F2938" i="1" a="1"/>
  <c r="E2938" i="1" a="1"/>
  <c r="E2938" i="1" s="1"/>
  <c r="D2938" i="1"/>
  <c r="C2938" i="1"/>
  <c r="B2938" i="1"/>
  <c r="A2938" i="1"/>
  <c r="F2937" i="1"/>
  <c r="F2937" i="1" a="1"/>
  <c r="E2937" i="1" a="1"/>
  <c r="E2937" i="1" s="1"/>
  <c r="D2937" i="1"/>
  <c r="C2937" i="1"/>
  <c r="B2937" i="1"/>
  <c r="A2937" i="1"/>
  <c r="F2936" i="1" a="1"/>
  <c r="F2936" i="1" s="1"/>
  <c r="E2936" i="1" a="1"/>
  <c r="E2936" i="1" s="1"/>
  <c r="D2936" i="1"/>
  <c r="C2936" i="1"/>
  <c r="B2936" i="1"/>
  <c r="A2936" i="1"/>
  <c r="F2935" i="1" a="1"/>
  <c r="F2935" i="1" s="1"/>
  <c r="E2935" i="1" a="1"/>
  <c r="E2935" i="1" s="1"/>
  <c r="D2935" i="1"/>
  <c r="C2935" i="1"/>
  <c r="B2935" i="1"/>
  <c r="A2935" i="1"/>
  <c r="F2934" i="1" a="1"/>
  <c r="F2934" i="1" s="1"/>
  <c r="E2934" i="1" a="1"/>
  <c r="E2934" i="1" s="1"/>
  <c r="D2934" i="1"/>
  <c r="C2934" i="1"/>
  <c r="B2934" i="1"/>
  <c r="A2934" i="1"/>
  <c r="F2933" i="1"/>
  <c r="F2933" i="1" a="1"/>
  <c r="E2933" i="1" a="1"/>
  <c r="E2933" i="1" s="1"/>
  <c r="D2933" i="1"/>
  <c r="C2933" i="1"/>
  <c r="B2933" i="1"/>
  <c r="A2933" i="1"/>
  <c r="F2932" i="1"/>
  <c r="F2932" i="1" a="1"/>
  <c r="E2932" i="1" a="1"/>
  <c r="E2932" i="1" s="1"/>
  <c r="D2932" i="1"/>
  <c r="C2932" i="1"/>
  <c r="B2932" i="1"/>
  <c r="A2932" i="1"/>
  <c r="F2931" i="1" a="1"/>
  <c r="F2931" i="1" s="1"/>
  <c r="E2931" i="1" a="1"/>
  <c r="E2931" i="1" s="1"/>
  <c r="D2931" i="1"/>
  <c r="C2931" i="1"/>
  <c r="B2931" i="1"/>
  <c r="A2931" i="1"/>
  <c r="F2930" i="1"/>
  <c r="F2930" i="1" a="1"/>
  <c r="E2930" i="1" a="1"/>
  <c r="E2930" i="1" s="1"/>
  <c r="D2930" i="1"/>
  <c r="C2930" i="1"/>
  <c r="B2930" i="1"/>
  <c r="A2930" i="1"/>
  <c r="F2929" i="1"/>
  <c r="F2929" i="1" a="1"/>
  <c r="E2929" i="1" a="1"/>
  <c r="E2929" i="1" s="1"/>
  <c r="D2929" i="1"/>
  <c r="C2929" i="1"/>
  <c r="B2929" i="1"/>
  <c r="A2929" i="1"/>
  <c r="F2928" i="1" a="1"/>
  <c r="F2928" i="1" s="1"/>
  <c r="E2928" i="1" a="1"/>
  <c r="E2928" i="1" s="1"/>
  <c r="D2928" i="1"/>
  <c r="C2928" i="1"/>
  <c r="B2928" i="1"/>
  <c r="A2928" i="1"/>
  <c r="F2927" i="1" a="1"/>
  <c r="F2927" i="1" s="1"/>
  <c r="E2927" i="1" a="1"/>
  <c r="E2927" i="1" s="1"/>
  <c r="D2927" i="1"/>
  <c r="C2927" i="1"/>
  <c r="B2927" i="1"/>
  <c r="A2927" i="1"/>
  <c r="F2926" i="1" a="1"/>
  <c r="F2926" i="1" s="1"/>
  <c r="E2926" i="1" a="1"/>
  <c r="E2926" i="1" s="1"/>
  <c r="D2926" i="1"/>
  <c r="C2926" i="1"/>
  <c r="B2926" i="1"/>
  <c r="A2926" i="1"/>
  <c r="F2925" i="1"/>
  <c r="F2925" i="1" a="1"/>
  <c r="E2925" i="1" a="1"/>
  <c r="E2925" i="1" s="1"/>
  <c r="D2925" i="1"/>
  <c r="C2925" i="1"/>
  <c r="B2925" i="1"/>
  <c r="A2925" i="1"/>
  <c r="F2924" i="1"/>
  <c r="F2924" i="1" a="1"/>
  <c r="E2924" i="1" a="1"/>
  <c r="E2924" i="1" s="1"/>
  <c r="D2924" i="1"/>
  <c r="C2924" i="1"/>
  <c r="B2924" i="1"/>
  <c r="A2924" i="1"/>
  <c r="F2923" i="1" a="1"/>
  <c r="F2923" i="1" s="1"/>
  <c r="E2923" i="1" a="1"/>
  <c r="E2923" i="1" s="1"/>
  <c r="D2923" i="1"/>
  <c r="C2923" i="1"/>
  <c r="B2923" i="1"/>
  <c r="A2923" i="1"/>
  <c r="F2922" i="1"/>
  <c r="F2922" i="1" a="1"/>
  <c r="E2922" i="1" a="1"/>
  <c r="E2922" i="1" s="1"/>
  <c r="D2922" i="1"/>
  <c r="C2922" i="1"/>
  <c r="B2922" i="1"/>
  <c r="A2922" i="1"/>
  <c r="F2921" i="1"/>
  <c r="F2921" i="1" a="1"/>
  <c r="E2921" i="1" a="1"/>
  <c r="E2921" i="1" s="1"/>
  <c r="D2921" i="1"/>
  <c r="C2921" i="1"/>
  <c r="B2921" i="1"/>
  <c r="A2921" i="1"/>
  <c r="F2920" i="1" a="1"/>
  <c r="F2920" i="1" s="1"/>
  <c r="E2920" i="1" a="1"/>
  <c r="E2920" i="1" s="1"/>
  <c r="D2920" i="1"/>
  <c r="C2920" i="1"/>
  <c r="B2920" i="1"/>
  <c r="A2920" i="1"/>
  <c r="F2919" i="1" a="1"/>
  <c r="F2919" i="1" s="1"/>
  <c r="E2919" i="1" a="1"/>
  <c r="E2919" i="1" s="1"/>
  <c r="D2919" i="1"/>
  <c r="C2919" i="1"/>
  <c r="B2919" i="1"/>
  <c r="A2919" i="1"/>
  <c r="F2918" i="1" a="1"/>
  <c r="F2918" i="1" s="1"/>
  <c r="E2918" i="1" a="1"/>
  <c r="E2918" i="1" s="1"/>
  <c r="D2918" i="1"/>
  <c r="C2918" i="1"/>
  <c r="B2918" i="1"/>
  <c r="A2918" i="1"/>
  <c r="F2917" i="1"/>
  <c r="F2917" i="1" a="1"/>
  <c r="E2917" i="1" a="1"/>
  <c r="E2917" i="1" s="1"/>
  <c r="D2917" i="1"/>
  <c r="C2917" i="1"/>
  <c r="B2917" i="1"/>
  <c r="A2917" i="1"/>
  <c r="F2916" i="1"/>
  <c r="F2916" i="1" a="1"/>
  <c r="E2916" i="1" a="1"/>
  <c r="E2916" i="1" s="1"/>
  <c r="D2916" i="1"/>
  <c r="C2916" i="1"/>
  <c r="B2916" i="1"/>
  <c r="A2916" i="1"/>
  <c r="F2915" i="1" a="1"/>
  <c r="F2915" i="1" s="1"/>
  <c r="E2915" i="1" a="1"/>
  <c r="E2915" i="1" s="1"/>
  <c r="D2915" i="1"/>
  <c r="C2915" i="1"/>
  <c r="B2915" i="1"/>
  <c r="A2915" i="1"/>
  <c r="F2914" i="1"/>
  <c r="F2914" i="1" a="1"/>
  <c r="E2914" i="1" a="1"/>
  <c r="E2914" i="1" s="1"/>
  <c r="D2914" i="1"/>
  <c r="C2914" i="1"/>
  <c r="B2914" i="1"/>
  <c r="A2914" i="1"/>
  <c r="F2913" i="1"/>
  <c r="F2913" i="1" a="1"/>
  <c r="E2913" i="1" a="1"/>
  <c r="E2913" i="1" s="1"/>
  <c r="D2913" i="1"/>
  <c r="C2913" i="1"/>
  <c r="B2913" i="1"/>
  <c r="A2913" i="1"/>
  <c r="F2912" i="1" a="1"/>
  <c r="F2912" i="1" s="1"/>
  <c r="E2912" i="1" a="1"/>
  <c r="E2912" i="1" s="1"/>
  <c r="D2912" i="1"/>
  <c r="C2912" i="1"/>
  <c r="B2912" i="1"/>
  <c r="A2912" i="1"/>
  <c r="F2911" i="1" a="1"/>
  <c r="F2911" i="1" s="1"/>
  <c r="E2911" i="1" a="1"/>
  <c r="E2911" i="1" s="1"/>
  <c r="D2911" i="1"/>
  <c r="C2911" i="1"/>
  <c r="B2911" i="1"/>
  <c r="A2911" i="1"/>
  <c r="F2910" i="1" a="1"/>
  <c r="F2910" i="1" s="1"/>
  <c r="E2910" i="1" a="1"/>
  <c r="E2910" i="1" s="1"/>
  <c r="D2910" i="1"/>
  <c r="C2910" i="1"/>
  <c r="B2910" i="1"/>
  <c r="A2910" i="1"/>
  <c r="F2909" i="1"/>
  <c r="F2909" i="1" a="1"/>
  <c r="E2909" i="1" a="1"/>
  <c r="E2909" i="1" s="1"/>
  <c r="D2909" i="1"/>
  <c r="C2909" i="1"/>
  <c r="B2909" i="1"/>
  <c r="A2909" i="1"/>
  <c r="F2908" i="1"/>
  <c r="F2908" i="1" a="1"/>
  <c r="E2908" i="1" a="1"/>
  <c r="E2908" i="1" s="1"/>
  <c r="D2908" i="1"/>
  <c r="C2908" i="1"/>
  <c r="B2908" i="1"/>
  <c r="A2908" i="1"/>
  <c r="F2907" i="1" a="1"/>
  <c r="F2907" i="1" s="1"/>
  <c r="E2907" i="1" a="1"/>
  <c r="E2907" i="1" s="1"/>
  <c r="D2907" i="1"/>
  <c r="C2907" i="1"/>
  <c r="B2907" i="1"/>
  <c r="A2907" i="1"/>
  <c r="F2906" i="1"/>
  <c r="F2906" i="1" a="1"/>
  <c r="E2906" i="1" a="1"/>
  <c r="E2906" i="1" s="1"/>
  <c r="D2906" i="1"/>
  <c r="C2906" i="1"/>
  <c r="B2906" i="1"/>
  <c r="A2906" i="1"/>
  <c r="F2905" i="1"/>
  <c r="F2905" i="1" a="1"/>
  <c r="E2905" i="1" a="1"/>
  <c r="E2905" i="1" s="1"/>
  <c r="D2905" i="1"/>
  <c r="C2905" i="1"/>
  <c r="B2905" i="1"/>
  <c r="A2905" i="1"/>
  <c r="F2904" i="1" a="1"/>
  <c r="F2904" i="1" s="1"/>
  <c r="E2904" i="1" a="1"/>
  <c r="E2904" i="1" s="1"/>
  <c r="D2904" i="1"/>
  <c r="C2904" i="1"/>
  <c r="B2904" i="1"/>
  <c r="A2904" i="1"/>
  <c r="F2903" i="1" a="1"/>
  <c r="F2903" i="1" s="1"/>
  <c r="E2903" i="1" a="1"/>
  <c r="E2903" i="1" s="1"/>
  <c r="D2903" i="1"/>
  <c r="C2903" i="1"/>
  <c r="B2903" i="1"/>
  <c r="A2903" i="1"/>
  <c r="F2902" i="1" a="1"/>
  <c r="F2902" i="1" s="1"/>
  <c r="E2902" i="1" a="1"/>
  <c r="E2902" i="1" s="1"/>
  <c r="D2902" i="1"/>
  <c r="C2902" i="1"/>
  <c r="B2902" i="1"/>
  <c r="A2902" i="1"/>
  <c r="F2901" i="1"/>
  <c r="F2901" i="1" a="1"/>
  <c r="E2901" i="1" a="1"/>
  <c r="E2901" i="1" s="1"/>
  <c r="D2901" i="1"/>
  <c r="C2901" i="1"/>
  <c r="B2901" i="1"/>
  <c r="A2901" i="1"/>
  <c r="F2900" i="1"/>
  <c r="F2900" i="1" a="1"/>
  <c r="E2900" i="1" a="1"/>
  <c r="E2900" i="1" s="1"/>
  <c r="D2900" i="1"/>
  <c r="C2900" i="1"/>
  <c r="B2900" i="1"/>
  <c r="A2900" i="1"/>
  <c r="F2899" i="1" a="1"/>
  <c r="F2899" i="1" s="1"/>
  <c r="E2899" i="1" a="1"/>
  <c r="E2899" i="1" s="1"/>
  <c r="D2899" i="1"/>
  <c r="C2899" i="1"/>
  <c r="B2899" i="1"/>
  <c r="A2899" i="1"/>
  <c r="F2898" i="1"/>
  <c r="F2898" i="1" a="1"/>
  <c r="E2898" i="1" a="1"/>
  <c r="E2898" i="1" s="1"/>
  <c r="D2898" i="1"/>
  <c r="C2898" i="1"/>
  <c r="B2898" i="1"/>
  <c r="A2898" i="1"/>
  <c r="F2897" i="1"/>
  <c r="F2897" i="1" a="1"/>
  <c r="E2897" i="1" a="1"/>
  <c r="E2897" i="1" s="1"/>
  <c r="D2897" i="1"/>
  <c r="C2897" i="1"/>
  <c r="B2897" i="1"/>
  <c r="A2897" i="1"/>
  <c r="F2896" i="1" a="1"/>
  <c r="F2896" i="1" s="1"/>
  <c r="E2896" i="1" a="1"/>
  <c r="E2896" i="1" s="1"/>
  <c r="D2896" i="1"/>
  <c r="C2896" i="1"/>
  <c r="B2896" i="1"/>
  <c r="A2896" i="1"/>
  <c r="F2895" i="1" a="1"/>
  <c r="F2895" i="1" s="1"/>
  <c r="E2895" i="1" a="1"/>
  <c r="E2895" i="1" s="1"/>
  <c r="D2895" i="1"/>
  <c r="C2895" i="1"/>
  <c r="B2895" i="1"/>
  <c r="A2895" i="1"/>
  <c r="F2894" i="1" a="1"/>
  <c r="F2894" i="1" s="1"/>
  <c r="E2894" i="1" a="1"/>
  <c r="E2894" i="1" s="1"/>
  <c r="D2894" i="1"/>
  <c r="C2894" i="1"/>
  <c r="B2894" i="1"/>
  <c r="A2894" i="1"/>
  <c r="F2893" i="1"/>
  <c r="F2893" i="1" a="1"/>
  <c r="E2893" i="1" a="1"/>
  <c r="E2893" i="1" s="1"/>
  <c r="D2893" i="1"/>
  <c r="C2893" i="1"/>
  <c r="B2893" i="1"/>
  <c r="A2893" i="1"/>
  <c r="F2892" i="1"/>
  <c r="F2892" i="1" a="1"/>
  <c r="E2892" i="1" a="1"/>
  <c r="E2892" i="1" s="1"/>
  <c r="D2892" i="1"/>
  <c r="C2892" i="1"/>
  <c r="B2892" i="1"/>
  <c r="A2892" i="1"/>
  <c r="F2891" i="1" a="1"/>
  <c r="F2891" i="1" s="1"/>
  <c r="E2891" i="1" a="1"/>
  <c r="E2891" i="1" s="1"/>
  <c r="D2891" i="1"/>
  <c r="C2891" i="1"/>
  <c r="B2891" i="1"/>
  <c r="A2891" i="1"/>
  <c r="F2890" i="1"/>
  <c r="F2890" i="1" a="1"/>
  <c r="E2890" i="1" a="1"/>
  <c r="E2890" i="1" s="1"/>
  <c r="D2890" i="1"/>
  <c r="C2890" i="1"/>
  <c r="B2890" i="1"/>
  <c r="A2890" i="1"/>
  <c r="F2889" i="1"/>
  <c r="F2889" i="1" a="1"/>
  <c r="E2889" i="1" a="1"/>
  <c r="E2889" i="1" s="1"/>
  <c r="D2889" i="1"/>
  <c r="C2889" i="1"/>
  <c r="B2889" i="1"/>
  <c r="A2889" i="1"/>
  <c r="F2888" i="1" a="1"/>
  <c r="F2888" i="1" s="1"/>
  <c r="E2888" i="1" a="1"/>
  <c r="E2888" i="1" s="1"/>
  <c r="D2888" i="1"/>
  <c r="C2888" i="1"/>
  <c r="B2888" i="1"/>
  <c r="A2888" i="1"/>
  <c r="F2887" i="1" a="1"/>
  <c r="F2887" i="1" s="1"/>
  <c r="E2887" i="1" a="1"/>
  <c r="E2887" i="1" s="1"/>
  <c r="D2887" i="1"/>
  <c r="C2887" i="1"/>
  <c r="B2887" i="1"/>
  <c r="A2887" i="1"/>
  <c r="F2886" i="1" a="1"/>
  <c r="F2886" i="1" s="1"/>
  <c r="E2886" i="1" a="1"/>
  <c r="E2886" i="1" s="1"/>
  <c r="D2886" i="1"/>
  <c r="C2886" i="1"/>
  <c r="B2886" i="1"/>
  <c r="A2886" i="1"/>
  <c r="F2885" i="1" a="1"/>
  <c r="F2885" i="1" s="1"/>
  <c r="E2885" i="1" a="1"/>
  <c r="E2885" i="1" s="1"/>
  <c r="D2885" i="1"/>
  <c r="C2885" i="1"/>
  <c r="B2885" i="1"/>
  <c r="A2885" i="1"/>
  <c r="F2884" i="1"/>
  <c r="F2884" i="1" a="1"/>
  <c r="E2884" i="1" a="1"/>
  <c r="E2884" i="1" s="1"/>
  <c r="D2884" i="1"/>
  <c r="C2884" i="1"/>
  <c r="B2884" i="1"/>
  <c r="A2884" i="1"/>
  <c r="F2883" i="1" a="1"/>
  <c r="F2883" i="1" s="1"/>
  <c r="E2883" i="1" a="1"/>
  <c r="E2883" i="1" s="1"/>
  <c r="D2883" i="1"/>
  <c r="C2883" i="1"/>
  <c r="B2883" i="1"/>
  <c r="A2883" i="1"/>
  <c r="F2882" i="1"/>
  <c r="F2882" i="1" a="1"/>
  <c r="E2882" i="1" a="1"/>
  <c r="E2882" i="1" s="1"/>
  <c r="D2882" i="1"/>
  <c r="C2882" i="1"/>
  <c r="B2882" i="1"/>
  <c r="A2882" i="1"/>
  <c r="F2881" i="1"/>
  <c r="F2881" i="1" a="1"/>
  <c r="E2881" i="1" a="1"/>
  <c r="E2881" i="1" s="1"/>
  <c r="D2881" i="1"/>
  <c r="C2881" i="1"/>
  <c r="B2881" i="1"/>
  <c r="A2881" i="1"/>
  <c r="F2880" i="1" a="1"/>
  <c r="F2880" i="1" s="1"/>
  <c r="E2880" i="1" a="1"/>
  <c r="E2880" i="1" s="1"/>
  <c r="D2880" i="1"/>
  <c r="C2880" i="1"/>
  <c r="B2880" i="1"/>
  <c r="A2880" i="1"/>
  <c r="F2879" i="1" a="1"/>
  <c r="F2879" i="1" s="1"/>
  <c r="E2879" i="1" a="1"/>
  <c r="E2879" i="1" s="1"/>
  <c r="D2879" i="1"/>
  <c r="C2879" i="1"/>
  <c r="B2879" i="1"/>
  <c r="A2879" i="1"/>
  <c r="F2878" i="1" a="1"/>
  <c r="F2878" i="1" s="1"/>
  <c r="E2878" i="1" a="1"/>
  <c r="E2878" i="1" s="1"/>
  <c r="D2878" i="1"/>
  <c r="C2878" i="1"/>
  <c r="B2878" i="1"/>
  <c r="A2878" i="1"/>
  <c r="F2877" i="1" a="1"/>
  <c r="F2877" i="1" s="1"/>
  <c r="E2877" i="1" a="1"/>
  <c r="E2877" i="1" s="1"/>
  <c r="D2877" i="1"/>
  <c r="C2877" i="1"/>
  <c r="B2877" i="1"/>
  <c r="A2877" i="1"/>
  <c r="F2876" i="1"/>
  <c r="F2876" i="1" a="1"/>
  <c r="E2876" i="1" a="1"/>
  <c r="E2876" i="1" s="1"/>
  <c r="D2876" i="1"/>
  <c r="C2876" i="1"/>
  <c r="B2876" i="1"/>
  <c r="A2876" i="1"/>
  <c r="F2875" i="1" a="1"/>
  <c r="F2875" i="1" s="1"/>
  <c r="E2875" i="1" a="1"/>
  <c r="E2875" i="1" s="1"/>
  <c r="D2875" i="1"/>
  <c r="C2875" i="1"/>
  <c r="B2875" i="1"/>
  <c r="A2875" i="1"/>
  <c r="F2874" i="1"/>
  <c r="F2874" i="1" a="1"/>
  <c r="E2874" i="1" a="1"/>
  <c r="E2874" i="1" s="1"/>
  <c r="D2874" i="1"/>
  <c r="C2874" i="1"/>
  <c r="B2874" i="1"/>
  <c r="A2874" i="1"/>
  <c r="F2873" i="1"/>
  <c r="F2873" i="1" a="1"/>
  <c r="E2873" i="1" a="1"/>
  <c r="E2873" i="1" s="1"/>
  <c r="D2873" i="1"/>
  <c r="C2873" i="1"/>
  <c r="B2873" i="1"/>
  <c r="A2873" i="1"/>
  <c r="F2872" i="1" a="1"/>
  <c r="F2872" i="1" s="1"/>
  <c r="E2872" i="1" a="1"/>
  <c r="E2872" i="1" s="1"/>
  <c r="D2872" i="1"/>
  <c r="C2872" i="1"/>
  <c r="B2872" i="1"/>
  <c r="A2872" i="1"/>
  <c r="F2871" i="1" a="1"/>
  <c r="F2871" i="1" s="1"/>
  <c r="E2871" i="1" a="1"/>
  <c r="E2871" i="1" s="1"/>
  <c r="D2871" i="1"/>
  <c r="C2871" i="1"/>
  <c r="B2871" i="1"/>
  <c r="A2871" i="1"/>
  <c r="F2870" i="1" a="1"/>
  <c r="F2870" i="1" s="1"/>
  <c r="E2870" i="1" a="1"/>
  <c r="E2870" i="1" s="1"/>
  <c r="D2870" i="1"/>
  <c r="C2870" i="1"/>
  <c r="B2870" i="1"/>
  <c r="A2870" i="1"/>
  <c r="F2869" i="1" a="1"/>
  <c r="F2869" i="1" s="1"/>
  <c r="E2869" i="1" a="1"/>
  <c r="E2869" i="1" s="1"/>
  <c r="D2869" i="1"/>
  <c r="C2869" i="1"/>
  <c r="B2869" i="1"/>
  <c r="A2869" i="1"/>
  <c r="F2868" i="1"/>
  <c r="F2868" i="1" a="1"/>
  <c r="E2868" i="1" a="1"/>
  <c r="E2868" i="1" s="1"/>
  <c r="D2868" i="1"/>
  <c r="C2868" i="1"/>
  <c r="B2868" i="1"/>
  <c r="A2868" i="1"/>
  <c r="F2867" i="1" a="1"/>
  <c r="F2867" i="1" s="1"/>
  <c r="E2867" i="1" a="1"/>
  <c r="E2867" i="1" s="1"/>
  <c r="D2867" i="1"/>
  <c r="C2867" i="1"/>
  <c r="B2867" i="1"/>
  <c r="A2867" i="1"/>
  <c r="F2866" i="1"/>
  <c r="F2866" i="1" a="1"/>
  <c r="E2866" i="1" a="1"/>
  <c r="E2866" i="1" s="1"/>
  <c r="D2866" i="1"/>
  <c r="C2866" i="1"/>
  <c r="B2866" i="1"/>
  <c r="A2866" i="1"/>
  <c r="F2865" i="1"/>
  <c r="F2865" i="1" a="1"/>
  <c r="E2865" i="1" a="1"/>
  <c r="E2865" i="1" s="1"/>
  <c r="D2865" i="1"/>
  <c r="C2865" i="1"/>
  <c r="B2865" i="1"/>
  <c r="A2865" i="1"/>
  <c r="F2864" i="1" a="1"/>
  <c r="F2864" i="1" s="1"/>
  <c r="E2864" i="1" a="1"/>
  <c r="E2864" i="1" s="1"/>
  <c r="D2864" i="1"/>
  <c r="C2864" i="1"/>
  <c r="B2864" i="1"/>
  <c r="A2864" i="1"/>
  <c r="F2863" i="1" a="1"/>
  <c r="F2863" i="1" s="1"/>
  <c r="E2863" i="1" a="1"/>
  <c r="E2863" i="1" s="1"/>
  <c r="D2863" i="1"/>
  <c r="C2863" i="1"/>
  <c r="B2863" i="1"/>
  <c r="A2863" i="1"/>
  <c r="F2862" i="1" a="1"/>
  <c r="F2862" i="1" s="1"/>
  <c r="E2862" i="1" a="1"/>
  <c r="E2862" i="1" s="1"/>
  <c r="D2862" i="1"/>
  <c r="C2862" i="1"/>
  <c r="B2862" i="1"/>
  <c r="A2862" i="1"/>
  <c r="F2861" i="1" a="1"/>
  <c r="F2861" i="1" s="1"/>
  <c r="E2861" i="1" a="1"/>
  <c r="E2861" i="1" s="1"/>
  <c r="D2861" i="1"/>
  <c r="C2861" i="1"/>
  <c r="B2861" i="1"/>
  <c r="A2861" i="1"/>
  <c r="F2860" i="1"/>
  <c r="F2860" i="1" a="1"/>
  <c r="E2860" i="1" a="1"/>
  <c r="E2860" i="1" s="1"/>
  <c r="D2860" i="1"/>
  <c r="C2860" i="1"/>
  <c r="B2860" i="1"/>
  <c r="A2860" i="1"/>
  <c r="F2859" i="1" a="1"/>
  <c r="F2859" i="1" s="1"/>
  <c r="E2859" i="1" a="1"/>
  <c r="E2859" i="1" s="1"/>
  <c r="D2859" i="1"/>
  <c r="C2859" i="1"/>
  <c r="B2859" i="1"/>
  <c r="A2859" i="1"/>
  <c r="F2858" i="1"/>
  <c r="F2858" i="1" a="1"/>
  <c r="E2858" i="1" a="1"/>
  <c r="E2858" i="1" s="1"/>
  <c r="D2858" i="1"/>
  <c r="C2858" i="1"/>
  <c r="B2858" i="1"/>
  <c r="A2858" i="1"/>
  <c r="F2857" i="1"/>
  <c r="F2857" i="1" a="1"/>
  <c r="E2857" i="1" a="1"/>
  <c r="E2857" i="1" s="1"/>
  <c r="D2857" i="1"/>
  <c r="C2857" i="1"/>
  <c r="B2857" i="1"/>
  <c r="A2857" i="1"/>
  <c r="F2856" i="1" a="1"/>
  <c r="F2856" i="1" s="1"/>
  <c r="E2856" i="1" a="1"/>
  <c r="E2856" i="1" s="1"/>
  <c r="D2856" i="1"/>
  <c r="C2856" i="1"/>
  <c r="B2856" i="1"/>
  <c r="A2856" i="1"/>
  <c r="F2855" i="1" a="1"/>
  <c r="F2855" i="1" s="1"/>
  <c r="E2855" i="1" a="1"/>
  <c r="E2855" i="1" s="1"/>
  <c r="D2855" i="1"/>
  <c r="C2855" i="1"/>
  <c r="B2855" i="1"/>
  <c r="A2855" i="1"/>
  <c r="F2854" i="1" a="1"/>
  <c r="F2854" i="1" s="1"/>
  <c r="E2854" i="1" a="1"/>
  <c r="E2854" i="1" s="1"/>
  <c r="D2854" i="1"/>
  <c r="C2854" i="1"/>
  <c r="B2854" i="1"/>
  <c r="A2854" i="1"/>
  <c r="F2853" i="1" a="1"/>
  <c r="F2853" i="1" s="1"/>
  <c r="E2853" i="1" a="1"/>
  <c r="E2853" i="1" s="1"/>
  <c r="D2853" i="1"/>
  <c r="C2853" i="1"/>
  <c r="B2853" i="1"/>
  <c r="A2853" i="1"/>
  <c r="F2852" i="1"/>
  <c r="F2852" i="1" a="1"/>
  <c r="E2852" i="1" a="1"/>
  <c r="E2852" i="1" s="1"/>
  <c r="D2852" i="1"/>
  <c r="C2852" i="1"/>
  <c r="B2852" i="1"/>
  <c r="A2852" i="1"/>
  <c r="F2851" i="1" a="1"/>
  <c r="F2851" i="1" s="1"/>
  <c r="E2851" i="1" a="1"/>
  <c r="E2851" i="1" s="1"/>
  <c r="D2851" i="1"/>
  <c r="C2851" i="1"/>
  <c r="B2851" i="1"/>
  <c r="A2851" i="1"/>
  <c r="F2850" i="1"/>
  <c r="F2850" i="1" a="1"/>
  <c r="E2850" i="1" a="1"/>
  <c r="E2850" i="1" s="1"/>
  <c r="D2850" i="1"/>
  <c r="C2850" i="1"/>
  <c r="B2850" i="1"/>
  <c r="A2850" i="1"/>
  <c r="F2849" i="1"/>
  <c r="F2849" i="1" a="1"/>
  <c r="E2849" i="1" a="1"/>
  <c r="E2849" i="1" s="1"/>
  <c r="D2849" i="1"/>
  <c r="C2849" i="1"/>
  <c r="B2849" i="1"/>
  <c r="A2849" i="1"/>
  <c r="F2848" i="1" a="1"/>
  <c r="F2848" i="1" s="1"/>
  <c r="E2848" i="1" a="1"/>
  <c r="E2848" i="1" s="1"/>
  <c r="D2848" i="1"/>
  <c r="C2848" i="1"/>
  <c r="B2848" i="1"/>
  <c r="A2848" i="1"/>
  <c r="F2847" i="1" a="1"/>
  <c r="F2847" i="1" s="1"/>
  <c r="E2847" i="1" a="1"/>
  <c r="E2847" i="1" s="1"/>
  <c r="D2847" i="1"/>
  <c r="C2847" i="1"/>
  <c r="B2847" i="1"/>
  <c r="A2847" i="1"/>
  <c r="F2846" i="1" a="1"/>
  <c r="F2846" i="1" s="1"/>
  <c r="E2846" i="1" a="1"/>
  <c r="E2846" i="1" s="1"/>
  <c r="D2846" i="1"/>
  <c r="C2846" i="1"/>
  <c r="B2846" i="1"/>
  <c r="A2846" i="1"/>
  <c r="F2845" i="1" a="1"/>
  <c r="F2845" i="1" s="1"/>
  <c r="E2845" i="1" a="1"/>
  <c r="E2845" i="1" s="1"/>
  <c r="D2845" i="1"/>
  <c r="C2845" i="1"/>
  <c r="B2845" i="1"/>
  <c r="A2845" i="1"/>
  <c r="F2844" i="1"/>
  <c r="F2844" i="1" a="1"/>
  <c r="E2844" i="1" a="1"/>
  <c r="E2844" i="1" s="1"/>
  <c r="D2844" i="1"/>
  <c r="C2844" i="1"/>
  <c r="B2844" i="1"/>
  <c r="A2844" i="1"/>
  <c r="F2843" i="1" a="1"/>
  <c r="F2843" i="1" s="1"/>
  <c r="E2843" i="1" a="1"/>
  <c r="E2843" i="1" s="1"/>
  <c r="D2843" i="1"/>
  <c r="C2843" i="1"/>
  <c r="B2843" i="1"/>
  <c r="A2843" i="1"/>
  <c r="F2842" i="1"/>
  <c r="F2842" i="1" a="1"/>
  <c r="E2842" i="1" a="1"/>
  <c r="E2842" i="1" s="1"/>
  <c r="D2842" i="1"/>
  <c r="C2842" i="1"/>
  <c r="B2842" i="1"/>
  <c r="A2842" i="1"/>
  <c r="F2841" i="1"/>
  <c r="F2841" i="1" a="1"/>
  <c r="E2841" i="1" a="1"/>
  <c r="E2841" i="1" s="1"/>
  <c r="D2841" i="1"/>
  <c r="C2841" i="1"/>
  <c r="B2841" i="1"/>
  <c r="A2841" i="1"/>
  <c r="F2840" i="1" a="1"/>
  <c r="F2840" i="1" s="1"/>
  <c r="E2840" i="1" a="1"/>
  <c r="E2840" i="1" s="1"/>
  <c r="D2840" i="1"/>
  <c r="C2840" i="1"/>
  <c r="B2840" i="1"/>
  <c r="A2840" i="1"/>
  <c r="F2839" i="1" a="1"/>
  <c r="F2839" i="1" s="1"/>
  <c r="E2839" i="1" a="1"/>
  <c r="E2839" i="1" s="1"/>
  <c r="D2839" i="1"/>
  <c r="C2839" i="1"/>
  <c r="B2839" i="1"/>
  <c r="A2839" i="1"/>
  <c r="F2838" i="1" a="1"/>
  <c r="F2838" i="1" s="1"/>
  <c r="E2838" i="1" a="1"/>
  <c r="E2838" i="1" s="1"/>
  <c r="D2838" i="1"/>
  <c r="C2838" i="1"/>
  <c r="B2838" i="1"/>
  <c r="A2838" i="1"/>
  <c r="F2837" i="1" a="1"/>
  <c r="F2837" i="1" s="1"/>
  <c r="E2837" i="1" a="1"/>
  <c r="E2837" i="1" s="1"/>
  <c r="D2837" i="1"/>
  <c r="C2837" i="1"/>
  <c r="B2837" i="1"/>
  <c r="A2837" i="1"/>
  <c r="F2836" i="1"/>
  <c r="F2836" i="1" a="1"/>
  <c r="E2836" i="1" a="1"/>
  <c r="E2836" i="1" s="1"/>
  <c r="D2836" i="1"/>
  <c r="C2836" i="1"/>
  <c r="B2836" i="1"/>
  <c r="A2836" i="1"/>
  <c r="F2835" i="1" a="1"/>
  <c r="F2835" i="1" s="1"/>
  <c r="E2835" i="1" a="1"/>
  <c r="E2835" i="1" s="1"/>
  <c r="D2835" i="1"/>
  <c r="C2835" i="1"/>
  <c r="B2835" i="1"/>
  <c r="A2835" i="1"/>
  <c r="F2834" i="1"/>
  <c r="F2834" i="1" a="1"/>
  <c r="E2834" i="1" a="1"/>
  <c r="E2834" i="1" s="1"/>
  <c r="D2834" i="1"/>
  <c r="C2834" i="1"/>
  <c r="B2834" i="1"/>
  <c r="A2834" i="1"/>
  <c r="F2833" i="1"/>
  <c r="F2833" i="1" a="1"/>
  <c r="E2833" i="1" a="1"/>
  <c r="E2833" i="1" s="1"/>
  <c r="D2833" i="1"/>
  <c r="C2833" i="1"/>
  <c r="B2833" i="1"/>
  <c r="A2833" i="1"/>
  <c r="F2832" i="1" a="1"/>
  <c r="F2832" i="1" s="1"/>
  <c r="E2832" i="1" a="1"/>
  <c r="E2832" i="1" s="1"/>
  <c r="D2832" i="1"/>
  <c r="C2832" i="1"/>
  <c r="B2832" i="1"/>
  <c r="A2832" i="1"/>
  <c r="F2831" i="1" a="1"/>
  <c r="F2831" i="1" s="1"/>
  <c r="E2831" i="1" a="1"/>
  <c r="E2831" i="1" s="1"/>
  <c r="D2831" i="1"/>
  <c r="C2831" i="1"/>
  <c r="B2831" i="1"/>
  <c r="A2831" i="1"/>
  <c r="F2830" i="1" a="1"/>
  <c r="F2830" i="1" s="1"/>
  <c r="E2830" i="1" a="1"/>
  <c r="E2830" i="1" s="1"/>
  <c r="D2830" i="1"/>
  <c r="C2830" i="1"/>
  <c r="B2830" i="1"/>
  <c r="A2830" i="1"/>
  <c r="F2829" i="1" a="1"/>
  <c r="F2829" i="1" s="1"/>
  <c r="E2829" i="1" a="1"/>
  <c r="E2829" i="1" s="1"/>
  <c r="D2829" i="1"/>
  <c r="C2829" i="1"/>
  <c r="B2829" i="1"/>
  <c r="A2829" i="1"/>
  <c r="F2828" i="1"/>
  <c r="F2828" i="1" a="1"/>
  <c r="E2828" i="1" a="1"/>
  <c r="E2828" i="1" s="1"/>
  <c r="D2828" i="1"/>
  <c r="C2828" i="1"/>
  <c r="B2828" i="1"/>
  <c r="A2828" i="1"/>
  <c r="F2827" i="1" a="1"/>
  <c r="F2827" i="1" s="1"/>
  <c r="E2827" i="1" a="1"/>
  <c r="E2827" i="1" s="1"/>
  <c r="D2827" i="1"/>
  <c r="C2827" i="1"/>
  <c r="B2827" i="1"/>
  <c r="A2827" i="1"/>
  <c r="F2826" i="1"/>
  <c r="F2826" i="1" a="1"/>
  <c r="E2826" i="1" a="1"/>
  <c r="E2826" i="1" s="1"/>
  <c r="D2826" i="1"/>
  <c r="C2826" i="1"/>
  <c r="B2826" i="1"/>
  <c r="A2826" i="1"/>
  <c r="F2825" i="1"/>
  <c r="F2825" i="1" a="1"/>
  <c r="E2825" i="1" a="1"/>
  <c r="E2825" i="1" s="1"/>
  <c r="D2825" i="1"/>
  <c r="C2825" i="1"/>
  <c r="B2825" i="1"/>
  <c r="A2825" i="1"/>
  <c r="F2824" i="1" a="1"/>
  <c r="F2824" i="1" s="1"/>
  <c r="E2824" i="1" a="1"/>
  <c r="E2824" i="1" s="1"/>
  <c r="D2824" i="1"/>
  <c r="C2824" i="1"/>
  <c r="B2824" i="1"/>
  <c r="A2824" i="1"/>
  <c r="F2823" i="1" a="1"/>
  <c r="F2823" i="1" s="1"/>
  <c r="E2823" i="1" a="1"/>
  <c r="E2823" i="1" s="1"/>
  <c r="D2823" i="1"/>
  <c r="C2823" i="1"/>
  <c r="B2823" i="1"/>
  <c r="A2823" i="1"/>
  <c r="F2822" i="1" a="1"/>
  <c r="F2822" i="1" s="1"/>
  <c r="E2822" i="1" a="1"/>
  <c r="E2822" i="1" s="1"/>
  <c r="D2822" i="1"/>
  <c r="C2822" i="1"/>
  <c r="B2822" i="1"/>
  <c r="A2822" i="1"/>
  <c r="F2821" i="1" a="1"/>
  <c r="F2821" i="1" s="1"/>
  <c r="E2821" i="1" a="1"/>
  <c r="E2821" i="1" s="1"/>
  <c r="D2821" i="1"/>
  <c r="C2821" i="1"/>
  <c r="B2821" i="1"/>
  <c r="A2821" i="1"/>
  <c r="F2820" i="1"/>
  <c r="F2820" i="1" a="1"/>
  <c r="E2820" i="1" a="1"/>
  <c r="E2820" i="1" s="1"/>
  <c r="D2820" i="1"/>
  <c r="C2820" i="1"/>
  <c r="B2820" i="1"/>
  <c r="A2820" i="1"/>
  <c r="F2819" i="1" a="1"/>
  <c r="F2819" i="1" s="1"/>
  <c r="E2819" i="1" a="1"/>
  <c r="E2819" i="1" s="1"/>
  <c r="D2819" i="1"/>
  <c r="C2819" i="1"/>
  <c r="B2819" i="1"/>
  <c r="A2819" i="1"/>
  <c r="F2818" i="1"/>
  <c r="F2818" i="1" a="1"/>
  <c r="E2818" i="1" a="1"/>
  <c r="E2818" i="1" s="1"/>
  <c r="D2818" i="1"/>
  <c r="C2818" i="1"/>
  <c r="B2818" i="1"/>
  <c r="A2818" i="1"/>
  <c r="F2817" i="1"/>
  <c r="F2817" i="1" a="1"/>
  <c r="E2817" i="1" a="1"/>
  <c r="E2817" i="1" s="1"/>
  <c r="D2817" i="1"/>
  <c r="C2817" i="1"/>
  <c r="B2817" i="1"/>
  <c r="A2817" i="1"/>
  <c r="F2816" i="1" a="1"/>
  <c r="F2816" i="1" s="1"/>
  <c r="E2816" i="1" a="1"/>
  <c r="E2816" i="1" s="1"/>
  <c r="D2816" i="1"/>
  <c r="C2816" i="1"/>
  <c r="B2816" i="1"/>
  <c r="A2816" i="1"/>
  <c r="F2815" i="1" a="1"/>
  <c r="F2815" i="1" s="1"/>
  <c r="E2815" i="1" a="1"/>
  <c r="E2815" i="1" s="1"/>
  <c r="D2815" i="1"/>
  <c r="C2815" i="1"/>
  <c r="B2815" i="1"/>
  <c r="A2815" i="1"/>
  <c r="F2814" i="1" a="1"/>
  <c r="F2814" i="1" s="1"/>
  <c r="E2814" i="1" a="1"/>
  <c r="E2814" i="1" s="1"/>
  <c r="D2814" i="1"/>
  <c r="C2814" i="1"/>
  <c r="B2814" i="1"/>
  <c r="A2814" i="1"/>
  <c r="F2813" i="1" a="1"/>
  <c r="F2813" i="1" s="1"/>
  <c r="E2813" i="1" a="1"/>
  <c r="E2813" i="1" s="1"/>
  <c r="D2813" i="1"/>
  <c r="C2813" i="1"/>
  <c r="B2813" i="1"/>
  <c r="A2813" i="1"/>
  <c r="F2812" i="1"/>
  <c r="F2812" i="1" a="1"/>
  <c r="E2812" i="1" a="1"/>
  <c r="E2812" i="1" s="1"/>
  <c r="D2812" i="1"/>
  <c r="C2812" i="1"/>
  <c r="B2812" i="1"/>
  <c r="A2812" i="1"/>
  <c r="F2811" i="1" a="1"/>
  <c r="F2811" i="1" s="1"/>
  <c r="E2811" i="1" a="1"/>
  <c r="E2811" i="1" s="1"/>
  <c r="D2811" i="1"/>
  <c r="C2811" i="1"/>
  <c r="B2811" i="1"/>
  <c r="A2811" i="1"/>
  <c r="F2810" i="1"/>
  <c r="F2810" i="1" a="1"/>
  <c r="E2810" i="1" a="1"/>
  <c r="E2810" i="1" s="1"/>
  <c r="D2810" i="1"/>
  <c r="C2810" i="1"/>
  <c r="B2810" i="1"/>
  <c r="A2810" i="1"/>
  <c r="F2809" i="1"/>
  <c r="F2809" i="1" a="1"/>
  <c r="E2809" i="1" a="1"/>
  <c r="E2809" i="1" s="1"/>
  <c r="D2809" i="1"/>
  <c r="C2809" i="1"/>
  <c r="B2809" i="1"/>
  <c r="A2809" i="1"/>
  <c r="F2808" i="1" a="1"/>
  <c r="F2808" i="1" s="1"/>
  <c r="E2808" i="1" a="1"/>
  <c r="E2808" i="1" s="1"/>
  <c r="D2808" i="1"/>
  <c r="C2808" i="1"/>
  <c r="B2808" i="1"/>
  <c r="A2808" i="1"/>
  <c r="F2807" i="1" a="1"/>
  <c r="F2807" i="1" s="1"/>
  <c r="E2807" i="1" a="1"/>
  <c r="E2807" i="1" s="1"/>
  <c r="D2807" i="1"/>
  <c r="C2807" i="1"/>
  <c r="B2807" i="1"/>
  <c r="A2807" i="1"/>
  <c r="F2806" i="1" a="1"/>
  <c r="F2806" i="1" s="1"/>
  <c r="E2806" i="1" a="1"/>
  <c r="E2806" i="1" s="1"/>
  <c r="D2806" i="1"/>
  <c r="C2806" i="1"/>
  <c r="B2806" i="1"/>
  <c r="A2806" i="1"/>
  <c r="F2805" i="1" a="1"/>
  <c r="F2805" i="1" s="1"/>
  <c r="E2805" i="1" a="1"/>
  <c r="E2805" i="1" s="1"/>
  <c r="D2805" i="1"/>
  <c r="C2805" i="1"/>
  <c r="B2805" i="1"/>
  <c r="A2805" i="1"/>
  <c r="F2804" i="1"/>
  <c r="F2804" i="1" a="1"/>
  <c r="E2804" i="1" a="1"/>
  <c r="E2804" i="1" s="1"/>
  <c r="D2804" i="1"/>
  <c r="C2804" i="1"/>
  <c r="B2804" i="1"/>
  <c r="A2804" i="1"/>
  <c r="F2803" i="1" a="1"/>
  <c r="F2803" i="1" s="1"/>
  <c r="E2803" i="1" a="1"/>
  <c r="E2803" i="1" s="1"/>
  <c r="D2803" i="1"/>
  <c r="C2803" i="1"/>
  <c r="B2803" i="1"/>
  <c r="A2803" i="1"/>
  <c r="F2802" i="1"/>
  <c r="F2802" i="1" a="1"/>
  <c r="E2802" i="1" a="1"/>
  <c r="E2802" i="1" s="1"/>
  <c r="D2802" i="1"/>
  <c r="C2802" i="1"/>
  <c r="B2802" i="1"/>
  <c r="A2802" i="1"/>
  <c r="F2801" i="1"/>
  <c r="F2801" i="1" a="1"/>
  <c r="E2801" i="1" a="1"/>
  <c r="E2801" i="1" s="1"/>
  <c r="D2801" i="1"/>
  <c r="C2801" i="1"/>
  <c r="B2801" i="1"/>
  <c r="A2801" i="1"/>
  <c r="F2800" i="1" a="1"/>
  <c r="F2800" i="1" s="1"/>
  <c r="E2800" i="1" a="1"/>
  <c r="E2800" i="1" s="1"/>
  <c r="D2800" i="1"/>
  <c r="C2800" i="1"/>
  <c r="B2800" i="1"/>
  <c r="A2800" i="1"/>
  <c r="F2799" i="1" a="1"/>
  <c r="F2799" i="1" s="1"/>
  <c r="E2799" i="1" a="1"/>
  <c r="E2799" i="1" s="1"/>
  <c r="D2799" i="1"/>
  <c r="C2799" i="1"/>
  <c r="B2799" i="1"/>
  <c r="A2799" i="1"/>
  <c r="F2798" i="1" a="1"/>
  <c r="F2798" i="1" s="1"/>
  <c r="E2798" i="1" a="1"/>
  <c r="E2798" i="1" s="1"/>
  <c r="D2798" i="1"/>
  <c r="C2798" i="1"/>
  <c r="B2798" i="1"/>
  <c r="A2798" i="1"/>
  <c r="F2797" i="1" a="1"/>
  <c r="F2797" i="1" s="1"/>
  <c r="E2797" i="1" a="1"/>
  <c r="E2797" i="1" s="1"/>
  <c r="D2797" i="1"/>
  <c r="C2797" i="1"/>
  <c r="B2797" i="1"/>
  <c r="A2797" i="1"/>
  <c r="F2796" i="1"/>
  <c r="F2796" i="1" a="1"/>
  <c r="E2796" i="1" a="1"/>
  <c r="E2796" i="1" s="1"/>
  <c r="D2796" i="1"/>
  <c r="C2796" i="1"/>
  <c r="B2796" i="1"/>
  <c r="A2796" i="1"/>
  <c r="F2795" i="1" a="1"/>
  <c r="F2795" i="1" s="1"/>
  <c r="E2795" i="1" a="1"/>
  <c r="E2795" i="1" s="1"/>
  <c r="D2795" i="1"/>
  <c r="C2795" i="1"/>
  <c r="B2795" i="1"/>
  <c r="A2795" i="1"/>
  <c r="F2794" i="1"/>
  <c r="F2794" i="1" a="1"/>
  <c r="E2794" i="1" a="1"/>
  <c r="E2794" i="1" s="1"/>
  <c r="D2794" i="1"/>
  <c r="C2794" i="1"/>
  <c r="B2794" i="1"/>
  <c r="A2794" i="1"/>
  <c r="F2793" i="1"/>
  <c r="F2793" i="1" a="1"/>
  <c r="E2793" i="1" a="1"/>
  <c r="E2793" i="1" s="1"/>
  <c r="D2793" i="1"/>
  <c r="C2793" i="1"/>
  <c r="B2793" i="1"/>
  <c r="A2793" i="1"/>
  <c r="F2792" i="1" a="1"/>
  <c r="F2792" i="1" s="1"/>
  <c r="E2792" i="1" a="1"/>
  <c r="E2792" i="1" s="1"/>
  <c r="D2792" i="1"/>
  <c r="C2792" i="1"/>
  <c r="B2792" i="1"/>
  <c r="A2792" i="1"/>
  <c r="F2791" i="1" a="1"/>
  <c r="F2791" i="1" s="1"/>
  <c r="E2791" i="1" a="1"/>
  <c r="E2791" i="1" s="1"/>
  <c r="D2791" i="1"/>
  <c r="C2791" i="1"/>
  <c r="B2791" i="1"/>
  <c r="A2791" i="1"/>
  <c r="F2790" i="1" a="1"/>
  <c r="F2790" i="1" s="1"/>
  <c r="E2790" i="1" a="1"/>
  <c r="E2790" i="1" s="1"/>
  <c r="D2790" i="1"/>
  <c r="C2790" i="1"/>
  <c r="B2790" i="1"/>
  <c r="A2790" i="1"/>
  <c r="F2789" i="1" a="1"/>
  <c r="F2789" i="1" s="1"/>
  <c r="E2789" i="1" a="1"/>
  <c r="E2789" i="1" s="1"/>
  <c r="D2789" i="1"/>
  <c r="C2789" i="1"/>
  <c r="B2789" i="1"/>
  <c r="A2789" i="1"/>
  <c r="F2788" i="1"/>
  <c r="F2788" i="1" a="1"/>
  <c r="E2788" i="1" a="1"/>
  <c r="E2788" i="1" s="1"/>
  <c r="D2788" i="1"/>
  <c r="C2788" i="1"/>
  <c r="B2788" i="1"/>
  <c r="A2788" i="1"/>
  <c r="F2787" i="1" a="1"/>
  <c r="F2787" i="1" s="1"/>
  <c r="E2787" i="1" a="1"/>
  <c r="E2787" i="1" s="1"/>
  <c r="D2787" i="1"/>
  <c r="C2787" i="1"/>
  <c r="B2787" i="1"/>
  <c r="A2787" i="1"/>
  <c r="F2786" i="1"/>
  <c r="F2786" i="1" a="1"/>
  <c r="E2786" i="1" a="1"/>
  <c r="E2786" i="1" s="1"/>
  <c r="D2786" i="1"/>
  <c r="C2786" i="1"/>
  <c r="B2786" i="1"/>
  <c r="A2786" i="1"/>
  <c r="F2785" i="1"/>
  <c r="F2785" i="1" a="1"/>
  <c r="E2785" i="1" a="1"/>
  <c r="E2785" i="1" s="1"/>
  <c r="D2785" i="1"/>
  <c r="C2785" i="1"/>
  <c r="B2785" i="1"/>
  <c r="A2785" i="1"/>
  <c r="F2784" i="1" a="1"/>
  <c r="F2784" i="1" s="1"/>
  <c r="E2784" i="1" a="1"/>
  <c r="E2784" i="1" s="1"/>
  <c r="D2784" i="1"/>
  <c r="C2784" i="1"/>
  <c r="B2784" i="1"/>
  <c r="A2784" i="1"/>
  <c r="F2783" i="1" a="1"/>
  <c r="F2783" i="1" s="1"/>
  <c r="E2783" i="1" a="1"/>
  <c r="E2783" i="1" s="1"/>
  <c r="D2783" i="1"/>
  <c r="C2783" i="1"/>
  <c r="B2783" i="1"/>
  <c r="A2783" i="1"/>
  <c r="F2782" i="1" a="1"/>
  <c r="F2782" i="1" s="1"/>
  <c r="E2782" i="1" a="1"/>
  <c r="E2782" i="1" s="1"/>
  <c r="D2782" i="1"/>
  <c r="C2782" i="1"/>
  <c r="B2782" i="1"/>
  <c r="A2782" i="1"/>
  <c r="F2781" i="1"/>
  <c r="F2781" i="1" a="1"/>
  <c r="E2781" i="1" a="1"/>
  <c r="E2781" i="1" s="1"/>
  <c r="D2781" i="1"/>
  <c r="C2781" i="1"/>
  <c r="B2781" i="1"/>
  <c r="A2781" i="1"/>
  <c r="F2780" i="1"/>
  <c r="F2780" i="1" a="1"/>
  <c r="E2780" i="1" a="1"/>
  <c r="E2780" i="1" s="1"/>
  <c r="D2780" i="1"/>
  <c r="C2780" i="1"/>
  <c r="B2780" i="1"/>
  <c r="A2780" i="1"/>
  <c r="F2779" i="1" a="1"/>
  <c r="F2779" i="1" s="1"/>
  <c r="E2779" i="1" a="1"/>
  <c r="E2779" i="1" s="1"/>
  <c r="D2779" i="1"/>
  <c r="C2779" i="1"/>
  <c r="B2779" i="1"/>
  <c r="A2779" i="1"/>
  <c r="F2778" i="1"/>
  <c r="F2778" i="1" a="1"/>
  <c r="E2778" i="1" a="1"/>
  <c r="E2778" i="1" s="1"/>
  <c r="D2778" i="1"/>
  <c r="C2778" i="1"/>
  <c r="B2778" i="1"/>
  <c r="A2778" i="1"/>
  <c r="F2777" i="1"/>
  <c r="F2777" i="1" a="1"/>
  <c r="E2777" i="1" a="1"/>
  <c r="E2777" i="1" s="1"/>
  <c r="D2777" i="1"/>
  <c r="C2777" i="1"/>
  <c r="B2777" i="1"/>
  <c r="A2777" i="1"/>
  <c r="F2776" i="1"/>
  <c r="F2776" i="1" a="1"/>
  <c r="E2776" i="1" a="1"/>
  <c r="E2776" i="1" s="1"/>
  <c r="D2776" i="1"/>
  <c r="C2776" i="1"/>
  <c r="B2776" i="1"/>
  <c r="A2776" i="1"/>
  <c r="F2775" i="1" a="1"/>
  <c r="F2775" i="1" s="1"/>
  <c r="E2775" i="1" a="1"/>
  <c r="E2775" i="1" s="1"/>
  <c r="D2775" i="1"/>
  <c r="C2775" i="1"/>
  <c r="B2775" i="1"/>
  <c r="A2775" i="1"/>
  <c r="F2774" i="1" a="1"/>
  <c r="F2774" i="1" s="1"/>
  <c r="E2774" i="1" a="1"/>
  <c r="E2774" i="1" s="1"/>
  <c r="D2774" i="1"/>
  <c r="C2774" i="1"/>
  <c r="B2774" i="1"/>
  <c r="A2774" i="1"/>
  <c r="F2773" i="1"/>
  <c r="F2773" i="1" a="1"/>
  <c r="E2773" i="1" a="1"/>
  <c r="E2773" i="1" s="1"/>
  <c r="D2773" i="1"/>
  <c r="C2773" i="1"/>
  <c r="B2773" i="1"/>
  <c r="A2773" i="1"/>
  <c r="F2772" i="1"/>
  <c r="F2772" i="1" a="1"/>
  <c r="E2772" i="1" a="1"/>
  <c r="E2772" i="1" s="1"/>
  <c r="D2772" i="1"/>
  <c r="C2772" i="1"/>
  <c r="B2772" i="1"/>
  <c r="A2772" i="1"/>
  <c r="F2771" i="1" a="1"/>
  <c r="F2771" i="1" s="1"/>
  <c r="E2771" i="1" a="1"/>
  <c r="E2771" i="1" s="1"/>
  <c r="D2771" i="1"/>
  <c r="C2771" i="1"/>
  <c r="B2771" i="1"/>
  <c r="A2771" i="1"/>
  <c r="F2770" i="1"/>
  <c r="F2770" i="1" a="1"/>
  <c r="E2770" i="1" a="1"/>
  <c r="E2770" i="1" s="1"/>
  <c r="D2770" i="1"/>
  <c r="C2770" i="1"/>
  <c r="B2770" i="1"/>
  <c r="A2770" i="1"/>
  <c r="F2769" i="1" a="1"/>
  <c r="F2769" i="1" s="1"/>
  <c r="E2769" i="1" a="1"/>
  <c r="E2769" i="1" s="1"/>
  <c r="D2769" i="1"/>
  <c r="C2769" i="1"/>
  <c r="B2769" i="1"/>
  <c r="A2769" i="1"/>
  <c r="F2768" i="1" a="1"/>
  <c r="F2768" i="1" s="1"/>
  <c r="E2768" i="1" a="1"/>
  <c r="E2768" i="1" s="1"/>
  <c r="D2768" i="1"/>
  <c r="C2768" i="1"/>
  <c r="B2768" i="1"/>
  <c r="A2768" i="1"/>
  <c r="F2767" i="1" a="1"/>
  <c r="F2767" i="1" s="1"/>
  <c r="E2767" i="1" a="1"/>
  <c r="E2767" i="1" s="1"/>
  <c r="D2767" i="1"/>
  <c r="C2767" i="1"/>
  <c r="B2767" i="1"/>
  <c r="A2767" i="1"/>
  <c r="F2766" i="1" a="1"/>
  <c r="F2766" i="1" s="1"/>
  <c r="E2766" i="1" a="1"/>
  <c r="E2766" i="1" s="1"/>
  <c r="D2766" i="1"/>
  <c r="C2766" i="1"/>
  <c r="B2766" i="1"/>
  <c r="A2766" i="1"/>
  <c r="F2765" i="1"/>
  <c r="F2765" i="1" a="1"/>
  <c r="E2765" i="1" a="1"/>
  <c r="E2765" i="1" s="1"/>
  <c r="D2765" i="1"/>
  <c r="C2765" i="1"/>
  <c r="B2765" i="1"/>
  <c r="A2765" i="1"/>
  <c r="F2764" i="1"/>
  <c r="F2764" i="1" a="1"/>
  <c r="E2764" i="1" a="1"/>
  <c r="E2764" i="1" s="1"/>
  <c r="D2764" i="1"/>
  <c r="C2764" i="1"/>
  <c r="B2764" i="1"/>
  <c r="A2764" i="1"/>
  <c r="F2763" i="1" a="1"/>
  <c r="F2763" i="1" s="1"/>
  <c r="E2763" i="1" a="1"/>
  <c r="E2763" i="1" s="1"/>
  <c r="D2763" i="1"/>
  <c r="C2763" i="1"/>
  <c r="B2763" i="1"/>
  <c r="A2763" i="1"/>
  <c r="F2762" i="1"/>
  <c r="F2762" i="1" a="1"/>
  <c r="E2762" i="1" a="1"/>
  <c r="E2762" i="1" s="1"/>
  <c r="D2762" i="1"/>
  <c r="C2762" i="1"/>
  <c r="B2762" i="1"/>
  <c r="A2762" i="1"/>
  <c r="F2761" i="1"/>
  <c r="F2761" i="1" a="1"/>
  <c r="E2761" i="1" a="1"/>
  <c r="E2761" i="1" s="1"/>
  <c r="D2761" i="1"/>
  <c r="C2761" i="1"/>
  <c r="B2761" i="1"/>
  <c r="A2761" i="1"/>
  <c r="F2760" i="1" a="1"/>
  <c r="F2760" i="1" s="1"/>
  <c r="E2760" i="1" a="1"/>
  <c r="E2760" i="1" s="1"/>
  <c r="D2760" i="1"/>
  <c r="C2760" i="1"/>
  <c r="B2760" i="1"/>
  <c r="A2760" i="1"/>
  <c r="F2759" i="1" a="1"/>
  <c r="F2759" i="1" s="1"/>
  <c r="E2759" i="1" a="1"/>
  <c r="E2759" i="1" s="1"/>
  <c r="D2759" i="1"/>
  <c r="C2759" i="1"/>
  <c r="B2759" i="1"/>
  <c r="A2759" i="1"/>
  <c r="F2758" i="1"/>
  <c r="F2758" i="1" a="1"/>
  <c r="E2758" i="1" a="1"/>
  <c r="E2758" i="1" s="1"/>
  <c r="D2758" i="1"/>
  <c r="C2758" i="1"/>
  <c r="B2758" i="1"/>
  <c r="A2758" i="1"/>
  <c r="F2757" i="1" a="1"/>
  <c r="F2757" i="1" s="1"/>
  <c r="E2757" i="1" a="1"/>
  <c r="E2757" i="1" s="1"/>
  <c r="D2757" i="1"/>
  <c r="C2757" i="1"/>
  <c r="B2757" i="1"/>
  <c r="A2757" i="1"/>
  <c r="F2756" i="1"/>
  <c r="F2756" i="1" a="1"/>
  <c r="E2756" i="1" a="1"/>
  <c r="E2756" i="1" s="1"/>
  <c r="D2756" i="1"/>
  <c r="C2756" i="1"/>
  <c r="B2756" i="1"/>
  <c r="A2756" i="1"/>
  <c r="F2755" i="1" a="1"/>
  <c r="F2755" i="1" s="1"/>
  <c r="E2755" i="1" a="1"/>
  <c r="E2755" i="1" s="1"/>
  <c r="D2755" i="1"/>
  <c r="C2755" i="1"/>
  <c r="B2755" i="1"/>
  <c r="A2755" i="1"/>
  <c r="F2754" i="1"/>
  <c r="F2754" i="1" a="1"/>
  <c r="E2754" i="1" a="1"/>
  <c r="E2754" i="1" s="1"/>
  <c r="D2754" i="1"/>
  <c r="C2754" i="1"/>
  <c r="B2754" i="1"/>
  <c r="A2754" i="1"/>
  <c r="F2753" i="1"/>
  <c r="F2753" i="1" a="1"/>
  <c r="E2753" i="1" a="1"/>
  <c r="E2753" i="1" s="1"/>
  <c r="D2753" i="1"/>
  <c r="C2753" i="1"/>
  <c r="B2753" i="1"/>
  <c r="A2753" i="1"/>
  <c r="F2752" i="1" a="1"/>
  <c r="F2752" i="1" s="1"/>
  <c r="E2752" i="1" a="1"/>
  <c r="E2752" i="1" s="1"/>
  <c r="D2752" i="1"/>
  <c r="C2752" i="1"/>
  <c r="B2752" i="1"/>
  <c r="A2752" i="1"/>
  <c r="F2751" i="1" a="1"/>
  <c r="F2751" i="1" s="1"/>
  <c r="E2751" i="1" a="1"/>
  <c r="E2751" i="1" s="1"/>
  <c r="D2751" i="1"/>
  <c r="C2751" i="1"/>
  <c r="B2751" i="1"/>
  <c r="A2751" i="1"/>
  <c r="F2750" i="1"/>
  <c r="F2750" i="1" a="1"/>
  <c r="E2750" i="1" a="1"/>
  <c r="E2750" i="1" s="1"/>
  <c r="D2750" i="1"/>
  <c r="C2750" i="1"/>
  <c r="B2750" i="1"/>
  <c r="A2750" i="1"/>
  <c r="F2749" i="1" a="1"/>
  <c r="F2749" i="1" s="1"/>
  <c r="E2749" i="1" a="1"/>
  <c r="E2749" i="1" s="1"/>
  <c r="D2749" i="1"/>
  <c r="C2749" i="1"/>
  <c r="B2749" i="1"/>
  <c r="A2749" i="1"/>
  <c r="F2748" i="1"/>
  <c r="F2748" i="1" a="1"/>
  <c r="E2748" i="1" a="1"/>
  <c r="E2748" i="1" s="1"/>
  <c r="D2748" i="1"/>
  <c r="C2748" i="1"/>
  <c r="B2748" i="1"/>
  <c r="A2748" i="1"/>
  <c r="F2747" i="1" a="1"/>
  <c r="F2747" i="1" s="1"/>
  <c r="E2747" i="1" a="1"/>
  <c r="E2747" i="1" s="1"/>
  <c r="D2747" i="1"/>
  <c r="C2747" i="1"/>
  <c r="B2747" i="1"/>
  <c r="A2747" i="1"/>
  <c r="F2746" i="1"/>
  <c r="F2746" i="1" a="1"/>
  <c r="E2746" i="1" a="1"/>
  <c r="E2746" i="1" s="1"/>
  <c r="D2746" i="1"/>
  <c r="C2746" i="1"/>
  <c r="B2746" i="1"/>
  <c r="A2746" i="1"/>
  <c r="F2745" i="1"/>
  <c r="F2745" i="1" a="1"/>
  <c r="E2745" i="1" a="1"/>
  <c r="E2745" i="1" s="1"/>
  <c r="D2745" i="1"/>
  <c r="C2745" i="1"/>
  <c r="B2745" i="1"/>
  <c r="A2745" i="1"/>
  <c r="F2744" i="1" a="1"/>
  <c r="F2744" i="1" s="1"/>
  <c r="E2744" i="1" a="1"/>
  <c r="E2744" i="1" s="1"/>
  <c r="D2744" i="1"/>
  <c r="C2744" i="1"/>
  <c r="B2744" i="1"/>
  <c r="A2744" i="1"/>
  <c r="F2743" i="1" a="1"/>
  <c r="F2743" i="1" s="1"/>
  <c r="E2743" i="1" a="1"/>
  <c r="E2743" i="1" s="1"/>
  <c r="D2743" i="1"/>
  <c r="C2743" i="1"/>
  <c r="B2743" i="1"/>
  <c r="A2743" i="1"/>
  <c r="F2742" i="1"/>
  <c r="F2742" i="1" a="1"/>
  <c r="E2742" i="1" a="1"/>
  <c r="E2742" i="1" s="1"/>
  <c r="D2742" i="1"/>
  <c r="C2742" i="1"/>
  <c r="B2742" i="1"/>
  <c r="A2742" i="1"/>
  <c r="F2741" i="1" a="1"/>
  <c r="F2741" i="1" s="1"/>
  <c r="E2741" i="1" a="1"/>
  <c r="E2741" i="1" s="1"/>
  <c r="D2741" i="1"/>
  <c r="C2741" i="1"/>
  <c r="B2741" i="1"/>
  <c r="A2741" i="1"/>
  <c r="F2740" i="1"/>
  <c r="F2740" i="1" a="1"/>
  <c r="E2740" i="1" a="1"/>
  <c r="E2740" i="1" s="1"/>
  <c r="D2740" i="1"/>
  <c r="C2740" i="1"/>
  <c r="B2740" i="1"/>
  <c r="A2740" i="1"/>
  <c r="F2739" i="1" a="1"/>
  <c r="F2739" i="1" s="1"/>
  <c r="E2739" i="1" a="1"/>
  <c r="E2739" i="1" s="1"/>
  <c r="D2739" i="1"/>
  <c r="C2739" i="1"/>
  <c r="B2739" i="1"/>
  <c r="A2739" i="1"/>
  <c r="F2738" i="1"/>
  <c r="F2738" i="1" a="1"/>
  <c r="E2738" i="1" a="1"/>
  <c r="E2738" i="1" s="1"/>
  <c r="D2738" i="1"/>
  <c r="C2738" i="1"/>
  <c r="B2738" i="1"/>
  <c r="A2738" i="1"/>
  <c r="F2737" i="1"/>
  <c r="F2737" i="1" a="1"/>
  <c r="E2737" i="1" a="1"/>
  <c r="E2737" i="1" s="1"/>
  <c r="D2737" i="1"/>
  <c r="C2737" i="1"/>
  <c r="B2737" i="1"/>
  <c r="A2737" i="1"/>
  <c r="F2736" i="1" a="1"/>
  <c r="F2736" i="1" s="1"/>
  <c r="E2736" i="1" a="1"/>
  <c r="E2736" i="1" s="1"/>
  <c r="D2736" i="1"/>
  <c r="C2736" i="1"/>
  <c r="B2736" i="1"/>
  <c r="A2736" i="1"/>
  <c r="F2735" i="1" a="1"/>
  <c r="F2735" i="1" s="1"/>
  <c r="E2735" i="1" a="1"/>
  <c r="E2735" i="1" s="1"/>
  <c r="D2735" i="1"/>
  <c r="C2735" i="1"/>
  <c r="B2735" i="1"/>
  <c r="A2735" i="1"/>
  <c r="F2734" i="1"/>
  <c r="F2734" i="1" a="1"/>
  <c r="E2734" i="1" a="1"/>
  <c r="E2734" i="1" s="1"/>
  <c r="D2734" i="1"/>
  <c r="C2734" i="1"/>
  <c r="B2734" i="1"/>
  <c r="A2734" i="1"/>
  <c r="F2733" i="1"/>
  <c r="F2733" i="1" a="1"/>
  <c r="E2733" i="1" a="1"/>
  <c r="E2733" i="1" s="1"/>
  <c r="D2733" i="1"/>
  <c r="C2733" i="1"/>
  <c r="B2733" i="1"/>
  <c r="A2733" i="1"/>
  <c r="F2732" i="1"/>
  <c r="F2732" i="1" a="1"/>
  <c r="E2732" i="1" a="1"/>
  <c r="E2732" i="1" s="1"/>
  <c r="D2732" i="1"/>
  <c r="C2732" i="1"/>
  <c r="B2732" i="1"/>
  <c r="A2732" i="1"/>
  <c r="F2731" i="1" a="1"/>
  <c r="F2731" i="1" s="1"/>
  <c r="E2731" i="1" a="1"/>
  <c r="E2731" i="1" s="1"/>
  <c r="D2731" i="1"/>
  <c r="C2731" i="1"/>
  <c r="B2731" i="1"/>
  <c r="A2731" i="1"/>
  <c r="F2730" i="1"/>
  <c r="F2730" i="1" a="1"/>
  <c r="E2730" i="1" a="1"/>
  <c r="E2730" i="1" s="1"/>
  <c r="D2730" i="1"/>
  <c r="C2730" i="1"/>
  <c r="B2730" i="1"/>
  <c r="A2730" i="1"/>
  <c r="F2729" i="1"/>
  <c r="F2729" i="1" a="1"/>
  <c r="E2729" i="1" a="1"/>
  <c r="E2729" i="1" s="1"/>
  <c r="D2729" i="1"/>
  <c r="C2729" i="1"/>
  <c r="B2729" i="1"/>
  <c r="A2729" i="1"/>
  <c r="F2728" i="1" a="1"/>
  <c r="F2728" i="1" s="1"/>
  <c r="E2728" i="1" a="1"/>
  <c r="E2728" i="1" s="1"/>
  <c r="D2728" i="1"/>
  <c r="C2728" i="1"/>
  <c r="B2728" i="1"/>
  <c r="A2728" i="1"/>
  <c r="F2727" i="1" a="1"/>
  <c r="F2727" i="1" s="1"/>
  <c r="E2727" i="1" a="1"/>
  <c r="E2727" i="1" s="1"/>
  <c r="D2727" i="1"/>
  <c r="C2727" i="1"/>
  <c r="B2727" i="1"/>
  <c r="A2727" i="1"/>
  <c r="F2726" i="1"/>
  <c r="F2726" i="1" a="1"/>
  <c r="E2726" i="1" a="1"/>
  <c r="E2726" i="1" s="1"/>
  <c r="D2726" i="1"/>
  <c r="C2726" i="1"/>
  <c r="B2726" i="1"/>
  <c r="A2726" i="1"/>
  <c r="F2725" i="1" a="1"/>
  <c r="F2725" i="1" s="1"/>
  <c r="E2725" i="1" a="1"/>
  <c r="E2725" i="1" s="1"/>
  <c r="D2725" i="1"/>
  <c r="C2725" i="1"/>
  <c r="B2725" i="1"/>
  <c r="A2725" i="1"/>
  <c r="F2724" i="1"/>
  <c r="F2724" i="1" a="1"/>
  <c r="E2724" i="1" a="1"/>
  <c r="E2724" i="1" s="1"/>
  <c r="D2724" i="1"/>
  <c r="C2724" i="1"/>
  <c r="B2724" i="1"/>
  <c r="A2724" i="1"/>
  <c r="F2723" i="1" a="1"/>
  <c r="F2723" i="1" s="1"/>
  <c r="E2723" i="1" a="1"/>
  <c r="E2723" i="1" s="1"/>
  <c r="D2723" i="1"/>
  <c r="C2723" i="1"/>
  <c r="B2723" i="1"/>
  <c r="A2723" i="1"/>
  <c r="F2722" i="1"/>
  <c r="F2722" i="1" a="1"/>
  <c r="E2722" i="1" a="1"/>
  <c r="E2722" i="1" s="1"/>
  <c r="D2722" i="1"/>
  <c r="C2722" i="1"/>
  <c r="B2722" i="1"/>
  <c r="A2722" i="1"/>
  <c r="F2721" i="1"/>
  <c r="F2721" i="1" a="1"/>
  <c r="E2721" i="1" a="1"/>
  <c r="E2721" i="1" s="1"/>
  <c r="D2721" i="1"/>
  <c r="C2721" i="1"/>
  <c r="B2721" i="1"/>
  <c r="A2721" i="1"/>
  <c r="F2720" i="1" a="1"/>
  <c r="F2720" i="1" s="1"/>
  <c r="E2720" i="1" a="1"/>
  <c r="E2720" i="1" s="1"/>
  <c r="D2720" i="1"/>
  <c r="C2720" i="1"/>
  <c r="B2720" i="1"/>
  <c r="A2720" i="1"/>
  <c r="F2719" i="1" a="1"/>
  <c r="F2719" i="1" s="1"/>
  <c r="E2719" i="1" a="1"/>
  <c r="E2719" i="1" s="1"/>
  <c r="D2719" i="1"/>
  <c r="C2719" i="1"/>
  <c r="B2719" i="1"/>
  <c r="A2719" i="1"/>
  <c r="F2718" i="1" a="1"/>
  <c r="F2718" i="1" s="1"/>
  <c r="E2718" i="1" a="1"/>
  <c r="E2718" i="1" s="1"/>
  <c r="D2718" i="1"/>
  <c r="C2718" i="1"/>
  <c r="B2718" i="1"/>
  <c r="A2718" i="1"/>
  <c r="F2717" i="1"/>
  <c r="F2717" i="1" a="1"/>
  <c r="E2717" i="1" a="1"/>
  <c r="E2717" i="1" s="1"/>
  <c r="D2717" i="1"/>
  <c r="C2717" i="1"/>
  <c r="B2717" i="1"/>
  <c r="A2717" i="1"/>
  <c r="F2716" i="1"/>
  <c r="F2716" i="1" a="1"/>
  <c r="E2716" i="1" a="1"/>
  <c r="E2716" i="1" s="1"/>
  <c r="D2716" i="1"/>
  <c r="C2716" i="1"/>
  <c r="B2716" i="1"/>
  <c r="A2716" i="1"/>
  <c r="F2715" i="1" a="1"/>
  <c r="F2715" i="1" s="1"/>
  <c r="E2715" i="1" a="1"/>
  <c r="E2715" i="1" s="1"/>
  <c r="D2715" i="1"/>
  <c r="C2715" i="1"/>
  <c r="B2715" i="1"/>
  <c r="A2715" i="1"/>
  <c r="F2714" i="1"/>
  <c r="F2714" i="1" a="1"/>
  <c r="E2714" i="1" a="1"/>
  <c r="E2714" i="1" s="1"/>
  <c r="D2714" i="1"/>
  <c r="C2714" i="1"/>
  <c r="B2714" i="1"/>
  <c r="A2714" i="1"/>
  <c r="F2713" i="1"/>
  <c r="F2713" i="1" a="1"/>
  <c r="E2713" i="1" a="1"/>
  <c r="E2713" i="1" s="1"/>
  <c r="D2713" i="1"/>
  <c r="C2713" i="1"/>
  <c r="B2713" i="1"/>
  <c r="A2713" i="1"/>
  <c r="F2712" i="1" a="1"/>
  <c r="F2712" i="1" s="1"/>
  <c r="E2712" i="1" a="1"/>
  <c r="E2712" i="1" s="1"/>
  <c r="D2712" i="1"/>
  <c r="C2712" i="1"/>
  <c r="B2712" i="1"/>
  <c r="A2712" i="1"/>
  <c r="F2711" i="1" a="1"/>
  <c r="F2711" i="1" s="1"/>
  <c r="E2711" i="1" a="1"/>
  <c r="E2711" i="1" s="1"/>
  <c r="D2711" i="1"/>
  <c r="C2711" i="1"/>
  <c r="B2711" i="1"/>
  <c r="A2711" i="1"/>
  <c r="F2710" i="1" a="1"/>
  <c r="F2710" i="1" s="1"/>
  <c r="E2710" i="1" a="1"/>
  <c r="E2710" i="1" s="1"/>
  <c r="D2710" i="1"/>
  <c r="C2710" i="1"/>
  <c r="B2710" i="1"/>
  <c r="A2710" i="1"/>
  <c r="F2709" i="1" a="1"/>
  <c r="F2709" i="1" s="1"/>
  <c r="E2709" i="1" a="1"/>
  <c r="E2709" i="1" s="1"/>
  <c r="D2709" i="1"/>
  <c r="C2709" i="1"/>
  <c r="B2709" i="1"/>
  <c r="A2709" i="1"/>
  <c r="F2708" i="1"/>
  <c r="F2708" i="1" a="1"/>
  <c r="E2708" i="1" a="1"/>
  <c r="E2708" i="1" s="1"/>
  <c r="D2708" i="1"/>
  <c r="C2708" i="1"/>
  <c r="B2708" i="1"/>
  <c r="A2708" i="1"/>
  <c r="F2707" i="1" a="1"/>
  <c r="F2707" i="1" s="1"/>
  <c r="E2707" i="1" a="1"/>
  <c r="E2707" i="1" s="1"/>
  <c r="D2707" i="1"/>
  <c r="C2707" i="1"/>
  <c r="B2707" i="1"/>
  <c r="A2707" i="1"/>
  <c r="F2706" i="1"/>
  <c r="F2706" i="1" a="1"/>
  <c r="E2706" i="1" a="1"/>
  <c r="E2706" i="1" s="1"/>
  <c r="D2706" i="1"/>
  <c r="C2706" i="1"/>
  <c r="B2706" i="1"/>
  <c r="A2706" i="1"/>
  <c r="F2705" i="1"/>
  <c r="F2705" i="1" a="1"/>
  <c r="E2705" i="1" a="1"/>
  <c r="E2705" i="1" s="1"/>
  <c r="D2705" i="1"/>
  <c r="C2705" i="1"/>
  <c r="B2705" i="1"/>
  <c r="A2705" i="1"/>
  <c r="F2704" i="1" a="1"/>
  <c r="F2704" i="1" s="1"/>
  <c r="E2704" i="1" a="1"/>
  <c r="E2704" i="1" s="1"/>
  <c r="D2704" i="1"/>
  <c r="C2704" i="1"/>
  <c r="B2704" i="1"/>
  <c r="A2704" i="1"/>
  <c r="F2703" i="1" a="1"/>
  <c r="F2703" i="1" s="1"/>
  <c r="E2703" i="1" a="1"/>
  <c r="E2703" i="1" s="1"/>
  <c r="D2703" i="1"/>
  <c r="C2703" i="1"/>
  <c r="B2703" i="1"/>
  <c r="A2703" i="1"/>
  <c r="F2702" i="1" a="1"/>
  <c r="F2702" i="1" s="1"/>
  <c r="E2702" i="1" a="1"/>
  <c r="E2702" i="1" s="1"/>
  <c r="D2702" i="1"/>
  <c r="C2702" i="1"/>
  <c r="B2702" i="1"/>
  <c r="A2702" i="1"/>
  <c r="F2701" i="1" a="1"/>
  <c r="F2701" i="1" s="1"/>
  <c r="E2701" i="1" a="1"/>
  <c r="E2701" i="1" s="1"/>
  <c r="D2701" i="1"/>
  <c r="C2701" i="1"/>
  <c r="B2701" i="1"/>
  <c r="A2701" i="1"/>
  <c r="F2700" i="1"/>
  <c r="F2700" i="1" a="1"/>
  <c r="E2700" i="1" a="1"/>
  <c r="E2700" i="1" s="1"/>
  <c r="D2700" i="1"/>
  <c r="C2700" i="1"/>
  <c r="B2700" i="1"/>
  <c r="A2700" i="1"/>
  <c r="F2699" i="1" a="1"/>
  <c r="F2699" i="1" s="1"/>
  <c r="E2699" i="1" a="1"/>
  <c r="E2699" i="1" s="1"/>
  <c r="D2699" i="1"/>
  <c r="C2699" i="1"/>
  <c r="B2699" i="1"/>
  <c r="A2699" i="1"/>
  <c r="F2698" i="1"/>
  <c r="F2698" i="1" a="1"/>
  <c r="E2698" i="1" a="1"/>
  <c r="E2698" i="1" s="1"/>
  <c r="D2698" i="1"/>
  <c r="C2698" i="1"/>
  <c r="B2698" i="1"/>
  <c r="A2698" i="1"/>
  <c r="F2697" i="1"/>
  <c r="F2697" i="1" a="1"/>
  <c r="E2697" i="1" a="1"/>
  <c r="E2697" i="1" s="1"/>
  <c r="D2697" i="1"/>
  <c r="C2697" i="1"/>
  <c r="B2697" i="1"/>
  <c r="A2697" i="1"/>
  <c r="F2696" i="1" a="1"/>
  <c r="F2696" i="1" s="1"/>
  <c r="E2696" i="1" a="1"/>
  <c r="E2696" i="1" s="1"/>
  <c r="D2696" i="1"/>
  <c r="C2696" i="1"/>
  <c r="B2696" i="1"/>
  <c r="A2696" i="1"/>
  <c r="F2695" i="1" a="1"/>
  <c r="F2695" i="1" s="1"/>
  <c r="E2695" i="1" a="1"/>
  <c r="E2695" i="1" s="1"/>
  <c r="D2695" i="1"/>
  <c r="C2695" i="1"/>
  <c r="B2695" i="1"/>
  <c r="A2695" i="1"/>
  <c r="F2694" i="1" a="1"/>
  <c r="F2694" i="1" s="1"/>
  <c r="E2694" i="1" a="1"/>
  <c r="E2694" i="1" s="1"/>
  <c r="D2694" i="1"/>
  <c r="C2694" i="1"/>
  <c r="B2694" i="1"/>
  <c r="A2694" i="1"/>
  <c r="F2693" i="1" a="1"/>
  <c r="F2693" i="1" s="1"/>
  <c r="E2693" i="1" a="1"/>
  <c r="E2693" i="1" s="1"/>
  <c r="D2693" i="1"/>
  <c r="C2693" i="1"/>
  <c r="B2693" i="1"/>
  <c r="A2693" i="1"/>
  <c r="F2692" i="1"/>
  <c r="F2692" i="1" a="1"/>
  <c r="E2692" i="1" a="1"/>
  <c r="E2692" i="1" s="1"/>
  <c r="D2692" i="1"/>
  <c r="C2692" i="1"/>
  <c r="B2692" i="1"/>
  <c r="A2692" i="1"/>
  <c r="F2691" i="1" a="1"/>
  <c r="F2691" i="1" s="1"/>
  <c r="E2691" i="1" a="1"/>
  <c r="E2691" i="1" s="1"/>
  <c r="D2691" i="1"/>
  <c r="C2691" i="1"/>
  <c r="B2691" i="1"/>
  <c r="A2691" i="1"/>
  <c r="F2690" i="1"/>
  <c r="F2690" i="1" a="1"/>
  <c r="E2690" i="1" a="1"/>
  <c r="E2690" i="1" s="1"/>
  <c r="D2690" i="1"/>
  <c r="C2690" i="1"/>
  <c r="B2690" i="1"/>
  <c r="A2690" i="1"/>
  <c r="F2689" i="1" a="1"/>
  <c r="F2689" i="1" s="1"/>
  <c r="E2689" i="1" a="1"/>
  <c r="E2689" i="1" s="1"/>
  <c r="D2689" i="1"/>
  <c r="C2689" i="1"/>
  <c r="B2689" i="1"/>
  <c r="A2689" i="1"/>
  <c r="F2688" i="1" a="1"/>
  <c r="F2688" i="1" s="1"/>
  <c r="E2688" i="1" a="1"/>
  <c r="E2688" i="1" s="1"/>
  <c r="D2688" i="1"/>
  <c r="C2688" i="1"/>
  <c r="B2688" i="1"/>
  <c r="A2688" i="1"/>
  <c r="F2687" i="1" a="1"/>
  <c r="F2687" i="1" s="1"/>
  <c r="E2687" i="1" a="1"/>
  <c r="E2687" i="1" s="1"/>
  <c r="D2687" i="1"/>
  <c r="C2687" i="1"/>
  <c r="B2687" i="1"/>
  <c r="A2687" i="1"/>
  <c r="F2686" i="1"/>
  <c r="F2686" i="1" a="1"/>
  <c r="E2686" i="1" a="1"/>
  <c r="E2686" i="1" s="1"/>
  <c r="D2686" i="1"/>
  <c r="C2686" i="1"/>
  <c r="B2686" i="1"/>
  <c r="A2686" i="1"/>
  <c r="F2685" i="1"/>
  <c r="F2685" i="1" a="1"/>
  <c r="E2685" i="1" a="1"/>
  <c r="E2685" i="1" s="1"/>
  <c r="D2685" i="1"/>
  <c r="C2685" i="1"/>
  <c r="B2685" i="1"/>
  <c r="A2685" i="1"/>
  <c r="F2684" i="1" a="1"/>
  <c r="F2684" i="1" s="1"/>
  <c r="E2684" i="1" a="1"/>
  <c r="E2684" i="1" s="1"/>
  <c r="D2684" i="1"/>
  <c r="C2684" i="1"/>
  <c r="B2684" i="1"/>
  <c r="A2684" i="1"/>
  <c r="F2683" i="1"/>
  <c r="F2683" i="1" a="1"/>
  <c r="E2683" i="1" a="1"/>
  <c r="E2683" i="1" s="1"/>
  <c r="D2683" i="1"/>
  <c r="C2683" i="1"/>
  <c r="B2683" i="1"/>
  <c r="A2683" i="1"/>
  <c r="F2682" i="1" a="1"/>
  <c r="F2682" i="1" s="1"/>
  <c r="E2682" i="1" a="1"/>
  <c r="E2682" i="1" s="1"/>
  <c r="D2682" i="1"/>
  <c r="C2682" i="1"/>
  <c r="B2682" i="1"/>
  <c r="A2682" i="1"/>
  <c r="F2681" i="1"/>
  <c r="F2681" i="1" a="1"/>
  <c r="E2681" i="1" a="1"/>
  <c r="E2681" i="1" s="1"/>
  <c r="D2681" i="1"/>
  <c r="C2681" i="1"/>
  <c r="B2681" i="1"/>
  <c r="A2681" i="1"/>
  <c r="F2680" i="1" a="1"/>
  <c r="F2680" i="1" s="1"/>
  <c r="E2680" i="1" a="1"/>
  <c r="E2680" i="1" s="1"/>
  <c r="D2680" i="1"/>
  <c r="C2680" i="1"/>
  <c r="B2680" i="1"/>
  <c r="A2680" i="1"/>
  <c r="F2679" i="1"/>
  <c r="F2679" i="1" a="1"/>
  <c r="E2679" i="1" a="1"/>
  <c r="E2679" i="1" s="1"/>
  <c r="D2679" i="1"/>
  <c r="C2679" i="1"/>
  <c r="B2679" i="1"/>
  <c r="A2679" i="1"/>
  <c r="F2678" i="1" a="1"/>
  <c r="F2678" i="1" s="1"/>
  <c r="E2678" i="1" a="1"/>
  <c r="E2678" i="1" s="1"/>
  <c r="D2678" i="1"/>
  <c r="C2678" i="1"/>
  <c r="B2678" i="1"/>
  <c r="A2678" i="1"/>
  <c r="F2677" i="1"/>
  <c r="F2677" i="1" a="1"/>
  <c r="E2677" i="1" a="1"/>
  <c r="E2677" i="1" s="1"/>
  <c r="D2677" i="1"/>
  <c r="C2677" i="1"/>
  <c r="B2677" i="1"/>
  <c r="A2677" i="1"/>
  <c r="F2676" i="1" a="1"/>
  <c r="F2676" i="1" s="1"/>
  <c r="E2676" i="1" a="1"/>
  <c r="E2676" i="1" s="1"/>
  <c r="D2676" i="1"/>
  <c r="C2676" i="1"/>
  <c r="B2676" i="1"/>
  <c r="A2676" i="1"/>
  <c r="F2675" i="1"/>
  <c r="F2675" i="1" a="1"/>
  <c r="E2675" i="1" a="1"/>
  <c r="E2675" i="1" s="1"/>
  <c r="D2675" i="1"/>
  <c r="C2675" i="1"/>
  <c r="B2675" i="1"/>
  <c r="A2675" i="1"/>
  <c r="F2674" i="1" a="1"/>
  <c r="F2674" i="1" s="1"/>
  <c r="E2674" i="1" a="1"/>
  <c r="E2674" i="1" s="1"/>
  <c r="D2674" i="1"/>
  <c r="C2674" i="1"/>
  <c r="B2674" i="1"/>
  <c r="A2674" i="1"/>
  <c r="F2673" i="1"/>
  <c r="F2673" i="1" a="1"/>
  <c r="E2673" i="1" a="1"/>
  <c r="E2673" i="1" s="1"/>
  <c r="D2673" i="1"/>
  <c r="C2673" i="1"/>
  <c r="B2673" i="1"/>
  <c r="A2673" i="1"/>
  <c r="F2672" i="1"/>
  <c r="F2672" i="1" a="1"/>
  <c r="E2672" i="1" a="1"/>
  <c r="E2672" i="1" s="1"/>
  <c r="D2672" i="1"/>
  <c r="C2672" i="1"/>
  <c r="B2672" i="1"/>
  <c r="A2672" i="1"/>
  <c r="F2671" i="1"/>
  <c r="F2671" i="1" a="1"/>
  <c r="E2671" i="1" a="1"/>
  <c r="E2671" i="1" s="1"/>
  <c r="D2671" i="1"/>
  <c r="C2671" i="1"/>
  <c r="B2671" i="1"/>
  <c r="A2671" i="1"/>
  <c r="F2670" i="1" a="1"/>
  <c r="F2670" i="1" s="1"/>
  <c r="E2670" i="1" a="1"/>
  <c r="E2670" i="1" s="1"/>
  <c r="D2670" i="1"/>
  <c r="C2670" i="1"/>
  <c r="B2670" i="1"/>
  <c r="A2670" i="1"/>
  <c r="F2669" i="1"/>
  <c r="F2669" i="1" a="1"/>
  <c r="E2669" i="1" a="1"/>
  <c r="E2669" i="1" s="1"/>
  <c r="D2669" i="1"/>
  <c r="C2669" i="1"/>
  <c r="B2669" i="1"/>
  <c r="A2669" i="1"/>
  <c r="F2668" i="1" a="1"/>
  <c r="F2668" i="1" s="1"/>
  <c r="E2668" i="1" a="1"/>
  <c r="E2668" i="1" s="1"/>
  <c r="D2668" i="1"/>
  <c r="C2668" i="1"/>
  <c r="B2668" i="1"/>
  <c r="A2668" i="1"/>
  <c r="F2667" i="1"/>
  <c r="F2667" i="1" a="1"/>
  <c r="E2667" i="1" a="1"/>
  <c r="E2667" i="1" s="1"/>
  <c r="D2667" i="1"/>
  <c r="C2667" i="1"/>
  <c r="B2667" i="1"/>
  <c r="A2667" i="1"/>
  <c r="F2666" i="1" a="1"/>
  <c r="F2666" i="1" s="1"/>
  <c r="E2666" i="1" a="1"/>
  <c r="E2666" i="1" s="1"/>
  <c r="D2666" i="1"/>
  <c r="C2666" i="1"/>
  <c r="B2666" i="1"/>
  <c r="A2666" i="1"/>
  <c r="F2665" i="1"/>
  <c r="F2665" i="1" a="1"/>
  <c r="E2665" i="1" a="1"/>
  <c r="E2665" i="1" s="1"/>
  <c r="D2665" i="1"/>
  <c r="C2665" i="1"/>
  <c r="B2665" i="1"/>
  <c r="A2665" i="1"/>
  <c r="F2664" i="1"/>
  <c r="F2664" i="1" a="1"/>
  <c r="E2664" i="1" a="1"/>
  <c r="E2664" i="1" s="1"/>
  <c r="D2664" i="1"/>
  <c r="C2664" i="1"/>
  <c r="B2664" i="1"/>
  <c r="A2664" i="1"/>
  <c r="F2663" i="1"/>
  <c r="F2663" i="1" a="1"/>
  <c r="E2663" i="1" a="1"/>
  <c r="E2663" i="1" s="1"/>
  <c r="D2663" i="1"/>
  <c r="C2663" i="1"/>
  <c r="B2663" i="1"/>
  <c r="A2663" i="1"/>
  <c r="F2662" i="1" a="1"/>
  <c r="F2662" i="1" s="1"/>
  <c r="E2662" i="1" a="1"/>
  <c r="E2662" i="1" s="1"/>
  <c r="D2662" i="1"/>
  <c r="C2662" i="1"/>
  <c r="B2662" i="1"/>
  <c r="A2662" i="1"/>
  <c r="F2661" i="1"/>
  <c r="F2661" i="1" a="1"/>
  <c r="E2661" i="1" a="1"/>
  <c r="E2661" i="1" s="1"/>
  <c r="D2661" i="1"/>
  <c r="C2661" i="1"/>
  <c r="B2661" i="1"/>
  <c r="A2661" i="1"/>
  <c r="F2660" i="1" a="1"/>
  <c r="F2660" i="1" s="1"/>
  <c r="E2660" i="1" a="1"/>
  <c r="E2660" i="1" s="1"/>
  <c r="D2660" i="1"/>
  <c r="C2660" i="1"/>
  <c r="B2660" i="1"/>
  <c r="A2660" i="1"/>
  <c r="F2659" i="1"/>
  <c r="F2659" i="1" a="1"/>
  <c r="E2659" i="1" a="1"/>
  <c r="E2659" i="1" s="1"/>
  <c r="D2659" i="1"/>
  <c r="C2659" i="1"/>
  <c r="B2659" i="1"/>
  <c r="A2659" i="1"/>
  <c r="F2658" i="1" a="1"/>
  <c r="F2658" i="1" s="1"/>
  <c r="E2658" i="1" a="1"/>
  <c r="E2658" i="1" s="1"/>
  <c r="D2658" i="1"/>
  <c r="C2658" i="1"/>
  <c r="B2658" i="1"/>
  <c r="A2658" i="1"/>
  <c r="F2657" i="1"/>
  <c r="F2657" i="1" a="1"/>
  <c r="E2657" i="1" a="1"/>
  <c r="E2657" i="1" s="1"/>
  <c r="D2657" i="1"/>
  <c r="C2657" i="1"/>
  <c r="B2657" i="1"/>
  <c r="A2657" i="1"/>
  <c r="F2656" i="1"/>
  <c r="F2656" i="1" a="1"/>
  <c r="E2656" i="1" a="1"/>
  <c r="E2656" i="1" s="1"/>
  <c r="D2656" i="1"/>
  <c r="C2656" i="1"/>
  <c r="B2656" i="1"/>
  <c r="A2656" i="1"/>
  <c r="F2655" i="1"/>
  <c r="F2655" i="1" a="1"/>
  <c r="E2655" i="1" a="1"/>
  <c r="E2655" i="1" s="1"/>
  <c r="D2655" i="1"/>
  <c r="C2655" i="1"/>
  <c r="B2655" i="1"/>
  <c r="A2655" i="1"/>
  <c r="F2654" i="1" a="1"/>
  <c r="F2654" i="1" s="1"/>
  <c r="E2654" i="1" a="1"/>
  <c r="E2654" i="1" s="1"/>
  <c r="D2654" i="1"/>
  <c r="C2654" i="1"/>
  <c r="B2654" i="1"/>
  <c r="A2654" i="1"/>
  <c r="F2653" i="1"/>
  <c r="F2653" i="1" a="1"/>
  <c r="E2653" i="1" a="1"/>
  <c r="E2653" i="1" s="1"/>
  <c r="D2653" i="1"/>
  <c r="C2653" i="1"/>
  <c r="B2653" i="1"/>
  <c r="A2653" i="1"/>
  <c r="F2652" i="1" a="1"/>
  <c r="F2652" i="1" s="1"/>
  <c r="E2652" i="1" a="1"/>
  <c r="E2652" i="1" s="1"/>
  <c r="D2652" i="1"/>
  <c r="C2652" i="1"/>
  <c r="B2652" i="1"/>
  <c r="A2652" i="1"/>
  <c r="F2651" i="1"/>
  <c r="F2651" i="1" a="1"/>
  <c r="E2651" i="1" a="1"/>
  <c r="E2651" i="1" s="1"/>
  <c r="D2651" i="1"/>
  <c r="C2651" i="1"/>
  <c r="B2651" i="1"/>
  <c r="A2651" i="1"/>
  <c r="F2650" i="1" a="1"/>
  <c r="F2650" i="1" s="1"/>
  <c r="E2650" i="1" a="1"/>
  <c r="E2650" i="1" s="1"/>
  <c r="D2650" i="1"/>
  <c r="C2650" i="1"/>
  <c r="B2650" i="1"/>
  <c r="A2650" i="1"/>
  <c r="F2649" i="1"/>
  <c r="F2649" i="1" a="1"/>
  <c r="E2649" i="1" a="1"/>
  <c r="E2649" i="1" s="1"/>
  <c r="D2649" i="1"/>
  <c r="C2649" i="1"/>
  <c r="B2649" i="1"/>
  <c r="A2649" i="1"/>
  <c r="F2648" i="1"/>
  <c r="F2648" i="1" a="1"/>
  <c r="E2648" i="1" a="1"/>
  <c r="E2648" i="1" s="1"/>
  <c r="D2648" i="1"/>
  <c r="C2648" i="1"/>
  <c r="B2648" i="1"/>
  <c r="A2648" i="1"/>
  <c r="F2647" i="1"/>
  <c r="F2647" i="1" a="1"/>
  <c r="E2647" i="1" a="1"/>
  <c r="E2647" i="1" s="1"/>
  <c r="D2647" i="1"/>
  <c r="C2647" i="1"/>
  <c r="B2647" i="1"/>
  <c r="A2647" i="1"/>
  <c r="F2646" i="1" a="1"/>
  <c r="F2646" i="1" s="1"/>
  <c r="E2646" i="1" a="1"/>
  <c r="E2646" i="1" s="1"/>
  <c r="D2646" i="1"/>
  <c r="C2646" i="1"/>
  <c r="B2646" i="1"/>
  <c r="A2646" i="1"/>
  <c r="F2645" i="1"/>
  <c r="F2645" i="1" a="1"/>
  <c r="E2645" i="1" a="1"/>
  <c r="E2645" i="1" s="1"/>
  <c r="D2645" i="1"/>
  <c r="C2645" i="1"/>
  <c r="B2645" i="1"/>
  <c r="A2645" i="1"/>
  <c r="F2644" i="1" a="1"/>
  <c r="F2644" i="1" s="1"/>
  <c r="E2644" i="1" a="1"/>
  <c r="E2644" i="1" s="1"/>
  <c r="D2644" i="1"/>
  <c r="C2644" i="1"/>
  <c r="B2644" i="1"/>
  <c r="A2644" i="1"/>
  <c r="F2643" i="1"/>
  <c r="F2643" i="1" a="1"/>
  <c r="E2643" i="1" a="1"/>
  <c r="E2643" i="1" s="1"/>
  <c r="D2643" i="1"/>
  <c r="C2643" i="1"/>
  <c r="B2643" i="1"/>
  <c r="A2643" i="1"/>
  <c r="F2642" i="1" a="1"/>
  <c r="F2642" i="1" s="1"/>
  <c r="E2642" i="1" a="1"/>
  <c r="E2642" i="1" s="1"/>
  <c r="D2642" i="1"/>
  <c r="C2642" i="1"/>
  <c r="B2642" i="1"/>
  <c r="A2642" i="1"/>
  <c r="F2641" i="1"/>
  <c r="F2641" i="1" a="1"/>
  <c r="E2641" i="1" a="1"/>
  <c r="E2641" i="1" s="1"/>
  <c r="D2641" i="1"/>
  <c r="C2641" i="1"/>
  <c r="B2641" i="1"/>
  <c r="A2641" i="1"/>
  <c r="F2640" i="1"/>
  <c r="F2640" i="1" a="1"/>
  <c r="E2640" i="1" a="1"/>
  <c r="E2640" i="1" s="1"/>
  <c r="D2640" i="1"/>
  <c r="C2640" i="1"/>
  <c r="B2640" i="1"/>
  <c r="A2640" i="1"/>
  <c r="F2639" i="1"/>
  <c r="F2639" i="1" a="1"/>
  <c r="E2639" i="1" a="1"/>
  <c r="E2639" i="1" s="1"/>
  <c r="D2639" i="1"/>
  <c r="C2639" i="1"/>
  <c r="B2639" i="1"/>
  <c r="A2639" i="1"/>
  <c r="F2638" i="1" a="1"/>
  <c r="F2638" i="1" s="1"/>
  <c r="E2638" i="1" a="1"/>
  <c r="E2638" i="1" s="1"/>
  <c r="D2638" i="1"/>
  <c r="C2638" i="1"/>
  <c r="B2638" i="1"/>
  <c r="A2638" i="1"/>
  <c r="F2637" i="1"/>
  <c r="F2637" i="1" a="1"/>
  <c r="E2637" i="1" a="1"/>
  <c r="E2637" i="1" s="1"/>
  <c r="D2637" i="1"/>
  <c r="C2637" i="1"/>
  <c r="B2637" i="1"/>
  <c r="A2637" i="1"/>
  <c r="F2636" i="1" a="1"/>
  <c r="F2636" i="1" s="1"/>
  <c r="E2636" i="1" a="1"/>
  <c r="E2636" i="1" s="1"/>
  <c r="D2636" i="1"/>
  <c r="C2636" i="1"/>
  <c r="B2636" i="1"/>
  <c r="A2636" i="1"/>
  <c r="F2635" i="1"/>
  <c r="F2635" i="1" a="1"/>
  <c r="E2635" i="1" a="1"/>
  <c r="E2635" i="1" s="1"/>
  <c r="D2635" i="1"/>
  <c r="C2635" i="1"/>
  <c r="B2635" i="1"/>
  <c r="A2635" i="1"/>
  <c r="F2634" i="1" a="1"/>
  <c r="F2634" i="1" s="1"/>
  <c r="E2634" i="1" a="1"/>
  <c r="E2634" i="1" s="1"/>
  <c r="D2634" i="1"/>
  <c r="C2634" i="1"/>
  <c r="B2634" i="1"/>
  <c r="A2634" i="1"/>
  <c r="F2633" i="1"/>
  <c r="F2633" i="1" a="1"/>
  <c r="E2633" i="1" a="1"/>
  <c r="E2633" i="1" s="1"/>
  <c r="D2633" i="1"/>
  <c r="C2633" i="1"/>
  <c r="B2633" i="1"/>
  <c r="A2633" i="1"/>
  <c r="F2632" i="1"/>
  <c r="F2632" i="1" a="1"/>
  <c r="E2632" i="1" a="1"/>
  <c r="E2632" i="1" s="1"/>
  <c r="D2632" i="1"/>
  <c r="C2632" i="1"/>
  <c r="B2632" i="1"/>
  <c r="A2632" i="1"/>
  <c r="F2631" i="1"/>
  <c r="F2631" i="1" a="1"/>
  <c r="E2631" i="1" a="1"/>
  <c r="E2631" i="1" s="1"/>
  <c r="D2631" i="1"/>
  <c r="C2631" i="1"/>
  <c r="B2631" i="1"/>
  <c r="A2631" i="1"/>
  <c r="F2630" i="1" a="1"/>
  <c r="F2630" i="1" s="1"/>
  <c r="E2630" i="1" a="1"/>
  <c r="E2630" i="1" s="1"/>
  <c r="D2630" i="1"/>
  <c r="C2630" i="1"/>
  <c r="B2630" i="1"/>
  <c r="A2630" i="1"/>
  <c r="F2629" i="1"/>
  <c r="F2629" i="1" a="1"/>
  <c r="E2629" i="1" a="1"/>
  <c r="E2629" i="1" s="1"/>
  <c r="D2629" i="1"/>
  <c r="C2629" i="1"/>
  <c r="B2629" i="1"/>
  <c r="A2629" i="1"/>
  <c r="F2628" i="1" a="1"/>
  <c r="F2628" i="1" s="1"/>
  <c r="E2628" i="1" a="1"/>
  <c r="E2628" i="1" s="1"/>
  <c r="D2628" i="1"/>
  <c r="C2628" i="1"/>
  <c r="B2628" i="1"/>
  <c r="A2628" i="1"/>
  <c r="F2627" i="1"/>
  <c r="F2627" i="1" a="1"/>
  <c r="E2627" i="1" a="1"/>
  <c r="E2627" i="1" s="1"/>
  <c r="D2627" i="1"/>
  <c r="C2627" i="1"/>
  <c r="B2627" i="1"/>
  <c r="A2627" i="1"/>
  <c r="F2626" i="1" a="1"/>
  <c r="F2626" i="1" s="1"/>
  <c r="E2626" i="1" a="1"/>
  <c r="E2626" i="1" s="1"/>
  <c r="D2626" i="1"/>
  <c r="C2626" i="1"/>
  <c r="B2626" i="1"/>
  <c r="A2626" i="1"/>
  <c r="F2625" i="1"/>
  <c r="F2625" i="1" a="1"/>
  <c r="E2625" i="1" a="1"/>
  <c r="E2625" i="1" s="1"/>
  <c r="D2625" i="1"/>
  <c r="C2625" i="1"/>
  <c r="B2625" i="1"/>
  <c r="A2625" i="1"/>
  <c r="F2624" i="1"/>
  <c r="F2624" i="1" a="1"/>
  <c r="E2624" i="1" a="1"/>
  <c r="E2624" i="1" s="1"/>
  <c r="D2624" i="1"/>
  <c r="C2624" i="1"/>
  <c r="B2624" i="1"/>
  <c r="A2624" i="1"/>
  <c r="F2623" i="1"/>
  <c r="F2623" i="1" a="1"/>
  <c r="E2623" i="1" a="1"/>
  <c r="E2623" i="1" s="1"/>
  <c r="D2623" i="1"/>
  <c r="C2623" i="1"/>
  <c r="B2623" i="1"/>
  <c r="A2623" i="1"/>
  <c r="F2622" i="1" a="1"/>
  <c r="F2622" i="1" s="1"/>
  <c r="E2622" i="1" a="1"/>
  <c r="E2622" i="1" s="1"/>
  <c r="D2622" i="1"/>
  <c r="C2622" i="1"/>
  <c r="B2622" i="1"/>
  <c r="A2622" i="1"/>
  <c r="F2621" i="1"/>
  <c r="F2621" i="1" a="1"/>
  <c r="E2621" i="1" a="1"/>
  <c r="E2621" i="1" s="1"/>
  <c r="D2621" i="1"/>
  <c r="C2621" i="1"/>
  <c r="B2621" i="1"/>
  <c r="A2621" i="1"/>
  <c r="F2620" i="1" a="1"/>
  <c r="F2620" i="1" s="1"/>
  <c r="E2620" i="1" a="1"/>
  <c r="E2620" i="1" s="1"/>
  <c r="D2620" i="1"/>
  <c r="C2620" i="1"/>
  <c r="B2620" i="1"/>
  <c r="A2620" i="1"/>
  <c r="F2619" i="1"/>
  <c r="F2619" i="1" a="1"/>
  <c r="E2619" i="1" a="1"/>
  <c r="E2619" i="1" s="1"/>
  <c r="D2619" i="1"/>
  <c r="C2619" i="1"/>
  <c r="B2619" i="1"/>
  <c r="A2619" i="1"/>
  <c r="F2618" i="1" a="1"/>
  <c r="F2618" i="1" s="1"/>
  <c r="E2618" i="1" a="1"/>
  <c r="E2618" i="1" s="1"/>
  <c r="D2618" i="1"/>
  <c r="C2618" i="1"/>
  <c r="B2618" i="1"/>
  <c r="A2618" i="1"/>
  <c r="F2617" i="1"/>
  <c r="F2617" i="1" a="1"/>
  <c r="E2617" i="1" a="1"/>
  <c r="E2617" i="1" s="1"/>
  <c r="D2617" i="1"/>
  <c r="C2617" i="1"/>
  <c r="B2617" i="1"/>
  <c r="A2617" i="1"/>
  <c r="F2616" i="1"/>
  <c r="F2616" i="1" a="1"/>
  <c r="E2616" i="1" a="1"/>
  <c r="E2616" i="1" s="1"/>
  <c r="D2616" i="1"/>
  <c r="C2616" i="1"/>
  <c r="B2616" i="1"/>
  <c r="A2616" i="1"/>
  <c r="F2615" i="1"/>
  <c r="F2615" i="1" a="1"/>
  <c r="E2615" i="1" a="1"/>
  <c r="E2615" i="1" s="1"/>
  <c r="D2615" i="1"/>
  <c r="C2615" i="1"/>
  <c r="B2615" i="1"/>
  <c r="A2615" i="1"/>
  <c r="F2614" i="1" a="1"/>
  <c r="F2614" i="1" s="1"/>
  <c r="E2614" i="1" a="1"/>
  <c r="E2614" i="1" s="1"/>
  <c r="D2614" i="1"/>
  <c r="C2614" i="1"/>
  <c r="B2614" i="1"/>
  <c r="A2614" i="1"/>
  <c r="F2613" i="1"/>
  <c r="F2613" i="1" a="1"/>
  <c r="E2613" i="1" a="1"/>
  <c r="E2613" i="1" s="1"/>
  <c r="D2613" i="1"/>
  <c r="C2613" i="1"/>
  <c r="B2613" i="1"/>
  <c r="A2613" i="1"/>
  <c r="F2612" i="1" a="1"/>
  <c r="F2612" i="1" s="1"/>
  <c r="E2612" i="1" a="1"/>
  <c r="E2612" i="1" s="1"/>
  <c r="D2612" i="1"/>
  <c r="C2612" i="1"/>
  <c r="B2612" i="1"/>
  <c r="A2612" i="1"/>
  <c r="F2611" i="1"/>
  <c r="F2611" i="1" a="1"/>
  <c r="E2611" i="1" a="1"/>
  <c r="E2611" i="1" s="1"/>
  <c r="D2611" i="1"/>
  <c r="C2611" i="1"/>
  <c r="B2611" i="1"/>
  <c r="A2611" i="1"/>
  <c r="F2610" i="1" a="1"/>
  <c r="F2610" i="1" s="1"/>
  <c r="E2610" i="1" a="1"/>
  <c r="E2610" i="1" s="1"/>
  <c r="D2610" i="1"/>
  <c r="C2610" i="1"/>
  <c r="B2610" i="1"/>
  <c r="A2610" i="1"/>
  <c r="F2609" i="1"/>
  <c r="F2609" i="1" a="1"/>
  <c r="E2609" i="1" a="1"/>
  <c r="E2609" i="1" s="1"/>
  <c r="D2609" i="1"/>
  <c r="C2609" i="1"/>
  <c r="B2609" i="1"/>
  <c r="A2609" i="1"/>
  <c r="F2608" i="1"/>
  <c r="F2608" i="1" a="1"/>
  <c r="E2608" i="1" a="1"/>
  <c r="E2608" i="1" s="1"/>
  <c r="D2608" i="1"/>
  <c r="C2608" i="1"/>
  <c r="B2608" i="1"/>
  <c r="A2608" i="1"/>
  <c r="F2607" i="1"/>
  <c r="F2607" i="1" a="1"/>
  <c r="E2607" i="1" a="1"/>
  <c r="E2607" i="1" s="1"/>
  <c r="D2607" i="1"/>
  <c r="C2607" i="1"/>
  <c r="B2607" i="1"/>
  <c r="A2607" i="1"/>
  <c r="F2606" i="1" a="1"/>
  <c r="F2606" i="1" s="1"/>
  <c r="E2606" i="1" a="1"/>
  <c r="E2606" i="1" s="1"/>
  <c r="D2606" i="1"/>
  <c r="C2606" i="1"/>
  <c r="B2606" i="1"/>
  <c r="A2606" i="1"/>
  <c r="F2605" i="1"/>
  <c r="F2605" i="1" a="1"/>
  <c r="E2605" i="1" a="1"/>
  <c r="E2605" i="1" s="1"/>
  <c r="D2605" i="1"/>
  <c r="C2605" i="1"/>
  <c r="B2605" i="1"/>
  <c r="A2605" i="1"/>
  <c r="F2604" i="1" a="1"/>
  <c r="F2604" i="1" s="1"/>
  <c r="E2604" i="1" a="1"/>
  <c r="E2604" i="1" s="1"/>
  <c r="D2604" i="1"/>
  <c r="C2604" i="1"/>
  <c r="B2604" i="1"/>
  <c r="A2604" i="1"/>
  <c r="F2603" i="1"/>
  <c r="F2603" i="1" a="1"/>
  <c r="E2603" i="1" a="1"/>
  <c r="E2603" i="1" s="1"/>
  <c r="D2603" i="1"/>
  <c r="C2603" i="1"/>
  <c r="B2603" i="1"/>
  <c r="A2603" i="1"/>
  <c r="F2602" i="1" a="1"/>
  <c r="F2602" i="1" s="1"/>
  <c r="E2602" i="1" a="1"/>
  <c r="E2602" i="1" s="1"/>
  <c r="D2602" i="1"/>
  <c r="C2602" i="1"/>
  <c r="B2602" i="1"/>
  <c r="A2602" i="1"/>
  <c r="F2601" i="1"/>
  <c r="F2601" i="1" a="1"/>
  <c r="E2601" i="1" a="1"/>
  <c r="E2601" i="1" s="1"/>
  <c r="D2601" i="1"/>
  <c r="C2601" i="1"/>
  <c r="B2601" i="1"/>
  <c r="A2601" i="1"/>
  <c r="F2600" i="1"/>
  <c r="F2600" i="1" a="1"/>
  <c r="E2600" i="1" a="1"/>
  <c r="E2600" i="1" s="1"/>
  <c r="D2600" i="1"/>
  <c r="C2600" i="1"/>
  <c r="B2600" i="1"/>
  <c r="A2600" i="1"/>
  <c r="F2599" i="1"/>
  <c r="F2599" i="1" a="1"/>
  <c r="E2599" i="1" a="1"/>
  <c r="E2599" i="1" s="1"/>
  <c r="D2599" i="1"/>
  <c r="C2599" i="1"/>
  <c r="B2599" i="1"/>
  <c r="A2599" i="1"/>
  <c r="F2598" i="1" a="1"/>
  <c r="F2598" i="1" s="1"/>
  <c r="E2598" i="1" a="1"/>
  <c r="E2598" i="1" s="1"/>
  <c r="D2598" i="1"/>
  <c r="C2598" i="1"/>
  <c r="B2598" i="1"/>
  <c r="A2598" i="1"/>
  <c r="F2597" i="1"/>
  <c r="F2597" i="1" a="1"/>
  <c r="E2597" i="1" a="1"/>
  <c r="E2597" i="1" s="1"/>
  <c r="D2597" i="1"/>
  <c r="C2597" i="1"/>
  <c r="B2597" i="1"/>
  <c r="A2597" i="1"/>
  <c r="F2596" i="1" a="1"/>
  <c r="F2596" i="1" s="1"/>
  <c r="E2596" i="1" a="1"/>
  <c r="E2596" i="1" s="1"/>
  <c r="D2596" i="1"/>
  <c r="C2596" i="1"/>
  <c r="B2596" i="1"/>
  <c r="A2596" i="1"/>
  <c r="F2595" i="1"/>
  <c r="F2595" i="1" a="1"/>
  <c r="E2595" i="1" a="1"/>
  <c r="E2595" i="1" s="1"/>
  <c r="D2595" i="1"/>
  <c r="C2595" i="1"/>
  <c r="B2595" i="1"/>
  <c r="A2595" i="1"/>
  <c r="F2594" i="1" a="1"/>
  <c r="F2594" i="1" s="1"/>
  <c r="E2594" i="1" a="1"/>
  <c r="E2594" i="1" s="1"/>
  <c r="D2594" i="1"/>
  <c r="C2594" i="1"/>
  <c r="B2594" i="1"/>
  <c r="A2594" i="1"/>
  <c r="F2593" i="1"/>
  <c r="F2593" i="1" a="1"/>
  <c r="E2593" i="1" a="1"/>
  <c r="E2593" i="1" s="1"/>
  <c r="D2593" i="1"/>
  <c r="C2593" i="1"/>
  <c r="B2593" i="1"/>
  <c r="A2593" i="1"/>
  <c r="F2592" i="1"/>
  <c r="F2592" i="1" a="1"/>
  <c r="E2592" i="1" a="1"/>
  <c r="E2592" i="1" s="1"/>
  <c r="D2592" i="1"/>
  <c r="C2592" i="1"/>
  <c r="B2592" i="1"/>
  <c r="A2592" i="1"/>
  <c r="F2591" i="1"/>
  <c r="F2591" i="1" a="1"/>
  <c r="E2591" i="1" a="1"/>
  <c r="E2591" i="1" s="1"/>
  <c r="D2591" i="1"/>
  <c r="C2591" i="1"/>
  <c r="B2591" i="1"/>
  <c r="A2591" i="1"/>
  <c r="F2590" i="1" a="1"/>
  <c r="F2590" i="1" s="1"/>
  <c r="E2590" i="1" a="1"/>
  <c r="E2590" i="1" s="1"/>
  <c r="D2590" i="1"/>
  <c r="C2590" i="1"/>
  <c r="B2590" i="1"/>
  <c r="A2590" i="1"/>
  <c r="F2589" i="1"/>
  <c r="F2589" i="1" a="1"/>
  <c r="E2589" i="1" a="1"/>
  <c r="E2589" i="1" s="1"/>
  <c r="D2589" i="1"/>
  <c r="C2589" i="1"/>
  <c r="B2589" i="1"/>
  <c r="A2589" i="1"/>
  <c r="F2588" i="1" a="1"/>
  <c r="F2588" i="1" s="1"/>
  <c r="E2588" i="1" a="1"/>
  <c r="E2588" i="1" s="1"/>
  <c r="D2588" i="1"/>
  <c r="C2588" i="1"/>
  <c r="B2588" i="1"/>
  <c r="A2588" i="1"/>
  <c r="F2587" i="1"/>
  <c r="F2587" i="1" a="1"/>
  <c r="E2587" i="1" a="1"/>
  <c r="E2587" i="1" s="1"/>
  <c r="D2587" i="1"/>
  <c r="C2587" i="1"/>
  <c r="B2587" i="1"/>
  <c r="A2587" i="1"/>
  <c r="F2586" i="1" a="1"/>
  <c r="F2586" i="1" s="1"/>
  <c r="E2586" i="1" a="1"/>
  <c r="E2586" i="1" s="1"/>
  <c r="D2586" i="1"/>
  <c r="C2586" i="1"/>
  <c r="B2586" i="1"/>
  <c r="A2586" i="1"/>
  <c r="F2585" i="1"/>
  <c r="F2585" i="1" a="1"/>
  <c r="E2585" i="1" a="1"/>
  <c r="E2585" i="1" s="1"/>
  <c r="D2585" i="1"/>
  <c r="C2585" i="1"/>
  <c r="B2585" i="1"/>
  <c r="A2585" i="1"/>
  <c r="F2584" i="1"/>
  <c r="F2584" i="1" a="1"/>
  <c r="E2584" i="1" a="1"/>
  <c r="E2584" i="1" s="1"/>
  <c r="D2584" i="1"/>
  <c r="C2584" i="1"/>
  <c r="B2584" i="1"/>
  <c r="A2584" i="1"/>
  <c r="F2583" i="1"/>
  <c r="F2583" i="1" a="1"/>
  <c r="E2583" i="1" a="1"/>
  <c r="E2583" i="1" s="1"/>
  <c r="D2583" i="1"/>
  <c r="C2583" i="1"/>
  <c r="B2583" i="1"/>
  <c r="A2583" i="1"/>
  <c r="F2582" i="1" a="1"/>
  <c r="F2582" i="1" s="1"/>
  <c r="E2582" i="1" a="1"/>
  <c r="E2582" i="1" s="1"/>
  <c r="D2582" i="1"/>
  <c r="C2582" i="1"/>
  <c r="B2582" i="1"/>
  <c r="A2582" i="1"/>
  <c r="F2581" i="1"/>
  <c r="F2581" i="1" a="1"/>
  <c r="E2581" i="1" a="1"/>
  <c r="E2581" i="1" s="1"/>
  <c r="D2581" i="1"/>
  <c r="C2581" i="1"/>
  <c r="B2581" i="1"/>
  <c r="A2581" i="1"/>
  <c r="F2580" i="1" a="1"/>
  <c r="F2580" i="1" s="1"/>
  <c r="E2580" i="1" a="1"/>
  <c r="E2580" i="1" s="1"/>
  <c r="D2580" i="1"/>
  <c r="C2580" i="1"/>
  <c r="B2580" i="1"/>
  <c r="A2580" i="1"/>
  <c r="F2579" i="1"/>
  <c r="F2579" i="1" a="1"/>
  <c r="E2579" i="1" a="1"/>
  <c r="E2579" i="1" s="1"/>
  <c r="D2579" i="1"/>
  <c r="C2579" i="1"/>
  <c r="B2579" i="1"/>
  <c r="A2579" i="1"/>
  <c r="F2578" i="1" a="1"/>
  <c r="F2578" i="1" s="1"/>
  <c r="E2578" i="1" a="1"/>
  <c r="E2578" i="1" s="1"/>
  <c r="D2578" i="1"/>
  <c r="C2578" i="1"/>
  <c r="B2578" i="1"/>
  <c r="A2578" i="1"/>
  <c r="F2577" i="1"/>
  <c r="F2577" i="1" a="1"/>
  <c r="E2577" i="1" a="1"/>
  <c r="E2577" i="1" s="1"/>
  <c r="D2577" i="1"/>
  <c r="C2577" i="1"/>
  <c r="B2577" i="1"/>
  <c r="A2577" i="1"/>
  <c r="F2576" i="1"/>
  <c r="F2576" i="1" a="1"/>
  <c r="E2576" i="1" a="1"/>
  <c r="E2576" i="1" s="1"/>
  <c r="D2576" i="1"/>
  <c r="C2576" i="1"/>
  <c r="B2576" i="1"/>
  <c r="A2576" i="1"/>
  <c r="F2575" i="1"/>
  <c r="F2575" i="1" a="1"/>
  <c r="E2575" i="1" a="1"/>
  <c r="E2575" i="1" s="1"/>
  <c r="D2575" i="1"/>
  <c r="C2575" i="1"/>
  <c r="B2575" i="1"/>
  <c r="A2575" i="1"/>
  <c r="F2574" i="1" a="1"/>
  <c r="F2574" i="1" s="1"/>
  <c r="E2574" i="1" a="1"/>
  <c r="E2574" i="1" s="1"/>
  <c r="D2574" i="1"/>
  <c r="C2574" i="1"/>
  <c r="B2574" i="1"/>
  <c r="A2574" i="1"/>
  <c r="F2573" i="1"/>
  <c r="F2573" i="1" a="1"/>
  <c r="E2573" i="1" a="1"/>
  <c r="E2573" i="1" s="1"/>
  <c r="D2573" i="1"/>
  <c r="C2573" i="1"/>
  <c r="B2573" i="1"/>
  <c r="A2573" i="1"/>
  <c r="F2572" i="1" a="1"/>
  <c r="F2572" i="1" s="1"/>
  <c r="E2572" i="1" a="1"/>
  <c r="E2572" i="1" s="1"/>
  <c r="D2572" i="1"/>
  <c r="C2572" i="1"/>
  <c r="B2572" i="1"/>
  <c r="A2572" i="1"/>
  <c r="F2571" i="1"/>
  <c r="F2571" i="1" a="1"/>
  <c r="E2571" i="1" a="1"/>
  <c r="E2571" i="1" s="1"/>
  <c r="D2571" i="1"/>
  <c r="C2571" i="1"/>
  <c r="B2571" i="1"/>
  <c r="A2571" i="1"/>
  <c r="F2570" i="1" a="1"/>
  <c r="F2570" i="1" s="1"/>
  <c r="E2570" i="1" a="1"/>
  <c r="E2570" i="1" s="1"/>
  <c r="D2570" i="1"/>
  <c r="C2570" i="1"/>
  <c r="B2570" i="1"/>
  <c r="A2570" i="1"/>
  <c r="F2569" i="1"/>
  <c r="F2569" i="1" a="1"/>
  <c r="E2569" i="1" a="1"/>
  <c r="E2569" i="1" s="1"/>
  <c r="D2569" i="1"/>
  <c r="C2569" i="1"/>
  <c r="B2569" i="1"/>
  <c r="A2569" i="1"/>
  <c r="F2568" i="1" a="1"/>
  <c r="F2568" i="1" s="1"/>
  <c r="E2568" i="1" a="1"/>
  <c r="E2568" i="1" s="1"/>
  <c r="D2568" i="1"/>
  <c r="C2568" i="1"/>
  <c r="B2568" i="1"/>
  <c r="A2568" i="1"/>
  <c r="F2567" i="1"/>
  <c r="F2567" i="1" a="1"/>
  <c r="E2567" i="1" a="1"/>
  <c r="E2567" i="1" s="1"/>
  <c r="D2567" i="1"/>
  <c r="C2567" i="1"/>
  <c r="B2567" i="1"/>
  <c r="A2567" i="1"/>
  <c r="F2566" i="1" a="1"/>
  <c r="F2566" i="1" s="1"/>
  <c r="E2566" i="1" a="1"/>
  <c r="E2566" i="1" s="1"/>
  <c r="D2566" i="1"/>
  <c r="C2566" i="1"/>
  <c r="B2566" i="1"/>
  <c r="A2566" i="1"/>
  <c r="F2565" i="1"/>
  <c r="F2565" i="1" a="1"/>
  <c r="E2565" i="1" a="1"/>
  <c r="E2565" i="1" s="1"/>
  <c r="D2565" i="1"/>
  <c r="C2565" i="1"/>
  <c r="B2565" i="1"/>
  <c r="A2565" i="1"/>
  <c r="F2564" i="1" a="1"/>
  <c r="F2564" i="1" s="1"/>
  <c r="E2564" i="1" a="1"/>
  <c r="E2564" i="1" s="1"/>
  <c r="D2564" i="1"/>
  <c r="C2564" i="1"/>
  <c r="B2564" i="1"/>
  <c r="A2564" i="1"/>
  <c r="F2563" i="1"/>
  <c r="F2563" i="1" a="1"/>
  <c r="E2563" i="1" a="1"/>
  <c r="E2563" i="1" s="1"/>
  <c r="D2563" i="1"/>
  <c r="C2563" i="1"/>
  <c r="B2563" i="1"/>
  <c r="A2563" i="1"/>
  <c r="F2562" i="1" a="1"/>
  <c r="F2562" i="1" s="1"/>
  <c r="E2562" i="1" a="1"/>
  <c r="E2562" i="1" s="1"/>
  <c r="D2562" i="1"/>
  <c r="C2562" i="1"/>
  <c r="B2562" i="1"/>
  <c r="A2562" i="1"/>
  <c r="F2561" i="1"/>
  <c r="F2561" i="1" a="1"/>
  <c r="E2561" i="1" a="1"/>
  <c r="E2561" i="1" s="1"/>
  <c r="D2561" i="1"/>
  <c r="C2561" i="1"/>
  <c r="B2561" i="1"/>
  <c r="A2561" i="1"/>
  <c r="F2560" i="1" a="1"/>
  <c r="F2560" i="1" s="1"/>
  <c r="E2560" i="1" a="1"/>
  <c r="E2560" i="1" s="1"/>
  <c r="D2560" i="1"/>
  <c r="C2560" i="1"/>
  <c r="B2560" i="1"/>
  <c r="A2560" i="1"/>
  <c r="F2559" i="1"/>
  <c r="F2559" i="1" a="1"/>
  <c r="E2559" i="1" a="1"/>
  <c r="E2559" i="1" s="1"/>
  <c r="D2559" i="1"/>
  <c r="C2559" i="1"/>
  <c r="B2559" i="1"/>
  <c r="A2559" i="1"/>
  <c r="F2558" i="1" a="1"/>
  <c r="F2558" i="1" s="1"/>
  <c r="E2558" i="1"/>
  <c r="E2558" i="1" a="1"/>
  <c r="D2558" i="1"/>
  <c r="C2558" i="1"/>
  <c r="B2558" i="1"/>
  <c r="A2558" i="1"/>
  <c r="F2557" i="1" a="1"/>
  <c r="F2557" i="1" s="1"/>
  <c r="E2557" i="1" a="1"/>
  <c r="E2557" i="1" s="1"/>
  <c r="D2557" i="1"/>
  <c r="C2557" i="1"/>
  <c r="B2557" i="1"/>
  <c r="A2557" i="1"/>
  <c r="F2556" i="1" a="1"/>
  <c r="F2556" i="1" s="1"/>
  <c r="E2556" i="1" a="1"/>
  <c r="E2556" i="1" s="1"/>
  <c r="D2556" i="1"/>
  <c r="C2556" i="1"/>
  <c r="B2556" i="1"/>
  <c r="A2556" i="1"/>
  <c r="F2555" i="1" a="1"/>
  <c r="F2555" i="1" s="1"/>
  <c r="E2555" i="1"/>
  <c r="E2555" i="1" a="1"/>
  <c r="D2555" i="1"/>
  <c r="C2555" i="1"/>
  <c r="B2555" i="1"/>
  <c r="A2555" i="1"/>
  <c r="F2554" i="1" a="1"/>
  <c r="F2554" i="1" s="1"/>
  <c r="E2554" i="1" a="1"/>
  <c r="E2554" i="1" s="1"/>
  <c r="D2554" i="1"/>
  <c r="C2554" i="1"/>
  <c r="B2554" i="1"/>
  <c r="A2554" i="1"/>
  <c r="F2553" i="1" a="1"/>
  <c r="F2553" i="1" s="1"/>
  <c r="E2553" i="1" a="1"/>
  <c r="E2553" i="1" s="1"/>
  <c r="D2553" i="1"/>
  <c r="C2553" i="1"/>
  <c r="B2553" i="1"/>
  <c r="A2553" i="1"/>
  <c r="F2552" i="1" a="1"/>
  <c r="F2552" i="1" s="1"/>
  <c r="E2552" i="1" a="1"/>
  <c r="E2552" i="1" s="1"/>
  <c r="D2552" i="1"/>
  <c r="C2552" i="1"/>
  <c r="B2552" i="1"/>
  <c r="A2552" i="1"/>
  <c r="F2551" i="1" a="1"/>
  <c r="F2551" i="1" s="1"/>
  <c r="E2551" i="1" a="1"/>
  <c r="E2551" i="1" s="1"/>
  <c r="D2551" i="1"/>
  <c r="C2551" i="1"/>
  <c r="B2551" i="1"/>
  <c r="A2551" i="1"/>
  <c r="F2550" i="1" a="1"/>
  <c r="F2550" i="1" s="1"/>
  <c r="E2550" i="1"/>
  <c r="E2550" i="1" a="1"/>
  <c r="D2550" i="1"/>
  <c r="C2550" i="1"/>
  <c r="B2550" i="1"/>
  <c r="A2550" i="1"/>
  <c r="F2549" i="1" a="1"/>
  <c r="F2549" i="1" s="1"/>
  <c r="E2549" i="1" a="1"/>
  <c r="E2549" i="1" s="1"/>
  <c r="D2549" i="1"/>
  <c r="C2549" i="1"/>
  <c r="B2549" i="1"/>
  <c r="A2549" i="1"/>
  <c r="F2548" i="1" a="1"/>
  <c r="F2548" i="1" s="1"/>
  <c r="E2548" i="1" a="1"/>
  <c r="E2548" i="1" s="1"/>
  <c r="D2548" i="1"/>
  <c r="C2548" i="1"/>
  <c r="B2548" i="1"/>
  <c r="A2548" i="1"/>
  <c r="F2547" i="1" a="1"/>
  <c r="F2547" i="1" s="1"/>
  <c r="E2547" i="1"/>
  <c r="E2547" i="1" a="1"/>
  <c r="D2547" i="1"/>
  <c r="C2547" i="1"/>
  <c r="B2547" i="1"/>
  <c r="A2547" i="1"/>
  <c r="F2546" i="1" a="1"/>
  <c r="F2546" i="1" s="1"/>
  <c r="E2546" i="1" a="1"/>
  <c r="E2546" i="1" s="1"/>
  <c r="D2546" i="1"/>
  <c r="C2546" i="1"/>
  <c r="B2546" i="1"/>
  <c r="A2546" i="1"/>
  <c r="F2545" i="1" a="1"/>
  <c r="F2545" i="1" s="1"/>
  <c r="E2545" i="1" a="1"/>
  <c r="E2545" i="1" s="1"/>
  <c r="D2545" i="1"/>
  <c r="C2545" i="1"/>
  <c r="B2545" i="1"/>
  <c r="A2545" i="1"/>
  <c r="F2544" i="1" a="1"/>
  <c r="F2544" i="1" s="1"/>
  <c r="E2544" i="1" a="1"/>
  <c r="E2544" i="1" s="1"/>
  <c r="D2544" i="1"/>
  <c r="C2544" i="1"/>
  <c r="B2544" i="1"/>
  <c r="A2544" i="1"/>
  <c r="F2543" i="1" a="1"/>
  <c r="F2543" i="1" s="1"/>
  <c r="E2543" i="1" a="1"/>
  <c r="E2543" i="1" s="1"/>
  <c r="D2543" i="1"/>
  <c r="C2543" i="1"/>
  <c r="B2543" i="1"/>
  <c r="A2543" i="1"/>
  <c r="F2542" i="1" a="1"/>
  <c r="F2542" i="1" s="1"/>
  <c r="E2542" i="1"/>
  <c r="E2542" i="1" a="1"/>
  <c r="D2542" i="1"/>
  <c r="C2542" i="1"/>
  <c r="B2542" i="1"/>
  <c r="A2542" i="1"/>
  <c r="F2541" i="1" a="1"/>
  <c r="F2541" i="1" s="1"/>
  <c r="E2541" i="1" a="1"/>
  <c r="E2541" i="1" s="1"/>
  <c r="D2541" i="1"/>
  <c r="C2541" i="1"/>
  <c r="B2541" i="1"/>
  <c r="A2541" i="1"/>
  <c r="F2540" i="1" a="1"/>
  <c r="F2540" i="1" s="1"/>
  <c r="E2540" i="1" a="1"/>
  <c r="E2540" i="1" s="1"/>
  <c r="D2540" i="1"/>
  <c r="C2540" i="1"/>
  <c r="B2540" i="1"/>
  <c r="A2540" i="1"/>
  <c r="F2539" i="1" a="1"/>
  <c r="F2539" i="1" s="1"/>
  <c r="E2539" i="1"/>
  <c r="E2539" i="1" a="1"/>
  <c r="D2539" i="1"/>
  <c r="C2539" i="1"/>
  <c r="B2539" i="1"/>
  <c r="A2539" i="1"/>
  <c r="F2538" i="1" a="1"/>
  <c r="F2538" i="1" s="1"/>
  <c r="E2538" i="1" a="1"/>
  <c r="E2538" i="1" s="1"/>
  <c r="D2538" i="1"/>
  <c r="C2538" i="1"/>
  <c r="B2538" i="1"/>
  <c r="A2538" i="1"/>
  <c r="F2537" i="1" a="1"/>
  <c r="F2537" i="1" s="1"/>
  <c r="E2537" i="1" a="1"/>
  <c r="E2537" i="1" s="1"/>
  <c r="D2537" i="1"/>
  <c r="C2537" i="1"/>
  <c r="B2537" i="1"/>
  <c r="A2537" i="1"/>
  <c r="F2536" i="1" a="1"/>
  <c r="F2536" i="1" s="1"/>
  <c r="E2536" i="1" a="1"/>
  <c r="E2536" i="1" s="1"/>
  <c r="D2536" i="1"/>
  <c r="C2536" i="1"/>
  <c r="B2536" i="1"/>
  <c r="A2536" i="1"/>
  <c r="F2535" i="1" a="1"/>
  <c r="F2535" i="1" s="1"/>
  <c r="E2535" i="1" a="1"/>
  <c r="E2535" i="1" s="1"/>
  <c r="D2535" i="1"/>
  <c r="C2535" i="1"/>
  <c r="B2535" i="1"/>
  <c r="A2535" i="1"/>
  <c r="F2534" i="1" a="1"/>
  <c r="F2534" i="1" s="1"/>
  <c r="E2534" i="1"/>
  <c r="E2534" i="1" a="1"/>
  <c r="D2534" i="1"/>
  <c r="C2534" i="1"/>
  <c r="B2534" i="1"/>
  <c r="A2534" i="1"/>
  <c r="F2533" i="1" a="1"/>
  <c r="F2533" i="1" s="1"/>
  <c r="E2533" i="1" a="1"/>
  <c r="E2533" i="1" s="1"/>
  <c r="D2533" i="1"/>
  <c r="C2533" i="1"/>
  <c r="B2533" i="1"/>
  <c r="A2533" i="1"/>
  <c r="F2532" i="1" a="1"/>
  <c r="F2532" i="1" s="1"/>
  <c r="E2532" i="1" a="1"/>
  <c r="E2532" i="1" s="1"/>
  <c r="D2532" i="1"/>
  <c r="C2532" i="1"/>
  <c r="B2532" i="1"/>
  <c r="A2532" i="1"/>
  <c r="F2531" i="1" a="1"/>
  <c r="F2531" i="1" s="1"/>
  <c r="E2531" i="1"/>
  <c r="E2531" i="1" a="1"/>
  <c r="D2531" i="1"/>
  <c r="C2531" i="1"/>
  <c r="B2531" i="1"/>
  <c r="A2531" i="1"/>
  <c r="F2530" i="1" a="1"/>
  <c r="F2530" i="1" s="1"/>
  <c r="E2530" i="1" a="1"/>
  <c r="E2530" i="1" s="1"/>
  <c r="D2530" i="1"/>
  <c r="C2530" i="1"/>
  <c r="B2530" i="1"/>
  <c r="A2530" i="1"/>
  <c r="F2529" i="1" a="1"/>
  <c r="F2529" i="1" s="1"/>
  <c r="E2529" i="1" a="1"/>
  <c r="E2529" i="1" s="1"/>
  <c r="D2529" i="1"/>
  <c r="C2529" i="1"/>
  <c r="B2529" i="1"/>
  <c r="A2529" i="1"/>
  <c r="F2528" i="1" a="1"/>
  <c r="F2528" i="1" s="1"/>
  <c r="E2528" i="1" a="1"/>
  <c r="E2528" i="1" s="1"/>
  <c r="D2528" i="1"/>
  <c r="C2528" i="1"/>
  <c r="B2528" i="1"/>
  <c r="A2528" i="1"/>
  <c r="F2527" i="1" a="1"/>
  <c r="F2527" i="1" s="1"/>
  <c r="E2527" i="1" a="1"/>
  <c r="E2527" i="1" s="1"/>
  <c r="D2527" i="1"/>
  <c r="C2527" i="1"/>
  <c r="B2527" i="1"/>
  <c r="A2527" i="1"/>
  <c r="F2526" i="1" a="1"/>
  <c r="F2526" i="1" s="1"/>
  <c r="E2526" i="1"/>
  <c r="E2526" i="1" a="1"/>
  <c r="D2526" i="1"/>
  <c r="C2526" i="1"/>
  <c r="B2526" i="1"/>
  <c r="A2526" i="1"/>
  <c r="F2525" i="1" a="1"/>
  <c r="F2525" i="1" s="1"/>
  <c r="E2525" i="1" a="1"/>
  <c r="E2525" i="1" s="1"/>
  <c r="D2525" i="1"/>
  <c r="C2525" i="1"/>
  <c r="B2525" i="1"/>
  <c r="A2525" i="1"/>
  <c r="F2524" i="1" a="1"/>
  <c r="F2524" i="1" s="1"/>
  <c r="E2524" i="1" a="1"/>
  <c r="E2524" i="1" s="1"/>
  <c r="D2524" i="1"/>
  <c r="C2524" i="1"/>
  <c r="B2524" i="1"/>
  <c r="A2524" i="1"/>
  <c r="F2523" i="1" a="1"/>
  <c r="F2523" i="1" s="1"/>
  <c r="E2523" i="1"/>
  <c r="E2523" i="1" a="1"/>
  <c r="D2523" i="1"/>
  <c r="C2523" i="1"/>
  <c r="B2523" i="1"/>
  <c r="A2523" i="1"/>
  <c r="F2522" i="1" a="1"/>
  <c r="F2522" i="1" s="1"/>
  <c r="E2522" i="1" a="1"/>
  <c r="E2522" i="1" s="1"/>
  <c r="D2522" i="1"/>
  <c r="C2522" i="1"/>
  <c r="B2522" i="1"/>
  <c r="A2522" i="1"/>
  <c r="F2521" i="1" a="1"/>
  <c r="F2521" i="1" s="1"/>
  <c r="E2521" i="1" a="1"/>
  <c r="E2521" i="1" s="1"/>
  <c r="D2521" i="1"/>
  <c r="C2521" i="1"/>
  <c r="B2521" i="1"/>
  <c r="A2521" i="1"/>
  <c r="F2520" i="1" a="1"/>
  <c r="F2520" i="1" s="1"/>
  <c r="E2520" i="1"/>
  <c r="E2520" i="1" a="1"/>
  <c r="D2520" i="1"/>
  <c r="C2520" i="1"/>
  <c r="B2520" i="1"/>
  <c r="A2520" i="1"/>
  <c r="F2519" i="1" a="1"/>
  <c r="F2519" i="1" s="1"/>
  <c r="E2519" i="1" a="1"/>
  <c r="E2519" i="1" s="1"/>
  <c r="D2519" i="1"/>
  <c r="C2519" i="1"/>
  <c r="B2519" i="1"/>
  <c r="A2519" i="1"/>
  <c r="F2518" i="1" a="1"/>
  <c r="F2518" i="1" s="1"/>
  <c r="E2518" i="1"/>
  <c r="E2518" i="1" a="1"/>
  <c r="D2518" i="1"/>
  <c r="C2518" i="1"/>
  <c r="B2518" i="1"/>
  <c r="A2518" i="1"/>
  <c r="F2517" i="1" a="1"/>
  <c r="F2517" i="1" s="1"/>
  <c r="E2517" i="1" a="1"/>
  <c r="E2517" i="1" s="1"/>
  <c r="D2517" i="1"/>
  <c r="C2517" i="1"/>
  <c r="B2517" i="1"/>
  <c r="A2517" i="1"/>
  <c r="F2516" i="1" a="1"/>
  <c r="F2516" i="1" s="1"/>
  <c r="E2516" i="1" a="1"/>
  <c r="E2516" i="1" s="1"/>
  <c r="D2516" i="1"/>
  <c r="C2516" i="1"/>
  <c r="B2516" i="1"/>
  <c r="A2516" i="1"/>
  <c r="F2515" i="1" a="1"/>
  <c r="F2515" i="1" s="1"/>
  <c r="E2515" i="1"/>
  <c r="E2515" i="1" a="1"/>
  <c r="D2515" i="1"/>
  <c r="C2515" i="1"/>
  <c r="B2515" i="1"/>
  <c r="A2515" i="1"/>
  <c r="F2514" i="1" a="1"/>
  <c r="F2514" i="1" s="1"/>
  <c r="E2514" i="1" a="1"/>
  <c r="E2514" i="1" s="1"/>
  <c r="D2514" i="1"/>
  <c r="C2514" i="1"/>
  <c r="B2514" i="1"/>
  <c r="A2514" i="1"/>
  <c r="F2513" i="1" a="1"/>
  <c r="F2513" i="1" s="1"/>
  <c r="E2513" i="1" a="1"/>
  <c r="E2513" i="1" s="1"/>
  <c r="D2513" i="1"/>
  <c r="C2513" i="1"/>
  <c r="B2513" i="1"/>
  <c r="A2513" i="1"/>
  <c r="F2512" i="1" a="1"/>
  <c r="F2512" i="1" s="1"/>
  <c r="E2512" i="1"/>
  <c r="E2512" i="1" a="1"/>
  <c r="D2512" i="1"/>
  <c r="C2512" i="1"/>
  <c r="B2512" i="1"/>
  <c r="A2512" i="1"/>
  <c r="F2511" i="1" a="1"/>
  <c r="F2511" i="1" s="1"/>
  <c r="E2511" i="1" a="1"/>
  <c r="E2511" i="1" s="1"/>
  <c r="D2511" i="1"/>
  <c r="C2511" i="1"/>
  <c r="B2511" i="1"/>
  <c r="A2511" i="1"/>
  <c r="F2510" i="1" a="1"/>
  <c r="F2510" i="1" s="1"/>
  <c r="E2510" i="1"/>
  <c r="E2510" i="1" a="1"/>
  <c r="D2510" i="1"/>
  <c r="C2510" i="1"/>
  <c r="B2510" i="1"/>
  <c r="A2510" i="1"/>
  <c r="F2509" i="1" a="1"/>
  <c r="F2509" i="1" s="1"/>
  <c r="E2509" i="1" a="1"/>
  <c r="E2509" i="1" s="1"/>
  <c r="D2509" i="1"/>
  <c r="C2509" i="1"/>
  <c r="B2509" i="1"/>
  <c r="A2509" i="1"/>
  <c r="F2508" i="1" a="1"/>
  <c r="F2508" i="1" s="1"/>
  <c r="E2508" i="1" a="1"/>
  <c r="E2508" i="1" s="1"/>
  <c r="D2508" i="1"/>
  <c r="C2508" i="1"/>
  <c r="B2508" i="1"/>
  <c r="A2508" i="1"/>
  <c r="F2507" i="1" a="1"/>
  <c r="F2507" i="1" s="1"/>
  <c r="E2507" i="1"/>
  <c r="E2507" i="1" a="1"/>
  <c r="D2507" i="1"/>
  <c r="C2507" i="1"/>
  <c r="B2507" i="1"/>
  <c r="A2507" i="1"/>
  <c r="F2506" i="1" a="1"/>
  <c r="F2506" i="1" s="1"/>
  <c r="E2506" i="1" a="1"/>
  <c r="E2506" i="1" s="1"/>
  <c r="D2506" i="1"/>
  <c r="C2506" i="1"/>
  <c r="B2506" i="1"/>
  <c r="A2506" i="1"/>
  <c r="F2505" i="1" a="1"/>
  <c r="F2505" i="1" s="1"/>
  <c r="E2505" i="1" a="1"/>
  <c r="E2505" i="1" s="1"/>
  <c r="D2505" i="1"/>
  <c r="C2505" i="1"/>
  <c r="B2505" i="1"/>
  <c r="A2505" i="1"/>
  <c r="F2504" i="1" a="1"/>
  <c r="F2504" i="1" s="1"/>
  <c r="E2504" i="1"/>
  <c r="E2504" i="1" a="1"/>
  <c r="D2504" i="1"/>
  <c r="C2504" i="1"/>
  <c r="B2504" i="1"/>
  <c r="A2504" i="1"/>
  <c r="F2503" i="1" a="1"/>
  <c r="F2503" i="1" s="1"/>
  <c r="E2503" i="1" a="1"/>
  <c r="E2503" i="1" s="1"/>
  <c r="D2503" i="1"/>
  <c r="C2503" i="1"/>
  <c r="B2503" i="1"/>
  <c r="A2503" i="1"/>
  <c r="F2502" i="1" a="1"/>
  <c r="F2502" i="1" s="1"/>
  <c r="E2502" i="1"/>
  <c r="E2502" i="1" a="1"/>
  <c r="D2502" i="1"/>
  <c r="C2502" i="1"/>
  <c r="B2502" i="1"/>
  <c r="A2502" i="1"/>
  <c r="F2501" i="1" a="1"/>
  <c r="F2501" i="1" s="1"/>
  <c r="E2501" i="1" a="1"/>
  <c r="E2501" i="1" s="1"/>
  <c r="D2501" i="1"/>
  <c r="C2501" i="1"/>
  <c r="B2501" i="1"/>
  <c r="A2501" i="1"/>
  <c r="F2500" i="1" a="1"/>
  <c r="F2500" i="1" s="1"/>
  <c r="E2500" i="1" a="1"/>
  <c r="E2500" i="1" s="1"/>
  <c r="D2500" i="1"/>
  <c r="C2500" i="1"/>
  <c r="B2500" i="1"/>
  <c r="A2500" i="1"/>
  <c r="F2499" i="1" a="1"/>
  <c r="F2499" i="1" s="1"/>
  <c r="E2499" i="1"/>
  <c r="E2499" i="1" a="1"/>
  <c r="D2499" i="1"/>
  <c r="C2499" i="1"/>
  <c r="B2499" i="1"/>
  <c r="A2499" i="1"/>
  <c r="F2498" i="1" a="1"/>
  <c r="F2498" i="1" s="1"/>
  <c r="E2498" i="1" a="1"/>
  <c r="E2498" i="1" s="1"/>
  <c r="D2498" i="1"/>
  <c r="C2498" i="1"/>
  <c r="B2498" i="1"/>
  <c r="A2498" i="1"/>
  <c r="F2497" i="1" a="1"/>
  <c r="F2497" i="1" s="1"/>
  <c r="E2497" i="1" a="1"/>
  <c r="E2497" i="1" s="1"/>
  <c r="D2497" i="1"/>
  <c r="C2497" i="1"/>
  <c r="B2497" i="1"/>
  <c r="A2497" i="1"/>
  <c r="F2496" i="1" a="1"/>
  <c r="F2496" i="1" s="1"/>
  <c r="E2496" i="1" a="1"/>
  <c r="E2496" i="1" s="1"/>
  <c r="D2496" i="1"/>
  <c r="C2496" i="1"/>
  <c r="B2496" i="1"/>
  <c r="A2496" i="1"/>
  <c r="F2495" i="1" a="1"/>
  <c r="F2495" i="1" s="1"/>
  <c r="E2495" i="1" a="1"/>
  <c r="E2495" i="1" s="1"/>
  <c r="D2495" i="1"/>
  <c r="C2495" i="1"/>
  <c r="B2495" i="1"/>
  <c r="A2495" i="1"/>
  <c r="F2494" i="1" a="1"/>
  <c r="F2494" i="1" s="1"/>
  <c r="E2494" i="1"/>
  <c r="E2494" i="1" a="1"/>
  <c r="D2494" i="1"/>
  <c r="C2494" i="1"/>
  <c r="B2494" i="1"/>
  <c r="A2494" i="1"/>
  <c r="F2493" i="1" a="1"/>
  <c r="F2493" i="1" s="1"/>
  <c r="E2493" i="1" a="1"/>
  <c r="E2493" i="1" s="1"/>
  <c r="D2493" i="1"/>
  <c r="C2493" i="1"/>
  <c r="B2493" i="1"/>
  <c r="A2493" i="1"/>
  <c r="F2492" i="1" a="1"/>
  <c r="F2492" i="1" s="1"/>
  <c r="E2492" i="1" a="1"/>
  <c r="E2492" i="1" s="1"/>
  <c r="D2492" i="1"/>
  <c r="C2492" i="1"/>
  <c r="B2492" i="1"/>
  <c r="A2492" i="1"/>
  <c r="F2491" i="1" a="1"/>
  <c r="F2491" i="1" s="1"/>
  <c r="E2491" i="1"/>
  <c r="E2491" i="1" a="1"/>
  <c r="D2491" i="1"/>
  <c r="C2491" i="1"/>
  <c r="B2491" i="1"/>
  <c r="A2491" i="1"/>
  <c r="F2490" i="1" a="1"/>
  <c r="F2490" i="1" s="1"/>
  <c r="E2490" i="1" a="1"/>
  <c r="E2490" i="1" s="1"/>
  <c r="D2490" i="1"/>
  <c r="C2490" i="1"/>
  <c r="B2490" i="1"/>
  <c r="A2490" i="1"/>
  <c r="F2489" i="1" a="1"/>
  <c r="F2489" i="1" s="1"/>
  <c r="E2489" i="1" a="1"/>
  <c r="E2489" i="1" s="1"/>
  <c r="D2489" i="1"/>
  <c r="C2489" i="1"/>
  <c r="B2489" i="1"/>
  <c r="A2489" i="1"/>
  <c r="F2488" i="1" a="1"/>
  <c r="F2488" i="1" s="1"/>
  <c r="E2488" i="1" a="1"/>
  <c r="E2488" i="1" s="1"/>
  <c r="D2488" i="1"/>
  <c r="C2488" i="1"/>
  <c r="B2488" i="1"/>
  <c r="A2488" i="1"/>
  <c r="F2487" i="1" a="1"/>
  <c r="F2487" i="1" s="1"/>
  <c r="E2487" i="1" a="1"/>
  <c r="E2487" i="1" s="1"/>
  <c r="D2487" i="1"/>
  <c r="C2487" i="1"/>
  <c r="B2487" i="1"/>
  <c r="A2487" i="1"/>
  <c r="F2486" i="1" a="1"/>
  <c r="F2486" i="1" s="1"/>
  <c r="E2486" i="1" a="1"/>
  <c r="E2486" i="1" s="1"/>
  <c r="D2486" i="1"/>
  <c r="C2486" i="1"/>
  <c r="B2486" i="1"/>
  <c r="A2486" i="1"/>
  <c r="F2485" i="1" a="1"/>
  <c r="F2485" i="1" s="1"/>
  <c r="E2485" i="1" a="1"/>
  <c r="E2485" i="1" s="1"/>
  <c r="D2485" i="1"/>
  <c r="C2485" i="1"/>
  <c r="B2485" i="1"/>
  <c r="A2485" i="1"/>
  <c r="F2484" i="1" a="1"/>
  <c r="F2484" i="1" s="1"/>
  <c r="E2484" i="1" a="1"/>
  <c r="E2484" i="1" s="1"/>
  <c r="D2484" i="1"/>
  <c r="C2484" i="1"/>
  <c r="B2484" i="1"/>
  <c r="A2484" i="1"/>
  <c r="F2483" i="1" a="1"/>
  <c r="F2483" i="1" s="1"/>
  <c r="E2483" i="1"/>
  <c r="E2483" i="1" a="1"/>
  <c r="D2483" i="1"/>
  <c r="C2483" i="1"/>
  <c r="B2483" i="1"/>
  <c r="A2483" i="1"/>
  <c r="F2482" i="1" a="1"/>
  <c r="F2482" i="1" s="1"/>
  <c r="E2482" i="1" a="1"/>
  <c r="E2482" i="1" s="1"/>
  <c r="D2482" i="1"/>
  <c r="C2482" i="1"/>
  <c r="B2482" i="1"/>
  <c r="A2482" i="1"/>
  <c r="F2481" i="1" a="1"/>
  <c r="F2481" i="1" s="1"/>
  <c r="E2481" i="1" a="1"/>
  <c r="E2481" i="1" s="1"/>
  <c r="D2481" i="1"/>
  <c r="C2481" i="1"/>
  <c r="B2481" i="1"/>
  <c r="A2481" i="1"/>
  <c r="F2480" i="1" a="1"/>
  <c r="F2480" i="1" s="1"/>
  <c r="E2480" i="1" a="1"/>
  <c r="E2480" i="1" s="1"/>
  <c r="D2480" i="1"/>
  <c r="C2480" i="1"/>
  <c r="B2480" i="1"/>
  <c r="A2480" i="1"/>
  <c r="F2479" i="1" a="1"/>
  <c r="F2479" i="1" s="1"/>
  <c r="E2479" i="1" a="1"/>
  <c r="E2479" i="1" s="1"/>
  <c r="D2479" i="1"/>
  <c r="C2479" i="1"/>
  <c r="B2479" i="1"/>
  <c r="A2479" i="1"/>
  <c r="F2478" i="1" a="1"/>
  <c r="F2478" i="1" s="1"/>
  <c r="E2478" i="1" a="1"/>
  <c r="E2478" i="1" s="1"/>
  <c r="D2478" i="1"/>
  <c r="C2478" i="1"/>
  <c r="B2478" i="1"/>
  <c r="A2478" i="1"/>
  <c r="F2477" i="1" a="1"/>
  <c r="F2477" i="1" s="1"/>
  <c r="E2477" i="1" a="1"/>
  <c r="E2477" i="1" s="1"/>
  <c r="D2477" i="1"/>
  <c r="C2477" i="1"/>
  <c r="B2477" i="1"/>
  <c r="A2477" i="1"/>
  <c r="F2476" i="1" a="1"/>
  <c r="F2476" i="1" s="1"/>
  <c r="E2476" i="1" a="1"/>
  <c r="E2476" i="1" s="1"/>
  <c r="D2476" i="1"/>
  <c r="C2476" i="1"/>
  <c r="B2476" i="1"/>
  <c r="A2476" i="1"/>
  <c r="F2475" i="1" a="1"/>
  <c r="F2475" i="1" s="1"/>
  <c r="E2475" i="1"/>
  <c r="E2475" i="1" a="1"/>
  <c r="D2475" i="1"/>
  <c r="C2475" i="1"/>
  <c r="B2475" i="1"/>
  <c r="A2475" i="1"/>
  <c r="F2474" i="1" a="1"/>
  <c r="F2474" i="1" s="1"/>
  <c r="E2474" i="1" a="1"/>
  <c r="E2474" i="1" s="1"/>
  <c r="D2474" i="1"/>
  <c r="C2474" i="1"/>
  <c r="B2474" i="1"/>
  <c r="A2474" i="1"/>
  <c r="F2473" i="1" a="1"/>
  <c r="F2473" i="1" s="1"/>
  <c r="E2473" i="1" a="1"/>
  <c r="E2473" i="1" s="1"/>
  <c r="D2473" i="1"/>
  <c r="C2473" i="1"/>
  <c r="B2473" i="1"/>
  <c r="A2473" i="1"/>
  <c r="F2472" i="1" a="1"/>
  <c r="F2472" i="1" s="1"/>
  <c r="E2472" i="1" a="1"/>
  <c r="E2472" i="1" s="1"/>
  <c r="D2472" i="1"/>
  <c r="C2472" i="1"/>
  <c r="B2472" i="1"/>
  <c r="A2472" i="1"/>
  <c r="F2471" i="1" a="1"/>
  <c r="F2471" i="1" s="1"/>
  <c r="E2471" i="1" a="1"/>
  <c r="E2471" i="1" s="1"/>
  <c r="D2471" i="1"/>
  <c r="C2471" i="1"/>
  <c r="B2471" i="1"/>
  <c r="A2471" i="1"/>
  <c r="F2470" i="1" a="1"/>
  <c r="F2470" i="1" s="1"/>
  <c r="E2470" i="1" a="1"/>
  <c r="E2470" i="1" s="1"/>
  <c r="D2470" i="1"/>
  <c r="C2470" i="1"/>
  <c r="B2470" i="1"/>
  <c r="A2470" i="1"/>
  <c r="F2469" i="1" a="1"/>
  <c r="F2469" i="1" s="1"/>
  <c r="E2469" i="1" a="1"/>
  <c r="E2469" i="1" s="1"/>
  <c r="D2469" i="1"/>
  <c r="C2469" i="1"/>
  <c r="B2469" i="1"/>
  <c r="A2469" i="1"/>
  <c r="F2468" i="1" a="1"/>
  <c r="F2468" i="1" s="1"/>
  <c r="E2468" i="1" a="1"/>
  <c r="E2468" i="1" s="1"/>
  <c r="D2468" i="1"/>
  <c r="C2468" i="1"/>
  <c r="B2468" i="1"/>
  <c r="A2468" i="1"/>
  <c r="F2467" i="1" a="1"/>
  <c r="F2467" i="1" s="1"/>
  <c r="E2467" i="1"/>
  <c r="E2467" i="1" a="1"/>
  <c r="D2467" i="1"/>
  <c r="C2467" i="1"/>
  <c r="B2467" i="1"/>
  <c r="A2467" i="1"/>
  <c r="F2466" i="1" a="1"/>
  <c r="F2466" i="1" s="1"/>
  <c r="E2466" i="1" a="1"/>
  <c r="E2466" i="1" s="1"/>
  <c r="D2466" i="1"/>
  <c r="C2466" i="1"/>
  <c r="B2466" i="1"/>
  <c r="A2466" i="1"/>
  <c r="F2465" i="1" a="1"/>
  <c r="F2465" i="1" s="1"/>
  <c r="E2465" i="1" a="1"/>
  <c r="E2465" i="1" s="1"/>
  <c r="D2465" i="1"/>
  <c r="C2465" i="1"/>
  <c r="B2465" i="1"/>
  <c r="A2465" i="1"/>
  <c r="F2464" i="1" a="1"/>
  <c r="F2464" i="1" s="1"/>
  <c r="E2464" i="1" a="1"/>
  <c r="E2464" i="1" s="1"/>
  <c r="D2464" i="1"/>
  <c r="C2464" i="1"/>
  <c r="B2464" i="1"/>
  <c r="A2464" i="1"/>
  <c r="F2463" i="1" a="1"/>
  <c r="F2463" i="1" s="1"/>
  <c r="E2463" i="1" a="1"/>
  <c r="E2463" i="1" s="1"/>
  <c r="D2463" i="1"/>
  <c r="C2463" i="1"/>
  <c r="B2463" i="1"/>
  <c r="A2463" i="1"/>
  <c r="F2462" i="1" a="1"/>
  <c r="F2462" i="1" s="1"/>
  <c r="E2462" i="1" a="1"/>
  <c r="E2462" i="1" s="1"/>
  <c r="D2462" i="1"/>
  <c r="C2462" i="1"/>
  <c r="B2462" i="1"/>
  <c r="A2462" i="1"/>
  <c r="F2461" i="1" a="1"/>
  <c r="F2461" i="1" s="1"/>
  <c r="E2461" i="1" a="1"/>
  <c r="E2461" i="1" s="1"/>
  <c r="D2461" i="1"/>
  <c r="C2461" i="1"/>
  <c r="B2461" i="1"/>
  <c r="A2461" i="1"/>
  <c r="F2460" i="1" a="1"/>
  <c r="F2460" i="1" s="1"/>
  <c r="E2460" i="1" a="1"/>
  <c r="E2460" i="1" s="1"/>
  <c r="D2460" i="1"/>
  <c r="C2460" i="1"/>
  <c r="B2460" i="1"/>
  <c r="A2460" i="1"/>
  <c r="F2459" i="1" a="1"/>
  <c r="F2459" i="1" s="1"/>
  <c r="E2459" i="1"/>
  <c r="E2459" i="1" a="1"/>
  <c r="D2459" i="1"/>
  <c r="C2459" i="1"/>
  <c r="B2459" i="1"/>
  <c r="A2459" i="1"/>
  <c r="F2458" i="1" a="1"/>
  <c r="F2458" i="1" s="1"/>
  <c r="E2458" i="1" a="1"/>
  <c r="E2458" i="1" s="1"/>
  <c r="D2458" i="1"/>
  <c r="C2458" i="1"/>
  <c r="B2458" i="1"/>
  <c r="A2458" i="1"/>
  <c r="F2457" i="1" a="1"/>
  <c r="F2457" i="1" s="1"/>
  <c r="E2457" i="1" a="1"/>
  <c r="E2457" i="1" s="1"/>
  <c r="D2457" i="1"/>
  <c r="C2457" i="1"/>
  <c r="B2457" i="1"/>
  <c r="A2457" i="1"/>
  <c r="F2456" i="1" a="1"/>
  <c r="F2456" i="1" s="1"/>
  <c r="E2456" i="1" a="1"/>
  <c r="E2456" i="1" s="1"/>
  <c r="D2456" i="1"/>
  <c r="C2456" i="1"/>
  <c r="B2456" i="1"/>
  <c r="A2456" i="1"/>
  <c r="F2455" i="1" a="1"/>
  <c r="F2455" i="1" s="1"/>
  <c r="E2455" i="1" a="1"/>
  <c r="E2455" i="1" s="1"/>
  <c r="D2455" i="1"/>
  <c r="C2455" i="1"/>
  <c r="B2455" i="1"/>
  <c r="A2455" i="1"/>
  <c r="F2454" i="1" a="1"/>
  <c r="F2454" i="1" s="1"/>
  <c r="E2454" i="1" a="1"/>
  <c r="E2454" i="1" s="1"/>
  <c r="D2454" i="1"/>
  <c r="C2454" i="1"/>
  <c r="B2454" i="1"/>
  <c r="A2454" i="1"/>
  <c r="F2453" i="1" a="1"/>
  <c r="F2453" i="1" s="1"/>
  <c r="E2453" i="1" a="1"/>
  <c r="E2453" i="1" s="1"/>
  <c r="D2453" i="1"/>
  <c r="C2453" i="1"/>
  <c r="B2453" i="1"/>
  <c r="A2453" i="1"/>
  <c r="F2452" i="1" a="1"/>
  <c r="F2452" i="1" s="1"/>
  <c r="E2452" i="1" a="1"/>
  <c r="E2452" i="1" s="1"/>
  <c r="D2452" i="1"/>
  <c r="C2452" i="1"/>
  <c r="B2452" i="1"/>
  <c r="A2452" i="1"/>
  <c r="F2451" i="1" a="1"/>
  <c r="F2451" i="1" s="1"/>
  <c r="E2451" i="1"/>
  <c r="E2451" i="1" a="1"/>
  <c r="D2451" i="1"/>
  <c r="C2451" i="1"/>
  <c r="B2451" i="1"/>
  <c r="A2451" i="1"/>
  <c r="F2450" i="1" a="1"/>
  <c r="F2450" i="1" s="1"/>
  <c r="E2450" i="1" a="1"/>
  <c r="E2450" i="1" s="1"/>
  <c r="D2450" i="1"/>
  <c r="C2450" i="1"/>
  <c r="B2450" i="1"/>
  <c r="A2450" i="1"/>
  <c r="F2449" i="1" a="1"/>
  <c r="F2449" i="1" s="1"/>
  <c r="E2449" i="1" a="1"/>
  <c r="E2449" i="1" s="1"/>
  <c r="D2449" i="1"/>
  <c r="C2449" i="1"/>
  <c r="B2449" i="1"/>
  <c r="A2449" i="1"/>
  <c r="F2448" i="1" a="1"/>
  <c r="F2448" i="1" s="1"/>
  <c r="E2448" i="1" a="1"/>
  <c r="E2448" i="1" s="1"/>
  <c r="D2448" i="1"/>
  <c r="C2448" i="1"/>
  <c r="B2448" i="1"/>
  <c r="A2448" i="1"/>
  <c r="F2447" i="1" a="1"/>
  <c r="F2447" i="1" s="1"/>
  <c r="E2447" i="1" a="1"/>
  <c r="E2447" i="1" s="1"/>
  <c r="D2447" i="1"/>
  <c r="C2447" i="1"/>
  <c r="B2447" i="1"/>
  <c r="A2447" i="1"/>
  <c r="F2446" i="1" a="1"/>
  <c r="F2446" i="1" s="1"/>
  <c r="E2446" i="1" a="1"/>
  <c r="E2446" i="1" s="1"/>
  <c r="D2446" i="1"/>
  <c r="C2446" i="1"/>
  <c r="B2446" i="1"/>
  <c r="A2446" i="1"/>
  <c r="F2445" i="1" a="1"/>
  <c r="F2445" i="1" s="1"/>
  <c r="E2445" i="1" a="1"/>
  <c r="E2445" i="1" s="1"/>
  <c r="D2445" i="1"/>
  <c r="C2445" i="1"/>
  <c r="B2445" i="1"/>
  <c r="A2445" i="1"/>
  <c r="F2444" i="1" a="1"/>
  <c r="F2444" i="1" s="1"/>
  <c r="E2444" i="1" a="1"/>
  <c r="E2444" i="1" s="1"/>
  <c r="D2444" i="1"/>
  <c r="C2444" i="1"/>
  <c r="B2444" i="1"/>
  <c r="A2444" i="1"/>
  <c r="F2443" i="1" a="1"/>
  <c r="F2443" i="1" s="1"/>
  <c r="E2443" i="1"/>
  <c r="E2443" i="1" a="1"/>
  <c r="D2443" i="1"/>
  <c r="C2443" i="1"/>
  <c r="B2443" i="1"/>
  <c r="A2443" i="1"/>
  <c r="F2442" i="1" a="1"/>
  <c r="F2442" i="1" s="1"/>
  <c r="E2442" i="1" a="1"/>
  <c r="E2442" i="1" s="1"/>
  <c r="D2442" i="1"/>
  <c r="C2442" i="1"/>
  <c r="B2442" i="1"/>
  <c r="A2442" i="1"/>
  <c r="F2441" i="1" a="1"/>
  <c r="F2441" i="1" s="1"/>
  <c r="E2441" i="1" a="1"/>
  <c r="E2441" i="1" s="1"/>
  <c r="D2441" i="1"/>
  <c r="C2441" i="1"/>
  <c r="B2441" i="1"/>
  <c r="A2441" i="1"/>
  <c r="F2440" i="1" a="1"/>
  <c r="F2440" i="1" s="1"/>
  <c r="E2440" i="1"/>
  <c r="E2440" i="1" a="1"/>
  <c r="D2440" i="1"/>
  <c r="C2440" i="1"/>
  <c r="B2440" i="1"/>
  <c r="A2440" i="1"/>
  <c r="F2439" i="1" a="1"/>
  <c r="F2439" i="1" s="1"/>
  <c r="E2439" i="1" a="1"/>
  <c r="E2439" i="1" s="1"/>
  <c r="D2439" i="1"/>
  <c r="C2439" i="1"/>
  <c r="B2439" i="1"/>
  <c r="A2439" i="1"/>
  <c r="F2438" i="1" a="1"/>
  <c r="F2438" i="1" s="1"/>
  <c r="E2438" i="1" a="1"/>
  <c r="E2438" i="1" s="1"/>
  <c r="D2438" i="1"/>
  <c r="C2438" i="1"/>
  <c r="B2438" i="1"/>
  <c r="A2438" i="1"/>
  <c r="F2437" i="1" a="1"/>
  <c r="F2437" i="1" s="1"/>
  <c r="E2437" i="1" a="1"/>
  <c r="E2437" i="1" s="1"/>
  <c r="D2437" i="1"/>
  <c r="C2437" i="1"/>
  <c r="B2437" i="1"/>
  <c r="A2437" i="1"/>
  <c r="F2436" i="1" a="1"/>
  <c r="F2436" i="1" s="1"/>
  <c r="E2436" i="1" a="1"/>
  <c r="E2436" i="1" s="1"/>
  <c r="D2436" i="1"/>
  <c r="C2436" i="1"/>
  <c r="B2436" i="1"/>
  <c r="A2436" i="1"/>
  <c r="F2435" i="1" a="1"/>
  <c r="F2435" i="1" s="1"/>
  <c r="E2435" i="1"/>
  <c r="E2435" i="1" a="1"/>
  <c r="D2435" i="1"/>
  <c r="C2435" i="1"/>
  <c r="B2435" i="1"/>
  <c r="A2435" i="1"/>
  <c r="F2434" i="1" a="1"/>
  <c r="F2434" i="1" s="1"/>
  <c r="E2434" i="1" a="1"/>
  <c r="E2434" i="1" s="1"/>
  <c r="D2434" i="1"/>
  <c r="C2434" i="1"/>
  <c r="B2434" i="1"/>
  <c r="A2434" i="1"/>
  <c r="F2433" i="1" a="1"/>
  <c r="F2433" i="1" s="1"/>
  <c r="E2433" i="1" a="1"/>
  <c r="E2433" i="1" s="1"/>
  <c r="D2433" i="1"/>
  <c r="C2433" i="1"/>
  <c r="B2433" i="1"/>
  <c r="A2433" i="1"/>
  <c r="F2432" i="1" a="1"/>
  <c r="F2432" i="1" s="1"/>
  <c r="E2432" i="1" a="1"/>
  <c r="E2432" i="1" s="1"/>
  <c r="D2432" i="1"/>
  <c r="C2432" i="1"/>
  <c r="B2432" i="1"/>
  <c r="A2432" i="1"/>
  <c r="F2431" i="1" a="1"/>
  <c r="F2431" i="1" s="1"/>
  <c r="E2431" i="1" a="1"/>
  <c r="E2431" i="1" s="1"/>
  <c r="D2431" i="1"/>
  <c r="C2431" i="1"/>
  <c r="B2431" i="1"/>
  <c r="A2431" i="1"/>
  <c r="F2430" i="1" a="1"/>
  <c r="F2430" i="1" s="1"/>
  <c r="E2430" i="1" a="1"/>
  <c r="E2430" i="1" s="1"/>
  <c r="D2430" i="1"/>
  <c r="C2430" i="1"/>
  <c r="B2430" i="1"/>
  <c r="A2430" i="1"/>
  <c r="F2429" i="1" a="1"/>
  <c r="F2429" i="1" s="1"/>
  <c r="E2429" i="1" a="1"/>
  <c r="E2429" i="1" s="1"/>
  <c r="D2429" i="1"/>
  <c r="C2429" i="1"/>
  <c r="B2429" i="1"/>
  <c r="A2429" i="1"/>
  <c r="F2428" i="1" a="1"/>
  <c r="F2428" i="1" s="1"/>
  <c r="E2428" i="1" a="1"/>
  <c r="E2428" i="1" s="1"/>
  <c r="D2428" i="1"/>
  <c r="C2428" i="1"/>
  <c r="B2428" i="1"/>
  <c r="A2428" i="1"/>
  <c r="F2427" i="1" a="1"/>
  <c r="F2427" i="1" s="1"/>
  <c r="E2427" i="1"/>
  <c r="E2427" i="1" a="1"/>
  <c r="D2427" i="1"/>
  <c r="C2427" i="1"/>
  <c r="B2427" i="1"/>
  <c r="A2427" i="1"/>
  <c r="F2426" i="1" a="1"/>
  <c r="F2426" i="1" s="1"/>
  <c r="E2426" i="1" a="1"/>
  <c r="E2426" i="1" s="1"/>
  <c r="D2426" i="1"/>
  <c r="C2426" i="1"/>
  <c r="B2426" i="1"/>
  <c r="A2426" i="1"/>
  <c r="F2425" i="1" a="1"/>
  <c r="F2425" i="1" s="1"/>
  <c r="E2425" i="1" a="1"/>
  <c r="E2425" i="1" s="1"/>
  <c r="D2425" i="1"/>
  <c r="C2425" i="1"/>
  <c r="B2425" i="1"/>
  <c r="A2425" i="1"/>
  <c r="F2424" i="1" a="1"/>
  <c r="F2424" i="1" s="1"/>
  <c r="E2424" i="1" a="1"/>
  <c r="E2424" i="1" s="1"/>
  <c r="D2424" i="1"/>
  <c r="C2424" i="1"/>
  <c r="B2424" i="1"/>
  <c r="A2424" i="1"/>
  <c r="F2423" i="1" a="1"/>
  <c r="F2423" i="1" s="1"/>
  <c r="E2423" i="1" a="1"/>
  <c r="E2423" i="1" s="1"/>
  <c r="D2423" i="1"/>
  <c r="C2423" i="1"/>
  <c r="B2423" i="1"/>
  <c r="A2423" i="1"/>
  <c r="F2422" i="1" a="1"/>
  <c r="F2422" i="1" s="1"/>
  <c r="E2422" i="1"/>
  <c r="E2422" i="1" a="1"/>
  <c r="D2422" i="1"/>
  <c r="C2422" i="1"/>
  <c r="B2422" i="1"/>
  <c r="A2422" i="1"/>
  <c r="F2421" i="1" a="1"/>
  <c r="F2421" i="1" s="1"/>
  <c r="E2421" i="1" a="1"/>
  <c r="E2421" i="1" s="1"/>
  <c r="D2421" i="1"/>
  <c r="C2421" i="1"/>
  <c r="B2421" i="1"/>
  <c r="A2421" i="1"/>
  <c r="F2420" i="1" a="1"/>
  <c r="F2420" i="1" s="1"/>
  <c r="E2420" i="1" a="1"/>
  <c r="E2420" i="1" s="1"/>
  <c r="D2420" i="1"/>
  <c r="C2420" i="1"/>
  <c r="B2420" i="1"/>
  <c r="A2420" i="1"/>
  <c r="F2419" i="1" a="1"/>
  <c r="F2419" i="1" s="1"/>
  <c r="E2419" i="1"/>
  <c r="E2419" i="1" a="1"/>
  <c r="D2419" i="1"/>
  <c r="C2419" i="1"/>
  <c r="B2419" i="1"/>
  <c r="A2419" i="1"/>
  <c r="F2418" i="1" a="1"/>
  <c r="F2418" i="1" s="1"/>
  <c r="E2418" i="1" a="1"/>
  <c r="E2418" i="1" s="1"/>
  <c r="D2418" i="1"/>
  <c r="C2418" i="1"/>
  <c r="B2418" i="1"/>
  <c r="A2418" i="1"/>
  <c r="F2417" i="1" a="1"/>
  <c r="F2417" i="1" s="1"/>
  <c r="E2417" i="1" a="1"/>
  <c r="E2417" i="1" s="1"/>
  <c r="D2417" i="1"/>
  <c r="C2417" i="1"/>
  <c r="B2417" i="1"/>
  <c r="A2417" i="1"/>
  <c r="F2416" i="1" a="1"/>
  <c r="F2416" i="1" s="1"/>
  <c r="E2416" i="1"/>
  <c r="E2416" i="1" a="1"/>
  <c r="D2416" i="1"/>
  <c r="C2416" i="1"/>
  <c r="B2416" i="1"/>
  <c r="A2416" i="1"/>
  <c r="F2415" i="1" a="1"/>
  <c r="F2415" i="1" s="1"/>
  <c r="E2415" i="1" a="1"/>
  <c r="E2415" i="1" s="1"/>
  <c r="D2415" i="1"/>
  <c r="C2415" i="1"/>
  <c r="B2415" i="1"/>
  <c r="A2415" i="1"/>
  <c r="F2414" i="1" a="1"/>
  <c r="F2414" i="1" s="1"/>
  <c r="E2414" i="1"/>
  <c r="E2414" i="1" a="1"/>
  <c r="D2414" i="1"/>
  <c r="C2414" i="1"/>
  <c r="B2414" i="1"/>
  <c r="A2414" i="1"/>
  <c r="F2413" i="1" a="1"/>
  <c r="F2413" i="1" s="1"/>
  <c r="E2413" i="1" a="1"/>
  <c r="E2413" i="1" s="1"/>
  <c r="D2413" i="1"/>
  <c r="C2413" i="1"/>
  <c r="B2413" i="1"/>
  <c r="A2413" i="1"/>
  <c r="F2412" i="1" a="1"/>
  <c r="F2412" i="1" s="1"/>
  <c r="E2412" i="1" a="1"/>
  <c r="E2412" i="1" s="1"/>
  <c r="D2412" i="1"/>
  <c r="C2412" i="1"/>
  <c r="B2412" i="1"/>
  <c r="A2412" i="1"/>
  <c r="F2411" i="1" a="1"/>
  <c r="F2411" i="1" s="1"/>
  <c r="E2411" i="1"/>
  <c r="E2411" i="1" a="1"/>
  <c r="D2411" i="1"/>
  <c r="C2411" i="1"/>
  <c r="B2411" i="1"/>
  <c r="A2411" i="1"/>
  <c r="F2410" i="1" a="1"/>
  <c r="F2410" i="1" s="1"/>
  <c r="E2410" i="1" a="1"/>
  <c r="E2410" i="1" s="1"/>
  <c r="D2410" i="1"/>
  <c r="C2410" i="1"/>
  <c r="B2410" i="1"/>
  <c r="A2410" i="1"/>
  <c r="F2409" i="1" a="1"/>
  <c r="F2409" i="1" s="1"/>
  <c r="E2409" i="1" a="1"/>
  <c r="E2409" i="1" s="1"/>
  <c r="D2409" i="1"/>
  <c r="C2409" i="1"/>
  <c r="B2409" i="1"/>
  <c r="A2409" i="1"/>
  <c r="F2408" i="1" a="1"/>
  <c r="F2408" i="1" s="1"/>
  <c r="E2408" i="1" a="1"/>
  <c r="E2408" i="1" s="1"/>
  <c r="D2408" i="1"/>
  <c r="C2408" i="1"/>
  <c r="B2408" i="1"/>
  <c r="A2408" i="1"/>
  <c r="F2407" i="1" a="1"/>
  <c r="F2407" i="1" s="1"/>
  <c r="E2407" i="1" a="1"/>
  <c r="E2407" i="1" s="1"/>
  <c r="D2407" i="1"/>
  <c r="C2407" i="1"/>
  <c r="B2407" i="1"/>
  <c r="A2407" i="1"/>
  <c r="F2406" i="1" a="1"/>
  <c r="F2406" i="1" s="1"/>
  <c r="E2406" i="1" a="1"/>
  <c r="E2406" i="1" s="1"/>
  <c r="D2406" i="1"/>
  <c r="C2406" i="1"/>
  <c r="B2406" i="1"/>
  <c r="A2406" i="1"/>
  <c r="F2405" i="1" a="1"/>
  <c r="F2405" i="1" s="1"/>
  <c r="E2405" i="1" a="1"/>
  <c r="E2405" i="1" s="1"/>
  <c r="D2405" i="1"/>
  <c r="C2405" i="1"/>
  <c r="B2405" i="1"/>
  <c r="A2405" i="1"/>
  <c r="F2404" i="1" a="1"/>
  <c r="F2404" i="1" s="1"/>
  <c r="E2404" i="1" a="1"/>
  <c r="E2404" i="1" s="1"/>
  <c r="D2404" i="1"/>
  <c r="C2404" i="1"/>
  <c r="B2404" i="1"/>
  <c r="A2404" i="1"/>
  <c r="F2403" i="1" a="1"/>
  <c r="F2403" i="1" s="1"/>
  <c r="E2403" i="1"/>
  <c r="E2403" i="1" a="1"/>
  <c r="D2403" i="1"/>
  <c r="C2403" i="1"/>
  <c r="B2403" i="1"/>
  <c r="A2403" i="1"/>
  <c r="F2402" i="1" a="1"/>
  <c r="F2402" i="1" s="1"/>
  <c r="E2402" i="1" a="1"/>
  <c r="E2402" i="1" s="1"/>
  <c r="D2402" i="1"/>
  <c r="C2402" i="1"/>
  <c r="B2402" i="1"/>
  <c r="A2402" i="1"/>
  <c r="F2401" i="1" a="1"/>
  <c r="F2401" i="1" s="1"/>
  <c r="E2401" i="1" a="1"/>
  <c r="E2401" i="1" s="1"/>
  <c r="D2401" i="1"/>
  <c r="C2401" i="1"/>
  <c r="B2401" i="1"/>
  <c r="A2401" i="1"/>
  <c r="F2400" i="1" a="1"/>
  <c r="F2400" i="1" s="1"/>
  <c r="E2400" i="1" a="1"/>
  <c r="E2400" i="1" s="1"/>
  <c r="D2400" i="1"/>
  <c r="C2400" i="1"/>
  <c r="B2400" i="1"/>
  <c r="A2400" i="1"/>
  <c r="F2399" i="1" a="1"/>
  <c r="F2399" i="1" s="1"/>
  <c r="E2399" i="1" a="1"/>
  <c r="E2399" i="1" s="1"/>
  <c r="D2399" i="1"/>
  <c r="C2399" i="1"/>
  <c r="B2399" i="1"/>
  <c r="A2399" i="1"/>
  <c r="F2398" i="1" a="1"/>
  <c r="F2398" i="1" s="1"/>
  <c r="E2398" i="1" a="1"/>
  <c r="E2398" i="1" s="1"/>
  <c r="D2398" i="1"/>
  <c r="C2398" i="1"/>
  <c r="B2398" i="1"/>
  <c r="A2398" i="1"/>
  <c r="F2397" i="1" a="1"/>
  <c r="F2397" i="1" s="1"/>
  <c r="E2397" i="1" a="1"/>
  <c r="E2397" i="1" s="1"/>
  <c r="D2397" i="1"/>
  <c r="C2397" i="1"/>
  <c r="B2397" i="1"/>
  <c r="A2397" i="1"/>
  <c r="F2396" i="1" a="1"/>
  <c r="F2396" i="1" s="1"/>
  <c r="E2396" i="1" a="1"/>
  <c r="E2396" i="1" s="1"/>
  <c r="D2396" i="1"/>
  <c r="C2396" i="1"/>
  <c r="B2396" i="1"/>
  <c r="A2396" i="1"/>
  <c r="F2395" i="1" a="1"/>
  <c r="F2395" i="1" s="1"/>
  <c r="E2395" i="1"/>
  <c r="E2395" i="1" a="1"/>
  <c r="D2395" i="1"/>
  <c r="C2395" i="1"/>
  <c r="B2395" i="1"/>
  <c r="A2395" i="1"/>
  <c r="F2394" i="1" a="1"/>
  <c r="F2394" i="1" s="1"/>
  <c r="E2394" i="1" a="1"/>
  <c r="E2394" i="1" s="1"/>
  <c r="D2394" i="1"/>
  <c r="C2394" i="1"/>
  <c r="B2394" i="1"/>
  <c r="A2394" i="1"/>
  <c r="F2393" i="1" a="1"/>
  <c r="F2393" i="1" s="1"/>
  <c r="E2393" i="1" a="1"/>
  <c r="E2393" i="1" s="1"/>
  <c r="D2393" i="1"/>
  <c r="C2393" i="1"/>
  <c r="B2393" i="1"/>
  <c r="A2393" i="1"/>
  <c r="F2392" i="1" a="1"/>
  <c r="F2392" i="1" s="1"/>
  <c r="E2392" i="1" a="1"/>
  <c r="E2392" i="1" s="1"/>
  <c r="D2392" i="1"/>
  <c r="C2392" i="1"/>
  <c r="B2392" i="1"/>
  <c r="A2392" i="1"/>
  <c r="F2391" i="1" a="1"/>
  <c r="F2391" i="1" s="1"/>
  <c r="E2391" i="1" a="1"/>
  <c r="E2391" i="1" s="1"/>
  <c r="D2391" i="1"/>
  <c r="C2391" i="1"/>
  <c r="B2391" i="1"/>
  <c r="A2391" i="1"/>
  <c r="F2390" i="1" a="1"/>
  <c r="F2390" i="1" s="1"/>
  <c r="E2390" i="1" a="1"/>
  <c r="E2390" i="1" s="1"/>
  <c r="D2390" i="1"/>
  <c r="C2390" i="1"/>
  <c r="B2390" i="1"/>
  <c r="A2390" i="1"/>
  <c r="F2389" i="1" a="1"/>
  <c r="F2389" i="1" s="1"/>
  <c r="E2389" i="1" a="1"/>
  <c r="E2389" i="1" s="1"/>
  <c r="D2389" i="1"/>
  <c r="C2389" i="1"/>
  <c r="B2389" i="1"/>
  <c r="A2389" i="1"/>
  <c r="F2388" i="1" a="1"/>
  <c r="F2388" i="1" s="1"/>
  <c r="E2388" i="1" a="1"/>
  <c r="E2388" i="1" s="1"/>
  <c r="D2388" i="1"/>
  <c r="C2388" i="1"/>
  <c r="B2388" i="1"/>
  <c r="A2388" i="1"/>
  <c r="F2387" i="1" a="1"/>
  <c r="F2387" i="1" s="1"/>
  <c r="E2387" i="1"/>
  <c r="E2387" i="1" a="1"/>
  <c r="D2387" i="1"/>
  <c r="C2387" i="1"/>
  <c r="B2387" i="1"/>
  <c r="A2387" i="1"/>
  <c r="F2386" i="1" a="1"/>
  <c r="F2386" i="1" s="1"/>
  <c r="E2386" i="1" a="1"/>
  <c r="E2386" i="1" s="1"/>
  <c r="D2386" i="1"/>
  <c r="C2386" i="1"/>
  <c r="B2386" i="1"/>
  <c r="A2386" i="1"/>
  <c r="F2385" i="1" a="1"/>
  <c r="F2385" i="1" s="1"/>
  <c r="E2385" i="1" a="1"/>
  <c r="E2385" i="1" s="1"/>
  <c r="D2385" i="1"/>
  <c r="C2385" i="1"/>
  <c r="B2385" i="1"/>
  <c r="A2385" i="1"/>
  <c r="F2384" i="1" a="1"/>
  <c r="F2384" i="1" s="1"/>
  <c r="E2384" i="1" a="1"/>
  <c r="E2384" i="1" s="1"/>
  <c r="D2384" i="1"/>
  <c r="C2384" i="1"/>
  <c r="B2384" i="1"/>
  <c r="A2384" i="1"/>
  <c r="F2383" i="1" a="1"/>
  <c r="F2383" i="1" s="1"/>
  <c r="E2383" i="1" a="1"/>
  <c r="E2383" i="1" s="1"/>
  <c r="D2383" i="1"/>
  <c r="C2383" i="1"/>
  <c r="B2383" i="1"/>
  <c r="A2383" i="1"/>
  <c r="F2382" i="1" a="1"/>
  <c r="F2382" i="1" s="1"/>
  <c r="E2382" i="1" a="1"/>
  <c r="E2382" i="1" s="1"/>
  <c r="D2382" i="1"/>
  <c r="C2382" i="1"/>
  <c r="B2382" i="1"/>
  <c r="A2382" i="1"/>
  <c r="F2381" i="1" a="1"/>
  <c r="F2381" i="1" s="1"/>
  <c r="E2381" i="1" a="1"/>
  <c r="E2381" i="1" s="1"/>
  <c r="D2381" i="1"/>
  <c r="C2381" i="1"/>
  <c r="B2381" i="1"/>
  <c r="A2381" i="1"/>
  <c r="F2380" i="1" a="1"/>
  <c r="F2380" i="1" s="1"/>
  <c r="E2380" i="1" a="1"/>
  <c r="E2380" i="1" s="1"/>
  <c r="D2380" i="1"/>
  <c r="C2380" i="1"/>
  <c r="B2380" i="1"/>
  <c r="A2380" i="1"/>
  <c r="F2379" i="1" a="1"/>
  <c r="F2379" i="1" s="1"/>
  <c r="E2379" i="1"/>
  <c r="E2379" i="1" a="1"/>
  <c r="D2379" i="1"/>
  <c r="C2379" i="1"/>
  <c r="B2379" i="1"/>
  <c r="A2379" i="1"/>
  <c r="F2378" i="1" a="1"/>
  <c r="F2378" i="1" s="1"/>
  <c r="E2378" i="1" a="1"/>
  <c r="E2378" i="1" s="1"/>
  <c r="D2378" i="1"/>
  <c r="C2378" i="1"/>
  <c r="B2378" i="1"/>
  <c r="A2378" i="1"/>
  <c r="F2377" i="1" a="1"/>
  <c r="F2377" i="1" s="1"/>
  <c r="E2377" i="1" a="1"/>
  <c r="E2377" i="1" s="1"/>
  <c r="D2377" i="1"/>
  <c r="C2377" i="1"/>
  <c r="B2377" i="1"/>
  <c r="A2377" i="1"/>
  <c r="F2376" i="1" a="1"/>
  <c r="F2376" i="1" s="1"/>
  <c r="E2376" i="1" a="1"/>
  <c r="E2376" i="1" s="1"/>
  <c r="D2376" i="1"/>
  <c r="C2376" i="1"/>
  <c r="B2376" i="1"/>
  <c r="A2376" i="1"/>
  <c r="F2375" i="1" a="1"/>
  <c r="F2375" i="1" s="1"/>
  <c r="E2375" i="1" a="1"/>
  <c r="E2375" i="1" s="1"/>
  <c r="D2375" i="1"/>
  <c r="C2375" i="1"/>
  <c r="B2375" i="1"/>
  <c r="A2375" i="1"/>
  <c r="F2374" i="1" a="1"/>
  <c r="F2374" i="1" s="1"/>
  <c r="E2374" i="1" a="1"/>
  <c r="E2374" i="1" s="1"/>
  <c r="D2374" i="1"/>
  <c r="C2374" i="1"/>
  <c r="B2374" i="1"/>
  <c r="A2374" i="1"/>
  <c r="F2373" i="1" a="1"/>
  <c r="F2373" i="1" s="1"/>
  <c r="E2373" i="1" a="1"/>
  <c r="E2373" i="1" s="1"/>
  <c r="D2373" i="1"/>
  <c r="C2373" i="1"/>
  <c r="B2373" i="1"/>
  <c r="A2373" i="1"/>
  <c r="F2372" i="1" a="1"/>
  <c r="F2372" i="1" s="1"/>
  <c r="E2372" i="1" a="1"/>
  <c r="E2372" i="1" s="1"/>
  <c r="D2372" i="1"/>
  <c r="C2372" i="1"/>
  <c r="B2372" i="1"/>
  <c r="A2372" i="1"/>
  <c r="F2371" i="1" a="1"/>
  <c r="F2371" i="1" s="1"/>
  <c r="E2371" i="1"/>
  <c r="E2371" i="1" a="1"/>
  <c r="D2371" i="1"/>
  <c r="C2371" i="1"/>
  <c r="B2371" i="1"/>
  <c r="A2371" i="1"/>
  <c r="F2370" i="1" a="1"/>
  <c r="F2370" i="1" s="1"/>
  <c r="E2370" i="1" a="1"/>
  <c r="E2370" i="1" s="1"/>
  <c r="D2370" i="1"/>
  <c r="C2370" i="1"/>
  <c r="B2370" i="1"/>
  <c r="A2370" i="1"/>
  <c r="F2369" i="1" a="1"/>
  <c r="F2369" i="1" s="1"/>
  <c r="E2369" i="1" a="1"/>
  <c r="E2369" i="1" s="1"/>
  <c r="D2369" i="1"/>
  <c r="C2369" i="1"/>
  <c r="B2369" i="1"/>
  <c r="A2369" i="1"/>
  <c r="F2368" i="1" a="1"/>
  <c r="F2368" i="1" s="1"/>
  <c r="E2368" i="1" a="1"/>
  <c r="E2368" i="1" s="1"/>
  <c r="D2368" i="1"/>
  <c r="C2368" i="1"/>
  <c r="B2368" i="1"/>
  <c r="A2368" i="1"/>
  <c r="F2367" i="1" a="1"/>
  <c r="F2367" i="1" s="1"/>
  <c r="E2367" i="1" a="1"/>
  <c r="E2367" i="1" s="1"/>
  <c r="D2367" i="1"/>
  <c r="C2367" i="1"/>
  <c r="B2367" i="1"/>
  <c r="A2367" i="1"/>
  <c r="F2366" i="1" a="1"/>
  <c r="F2366" i="1" s="1"/>
  <c r="E2366" i="1" a="1"/>
  <c r="E2366" i="1" s="1"/>
  <c r="D2366" i="1"/>
  <c r="C2366" i="1"/>
  <c r="B2366" i="1"/>
  <c r="A2366" i="1"/>
  <c r="F2365" i="1" a="1"/>
  <c r="F2365" i="1" s="1"/>
  <c r="E2365" i="1" a="1"/>
  <c r="E2365" i="1" s="1"/>
  <c r="D2365" i="1"/>
  <c r="C2365" i="1"/>
  <c r="B2365" i="1"/>
  <c r="A2365" i="1"/>
  <c r="F2364" i="1" a="1"/>
  <c r="F2364" i="1" s="1"/>
  <c r="E2364" i="1" a="1"/>
  <c r="E2364" i="1" s="1"/>
  <c r="D2364" i="1"/>
  <c r="C2364" i="1"/>
  <c r="B2364" i="1"/>
  <c r="A2364" i="1"/>
  <c r="F2363" i="1" a="1"/>
  <c r="F2363" i="1" s="1"/>
  <c r="E2363" i="1"/>
  <c r="E2363" i="1" a="1"/>
  <c r="D2363" i="1"/>
  <c r="C2363" i="1"/>
  <c r="B2363" i="1"/>
  <c r="A2363" i="1"/>
  <c r="F2362" i="1" a="1"/>
  <c r="F2362" i="1" s="1"/>
  <c r="E2362" i="1" a="1"/>
  <c r="E2362" i="1" s="1"/>
  <c r="D2362" i="1"/>
  <c r="C2362" i="1"/>
  <c r="B2362" i="1"/>
  <c r="A2362" i="1"/>
  <c r="F2361" i="1" a="1"/>
  <c r="F2361" i="1" s="1"/>
  <c r="E2361" i="1" a="1"/>
  <c r="E2361" i="1" s="1"/>
  <c r="D2361" i="1"/>
  <c r="C2361" i="1"/>
  <c r="B2361" i="1"/>
  <c r="A2361" i="1"/>
  <c r="F2360" i="1" a="1"/>
  <c r="F2360" i="1" s="1"/>
  <c r="E2360" i="1"/>
  <c r="E2360" i="1" a="1"/>
  <c r="D2360" i="1"/>
  <c r="C2360" i="1"/>
  <c r="B2360" i="1"/>
  <c r="A2360" i="1"/>
  <c r="F2359" i="1" a="1"/>
  <c r="F2359" i="1" s="1"/>
  <c r="E2359" i="1" a="1"/>
  <c r="E2359" i="1" s="1"/>
  <c r="D2359" i="1"/>
  <c r="C2359" i="1"/>
  <c r="B2359" i="1"/>
  <c r="A2359" i="1"/>
  <c r="F2358" i="1" a="1"/>
  <c r="F2358" i="1" s="1"/>
  <c r="E2358" i="1"/>
  <c r="E2358" i="1" a="1"/>
  <c r="D2358" i="1"/>
  <c r="C2358" i="1"/>
  <c r="B2358" i="1"/>
  <c r="A2358" i="1"/>
  <c r="F2357" i="1" a="1"/>
  <c r="F2357" i="1" s="1"/>
  <c r="E2357" i="1" a="1"/>
  <c r="E2357" i="1" s="1"/>
  <c r="D2357" i="1"/>
  <c r="C2357" i="1"/>
  <c r="B2357" i="1"/>
  <c r="A2357" i="1"/>
  <c r="F2356" i="1" a="1"/>
  <c r="F2356" i="1" s="1"/>
  <c r="E2356" i="1" a="1"/>
  <c r="E2356" i="1" s="1"/>
  <c r="D2356" i="1"/>
  <c r="C2356" i="1"/>
  <c r="B2356" i="1"/>
  <c r="A2356" i="1"/>
  <c r="F2355" i="1" a="1"/>
  <c r="F2355" i="1" s="1"/>
  <c r="E2355" i="1"/>
  <c r="E2355" i="1" a="1"/>
  <c r="D2355" i="1"/>
  <c r="C2355" i="1"/>
  <c r="B2355" i="1"/>
  <c r="A2355" i="1"/>
  <c r="F2354" i="1" a="1"/>
  <c r="F2354" i="1" s="1"/>
  <c r="E2354" i="1" a="1"/>
  <c r="E2354" i="1" s="1"/>
  <c r="D2354" i="1"/>
  <c r="C2354" i="1"/>
  <c r="B2354" i="1"/>
  <c r="A2354" i="1"/>
  <c r="F2353" i="1" a="1"/>
  <c r="F2353" i="1" s="1"/>
  <c r="E2353" i="1" a="1"/>
  <c r="E2353" i="1" s="1"/>
  <c r="D2353" i="1"/>
  <c r="C2353" i="1"/>
  <c r="B2353" i="1"/>
  <c r="A2353" i="1"/>
  <c r="F2352" i="1" a="1"/>
  <c r="F2352" i="1" s="1"/>
  <c r="E2352" i="1"/>
  <c r="E2352" i="1" a="1"/>
  <c r="D2352" i="1"/>
  <c r="C2352" i="1"/>
  <c r="B2352" i="1"/>
  <c r="A2352" i="1"/>
  <c r="F2351" i="1" a="1"/>
  <c r="F2351" i="1" s="1"/>
  <c r="E2351" i="1" a="1"/>
  <c r="E2351" i="1" s="1"/>
  <c r="D2351" i="1"/>
  <c r="C2351" i="1"/>
  <c r="B2351" i="1"/>
  <c r="A2351" i="1"/>
  <c r="F2350" i="1" a="1"/>
  <c r="F2350" i="1" s="1"/>
  <c r="E2350" i="1"/>
  <c r="E2350" i="1" a="1"/>
  <c r="D2350" i="1"/>
  <c r="C2350" i="1"/>
  <c r="B2350" i="1"/>
  <c r="A2350" i="1"/>
  <c r="F2349" i="1" a="1"/>
  <c r="F2349" i="1" s="1"/>
  <c r="E2349" i="1" a="1"/>
  <c r="E2349" i="1" s="1"/>
  <c r="D2349" i="1"/>
  <c r="C2349" i="1"/>
  <c r="B2349" i="1"/>
  <c r="A2349" i="1"/>
  <c r="F2348" i="1" a="1"/>
  <c r="F2348" i="1" s="1"/>
  <c r="E2348" i="1" a="1"/>
  <c r="E2348" i="1" s="1"/>
  <c r="D2348" i="1"/>
  <c r="C2348" i="1"/>
  <c r="B2348" i="1"/>
  <c r="A2348" i="1"/>
  <c r="F2347" i="1" a="1"/>
  <c r="F2347" i="1" s="1"/>
  <c r="E2347" i="1"/>
  <c r="E2347" i="1" a="1"/>
  <c r="D2347" i="1"/>
  <c r="C2347" i="1"/>
  <c r="B2347" i="1"/>
  <c r="A2347" i="1"/>
  <c r="F2346" i="1" a="1"/>
  <c r="F2346" i="1" s="1"/>
  <c r="E2346" i="1" a="1"/>
  <c r="E2346" i="1" s="1"/>
  <c r="D2346" i="1"/>
  <c r="C2346" i="1"/>
  <c r="B2346" i="1"/>
  <c r="A2346" i="1"/>
  <c r="F2345" i="1" a="1"/>
  <c r="F2345" i="1" s="1"/>
  <c r="E2345" i="1" a="1"/>
  <c r="E2345" i="1" s="1"/>
  <c r="D2345" i="1"/>
  <c r="C2345" i="1"/>
  <c r="B2345" i="1"/>
  <c r="A2345" i="1"/>
  <c r="F2344" i="1" a="1"/>
  <c r="F2344" i="1" s="1"/>
  <c r="E2344" i="1"/>
  <c r="E2344" i="1" a="1"/>
  <c r="D2344" i="1"/>
  <c r="C2344" i="1"/>
  <c r="B2344" i="1"/>
  <c r="A2344" i="1"/>
  <c r="F2343" i="1" a="1"/>
  <c r="F2343" i="1" s="1"/>
  <c r="E2343" i="1" a="1"/>
  <c r="E2343" i="1" s="1"/>
  <c r="D2343" i="1"/>
  <c r="C2343" i="1"/>
  <c r="B2343" i="1"/>
  <c r="A2343" i="1"/>
  <c r="F2342" i="1" a="1"/>
  <c r="F2342" i="1" s="1"/>
  <c r="E2342" i="1"/>
  <c r="E2342" i="1" a="1"/>
  <c r="D2342" i="1"/>
  <c r="C2342" i="1"/>
  <c r="B2342" i="1"/>
  <c r="A2342" i="1"/>
  <c r="F2341" i="1" a="1"/>
  <c r="F2341" i="1" s="1"/>
  <c r="E2341" i="1" a="1"/>
  <c r="E2341" i="1" s="1"/>
  <c r="D2341" i="1"/>
  <c r="C2341" i="1"/>
  <c r="B2341" i="1"/>
  <c r="A2341" i="1"/>
  <c r="F2340" i="1" a="1"/>
  <c r="F2340" i="1" s="1"/>
  <c r="E2340" i="1" a="1"/>
  <c r="E2340" i="1" s="1"/>
  <c r="D2340" i="1"/>
  <c r="C2340" i="1"/>
  <c r="B2340" i="1"/>
  <c r="A2340" i="1"/>
  <c r="F2339" i="1" a="1"/>
  <c r="F2339" i="1" s="1"/>
  <c r="E2339" i="1"/>
  <c r="E2339" i="1" a="1"/>
  <c r="D2339" i="1"/>
  <c r="C2339" i="1"/>
  <c r="B2339" i="1"/>
  <c r="A2339" i="1"/>
  <c r="F2338" i="1" a="1"/>
  <c r="F2338" i="1" s="1"/>
  <c r="E2338" i="1" a="1"/>
  <c r="E2338" i="1" s="1"/>
  <c r="D2338" i="1"/>
  <c r="C2338" i="1"/>
  <c r="B2338" i="1"/>
  <c r="A2338" i="1"/>
  <c r="F2337" i="1" a="1"/>
  <c r="F2337" i="1" s="1"/>
  <c r="E2337" i="1" a="1"/>
  <c r="E2337" i="1" s="1"/>
  <c r="D2337" i="1"/>
  <c r="C2337" i="1"/>
  <c r="B2337" i="1"/>
  <c r="A2337" i="1"/>
  <c r="F2336" i="1" a="1"/>
  <c r="F2336" i="1" s="1"/>
  <c r="E2336" i="1"/>
  <c r="E2336" i="1" a="1"/>
  <c r="D2336" i="1"/>
  <c r="C2336" i="1"/>
  <c r="B2336" i="1"/>
  <c r="A2336" i="1"/>
  <c r="F2335" i="1" a="1"/>
  <c r="F2335" i="1" s="1"/>
  <c r="E2335" i="1" a="1"/>
  <c r="E2335" i="1" s="1"/>
  <c r="D2335" i="1"/>
  <c r="C2335" i="1"/>
  <c r="B2335" i="1"/>
  <c r="A2335" i="1"/>
  <c r="F2334" i="1" a="1"/>
  <c r="F2334" i="1" s="1"/>
  <c r="E2334" i="1"/>
  <c r="E2334" i="1" a="1"/>
  <c r="D2334" i="1"/>
  <c r="C2334" i="1"/>
  <c r="B2334" i="1"/>
  <c r="A2334" i="1"/>
  <c r="F2333" i="1" a="1"/>
  <c r="F2333" i="1" s="1"/>
  <c r="E2333" i="1" a="1"/>
  <c r="E2333" i="1" s="1"/>
  <c r="D2333" i="1"/>
  <c r="C2333" i="1"/>
  <c r="B2333" i="1"/>
  <c r="A2333" i="1"/>
  <c r="F2332" i="1" a="1"/>
  <c r="F2332" i="1" s="1"/>
  <c r="E2332" i="1" a="1"/>
  <c r="E2332" i="1" s="1"/>
  <c r="D2332" i="1"/>
  <c r="C2332" i="1"/>
  <c r="B2332" i="1"/>
  <c r="A2332" i="1"/>
  <c r="F2331" i="1" a="1"/>
  <c r="F2331" i="1" s="1"/>
  <c r="E2331" i="1"/>
  <c r="E2331" i="1" a="1"/>
  <c r="D2331" i="1"/>
  <c r="C2331" i="1"/>
  <c r="B2331" i="1"/>
  <c r="A2331" i="1"/>
  <c r="F2330" i="1" a="1"/>
  <c r="F2330" i="1" s="1"/>
  <c r="E2330" i="1" a="1"/>
  <c r="E2330" i="1" s="1"/>
  <c r="D2330" i="1"/>
  <c r="C2330" i="1"/>
  <c r="B2330" i="1"/>
  <c r="A2330" i="1"/>
  <c r="F2329" i="1" a="1"/>
  <c r="F2329" i="1" s="1"/>
  <c r="E2329" i="1" a="1"/>
  <c r="E2329" i="1" s="1"/>
  <c r="D2329" i="1"/>
  <c r="C2329" i="1"/>
  <c r="B2329" i="1"/>
  <c r="A2329" i="1"/>
  <c r="F2328" i="1" a="1"/>
  <c r="F2328" i="1" s="1"/>
  <c r="E2328" i="1"/>
  <c r="E2328" i="1" a="1"/>
  <c r="D2328" i="1"/>
  <c r="C2328" i="1"/>
  <c r="B2328" i="1"/>
  <c r="A2328" i="1"/>
  <c r="F2327" i="1" a="1"/>
  <c r="F2327" i="1" s="1"/>
  <c r="E2327" i="1" a="1"/>
  <c r="E2327" i="1" s="1"/>
  <c r="D2327" i="1"/>
  <c r="C2327" i="1"/>
  <c r="B2327" i="1"/>
  <c r="A2327" i="1"/>
  <c r="F2326" i="1" a="1"/>
  <c r="F2326" i="1" s="1"/>
  <c r="E2326" i="1"/>
  <c r="E2326" i="1" a="1"/>
  <c r="D2326" i="1"/>
  <c r="C2326" i="1"/>
  <c r="B2326" i="1"/>
  <c r="A2326" i="1"/>
  <c r="F2325" i="1" a="1"/>
  <c r="F2325" i="1" s="1"/>
  <c r="E2325" i="1" a="1"/>
  <c r="E2325" i="1" s="1"/>
  <c r="D2325" i="1"/>
  <c r="C2325" i="1"/>
  <c r="B2325" i="1"/>
  <c r="A2325" i="1"/>
  <c r="F2324" i="1" a="1"/>
  <c r="F2324" i="1" s="1"/>
  <c r="E2324" i="1" a="1"/>
  <c r="E2324" i="1" s="1"/>
  <c r="D2324" i="1"/>
  <c r="C2324" i="1"/>
  <c r="B2324" i="1"/>
  <c r="A2324" i="1"/>
  <c r="F2323" i="1" a="1"/>
  <c r="F2323" i="1" s="1"/>
  <c r="E2323" i="1"/>
  <c r="E2323" i="1" a="1"/>
  <c r="D2323" i="1"/>
  <c r="C2323" i="1"/>
  <c r="B2323" i="1"/>
  <c r="A2323" i="1"/>
  <c r="F2322" i="1" a="1"/>
  <c r="F2322" i="1" s="1"/>
  <c r="E2322" i="1" a="1"/>
  <c r="E2322" i="1" s="1"/>
  <c r="D2322" i="1"/>
  <c r="C2322" i="1"/>
  <c r="B2322" i="1"/>
  <c r="A2322" i="1"/>
  <c r="F2321" i="1" a="1"/>
  <c r="F2321" i="1" s="1"/>
  <c r="E2321" i="1" a="1"/>
  <c r="E2321" i="1" s="1"/>
  <c r="D2321" i="1"/>
  <c r="C2321" i="1"/>
  <c r="B2321" i="1"/>
  <c r="A2321" i="1"/>
  <c r="F2320" i="1" a="1"/>
  <c r="F2320" i="1" s="1"/>
  <c r="E2320" i="1"/>
  <c r="E2320" i="1" a="1"/>
  <c r="D2320" i="1"/>
  <c r="C2320" i="1"/>
  <c r="B2320" i="1"/>
  <c r="A2320" i="1"/>
  <c r="F2319" i="1" a="1"/>
  <c r="F2319" i="1" s="1"/>
  <c r="E2319" i="1" a="1"/>
  <c r="E2319" i="1" s="1"/>
  <c r="D2319" i="1"/>
  <c r="C2319" i="1"/>
  <c r="B2319" i="1"/>
  <c r="A2319" i="1"/>
  <c r="F2318" i="1" a="1"/>
  <c r="F2318" i="1" s="1"/>
  <c r="E2318" i="1"/>
  <c r="E2318" i="1" a="1"/>
  <c r="D2318" i="1"/>
  <c r="C2318" i="1"/>
  <c r="B2318" i="1"/>
  <c r="A2318" i="1"/>
  <c r="F2317" i="1" a="1"/>
  <c r="F2317" i="1" s="1"/>
  <c r="E2317" i="1" a="1"/>
  <c r="E2317" i="1" s="1"/>
  <c r="D2317" i="1"/>
  <c r="C2317" i="1"/>
  <c r="B2317" i="1"/>
  <c r="A2317" i="1"/>
  <c r="F2316" i="1" a="1"/>
  <c r="F2316" i="1" s="1"/>
  <c r="E2316" i="1" a="1"/>
  <c r="E2316" i="1" s="1"/>
  <c r="D2316" i="1"/>
  <c r="C2316" i="1"/>
  <c r="B2316" i="1"/>
  <c r="A2316" i="1"/>
  <c r="F2315" i="1" a="1"/>
  <c r="F2315" i="1" s="1"/>
  <c r="E2315" i="1"/>
  <c r="E2315" i="1" a="1"/>
  <c r="D2315" i="1"/>
  <c r="C2315" i="1"/>
  <c r="B2315" i="1"/>
  <c r="A2315" i="1"/>
  <c r="F2314" i="1" a="1"/>
  <c r="F2314" i="1" s="1"/>
  <c r="E2314" i="1" a="1"/>
  <c r="E2314" i="1" s="1"/>
  <c r="D2314" i="1"/>
  <c r="C2314" i="1"/>
  <c r="B2314" i="1"/>
  <c r="A2314" i="1"/>
  <c r="F2313" i="1" a="1"/>
  <c r="F2313" i="1" s="1"/>
  <c r="E2313" i="1" a="1"/>
  <c r="E2313" i="1" s="1"/>
  <c r="D2313" i="1"/>
  <c r="C2313" i="1"/>
  <c r="B2313" i="1"/>
  <c r="A2313" i="1"/>
  <c r="F2312" i="1" a="1"/>
  <c r="F2312" i="1" s="1"/>
  <c r="E2312" i="1"/>
  <c r="E2312" i="1" a="1"/>
  <c r="D2312" i="1"/>
  <c r="C2312" i="1"/>
  <c r="B2312" i="1"/>
  <c r="A2312" i="1"/>
  <c r="F2311" i="1" a="1"/>
  <c r="F2311" i="1" s="1"/>
  <c r="E2311" i="1" a="1"/>
  <c r="E2311" i="1" s="1"/>
  <c r="D2311" i="1"/>
  <c r="C2311" i="1"/>
  <c r="B2311" i="1"/>
  <c r="A2311" i="1"/>
  <c r="F2310" i="1" a="1"/>
  <c r="F2310" i="1" s="1"/>
  <c r="E2310" i="1"/>
  <c r="E2310" i="1" a="1"/>
  <c r="D2310" i="1"/>
  <c r="C2310" i="1"/>
  <c r="B2310" i="1"/>
  <c r="A2310" i="1"/>
  <c r="F2309" i="1" a="1"/>
  <c r="F2309" i="1" s="1"/>
  <c r="E2309" i="1" a="1"/>
  <c r="E2309" i="1" s="1"/>
  <c r="D2309" i="1"/>
  <c r="C2309" i="1"/>
  <c r="B2309" i="1"/>
  <c r="A2309" i="1"/>
  <c r="F2308" i="1" a="1"/>
  <c r="F2308" i="1" s="1"/>
  <c r="E2308" i="1" a="1"/>
  <c r="E2308" i="1" s="1"/>
  <c r="D2308" i="1"/>
  <c r="C2308" i="1"/>
  <c r="B2308" i="1"/>
  <c r="A2308" i="1"/>
  <c r="F2307" i="1" a="1"/>
  <c r="F2307" i="1" s="1"/>
  <c r="E2307" i="1"/>
  <c r="E2307" i="1" a="1"/>
  <c r="D2307" i="1"/>
  <c r="C2307" i="1"/>
  <c r="B2307" i="1"/>
  <c r="A2307" i="1"/>
  <c r="F2306" i="1" a="1"/>
  <c r="F2306" i="1" s="1"/>
  <c r="E2306" i="1" a="1"/>
  <c r="E2306" i="1" s="1"/>
  <c r="D2306" i="1"/>
  <c r="C2306" i="1"/>
  <c r="B2306" i="1"/>
  <c r="A2306" i="1"/>
  <c r="F2305" i="1" a="1"/>
  <c r="F2305" i="1" s="1"/>
  <c r="E2305" i="1" a="1"/>
  <c r="E2305" i="1" s="1"/>
  <c r="D2305" i="1"/>
  <c r="C2305" i="1"/>
  <c r="B2305" i="1"/>
  <c r="A2305" i="1"/>
  <c r="F2304" i="1" a="1"/>
  <c r="F2304" i="1" s="1"/>
  <c r="E2304" i="1"/>
  <c r="E2304" i="1" a="1"/>
  <c r="D2304" i="1"/>
  <c r="C2304" i="1"/>
  <c r="B2304" i="1"/>
  <c r="A2304" i="1"/>
  <c r="F2303" i="1" a="1"/>
  <c r="F2303" i="1" s="1"/>
  <c r="E2303" i="1" a="1"/>
  <c r="E2303" i="1" s="1"/>
  <c r="D2303" i="1"/>
  <c r="C2303" i="1"/>
  <c r="B2303" i="1"/>
  <c r="A2303" i="1"/>
  <c r="F2302" i="1" a="1"/>
  <c r="F2302" i="1" s="1"/>
  <c r="E2302" i="1" a="1"/>
  <c r="E2302" i="1" s="1"/>
  <c r="D2302" i="1"/>
  <c r="C2302" i="1"/>
  <c r="B2302" i="1"/>
  <c r="A2302" i="1"/>
  <c r="F2301" i="1" a="1"/>
  <c r="F2301" i="1" s="1"/>
  <c r="E2301" i="1" a="1"/>
  <c r="E2301" i="1" s="1"/>
  <c r="D2301" i="1"/>
  <c r="C2301" i="1"/>
  <c r="B2301" i="1"/>
  <c r="A2301" i="1"/>
  <c r="F2300" i="1" a="1"/>
  <c r="F2300" i="1" s="1"/>
  <c r="E2300" i="1" a="1"/>
  <c r="E2300" i="1" s="1"/>
  <c r="D2300" i="1"/>
  <c r="C2300" i="1"/>
  <c r="B2300" i="1"/>
  <c r="A2300" i="1"/>
  <c r="F2299" i="1" a="1"/>
  <c r="F2299" i="1" s="1"/>
  <c r="E2299" i="1"/>
  <c r="E2299" i="1" a="1"/>
  <c r="D2299" i="1"/>
  <c r="C2299" i="1"/>
  <c r="B2299" i="1"/>
  <c r="A2299" i="1"/>
  <c r="F2298" i="1" a="1"/>
  <c r="F2298" i="1" s="1"/>
  <c r="E2298" i="1" a="1"/>
  <c r="E2298" i="1" s="1"/>
  <c r="D2298" i="1"/>
  <c r="C2298" i="1"/>
  <c r="B2298" i="1"/>
  <c r="A2298" i="1"/>
  <c r="F2297" i="1" a="1"/>
  <c r="F2297" i="1" s="1"/>
  <c r="E2297" i="1" a="1"/>
  <c r="E2297" i="1" s="1"/>
  <c r="D2297" i="1"/>
  <c r="C2297" i="1"/>
  <c r="B2297" i="1"/>
  <c r="A2297" i="1"/>
  <c r="F2296" i="1" a="1"/>
  <c r="F2296" i="1" s="1"/>
  <c r="E2296" i="1"/>
  <c r="E2296" i="1" a="1"/>
  <c r="D2296" i="1"/>
  <c r="C2296" i="1"/>
  <c r="B2296" i="1"/>
  <c r="A2296" i="1"/>
  <c r="F2295" i="1" a="1"/>
  <c r="F2295" i="1" s="1"/>
  <c r="E2295" i="1" a="1"/>
  <c r="E2295" i="1" s="1"/>
  <c r="D2295" i="1"/>
  <c r="C2295" i="1"/>
  <c r="B2295" i="1"/>
  <c r="A2295" i="1"/>
  <c r="F2294" i="1" a="1"/>
  <c r="F2294" i="1" s="1"/>
  <c r="E2294" i="1"/>
  <c r="E2294" i="1" a="1"/>
  <c r="D2294" i="1"/>
  <c r="C2294" i="1"/>
  <c r="B2294" i="1"/>
  <c r="A2294" i="1"/>
  <c r="F2293" i="1" a="1"/>
  <c r="F2293" i="1" s="1"/>
  <c r="E2293" i="1" a="1"/>
  <c r="E2293" i="1" s="1"/>
  <c r="D2293" i="1"/>
  <c r="C2293" i="1"/>
  <c r="B2293" i="1"/>
  <c r="A2293" i="1"/>
  <c r="F2292" i="1" a="1"/>
  <c r="F2292" i="1" s="1"/>
  <c r="E2292" i="1" a="1"/>
  <c r="E2292" i="1" s="1"/>
  <c r="D2292" i="1"/>
  <c r="C2292" i="1"/>
  <c r="B2292" i="1"/>
  <c r="A2292" i="1"/>
  <c r="F2291" i="1" a="1"/>
  <c r="F2291" i="1" s="1"/>
  <c r="E2291" i="1"/>
  <c r="E2291" i="1" a="1"/>
  <c r="D2291" i="1"/>
  <c r="C2291" i="1"/>
  <c r="B2291" i="1"/>
  <c r="A2291" i="1"/>
  <c r="F2290" i="1" a="1"/>
  <c r="F2290" i="1" s="1"/>
  <c r="E2290" i="1" a="1"/>
  <c r="E2290" i="1" s="1"/>
  <c r="D2290" i="1"/>
  <c r="C2290" i="1"/>
  <c r="B2290" i="1"/>
  <c r="A2290" i="1"/>
  <c r="F2289" i="1" a="1"/>
  <c r="F2289" i="1" s="1"/>
  <c r="E2289" i="1" a="1"/>
  <c r="E2289" i="1" s="1"/>
  <c r="D2289" i="1"/>
  <c r="C2289" i="1"/>
  <c r="B2289" i="1"/>
  <c r="A2289" i="1"/>
  <c r="F2288" i="1" a="1"/>
  <c r="F2288" i="1" s="1"/>
  <c r="E2288" i="1"/>
  <c r="E2288" i="1" a="1"/>
  <c r="D2288" i="1"/>
  <c r="C2288" i="1"/>
  <c r="B2288" i="1"/>
  <c r="A2288" i="1"/>
  <c r="F2287" i="1" a="1"/>
  <c r="F2287" i="1" s="1"/>
  <c r="E2287" i="1" a="1"/>
  <c r="E2287" i="1" s="1"/>
  <c r="D2287" i="1"/>
  <c r="C2287" i="1"/>
  <c r="B2287" i="1"/>
  <c r="A2287" i="1"/>
  <c r="F2286" i="1" a="1"/>
  <c r="F2286" i="1" s="1"/>
  <c r="E2286" i="1" a="1"/>
  <c r="E2286" i="1" s="1"/>
  <c r="D2286" i="1"/>
  <c r="C2286" i="1"/>
  <c r="B2286" i="1"/>
  <c r="A2286" i="1"/>
  <c r="F2285" i="1" a="1"/>
  <c r="F2285" i="1" s="1"/>
  <c r="E2285" i="1" a="1"/>
  <c r="E2285" i="1" s="1"/>
  <c r="D2285" i="1"/>
  <c r="C2285" i="1"/>
  <c r="B2285" i="1"/>
  <c r="A2285" i="1"/>
  <c r="F2284" i="1" a="1"/>
  <c r="F2284" i="1" s="1"/>
  <c r="E2284" i="1" a="1"/>
  <c r="E2284" i="1" s="1"/>
  <c r="D2284" i="1"/>
  <c r="C2284" i="1"/>
  <c r="B2284" i="1"/>
  <c r="A2284" i="1"/>
  <c r="F2283" i="1" a="1"/>
  <c r="F2283" i="1" s="1"/>
  <c r="E2283" i="1"/>
  <c r="E2283" i="1" a="1"/>
  <c r="D2283" i="1"/>
  <c r="C2283" i="1"/>
  <c r="B2283" i="1"/>
  <c r="A2283" i="1"/>
  <c r="F2282" i="1" a="1"/>
  <c r="F2282" i="1" s="1"/>
  <c r="E2282" i="1" a="1"/>
  <c r="E2282" i="1" s="1"/>
  <c r="D2282" i="1"/>
  <c r="C2282" i="1"/>
  <c r="B2282" i="1"/>
  <c r="A2282" i="1"/>
  <c r="F2281" i="1" a="1"/>
  <c r="F2281" i="1" s="1"/>
  <c r="E2281" i="1" a="1"/>
  <c r="E2281" i="1" s="1"/>
  <c r="D2281" i="1"/>
  <c r="C2281" i="1"/>
  <c r="B2281" i="1"/>
  <c r="A2281" i="1"/>
  <c r="F2280" i="1" a="1"/>
  <c r="F2280" i="1" s="1"/>
  <c r="E2280" i="1"/>
  <c r="E2280" i="1" a="1"/>
  <c r="D2280" i="1"/>
  <c r="C2280" i="1"/>
  <c r="B2280" i="1"/>
  <c r="A2280" i="1"/>
  <c r="F2279" i="1" a="1"/>
  <c r="F2279" i="1" s="1"/>
  <c r="E2279" i="1" a="1"/>
  <c r="E2279" i="1" s="1"/>
  <c r="D2279" i="1"/>
  <c r="C2279" i="1"/>
  <c r="B2279" i="1"/>
  <c r="A2279" i="1"/>
  <c r="F2278" i="1" a="1"/>
  <c r="F2278" i="1" s="1"/>
  <c r="E2278" i="1" a="1"/>
  <c r="E2278" i="1" s="1"/>
  <c r="D2278" i="1"/>
  <c r="C2278" i="1"/>
  <c r="B2278" i="1"/>
  <c r="A2278" i="1"/>
  <c r="F2277" i="1" a="1"/>
  <c r="F2277" i="1" s="1"/>
  <c r="E2277" i="1" a="1"/>
  <c r="E2277" i="1" s="1"/>
  <c r="D2277" i="1"/>
  <c r="C2277" i="1"/>
  <c r="B2277" i="1"/>
  <c r="A2277" i="1"/>
  <c r="F2276" i="1" a="1"/>
  <c r="F2276" i="1" s="1"/>
  <c r="E2276" i="1" a="1"/>
  <c r="E2276" i="1" s="1"/>
  <c r="D2276" i="1"/>
  <c r="C2276" i="1"/>
  <c r="B2276" i="1"/>
  <c r="A2276" i="1"/>
  <c r="F2275" i="1" a="1"/>
  <c r="F2275" i="1" s="1"/>
  <c r="E2275" i="1"/>
  <c r="E2275" i="1" a="1"/>
  <c r="D2275" i="1"/>
  <c r="C2275" i="1"/>
  <c r="B2275" i="1"/>
  <c r="A2275" i="1"/>
  <c r="F2274" i="1" a="1"/>
  <c r="F2274" i="1" s="1"/>
  <c r="E2274" i="1" a="1"/>
  <c r="E2274" i="1" s="1"/>
  <c r="D2274" i="1"/>
  <c r="C2274" i="1"/>
  <c r="B2274" i="1"/>
  <c r="A2274" i="1"/>
  <c r="F2273" i="1" a="1"/>
  <c r="F2273" i="1" s="1"/>
  <c r="E2273" i="1" a="1"/>
  <c r="E2273" i="1" s="1"/>
  <c r="D2273" i="1"/>
  <c r="C2273" i="1"/>
  <c r="B2273" i="1"/>
  <c r="A2273" i="1"/>
  <c r="F2272" i="1" a="1"/>
  <c r="F2272" i="1" s="1"/>
  <c r="E2272" i="1"/>
  <c r="E2272" i="1" a="1"/>
  <c r="D2272" i="1"/>
  <c r="C2272" i="1"/>
  <c r="B2272" i="1"/>
  <c r="A2272" i="1"/>
  <c r="F2271" i="1" a="1"/>
  <c r="F2271" i="1" s="1"/>
  <c r="E2271" i="1" a="1"/>
  <c r="E2271" i="1" s="1"/>
  <c r="D2271" i="1"/>
  <c r="C2271" i="1"/>
  <c r="B2271" i="1"/>
  <c r="A2271" i="1"/>
  <c r="F2270" i="1" a="1"/>
  <c r="F2270" i="1" s="1"/>
  <c r="E2270" i="1"/>
  <c r="E2270" i="1" a="1"/>
  <c r="D2270" i="1"/>
  <c r="C2270" i="1"/>
  <c r="B2270" i="1"/>
  <c r="A2270" i="1"/>
  <c r="F2269" i="1" a="1"/>
  <c r="F2269" i="1" s="1"/>
  <c r="E2269" i="1" a="1"/>
  <c r="E2269" i="1" s="1"/>
  <c r="D2269" i="1"/>
  <c r="C2269" i="1"/>
  <c r="B2269" i="1"/>
  <c r="A2269" i="1"/>
  <c r="F2268" i="1" a="1"/>
  <c r="F2268" i="1" s="1"/>
  <c r="E2268" i="1" a="1"/>
  <c r="E2268" i="1" s="1"/>
  <c r="D2268" i="1"/>
  <c r="C2268" i="1"/>
  <c r="B2268" i="1"/>
  <c r="A2268" i="1"/>
  <c r="F2267" i="1" a="1"/>
  <c r="F2267" i="1" s="1"/>
  <c r="E2267" i="1"/>
  <c r="E2267" i="1" a="1"/>
  <c r="D2267" i="1"/>
  <c r="C2267" i="1"/>
  <c r="B2267" i="1"/>
  <c r="A2267" i="1"/>
  <c r="F2266" i="1" a="1"/>
  <c r="F2266" i="1" s="1"/>
  <c r="E2266" i="1" a="1"/>
  <c r="E2266" i="1" s="1"/>
  <c r="D2266" i="1"/>
  <c r="C2266" i="1"/>
  <c r="B2266" i="1"/>
  <c r="A2266" i="1"/>
  <c r="F2265" i="1" a="1"/>
  <c r="F2265" i="1" s="1"/>
  <c r="E2265" i="1" a="1"/>
  <c r="E2265" i="1" s="1"/>
  <c r="D2265" i="1"/>
  <c r="C2265" i="1"/>
  <c r="B2265" i="1"/>
  <c r="A2265" i="1"/>
  <c r="F2264" i="1" a="1"/>
  <c r="F2264" i="1" s="1"/>
  <c r="E2264" i="1"/>
  <c r="E2264" i="1" a="1"/>
  <c r="D2264" i="1"/>
  <c r="C2264" i="1"/>
  <c r="B2264" i="1"/>
  <c r="A2264" i="1"/>
  <c r="F2263" i="1" a="1"/>
  <c r="F2263" i="1" s="1"/>
  <c r="E2263" i="1" a="1"/>
  <c r="E2263" i="1" s="1"/>
  <c r="D2263" i="1"/>
  <c r="C2263" i="1"/>
  <c r="B2263" i="1"/>
  <c r="A2263" i="1"/>
  <c r="F2262" i="1" a="1"/>
  <c r="F2262" i="1" s="1"/>
  <c r="E2262" i="1"/>
  <c r="E2262" i="1" a="1"/>
  <c r="D2262" i="1"/>
  <c r="C2262" i="1"/>
  <c r="B2262" i="1"/>
  <c r="A2262" i="1"/>
  <c r="F2261" i="1" a="1"/>
  <c r="F2261" i="1" s="1"/>
  <c r="E2261" i="1" a="1"/>
  <c r="E2261" i="1" s="1"/>
  <c r="D2261" i="1"/>
  <c r="C2261" i="1"/>
  <c r="B2261" i="1"/>
  <c r="A2261" i="1"/>
  <c r="F2260" i="1" a="1"/>
  <c r="F2260" i="1" s="1"/>
  <c r="E2260" i="1" a="1"/>
  <c r="E2260" i="1" s="1"/>
  <c r="D2260" i="1"/>
  <c r="C2260" i="1"/>
  <c r="B2260" i="1"/>
  <c r="A2260" i="1"/>
  <c r="F2259" i="1" a="1"/>
  <c r="F2259" i="1" s="1"/>
  <c r="E2259" i="1"/>
  <c r="E2259" i="1" a="1"/>
  <c r="D2259" i="1"/>
  <c r="C2259" i="1"/>
  <c r="B2259" i="1"/>
  <c r="A2259" i="1"/>
  <c r="F2258" i="1" a="1"/>
  <c r="F2258" i="1" s="1"/>
  <c r="E2258" i="1" a="1"/>
  <c r="E2258" i="1" s="1"/>
  <c r="D2258" i="1"/>
  <c r="C2258" i="1"/>
  <c r="B2258" i="1"/>
  <c r="A2258" i="1"/>
  <c r="F2257" i="1" a="1"/>
  <c r="F2257" i="1" s="1"/>
  <c r="E2257" i="1" a="1"/>
  <c r="E2257" i="1" s="1"/>
  <c r="D2257" i="1"/>
  <c r="C2257" i="1"/>
  <c r="B2257" i="1"/>
  <c r="A2257" i="1"/>
  <c r="F2256" i="1" a="1"/>
  <c r="F2256" i="1" s="1"/>
  <c r="E2256" i="1" a="1"/>
  <c r="E2256" i="1" s="1"/>
  <c r="D2256" i="1"/>
  <c r="C2256" i="1"/>
  <c r="B2256" i="1"/>
  <c r="A2256" i="1"/>
  <c r="F2255" i="1" a="1"/>
  <c r="F2255" i="1" s="1"/>
  <c r="E2255" i="1" a="1"/>
  <c r="E2255" i="1" s="1"/>
  <c r="D2255" i="1"/>
  <c r="C2255" i="1"/>
  <c r="B2255" i="1"/>
  <c r="A2255" i="1"/>
  <c r="F2254" i="1" a="1"/>
  <c r="F2254" i="1" s="1"/>
  <c r="E2254" i="1"/>
  <c r="E2254" i="1" a="1"/>
  <c r="D2254" i="1"/>
  <c r="C2254" i="1"/>
  <c r="B2254" i="1"/>
  <c r="A2254" i="1"/>
  <c r="F2253" i="1" a="1"/>
  <c r="F2253" i="1" s="1"/>
  <c r="E2253" i="1" a="1"/>
  <c r="E2253" i="1" s="1"/>
  <c r="D2253" i="1"/>
  <c r="C2253" i="1"/>
  <c r="B2253" i="1"/>
  <c r="A2253" i="1"/>
  <c r="F2252" i="1" a="1"/>
  <c r="F2252" i="1" s="1"/>
  <c r="E2252" i="1" a="1"/>
  <c r="E2252" i="1" s="1"/>
  <c r="D2252" i="1"/>
  <c r="C2252" i="1"/>
  <c r="B2252" i="1"/>
  <c r="A2252" i="1"/>
  <c r="F2251" i="1" a="1"/>
  <c r="F2251" i="1" s="1"/>
  <c r="E2251" i="1"/>
  <c r="E2251" i="1" a="1"/>
  <c r="D2251" i="1"/>
  <c r="C2251" i="1"/>
  <c r="B2251" i="1"/>
  <c r="A2251" i="1"/>
  <c r="F2250" i="1" a="1"/>
  <c r="F2250" i="1" s="1"/>
  <c r="E2250" i="1" a="1"/>
  <c r="E2250" i="1" s="1"/>
  <c r="D2250" i="1"/>
  <c r="C2250" i="1"/>
  <c r="B2250" i="1"/>
  <c r="A2250" i="1"/>
  <c r="F2249" i="1" a="1"/>
  <c r="F2249" i="1" s="1"/>
  <c r="E2249" i="1" a="1"/>
  <c r="E2249" i="1" s="1"/>
  <c r="D2249" i="1"/>
  <c r="C2249" i="1"/>
  <c r="B2249" i="1"/>
  <c r="A2249" i="1"/>
  <c r="F2248" i="1" a="1"/>
  <c r="F2248" i="1" s="1"/>
  <c r="E2248" i="1"/>
  <c r="E2248" i="1" a="1"/>
  <c r="D2248" i="1"/>
  <c r="C2248" i="1"/>
  <c r="B2248" i="1"/>
  <c r="A2248" i="1"/>
  <c r="F2247" i="1" a="1"/>
  <c r="F2247" i="1" s="1"/>
  <c r="E2247" i="1" a="1"/>
  <c r="E2247" i="1" s="1"/>
  <c r="D2247" i="1"/>
  <c r="C2247" i="1"/>
  <c r="B2247" i="1"/>
  <c r="A2247" i="1"/>
  <c r="F2246" i="1" a="1"/>
  <c r="F2246" i="1" s="1"/>
  <c r="E2246" i="1"/>
  <c r="E2246" i="1" a="1"/>
  <c r="D2246" i="1"/>
  <c r="C2246" i="1"/>
  <c r="B2246" i="1"/>
  <c r="A2246" i="1"/>
  <c r="F2245" i="1" a="1"/>
  <c r="F2245" i="1" s="1"/>
  <c r="E2245" i="1" a="1"/>
  <c r="E2245" i="1" s="1"/>
  <c r="D2245" i="1"/>
  <c r="C2245" i="1"/>
  <c r="B2245" i="1"/>
  <c r="A2245" i="1"/>
  <c r="F2244" i="1" a="1"/>
  <c r="F2244" i="1" s="1"/>
  <c r="E2244" i="1" a="1"/>
  <c r="E2244" i="1" s="1"/>
  <c r="D2244" i="1"/>
  <c r="C2244" i="1"/>
  <c r="B2244" i="1"/>
  <c r="A2244" i="1"/>
  <c r="F2243" i="1" a="1"/>
  <c r="F2243" i="1" s="1"/>
  <c r="E2243" i="1"/>
  <c r="E2243" i="1" a="1"/>
  <c r="D2243" i="1"/>
  <c r="C2243" i="1"/>
  <c r="B2243" i="1"/>
  <c r="A2243" i="1"/>
  <c r="F2242" i="1" a="1"/>
  <c r="F2242" i="1" s="1"/>
  <c r="E2242" i="1" a="1"/>
  <c r="E2242" i="1" s="1"/>
  <c r="D2242" i="1"/>
  <c r="C2242" i="1"/>
  <c r="B2242" i="1"/>
  <c r="A2242" i="1"/>
  <c r="F2241" i="1" a="1"/>
  <c r="F2241" i="1" s="1"/>
  <c r="E2241" i="1" a="1"/>
  <c r="E2241" i="1" s="1"/>
  <c r="D2241" i="1"/>
  <c r="C2241" i="1"/>
  <c r="B2241" i="1"/>
  <c r="A2241" i="1"/>
  <c r="F2240" i="1" a="1"/>
  <c r="F2240" i="1" s="1"/>
  <c r="E2240" i="1"/>
  <c r="E2240" i="1" a="1"/>
  <c r="D2240" i="1"/>
  <c r="C2240" i="1"/>
  <c r="B2240" i="1"/>
  <c r="A2240" i="1"/>
  <c r="F2239" i="1" a="1"/>
  <c r="F2239" i="1" s="1"/>
  <c r="E2239" i="1" a="1"/>
  <c r="E2239" i="1" s="1"/>
  <c r="D2239" i="1"/>
  <c r="C2239" i="1"/>
  <c r="B2239" i="1"/>
  <c r="A2239" i="1"/>
  <c r="F2238" i="1" a="1"/>
  <c r="F2238" i="1" s="1"/>
  <c r="E2238" i="1"/>
  <c r="E2238" i="1" a="1"/>
  <c r="D2238" i="1"/>
  <c r="C2238" i="1"/>
  <c r="B2238" i="1"/>
  <c r="A2238" i="1"/>
  <c r="F2237" i="1" a="1"/>
  <c r="F2237" i="1" s="1"/>
  <c r="E2237" i="1" a="1"/>
  <c r="E2237" i="1" s="1"/>
  <c r="D2237" i="1"/>
  <c r="C2237" i="1"/>
  <c r="B2237" i="1"/>
  <c r="A2237" i="1"/>
  <c r="F2236" i="1" a="1"/>
  <c r="F2236" i="1" s="1"/>
  <c r="E2236" i="1" a="1"/>
  <c r="E2236" i="1" s="1"/>
  <c r="D2236" i="1"/>
  <c r="C2236" i="1"/>
  <c r="B2236" i="1"/>
  <c r="A2236" i="1"/>
  <c r="F2235" i="1" a="1"/>
  <c r="F2235" i="1" s="1"/>
  <c r="E2235" i="1"/>
  <c r="E2235" i="1" a="1"/>
  <c r="D2235" i="1"/>
  <c r="C2235" i="1"/>
  <c r="B2235" i="1"/>
  <c r="A2235" i="1"/>
  <c r="F2234" i="1" a="1"/>
  <c r="F2234" i="1" s="1"/>
  <c r="E2234" i="1" a="1"/>
  <c r="E2234" i="1" s="1"/>
  <c r="D2234" i="1"/>
  <c r="C2234" i="1"/>
  <c r="B2234" i="1"/>
  <c r="A2234" i="1"/>
  <c r="F2233" i="1" a="1"/>
  <c r="F2233" i="1" s="1"/>
  <c r="E2233" i="1" a="1"/>
  <c r="E2233" i="1" s="1"/>
  <c r="D2233" i="1"/>
  <c r="C2233" i="1"/>
  <c r="B2233" i="1"/>
  <c r="A2233" i="1"/>
  <c r="F2232" i="1" a="1"/>
  <c r="F2232" i="1" s="1"/>
  <c r="E2232" i="1"/>
  <c r="E2232" i="1" a="1"/>
  <c r="D2232" i="1"/>
  <c r="C2232" i="1"/>
  <c r="B2232" i="1"/>
  <c r="A2232" i="1"/>
  <c r="F2231" i="1" a="1"/>
  <c r="F2231" i="1" s="1"/>
  <c r="E2231" i="1" a="1"/>
  <c r="E2231" i="1" s="1"/>
  <c r="D2231" i="1"/>
  <c r="C2231" i="1"/>
  <c r="B2231" i="1"/>
  <c r="A2231" i="1"/>
  <c r="F2230" i="1" a="1"/>
  <c r="F2230" i="1" s="1"/>
  <c r="E2230" i="1"/>
  <c r="E2230" i="1" a="1"/>
  <c r="D2230" i="1"/>
  <c r="C2230" i="1"/>
  <c r="B2230" i="1"/>
  <c r="A2230" i="1"/>
  <c r="F2229" i="1" a="1"/>
  <c r="F2229" i="1" s="1"/>
  <c r="E2229" i="1" a="1"/>
  <c r="E2229" i="1" s="1"/>
  <c r="D2229" i="1"/>
  <c r="C2229" i="1"/>
  <c r="B2229" i="1"/>
  <c r="A2229" i="1"/>
  <c r="F2228" i="1" a="1"/>
  <c r="F2228" i="1" s="1"/>
  <c r="E2228" i="1" a="1"/>
  <c r="E2228" i="1" s="1"/>
  <c r="D2228" i="1"/>
  <c r="C2228" i="1"/>
  <c r="B2228" i="1"/>
  <c r="A2228" i="1"/>
  <c r="F2227" i="1" a="1"/>
  <c r="F2227" i="1" s="1"/>
  <c r="E2227" i="1"/>
  <c r="E2227" i="1" a="1"/>
  <c r="D2227" i="1"/>
  <c r="C2227" i="1"/>
  <c r="B2227" i="1"/>
  <c r="A2227" i="1"/>
  <c r="F2226" i="1" a="1"/>
  <c r="F2226" i="1" s="1"/>
  <c r="E2226" i="1" a="1"/>
  <c r="E2226" i="1" s="1"/>
  <c r="D2226" i="1"/>
  <c r="C2226" i="1"/>
  <c r="B2226" i="1"/>
  <c r="A2226" i="1"/>
  <c r="F2225" i="1" a="1"/>
  <c r="F2225" i="1" s="1"/>
  <c r="E2225" i="1" a="1"/>
  <c r="E2225" i="1" s="1"/>
  <c r="D2225" i="1"/>
  <c r="C2225" i="1"/>
  <c r="B2225" i="1"/>
  <c r="A2225" i="1"/>
  <c r="F2224" i="1" a="1"/>
  <c r="F2224" i="1" s="1"/>
  <c r="E2224" i="1"/>
  <c r="E2224" i="1" a="1"/>
  <c r="D2224" i="1"/>
  <c r="C2224" i="1"/>
  <c r="B2224" i="1"/>
  <c r="A2224" i="1"/>
  <c r="F2223" i="1" a="1"/>
  <c r="F2223" i="1" s="1"/>
  <c r="E2223" i="1" a="1"/>
  <c r="E2223" i="1" s="1"/>
  <c r="D2223" i="1"/>
  <c r="C2223" i="1"/>
  <c r="B2223" i="1"/>
  <c r="A2223" i="1"/>
  <c r="F2222" i="1" a="1"/>
  <c r="F2222" i="1" s="1"/>
  <c r="E2222" i="1" a="1"/>
  <c r="E2222" i="1" s="1"/>
  <c r="D2222" i="1"/>
  <c r="C2222" i="1"/>
  <c r="B2222" i="1"/>
  <c r="A2222" i="1"/>
  <c r="F2221" i="1" a="1"/>
  <c r="F2221" i="1" s="1"/>
  <c r="E2221" i="1" a="1"/>
  <c r="E2221" i="1" s="1"/>
  <c r="D2221" i="1"/>
  <c r="C2221" i="1"/>
  <c r="B2221" i="1"/>
  <c r="A2221" i="1"/>
  <c r="F2220" i="1" a="1"/>
  <c r="F2220" i="1" s="1"/>
  <c r="E2220" i="1" a="1"/>
  <c r="E2220" i="1" s="1"/>
  <c r="D2220" i="1"/>
  <c r="C2220" i="1"/>
  <c r="B2220" i="1"/>
  <c r="A2220" i="1"/>
  <c r="F2219" i="1" a="1"/>
  <c r="F2219" i="1" s="1"/>
  <c r="E2219" i="1"/>
  <c r="E2219" i="1" a="1"/>
  <c r="D2219" i="1"/>
  <c r="C2219" i="1"/>
  <c r="B2219" i="1"/>
  <c r="A2219" i="1"/>
  <c r="F2218" i="1" a="1"/>
  <c r="F2218" i="1" s="1"/>
  <c r="E2218" i="1" a="1"/>
  <c r="E2218" i="1" s="1"/>
  <c r="D2218" i="1"/>
  <c r="C2218" i="1"/>
  <c r="B2218" i="1"/>
  <c r="A2218" i="1"/>
  <c r="F2217" i="1" a="1"/>
  <c r="F2217" i="1" s="1"/>
  <c r="E2217" i="1" a="1"/>
  <c r="E2217" i="1" s="1"/>
  <c r="D2217" i="1"/>
  <c r="C2217" i="1"/>
  <c r="B2217" i="1"/>
  <c r="A2217" i="1"/>
  <c r="F2216" i="1" a="1"/>
  <c r="F2216" i="1" s="1"/>
  <c r="E2216" i="1"/>
  <c r="E2216" i="1" a="1"/>
  <c r="D2216" i="1"/>
  <c r="C2216" i="1"/>
  <c r="B2216" i="1"/>
  <c r="A2216" i="1"/>
  <c r="F2215" i="1" a="1"/>
  <c r="F2215" i="1" s="1"/>
  <c r="E2215" i="1" a="1"/>
  <c r="E2215" i="1" s="1"/>
  <c r="D2215" i="1"/>
  <c r="C2215" i="1"/>
  <c r="B2215" i="1"/>
  <c r="A2215" i="1"/>
  <c r="F2214" i="1" a="1"/>
  <c r="F2214" i="1" s="1"/>
  <c r="E2214" i="1" a="1"/>
  <c r="E2214" i="1" s="1"/>
  <c r="D2214" i="1"/>
  <c r="C2214" i="1"/>
  <c r="B2214" i="1"/>
  <c r="A2214" i="1"/>
  <c r="F2213" i="1" a="1"/>
  <c r="F2213" i="1" s="1"/>
  <c r="E2213" i="1" a="1"/>
  <c r="E2213" i="1" s="1"/>
  <c r="D2213" i="1"/>
  <c r="C2213" i="1"/>
  <c r="B2213" i="1"/>
  <c r="A2213" i="1"/>
  <c r="F2212" i="1" a="1"/>
  <c r="F2212" i="1" s="1"/>
  <c r="E2212" i="1" a="1"/>
  <c r="E2212" i="1" s="1"/>
  <c r="D2212" i="1"/>
  <c r="C2212" i="1"/>
  <c r="B2212" i="1"/>
  <c r="A2212" i="1"/>
  <c r="F2211" i="1" a="1"/>
  <c r="F2211" i="1" s="1"/>
  <c r="E2211" i="1"/>
  <c r="E2211" i="1" a="1"/>
  <c r="D2211" i="1"/>
  <c r="C2211" i="1"/>
  <c r="B2211" i="1"/>
  <c r="A2211" i="1"/>
  <c r="F2210" i="1" a="1"/>
  <c r="F2210" i="1" s="1"/>
  <c r="E2210" i="1" a="1"/>
  <c r="E2210" i="1" s="1"/>
  <c r="D2210" i="1"/>
  <c r="C2210" i="1"/>
  <c r="B2210" i="1"/>
  <c r="A2210" i="1"/>
  <c r="F2209" i="1" a="1"/>
  <c r="F2209" i="1" s="1"/>
  <c r="E2209" i="1" a="1"/>
  <c r="E2209" i="1" s="1"/>
  <c r="D2209" i="1"/>
  <c r="C2209" i="1"/>
  <c r="B2209" i="1"/>
  <c r="A2209" i="1"/>
  <c r="F2208" i="1" a="1"/>
  <c r="F2208" i="1" s="1"/>
  <c r="E2208" i="1" a="1"/>
  <c r="E2208" i="1" s="1"/>
  <c r="D2208" i="1"/>
  <c r="C2208" i="1"/>
  <c r="B2208" i="1"/>
  <c r="A2208" i="1"/>
  <c r="F2207" i="1" a="1"/>
  <c r="F2207" i="1" s="1"/>
  <c r="E2207" i="1" a="1"/>
  <c r="E2207" i="1" s="1"/>
  <c r="D2207" i="1"/>
  <c r="C2207" i="1"/>
  <c r="B2207" i="1"/>
  <c r="A2207" i="1"/>
  <c r="F2206" i="1" a="1"/>
  <c r="F2206" i="1" s="1"/>
  <c r="E2206" i="1"/>
  <c r="E2206" i="1" a="1"/>
  <c r="D2206" i="1"/>
  <c r="C2206" i="1"/>
  <c r="B2206" i="1"/>
  <c r="A2206" i="1"/>
  <c r="F2205" i="1" a="1"/>
  <c r="F2205" i="1" s="1"/>
  <c r="E2205" i="1" a="1"/>
  <c r="E2205" i="1" s="1"/>
  <c r="D2205" i="1"/>
  <c r="C2205" i="1"/>
  <c r="B2205" i="1"/>
  <c r="A2205" i="1"/>
  <c r="F2204" i="1" a="1"/>
  <c r="F2204" i="1" s="1"/>
  <c r="E2204" i="1" a="1"/>
  <c r="E2204" i="1" s="1"/>
  <c r="D2204" i="1"/>
  <c r="C2204" i="1"/>
  <c r="B2204" i="1"/>
  <c r="A2204" i="1"/>
  <c r="F2203" i="1" a="1"/>
  <c r="F2203" i="1" s="1"/>
  <c r="E2203" i="1"/>
  <c r="E2203" i="1" a="1"/>
  <c r="D2203" i="1"/>
  <c r="C2203" i="1"/>
  <c r="B2203" i="1"/>
  <c r="A2203" i="1"/>
  <c r="F2202" i="1" a="1"/>
  <c r="F2202" i="1" s="1"/>
  <c r="E2202" i="1" a="1"/>
  <c r="E2202" i="1" s="1"/>
  <c r="D2202" i="1"/>
  <c r="C2202" i="1"/>
  <c r="B2202" i="1"/>
  <c r="A2202" i="1"/>
  <c r="F2201" i="1" a="1"/>
  <c r="F2201" i="1" s="1"/>
  <c r="E2201" i="1" a="1"/>
  <c r="E2201" i="1" s="1"/>
  <c r="D2201" i="1"/>
  <c r="C2201" i="1"/>
  <c r="B2201" i="1"/>
  <c r="A2201" i="1"/>
  <c r="F2200" i="1" a="1"/>
  <c r="F2200" i="1" s="1"/>
  <c r="E2200" i="1" a="1"/>
  <c r="E2200" i="1" s="1"/>
  <c r="D2200" i="1"/>
  <c r="C2200" i="1"/>
  <c r="B2200" i="1"/>
  <c r="A2200" i="1"/>
  <c r="F2199" i="1" a="1"/>
  <c r="F2199" i="1" s="1"/>
  <c r="E2199" i="1" a="1"/>
  <c r="E2199" i="1" s="1"/>
  <c r="D2199" i="1"/>
  <c r="C2199" i="1"/>
  <c r="B2199" i="1"/>
  <c r="A2199" i="1"/>
  <c r="F2198" i="1" a="1"/>
  <c r="F2198" i="1" s="1"/>
  <c r="E2198" i="1"/>
  <c r="E2198" i="1" a="1"/>
  <c r="D2198" i="1"/>
  <c r="C2198" i="1"/>
  <c r="B2198" i="1"/>
  <c r="A2198" i="1"/>
  <c r="F2197" i="1" a="1"/>
  <c r="F2197" i="1" s="1"/>
  <c r="E2197" i="1" a="1"/>
  <c r="E2197" i="1" s="1"/>
  <c r="D2197" i="1"/>
  <c r="C2197" i="1"/>
  <c r="B2197" i="1"/>
  <c r="A2197" i="1"/>
  <c r="F2196" i="1" a="1"/>
  <c r="F2196" i="1" s="1"/>
  <c r="E2196" i="1" a="1"/>
  <c r="E2196" i="1" s="1"/>
  <c r="D2196" i="1"/>
  <c r="C2196" i="1"/>
  <c r="B2196" i="1"/>
  <c r="A2196" i="1"/>
  <c r="F2195" i="1" a="1"/>
  <c r="F2195" i="1" s="1"/>
  <c r="E2195" i="1"/>
  <c r="E2195" i="1" a="1"/>
  <c r="D2195" i="1"/>
  <c r="C2195" i="1"/>
  <c r="B2195" i="1"/>
  <c r="A2195" i="1"/>
  <c r="F2194" i="1" a="1"/>
  <c r="F2194" i="1" s="1"/>
  <c r="E2194" i="1" a="1"/>
  <c r="E2194" i="1" s="1"/>
  <c r="D2194" i="1"/>
  <c r="C2194" i="1"/>
  <c r="B2194" i="1"/>
  <c r="A2194" i="1"/>
  <c r="F2193" i="1" a="1"/>
  <c r="F2193" i="1" s="1"/>
  <c r="E2193" i="1" a="1"/>
  <c r="E2193" i="1" s="1"/>
  <c r="D2193" i="1"/>
  <c r="C2193" i="1"/>
  <c r="B2193" i="1"/>
  <c r="A2193" i="1"/>
  <c r="F2192" i="1" a="1"/>
  <c r="F2192" i="1" s="1"/>
  <c r="E2192" i="1"/>
  <c r="E2192" i="1" a="1"/>
  <c r="D2192" i="1"/>
  <c r="C2192" i="1"/>
  <c r="B2192" i="1"/>
  <c r="A2192" i="1"/>
  <c r="F2191" i="1" a="1"/>
  <c r="F2191" i="1" s="1"/>
  <c r="E2191" i="1" a="1"/>
  <c r="E2191" i="1" s="1"/>
  <c r="D2191" i="1"/>
  <c r="C2191" i="1"/>
  <c r="B2191" i="1"/>
  <c r="A2191" i="1"/>
  <c r="F2190" i="1" a="1"/>
  <c r="F2190" i="1" s="1"/>
  <c r="E2190" i="1"/>
  <c r="E2190" i="1" a="1"/>
  <c r="D2190" i="1"/>
  <c r="C2190" i="1"/>
  <c r="B2190" i="1"/>
  <c r="A2190" i="1"/>
  <c r="F2189" i="1" a="1"/>
  <c r="F2189" i="1" s="1"/>
  <c r="E2189" i="1" a="1"/>
  <c r="E2189" i="1" s="1"/>
  <c r="D2189" i="1"/>
  <c r="C2189" i="1"/>
  <c r="B2189" i="1"/>
  <c r="A2189" i="1"/>
  <c r="F2188" i="1" a="1"/>
  <c r="F2188" i="1" s="1"/>
  <c r="E2188" i="1" a="1"/>
  <c r="E2188" i="1" s="1"/>
  <c r="D2188" i="1"/>
  <c r="C2188" i="1"/>
  <c r="B2188" i="1"/>
  <c r="A2188" i="1"/>
  <c r="F2187" i="1" a="1"/>
  <c r="F2187" i="1" s="1"/>
  <c r="E2187" i="1"/>
  <c r="E2187" i="1" a="1"/>
  <c r="D2187" i="1"/>
  <c r="C2187" i="1"/>
  <c r="B2187" i="1"/>
  <c r="A2187" i="1"/>
  <c r="F2186" i="1" a="1"/>
  <c r="F2186" i="1" s="1"/>
  <c r="E2186" i="1" a="1"/>
  <c r="E2186" i="1" s="1"/>
  <c r="D2186" i="1"/>
  <c r="C2186" i="1"/>
  <c r="B2186" i="1"/>
  <c r="A2186" i="1"/>
  <c r="F2185" i="1" a="1"/>
  <c r="F2185" i="1" s="1"/>
  <c r="E2185" i="1" a="1"/>
  <c r="E2185" i="1" s="1"/>
  <c r="D2185" i="1"/>
  <c r="C2185" i="1"/>
  <c r="B2185" i="1"/>
  <c r="A2185" i="1"/>
  <c r="F2184" i="1" a="1"/>
  <c r="F2184" i="1" s="1"/>
  <c r="E2184" i="1"/>
  <c r="E2184" i="1" a="1"/>
  <c r="D2184" i="1"/>
  <c r="C2184" i="1"/>
  <c r="B2184" i="1"/>
  <c r="A2184" i="1"/>
  <c r="F2183" i="1" a="1"/>
  <c r="F2183" i="1" s="1"/>
  <c r="E2183" i="1" a="1"/>
  <c r="E2183" i="1" s="1"/>
  <c r="D2183" i="1"/>
  <c r="C2183" i="1"/>
  <c r="B2183" i="1"/>
  <c r="A2183" i="1"/>
  <c r="F2182" i="1" a="1"/>
  <c r="F2182" i="1" s="1"/>
  <c r="E2182" i="1"/>
  <c r="E2182" i="1" a="1"/>
  <c r="D2182" i="1"/>
  <c r="C2182" i="1"/>
  <c r="B2182" i="1"/>
  <c r="A2182" i="1"/>
  <c r="F2181" i="1" a="1"/>
  <c r="F2181" i="1" s="1"/>
  <c r="E2181" i="1" a="1"/>
  <c r="E2181" i="1" s="1"/>
  <c r="D2181" i="1"/>
  <c r="C2181" i="1"/>
  <c r="B2181" i="1"/>
  <c r="A2181" i="1"/>
  <c r="F2180" i="1" a="1"/>
  <c r="F2180" i="1" s="1"/>
  <c r="E2180" i="1" a="1"/>
  <c r="E2180" i="1" s="1"/>
  <c r="D2180" i="1"/>
  <c r="C2180" i="1"/>
  <c r="B2180" i="1"/>
  <c r="A2180" i="1"/>
  <c r="F2179" i="1" a="1"/>
  <c r="F2179" i="1" s="1"/>
  <c r="E2179" i="1"/>
  <c r="E2179" i="1" a="1"/>
  <c r="D2179" i="1"/>
  <c r="C2179" i="1"/>
  <c r="B2179" i="1"/>
  <c r="A2179" i="1"/>
  <c r="F2178" i="1" a="1"/>
  <c r="F2178" i="1" s="1"/>
  <c r="E2178" i="1" a="1"/>
  <c r="E2178" i="1" s="1"/>
  <c r="D2178" i="1"/>
  <c r="C2178" i="1"/>
  <c r="B2178" i="1"/>
  <c r="A2178" i="1"/>
  <c r="F2177" i="1" a="1"/>
  <c r="F2177" i="1" s="1"/>
  <c r="E2177" i="1" a="1"/>
  <c r="E2177" i="1" s="1"/>
  <c r="D2177" i="1"/>
  <c r="C2177" i="1"/>
  <c r="B2177" i="1"/>
  <c r="A2177" i="1"/>
  <c r="F2176" i="1" a="1"/>
  <c r="F2176" i="1" s="1"/>
  <c r="E2176" i="1"/>
  <c r="E2176" i="1" a="1"/>
  <c r="D2176" i="1"/>
  <c r="C2176" i="1"/>
  <c r="B2176" i="1"/>
  <c r="A2176" i="1"/>
  <c r="F2175" i="1" a="1"/>
  <c r="F2175" i="1" s="1"/>
  <c r="E2175" i="1" a="1"/>
  <c r="E2175" i="1" s="1"/>
  <c r="D2175" i="1"/>
  <c r="C2175" i="1"/>
  <c r="B2175" i="1"/>
  <c r="A2175" i="1"/>
  <c r="F2174" i="1" a="1"/>
  <c r="F2174" i="1" s="1"/>
  <c r="E2174" i="1"/>
  <c r="E2174" i="1" a="1"/>
  <c r="D2174" i="1"/>
  <c r="C2174" i="1"/>
  <c r="B2174" i="1"/>
  <c r="A2174" i="1"/>
  <c r="F2173" i="1" a="1"/>
  <c r="F2173" i="1" s="1"/>
  <c r="E2173" i="1" a="1"/>
  <c r="E2173" i="1" s="1"/>
  <c r="D2173" i="1"/>
  <c r="C2173" i="1"/>
  <c r="B2173" i="1"/>
  <c r="A2173" i="1"/>
  <c r="F2172" i="1" a="1"/>
  <c r="F2172" i="1" s="1"/>
  <c r="E2172" i="1" a="1"/>
  <c r="E2172" i="1" s="1"/>
  <c r="D2172" i="1"/>
  <c r="C2172" i="1"/>
  <c r="B2172" i="1"/>
  <c r="A2172" i="1"/>
  <c r="F2171" i="1" a="1"/>
  <c r="F2171" i="1" s="1"/>
  <c r="E2171" i="1"/>
  <c r="E2171" i="1" a="1"/>
  <c r="D2171" i="1"/>
  <c r="C2171" i="1"/>
  <c r="B2171" i="1"/>
  <c r="A2171" i="1"/>
  <c r="F2170" i="1" a="1"/>
  <c r="F2170" i="1" s="1"/>
  <c r="E2170" i="1" a="1"/>
  <c r="E2170" i="1" s="1"/>
  <c r="D2170" i="1"/>
  <c r="C2170" i="1"/>
  <c r="B2170" i="1"/>
  <c r="A2170" i="1"/>
  <c r="F2169" i="1" a="1"/>
  <c r="F2169" i="1" s="1"/>
  <c r="E2169" i="1" a="1"/>
  <c r="E2169" i="1" s="1"/>
  <c r="D2169" i="1"/>
  <c r="C2169" i="1"/>
  <c r="B2169" i="1"/>
  <c r="A2169" i="1"/>
  <c r="F2168" i="1" a="1"/>
  <c r="F2168" i="1" s="1"/>
  <c r="E2168" i="1"/>
  <c r="E2168" i="1" a="1"/>
  <c r="D2168" i="1"/>
  <c r="C2168" i="1"/>
  <c r="B2168" i="1"/>
  <c r="A2168" i="1"/>
  <c r="F2167" i="1" a="1"/>
  <c r="F2167" i="1" s="1"/>
  <c r="E2167" i="1" a="1"/>
  <c r="E2167" i="1" s="1"/>
  <c r="D2167" i="1"/>
  <c r="C2167" i="1"/>
  <c r="B2167" i="1"/>
  <c r="A2167" i="1"/>
  <c r="F2166" i="1" a="1"/>
  <c r="F2166" i="1" s="1"/>
  <c r="E2166" i="1"/>
  <c r="E2166" i="1" a="1"/>
  <c r="D2166" i="1"/>
  <c r="C2166" i="1"/>
  <c r="B2166" i="1"/>
  <c r="A2166" i="1"/>
  <c r="F2165" i="1" a="1"/>
  <c r="F2165" i="1" s="1"/>
  <c r="E2165" i="1" a="1"/>
  <c r="E2165" i="1" s="1"/>
  <c r="D2165" i="1"/>
  <c r="C2165" i="1"/>
  <c r="B2165" i="1"/>
  <c r="A2165" i="1"/>
  <c r="F2164" i="1" a="1"/>
  <c r="F2164" i="1" s="1"/>
  <c r="E2164" i="1" a="1"/>
  <c r="E2164" i="1" s="1"/>
  <c r="D2164" i="1"/>
  <c r="C2164" i="1"/>
  <c r="B2164" i="1"/>
  <c r="A2164" i="1"/>
  <c r="F2163" i="1" a="1"/>
  <c r="F2163" i="1" s="1"/>
  <c r="E2163" i="1"/>
  <c r="E2163" i="1" a="1"/>
  <c r="D2163" i="1"/>
  <c r="C2163" i="1"/>
  <c r="B2163" i="1"/>
  <c r="A2163" i="1"/>
  <c r="F2162" i="1" a="1"/>
  <c r="F2162" i="1" s="1"/>
  <c r="E2162" i="1" a="1"/>
  <c r="E2162" i="1" s="1"/>
  <c r="D2162" i="1"/>
  <c r="C2162" i="1"/>
  <c r="B2162" i="1"/>
  <c r="A2162" i="1"/>
  <c r="F2161" i="1" a="1"/>
  <c r="F2161" i="1" s="1"/>
  <c r="E2161" i="1" a="1"/>
  <c r="E2161" i="1" s="1"/>
  <c r="D2161" i="1"/>
  <c r="C2161" i="1"/>
  <c r="B2161" i="1"/>
  <c r="A2161" i="1"/>
  <c r="F2160" i="1" a="1"/>
  <c r="F2160" i="1" s="1"/>
  <c r="E2160" i="1"/>
  <c r="E2160" i="1" a="1"/>
  <c r="D2160" i="1"/>
  <c r="C2160" i="1"/>
  <c r="B2160" i="1"/>
  <c r="A2160" i="1"/>
  <c r="F2159" i="1" a="1"/>
  <c r="F2159" i="1" s="1"/>
  <c r="E2159" i="1" a="1"/>
  <c r="E2159" i="1" s="1"/>
  <c r="D2159" i="1"/>
  <c r="C2159" i="1"/>
  <c r="B2159" i="1"/>
  <c r="A2159" i="1"/>
  <c r="F2158" i="1" a="1"/>
  <c r="F2158" i="1" s="1"/>
  <c r="E2158" i="1" a="1"/>
  <c r="E2158" i="1" s="1"/>
  <c r="D2158" i="1"/>
  <c r="C2158" i="1"/>
  <c r="B2158" i="1"/>
  <c r="A2158" i="1"/>
  <c r="F2157" i="1" a="1"/>
  <c r="F2157" i="1" s="1"/>
  <c r="E2157" i="1" a="1"/>
  <c r="E2157" i="1" s="1"/>
  <c r="D2157" i="1"/>
  <c r="C2157" i="1"/>
  <c r="B2157" i="1"/>
  <c r="A2157" i="1"/>
  <c r="F2156" i="1" a="1"/>
  <c r="F2156" i="1" s="1"/>
  <c r="E2156" i="1" a="1"/>
  <c r="E2156" i="1" s="1"/>
  <c r="D2156" i="1"/>
  <c r="C2156" i="1"/>
  <c r="B2156" i="1"/>
  <c r="A2156" i="1"/>
  <c r="F2155" i="1" a="1"/>
  <c r="F2155" i="1" s="1"/>
  <c r="E2155" i="1"/>
  <c r="E2155" i="1" a="1"/>
  <c r="D2155" i="1"/>
  <c r="C2155" i="1"/>
  <c r="B2155" i="1"/>
  <c r="A2155" i="1"/>
  <c r="F2154" i="1" a="1"/>
  <c r="F2154" i="1" s="1"/>
  <c r="E2154" i="1" a="1"/>
  <c r="E2154" i="1" s="1"/>
  <c r="D2154" i="1"/>
  <c r="C2154" i="1"/>
  <c r="B2154" i="1"/>
  <c r="A2154" i="1"/>
  <c r="F2153" i="1" a="1"/>
  <c r="F2153" i="1" s="1"/>
  <c r="E2153" i="1" a="1"/>
  <c r="E2153" i="1" s="1"/>
  <c r="D2153" i="1"/>
  <c r="C2153" i="1"/>
  <c r="B2153" i="1"/>
  <c r="A2153" i="1"/>
  <c r="F2152" i="1" a="1"/>
  <c r="F2152" i="1" s="1"/>
  <c r="E2152" i="1" a="1"/>
  <c r="E2152" i="1" s="1"/>
  <c r="D2152" i="1"/>
  <c r="C2152" i="1"/>
  <c r="B2152" i="1"/>
  <c r="A2152" i="1"/>
  <c r="F2151" i="1" a="1"/>
  <c r="F2151" i="1" s="1"/>
  <c r="E2151" i="1" a="1"/>
  <c r="E2151" i="1" s="1"/>
  <c r="D2151" i="1"/>
  <c r="C2151" i="1"/>
  <c r="B2151" i="1"/>
  <c r="A2151" i="1"/>
  <c r="F2150" i="1" a="1"/>
  <c r="F2150" i="1" s="1"/>
  <c r="E2150" i="1"/>
  <c r="E2150" i="1" a="1"/>
  <c r="D2150" i="1"/>
  <c r="C2150" i="1"/>
  <c r="B2150" i="1"/>
  <c r="A2150" i="1"/>
  <c r="F2149" i="1" a="1"/>
  <c r="F2149" i="1" s="1"/>
  <c r="E2149" i="1" a="1"/>
  <c r="E2149" i="1" s="1"/>
  <c r="D2149" i="1"/>
  <c r="C2149" i="1"/>
  <c r="B2149" i="1"/>
  <c r="A2149" i="1"/>
  <c r="F2148" i="1" a="1"/>
  <c r="F2148" i="1" s="1"/>
  <c r="E2148" i="1" a="1"/>
  <c r="E2148" i="1" s="1"/>
  <c r="D2148" i="1"/>
  <c r="C2148" i="1"/>
  <c r="B2148" i="1"/>
  <c r="A2148" i="1"/>
  <c r="F2147" i="1" a="1"/>
  <c r="F2147" i="1" s="1"/>
  <c r="E2147" i="1"/>
  <c r="E2147" i="1" a="1"/>
  <c r="D2147" i="1"/>
  <c r="C2147" i="1"/>
  <c r="B2147" i="1"/>
  <c r="A2147" i="1"/>
  <c r="F2146" i="1" a="1"/>
  <c r="F2146" i="1" s="1"/>
  <c r="E2146" i="1" a="1"/>
  <c r="E2146" i="1" s="1"/>
  <c r="D2146" i="1"/>
  <c r="C2146" i="1"/>
  <c r="B2146" i="1"/>
  <c r="A2146" i="1"/>
  <c r="F2145" i="1" a="1"/>
  <c r="F2145" i="1" s="1"/>
  <c r="E2145" i="1" a="1"/>
  <c r="E2145" i="1" s="1"/>
  <c r="D2145" i="1"/>
  <c r="C2145" i="1"/>
  <c r="B2145" i="1"/>
  <c r="A2145" i="1"/>
  <c r="F2144" i="1" a="1"/>
  <c r="F2144" i="1" s="1"/>
  <c r="E2144" i="1" a="1"/>
  <c r="E2144" i="1" s="1"/>
  <c r="D2144" i="1"/>
  <c r="C2144" i="1"/>
  <c r="B2144" i="1"/>
  <c r="A2144" i="1"/>
  <c r="F2143" i="1" a="1"/>
  <c r="F2143" i="1" s="1"/>
  <c r="E2143" i="1" a="1"/>
  <c r="E2143" i="1" s="1"/>
  <c r="D2143" i="1"/>
  <c r="C2143" i="1"/>
  <c r="B2143" i="1"/>
  <c r="A2143" i="1"/>
  <c r="F2142" i="1" a="1"/>
  <c r="F2142" i="1" s="1"/>
  <c r="E2142" i="1"/>
  <c r="E2142" i="1" a="1"/>
  <c r="D2142" i="1"/>
  <c r="C2142" i="1"/>
  <c r="B2142" i="1"/>
  <c r="A2142" i="1"/>
  <c r="F2141" i="1" a="1"/>
  <c r="F2141" i="1" s="1"/>
  <c r="E2141" i="1" a="1"/>
  <c r="E2141" i="1" s="1"/>
  <c r="D2141" i="1"/>
  <c r="C2141" i="1"/>
  <c r="B2141" i="1"/>
  <c r="A2141" i="1"/>
  <c r="F2140" i="1" a="1"/>
  <c r="F2140" i="1" s="1"/>
  <c r="E2140" i="1" a="1"/>
  <c r="E2140" i="1" s="1"/>
  <c r="D2140" i="1"/>
  <c r="C2140" i="1"/>
  <c r="B2140" i="1"/>
  <c r="A2140" i="1"/>
  <c r="F2139" i="1" a="1"/>
  <c r="F2139" i="1" s="1"/>
  <c r="E2139" i="1"/>
  <c r="E2139" i="1" a="1"/>
  <c r="D2139" i="1"/>
  <c r="C2139" i="1"/>
  <c r="B2139" i="1"/>
  <c r="A2139" i="1"/>
  <c r="F2138" i="1" a="1"/>
  <c r="F2138" i="1" s="1"/>
  <c r="E2138" i="1" a="1"/>
  <c r="E2138" i="1" s="1"/>
  <c r="D2138" i="1"/>
  <c r="C2138" i="1"/>
  <c r="B2138" i="1"/>
  <c r="A2138" i="1"/>
  <c r="F2137" i="1" a="1"/>
  <c r="F2137" i="1" s="1"/>
  <c r="E2137" i="1" a="1"/>
  <c r="E2137" i="1" s="1"/>
  <c r="D2137" i="1"/>
  <c r="C2137" i="1"/>
  <c r="B2137" i="1"/>
  <c r="A2137" i="1"/>
  <c r="F2136" i="1" a="1"/>
  <c r="F2136" i="1" s="1"/>
  <c r="E2136" i="1" a="1"/>
  <c r="E2136" i="1" s="1"/>
  <c r="D2136" i="1"/>
  <c r="C2136" i="1"/>
  <c r="B2136" i="1"/>
  <c r="A2136" i="1"/>
  <c r="F2135" i="1" a="1"/>
  <c r="F2135" i="1" s="1"/>
  <c r="E2135" i="1" a="1"/>
  <c r="E2135" i="1" s="1"/>
  <c r="D2135" i="1"/>
  <c r="C2135" i="1"/>
  <c r="B2135" i="1"/>
  <c r="A2135" i="1"/>
  <c r="F2134" i="1" a="1"/>
  <c r="F2134" i="1" s="1"/>
  <c r="E2134" i="1"/>
  <c r="E2134" i="1" a="1"/>
  <c r="D2134" i="1"/>
  <c r="C2134" i="1"/>
  <c r="B2134" i="1"/>
  <c r="A2134" i="1"/>
  <c r="F2133" i="1" a="1"/>
  <c r="F2133" i="1" s="1"/>
  <c r="E2133" i="1" a="1"/>
  <c r="E2133" i="1" s="1"/>
  <c r="D2133" i="1"/>
  <c r="C2133" i="1"/>
  <c r="B2133" i="1"/>
  <c r="A2133" i="1"/>
  <c r="F2132" i="1" a="1"/>
  <c r="F2132" i="1" s="1"/>
  <c r="E2132" i="1" a="1"/>
  <c r="E2132" i="1" s="1"/>
  <c r="D2132" i="1"/>
  <c r="C2132" i="1"/>
  <c r="B2132" i="1"/>
  <c r="A2132" i="1"/>
  <c r="F2131" i="1" a="1"/>
  <c r="F2131" i="1" s="1"/>
  <c r="E2131" i="1"/>
  <c r="E2131" i="1" a="1"/>
  <c r="D2131" i="1"/>
  <c r="C2131" i="1"/>
  <c r="B2131" i="1"/>
  <c r="A2131" i="1"/>
  <c r="F2130" i="1" a="1"/>
  <c r="F2130" i="1" s="1"/>
  <c r="E2130" i="1" a="1"/>
  <c r="E2130" i="1" s="1"/>
  <c r="D2130" i="1"/>
  <c r="C2130" i="1"/>
  <c r="B2130" i="1"/>
  <c r="A2130" i="1"/>
  <c r="F2129" i="1" a="1"/>
  <c r="F2129" i="1" s="1"/>
  <c r="E2129" i="1" a="1"/>
  <c r="E2129" i="1" s="1"/>
  <c r="D2129" i="1"/>
  <c r="C2129" i="1"/>
  <c r="B2129" i="1"/>
  <c r="A2129" i="1"/>
  <c r="F2128" i="1" a="1"/>
  <c r="F2128" i="1" s="1"/>
  <c r="E2128" i="1" a="1"/>
  <c r="E2128" i="1" s="1"/>
  <c r="D2128" i="1"/>
  <c r="C2128" i="1"/>
  <c r="B2128" i="1"/>
  <c r="A2128" i="1"/>
  <c r="F2127" i="1" a="1"/>
  <c r="F2127" i="1" s="1"/>
  <c r="E2127" i="1" a="1"/>
  <c r="E2127" i="1" s="1"/>
  <c r="D2127" i="1"/>
  <c r="C2127" i="1"/>
  <c r="B2127" i="1"/>
  <c r="A2127" i="1"/>
  <c r="F2126" i="1" a="1"/>
  <c r="F2126" i="1" s="1"/>
  <c r="E2126" i="1"/>
  <c r="E2126" i="1" a="1"/>
  <c r="D2126" i="1"/>
  <c r="C2126" i="1"/>
  <c r="B2126" i="1"/>
  <c r="A2126" i="1"/>
  <c r="F2125" i="1" a="1"/>
  <c r="F2125" i="1" s="1"/>
  <c r="E2125" i="1" a="1"/>
  <c r="E2125" i="1" s="1"/>
  <c r="D2125" i="1"/>
  <c r="C2125" i="1"/>
  <c r="B2125" i="1"/>
  <c r="A2125" i="1"/>
  <c r="F2124" i="1" a="1"/>
  <c r="F2124" i="1" s="1"/>
  <c r="E2124" i="1" a="1"/>
  <c r="E2124" i="1" s="1"/>
  <c r="D2124" i="1"/>
  <c r="C2124" i="1"/>
  <c r="B2124" i="1"/>
  <c r="A2124" i="1"/>
  <c r="F2123" i="1" a="1"/>
  <c r="F2123" i="1" s="1"/>
  <c r="E2123" i="1"/>
  <c r="E2123" i="1" a="1"/>
  <c r="D2123" i="1"/>
  <c r="C2123" i="1"/>
  <c r="B2123" i="1"/>
  <c r="A2123" i="1"/>
  <c r="F2122" i="1" a="1"/>
  <c r="F2122" i="1" s="1"/>
  <c r="E2122" i="1" a="1"/>
  <c r="E2122" i="1" s="1"/>
  <c r="D2122" i="1"/>
  <c r="C2122" i="1"/>
  <c r="B2122" i="1"/>
  <c r="A2122" i="1"/>
  <c r="F2121" i="1" a="1"/>
  <c r="F2121" i="1" s="1"/>
  <c r="E2121" i="1" a="1"/>
  <c r="E2121" i="1" s="1"/>
  <c r="D2121" i="1"/>
  <c r="C2121" i="1"/>
  <c r="B2121" i="1"/>
  <c r="A2121" i="1"/>
  <c r="F2120" i="1" a="1"/>
  <c r="F2120" i="1" s="1"/>
  <c r="E2120" i="1" a="1"/>
  <c r="E2120" i="1" s="1"/>
  <c r="D2120" i="1"/>
  <c r="C2120" i="1"/>
  <c r="B2120" i="1"/>
  <c r="A2120" i="1"/>
  <c r="F2119" i="1" a="1"/>
  <c r="F2119" i="1" s="1"/>
  <c r="E2119" i="1" a="1"/>
  <c r="E2119" i="1" s="1"/>
  <c r="D2119" i="1"/>
  <c r="C2119" i="1"/>
  <c r="B2119" i="1"/>
  <c r="A2119" i="1"/>
  <c r="F2118" i="1" a="1"/>
  <c r="F2118" i="1" s="1"/>
  <c r="E2118" i="1"/>
  <c r="E2118" i="1" a="1"/>
  <c r="D2118" i="1"/>
  <c r="C2118" i="1"/>
  <c r="B2118" i="1"/>
  <c r="A2118" i="1"/>
  <c r="F2117" i="1" a="1"/>
  <c r="F2117" i="1" s="1"/>
  <c r="E2117" i="1" a="1"/>
  <c r="E2117" i="1" s="1"/>
  <c r="D2117" i="1"/>
  <c r="C2117" i="1"/>
  <c r="B2117" i="1"/>
  <c r="A2117" i="1"/>
  <c r="F2116" i="1" a="1"/>
  <c r="F2116" i="1" s="1"/>
  <c r="E2116" i="1" a="1"/>
  <c r="E2116" i="1" s="1"/>
  <c r="D2116" i="1"/>
  <c r="C2116" i="1"/>
  <c r="B2116" i="1"/>
  <c r="A2116" i="1"/>
  <c r="F2115" i="1" a="1"/>
  <c r="F2115" i="1" s="1"/>
  <c r="E2115" i="1"/>
  <c r="E2115" i="1" a="1"/>
  <c r="D2115" i="1"/>
  <c r="C2115" i="1"/>
  <c r="B2115" i="1"/>
  <c r="A2115" i="1"/>
  <c r="F2114" i="1" a="1"/>
  <c r="F2114" i="1" s="1"/>
  <c r="E2114" i="1" a="1"/>
  <c r="E2114" i="1" s="1"/>
  <c r="D2114" i="1"/>
  <c r="C2114" i="1"/>
  <c r="B2114" i="1"/>
  <c r="A2114" i="1"/>
  <c r="F2113" i="1" a="1"/>
  <c r="F2113" i="1" s="1"/>
  <c r="E2113" i="1" a="1"/>
  <c r="E2113" i="1" s="1"/>
  <c r="D2113" i="1"/>
  <c r="C2113" i="1"/>
  <c r="B2113" i="1"/>
  <c r="A2113" i="1"/>
  <c r="F2112" i="1" a="1"/>
  <c r="F2112" i="1" s="1"/>
  <c r="E2112" i="1"/>
  <c r="E2112" i="1" a="1"/>
  <c r="D2112" i="1"/>
  <c r="C2112" i="1"/>
  <c r="B2112" i="1"/>
  <c r="A2112" i="1"/>
  <c r="F2111" i="1" a="1"/>
  <c r="F2111" i="1" s="1"/>
  <c r="E2111" i="1" a="1"/>
  <c r="E2111" i="1" s="1"/>
  <c r="D2111" i="1"/>
  <c r="C2111" i="1"/>
  <c r="B2111" i="1"/>
  <c r="A2111" i="1"/>
  <c r="F2110" i="1" a="1"/>
  <c r="F2110" i="1" s="1"/>
  <c r="E2110" i="1"/>
  <c r="E2110" i="1" a="1"/>
  <c r="D2110" i="1"/>
  <c r="C2110" i="1"/>
  <c r="B2110" i="1"/>
  <c r="A2110" i="1"/>
  <c r="F2109" i="1" a="1"/>
  <c r="F2109" i="1" s="1"/>
  <c r="E2109" i="1" a="1"/>
  <c r="E2109" i="1" s="1"/>
  <c r="D2109" i="1"/>
  <c r="C2109" i="1"/>
  <c r="B2109" i="1"/>
  <c r="A2109" i="1"/>
  <c r="F2108" i="1" a="1"/>
  <c r="F2108" i="1" s="1"/>
  <c r="E2108" i="1" a="1"/>
  <c r="E2108" i="1" s="1"/>
  <c r="D2108" i="1"/>
  <c r="C2108" i="1"/>
  <c r="B2108" i="1"/>
  <c r="A2108" i="1"/>
  <c r="F2107" i="1" a="1"/>
  <c r="F2107" i="1" s="1"/>
  <c r="E2107" i="1"/>
  <c r="E2107" i="1" a="1"/>
  <c r="D2107" i="1"/>
  <c r="C2107" i="1"/>
  <c r="B2107" i="1"/>
  <c r="A2107" i="1"/>
  <c r="F2106" i="1" a="1"/>
  <c r="F2106" i="1" s="1"/>
  <c r="E2106" i="1" a="1"/>
  <c r="E2106" i="1" s="1"/>
  <c r="D2106" i="1"/>
  <c r="C2106" i="1"/>
  <c r="B2106" i="1"/>
  <c r="A2106" i="1"/>
  <c r="F2105" i="1" a="1"/>
  <c r="F2105" i="1" s="1"/>
  <c r="E2105" i="1" a="1"/>
  <c r="E2105" i="1" s="1"/>
  <c r="D2105" i="1"/>
  <c r="C2105" i="1"/>
  <c r="B2105" i="1"/>
  <c r="A2105" i="1"/>
  <c r="F2104" i="1" a="1"/>
  <c r="F2104" i="1" s="1"/>
  <c r="E2104" i="1"/>
  <c r="E2104" i="1" a="1"/>
  <c r="D2104" i="1"/>
  <c r="C2104" i="1"/>
  <c r="B2104" i="1"/>
  <c r="A2104" i="1"/>
  <c r="F2103" i="1" a="1"/>
  <c r="F2103" i="1" s="1"/>
  <c r="E2103" i="1" a="1"/>
  <c r="E2103" i="1" s="1"/>
  <c r="D2103" i="1"/>
  <c r="C2103" i="1"/>
  <c r="B2103" i="1"/>
  <c r="A2103" i="1"/>
  <c r="F2102" i="1" a="1"/>
  <c r="F2102" i="1" s="1"/>
  <c r="E2102" i="1"/>
  <c r="E2102" i="1" a="1"/>
  <c r="D2102" i="1"/>
  <c r="C2102" i="1"/>
  <c r="B2102" i="1"/>
  <c r="A2102" i="1"/>
  <c r="F2101" i="1" a="1"/>
  <c r="F2101" i="1" s="1"/>
  <c r="E2101" i="1" a="1"/>
  <c r="E2101" i="1" s="1"/>
  <c r="D2101" i="1"/>
  <c r="C2101" i="1"/>
  <c r="B2101" i="1"/>
  <c r="A2101" i="1"/>
  <c r="F2100" i="1" a="1"/>
  <c r="F2100" i="1" s="1"/>
  <c r="E2100" i="1" a="1"/>
  <c r="E2100" i="1" s="1"/>
  <c r="D2100" i="1"/>
  <c r="C2100" i="1"/>
  <c r="B2100" i="1"/>
  <c r="A2100" i="1"/>
  <c r="F2099" i="1" a="1"/>
  <c r="F2099" i="1" s="1"/>
  <c r="E2099" i="1"/>
  <c r="E2099" i="1" a="1"/>
  <c r="D2099" i="1"/>
  <c r="C2099" i="1"/>
  <c r="B2099" i="1"/>
  <c r="A2099" i="1"/>
  <c r="F2098" i="1" a="1"/>
  <c r="F2098" i="1" s="1"/>
  <c r="E2098" i="1" a="1"/>
  <c r="E2098" i="1" s="1"/>
  <c r="D2098" i="1"/>
  <c r="C2098" i="1"/>
  <c r="B2098" i="1"/>
  <c r="A2098" i="1"/>
  <c r="F2097" i="1" a="1"/>
  <c r="F2097" i="1" s="1"/>
  <c r="E2097" i="1" a="1"/>
  <c r="E2097" i="1" s="1"/>
  <c r="D2097" i="1"/>
  <c r="C2097" i="1"/>
  <c r="B2097" i="1"/>
  <c r="A2097" i="1"/>
  <c r="F2096" i="1" a="1"/>
  <c r="F2096" i="1" s="1"/>
  <c r="E2096" i="1" a="1"/>
  <c r="E2096" i="1" s="1"/>
  <c r="D2096" i="1"/>
  <c r="C2096" i="1"/>
  <c r="B2096" i="1"/>
  <c r="A2096" i="1"/>
  <c r="F2095" i="1" a="1"/>
  <c r="F2095" i="1" s="1"/>
  <c r="E2095" i="1" a="1"/>
  <c r="E2095" i="1" s="1"/>
  <c r="D2095" i="1"/>
  <c r="C2095" i="1"/>
  <c r="B2095" i="1"/>
  <c r="A2095" i="1"/>
  <c r="F2094" i="1" a="1"/>
  <c r="F2094" i="1" s="1"/>
  <c r="E2094" i="1"/>
  <c r="E2094" i="1" a="1"/>
  <c r="D2094" i="1"/>
  <c r="C2094" i="1"/>
  <c r="B2094" i="1"/>
  <c r="A2094" i="1"/>
  <c r="F2093" i="1" a="1"/>
  <c r="F2093" i="1" s="1"/>
  <c r="E2093" i="1" a="1"/>
  <c r="E2093" i="1" s="1"/>
  <c r="D2093" i="1"/>
  <c r="C2093" i="1"/>
  <c r="B2093" i="1"/>
  <c r="A2093" i="1"/>
  <c r="F2092" i="1" a="1"/>
  <c r="F2092" i="1" s="1"/>
  <c r="E2092" i="1" a="1"/>
  <c r="E2092" i="1" s="1"/>
  <c r="D2092" i="1"/>
  <c r="C2092" i="1"/>
  <c r="B2092" i="1"/>
  <c r="A2092" i="1"/>
  <c r="F2091" i="1" a="1"/>
  <c r="F2091" i="1" s="1"/>
  <c r="E2091" i="1"/>
  <c r="E2091" i="1" a="1"/>
  <c r="D2091" i="1"/>
  <c r="C2091" i="1"/>
  <c r="B2091" i="1"/>
  <c r="A2091" i="1"/>
  <c r="F2090" i="1" a="1"/>
  <c r="F2090" i="1" s="1"/>
  <c r="E2090" i="1" a="1"/>
  <c r="E2090" i="1" s="1"/>
  <c r="D2090" i="1"/>
  <c r="C2090" i="1"/>
  <c r="B2090" i="1"/>
  <c r="A2090" i="1"/>
  <c r="F2089" i="1" a="1"/>
  <c r="F2089" i="1" s="1"/>
  <c r="E2089" i="1" a="1"/>
  <c r="E2089" i="1" s="1"/>
  <c r="D2089" i="1"/>
  <c r="C2089" i="1"/>
  <c r="B2089" i="1"/>
  <c r="A2089" i="1"/>
  <c r="F2088" i="1" a="1"/>
  <c r="F2088" i="1" s="1"/>
  <c r="E2088" i="1" a="1"/>
  <c r="E2088" i="1" s="1"/>
  <c r="D2088" i="1"/>
  <c r="C2088" i="1"/>
  <c r="B2088" i="1"/>
  <c r="A2088" i="1"/>
  <c r="F2087" i="1" a="1"/>
  <c r="F2087" i="1" s="1"/>
  <c r="E2087" i="1" a="1"/>
  <c r="E2087" i="1" s="1"/>
  <c r="D2087" i="1"/>
  <c r="C2087" i="1"/>
  <c r="B2087" i="1"/>
  <c r="A2087" i="1"/>
  <c r="F2086" i="1" a="1"/>
  <c r="F2086" i="1" s="1"/>
  <c r="E2086" i="1"/>
  <c r="E2086" i="1" a="1"/>
  <c r="D2086" i="1"/>
  <c r="C2086" i="1"/>
  <c r="B2086" i="1"/>
  <c r="A2086" i="1"/>
  <c r="F2085" i="1" a="1"/>
  <c r="F2085" i="1" s="1"/>
  <c r="E2085" i="1" a="1"/>
  <c r="E2085" i="1" s="1"/>
  <c r="D2085" i="1"/>
  <c r="C2085" i="1"/>
  <c r="B2085" i="1"/>
  <c r="A2085" i="1"/>
  <c r="F2084" i="1" a="1"/>
  <c r="F2084" i="1" s="1"/>
  <c r="E2084" i="1" a="1"/>
  <c r="E2084" i="1" s="1"/>
  <c r="D2084" i="1"/>
  <c r="C2084" i="1"/>
  <c r="B2084" i="1"/>
  <c r="A2084" i="1"/>
  <c r="F2083" i="1" a="1"/>
  <c r="F2083" i="1" s="1"/>
  <c r="E2083" i="1"/>
  <c r="E2083" i="1" a="1"/>
  <c r="D2083" i="1"/>
  <c r="C2083" i="1"/>
  <c r="B2083" i="1"/>
  <c r="A2083" i="1"/>
  <c r="F2082" i="1" a="1"/>
  <c r="F2082" i="1" s="1"/>
  <c r="E2082" i="1" a="1"/>
  <c r="E2082" i="1" s="1"/>
  <c r="D2082" i="1"/>
  <c r="C2082" i="1"/>
  <c r="B2082" i="1"/>
  <c r="A2082" i="1"/>
  <c r="F2081" i="1" a="1"/>
  <c r="F2081" i="1" s="1"/>
  <c r="E2081" i="1" a="1"/>
  <c r="E2081" i="1" s="1"/>
  <c r="D2081" i="1"/>
  <c r="C2081" i="1"/>
  <c r="B2081" i="1"/>
  <c r="A2081" i="1"/>
  <c r="F2080" i="1" a="1"/>
  <c r="F2080" i="1" s="1"/>
  <c r="E2080" i="1" a="1"/>
  <c r="E2080" i="1" s="1"/>
  <c r="D2080" i="1"/>
  <c r="C2080" i="1"/>
  <c r="B2080" i="1"/>
  <c r="A2080" i="1"/>
  <c r="F2079" i="1" a="1"/>
  <c r="F2079" i="1" s="1"/>
  <c r="E2079" i="1" a="1"/>
  <c r="E2079" i="1" s="1"/>
  <c r="D2079" i="1"/>
  <c r="C2079" i="1"/>
  <c r="B2079" i="1"/>
  <c r="A2079" i="1"/>
  <c r="F2078" i="1" a="1"/>
  <c r="F2078" i="1" s="1"/>
  <c r="E2078" i="1"/>
  <c r="E2078" i="1" a="1"/>
  <c r="D2078" i="1"/>
  <c r="C2078" i="1"/>
  <c r="B2078" i="1"/>
  <c r="A2078" i="1"/>
  <c r="F2077" i="1" a="1"/>
  <c r="F2077" i="1" s="1"/>
  <c r="E2077" i="1" a="1"/>
  <c r="E2077" i="1" s="1"/>
  <c r="D2077" i="1"/>
  <c r="C2077" i="1"/>
  <c r="B2077" i="1"/>
  <c r="A2077" i="1"/>
  <c r="F2076" i="1" a="1"/>
  <c r="F2076" i="1" s="1"/>
  <c r="E2076" i="1" a="1"/>
  <c r="E2076" i="1" s="1"/>
  <c r="D2076" i="1"/>
  <c r="C2076" i="1"/>
  <c r="B2076" i="1"/>
  <c r="A2076" i="1"/>
  <c r="F2075" i="1" a="1"/>
  <c r="F2075" i="1" s="1"/>
  <c r="E2075" i="1"/>
  <c r="E2075" i="1" a="1"/>
  <c r="D2075" i="1"/>
  <c r="C2075" i="1"/>
  <c r="B2075" i="1"/>
  <c r="A2075" i="1"/>
  <c r="F2074" i="1" a="1"/>
  <c r="F2074" i="1" s="1"/>
  <c r="E2074" i="1" a="1"/>
  <c r="E2074" i="1" s="1"/>
  <c r="D2074" i="1"/>
  <c r="C2074" i="1"/>
  <c r="B2074" i="1"/>
  <c r="A2074" i="1"/>
  <c r="F2073" i="1" a="1"/>
  <c r="F2073" i="1" s="1"/>
  <c r="E2073" i="1" a="1"/>
  <c r="E2073" i="1" s="1"/>
  <c r="D2073" i="1"/>
  <c r="C2073" i="1"/>
  <c r="B2073" i="1"/>
  <c r="A2073" i="1"/>
  <c r="F2072" i="1" a="1"/>
  <c r="F2072" i="1" s="1"/>
  <c r="E2072" i="1" a="1"/>
  <c r="E2072" i="1" s="1"/>
  <c r="D2072" i="1"/>
  <c r="C2072" i="1"/>
  <c r="B2072" i="1"/>
  <c r="A2072" i="1"/>
  <c r="F2071" i="1" a="1"/>
  <c r="F2071" i="1" s="1"/>
  <c r="E2071" i="1" a="1"/>
  <c r="E2071" i="1" s="1"/>
  <c r="D2071" i="1"/>
  <c r="C2071" i="1"/>
  <c r="B2071" i="1"/>
  <c r="A2071" i="1"/>
  <c r="F2070" i="1" a="1"/>
  <c r="F2070" i="1" s="1"/>
  <c r="E2070" i="1"/>
  <c r="E2070" i="1" a="1"/>
  <c r="D2070" i="1"/>
  <c r="C2070" i="1"/>
  <c r="B2070" i="1"/>
  <c r="A2070" i="1"/>
  <c r="F2069" i="1" a="1"/>
  <c r="F2069" i="1" s="1"/>
  <c r="E2069" i="1" a="1"/>
  <c r="E2069" i="1" s="1"/>
  <c r="D2069" i="1"/>
  <c r="C2069" i="1"/>
  <c r="B2069" i="1"/>
  <c r="A2069" i="1"/>
  <c r="F2068" i="1" a="1"/>
  <c r="F2068" i="1" s="1"/>
  <c r="E2068" i="1" a="1"/>
  <c r="E2068" i="1" s="1"/>
  <c r="D2068" i="1"/>
  <c r="C2068" i="1"/>
  <c r="B2068" i="1"/>
  <c r="A2068" i="1"/>
  <c r="F2067" i="1" a="1"/>
  <c r="F2067" i="1" s="1"/>
  <c r="E2067" i="1"/>
  <c r="E2067" i="1" a="1"/>
  <c r="D2067" i="1"/>
  <c r="C2067" i="1"/>
  <c r="B2067" i="1"/>
  <c r="A2067" i="1"/>
  <c r="F2066" i="1" a="1"/>
  <c r="F2066" i="1" s="1"/>
  <c r="E2066" i="1" a="1"/>
  <c r="E2066" i="1" s="1"/>
  <c r="D2066" i="1"/>
  <c r="C2066" i="1"/>
  <c r="B2066" i="1"/>
  <c r="A2066" i="1"/>
  <c r="F2065" i="1" a="1"/>
  <c r="F2065" i="1" s="1"/>
  <c r="E2065" i="1" a="1"/>
  <c r="E2065" i="1" s="1"/>
  <c r="D2065" i="1"/>
  <c r="C2065" i="1"/>
  <c r="B2065" i="1"/>
  <c r="A2065" i="1"/>
  <c r="F2064" i="1" a="1"/>
  <c r="F2064" i="1" s="1"/>
  <c r="E2064" i="1" a="1"/>
  <c r="E2064" i="1" s="1"/>
  <c r="D2064" i="1"/>
  <c r="C2064" i="1"/>
  <c r="B2064" i="1"/>
  <c r="A2064" i="1"/>
  <c r="F2063" i="1" a="1"/>
  <c r="F2063" i="1" s="1"/>
  <c r="E2063" i="1" a="1"/>
  <c r="E2063" i="1" s="1"/>
  <c r="D2063" i="1"/>
  <c r="C2063" i="1"/>
  <c r="B2063" i="1"/>
  <c r="A2063" i="1"/>
  <c r="F2062" i="1" a="1"/>
  <c r="F2062" i="1" s="1"/>
  <c r="E2062" i="1"/>
  <c r="E2062" i="1" a="1"/>
  <c r="D2062" i="1"/>
  <c r="C2062" i="1"/>
  <c r="B2062" i="1"/>
  <c r="A2062" i="1"/>
  <c r="F2061" i="1" a="1"/>
  <c r="F2061" i="1" s="1"/>
  <c r="E2061" i="1" a="1"/>
  <c r="E2061" i="1" s="1"/>
  <c r="D2061" i="1"/>
  <c r="C2061" i="1"/>
  <c r="B2061" i="1"/>
  <c r="A2061" i="1"/>
  <c r="F2060" i="1" a="1"/>
  <c r="F2060" i="1" s="1"/>
  <c r="E2060" i="1" a="1"/>
  <c r="E2060" i="1" s="1"/>
  <c r="D2060" i="1"/>
  <c r="C2060" i="1"/>
  <c r="B2060" i="1"/>
  <c r="A2060" i="1"/>
  <c r="F2059" i="1" a="1"/>
  <c r="F2059" i="1" s="1"/>
  <c r="E2059" i="1"/>
  <c r="E2059" i="1" a="1"/>
  <c r="D2059" i="1"/>
  <c r="C2059" i="1"/>
  <c r="B2059" i="1"/>
  <c r="A2059" i="1"/>
  <c r="F2058" i="1" a="1"/>
  <c r="F2058" i="1" s="1"/>
  <c r="E2058" i="1" a="1"/>
  <c r="E2058" i="1" s="1"/>
  <c r="D2058" i="1"/>
  <c r="C2058" i="1"/>
  <c r="B2058" i="1"/>
  <c r="A2058" i="1"/>
  <c r="F2057" i="1" a="1"/>
  <c r="F2057" i="1" s="1"/>
  <c r="E2057" i="1" a="1"/>
  <c r="E2057" i="1" s="1"/>
  <c r="D2057" i="1"/>
  <c r="C2057" i="1"/>
  <c r="B2057" i="1"/>
  <c r="A2057" i="1"/>
  <c r="F2056" i="1" a="1"/>
  <c r="F2056" i="1" s="1"/>
  <c r="E2056" i="1" a="1"/>
  <c r="E2056" i="1" s="1"/>
  <c r="D2056" i="1"/>
  <c r="C2056" i="1"/>
  <c r="B2056" i="1"/>
  <c r="A2056" i="1"/>
  <c r="F2055" i="1" a="1"/>
  <c r="F2055" i="1" s="1"/>
  <c r="E2055" i="1" a="1"/>
  <c r="E2055" i="1" s="1"/>
  <c r="D2055" i="1"/>
  <c r="C2055" i="1"/>
  <c r="B2055" i="1"/>
  <c r="A2055" i="1"/>
  <c r="F2054" i="1" a="1"/>
  <c r="F2054" i="1" s="1"/>
  <c r="E2054" i="1"/>
  <c r="E2054" i="1" a="1"/>
  <c r="D2054" i="1"/>
  <c r="C2054" i="1"/>
  <c r="B2054" i="1"/>
  <c r="A2054" i="1"/>
  <c r="F2053" i="1" a="1"/>
  <c r="F2053" i="1" s="1"/>
  <c r="E2053" i="1" a="1"/>
  <c r="E2053" i="1" s="1"/>
  <c r="D2053" i="1"/>
  <c r="C2053" i="1"/>
  <c r="B2053" i="1"/>
  <c r="A2053" i="1"/>
  <c r="F2052" i="1" a="1"/>
  <c r="F2052" i="1" s="1"/>
  <c r="E2052" i="1" a="1"/>
  <c r="E2052" i="1" s="1"/>
  <c r="D2052" i="1"/>
  <c r="C2052" i="1"/>
  <c r="B2052" i="1"/>
  <c r="A2052" i="1"/>
  <c r="F2051" i="1" a="1"/>
  <c r="F2051" i="1" s="1"/>
  <c r="E2051" i="1"/>
  <c r="E2051" i="1" a="1"/>
  <c r="D2051" i="1"/>
  <c r="C2051" i="1"/>
  <c r="B2051" i="1"/>
  <c r="A2051" i="1"/>
  <c r="F2050" i="1" a="1"/>
  <c r="F2050" i="1" s="1"/>
  <c r="E2050" i="1" a="1"/>
  <c r="E2050" i="1" s="1"/>
  <c r="D2050" i="1"/>
  <c r="C2050" i="1"/>
  <c r="B2050" i="1"/>
  <c r="A2050" i="1"/>
  <c r="F2049" i="1" a="1"/>
  <c r="F2049" i="1" s="1"/>
  <c r="E2049" i="1" a="1"/>
  <c r="E2049" i="1" s="1"/>
  <c r="D2049" i="1"/>
  <c r="C2049" i="1"/>
  <c r="B2049" i="1"/>
  <c r="A2049" i="1"/>
  <c r="F2048" i="1" a="1"/>
  <c r="F2048" i="1" s="1"/>
  <c r="E2048" i="1" a="1"/>
  <c r="E2048" i="1" s="1"/>
  <c r="D2048" i="1"/>
  <c r="C2048" i="1"/>
  <c r="B2048" i="1"/>
  <c r="A2048" i="1"/>
  <c r="F2047" i="1" a="1"/>
  <c r="F2047" i="1" s="1"/>
  <c r="E2047" i="1" a="1"/>
  <c r="E2047" i="1" s="1"/>
  <c r="D2047" i="1"/>
  <c r="C2047" i="1"/>
  <c r="B2047" i="1"/>
  <c r="A2047" i="1"/>
  <c r="F2046" i="1" a="1"/>
  <c r="F2046" i="1" s="1"/>
  <c r="E2046" i="1"/>
  <c r="E2046" i="1" a="1"/>
  <c r="D2046" i="1"/>
  <c r="C2046" i="1"/>
  <c r="B2046" i="1"/>
  <c r="A2046" i="1"/>
  <c r="F2045" i="1" a="1"/>
  <c r="F2045" i="1" s="1"/>
  <c r="E2045" i="1" a="1"/>
  <c r="E2045" i="1" s="1"/>
  <c r="D2045" i="1"/>
  <c r="C2045" i="1"/>
  <c r="B2045" i="1"/>
  <c r="A2045" i="1"/>
  <c r="F2044" i="1" a="1"/>
  <c r="F2044" i="1" s="1"/>
  <c r="E2044" i="1" a="1"/>
  <c r="E2044" i="1" s="1"/>
  <c r="D2044" i="1"/>
  <c r="C2044" i="1"/>
  <c r="B2044" i="1"/>
  <c r="A2044" i="1"/>
  <c r="F2043" i="1" a="1"/>
  <c r="F2043" i="1" s="1"/>
  <c r="E2043" i="1"/>
  <c r="E2043" i="1" a="1"/>
  <c r="D2043" i="1"/>
  <c r="C2043" i="1"/>
  <c r="B2043" i="1"/>
  <c r="A2043" i="1"/>
  <c r="F2042" i="1" a="1"/>
  <c r="F2042" i="1" s="1"/>
  <c r="E2042" i="1" a="1"/>
  <c r="E2042" i="1" s="1"/>
  <c r="D2042" i="1"/>
  <c r="C2042" i="1"/>
  <c r="B2042" i="1"/>
  <c r="A2042" i="1"/>
  <c r="F2041" i="1" a="1"/>
  <c r="F2041" i="1" s="1"/>
  <c r="E2041" i="1" a="1"/>
  <c r="E2041" i="1" s="1"/>
  <c r="D2041" i="1"/>
  <c r="C2041" i="1"/>
  <c r="B2041" i="1"/>
  <c r="A2041" i="1"/>
  <c r="F2040" i="1" a="1"/>
  <c r="F2040" i="1" s="1"/>
  <c r="E2040" i="1" a="1"/>
  <c r="E2040" i="1" s="1"/>
  <c r="D2040" i="1"/>
  <c r="C2040" i="1"/>
  <c r="B2040" i="1"/>
  <c r="A2040" i="1"/>
  <c r="F2039" i="1" a="1"/>
  <c r="F2039" i="1" s="1"/>
  <c r="E2039" i="1" a="1"/>
  <c r="E2039" i="1" s="1"/>
  <c r="D2039" i="1"/>
  <c r="C2039" i="1"/>
  <c r="B2039" i="1"/>
  <c r="A2039" i="1"/>
  <c r="F2038" i="1" a="1"/>
  <c r="F2038" i="1" s="1"/>
  <c r="E2038" i="1"/>
  <c r="E2038" i="1" a="1"/>
  <c r="D2038" i="1"/>
  <c r="C2038" i="1"/>
  <c r="B2038" i="1"/>
  <c r="A2038" i="1"/>
  <c r="F2037" i="1" a="1"/>
  <c r="F2037" i="1" s="1"/>
  <c r="E2037" i="1" a="1"/>
  <c r="E2037" i="1" s="1"/>
  <c r="D2037" i="1"/>
  <c r="C2037" i="1"/>
  <c r="B2037" i="1"/>
  <c r="A2037" i="1"/>
  <c r="F2036" i="1" a="1"/>
  <c r="F2036" i="1" s="1"/>
  <c r="E2036" i="1" a="1"/>
  <c r="E2036" i="1" s="1"/>
  <c r="D2036" i="1"/>
  <c r="C2036" i="1"/>
  <c r="B2036" i="1"/>
  <c r="A2036" i="1"/>
  <c r="F2035" i="1" a="1"/>
  <c r="F2035" i="1" s="1"/>
  <c r="E2035" i="1"/>
  <c r="E2035" i="1" a="1"/>
  <c r="D2035" i="1"/>
  <c r="C2035" i="1"/>
  <c r="B2035" i="1"/>
  <c r="A2035" i="1"/>
  <c r="F2034" i="1" a="1"/>
  <c r="F2034" i="1" s="1"/>
  <c r="E2034" i="1" a="1"/>
  <c r="E2034" i="1" s="1"/>
  <c r="D2034" i="1"/>
  <c r="C2034" i="1"/>
  <c r="B2034" i="1"/>
  <c r="A2034" i="1"/>
  <c r="F2033" i="1" a="1"/>
  <c r="F2033" i="1" s="1"/>
  <c r="E2033" i="1" a="1"/>
  <c r="E2033" i="1" s="1"/>
  <c r="D2033" i="1"/>
  <c r="C2033" i="1"/>
  <c r="B2033" i="1"/>
  <c r="A2033" i="1"/>
  <c r="F2032" i="1" a="1"/>
  <c r="F2032" i="1" s="1"/>
  <c r="E2032" i="1" a="1"/>
  <c r="E2032" i="1" s="1"/>
  <c r="D2032" i="1"/>
  <c r="C2032" i="1"/>
  <c r="B2032" i="1"/>
  <c r="A2032" i="1"/>
  <c r="F2031" i="1" a="1"/>
  <c r="F2031" i="1" s="1"/>
  <c r="E2031" i="1" a="1"/>
  <c r="E2031" i="1" s="1"/>
  <c r="D2031" i="1"/>
  <c r="C2031" i="1"/>
  <c r="B2031" i="1"/>
  <c r="A2031" i="1"/>
  <c r="F2030" i="1" a="1"/>
  <c r="F2030" i="1" s="1"/>
  <c r="E2030" i="1"/>
  <c r="E2030" i="1" a="1"/>
  <c r="D2030" i="1"/>
  <c r="C2030" i="1"/>
  <c r="B2030" i="1"/>
  <c r="A2030" i="1"/>
  <c r="F2029" i="1" a="1"/>
  <c r="F2029" i="1" s="1"/>
  <c r="E2029" i="1" a="1"/>
  <c r="E2029" i="1" s="1"/>
  <c r="D2029" i="1"/>
  <c r="C2029" i="1"/>
  <c r="B2029" i="1"/>
  <c r="A2029" i="1"/>
  <c r="F2028" i="1" a="1"/>
  <c r="F2028" i="1" s="1"/>
  <c r="E2028" i="1" a="1"/>
  <c r="E2028" i="1" s="1"/>
  <c r="D2028" i="1"/>
  <c r="C2028" i="1"/>
  <c r="B2028" i="1"/>
  <c r="A2028" i="1"/>
  <c r="F2027" i="1" a="1"/>
  <c r="F2027" i="1" s="1"/>
  <c r="E2027" i="1"/>
  <c r="E2027" i="1" a="1"/>
  <c r="D2027" i="1"/>
  <c r="C2027" i="1"/>
  <c r="B2027" i="1"/>
  <c r="A2027" i="1"/>
  <c r="F2026" i="1" a="1"/>
  <c r="F2026" i="1" s="1"/>
  <c r="E2026" i="1" a="1"/>
  <c r="E2026" i="1" s="1"/>
  <c r="D2026" i="1"/>
  <c r="C2026" i="1"/>
  <c r="B2026" i="1"/>
  <c r="A2026" i="1"/>
  <c r="F2025" i="1" a="1"/>
  <c r="F2025" i="1" s="1"/>
  <c r="E2025" i="1" a="1"/>
  <c r="E2025" i="1" s="1"/>
  <c r="D2025" i="1"/>
  <c r="C2025" i="1"/>
  <c r="B2025" i="1"/>
  <c r="A2025" i="1"/>
  <c r="F2024" i="1" a="1"/>
  <c r="F2024" i="1" s="1"/>
  <c r="E2024" i="1" a="1"/>
  <c r="E2024" i="1" s="1"/>
  <c r="D2024" i="1"/>
  <c r="C2024" i="1"/>
  <c r="B2024" i="1"/>
  <c r="A2024" i="1"/>
  <c r="F2023" i="1" a="1"/>
  <c r="F2023" i="1" s="1"/>
  <c r="E2023" i="1" a="1"/>
  <c r="E2023" i="1" s="1"/>
  <c r="D2023" i="1"/>
  <c r="C2023" i="1"/>
  <c r="B2023" i="1"/>
  <c r="A2023" i="1"/>
  <c r="F2022" i="1" a="1"/>
  <c r="F2022" i="1" s="1"/>
  <c r="E2022" i="1"/>
  <c r="E2022" i="1" a="1"/>
  <c r="D2022" i="1"/>
  <c r="C2022" i="1"/>
  <c r="B2022" i="1"/>
  <c r="A2022" i="1"/>
  <c r="F2021" i="1" a="1"/>
  <c r="F2021" i="1" s="1"/>
  <c r="E2021" i="1" a="1"/>
  <c r="E2021" i="1" s="1"/>
  <c r="D2021" i="1"/>
  <c r="C2021" i="1"/>
  <c r="B2021" i="1"/>
  <c r="A2021" i="1"/>
  <c r="F2020" i="1" a="1"/>
  <c r="F2020" i="1" s="1"/>
  <c r="E2020" i="1" a="1"/>
  <c r="E2020" i="1" s="1"/>
  <c r="D2020" i="1"/>
  <c r="C2020" i="1"/>
  <c r="B2020" i="1"/>
  <c r="A2020" i="1"/>
  <c r="F2019" i="1" a="1"/>
  <c r="F2019" i="1" s="1"/>
  <c r="E2019" i="1"/>
  <c r="E2019" i="1" a="1"/>
  <c r="D2019" i="1"/>
  <c r="C2019" i="1"/>
  <c r="B2019" i="1"/>
  <c r="A2019" i="1"/>
  <c r="F2018" i="1" a="1"/>
  <c r="F2018" i="1" s="1"/>
  <c r="E2018" i="1" a="1"/>
  <c r="E2018" i="1" s="1"/>
  <c r="D2018" i="1"/>
  <c r="C2018" i="1"/>
  <c r="B2018" i="1"/>
  <c r="A2018" i="1"/>
  <c r="F2017" i="1" a="1"/>
  <c r="F2017" i="1" s="1"/>
  <c r="E2017" i="1" a="1"/>
  <c r="E2017" i="1" s="1"/>
  <c r="D2017" i="1"/>
  <c r="C2017" i="1"/>
  <c r="B2017" i="1"/>
  <c r="A2017" i="1"/>
  <c r="F2016" i="1" a="1"/>
  <c r="F2016" i="1" s="1"/>
  <c r="E2016" i="1" a="1"/>
  <c r="E2016" i="1" s="1"/>
  <c r="D2016" i="1"/>
  <c r="C2016" i="1"/>
  <c r="B2016" i="1"/>
  <c r="A2016" i="1"/>
  <c r="F2015" i="1" a="1"/>
  <c r="F2015" i="1" s="1"/>
  <c r="E2015" i="1" a="1"/>
  <c r="E2015" i="1" s="1"/>
  <c r="D2015" i="1"/>
  <c r="C2015" i="1"/>
  <c r="B2015" i="1"/>
  <c r="A2015" i="1"/>
  <c r="F2014" i="1" a="1"/>
  <c r="F2014" i="1" s="1"/>
  <c r="E2014" i="1"/>
  <c r="E2014" i="1" a="1"/>
  <c r="D2014" i="1"/>
  <c r="C2014" i="1"/>
  <c r="B2014" i="1"/>
  <c r="A2014" i="1"/>
  <c r="F2013" i="1" a="1"/>
  <c r="F2013" i="1" s="1"/>
  <c r="E2013" i="1" a="1"/>
  <c r="E2013" i="1" s="1"/>
  <c r="D2013" i="1"/>
  <c r="C2013" i="1"/>
  <c r="B2013" i="1"/>
  <c r="A2013" i="1"/>
  <c r="F2012" i="1" a="1"/>
  <c r="F2012" i="1" s="1"/>
  <c r="E2012" i="1" a="1"/>
  <c r="E2012" i="1" s="1"/>
  <c r="D2012" i="1"/>
  <c r="C2012" i="1"/>
  <c r="B2012" i="1"/>
  <c r="A2012" i="1"/>
  <c r="F2011" i="1" a="1"/>
  <c r="F2011" i="1" s="1"/>
  <c r="E2011" i="1"/>
  <c r="E2011" i="1" a="1"/>
  <c r="D2011" i="1"/>
  <c r="C2011" i="1"/>
  <c r="B2011" i="1"/>
  <c r="A2011" i="1"/>
  <c r="F2010" i="1" a="1"/>
  <c r="F2010" i="1" s="1"/>
  <c r="E2010" i="1" a="1"/>
  <c r="E2010" i="1" s="1"/>
  <c r="D2010" i="1"/>
  <c r="C2010" i="1"/>
  <c r="B2010" i="1"/>
  <c r="A2010" i="1"/>
  <c r="F2009" i="1" a="1"/>
  <c r="F2009" i="1" s="1"/>
  <c r="E2009" i="1" a="1"/>
  <c r="E2009" i="1" s="1"/>
  <c r="D2009" i="1"/>
  <c r="C2009" i="1"/>
  <c r="B2009" i="1"/>
  <c r="A2009" i="1"/>
  <c r="F2008" i="1" a="1"/>
  <c r="F2008" i="1" s="1"/>
  <c r="E2008" i="1" a="1"/>
  <c r="E2008" i="1" s="1"/>
  <c r="D2008" i="1"/>
  <c r="C2008" i="1"/>
  <c r="B2008" i="1"/>
  <c r="A2008" i="1"/>
  <c r="F2007" i="1" a="1"/>
  <c r="F2007" i="1" s="1"/>
  <c r="E2007" i="1" a="1"/>
  <c r="E2007" i="1" s="1"/>
  <c r="D2007" i="1"/>
  <c r="C2007" i="1"/>
  <c r="B2007" i="1"/>
  <c r="A2007" i="1"/>
  <c r="F2006" i="1" a="1"/>
  <c r="F2006" i="1" s="1"/>
  <c r="E2006" i="1"/>
  <c r="E2006" i="1" a="1"/>
  <c r="D2006" i="1"/>
  <c r="C2006" i="1"/>
  <c r="B2006" i="1"/>
  <c r="A2006" i="1"/>
  <c r="F2005" i="1" a="1"/>
  <c r="F2005" i="1" s="1"/>
  <c r="E2005" i="1" a="1"/>
  <c r="E2005" i="1" s="1"/>
  <c r="D2005" i="1"/>
  <c r="C2005" i="1"/>
  <c r="B2005" i="1"/>
  <c r="A2005" i="1"/>
  <c r="F2004" i="1" a="1"/>
  <c r="F2004" i="1" s="1"/>
  <c r="E2004" i="1" a="1"/>
  <c r="E2004" i="1" s="1"/>
  <c r="D2004" i="1"/>
  <c r="C2004" i="1"/>
  <c r="B2004" i="1"/>
  <c r="A2004" i="1"/>
  <c r="F2003" i="1" a="1"/>
  <c r="F2003" i="1" s="1"/>
  <c r="E2003" i="1"/>
  <c r="E2003" i="1" a="1"/>
  <c r="D2003" i="1"/>
  <c r="C2003" i="1"/>
  <c r="B2003" i="1"/>
  <c r="A2003" i="1"/>
  <c r="F2002" i="1" a="1"/>
  <c r="F2002" i="1" s="1"/>
  <c r="E2002" i="1" a="1"/>
  <c r="E2002" i="1" s="1"/>
  <c r="D2002" i="1"/>
  <c r="C2002" i="1"/>
  <c r="B2002" i="1"/>
  <c r="A2002" i="1"/>
  <c r="F2001" i="1" a="1"/>
  <c r="F2001" i="1" s="1"/>
  <c r="E2001" i="1" a="1"/>
  <c r="E2001" i="1" s="1"/>
  <c r="D2001" i="1"/>
  <c r="C2001" i="1"/>
  <c r="B2001" i="1"/>
  <c r="A2001" i="1"/>
  <c r="F2000" i="1" a="1"/>
  <c r="F2000" i="1" s="1"/>
  <c r="E2000" i="1" a="1"/>
  <c r="E2000" i="1" s="1"/>
  <c r="D2000" i="1"/>
  <c r="C2000" i="1"/>
  <c r="B2000" i="1"/>
  <c r="A2000" i="1"/>
  <c r="F1999" i="1" a="1"/>
  <c r="F1999" i="1" s="1"/>
  <c r="E1999" i="1" a="1"/>
  <c r="E1999" i="1" s="1"/>
  <c r="D1999" i="1"/>
  <c r="C1999" i="1"/>
  <c r="B1999" i="1"/>
  <c r="A1999" i="1"/>
  <c r="F1998" i="1" a="1"/>
  <c r="F1998" i="1" s="1"/>
  <c r="E1998" i="1"/>
  <c r="E1998" i="1" a="1"/>
  <c r="D1998" i="1"/>
  <c r="C1998" i="1"/>
  <c r="B1998" i="1"/>
  <c r="A1998" i="1"/>
  <c r="F1997" i="1" a="1"/>
  <c r="F1997" i="1" s="1"/>
  <c r="E1997" i="1" a="1"/>
  <c r="E1997" i="1" s="1"/>
  <c r="D1997" i="1"/>
  <c r="C1997" i="1"/>
  <c r="B1997" i="1"/>
  <c r="A1997" i="1"/>
  <c r="F1996" i="1" a="1"/>
  <c r="F1996" i="1" s="1"/>
  <c r="E1996" i="1" a="1"/>
  <c r="E1996" i="1" s="1"/>
  <c r="D1996" i="1"/>
  <c r="C1996" i="1"/>
  <c r="B1996" i="1"/>
  <c r="A1996" i="1"/>
  <c r="F1995" i="1" a="1"/>
  <c r="F1995" i="1" s="1"/>
  <c r="E1995" i="1"/>
  <c r="E1995" i="1" a="1"/>
  <c r="D1995" i="1"/>
  <c r="C1995" i="1"/>
  <c r="B1995" i="1"/>
  <c r="A1995" i="1"/>
  <c r="F1994" i="1" a="1"/>
  <c r="F1994" i="1" s="1"/>
  <c r="E1994" i="1" a="1"/>
  <c r="E1994" i="1" s="1"/>
  <c r="D1994" i="1"/>
  <c r="C1994" i="1"/>
  <c r="B1994" i="1"/>
  <c r="A1994" i="1"/>
  <c r="F1993" i="1" a="1"/>
  <c r="F1993" i="1" s="1"/>
  <c r="E1993" i="1" a="1"/>
  <c r="E1993" i="1" s="1"/>
  <c r="D1993" i="1"/>
  <c r="C1993" i="1"/>
  <c r="B1993" i="1"/>
  <c r="A1993" i="1"/>
  <c r="F1992" i="1" a="1"/>
  <c r="F1992" i="1" s="1"/>
  <c r="E1992" i="1" a="1"/>
  <c r="E1992" i="1" s="1"/>
  <c r="D1992" i="1"/>
  <c r="C1992" i="1"/>
  <c r="B1992" i="1"/>
  <c r="A1992" i="1"/>
  <c r="F1991" i="1" a="1"/>
  <c r="F1991" i="1" s="1"/>
  <c r="E1991" i="1" a="1"/>
  <c r="E1991" i="1" s="1"/>
  <c r="D1991" i="1"/>
  <c r="C1991" i="1"/>
  <c r="B1991" i="1"/>
  <c r="A1991" i="1"/>
  <c r="F1990" i="1" a="1"/>
  <c r="F1990" i="1" s="1"/>
  <c r="E1990" i="1" a="1"/>
  <c r="E1990" i="1" s="1"/>
  <c r="D1990" i="1"/>
  <c r="C1990" i="1"/>
  <c r="B1990" i="1"/>
  <c r="A1990" i="1"/>
  <c r="F1989" i="1" a="1"/>
  <c r="F1989" i="1" s="1"/>
  <c r="E1989" i="1" a="1"/>
  <c r="E1989" i="1" s="1"/>
  <c r="D1989" i="1"/>
  <c r="C1989" i="1"/>
  <c r="B1989" i="1"/>
  <c r="A1989" i="1"/>
  <c r="F1988" i="1" a="1"/>
  <c r="F1988" i="1" s="1"/>
  <c r="E1988" i="1" a="1"/>
  <c r="E1988" i="1" s="1"/>
  <c r="D1988" i="1"/>
  <c r="C1988" i="1"/>
  <c r="B1988" i="1"/>
  <c r="A1988" i="1"/>
  <c r="F1987" i="1" a="1"/>
  <c r="F1987" i="1" s="1"/>
  <c r="E1987" i="1"/>
  <c r="E1987" i="1" a="1"/>
  <c r="D1987" i="1"/>
  <c r="C1987" i="1"/>
  <c r="B1987" i="1"/>
  <c r="A1987" i="1"/>
  <c r="F1986" i="1" a="1"/>
  <c r="F1986" i="1" s="1"/>
  <c r="E1986" i="1" a="1"/>
  <c r="E1986" i="1" s="1"/>
  <c r="D1986" i="1"/>
  <c r="C1986" i="1"/>
  <c r="B1986" i="1"/>
  <c r="A1986" i="1"/>
  <c r="F1985" i="1" a="1"/>
  <c r="F1985" i="1" s="1"/>
  <c r="E1985" i="1" a="1"/>
  <c r="E1985" i="1" s="1"/>
  <c r="D1985" i="1"/>
  <c r="C1985" i="1"/>
  <c r="B1985" i="1"/>
  <c r="A1985" i="1"/>
  <c r="F1984" i="1" a="1"/>
  <c r="F1984" i="1" s="1"/>
  <c r="E1984" i="1" a="1"/>
  <c r="E1984" i="1" s="1"/>
  <c r="D1984" i="1"/>
  <c r="C1984" i="1"/>
  <c r="B1984" i="1"/>
  <c r="A1984" i="1"/>
  <c r="F1983" i="1" a="1"/>
  <c r="F1983" i="1" s="1"/>
  <c r="E1983" i="1" a="1"/>
  <c r="E1983" i="1" s="1"/>
  <c r="D1983" i="1"/>
  <c r="C1983" i="1"/>
  <c r="B1983" i="1"/>
  <c r="A1983" i="1"/>
  <c r="F1982" i="1" a="1"/>
  <c r="F1982" i="1" s="1"/>
  <c r="E1982" i="1" a="1"/>
  <c r="E1982" i="1" s="1"/>
  <c r="D1982" i="1"/>
  <c r="C1982" i="1"/>
  <c r="B1982" i="1"/>
  <c r="A1982" i="1"/>
  <c r="F1981" i="1" a="1"/>
  <c r="F1981" i="1" s="1"/>
  <c r="E1981" i="1" a="1"/>
  <c r="E1981" i="1" s="1"/>
  <c r="D1981" i="1"/>
  <c r="C1981" i="1"/>
  <c r="B1981" i="1"/>
  <c r="A1981" i="1"/>
  <c r="F1980" i="1" a="1"/>
  <c r="F1980" i="1" s="1"/>
  <c r="E1980" i="1" a="1"/>
  <c r="E1980" i="1" s="1"/>
  <c r="D1980" i="1"/>
  <c r="C1980" i="1"/>
  <c r="B1980" i="1"/>
  <c r="A1980" i="1"/>
  <c r="F1979" i="1" a="1"/>
  <c r="F1979" i="1" s="1"/>
  <c r="E1979" i="1"/>
  <c r="E1979" i="1" a="1"/>
  <c r="D1979" i="1"/>
  <c r="C1979" i="1"/>
  <c r="B1979" i="1"/>
  <c r="A1979" i="1"/>
  <c r="F1978" i="1" a="1"/>
  <c r="F1978" i="1" s="1"/>
  <c r="E1978" i="1" a="1"/>
  <c r="E1978" i="1" s="1"/>
  <c r="D1978" i="1"/>
  <c r="C1978" i="1"/>
  <c r="B1978" i="1"/>
  <c r="A1978" i="1"/>
  <c r="F1977" i="1" a="1"/>
  <c r="F1977" i="1" s="1"/>
  <c r="E1977" i="1" a="1"/>
  <c r="E1977" i="1" s="1"/>
  <c r="D1977" i="1"/>
  <c r="C1977" i="1"/>
  <c r="B1977" i="1"/>
  <c r="A1977" i="1"/>
  <c r="F1976" i="1" a="1"/>
  <c r="F1976" i="1" s="1"/>
  <c r="E1976" i="1" a="1"/>
  <c r="E1976" i="1" s="1"/>
  <c r="D1976" i="1"/>
  <c r="C1976" i="1"/>
  <c r="B1976" i="1"/>
  <c r="A1976" i="1"/>
  <c r="F1975" i="1" a="1"/>
  <c r="F1975" i="1" s="1"/>
  <c r="E1975" i="1" a="1"/>
  <c r="E1975" i="1" s="1"/>
  <c r="D1975" i="1"/>
  <c r="C1975" i="1"/>
  <c r="B1975" i="1"/>
  <c r="A1975" i="1"/>
  <c r="F1974" i="1" a="1"/>
  <c r="F1974" i="1" s="1"/>
  <c r="E1974" i="1" a="1"/>
  <c r="E1974" i="1" s="1"/>
  <c r="D1974" i="1"/>
  <c r="C1974" i="1"/>
  <c r="B1974" i="1"/>
  <c r="A1974" i="1"/>
  <c r="F1973" i="1" a="1"/>
  <c r="F1973" i="1" s="1"/>
  <c r="E1973" i="1" a="1"/>
  <c r="E1973" i="1" s="1"/>
  <c r="D1973" i="1"/>
  <c r="C1973" i="1"/>
  <c r="B1973" i="1"/>
  <c r="A1973" i="1"/>
  <c r="F1972" i="1" a="1"/>
  <c r="F1972" i="1" s="1"/>
  <c r="E1972" i="1" a="1"/>
  <c r="E1972" i="1" s="1"/>
  <c r="D1972" i="1"/>
  <c r="C1972" i="1"/>
  <c r="B1972" i="1"/>
  <c r="A1972" i="1"/>
  <c r="F1971" i="1" a="1"/>
  <c r="F1971" i="1" s="1"/>
  <c r="E1971" i="1"/>
  <c r="E1971" i="1" a="1"/>
  <c r="D1971" i="1"/>
  <c r="C1971" i="1"/>
  <c r="B1971" i="1"/>
  <c r="A1971" i="1"/>
  <c r="F1970" i="1" a="1"/>
  <c r="F1970" i="1" s="1"/>
  <c r="E1970" i="1" a="1"/>
  <c r="E1970" i="1" s="1"/>
  <c r="D1970" i="1"/>
  <c r="C1970" i="1"/>
  <c r="B1970" i="1"/>
  <c r="A1970" i="1"/>
  <c r="F1969" i="1" a="1"/>
  <c r="F1969" i="1" s="1"/>
  <c r="E1969" i="1" a="1"/>
  <c r="E1969" i="1" s="1"/>
  <c r="D1969" i="1"/>
  <c r="C1969" i="1"/>
  <c r="B1969" i="1"/>
  <c r="A1969" i="1"/>
  <c r="F1968" i="1" a="1"/>
  <c r="F1968" i="1" s="1"/>
  <c r="E1968" i="1" a="1"/>
  <c r="E1968" i="1" s="1"/>
  <c r="D1968" i="1"/>
  <c r="C1968" i="1"/>
  <c r="B1968" i="1"/>
  <c r="A1968" i="1"/>
  <c r="F1967" i="1" a="1"/>
  <c r="F1967" i="1" s="1"/>
  <c r="E1967" i="1" a="1"/>
  <c r="E1967" i="1" s="1"/>
  <c r="D1967" i="1"/>
  <c r="C1967" i="1"/>
  <c r="B1967" i="1"/>
  <c r="A1967" i="1"/>
  <c r="F1966" i="1" a="1"/>
  <c r="F1966" i="1" s="1"/>
  <c r="E1966" i="1" a="1"/>
  <c r="E1966" i="1" s="1"/>
  <c r="D1966" i="1"/>
  <c r="C1966" i="1"/>
  <c r="B1966" i="1"/>
  <c r="A1966" i="1"/>
  <c r="F1965" i="1" a="1"/>
  <c r="F1965" i="1" s="1"/>
  <c r="E1965" i="1" a="1"/>
  <c r="E1965" i="1" s="1"/>
  <c r="D1965" i="1"/>
  <c r="C1965" i="1"/>
  <c r="B1965" i="1"/>
  <c r="A1965" i="1"/>
  <c r="F1964" i="1" a="1"/>
  <c r="F1964" i="1" s="1"/>
  <c r="E1964" i="1" a="1"/>
  <c r="E1964" i="1" s="1"/>
  <c r="D1964" i="1"/>
  <c r="C1964" i="1"/>
  <c r="B1964" i="1"/>
  <c r="A1964" i="1"/>
  <c r="F1963" i="1" a="1"/>
  <c r="F1963" i="1" s="1"/>
  <c r="E1963" i="1"/>
  <c r="E1963" i="1" a="1"/>
  <c r="D1963" i="1"/>
  <c r="C1963" i="1"/>
  <c r="B1963" i="1"/>
  <c r="A1963" i="1"/>
  <c r="F1962" i="1" a="1"/>
  <c r="F1962" i="1" s="1"/>
  <c r="E1962" i="1" a="1"/>
  <c r="E1962" i="1" s="1"/>
  <c r="D1962" i="1"/>
  <c r="C1962" i="1"/>
  <c r="B1962" i="1"/>
  <c r="A1962" i="1"/>
  <c r="F1961" i="1" a="1"/>
  <c r="F1961" i="1" s="1"/>
  <c r="E1961" i="1" a="1"/>
  <c r="E1961" i="1" s="1"/>
  <c r="D1961" i="1"/>
  <c r="C1961" i="1"/>
  <c r="B1961" i="1"/>
  <c r="A1961" i="1"/>
  <c r="F1960" i="1" a="1"/>
  <c r="F1960" i="1" s="1"/>
  <c r="E1960" i="1" a="1"/>
  <c r="E1960" i="1" s="1"/>
  <c r="D1960" i="1"/>
  <c r="C1960" i="1"/>
  <c r="B1960" i="1"/>
  <c r="A1960" i="1"/>
  <c r="F1959" i="1" a="1"/>
  <c r="F1959" i="1" s="1"/>
  <c r="E1959" i="1" a="1"/>
  <c r="E1959" i="1" s="1"/>
  <c r="D1959" i="1"/>
  <c r="C1959" i="1"/>
  <c r="B1959" i="1"/>
  <c r="A1959" i="1"/>
  <c r="F1958" i="1" a="1"/>
  <c r="F1958" i="1" s="1"/>
  <c r="E1958" i="1" a="1"/>
  <c r="E1958" i="1" s="1"/>
  <c r="D1958" i="1"/>
  <c r="C1958" i="1"/>
  <c r="B1958" i="1"/>
  <c r="A1958" i="1"/>
  <c r="F1957" i="1" a="1"/>
  <c r="F1957" i="1" s="1"/>
  <c r="E1957" i="1" a="1"/>
  <c r="E1957" i="1" s="1"/>
  <c r="D1957" i="1"/>
  <c r="C1957" i="1"/>
  <c r="B1957" i="1"/>
  <c r="A1957" i="1"/>
  <c r="F1956" i="1" a="1"/>
  <c r="F1956" i="1" s="1"/>
  <c r="E1956" i="1" a="1"/>
  <c r="E1956" i="1" s="1"/>
  <c r="D1956" i="1"/>
  <c r="C1956" i="1"/>
  <c r="B1956" i="1"/>
  <c r="A1956" i="1"/>
  <c r="F1955" i="1" a="1"/>
  <c r="F1955" i="1" s="1"/>
  <c r="E1955" i="1"/>
  <c r="E1955" i="1" a="1"/>
  <c r="D1955" i="1"/>
  <c r="C1955" i="1"/>
  <c r="B1955" i="1"/>
  <c r="A1955" i="1"/>
  <c r="F1954" i="1" a="1"/>
  <c r="F1954" i="1" s="1"/>
  <c r="E1954" i="1" a="1"/>
  <c r="E1954" i="1" s="1"/>
  <c r="D1954" i="1"/>
  <c r="C1954" i="1"/>
  <c r="B1954" i="1"/>
  <c r="A1954" i="1"/>
  <c r="F1953" i="1" a="1"/>
  <c r="F1953" i="1" s="1"/>
  <c r="E1953" i="1" a="1"/>
  <c r="E1953" i="1" s="1"/>
  <c r="D1953" i="1"/>
  <c r="C1953" i="1"/>
  <c r="B1953" i="1"/>
  <c r="A1953" i="1"/>
  <c r="F1952" i="1" a="1"/>
  <c r="F1952" i="1" s="1"/>
  <c r="E1952" i="1" a="1"/>
  <c r="E1952" i="1" s="1"/>
  <c r="D1952" i="1"/>
  <c r="C1952" i="1"/>
  <c r="B1952" i="1"/>
  <c r="A1952" i="1"/>
  <c r="F1951" i="1" a="1"/>
  <c r="F1951" i="1" s="1"/>
  <c r="E1951" i="1" a="1"/>
  <c r="E1951" i="1" s="1"/>
  <c r="D1951" i="1"/>
  <c r="C1951" i="1"/>
  <c r="B1951" i="1"/>
  <c r="A1951" i="1"/>
  <c r="F1950" i="1" a="1"/>
  <c r="F1950" i="1" s="1"/>
  <c r="E1950" i="1" a="1"/>
  <c r="E1950" i="1" s="1"/>
  <c r="D1950" i="1"/>
  <c r="C1950" i="1"/>
  <c r="B1950" i="1"/>
  <c r="A1950" i="1"/>
  <c r="F1949" i="1" a="1"/>
  <c r="F1949" i="1" s="1"/>
  <c r="E1949" i="1" a="1"/>
  <c r="E1949" i="1" s="1"/>
  <c r="D1949" i="1"/>
  <c r="C1949" i="1"/>
  <c r="B1949" i="1"/>
  <c r="A1949" i="1"/>
  <c r="F1948" i="1" a="1"/>
  <c r="F1948" i="1" s="1"/>
  <c r="E1948" i="1" a="1"/>
  <c r="E1948" i="1" s="1"/>
  <c r="D1948" i="1"/>
  <c r="C1948" i="1"/>
  <c r="B1948" i="1"/>
  <c r="A1948" i="1"/>
  <c r="F1947" i="1" a="1"/>
  <c r="F1947" i="1" s="1"/>
  <c r="E1947" i="1"/>
  <c r="E1947" i="1" a="1"/>
  <c r="D1947" i="1"/>
  <c r="C1947" i="1"/>
  <c r="B1947" i="1"/>
  <c r="A1947" i="1"/>
  <c r="F1946" i="1" a="1"/>
  <c r="F1946" i="1" s="1"/>
  <c r="E1946" i="1" a="1"/>
  <c r="E1946" i="1" s="1"/>
  <c r="D1946" i="1"/>
  <c r="C1946" i="1"/>
  <c r="B1946" i="1"/>
  <c r="A1946" i="1"/>
  <c r="F1945" i="1" a="1"/>
  <c r="F1945" i="1" s="1"/>
  <c r="E1945" i="1" a="1"/>
  <c r="E1945" i="1" s="1"/>
  <c r="D1945" i="1"/>
  <c r="C1945" i="1"/>
  <c r="B1945" i="1"/>
  <c r="A1945" i="1"/>
  <c r="F1944" i="1" a="1"/>
  <c r="F1944" i="1" s="1"/>
  <c r="E1944" i="1" a="1"/>
  <c r="E1944" i="1" s="1"/>
  <c r="D1944" i="1"/>
  <c r="C1944" i="1"/>
  <c r="B1944" i="1"/>
  <c r="A1944" i="1"/>
  <c r="F1943" i="1" a="1"/>
  <c r="F1943" i="1" s="1"/>
  <c r="E1943" i="1" a="1"/>
  <c r="E1943" i="1" s="1"/>
  <c r="D1943" i="1"/>
  <c r="C1943" i="1"/>
  <c r="B1943" i="1"/>
  <c r="A1943" i="1"/>
  <c r="F1942" i="1" a="1"/>
  <c r="F1942" i="1" s="1"/>
  <c r="E1942" i="1" a="1"/>
  <c r="E1942" i="1" s="1"/>
  <c r="D1942" i="1"/>
  <c r="C1942" i="1"/>
  <c r="B1942" i="1"/>
  <c r="A1942" i="1"/>
  <c r="F1941" i="1" a="1"/>
  <c r="F1941" i="1" s="1"/>
  <c r="E1941" i="1" a="1"/>
  <c r="E1941" i="1" s="1"/>
  <c r="D1941" i="1"/>
  <c r="C1941" i="1"/>
  <c r="B1941" i="1"/>
  <c r="A1941" i="1"/>
  <c r="F1940" i="1" a="1"/>
  <c r="F1940" i="1" s="1"/>
  <c r="E1940" i="1" a="1"/>
  <c r="E1940" i="1" s="1"/>
  <c r="D1940" i="1"/>
  <c r="C1940" i="1"/>
  <c r="B1940" i="1"/>
  <c r="A1940" i="1"/>
  <c r="F1939" i="1" a="1"/>
  <c r="F1939" i="1" s="1"/>
  <c r="E1939" i="1"/>
  <c r="E1939" i="1" a="1"/>
  <c r="D1939" i="1"/>
  <c r="C1939" i="1"/>
  <c r="B1939" i="1"/>
  <c r="A1939" i="1"/>
  <c r="F1938" i="1" a="1"/>
  <c r="F1938" i="1" s="1"/>
  <c r="E1938" i="1" a="1"/>
  <c r="E1938" i="1" s="1"/>
  <c r="D1938" i="1"/>
  <c r="C1938" i="1"/>
  <c r="B1938" i="1"/>
  <c r="A1938" i="1"/>
  <c r="F1937" i="1" a="1"/>
  <c r="F1937" i="1" s="1"/>
  <c r="E1937" i="1" a="1"/>
  <c r="E1937" i="1" s="1"/>
  <c r="D1937" i="1"/>
  <c r="C1937" i="1"/>
  <c r="B1937" i="1"/>
  <c r="A1937" i="1"/>
  <c r="F1936" i="1" a="1"/>
  <c r="F1936" i="1" s="1"/>
  <c r="E1936" i="1" a="1"/>
  <c r="E1936" i="1" s="1"/>
  <c r="D1936" i="1"/>
  <c r="C1936" i="1"/>
  <c r="B1936" i="1"/>
  <c r="A1936" i="1"/>
  <c r="F1935" i="1" a="1"/>
  <c r="F1935" i="1" s="1"/>
  <c r="E1935" i="1" a="1"/>
  <c r="E1935" i="1" s="1"/>
  <c r="D1935" i="1"/>
  <c r="C1935" i="1"/>
  <c r="B1935" i="1"/>
  <c r="A1935" i="1"/>
  <c r="F1934" i="1" a="1"/>
  <c r="F1934" i="1" s="1"/>
  <c r="E1934" i="1"/>
  <c r="E1934" i="1" a="1"/>
  <c r="D1934" i="1"/>
  <c r="C1934" i="1"/>
  <c r="B1934" i="1"/>
  <c r="A1934" i="1"/>
  <c r="F1933" i="1" a="1"/>
  <c r="F1933" i="1" s="1"/>
  <c r="E1933" i="1" a="1"/>
  <c r="E1933" i="1" s="1"/>
  <c r="D1933" i="1"/>
  <c r="C1933" i="1"/>
  <c r="B1933" i="1"/>
  <c r="A1933" i="1"/>
  <c r="F1932" i="1" a="1"/>
  <c r="F1932" i="1" s="1"/>
  <c r="E1932" i="1" a="1"/>
  <c r="E1932" i="1" s="1"/>
  <c r="D1932" i="1"/>
  <c r="C1932" i="1"/>
  <c r="B1932" i="1"/>
  <c r="A1932" i="1"/>
  <c r="F1931" i="1" a="1"/>
  <c r="F1931" i="1" s="1"/>
  <c r="E1931" i="1"/>
  <c r="E1931" i="1" a="1"/>
  <c r="D1931" i="1"/>
  <c r="C1931" i="1"/>
  <c r="B1931" i="1"/>
  <c r="A1931" i="1"/>
  <c r="F1930" i="1" a="1"/>
  <c r="F1930" i="1" s="1"/>
  <c r="E1930" i="1" a="1"/>
  <c r="E1930" i="1" s="1"/>
  <c r="D1930" i="1"/>
  <c r="C1930" i="1"/>
  <c r="B1930" i="1"/>
  <c r="A1930" i="1"/>
  <c r="F1929" i="1" a="1"/>
  <c r="F1929" i="1" s="1"/>
  <c r="E1929" i="1" a="1"/>
  <c r="E1929" i="1" s="1"/>
  <c r="D1929" i="1"/>
  <c r="C1929" i="1"/>
  <c r="B1929" i="1"/>
  <c r="A1929" i="1"/>
  <c r="F1928" i="1" a="1"/>
  <c r="F1928" i="1" s="1"/>
  <c r="E1928" i="1" a="1"/>
  <c r="E1928" i="1" s="1"/>
  <c r="D1928" i="1"/>
  <c r="C1928" i="1"/>
  <c r="B1928" i="1"/>
  <c r="A1928" i="1"/>
  <c r="F1927" i="1" a="1"/>
  <c r="F1927" i="1" s="1"/>
  <c r="E1927" i="1" a="1"/>
  <c r="E1927" i="1" s="1"/>
  <c r="D1927" i="1"/>
  <c r="C1927" i="1"/>
  <c r="B1927" i="1"/>
  <c r="A1927" i="1"/>
  <c r="F1926" i="1" a="1"/>
  <c r="F1926" i="1" s="1"/>
  <c r="E1926" i="1" a="1"/>
  <c r="E1926" i="1" s="1"/>
  <c r="D1926" i="1"/>
  <c r="C1926" i="1"/>
  <c r="B1926" i="1"/>
  <c r="A1926" i="1"/>
  <c r="F1925" i="1" a="1"/>
  <c r="F1925" i="1" s="1"/>
  <c r="E1925" i="1" a="1"/>
  <c r="E1925" i="1" s="1"/>
  <c r="D1925" i="1"/>
  <c r="C1925" i="1"/>
  <c r="B1925" i="1"/>
  <c r="A1925" i="1"/>
  <c r="F1924" i="1" a="1"/>
  <c r="F1924" i="1" s="1"/>
  <c r="E1924" i="1" a="1"/>
  <c r="E1924" i="1" s="1"/>
  <c r="D1924" i="1"/>
  <c r="C1924" i="1"/>
  <c r="B1924" i="1"/>
  <c r="A1924" i="1"/>
  <c r="F1923" i="1" a="1"/>
  <c r="F1923" i="1" s="1"/>
  <c r="E1923" i="1"/>
  <c r="E1923" i="1" a="1"/>
  <c r="D1923" i="1"/>
  <c r="C1923" i="1"/>
  <c r="B1923" i="1"/>
  <c r="A1923" i="1"/>
  <c r="F1922" i="1" a="1"/>
  <c r="F1922" i="1" s="1"/>
  <c r="E1922" i="1" a="1"/>
  <c r="E1922" i="1" s="1"/>
  <c r="D1922" i="1"/>
  <c r="C1922" i="1"/>
  <c r="B1922" i="1"/>
  <c r="A1922" i="1"/>
  <c r="F1921" i="1" a="1"/>
  <c r="F1921" i="1" s="1"/>
  <c r="E1921" i="1" a="1"/>
  <c r="E1921" i="1" s="1"/>
  <c r="D1921" i="1"/>
  <c r="C1921" i="1"/>
  <c r="B1921" i="1"/>
  <c r="A1921" i="1"/>
  <c r="F1920" i="1" a="1"/>
  <c r="F1920" i="1" s="1"/>
  <c r="E1920" i="1" a="1"/>
  <c r="E1920" i="1" s="1"/>
  <c r="D1920" i="1"/>
  <c r="C1920" i="1"/>
  <c r="B1920" i="1"/>
  <c r="A1920" i="1"/>
  <c r="F1919" i="1" a="1"/>
  <c r="F1919" i="1" s="1"/>
  <c r="E1919" i="1" a="1"/>
  <c r="E1919" i="1" s="1"/>
  <c r="D1919" i="1"/>
  <c r="C1919" i="1"/>
  <c r="B1919" i="1"/>
  <c r="A1919" i="1"/>
  <c r="F1918" i="1" a="1"/>
  <c r="F1918" i="1" s="1"/>
  <c r="E1918" i="1" a="1"/>
  <c r="E1918" i="1" s="1"/>
  <c r="D1918" i="1"/>
  <c r="C1918" i="1"/>
  <c r="B1918" i="1"/>
  <c r="A1918" i="1"/>
  <c r="F1917" i="1" a="1"/>
  <c r="F1917" i="1" s="1"/>
  <c r="E1917" i="1" a="1"/>
  <c r="E1917" i="1" s="1"/>
  <c r="D1917" i="1"/>
  <c r="C1917" i="1"/>
  <c r="B1917" i="1"/>
  <c r="A1917" i="1"/>
  <c r="F1916" i="1" a="1"/>
  <c r="F1916" i="1" s="1"/>
  <c r="E1916" i="1" a="1"/>
  <c r="E1916" i="1" s="1"/>
  <c r="D1916" i="1"/>
  <c r="C1916" i="1"/>
  <c r="B1916" i="1"/>
  <c r="A1916" i="1"/>
  <c r="F1915" i="1" a="1"/>
  <c r="F1915" i="1" s="1"/>
  <c r="E1915" i="1"/>
  <c r="E1915" i="1" a="1"/>
  <c r="D1915" i="1"/>
  <c r="C1915" i="1"/>
  <c r="B1915" i="1"/>
  <c r="A1915" i="1"/>
  <c r="F1914" i="1" a="1"/>
  <c r="F1914" i="1" s="1"/>
  <c r="E1914" i="1" a="1"/>
  <c r="E1914" i="1" s="1"/>
  <c r="D1914" i="1"/>
  <c r="C1914" i="1"/>
  <c r="B1914" i="1"/>
  <c r="A1914" i="1"/>
  <c r="F1913" i="1" a="1"/>
  <c r="F1913" i="1" s="1"/>
  <c r="E1913" i="1" a="1"/>
  <c r="E1913" i="1" s="1"/>
  <c r="D1913" i="1"/>
  <c r="C1913" i="1"/>
  <c r="B1913" i="1"/>
  <c r="A1913" i="1"/>
  <c r="F1912" i="1" a="1"/>
  <c r="F1912" i="1" s="1"/>
  <c r="E1912" i="1" a="1"/>
  <c r="E1912" i="1" s="1"/>
  <c r="D1912" i="1"/>
  <c r="C1912" i="1"/>
  <c r="B1912" i="1"/>
  <c r="A1912" i="1"/>
  <c r="F1911" i="1" a="1"/>
  <c r="F1911" i="1" s="1"/>
  <c r="E1911" i="1" a="1"/>
  <c r="E1911" i="1" s="1"/>
  <c r="D1911" i="1"/>
  <c r="C1911" i="1"/>
  <c r="B1911" i="1"/>
  <c r="A1911" i="1"/>
  <c r="F1910" i="1" a="1"/>
  <c r="F1910" i="1" s="1"/>
  <c r="E1910" i="1" a="1"/>
  <c r="E1910" i="1" s="1"/>
  <c r="D1910" i="1"/>
  <c r="C1910" i="1"/>
  <c r="B1910" i="1"/>
  <c r="A1910" i="1"/>
  <c r="F1909" i="1" a="1"/>
  <c r="F1909" i="1" s="1"/>
  <c r="E1909" i="1" a="1"/>
  <c r="E1909" i="1" s="1"/>
  <c r="D1909" i="1"/>
  <c r="C1909" i="1"/>
  <c r="B1909" i="1"/>
  <c r="A1909" i="1"/>
  <c r="F1908" i="1" a="1"/>
  <c r="F1908" i="1" s="1"/>
  <c r="E1908" i="1" a="1"/>
  <c r="E1908" i="1" s="1"/>
  <c r="D1908" i="1"/>
  <c r="C1908" i="1"/>
  <c r="B1908" i="1"/>
  <c r="A1908" i="1"/>
  <c r="F1907" i="1" a="1"/>
  <c r="F1907" i="1" s="1"/>
  <c r="E1907" i="1"/>
  <c r="E1907" i="1" a="1"/>
  <c r="D1907" i="1"/>
  <c r="C1907" i="1"/>
  <c r="B1907" i="1"/>
  <c r="A1907" i="1"/>
  <c r="F1906" i="1" a="1"/>
  <c r="F1906" i="1" s="1"/>
  <c r="E1906" i="1" a="1"/>
  <c r="E1906" i="1" s="1"/>
  <c r="D1906" i="1"/>
  <c r="C1906" i="1"/>
  <c r="B1906" i="1"/>
  <c r="A1906" i="1"/>
  <c r="F1905" i="1" a="1"/>
  <c r="F1905" i="1" s="1"/>
  <c r="E1905" i="1" a="1"/>
  <c r="E1905" i="1" s="1"/>
  <c r="D1905" i="1"/>
  <c r="C1905" i="1"/>
  <c r="B1905" i="1"/>
  <c r="A1905" i="1"/>
  <c r="F1904" i="1" a="1"/>
  <c r="F1904" i="1" s="1"/>
  <c r="E1904" i="1" a="1"/>
  <c r="E1904" i="1" s="1"/>
  <c r="D1904" i="1"/>
  <c r="C1904" i="1"/>
  <c r="B1904" i="1"/>
  <c r="A1904" i="1"/>
  <c r="F1903" i="1" a="1"/>
  <c r="F1903" i="1" s="1"/>
  <c r="E1903" i="1" a="1"/>
  <c r="E1903" i="1" s="1"/>
  <c r="D1903" i="1"/>
  <c r="C1903" i="1"/>
  <c r="B1903" i="1"/>
  <c r="A1903" i="1"/>
  <c r="F1902" i="1" a="1"/>
  <c r="F1902" i="1" s="1"/>
  <c r="E1902" i="1"/>
  <c r="E1902" i="1" a="1"/>
  <c r="D1902" i="1"/>
  <c r="C1902" i="1"/>
  <c r="B1902" i="1"/>
  <c r="A1902" i="1"/>
  <c r="F1901" i="1" a="1"/>
  <c r="F1901" i="1" s="1"/>
  <c r="E1901" i="1" a="1"/>
  <c r="E1901" i="1" s="1"/>
  <c r="D1901" i="1"/>
  <c r="C1901" i="1"/>
  <c r="B1901" i="1"/>
  <c r="A1901" i="1"/>
  <c r="F1900" i="1" a="1"/>
  <c r="F1900" i="1" s="1"/>
  <c r="E1900" i="1" a="1"/>
  <c r="E1900" i="1" s="1"/>
  <c r="D1900" i="1"/>
  <c r="C1900" i="1"/>
  <c r="B1900" i="1"/>
  <c r="A1900" i="1"/>
  <c r="F1899" i="1" a="1"/>
  <c r="F1899" i="1" s="1"/>
  <c r="E1899" i="1"/>
  <c r="E1899" i="1" a="1"/>
  <c r="D1899" i="1"/>
  <c r="C1899" i="1"/>
  <c r="B1899" i="1"/>
  <c r="A1899" i="1"/>
  <c r="F1898" i="1" a="1"/>
  <c r="F1898" i="1" s="1"/>
  <c r="E1898" i="1" a="1"/>
  <c r="E1898" i="1" s="1"/>
  <c r="D1898" i="1"/>
  <c r="C1898" i="1"/>
  <c r="B1898" i="1"/>
  <c r="A1898" i="1"/>
  <c r="F1897" i="1" a="1"/>
  <c r="F1897" i="1" s="1"/>
  <c r="E1897" i="1"/>
  <c r="E1897" i="1" a="1"/>
  <c r="D1897" i="1"/>
  <c r="C1897" i="1"/>
  <c r="B1897" i="1"/>
  <c r="A1897" i="1"/>
  <c r="F1896" i="1" a="1"/>
  <c r="F1896" i="1" s="1"/>
  <c r="E1896" i="1"/>
  <c r="E1896" i="1" a="1"/>
  <c r="D1896" i="1"/>
  <c r="C1896" i="1"/>
  <c r="B1896" i="1"/>
  <c r="A1896" i="1"/>
  <c r="F1895" i="1" a="1"/>
  <c r="F1895" i="1" s="1"/>
  <c r="E1895" i="1" a="1"/>
  <c r="E1895" i="1" s="1"/>
  <c r="D1895" i="1"/>
  <c r="C1895" i="1"/>
  <c r="B1895" i="1"/>
  <c r="A1895" i="1"/>
  <c r="F1894" i="1" a="1"/>
  <c r="F1894" i="1" s="1"/>
  <c r="E1894" i="1" a="1"/>
  <c r="E1894" i="1" s="1"/>
  <c r="D1894" i="1"/>
  <c r="C1894" i="1"/>
  <c r="B1894" i="1"/>
  <c r="A1894" i="1"/>
  <c r="F1893" i="1" a="1"/>
  <c r="F1893" i="1" s="1"/>
  <c r="E1893" i="1" a="1"/>
  <c r="E1893" i="1" s="1"/>
  <c r="D1893" i="1"/>
  <c r="C1893" i="1"/>
  <c r="B1893" i="1"/>
  <c r="A1893" i="1"/>
  <c r="F1892" i="1" a="1"/>
  <c r="F1892" i="1" s="1"/>
  <c r="E1892" i="1" a="1"/>
  <c r="E1892" i="1" s="1"/>
  <c r="D1892" i="1"/>
  <c r="C1892" i="1"/>
  <c r="B1892" i="1"/>
  <c r="A1892" i="1"/>
  <c r="F1891" i="1"/>
  <c r="F1891" i="1" a="1"/>
  <c r="E1891" i="1" a="1"/>
  <c r="E1891" i="1" s="1"/>
  <c r="D1891" i="1"/>
  <c r="C1891" i="1"/>
  <c r="B1891" i="1"/>
  <c r="A1891" i="1"/>
  <c r="F1890" i="1"/>
  <c r="F1890" i="1" a="1"/>
  <c r="E1890" i="1" a="1"/>
  <c r="E1890" i="1" s="1"/>
  <c r="D1890" i="1"/>
  <c r="C1890" i="1"/>
  <c r="B1890" i="1"/>
  <c r="A1890" i="1"/>
  <c r="F1889" i="1" a="1"/>
  <c r="F1889" i="1" s="1"/>
  <c r="E1889" i="1" a="1"/>
  <c r="E1889" i="1" s="1"/>
  <c r="D1889" i="1"/>
  <c r="C1889" i="1"/>
  <c r="B1889" i="1"/>
  <c r="A1889" i="1"/>
  <c r="F1888" i="1" a="1"/>
  <c r="F1888" i="1" s="1"/>
  <c r="E1888" i="1" a="1"/>
  <c r="E1888" i="1" s="1"/>
  <c r="D1888" i="1"/>
  <c r="C1888" i="1"/>
  <c r="B1888" i="1"/>
  <c r="A1888" i="1"/>
  <c r="F1887" i="1" a="1"/>
  <c r="F1887" i="1" s="1"/>
  <c r="E1887" i="1" a="1"/>
  <c r="E1887" i="1" s="1"/>
  <c r="D1887" i="1"/>
  <c r="C1887" i="1"/>
  <c r="B1887" i="1"/>
  <c r="A1887" i="1"/>
  <c r="F1886" i="1"/>
  <c r="F1886" i="1" a="1"/>
  <c r="E1886" i="1" a="1"/>
  <c r="E1886" i="1" s="1"/>
  <c r="D1886" i="1"/>
  <c r="C1886" i="1"/>
  <c r="B1886" i="1"/>
  <c r="A1886" i="1"/>
  <c r="F1885" i="1"/>
  <c r="F1885" i="1" a="1"/>
  <c r="E1885" i="1" a="1"/>
  <c r="E1885" i="1" s="1"/>
  <c r="D1885" i="1"/>
  <c r="C1885" i="1"/>
  <c r="B1885" i="1"/>
  <c r="A1885" i="1"/>
  <c r="F1884" i="1" a="1"/>
  <c r="F1884" i="1" s="1"/>
  <c r="E1884" i="1" a="1"/>
  <c r="E1884" i="1" s="1"/>
  <c r="D1884" i="1"/>
  <c r="C1884" i="1"/>
  <c r="B1884" i="1"/>
  <c r="A1884" i="1"/>
  <c r="F1883" i="1"/>
  <c r="F1883" i="1" a="1"/>
  <c r="E1883" i="1" a="1"/>
  <c r="E1883" i="1" s="1"/>
  <c r="D1883" i="1"/>
  <c r="C1883" i="1"/>
  <c r="B1883" i="1"/>
  <c r="A1883" i="1"/>
  <c r="F1882" i="1"/>
  <c r="F1882" i="1" a="1"/>
  <c r="E1882" i="1" a="1"/>
  <c r="E1882" i="1" s="1"/>
  <c r="D1882" i="1"/>
  <c r="C1882" i="1"/>
  <c r="B1882" i="1"/>
  <c r="A1882" i="1"/>
  <c r="F1881" i="1" a="1"/>
  <c r="F1881" i="1" s="1"/>
  <c r="E1881" i="1" a="1"/>
  <c r="E1881" i="1" s="1"/>
  <c r="D1881" i="1"/>
  <c r="C1881" i="1"/>
  <c r="B1881" i="1"/>
  <c r="A1881" i="1"/>
  <c r="F1880" i="1" a="1"/>
  <c r="F1880" i="1" s="1"/>
  <c r="E1880" i="1" a="1"/>
  <c r="E1880" i="1" s="1"/>
  <c r="D1880" i="1"/>
  <c r="C1880" i="1"/>
  <c r="B1880" i="1"/>
  <c r="A1880" i="1"/>
  <c r="F1879" i="1" a="1"/>
  <c r="F1879" i="1" s="1"/>
  <c r="E1879" i="1" a="1"/>
  <c r="E1879" i="1" s="1"/>
  <c r="D1879" i="1"/>
  <c r="C1879" i="1"/>
  <c r="B1879" i="1"/>
  <c r="A1879" i="1"/>
  <c r="F1878" i="1"/>
  <c r="F1878" i="1" a="1"/>
  <c r="E1878" i="1" a="1"/>
  <c r="E1878" i="1" s="1"/>
  <c r="D1878" i="1"/>
  <c r="C1878" i="1"/>
  <c r="B1878" i="1"/>
  <c r="A1878" i="1"/>
  <c r="F1877" i="1"/>
  <c r="F1877" i="1" a="1"/>
  <c r="E1877" i="1" a="1"/>
  <c r="E1877" i="1" s="1"/>
  <c r="D1877" i="1"/>
  <c r="C1877" i="1"/>
  <c r="B1877" i="1"/>
  <c r="A1877" i="1"/>
  <c r="F1876" i="1" a="1"/>
  <c r="F1876" i="1" s="1"/>
  <c r="E1876" i="1" a="1"/>
  <c r="E1876" i="1" s="1"/>
  <c r="D1876" i="1"/>
  <c r="C1876" i="1"/>
  <c r="B1876" i="1"/>
  <c r="A1876" i="1"/>
  <c r="F1875" i="1"/>
  <c r="F1875" i="1" a="1"/>
  <c r="E1875" i="1" a="1"/>
  <c r="E1875" i="1" s="1"/>
  <c r="D1875" i="1"/>
  <c r="C1875" i="1"/>
  <c r="B1875" i="1"/>
  <c r="A1875" i="1"/>
  <c r="F1874" i="1"/>
  <c r="F1874" i="1" a="1"/>
  <c r="E1874" i="1" a="1"/>
  <c r="E1874" i="1" s="1"/>
  <c r="D1874" i="1"/>
  <c r="C1874" i="1"/>
  <c r="B1874" i="1"/>
  <c r="A1874" i="1"/>
  <c r="F1873" i="1" a="1"/>
  <c r="F1873" i="1" s="1"/>
  <c r="E1873" i="1" a="1"/>
  <c r="E1873" i="1" s="1"/>
  <c r="D1873" i="1"/>
  <c r="C1873" i="1"/>
  <c r="B1873" i="1"/>
  <c r="A1873" i="1"/>
  <c r="F1872" i="1" a="1"/>
  <c r="F1872" i="1" s="1"/>
  <c r="E1872" i="1" a="1"/>
  <c r="E1872" i="1" s="1"/>
  <c r="D1872" i="1"/>
  <c r="C1872" i="1"/>
  <c r="B1872" i="1"/>
  <c r="A1872" i="1"/>
  <c r="F1871" i="1" a="1"/>
  <c r="F1871" i="1" s="1"/>
  <c r="E1871" i="1" a="1"/>
  <c r="E1871" i="1" s="1"/>
  <c r="D1871" i="1"/>
  <c r="C1871" i="1"/>
  <c r="B1871" i="1"/>
  <c r="A1871" i="1"/>
  <c r="F1870" i="1"/>
  <c r="F1870" i="1" a="1"/>
  <c r="E1870" i="1" a="1"/>
  <c r="E1870" i="1" s="1"/>
  <c r="D1870" i="1"/>
  <c r="C1870" i="1"/>
  <c r="B1870" i="1"/>
  <c r="A1870" i="1"/>
  <c r="F1869" i="1"/>
  <c r="F1869" i="1" a="1"/>
  <c r="E1869" i="1" a="1"/>
  <c r="E1869" i="1" s="1"/>
  <c r="D1869" i="1"/>
  <c r="C1869" i="1"/>
  <c r="B1869" i="1"/>
  <c r="A1869" i="1"/>
  <c r="F1868" i="1" a="1"/>
  <c r="F1868" i="1" s="1"/>
  <c r="E1868" i="1" a="1"/>
  <c r="E1868" i="1" s="1"/>
  <c r="D1868" i="1"/>
  <c r="C1868" i="1"/>
  <c r="B1868" i="1"/>
  <c r="A1868" i="1"/>
  <c r="F1867" i="1"/>
  <c r="F1867" i="1" a="1"/>
  <c r="E1867" i="1" a="1"/>
  <c r="E1867" i="1" s="1"/>
  <c r="D1867" i="1"/>
  <c r="C1867" i="1"/>
  <c r="B1867" i="1"/>
  <c r="A1867" i="1"/>
  <c r="F1866" i="1"/>
  <c r="F1866" i="1" a="1"/>
  <c r="E1866" i="1" a="1"/>
  <c r="E1866" i="1" s="1"/>
  <c r="D1866" i="1"/>
  <c r="C1866" i="1"/>
  <c r="B1866" i="1"/>
  <c r="A1866" i="1"/>
  <c r="F1865" i="1" a="1"/>
  <c r="F1865" i="1" s="1"/>
  <c r="E1865" i="1" a="1"/>
  <c r="E1865" i="1" s="1"/>
  <c r="D1865" i="1"/>
  <c r="C1865" i="1"/>
  <c r="B1865" i="1"/>
  <c r="A1865" i="1"/>
  <c r="F1864" i="1" a="1"/>
  <c r="F1864" i="1" s="1"/>
  <c r="E1864" i="1" a="1"/>
  <c r="E1864" i="1" s="1"/>
  <c r="D1864" i="1"/>
  <c r="C1864" i="1"/>
  <c r="B1864" i="1"/>
  <c r="A1864" i="1"/>
  <c r="F1863" i="1" a="1"/>
  <c r="F1863" i="1" s="1"/>
  <c r="E1863" i="1" a="1"/>
  <c r="E1863" i="1" s="1"/>
  <c r="D1863" i="1"/>
  <c r="C1863" i="1"/>
  <c r="B1863" i="1"/>
  <c r="A1863" i="1"/>
  <c r="F1862" i="1"/>
  <c r="F1862" i="1" a="1"/>
  <c r="E1862" i="1" a="1"/>
  <c r="E1862" i="1" s="1"/>
  <c r="D1862" i="1"/>
  <c r="C1862" i="1"/>
  <c r="B1862" i="1"/>
  <c r="A1862" i="1"/>
  <c r="F1861" i="1"/>
  <c r="F1861" i="1" a="1"/>
  <c r="E1861" i="1" a="1"/>
  <c r="E1861" i="1" s="1"/>
  <c r="D1861" i="1"/>
  <c r="C1861" i="1"/>
  <c r="B1861" i="1"/>
  <c r="A1861" i="1"/>
  <c r="F1860" i="1" a="1"/>
  <c r="F1860" i="1" s="1"/>
  <c r="E1860" i="1" a="1"/>
  <c r="E1860" i="1" s="1"/>
  <c r="D1860" i="1"/>
  <c r="C1860" i="1"/>
  <c r="B1860" i="1"/>
  <c r="A1860" i="1"/>
  <c r="F1859" i="1"/>
  <c r="F1859" i="1" a="1"/>
  <c r="E1859" i="1" a="1"/>
  <c r="E1859" i="1" s="1"/>
  <c r="D1859" i="1"/>
  <c r="C1859" i="1"/>
  <c r="B1859" i="1"/>
  <c r="A1859" i="1"/>
  <c r="F1858" i="1"/>
  <c r="F1858" i="1" a="1"/>
  <c r="E1858" i="1" a="1"/>
  <c r="E1858" i="1" s="1"/>
  <c r="D1858" i="1"/>
  <c r="C1858" i="1"/>
  <c r="B1858" i="1"/>
  <c r="A1858" i="1"/>
  <c r="F1857" i="1" a="1"/>
  <c r="F1857" i="1" s="1"/>
  <c r="E1857" i="1" a="1"/>
  <c r="E1857" i="1" s="1"/>
  <c r="D1857" i="1"/>
  <c r="C1857" i="1"/>
  <c r="B1857" i="1"/>
  <c r="A1857" i="1"/>
  <c r="F1856" i="1" a="1"/>
  <c r="F1856" i="1" s="1"/>
  <c r="E1856" i="1" a="1"/>
  <c r="E1856" i="1" s="1"/>
  <c r="D1856" i="1"/>
  <c r="C1856" i="1"/>
  <c r="B1856" i="1"/>
  <c r="A1856" i="1"/>
  <c r="F1855" i="1" a="1"/>
  <c r="F1855" i="1" s="1"/>
  <c r="E1855" i="1" a="1"/>
  <c r="E1855" i="1" s="1"/>
  <c r="D1855" i="1"/>
  <c r="C1855" i="1"/>
  <c r="B1855" i="1"/>
  <c r="A1855" i="1"/>
  <c r="F1854" i="1"/>
  <c r="F1854" i="1" a="1"/>
  <c r="E1854" i="1" a="1"/>
  <c r="E1854" i="1" s="1"/>
  <c r="D1854" i="1"/>
  <c r="C1854" i="1"/>
  <c r="B1854" i="1"/>
  <c r="A1854" i="1"/>
  <c r="F1853" i="1"/>
  <c r="F1853" i="1" a="1"/>
  <c r="E1853" i="1" a="1"/>
  <c r="E1853" i="1" s="1"/>
  <c r="D1853" i="1"/>
  <c r="C1853" i="1"/>
  <c r="B1853" i="1"/>
  <c r="A1853" i="1"/>
  <c r="F1852" i="1" a="1"/>
  <c r="F1852" i="1" s="1"/>
  <c r="E1852" i="1" a="1"/>
  <c r="E1852" i="1" s="1"/>
  <c r="D1852" i="1"/>
  <c r="C1852" i="1"/>
  <c r="B1852" i="1"/>
  <c r="A1852" i="1"/>
  <c r="F1851" i="1"/>
  <c r="F1851" i="1" a="1"/>
  <c r="E1851" i="1" a="1"/>
  <c r="E1851" i="1" s="1"/>
  <c r="D1851" i="1"/>
  <c r="C1851" i="1"/>
  <c r="B1851" i="1"/>
  <c r="A1851" i="1"/>
  <c r="F1850" i="1"/>
  <c r="F1850" i="1" a="1"/>
  <c r="E1850" i="1" a="1"/>
  <c r="E1850" i="1" s="1"/>
  <c r="D1850" i="1"/>
  <c r="C1850" i="1"/>
  <c r="B1850" i="1"/>
  <c r="A1850" i="1"/>
  <c r="F1849" i="1" a="1"/>
  <c r="F1849" i="1" s="1"/>
  <c r="E1849" i="1" a="1"/>
  <c r="E1849" i="1" s="1"/>
  <c r="D1849" i="1"/>
  <c r="C1849" i="1"/>
  <c r="B1849" i="1"/>
  <c r="A1849" i="1"/>
  <c r="F1848" i="1" a="1"/>
  <c r="F1848" i="1" s="1"/>
  <c r="E1848" i="1" a="1"/>
  <c r="E1848" i="1" s="1"/>
  <c r="D1848" i="1"/>
  <c r="C1848" i="1"/>
  <c r="B1848" i="1"/>
  <c r="A1848" i="1"/>
  <c r="F1847" i="1" a="1"/>
  <c r="F1847" i="1" s="1"/>
  <c r="E1847" i="1" a="1"/>
  <c r="E1847" i="1" s="1"/>
  <c r="D1847" i="1"/>
  <c r="C1847" i="1"/>
  <c r="B1847" i="1"/>
  <c r="A1847" i="1"/>
  <c r="F1846" i="1"/>
  <c r="F1846" i="1" a="1"/>
  <c r="E1846" i="1" a="1"/>
  <c r="E1846" i="1" s="1"/>
  <c r="D1846" i="1"/>
  <c r="C1846" i="1"/>
  <c r="B1846" i="1"/>
  <c r="A1846" i="1"/>
  <c r="F1845" i="1"/>
  <c r="F1845" i="1" a="1"/>
  <c r="E1845" i="1" a="1"/>
  <c r="E1845" i="1" s="1"/>
  <c r="D1845" i="1"/>
  <c r="C1845" i="1"/>
  <c r="B1845" i="1"/>
  <c r="A1845" i="1"/>
  <c r="F1844" i="1" a="1"/>
  <c r="F1844" i="1" s="1"/>
  <c r="E1844" i="1" a="1"/>
  <c r="E1844" i="1" s="1"/>
  <c r="D1844" i="1"/>
  <c r="C1844" i="1"/>
  <c r="B1844" i="1"/>
  <c r="A1844" i="1"/>
  <c r="F1843" i="1"/>
  <c r="F1843" i="1" a="1"/>
  <c r="E1843" i="1" a="1"/>
  <c r="E1843" i="1" s="1"/>
  <c r="D1843" i="1"/>
  <c r="C1843" i="1"/>
  <c r="B1843" i="1"/>
  <c r="A1843" i="1"/>
  <c r="F1842" i="1"/>
  <c r="F1842" i="1" a="1"/>
  <c r="E1842" i="1" a="1"/>
  <c r="E1842" i="1" s="1"/>
  <c r="D1842" i="1"/>
  <c r="C1842" i="1"/>
  <c r="B1842" i="1"/>
  <c r="A1842" i="1"/>
  <c r="F1841" i="1" a="1"/>
  <c r="F1841" i="1" s="1"/>
  <c r="E1841" i="1" a="1"/>
  <c r="E1841" i="1" s="1"/>
  <c r="D1841" i="1"/>
  <c r="C1841" i="1"/>
  <c r="B1841" i="1"/>
  <c r="A1841" i="1"/>
  <c r="F1840" i="1" a="1"/>
  <c r="F1840" i="1" s="1"/>
  <c r="E1840" i="1" a="1"/>
  <c r="E1840" i="1" s="1"/>
  <c r="D1840" i="1"/>
  <c r="C1840" i="1"/>
  <c r="B1840" i="1"/>
  <c r="A1840" i="1"/>
  <c r="F1839" i="1" a="1"/>
  <c r="F1839" i="1" s="1"/>
  <c r="E1839" i="1" a="1"/>
  <c r="E1839" i="1" s="1"/>
  <c r="D1839" i="1"/>
  <c r="C1839" i="1"/>
  <c r="B1839" i="1"/>
  <c r="A1839" i="1"/>
  <c r="F1838" i="1"/>
  <c r="F1838" i="1" a="1"/>
  <c r="E1838" i="1" a="1"/>
  <c r="E1838" i="1" s="1"/>
  <c r="D1838" i="1"/>
  <c r="C1838" i="1"/>
  <c r="B1838" i="1"/>
  <c r="A1838" i="1"/>
  <c r="F1837" i="1"/>
  <c r="F1837" i="1" a="1"/>
  <c r="E1837" i="1" a="1"/>
  <c r="E1837" i="1" s="1"/>
  <c r="D1837" i="1"/>
  <c r="C1837" i="1"/>
  <c r="B1837" i="1"/>
  <c r="A1837" i="1"/>
  <c r="F1836" i="1" a="1"/>
  <c r="F1836" i="1" s="1"/>
  <c r="E1836" i="1" a="1"/>
  <c r="E1836" i="1" s="1"/>
  <c r="D1836" i="1"/>
  <c r="C1836" i="1"/>
  <c r="B1836" i="1"/>
  <c r="A1836" i="1"/>
  <c r="F1835" i="1"/>
  <c r="F1835" i="1" a="1"/>
  <c r="E1835" i="1" a="1"/>
  <c r="E1835" i="1" s="1"/>
  <c r="D1835" i="1"/>
  <c r="C1835" i="1"/>
  <c r="B1835" i="1"/>
  <c r="A1835" i="1"/>
  <c r="F1834" i="1"/>
  <c r="F1834" i="1" a="1"/>
  <c r="E1834" i="1" a="1"/>
  <c r="E1834" i="1" s="1"/>
  <c r="D1834" i="1"/>
  <c r="C1834" i="1"/>
  <c r="B1834" i="1"/>
  <c r="A1834" i="1"/>
  <c r="F1833" i="1" a="1"/>
  <c r="F1833" i="1" s="1"/>
  <c r="E1833" i="1" a="1"/>
  <c r="E1833" i="1" s="1"/>
  <c r="D1833" i="1"/>
  <c r="C1833" i="1"/>
  <c r="B1833" i="1"/>
  <c r="A1833" i="1"/>
  <c r="F1832" i="1" a="1"/>
  <c r="F1832" i="1" s="1"/>
  <c r="E1832" i="1" a="1"/>
  <c r="E1832" i="1" s="1"/>
  <c r="D1832" i="1"/>
  <c r="C1832" i="1"/>
  <c r="B1832" i="1"/>
  <c r="A1832" i="1"/>
  <c r="F1831" i="1" a="1"/>
  <c r="F1831" i="1" s="1"/>
  <c r="E1831" i="1" a="1"/>
  <c r="E1831" i="1" s="1"/>
  <c r="D1831" i="1"/>
  <c r="C1831" i="1"/>
  <c r="B1831" i="1"/>
  <c r="A1831" i="1"/>
  <c r="F1830" i="1"/>
  <c r="F1830" i="1" a="1"/>
  <c r="E1830" i="1" a="1"/>
  <c r="E1830" i="1" s="1"/>
  <c r="D1830" i="1"/>
  <c r="C1830" i="1"/>
  <c r="B1830" i="1"/>
  <c r="A1830" i="1"/>
  <c r="F1829" i="1"/>
  <c r="F1829" i="1" a="1"/>
  <c r="E1829" i="1" a="1"/>
  <c r="E1829" i="1" s="1"/>
  <c r="D1829" i="1"/>
  <c r="C1829" i="1"/>
  <c r="B1829" i="1"/>
  <c r="A1829" i="1"/>
  <c r="F1828" i="1" a="1"/>
  <c r="F1828" i="1" s="1"/>
  <c r="E1828" i="1" a="1"/>
  <c r="E1828" i="1" s="1"/>
  <c r="D1828" i="1"/>
  <c r="C1828" i="1"/>
  <c r="B1828" i="1"/>
  <c r="A1828" i="1"/>
  <c r="F1827" i="1"/>
  <c r="F1827" i="1" a="1"/>
  <c r="E1827" i="1" a="1"/>
  <c r="E1827" i="1" s="1"/>
  <c r="D1827" i="1"/>
  <c r="C1827" i="1"/>
  <c r="B1827" i="1"/>
  <c r="A1827" i="1"/>
  <c r="F1826" i="1"/>
  <c r="F1826" i="1" a="1"/>
  <c r="E1826" i="1" a="1"/>
  <c r="E1826" i="1" s="1"/>
  <c r="D1826" i="1"/>
  <c r="C1826" i="1"/>
  <c r="B1826" i="1"/>
  <c r="A1826" i="1"/>
  <c r="F1825" i="1" a="1"/>
  <c r="F1825" i="1" s="1"/>
  <c r="E1825" i="1" a="1"/>
  <c r="E1825" i="1" s="1"/>
  <c r="D1825" i="1"/>
  <c r="C1825" i="1"/>
  <c r="B1825" i="1"/>
  <c r="A1825" i="1"/>
  <c r="F1824" i="1" a="1"/>
  <c r="F1824" i="1" s="1"/>
  <c r="E1824" i="1" a="1"/>
  <c r="E1824" i="1" s="1"/>
  <c r="D1824" i="1"/>
  <c r="C1824" i="1"/>
  <c r="B1824" i="1"/>
  <c r="A1824" i="1"/>
  <c r="F1823" i="1" a="1"/>
  <c r="F1823" i="1" s="1"/>
  <c r="E1823" i="1" a="1"/>
  <c r="E1823" i="1" s="1"/>
  <c r="D1823" i="1"/>
  <c r="C1823" i="1"/>
  <c r="B1823" i="1"/>
  <c r="A1823" i="1"/>
  <c r="F1822" i="1"/>
  <c r="F1822" i="1" a="1"/>
  <c r="E1822" i="1" a="1"/>
  <c r="E1822" i="1" s="1"/>
  <c r="D1822" i="1"/>
  <c r="C1822" i="1"/>
  <c r="B1822" i="1"/>
  <c r="A1822" i="1"/>
  <c r="F1821" i="1"/>
  <c r="F1821" i="1" a="1"/>
  <c r="E1821" i="1" a="1"/>
  <c r="E1821" i="1" s="1"/>
  <c r="D1821" i="1"/>
  <c r="C1821" i="1"/>
  <c r="B1821" i="1"/>
  <c r="A1821" i="1"/>
  <c r="F1820" i="1" a="1"/>
  <c r="F1820" i="1" s="1"/>
  <c r="E1820" i="1" a="1"/>
  <c r="E1820" i="1" s="1"/>
  <c r="D1820" i="1"/>
  <c r="C1820" i="1"/>
  <c r="B1820" i="1"/>
  <c r="A1820" i="1"/>
  <c r="F1819" i="1"/>
  <c r="F1819" i="1" a="1"/>
  <c r="E1819" i="1" a="1"/>
  <c r="E1819" i="1" s="1"/>
  <c r="D1819" i="1"/>
  <c r="C1819" i="1"/>
  <c r="B1819" i="1"/>
  <c r="A1819" i="1"/>
  <c r="F1818" i="1"/>
  <c r="F1818" i="1" a="1"/>
  <c r="E1818" i="1" a="1"/>
  <c r="E1818" i="1" s="1"/>
  <c r="D1818" i="1"/>
  <c r="C1818" i="1"/>
  <c r="B1818" i="1"/>
  <c r="A1818" i="1"/>
  <c r="F1817" i="1" a="1"/>
  <c r="F1817" i="1" s="1"/>
  <c r="E1817" i="1" a="1"/>
  <c r="E1817" i="1" s="1"/>
  <c r="D1817" i="1"/>
  <c r="C1817" i="1"/>
  <c r="B1817" i="1"/>
  <c r="A1817" i="1"/>
  <c r="F1816" i="1" a="1"/>
  <c r="F1816" i="1" s="1"/>
  <c r="E1816" i="1" a="1"/>
  <c r="E1816" i="1" s="1"/>
  <c r="D1816" i="1"/>
  <c r="C1816" i="1"/>
  <c r="B1816" i="1"/>
  <c r="A1816" i="1"/>
  <c r="F1815" i="1" a="1"/>
  <c r="F1815" i="1" s="1"/>
  <c r="E1815" i="1" a="1"/>
  <c r="E1815" i="1" s="1"/>
  <c r="D1815" i="1"/>
  <c r="C1815" i="1"/>
  <c r="B1815" i="1"/>
  <c r="A1815" i="1"/>
  <c r="F1814" i="1"/>
  <c r="F1814" i="1" a="1"/>
  <c r="E1814" i="1" a="1"/>
  <c r="E1814" i="1" s="1"/>
  <c r="D1814" i="1"/>
  <c r="C1814" i="1"/>
  <c r="B1814" i="1"/>
  <c r="A1814" i="1"/>
  <c r="F1813" i="1"/>
  <c r="F1813" i="1" a="1"/>
  <c r="E1813" i="1" a="1"/>
  <c r="E1813" i="1" s="1"/>
  <c r="D1813" i="1"/>
  <c r="C1813" i="1"/>
  <c r="B1813" i="1"/>
  <c r="A1813" i="1"/>
  <c r="F1812" i="1" a="1"/>
  <c r="F1812" i="1" s="1"/>
  <c r="E1812" i="1" a="1"/>
  <c r="E1812" i="1" s="1"/>
  <c r="D1812" i="1"/>
  <c r="C1812" i="1"/>
  <c r="B1812" i="1"/>
  <c r="A1812" i="1"/>
  <c r="F1811" i="1"/>
  <c r="F1811" i="1" a="1"/>
  <c r="E1811" i="1" a="1"/>
  <c r="E1811" i="1" s="1"/>
  <c r="D1811" i="1"/>
  <c r="C1811" i="1"/>
  <c r="B1811" i="1"/>
  <c r="A1811" i="1"/>
  <c r="F1810" i="1"/>
  <c r="F1810" i="1" a="1"/>
  <c r="E1810" i="1" a="1"/>
  <c r="E1810" i="1" s="1"/>
  <c r="D1810" i="1"/>
  <c r="C1810" i="1"/>
  <c r="B1810" i="1"/>
  <c r="A1810" i="1"/>
  <c r="F1809" i="1" a="1"/>
  <c r="F1809" i="1" s="1"/>
  <c r="E1809" i="1" a="1"/>
  <c r="E1809" i="1" s="1"/>
  <c r="D1809" i="1"/>
  <c r="C1809" i="1"/>
  <c r="B1809" i="1"/>
  <c r="A1809" i="1"/>
  <c r="F1808" i="1" a="1"/>
  <c r="F1808" i="1" s="1"/>
  <c r="E1808" i="1" a="1"/>
  <c r="E1808" i="1" s="1"/>
  <c r="D1808" i="1"/>
  <c r="C1808" i="1"/>
  <c r="B1808" i="1"/>
  <c r="A1808" i="1"/>
  <c r="F1807" i="1" a="1"/>
  <c r="F1807" i="1" s="1"/>
  <c r="E1807" i="1" a="1"/>
  <c r="E1807" i="1" s="1"/>
  <c r="D1807" i="1"/>
  <c r="C1807" i="1"/>
  <c r="B1807" i="1"/>
  <c r="A1807" i="1"/>
  <c r="F1806" i="1"/>
  <c r="F1806" i="1" a="1"/>
  <c r="E1806" i="1" a="1"/>
  <c r="E1806" i="1" s="1"/>
  <c r="D1806" i="1"/>
  <c r="C1806" i="1"/>
  <c r="B1806" i="1"/>
  <c r="A1806" i="1"/>
  <c r="F1805" i="1"/>
  <c r="F1805" i="1" a="1"/>
  <c r="E1805" i="1" a="1"/>
  <c r="E1805" i="1" s="1"/>
  <c r="D1805" i="1"/>
  <c r="C1805" i="1"/>
  <c r="B1805" i="1"/>
  <c r="A1805" i="1"/>
  <c r="F1804" i="1" a="1"/>
  <c r="F1804" i="1" s="1"/>
  <c r="E1804" i="1" a="1"/>
  <c r="E1804" i="1" s="1"/>
  <c r="D1804" i="1"/>
  <c r="C1804" i="1"/>
  <c r="B1804" i="1"/>
  <c r="A1804" i="1"/>
  <c r="F1803" i="1"/>
  <c r="F1803" i="1" a="1"/>
  <c r="E1803" i="1" a="1"/>
  <c r="E1803" i="1" s="1"/>
  <c r="D1803" i="1"/>
  <c r="C1803" i="1"/>
  <c r="B1803" i="1"/>
  <c r="A1803" i="1"/>
  <c r="F1802" i="1"/>
  <c r="F1802" i="1" a="1"/>
  <c r="E1802" i="1" a="1"/>
  <c r="E1802" i="1" s="1"/>
  <c r="D1802" i="1"/>
  <c r="C1802" i="1"/>
  <c r="B1802" i="1"/>
  <c r="A1802" i="1"/>
  <c r="F1801" i="1" a="1"/>
  <c r="F1801" i="1" s="1"/>
  <c r="E1801" i="1" a="1"/>
  <c r="E1801" i="1" s="1"/>
  <c r="D1801" i="1"/>
  <c r="C1801" i="1"/>
  <c r="B1801" i="1"/>
  <c r="A1801" i="1"/>
  <c r="F1800" i="1" a="1"/>
  <c r="F1800" i="1" s="1"/>
  <c r="E1800" i="1" a="1"/>
  <c r="E1800" i="1" s="1"/>
  <c r="D1800" i="1"/>
  <c r="C1800" i="1"/>
  <c r="B1800" i="1"/>
  <c r="A1800" i="1"/>
  <c r="F1799" i="1" a="1"/>
  <c r="F1799" i="1" s="1"/>
  <c r="E1799" i="1" a="1"/>
  <c r="E1799" i="1" s="1"/>
  <c r="D1799" i="1"/>
  <c r="C1799" i="1"/>
  <c r="B1799" i="1"/>
  <c r="A1799" i="1"/>
  <c r="F1798" i="1"/>
  <c r="F1798" i="1" a="1"/>
  <c r="E1798" i="1" a="1"/>
  <c r="E1798" i="1" s="1"/>
  <c r="D1798" i="1"/>
  <c r="C1798" i="1"/>
  <c r="B1798" i="1"/>
  <c r="A1798" i="1"/>
  <c r="F1797" i="1"/>
  <c r="F1797" i="1" a="1"/>
  <c r="E1797" i="1" a="1"/>
  <c r="E1797" i="1" s="1"/>
  <c r="D1797" i="1"/>
  <c r="C1797" i="1"/>
  <c r="B1797" i="1"/>
  <c r="A1797" i="1"/>
  <c r="F1796" i="1" a="1"/>
  <c r="F1796" i="1" s="1"/>
  <c r="E1796" i="1" a="1"/>
  <c r="E1796" i="1" s="1"/>
  <c r="D1796" i="1"/>
  <c r="C1796" i="1"/>
  <c r="B1796" i="1"/>
  <c r="A1796" i="1"/>
  <c r="F1795" i="1"/>
  <c r="F1795" i="1" a="1"/>
  <c r="E1795" i="1" a="1"/>
  <c r="E1795" i="1" s="1"/>
  <c r="D1795" i="1"/>
  <c r="C1795" i="1"/>
  <c r="B1795" i="1"/>
  <c r="A1795" i="1"/>
  <c r="F1794" i="1"/>
  <c r="F1794" i="1" a="1"/>
  <c r="E1794" i="1" a="1"/>
  <c r="E1794" i="1" s="1"/>
  <c r="D1794" i="1"/>
  <c r="C1794" i="1"/>
  <c r="B1794" i="1"/>
  <c r="A1794" i="1"/>
  <c r="F1793" i="1" a="1"/>
  <c r="F1793" i="1" s="1"/>
  <c r="E1793" i="1" a="1"/>
  <c r="E1793" i="1" s="1"/>
  <c r="D1793" i="1"/>
  <c r="C1793" i="1"/>
  <c r="B1793" i="1"/>
  <c r="A1793" i="1"/>
  <c r="F1792" i="1" a="1"/>
  <c r="F1792" i="1" s="1"/>
  <c r="E1792" i="1" a="1"/>
  <c r="E1792" i="1" s="1"/>
  <c r="D1792" i="1"/>
  <c r="C1792" i="1"/>
  <c r="B1792" i="1"/>
  <c r="A1792" i="1"/>
  <c r="F1791" i="1" a="1"/>
  <c r="F1791" i="1" s="1"/>
  <c r="E1791" i="1" a="1"/>
  <c r="E1791" i="1" s="1"/>
  <c r="D1791" i="1"/>
  <c r="C1791" i="1"/>
  <c r="B1791" i="1"/>
  <c r="A1791" i="1"/>
  <c r="F1790" i="1"/>
  <c r="F1790" i="1" a="1"/>
  <c r="E1790" i="1" a="1"/>
  <c r="E1790" i="1" s="1"/>
  <c r="D1790" i="1"/>
  <c r="C1790" i="1"/>
  <c r="B1790" i="1"/>
  <c r="A1790" i="1"/>
  <c r="F1789" i="1"/>
  <c r="F1789" i="1" a="1"/>
  <c r="E1789" i="1" a="1"/>
  <c r="E1789" i="1" s="1"/>
  <c r="D1789" i="1"/>
  <c r="C1789" i="1"/>
  <c r="B1789" i="1"/>
  <c r="A1789" i="1"/>
  <c r="F1788" i="1" a="1"/>
  <c r="F1788" i="1" s="1"/>
  <c r="E1788" i="1" a="1"/>
  <c r="E1788" i="1" s="1"/>
  <c r="D1788" i="1"/>
  <c r="C1788" i="1"/>
  <c r="B1788" i="1"/>
  <c r="A1788" i="1"/>
  <c r="F1787" i="1"/>
  <c r="F1787" i="1" a="1"/>
  <c r="E1787" i="1" a="1"/>
  <c r="E1787" i="1" s="1"/>
  <c r="D1787" i="1"/>
  <c r="C1787" i="1"/>
  <c r="B1787" i="1"/>
  <c r="A1787" i="1"/>
  <c r="F1786" i="1"/>
  <c r="F1786" i="1" a="1"/>
  <c r="E1786" i="1" a="1"/>
  <c r="E1786" i="1" s="1"/>
  <c r="D1786" i="1"/>
  <c r="C1786" i="1"/>
  <c r="B1786" i="1"/>
  <c r="A1786" i="1"/>
  <c r="F1785" i="1" a="1"/>
  <c r="F1785" i="1" s="1"/>
  <c r="E1785" i="1" a="1"/>
  <c r="E1785" i="1" s="1"/>
  <c r="D1785" i="1"/>
  <c r="C1785" i="1"/>
  <c r="B1785" i="1"/>
  <c r="A1785" i="1"/>
  <c r="F1784" i="1" a="1"/>
  <c r="F1784" i="1" s="1"/>
  <c r="E1784" i="1" a="1"/>
  <c r="E1784" i="1" s="1"/>
  <c r="D1784" i="1"/>
  <c r="C1784" i="1"/>
  <c r="B1784" i="1"/>
  <c r="A1784" i="1"/>
  <c r="F1783" i="1" a="1"/>
  <c r="F1783" i="1" s="1"/>
  <c r="E1783" i="1" a="1"/>
  <c r="E1783" i="1" s="1"/>
  <c r="D1783" i="1"/>
  <c r="C1783" i="1"/>
  <c r="B1783" i="1"/>
  <c r="A1783" i="1"/>
  <c r="F1782" i="1"/>
  <c r="F1782" i="1" a="1"/>
  <c r="E1782" i="1" a="1"/>
  <c r="E1782" i="1" s="1"/>
  <c r="D1782" i="1"/>
  <c r="C1782" i="1"/>
  <c r="B1782" i="1"/>
  <c r="A1782" i="1"/>
  <c r="F1781" i="1"/>
  <c r="F1781" i="1" a="1"/>
  <c r="E1781" i="1" a="1"/>
  <c r="E1781" i="1" s="1"/>
  <c r="D1781" i="1"/>
  <c r="C1781" i="1"/>
  <c r="B1781" i="1"/>
  <c r="A1781" i="1"/>
  <c r="F1780" i="1" a="1"/>
  <c r="F1780" i="1" s="1"/>
  <c r="E1780" i="1" a="1"/>
  <c r="E1780" i="1" s="1"/>
  <c r="D1780" i="1"/>
  <c r="C1780" i="1"/>
  <c r="B1780" i="1"/>
  <c r="A1780" i="1"/>
  <c r="F1779" i="1"/>
  <c r="F1779" i="1" a="1"/>
  <c r="E1779" i="1" a="1"/>
  <c r="E1779" i="1" s="1"/>
  <c r="D1779" i="1"/>
  <c r="C1779" i="1"/>
  <c r="B1779" i="1"/>
  <c r="A1779" i="1"/>
  <c r="F1778" i="1"/>
  <c r="F1778" i="1" a="1"/>
  <c r="E1778" i="1" a="1"/>
  <c r="E1778" i="1" s="1"/>
  <c r="D1778" i="1"/>
  <c r="C1778" i="1"/>
  <c r="B1778" i="1"/>
  <c r="A1778" i="1"/>
  <c r="F1777" i="1" a="1"/>
  <c r="F1777" i="1" s="1"/>
  <c r="E1777" i="1" a="1"/>
  <c r="E1777" i="1" s="1"/>
  <c r="D1777" i="1"/>
  <c r="C1777" i="1"/>
  <c r="B1777" i="1"/>
  <c r="A1777" i="1"/>
  <c r="F1776" i="1" a="1"/>
  <c r="F1776" i="1" s="1"/>
  <c r="E1776" i="1" a="1"/>
  <c r="E1776" i="1" s="1"/>
  <c r="D1776" i="1"/>
  <c r="C1776" i="1"/>
  <c r="B1776" i="1"/>
  <c r="A1776" i="1"/>
  <c r="F1775" i="1" a="1"/>
  <c r="F1775" i="1" s="1"/>
  <c r="E1775" i="1" a="1"/>
  <c r="E1775" i="1" s="1"/>
  <c r="D1775" i="1"/>
  <c r="C1775" i="1"/>
  <c r="B1775" i="1"/>
  <c r="A1775" i="1"/>
  <c r="F1774" i="1"/>
  <c r="F1774" i="1" a="1"/>
  <c r="E1774" i="1" a="1"/>
  <c r="E1774" i="1" s="1"/>
  <c r="D1774" i="1"/>
  <c r="C1774" i="1"/>
  <c r="B1774" i="1"/>
  <c r="A1774" i="1"/>
  <c r="F1773" i="1"/>
  <c r="F1773" i="1" a="1"/>
  <c r="E1773" i="1" a="1"/>
  <c r="E1773" i="1" s="1"/>
  <c r="D1773" i="1"/>
  <c r="C1773" i="1"/>
  <c r="B1773" i="1"/>
  <c r="A1773" i="1"/>
  <c r="F1772" i="1" a="1"/>
  <c r="F1772" i="1" s="1"/>
  <c r="E1772" i="1" a="1"/>
  <c r="E1772" i="1" s="1"/>
  <c r="D1772" i="1"/>
  <c r="C1772" i="1"/>
  <c r="B1772" i="1"/>
  <c r="A1772" i="1"/>
  <c r="F1771" i="1"/>
  <c r="F1771" i="1" a="1"/>
  <c r="E1771" i="1" a="1"/>
  <c r="E1771" i="1" s="1"/>
  <c r="D1771" i="1"/>
  <c r="C1771" i="1"/>
  <c r="B1771" i="1"/>
  <c r="A1771" i="1"/>
  <c r="F1770" i="1"/>
  <c r="F1770" i="1" a="1"/>
  <c r="E1770" i="1" a="1"/>
  <c r="E1770" i="1" s="1"/>
  <c r="D1770" i="1"/>
  <c r="C1770" i="1"/>
  <c r="B1770" i="1"/>
  <c r="A1770" i="1"/>
  <c r="F1769" i="1" a="1"/>
  <c r="F1769" i="1" s="1"/>
  <c r="E1769" i="1" a="1"/>
  <c r="E1769" i="1" s="1"/>
  <c r="D1769" i="1"/>
  <c r="C1769" i="1"/>
  <c r="B1769" i="1"/>
  <c r="A1769" i="1"/>
  <c r="F1768" i="1" a="1"/>
  <c r="F1768" i="1" s="1"/>
  <c r="E1768" i="1" a="1"/>
  <c r="E1768" i="1" s="1"/>
  <c r="D1768" i="1"/>
  <c r="C1768" i="1"/>
  <c r="B1768" i="1"/>
  <c r="A1768" i="1"/>
  <c r="F1767" i="1" a="1"/>
  <c r="F1767" i="1" s="1"/>
  <c r="E1767" i="1" a="1"/>
  <c r="E1767" i="1" s="1"/>
  <c r="D1767" i="1"/>
  <c r="C1767" i="1"/>
  <c r="B1767" i="1"/>
  <c r="A1767" i="1"/>
  <c r="F1766" i="1"/>
  <c r="F1766" i="1" a="1"/>
  <c r="E1766" i="1" a="1"/>
  <c r="E1766" i="1" s="1"/>
  <c r="D1766" i="1"/>
  <c r="C1766" i="1"/>
  <c r="B1766" i="1"/>
  <c r="A1766" i="1"/>
  <c r="F1765" i="1"/>
  <c r="F1765" i="1" a="1"/>
  <c r="E1765" i="1" a="1"/>
  <c r="E1765" i="1" s="1"/>
  <c r="D1765" i="1"/>
  <c r="C1765" i="1"/>
  <c r="B1765" i="1"/>
  <c r="A1765" i="1"/>
  <c r="F1764" i="1" a="1"/>
  <c r="F1764" i="1" s="1"/>
  <c r="E1764" i="1" a="1"/>
  <c r="E1764" i="1" s="1"/>
  <c r="D1764" i="1"/>
  <c r="C1764" i="1"/>
  <c r="B1764" i="1"/>
  <c r="A1764" i="1"/>
  <c r="F1763" i="1"/>
  <c r="F1763" i="1" a="1"/>
  <c r="E1763" i="1" a="1"/>
  <c r="E1763" i="1" s="1"/>
  <c r="D1763" i="1"/>
  <c r="C1763" i="1"/>
  <c r="B1763" i="1"/>
  <c r="A1763" i="1"/>
  <c r="F1762" i="1"/>
  <c r="F1762" i="1" a="1"/>
  <c r="E1762" i="1" a="1"/>
  <c r="E1762" i="1" s="1"/>
  <c r="D1762" i="1"/>
  <c r="C1762" i="1"/>
  <c r="B1762" i="1"/>
  <c r="A1762" i="1"/>
  <c r="F1761" i="1" a="1"/>
  <c r="F1761" i="1" s="1"/>
  <c r="E1761" i="1" a="1"/>
  <c r="E1761" i="1" s="1"/>
  <c r="D1761" i="1"/>
  <c r="C1761" i="1"/>
  <c r="B1761" i="1"/>
  <c r="A1761" i="1"/>
  <c r="F1760" i="1" a="1"/>
  <c r="F1760" i="1" s="1"/>
  <c r="E1760" i="1" a="1"/>
  <c r="E1760" i="1" s="1"/>
  <c r="D1760" i="1"/>
  <c r="C1760" i="1"/>
  <c r="B1760" i="1"/>
  <c r="A1760" i="1"/>
  <c r="F1759" i="1" a="1"/>
  <c r="F1759" i="1" s="1"/>
  <c r="E1759" i="1" a="1"/>
  <c r="E1759" i="1" s="1"/>
  <c r="D1759" i="1"/>
  <c r="C1759" i="1"/>
  <c r="B1759" i="1"/>
  <c r="A1759" i="1"/>
  <c r="F1758" i="1"/>
  <c r="F1758" i="1" a="1"/>
  <c r="E1758" i="1" a="1"/>
  <c r="E1758" i="1" s="1"/>
  <c r="D1758" i="1"/>
  <c r="C1758" i="1"/>
  <c r="B1758" i="1"/>
  <c r="A1758" i="1"/>
  <c r="F1757" i="1"/>
  <c r="F1757" i="1" a="1"/>
  <c r="E1757" i="1" a="1"/>
  <c r="E1757" i="1" s="1"/>
  <c r="D1757" i="1"/>
  <c r="C1757" i="1"/>
  <c r="B1757" i="1"/>
  <c r="A1757" i="1"/>
  <c r="F1756" i="1" a="1"/>
  <c r="F1756" i="1" s="1"/>
  <c r="E1756" i="1" a="1"/>
  <c r="E1756" i="1" s="1"/>
  <c r="D1756" i="1"/>
  <c r="C1756" i="1"/>
  <c r="B1756" i="1"/>
  <c r="A1756" i="1"/>
  <c r="F1755" i="1"/>
  <c r="F1755" i="1" a="1"/>
  <c r="E1755" i="1" a="1"/>
  <c r="E1755" i="1" s="1"/>
  <c r="D1755" i="1"/>
  <c r="C1755" i="1"/>
  <c r="B1755" i="1"/>
  <c r="A1755" i="1"/>
  <c r="F1754" i="1"/>
  <c r="F1754" i="1" a="1"/>
  <c r="E1754" i="1" a="1"/>
  <c r="E1754" i="1" s="1"/>
  <c r="D1754" i="1"/>
  <c r="C1754" i="1"/>
  <c r="B1754" i="1"/>
  <c r="A1754" i="1"/>
  <c r="F1753" i="1" a="1"/>
  <c r="F1753" i="1" s="1"/>
  <c r="E1753" i="1" a="1"/>
  <c r="E1753" i="1" s="1"/>
  <c r="D1753" i="1"/>
  <c r="C1753" i="1"/>
  <c r="B1753" i="1"/>
  <c r="A1753" i="1"/>
  <c r="F1752" i="1" a="1"/>
  <c r="F1752" i="1" s="1"/>
  <c r="E1752" i="1" a="1"/>
  <c r="E1752" i="1" s="1"/>
  <c r="D1752" i="1"/>
  <c r="C1752" i="1"/>
  <c r="B1752" i="1"/>
  <c r="A1752" i="1"/>
  <c r="F1751" i="1" a="1"/>
  <c r="F1751" i="1" s="1"/>
  <c r="E1751" i="1" a="1"/>
  <c r="E1751" i="1" s="1"/>
  <c r="D1751" i="1"/>
  <c r="C1751" i="1"/>
  <c r="B1751" i="1"/>
  <c r="A1751" i="1"/>
  <c r="F1750" i="1"/>
  <c r="F1750" i="1" a="1"/>
  <c r="E1750" i="1" a="1"/>
  <c r="E1750" i="1" s="1"/>
  <c r="D1750" i="1"/>
  <c r="C1750" i="1"/>
  <c r="B1750" i="1"/>
  <c r="A1750" i="1"/>
  <c r="F1749" i="1"/>
  <c r="F1749" i="1" a="1"/>
  <c r="E1749" i="1" a="1"/>
  <c r="E1749" i="1" s="1"/>
  <c r="D1749" i="1"/>
  <c r="C1749" i="1"/>
  <c r="B1749" i="1"/>
  <c r="A1749" i="1"/>
  <c r="F1748" i="1" a="1"/>
  <c r="F1748" i="1" s="1"/>
  <c r="E1748" i="1" a="1"/>
  <c r="E1748" i="1" s="1"/>
  <c r="D1748" i="1"/>
  <c r="C1748" i="1"/>
  <c r="B1748" i="1"/>
  <c r="A1748" i="1"/>
  <c r="F1747" i="1"/>
  <c r="F1747" i="1" a="1"/>
  <c r="E1747" i="1" a="1"/>
  <c r="E1747" i="1" s="1"/>
  <c r="D1747" i="1"/>
  <c r="C1747" i="1"/>
  <c r="B1747" i="1"/>
  <c r="A1747" i="1"/>
  <c r="F1746" i="1"/>
  <c r="F1746" i="1" a="1"/>
  <c r="E1746" i="1" a="1"/>
  <c r="E1746" i="1" s="1"/>
  <c r="D1746" i="1"/>
  <c r="C1746" i="1"/>
  <c r="B1746" i="1"/>
  <c r="A1746" i="1"/>
  <c r="F1745" i="1" a="1"/>
  <c r="F1745" i="1" s="1"/>
  <c r="E1745" i="1" a="1"/>
  <c r="E1745" i="1" s="1"/>
  <c r="D1745" i="1"/>
  <c r="C1745" i="1"/>
  <c r="B1745" i="1"/>
  <c r="A1745" i="1"/>
  <c r="F1744" i="1" a="1"/>
  <c r="F1744" i="1" s="1"/>
  <c r="E1744" i="1" a="1"/>
  <c r="E1744" i="1" s="1"/>
  <c r="D1744" i="1"/>
  <c r="C1744" i="1"/>
  <c r="B1744" i="1"/>
  <c r="A1744" i="1"/>
  <c r="F1743" i="1" a="1"/>
  <c r="F1743" i="1" s="1"/>
  <c r="E1743" i="1" a="1"/>
  <c r="E1743" i="1" s="1"/>
  <c r="D1743" i="1"/>
  <c r="C1743" i="1"/>
  <c r="B1743" i="1"/>
  <c r="A1743" i="1"/>
  <c r="F1742" i="1"/>
  <c r="F1742" i="1" a="1"/>
  <c r="E1742" i="1" a="1"/>
  <c r="E1742" i="1" s="1"/>
  <c r="D1742" i="1"/>
  <c r="C1742" i="1"/>
  <c r="B1742" i="1"/>
  <c r="A1742" i="1"/>
  <c r="F1741" i="1"/>
  <c r="F1741" i="1" a="1"/>
  <c r="E1741" i="1" a="1"/>
  <c r="E1741" i="1" s="1"/>
  <c r="D1741" i="1"/>
  <c r="C1741" i="1"/>
  <c r="B1741" i="1"/>
  <c r="A1741" i="1"/>
  <c r="F1740" i="1" a="1"/>
  <c r="F1740" i="1" s="1"/>
  <c r="E1740" i="1" a="1"/>
  <c r="E1740" i="1" s="1"/>
  <c r="D1740" i="1"/>
  <c r="C1740" i="1"/>
  <c r="B1740" i="1"/>
  <c r="A1740" i="1"/>
  <c r="F1739" i="1"/>
  <c r="F1739" i="1" a="1"/>
  <c r="E1739" i="1" a="1"/>
  <c r="E1739" i="1" s="1"/>
  <c r="D1739" i="1"/>
  <c r="C1739" i="1"/>
  <c r="B1739" i="1"/>
  <c r="A1739" i="1"/>
  <c r="F1738" i="1"/>
  <c r="F1738" i="1" a="1"/>
  <c r="E1738" i="1" a="1"/>
  <c r="E1738" i="1" s="1"/>
  <c r="D1738" i="1"/>
  <c r="C1738" i="1"/>
  <c r="B1738" i="1"/>
  <c r="A1738" i="1"/>
  <c r="F1737" i="1" a="1"/>
  <c r="F1737" i="1" s="1"/>
  <c r="E1737" i="1" a="1"/>
  <c r="E1737" i="1" s="1"/>
  <c r="D1737" i="1"/>
  <c r="C1737" i="1"/>
  <c r="B1737" i="1"/>
  <c r="A1737" i="1"/>
  <c r="F1736" i="1" a="1"/>
  <c r="F1736" i="1" s="1"/>
  <c r="E1736" i="1" a="1"/>
  <c r="E1736" i="1" s="1"/>
  <c r="D1736" i="1"/>
  <c r="C1736" i="1"/>
  <c r="B1736" i="1"/>
  <c r="A1736" i="1"/>
  <c r="F1735" i="1" a="1"/>
  <c r="F1735" i="1" s="1"/>
  <c r="E1735" i="1" a="1"/>
  <c r="E1735" i="1" s="1"/>
  <c r="D1735" i="1"/>
  <c r="C1735" i="1"/>
  <c r="B1735" i="1"/>
  <c r="A1735" i="1"/>
  <c r="F1734" i="1"/>
  <c r="F1734" i="1" a="1"/>
  <c r="E1734" i="1" a="1"/>
  <c r="E1734" i="1" s="1"/>
  <c r="D1734" i="1"/>
  <c r="C1734" i="1"/>
  <c r="B1734" i="1"/>
  <c r="A1734" i="1"/>
  <c r="F1733" i="1"/>
  <c r="F1733" i="1" a="1"/>
  <c r="E1733" i="1" a="1"/>
  <c r="E1733" i="1" s="1"/>
  <c r="D1733" i="1"/>
  <c r="C1733" i="1"/>
  <c r="B1733" i="1"/>
  <c r="A1733" i="1"/>
  <c r="F1732" i="1" a="1"/>
  <c r="F1732" i="1" s="1"/>
  <c r="E1732" i="1" a="1"/>
  <c r="E1732" i="1" s="1"/>
  <c r="D1732" i="1"/>
  <c r="C1732" i="1"/>
  <c r="B1732" i="1"/>
  <c r="A1732" i="1"/>
  <c r="F1731" i="1"/>
  <c r="F1731" i="1" a="1"/>
  <c r="E1731" i="1" a="1"/>
  <c r="E1731" i="1" s="1"/>
  <c r="D1731" i="1"/>
  <c r="C1731" i="1"/>
  <c r="B1731" i="1"/>
  <c r="A1731" i="1"/>
  <c r="F1730" i="1"/>
  <c r="F1730" i="1" a="1"/>
  <c r="E1730" i="1" a="1"/>
  <c r="E1730" i="1" s="1"/>
  <c r="D1730" i="1"/>
  <c r="C1730" i="1"/>
  <c r="B1730" i="1"/>
  <c r="A1730" i="1"/>
  <c r="F1729" i="1" a="1"/>
  <c r="F1729" i="1" s="1"/>
  <c r="E1729" i="1" a="1"/>
  <c r="E1729" i="1" s="1"/>
  <c r="D1729" i="1"/>
  <c r="C1729" i="1"/>
  <c r="B1729" i="1"/>
  <c r="A1729" i="1"/>
  <c r="F1728" i="1" a="1"/>
  <c r="F1728" i="1" s="1"/>
  <c r="E1728" i="1" a="1"/>
  <c r="E1728" i="1" s="1"/>
  <c r="D1728" i="1"/>
  <c r="C1728" i="1"/>
  <c r="B1728" i="1"/>
  <c r="A1728" i="1"/>
  <c r="F1727" i="1" a="1"/>
  <c r="F1727" i="1" s="1"/>
  <c r="E1727" i="1" a="1"/>
  <c r="E1727" i="1" s="1"/>
  <c r="D1727" i="1"/>
  <c r="C1727" i="1"/>
  <c r="B1727" i="1"/>
  <c r="A1727" i="1"/>
  <c r="F1726" i="1"/>
  <c r="F1726" i="1" a="1"/>
  <c r="E1726" i="1" a="1"/>
  <c r="E1726" i="1" s="1"/>
  <c r="D1726" i="1"/>
  <c r="C1726" i="1"/>
  <c r="B1726" i="1"/>
  <c r="A1726" i="1"/>
  <c r="F1725" i="1"/>
  <c r="F1725" i="1" a="1"/>
  <c r="E1725" i="1" a="1"/>
  <c r="E1725" i="1" s="1"/>
  <c r="D1725" i="1"/>
  <c r="C1725" i="1"/>
  <c r="B1725" i="1"/>
  <c r="A1725" i="1"/>
  <c r="F1724" i="1" a="1"/>
  <c r="F1724" i="1" s="1"/>
  <c r="E1724" i="1" a="1"/>
  <c r="E1724" i="1" s="1"/>
  <c r="D1724" i="1"/>
  <c r="C1724" i="1"/>
  <c r="B1724" i="1"/>
  <c r="A1724" i="1"/>
  <c r="F1723" i="1"/>
  <c r="F1723" i="1" a="1"/>
  <c r="E1723" i="1" a="1"/>
  <c r="E1723" i="1" s="1"/>
  <c r="D1723" i="1"/>
  <c r="C1723" i="1"/>
  <c r="B1723" i="1"/>
  <c r="A1723" i="1"/>
  <c r="F1722" i="1"/>
  <c r="F1722" i="1" a="1"/>
  <c r="E1722" i="1" a="1"/>
  <c r="E1722" i="1" s="1"/>
  <c r="D1722" i="1"/>
  <c r="C1722" i="1"/>
  <c r="B1722" i="1"/>
  <c r="A1722" i="1"/>
  <c r="F1721" i="1" a="1"/>
  <c r="F1721" i="1" s="1"/>
  <c r="E1721" i="1" a="1"/>
  <c r="E1721" i="1" s="1"/>
  <c r="D1721" i="1"/>
  <c r="C1721" i="1"/>
  <c r="B1721" i="1"/>
  <c r="A1721" i="1"/>
  <c r="F1720" i="1" a="1"/>
  <c r="F1720" i="1" s="1"/>
  <c r="E1720" i="1" a="1"/>
  <c r="E1720" i="1" s="1"/>
  <c r="D1720" i="1"/>
  <c r="C1720" i="1"/>
  <c r="B1720" i="1"/>
  <c r="A1720" i="1"/>
  <c r="F1719" i="1" a="1"/>
  <c r="F1719" i="1" s="1"/>
  <c r="E1719" i="1" a="1"/>
  <c r="E1719" i="1" s="1"/>
  <c r="D1719" i="1"/>
  <c r="C1719" i="1"/>
  <c r="B1719" i="1"/>
  <c r="A1719" i="1"/>
  <c r="F1718" i="1"/>
  <c r="F1718" i="1" a="1"/>
  <c r="E1718" i="1" a="1"/>
  <c r="E1718" i="1" s="1"/>
  <c r="D1718" i="1"/>
  <c r="C1718" i="1"/>
  <c r="B1718" i="1"/>
  <c r="A1718" i="1"/>
  <c r="F1717" i="1"/>
  <c r="F1717" i="1" a="1"/>
  <c r="E1717" i="1" a="1"/>
  <c r="E1717" i="1" s="1"/>
  <c r="D1717" i="1"/>
  <c r="C1717" i="1"/>
  <c r="B1717" i="1"/>
  <c r="A1717" i="1"/>
  <c r="F1716" i="1" a="1"/>
  <c r="F1716" i="1" s="1"/>
  <c r="E1716" i="1" a="1"/>
  <c r="E1716" i="1" s="1"/>
  <c r="D1716" i="1"/>
  <c r="C1716" i="1"/>
  <c r="B1716" i="1"/>
  <c r="A1716" i="1"/>
  <c r="F1715" i="1"/>
  <c r="F1715" i="1" a="1"/>
  <c r="E1715" i="1" a="1"/>
  <c r="E1715" i="1" s="1"/>
  <c r="D1715" i="1"/>
  <c r="C1715" i="1"/>
  <c r="B1715" i="1"/>
  <c r="A1715" i="1"/>
  <c r="F1714" i="1"/>
  <c r="F1714" i="1" a="1"/>
  <c r="E1714" i="1" a="1"/>
  <c r="E1714" i="1" s="1"/>
  <c r="D1714" i="1"/>
  <c r="C1714" i="1"/>
  <c r="B1714" i="1"/>
  <c r="A1714" i="1"/>
  <c r="F1713" i="1" a="1"/>
  <c r="F1713" i="1" s="1"/>
  <c r="E1713" i="1" a="1"/>
  <c r="E1713" i="1" s="1"/>
  <c r="D1713" i="1"/>
  <c r="C1713" i="1"/>
  <c r="B1713" i="1"/>
  <c r="A1713" i="1"/>
  <c r="F1712" i="1" a="1"/>
  <c r="F1712" i="1" s="1"/>
  <c r="E1712" i="1" a="1"/>
  <c r="E1712" i="1" s="1"/>
  <c r="D1712" i="1"/>
  <c r="C1712" i="1"/>
  <c r="B1712" i="1"/>
  <c r="A1712" i="1"/>
  <c r="F1711" i="1" a="1"/>
  <c r="F1711" i="1" s="1"/>
  <c r="E1711" i="1" a="1"/>
  <c r="E1711" i="1" s="1"/>
  <c r="D1711" i="1"/>
  <c r="C1711" i="1"/>
  <c r="B1711" i="1"/>
  <c r="A1711" i="1"/>
  <c r="F1710" i="1"/>
  <c r="F1710" i="1" a="1"/>
  <c r="E1710" i="1" a="1"/>
  <c r="E1710" i="1" s="1"/>
  <c r="D1710" i="1"/>
  <c r="C1710" i="1"/>
  <c r="B1710" i="1"/>
  <c r="A1710" i="1"/>
  <c r="F1709" i="1"/>
  <c r="F1709" i="1" a="1"/>
  <c r="E1709" i="1" a="1"/>
  <c r="E1709" i="1" s="1"/>
  <c r="D1709" i="1"/>
  <c r="C1709" i="1"/>
  <c r="B1709" i="1"/>
  <c r="A1709" i="1"/>
  <c r="F1708" i="1" a="1"/>
  <c r="F1708" i="1" s="1"/>
  <c r="E1708" i="1" a="1"/>
  <c r="E1708" i="1" s="1"/>
  <c r="D1708" i="1"/>
  <c r="C1708" i="1"/>
  <c r="B1708" i="1"/>
  <c r="A1708" i="1"/>
  <c r="F1707" i="1" a="1"/>
  <c r="F1707" i="1" s="1"/>
  <c r="E1707" i="1" a="1"/>
  <c r="E1707" i="1" s="1"/>
  <c r="D1707" i="1"/>
  <c r="C1707" i="1"/>
  <c r="B1707" i="1"/>
  <c r="A1707" i="1"/>
  <c r="F1706" i="1"/>
  <c r="F1706" i="1" a="1"/>
  <c r="E1706" i="1" a="1"/>
  <c r="E1706" i="1" s="1"/>
  <c r="D1706" i="1"/>
  <c r="C1706" i="1"/>
  <c r="B1706" i="1"/>
  <c r="A1706" i="1"/>
  <c r="F1705" i="1" a="1"/>
  <c r="F1705" i="1" s="1"/>
  <c r="E1705" i="1" a="1"/>
  <c r="E1705" i="1" s="1"/>
  <c r="D1705" i="1"/>
  <c r="C1705" i="1"/>
  <c r="B1705" i="1"/>
  <c r="A1705" i="1"/>
  <c r="F1704" i="1" a="1"/>
  <c r="F1704" i="1" s="1"/>
  <c r="E1704" i="1" a="1"/>
  <c r="E1704" i="1" s="1"/>
  <c r="D1704" i="1"/>
  <c r="C1704" i="1"/>
  <c r="B1704" i="1"/>
  <c r="A1704" i="1"/>
  <c r="F1703" i="1" a="1"/>
  <c r="F1703" i="1" s="1"/>
  <c r="E1703" i="1" a="1"/>
  <c r="E1703" i="1" s="1"/>
  <c r="D1703" i="1"/>
  <c r="C1703" i="1"/>
  <c r="B1703" i="1"/>
  <c r="A1703" i="1"/>
  <c r="F1702" i="1"/>
  <c r="F1702" i="1" a="1"/>
  <c r="E1702" i="1" a="1"/>
  <c r="E1702" i="1" s="1"/>
  <c r="D1702" i="1"/>
  <c r="C1702" i="1"/>
  <c r="B1702" i="1"/>
  <c r="A1702" i="1"/>
  <c r="F1701" i="1"/>
  <c r="F1701" i="1" a="1"/>
  <c r="E1701" i="1" a="1"/>
  <c r="E1701" i="1" s="1"/>
  <c r="D1701" i="1"/>
  <c r="C1701" i="1"/>
  <c r="B1701" i="1"/>
  <c r="A1701" i="1"/>
  <c r="F1700" i="1" a="1"/>
  <c r="F1700" i="1" s="1"/>
  <c r="E1700" i="1" a="1"/>
  <c r="E1700" i="1" s="1"/>
  <c r="D1700" i="1"/>
  <c r="C1700" i="1"/>
  <c r="B1700" i="1"/>
  <c r="A1700" i="1"/>
  <c r="F1699" i="1" a="1"/>
  <c r="F1699" i="1" s="1"/>
  <c r="E1699" i="1" a="1"/>
  <c r="E1699" i="1" s="1"/>
  <c r="D1699" i="1"/>
  <c r="C1699" i="1"/>
  <c r="B1699" i="1"/>
  <c r="A1699" i="1"/>
  <c r="F1698" i="1"/>
  <c r="F1698" i="1" a="1"/>
  <c r="E1698" i="1" a="1"/>
  <c r="E1698" i="1" s="1"/>
  <c r="D1698" i="1"/>
  <c r="C1698" i="1"/>
  <c r="B1698" i="1"/>
  <c r="A1698" i="1"/>
  <c r="F1697" i="1" a="1"/>
  <c r="F1697" i="1" s="1"/>
  <c r="E1697" i="1" a="1"/>
  <c r="E1697" i="1" s="1"/>
  <c r="D1697" i="1"/>
  <c r="C1697" i="1"/>
  <c r="B1697" i="1"/>
  <c r="A1697" i="1"/>
  <c r="F1696" i="1" a="1"/>
  <c r="F1696" i="1" s="1"/>
  <c r="E1696" i="1" a="1"/>
  <c r="E1696" i="1" s="1"/>
  <c r="D1696" i="1"/>
  <c r="C1696" i="1"/>
  <c r="B1696" i="1"/>
  <c r="A1696" i="1"/>
  <c r="F1695" i="1" a="1"/>
  <c r="F1695" i="1" s="1"/>
  <c r="E1695" i="1" a="1"/>
  <c r="E1695" i="1" s="1"/>
  <c r="D1695" i="1"/>
  <c r="C1695" i="1"/>
  <c r="B1695" i="1"/>
  <c r="A1695" i="1"/>
  <c r="F1694" i="1"/>
  <c r="F1694" i="1" a="1"/>
  <c r="E1694" i="1" a="1"/>
  <c r="E1694" i="1" s="1"/>
  <c r="D1694" i="1"/>
  <c r="C1694" i="1"/>
  <c r="B1694" i="1"/>
  <c r="A1694" i="1"/>
  <c r="F1693" i="1"/>
  <c r="F1693" i="1" a="1"/>
  <c r="E1693" i="1" a="1"/>
  <c r="E1693" i="1" s="1"/>
  <c r="D1693" i="1"/>
  <c r="C1693" i="1"/>
  <c r="B1693" i="1"/>
  <c r="A1693" i="1"/>
  <c r="F1692" i="1" a="1"/>
  <c r="F1692" i="1" s="1"/>
  <c r="E1692" i="1" a="1"/>
  <c r="E1692" i="1" s="1"/>
  <c r="D1692" i="1"/>
  <c r="C1692" i="1"/>
  <c r="B1692" i="1"/>
  <c r="A1692" i="1"/>
  <c r="F1691" i="1" a="1"/>
  <c r="F1691" i="1" s="1"/>
  <c r="E1691" i="1" a="1"/>
  <c r="E1691" i="1" s="1"/>
  <c r="D1691" i="1"/>
  <c r="C1691" i="1"/>
  <c r="B1691" i="1"/>
  <c r="A1691" i="1"/>
  <c r="F1690" i="1"/>
  <c r="F1690" i="1" a="1"/>
  <c r="E1690" i="1" a="1"/>
  <c r="E1690" i="1" s="1"/>
  <c r="D1690" i="1"/>
  <c r="C1690" i="1"/>
  <c r="B1690" i="1"/>
  <c r="A1690" i="1"/>
  <c r="F1689" i="1" a="1"/>
  <c r="F1689" i="1" s="1"/>
  <c r="E1689" i="1" a="1"/>
  <c r="E1689" i="1" s="1"/>
  <c r="D1689" i="1"/>
  <c r="C1689" i="1"/>
  <c r="B1689" i="1"/>
  <c r="A1689" i="1"/>
  <c r="F1688" i="1" a="1"/>
  <c r="F1688" i="1" s="1"/>
  <c r="E1688" i="1" a="1"/>
  <c r="E1688" i="1" s="1"/>
  <c r="D1688" i="1"/>
  <c r="C1688" i="1"/>
  <c r="B1688" i="1"/>
  <c r="A1688" i="1"/>
  <c r="F1687" i="1" a="1"/>
  <c r="F1687" i="1" s="1"/>
  <c r="E1687" i="1" a="1"/>
  <c r="E1687" i="1" s="1"/>
  <c r="D1687" i="1"/>
  <c r="C1687" i="1"/>
  <c r="B1687" i="1"/>
  <c r="A1687" i="1"/>
  <c r="F1686" i="1"/>
  <c r="F1686" i="1" a="1"/>
  <c r="E1686" i="1" a="1"/>
  <c r="E1686" i="1" s="1"/>
  <c r="D1686" i="1"/>
  <c r="C1686" i="1"/>
  <c r="B1686" i="1"/>
  <c r="A1686" i="1"/>
  <c r="F1685" i="1"/>
  <c r="F1685" i="1" a="1"/>
  <c r="E1685" i="1" a="1"/>
  <c r="E1685" i="1" s="1"/>
  <c r="D1685" i="1"/>
  <c r="C1685" i="1"/>
  <c r="B1685" i="1"/>
  <c r="A1685" i="1"/>
  <c r="F1684" i="1" a="1"/>
  <c r="F1684" i="1" s="1"/>
  <c r="E1684" i="1" a="1"/>
  <c r="E1684" i="1" s="1"/>
  <c r="D1684" i="1"/>
  <c r="C1684" i="1"/>
  <c r="B1684" i="1"/>
  <c r="A1684" i="1"/>
  <c r="F1683" i="1"/>
  <c r="F1683" i="1" a="1"/>
  <c r="E1683" i="1" a="1"/>
  <c r="E1683" i="1" s="1"/>
  <c r="D1683" i="1"/>
  <c r="C1683" i="1"/>
  <c r="B1683" i="1"/>
  <c r="A1683" i="1"/>
  <c r="F1682" i="1"/>
  <c r="F1682" i="1" a="1"/>
  <c r="E1682" i="1" a="1"/>
  <c r="E1682" i="1" s="1"/>
  <c r="D1682" i="1"/>
  <c r="C1682" i="1"/>
  <c r="B1682" i="1"/>
  <c r="A1682" i="1"/>
  <c r="F1681" i="1" a="1"/>
  <c r="F1681" i="1" s="1"/>
  <c r="E1681" i="1" a="1"/>
  <c r="E1681" i="1" s="1"/>
  <c r="D1681" i="1"/>
  <c r="C1681" i="1"/>
  <c r="B1681" i="1"/>
  <c r="A1681" i="1"/>
  <c r="F1680" i="1" a="1"/>
  <c r="F1680" i="1" s="1"/>
  <c r="E1680" i="1" a="1"/>
  <c r="E1680" i="1" s="1"/>
  <c r="D1680" i="1"/>
  <c r="C1680" i="1"/>
  <c r="B1680" i="1"/>
  <c r="A1680" i="1"/>
  <c r="F1679" i="1" a="1"/>
  <c r="F1679" i="1" s="1"/>
  <c r="E1679" i="1" a="1"/>
  <c r="E1679" i="1" s="1"/>
  <c r="D1679" i="1"/>
  <c r="C1679" i="1"/>
  <c r="B1679" i="1"/>
  <c r="A1679" i="1"/>
  <c r="F1678" i="1"/>
  <c r="F1678" i="1" a="1"/>
  <c r="E1678" i="1" a="1"/>
  <c r="E1678" i="1" s="1"/>
  <c r="D1678" i="1"/>
  <c r="C1678" i="1"/>
  <c r="B1678" i="1"/>
  <c r="A1678" i="1"/>
  <c r="F1677" i="1"/>
  <c r="F1677" i="1" a="1"/>
  <c r="E1677" i="1" a="1"/>
  <c r="E1677" i="1" s="1"/>
  <c r="D1677" i="1"/>
  <c r="C1677" i="1"/>
  <c r="B1677" i="1"/>
  <c r="A1677" i="1"/>
  <c r="F1676" i="1" a="1"/>
  <c r="F1676" i="1" s="1"/>
  <c r="E1676" i="1" a="1"/>
  <c r="E1676" i="1" s="1"/>
  <c r="D1676" i="1"/>
  <c r="C1676" i="1"/>
  <c r="B1676" i="1"/>
  <c r="A1676" i="1"/>
  <c r="F1675" i="1"/>
  <c r="F1675" i="1" a="1"/>
  <c r="E1675" i="1" a="1"/>
  <c r="E1675" i="1" s="1"/>
  <c r="D1675" i="1"/>
  <c r="C1675" i="1"/>
  <c r="B1675" i="1"/>
  <c r="A1675" i="1"/>
  <c r="F1674" i="1"/>
  <c r="F1674" i="1" a="1"/>
  <c r="E1674" i="1" a="1"/>
  <c r="E1674" i="1" s="1"/>
  <c r="D1674" i="1"/>
  <c r="C1674" i="1"/>
  <c r="B1674" i="1"/>
  <c r="A1674" i="1"/>
  <c r="F1673" i="1" a="1"/>
  <c r="F1673" i="1" s="1"/>
  <c r="E1673" i="1" a="1"/>
  <c r="E1673" i="1" s="1"/>
  <c r="D1673" i="1"/>
  <c r="C1673" i="1"/>
  <c r="B1673" i="1"/>
  <c r="A1673" i="1"/>
  <c r="F1672" i="1" a="1"/>
  <c r="F1672" i="1" s="1"/>
  <c r="E1672" i="1" a="1"/>
  <c r="E1672" i="1" s="1"/>
  <c r="D1672" i="1"/>
  <c r="C1672" i="1"/>
  <c r="B1672" i="1"/>
  <c r="A1672" i="1"/>
  <c r="F1671" i="1" a="1"/>
  <c r="F1671" i="1" s="1"/>
  <c r="E1671" i="1" a="1"/>
  <c r="E1671" i="1" s="1"/>
  <c r="D1671" i="1"/>
  <c r="C1671" i="1"/>
  <c r="B1671" i="1"/>
  <c r="A1671" i="1"/>
  <c r="F1670" i="1"/>
  <c r="F1670" i="1" a="1"/>
  <c r="E1670" i="1" a="1"/>
  <c r="E1670" i="1" s="1"/>
  <c r="D1670" i="1"/>
  <c r="C1670" i="1"/>
  <c r="B1670" i="1"/>
  <c r="A1670" i="1"/>
  <c r="F1669" i="1"/>
  <c r="F1669" i="1" a="1"/>
  <c r="E1669" i="1" a="1"/>
  <c r="E1669" i="1" s="1"/>
  <c r="D1669" i="1"/>
  <c r="C1669" i="1"/>
  <c r="B1669" i="1"/>
  <c r="A1669" i="1"/>
  <c r="F1668" i="1" a="1"/>
  <c r="F1668" i="1" s="1"/>
  <c r="E1668" i="1" a="1"/>
  <c r="E1668" i="1" s="1"/>
  <c r="D1668" i="1"/>
  <c r="C1668" i="1"/>
  <c r="B1668" i="1"/>
  <c r="A1668" i="1"/>
  <c r="F1667" i="1"/>
  <c r="F1667" i="1" a="1"/>
  <c r="E1667" i="1" a="1"/>
  <c r="E1667" i="1" s="1"/>
  <c r="D1667" i="1"/>
  <c r="C1667" i="1"/>
  <c r="B1667" i="1"/>
  <c r="A1667" i="1"/>
  <c r="F1666" i="1"/>
  <c r="F1666" i="1" a="1"/>
  <c r="E1666" i="1" a="1"/>
  <c r="E1666" i="1" s="1"/>
  <c r="D1666" i="1"/>
  <c r="C1666" i="1"/>
  <c r="B1666" i="1"/>
  <c r="A1666" i="1"/>
  <c r="F1665" i="1" a="1"/>
  <c r="F1665" i="1" s="1"/>
  <c r="E1665" i="1" a="1"/>
  <c r="E1665" i="1" s="1"/>
  <c r="D1665" i="1"/>
  <c r="C1665" i="1"/>
  <c r="B1665" i="1"/>
  <c r="A1665" i="1"/>
  <c r="F1664" i="1" a="1"/>
  <c r="F1664" i="1" s="1"/>
  <c r="E1664" i="1" a="1"/>
  <c r="E1664" i="1" s="1"/>
  <c r="D1664" i="1"/>
  <c r="C1664" i="1"/>
  <c r="B1664" i="1"/>
  <c r="A1664" i="1"/>
  <c r="F1663" i="1" a="1"/>
  <c r="F1663" i="1" s="1"/>
  <c r="E1663" i="1" a="1"/>
  <c r="E1663" i="1" s="1"/>
  <c r="D1663" i="1"/>
  <c r="C1663" i="1"/>
  <c r="B1663" i="1"/>
  <c r="A1663" i="1"/>
  <c r="F1662" i="1"/>
  <c r="F1662" i="1" a="1"/>
  <c r="E1662" i="1" a="1"/>
  <c r="E1662" i="1" s="1"/>
  <c r="D1662" i="1"/>
  <c r="C1662" i="1"/>
  <c r="B1662" i="1"/>
  <c r="A1662" i="1"/>
  <c r="F1661" i="1"/>
  <c r="F1661" i="1" a="1"/>
  <c r="E1661" i="1" a="1"/>
  <c r="E1661" i="1" s="1"/>
  <c r="D1661" i="1"/>
  <c r="C1661" i="1"/>
  <c r="B1661" i="1"/>
  <c r="A1661" i="1"/>
  <c r="F1660" i="1" a="1"/>
  <c r="F1660" i="1" s="1"/>
  <c r="E1660" i="1" a="1"/>
  <c r="E1660" i="1" s="1"/>
  <c r="D1660" i="1"/>
  <c r="C1660" i="1"/>
  <c r="B1660" i="1"/>
  <c r="A1660" i="1"/>
  <c r="F1659" i="1"/>
  <c r="F1659" i="1" a="1"/>
  <c r="E1659" i="1" a="1"/>
  <c r="E1659" i="1" s="1"/>
  <c r="D1659" i="1"/>
  <c r="C1659" i="1"/>
  <c r="B1659" i="1"/>
  <c r="A1659" i="1"/>
  <c r="F1658" i="1"/>
  <c r="F1658" i="1" a="1"/>
  <c r="E1658" i="1" a="1"/>
  <c r="E1658" i="1" s="1"/>
  <c r="D1658" i="1"/>
  <c r="C1658" i="1"/>
  <c r="B1658" i="1"/>
  <c r="A1658" i="1"/>
  <c r="F1657" i="1" a="1"/>
  <c r="F1657" i="1" s="1"/>
  <c r="E1657" i="1" a="1"/>
  <c r="E1657" i="1" s="1"/>
  <c r="D1657" i="1"/>
  <c r="C1657" i="1"/>
  <c r="B1657" i="1"/>
  <c r="A1657" i="1"/>
  <c r="F1656" i="1" a="1"/>
  <c r="F1656" i="1" s="1"/>
  <c r="E1656" i="1" a="1"/>
  <c r="E1656" i="1" s="1"/>
  <c r="D1656" i="1"/>
  <c r="C1656" i="1"/>
  <c r="B1656" i="1"/>
  <c r="A1656" i="1"/>
  <c r="F1655" i="1" a="1"/>
  <c r="F1655" i="1" s="1"/>
  <c r="E1655" i="1" a="1"/>
  <c r="E1655" i="1" s="1"/>
  <c r="D1655" i="1"/>
  <c r="C1655" i="1"/>
  <c r="B1655" i="1"/>
  <c r="A1655" i="1"/>
  <c r="F1654" i="1"/>
  <c r="F1654" i="1" a="1"/>
  <c r="E1654" i="1" a="1"/>
  <c r="E1654" i="1" s="1"/>
  <c r="D1654" i="1"/>
  <c r="C1654" i="1"/>
  <c r="B1654" i="1"/>
  <c r="A1654" i="1"/>
  <c r="F1653" i="1"/>
  <c r="F1653" i="1" a="1"/>
  <c r="E1653" i="1" a="1"/>
  <c r="E1653" i="1" s="1"/>
  <c r="D1653" i="1"/>
  <c r="C1653" i="1"/>
  <c r="B1653" i="1"/>
  <c r="A1653" i="1"/>
  <c r="F1652" i="1" a="1"/>
  <c r="F1652" i="1" s="1"/>
  <c r="E1652" i="1" a="1"/>
  <c r="E1652" i="1" s="1"/>
  <c r="D1652" i="1"/>
  <c r="C1652" i="1"/>
  <c r="B1652" i="1"/>
  <c r="A1652" i="1"/>
  <c r="F1651" i="1"/>
  <c r="F1651" i="1" a="1"/>
  <c r="E1651" i="1" a="1"/>
  <c r="E1651" i="1" s="1"/>
  <c r="D1651" i="1"/>
  <c r="C1651" i="1"/>
  <c r="B1651" i="1"/>
  <c r="A1651" i="1"/>
  <c r="F1650" i="1"/>
  <c r="F1650" i="1" a="1"/>
  <c r="E1650" i="1" a="1"/>
  <c r="E1650" i="1" s="1"/>
  <c r="D1650" i="1"/>
  <c r="C1650" i="1"/>
  <c r="B1650" i="1"/>
  <c r="A1650" i="1"/>
  <c r="F1649" i="1" a="1"/>
  <c r="F1649" i="1" s="1"/>
  <c r="E1649" i="1" a="1"/>
  <c r="E1649" i="1" s="1"/>
  <c r="D1649" i="1"/>
  <c r="C1649" i="1"/>
  <c r="B1649" i="1"/>
  <c r="A1649" i="1"/>
  <c r="F1648" i="1" a="1"/>
  <c r="F1648" i="1" s="1"/>
  <c r="E1648" i="1" a="1"/>
  <c r="E1648" i="1" s="1"/>
  <c r="D1648" i="1"/>
  <c r="C1648" i="1"/>
  <c r="B1648" i="1"/>
  <c r="A1648" i="1"/>
  <c r="F1647" i="1" a="1"/>
  <c r="F1647" i="1" s="1"/>
  <c r="E1647" i="1" a="1"/>
  <c r="E1647" i="1" s="1"/>
  <c r="D1647" i="1"/>
  <c r="C1647" i="1"/>
  <c r="B1647" i="1"/>
  <c r="A1647" i="1"/>
  <c r="F1646" i="1"/>
  <c r="F1646" i="1" a="1"/>
  <c r="E1646" i="1" a="1"/>
  <c r="E1646" i="1" s="1"/>
  <c r="D1646" i="1"/>
  <c r="C1646" i="1"/>
  <c r="B1646" i="1"/>
  <c r="A1646" i="1"/>
  <c r="F1645" i="1"/>
  <c r="F1645" i="1" a="1"/>
  <c r="E1645" i="1" a="1"/>
  <c r="E1645" i="1" s="1"/>
  <c r="D1645" i="1"/>
  <c r="C1645" i="1"/>
  <c r="B1645" i="1"/>
  <c r="A1645" i="1"/>
  <c r="F1644" i="1" a="1"/>
  <c r="F1644" i="1" s="1"/>
  <c r="E1644" i="1" a="1"/>
  <c r="E1644" i="1" s="1"/>
  <c r="D1644" i="1"/>
  <c r="C1644" i="1"/>
  <c r="B1644" i="1"/>
  <c r="A1644" i="1"/>
  <c r="F1643" i="1"/>
  <c r="F1643" i="1" a="1"/>
  <c r="E1643" i="1" a="1"/>
  <c r="E1643" i="1" s="1"/>
  <c r="D1643" i="1"/>
  <c r="C1643" i="1"/>
  <c r="B1643" i="1"/>
  <c r="A1643" i="1"/>
  <c r="F1642" i="1"/>
  <c r="F1642" i="1" a="1"/>
  <c r="E1642" i="1" a="1"/>
  <c r="E1642" i="1" s="1"/>
  <c r="D1642" i="1"/>
  <c r="C1642" i="1"/>
  <c r="B1642" i="1"/>
  <c r="A1642" i="1"/>
  <c r="F1641" i="1" a="1"/>
  <c r="F1641" i="1" s="1"/>
  <c r="E1641" i="1" a="1"/>
  <c r="E1641" i="1" s="1"/>
  <c r="D1641" i="1"/>
  <c r="C1641" i="1"/>
  <c r="B1641" i="1"/>
  <c r="A1641" i="1"/>
  <c r="F1640" i="1" a="1"/>
  <c r="F1640" i="1" s="1"/>
  <c r="E1640" i="1" a="1"/>
  <c r="E1640" i="1" s="1"/>
  <c r="D1640" i="1"/>
  <c r="C1640" i="1"/>
  <c r="B1640" i="1"/>
  <c r="A1640" i="1"/>
  <c r="F1639" i="1" a="1"/>
  <c r="F1639" i="1" s="1"/>
  <c r="E1639" i="1" a="1"/>
  <c r="E1639" i="1" s="1"/>
  <c r="D1639" i="1"/>
  <c r="C1639" i="1"/>
  <c r="B1639" i="1"/>
  <c r="A1639" i="1"/>
  <c r="F1638" i="1"/>
  <c r="F1638" i="1" a="1"/>
  <c r="E1638" i="1" a="1"/>
  <c r="E1638" i="1" s="1"/>
  <c r="D1638" i="1"/>
  <c r="C1638" i="1"/>
  <c r="B1638" i="1"/>
  <c r="A1638" i="1"/>
  <c r="F1637" i="1"/>
  <c r="F1637" i="1" a="1"/>
  <c r="E1637" i="1" a="1"/>
  <c r="E1637" i="1" s="1"/>
  <c r="D1637" i="1"/>
  <c r="C1637" i="1"/>
  <c r="B1637" i="1"/>
  <c r="A1637" i="1"/>
  <c r="F1636" i="1" a="1"/>
  <c r="F1636" i="1" s="1"/>
  <c r="E1636" i="1" a="1"/>
  <c r="E1636" i="1" s="1"/>
  <c r="D1636" i="1"/>
  <c r="C1636" i="1"/>
  <c r="B1636" i="1"/>
  <c r="A1636" i="1"/>
  <c r="F1635" i="1"/>
  <c r="F1635" i="1" a="1"/>
  <c r="E1635" i="1" a="1"/>
  <c r="E1635" i="1" s="1"/>
  <c r="D1635" i="1"/>
  <c r="C1635" i="1"/>
  <c r="B1635" i="1"/>
  <c r="A1635" i="1"/>
  <c r="F1634" i="1" a="1"/>
  <c r="F1634" i="1" s="1"/>
  <c r="E1634" i="1" a="1"/>
  <c r="E1634" i="1" s="1"/>
  <c r="D1634" i="1"/>
  <c r="C1634" i="1"/>
  <c r="B1634" i="1"/>
  <c r="A1634" i="1"/>
  <c r="F1633" i="1" a="1"/>
  <c r="F1633" i="1" s="1"/>
  <c r="E1633" i="1" a="1"/>
  <c r="E1633" i="1" s="1"/>
  <c r="D1633" i="1"/>
  <c r="C1633" i="1"/>
  <c r="B1633" i="1"/>
  <c r="A1633" i="1"/>
  <c r="F1632" i="1" a="1"/>
  <c r="F1632" i="1" s="1"/>
  <c r="E1632" i="1" a="1"/>
  <c r="E1632" i="1" s="1"/>
  <c r="D1632" i="1"/>
  <c r="C1632" i="1"/>
  <c r="B1632" i="1"/>
  <c r="A1632" i="1"/>
  <c r="F1631" i="1" a="1"/>
  <c r="F1631" i="1" s="1"/>
  <c r="E1631" i="1" a="1"/>
  <c r="E1631" i="1" s="1"/>
  <c r="D1631" i="1"/>
  <c r="C1631" i="1"/>
  <c r="B1631" i="1"/>
  <c r="A1631" i="1"/>
  <c r="F1630" i="1"/>
  <c r="F1630" i="1" a="1"/>
  <c r="E1630" i="1" a="1"/>
  <c r="E1630" i="1" s="1"/>
  <c r="D1630" i="1"/>
  <c r="C1630" i="1"/>
  <c r="B1630" i="1"/>
  <c r="A1630" i="1"/>
  <c r="F1629" i="1"/>
  <c r="F1629" i="1" a="1"/>
  <c r="E1629" i="1" a="1"/>
  <c r="E1629" i="1" s="1"/>
  <c r="D1629" i="1"/>
  <c r="C1629" i="1"/>
  <c r="B1629" i="1"/>
  <c r="A1629" i="1"/>
  <c r="F1628" i="1" a="1"/>
  <c r="F1628" i="1" s="1"/>
  <c r="E1628" i="1" a="1"/>
  <c r="E1628" i="1" s="1"/>
  <c r="D1628" i="1"/>
  <c r="C1628" i="1"/>
  <c r="B1628" i="1"/>
  <c r="A1628" i="1"/>
  <c r="F1627" i="1" a="1"/>
  <c r="F1627" i="1" s="1"/>
  <c r="E1627" i="1" a="1"/>
  <c r="E1627" i="1" s="1"/>
  <c r="D1627" i="1"/>
  <c r="C1627" i="1"/>
  <c r="B1627" i="1"/>
  <c r="A1627" i="1"/>
  <c r="F1626" i="1" a="1"/>
  <c r="F1626" i="1" s="1"/>
  <c r="E1626" i="1" a="1"/>
  <c r="E1626" i="1" s="1"/>
  <c r="D1626" i="1"/>
  <c r="C1626" i="1"/>
  <c r="B1626" i="1"/>
  <c r="A1626" i="1"/>
  <c r="F1625" i="1" a="1"/>
  <c r="F1625" i="1" s="1"/>
  <c r="E1625" i="1" a="1"/>
  <c r="E1625" i="1" s="1"/>
  <c r="D1625" i="1"/>
  <c r="C1625" i="1"/>
  <c r="B1625" i="1"/>
  <c r="A1625" i="1"/>
  <c r="F1624" i="1" a="1"/>
  <c r="F1624" i="1" s="1"/>
  <c r="E1624" i="1" a="1"/>
  <c r="E1624" i="1" s="1"/>
  <c r="D1624" i="1"/>
  <c r="C1624" i="1"/>
  <c r="B1624" i="1"/>
  <c r="A1624" i="1"/>
  <c r="F1623" i="1" a="1"/>
  <c r="F1623" i="1" s="1"/>
  <c r="E1623" i="1" a="1"/>
  <c r="E1623" i="1" s="1"/>
  <c r="D1623" i="1"/>
  <c r="C1623" i="1"/>
  <c r="B1623" i="1"/>
  <c r="A1623" i="1"/>
  <c r="F1622" i="1"/>
  <c r="F1622" i="1" a="1"/>
  <c r="E1622" i="1" a="1"/>
  <c r="E1622" i="1" s="1"/>
  <c r="D1622" i="1"/>
  <c r="C1622" i="1"/>
  <c r="B1622" i="1"/>
  <c r="A1622" i="1"/>
  <c r="F1621" i="1" a="1"/>
  <c r="F1621" i="1" s="1"/>
  <c r="E1621" i="1" a="1"/>
  <c r="E1621" i="1" s="1"/>
  <c r="D1621" i="1"/>
  <c r="C1621" i="1"/>
  <c r="B1621" i="1"/>
  <c r="A1621" i="1"/>
  <c r="F1620" i="1" a="1"/>
  <c r="F1620" i="1" s="1"/>
  <c r="E1620" i="1" a="1"/>
  <c r="E1620" i="1" s="1"/>
  <c r="D1620" i="1"/>
  <c r="C1620" i="1"/>
  <c r="B1620" i="1"/>
  <c r="A1620" i="1"/>
  <c r="F1619" i="1" a="1"/>
  <c r="F1619" i="1" s="1"/>
  <c r="E1619" i="1" a="1"/>
  <c r="E1619" i="1" s="1"/>
  <c r="D1619" i="1"/>
  <c r="C1619" i="1"/>
  <c r="B1619" i="1"/>
  <c r="A1619" i="1"/>
  <c r="F1618" i="1" a="1"/>
  <c r="F1618" i="1" s="1"/>
  <c r="E1618" i="1" a="1"/>
  <c r="E1618" i="1" s="1"/>
  <c r="D1618" i="1"/>
  <c r="C1618" i="1"/>
  <c r="B1618" i="1"/>
  <c r="A1618" i="1"/>
  <c r="F1617" i="1" a="1"/>
  <c r="F1617" i="1" s="1"/>
  <c r="E1617" i="1" a="1"/>
  <c r="E1617" i="1" s="1"/>
  <c r="D1617" i="1"/>
  <c r="C1617" i="1"/>
  <c r="B1617" i="1"/>
  <c r="A1617" i="1"/>
  <c r="F1616" i="1" a="1"/>
  <c r="F1616" i="1" s="1"/>
  <c r="E1616" i="1" a="1"/>
  <c r="E1616" i="1" s="1"/>
  <c r="D1616" i="1"/>
  <c r="C1616" i="1"/>
  <c r="B1616" i="1"/>
  <c r="A1616" i="1"/>
  <c r="F1615" i="1" a="1"/>
  <c r="F1615" i="1" s="1"/>
  <c r="E1615" i="1" a="1"/>
  <c r="E1615" i="1" s="1"/>
  <c r="D1615" i="1"/>
  <c r="C1615" i="1"/>
  <c r="B1615" i="1"/>
  <c r="A1615" i="1"/>
  <c r="F1614" i="1"/>
  <c r="F1614" i="1" a="1"/>
  <c r="E1614" i="1" a="1"/>
  <c r="E1614" i="1" s="1"/>
  <c r="D1614" i="1"/>
  <c r="C1614" i="1"/>
  <c r="B1614" i="1"/>
  <c r="A1614" i="1"/>
  <c r="F1613" i="1"/>
  <c r="F1613" i="1" a="1"/>
  <c r="E1613" i="1" a="1"/>
  <c r="E1613" i="1" s="1"/>
  <c r="D1613" i="1"/>
  <c r="C1613" i="1"/>
  <c r="B1613" i="1"/>
  <c r="A1613" i="1"/>
  <c r="F1612" i="1" a="1"/>
  <c r="F1612" i="1" s="1"/>
  <c r="E1612" i="1" a="1"/>
  <c r="E1612" i="1" s="1"/>
  <c r="D1612" i="1"/>
  <c r="C1612" i="1"/>
  <c r="B1612" i="1"/>
  <c r="A1612" i="1"/>
  <c r="F1611" i="1" a="1"/>
  <c r="F1611" i="1" s="1"/>
  <c r="E1611" i="1" a="1"/>
  <c r="E1611" i="1" s="1"/>
  <c r="D1611" i="1"/>
  <c r="C1611" i="1"/>
  <c r="B1611" i="1"/>
  <c r="A1611" i="1"/>
  <c r="F1610" i="1" a="1"/>
  <c r="F1610" i="1" s="1"/>
  <c r="E1610" i="1" a="1"/>
  <c r="E1610" i="1" s="1"/>
  <c r="D1610" i="1"/>
  <c r="C1610" i="1"/>
  <c r="B1610" i="1"/>
  <c r="A1610" i="1"/>
  <c r="F1609" i="1" a="1"/>
  <c r="F1609" i="1" s="1"/>
  <c r="E1609" i="1" a="1"/>
  <c r="E1609" i="1" s="1"/>
  <c r="D1609" i="1"/>
  <c r="C1609" i="1"/>
  <c r="B1609" i="1"/>
  <c r="A1609" i="1"/>
  <c r="F1608" i="1" a="1"/>
  <c r="F1608" i="1" s="1"/>
  <c r="E1608" i="1" a="1"/>
  <c r="E1608" i="1" s="1"/>
  <c r="D1608" i="1"/>
  <c r="C1608" i="1"/>
  <c r="B1608" i="1"/>
  <c r="A1608" i="1"/>
  <c r="F1607" i="1" a="1"/>
  <c r="F1607" i="1" s="1"/>
  <c r="E1607" i="1" a="1"/>
  <c r="E1607" i="1" s="1"/>
  <c r="D1607" i="1"/>
  <c r="C1607" i="1"/>
  <c r="B1607" i="1"/>
  <c r="A1607" i="1"/>
  <c r="F1606" i="1"/>
  <c r="F1606" i="1" a="1"/>
  <c r="E1606" i="1" a="1"/>
  <c r="E1606" i="1" s="1"/>
  <c r="D1606" i="1"/>
  <c r="C1606" i="1"/>
  <c r="B1606" i="1"/>
  <c r="A1606" i="1"/>
  <c r="F1605" i="1" a="1"/>
  <c r="F1605" i="1" s="1"/>
  <c r="E1605" i="1" a="1"/>
  <c r="E1605" i="1" s="1"/>
  <c r="D1605" i="1"/>
  <c r="C1605" i="1"/>
  <c r="B1605" i="1"/>
  <c r="A1605" i="1"/>
  <c r="F1604" i="1"/>
  <c r="F1604" i="1" a="1"/>
  <c r="E1604" i="1" a="1"/>
  <c r="E1604" i="1" s="1"/>
  <c r="D1604" i="1"/>
  <c r="C1604" i="1"/>
  <c r="B1604" i="1"/>
  <c r="A1604" i="1"/>
  <c r="F1603" i="1" a="1"/>
  <c r="F1603" i="1" s="1"/>
  <c r="E1603" i="1" a="1"/>
  <c r="E1603" i="1" s="1"/>
  <c r="D1603" i="1"/>
  <c r="C1603" i="1"/>
  <c r="B1603" i="1"/>
  <c r="A1603" i="1"/>
  <c r="F1602" i="1" a="1"/>
  <c r="F1602" i="1" s="1"/>
  <c r="E1602" i="1" a="1"/>
  <c r="E1602" i="1" s="1"/>
  <c r="D1602" i="1"/>
  <c r="C1602" i="1"/>
  <c r="B1602" i="1"/>
  <c r="A1602" i="1"/>
  <c r="F1601" i="1" a="1"/>
  <c r="F1601" i="1" s="1"/>
  <c r="E1601" i="1" a="1"/>
  <c r="E1601" i="1" s="1"/>
  <c r="D1601" i="1"/>
  <c r="C1601" i="1"/>
  <c r="B1601" i="1"/>
  <c r="A1601" i="1"/>
  <c r="F1600" i="1" a="1"/>
  <c r="F1600" i="1" s="1"/>
  <c r="E1600" i="1" a="1"/>
  <c r="E1600" i="1" s="1"/>
  <c r="D1600" i="1"/>
  <c r="C1600" i="1"/>
  <c r="B1600" i="1"/>
  <c r="A1600" i="1"/>
  <c r="F1599" i="1"/>
  <c r="F1599" i="1" a="1"/>
  <c r="E1599" i="1" a="1"/>
  <c r="E1599" i="1" s="1"/>
  <c r="D1599" i="1"/>
  <c r="C1599" i="1"/>
  <c r="B1599" i="1"/>
  <c r="A1599" i="1"/>
  <c r="F1598" i="1"/>
  <c r="F1598" i="1" a="1"/>
  <c r="E1598" i="1" a="1"/>
  <c r="E1598" i="1" s="1"/>
  <c r="D1598" i="1"/>
  <c r="C1598" i="1"/>
  <c r="B1598" i="1"/>
  <c r="A1598" i="1"/>
  <c r="F1597" i="1" a="1"/>
  <c r="F1597" i="1" s="1"/>
  <c r="E1597" i="1" a="1"/>
  <c r="E1597" i="1" s="1"/>
  <c r="D1597" i="1"/>
  <c r="C1597" i="1"/>
  <c r="B1597" i="1"/>
  <c r="A1597" i="1"/>
  <c r="F1596" i="1"/>
  <c r="F1596" i="1" a="1"/>
  <c r="E1596" i="1" a="1"/>
  <c r="E1596" i="1" s="1"/>
  <c r="D1596" i="1"/>
  <c r="C1596" i="1"/>
  <c r="B1596" i="1"/>
  <c r="A1596" i="1"/>
  <c r="F1595" i="1" a="1"/>
  <c r="F1595" i="1" s="1"/>
  <c r="E1595" i="1" a="1"/>
  <c r="E1595" i="1" s="1"/>
  <c r="D1595" i="1"/>
  <c r="C1595" i="1"/>
  <c r="B1595" i="1"/>
  <c r="A1595" i="1"/>
  <c r="F1594" i="1" a="1"/>
  <c r="F1594" i="1" s="1"/>
  <c r="E1594" i="1" a="1"/>
  <c r="E1594" i="1" s="1"/>
  <c r="D1594" i="1"/>
  <c r="C1594" i="1"/>
  <c r="B1594" i="1"/>
  <c r="A1594" i="1"/>
  <c r="F1593" i="1" a="1"/>
  <c r="F1593" i="1" s="1"/>
  <c r="E1593" i="1" a="1"/>
  <c r="E1593" i="1" s="1"/>
  <c r="D1593" i="1"/>
  <c r="C1593" i="1"/>
  <c r="B1593" i="1"/>
  <c r="A1593" i="1"/>
  <c r="F1592" i="1" a="1"/>
  <c r="F1592" i="1" s="1"/>
  <c r="E1592" i="1" a="1"/>
  <c r="E1592" i="1" s="1"/>
  <c r="D1592" i="1"/>
  <c r="C1592" i="1"/>
  <c r="B1592" i="1"/>
  <c r="A1592" i="1"/>
  <c r="F1591" i="1" a="1"/>
  <c r="F1591" i="1" s="1"/>
  <c r="E1591" i="1" a="1"/>
  <c r="E1591" i="1" s="1"/>
  <c r="D1591" i="1"/>
  <c r="C1591" i="1"/>
  <c r="B1591" i="1"/>
  <c r="A1591" i="1"/>
  <c r="F1590" i="1"/>
  <c r="F1590" i="1" a="1"/>
  <c r="E1590" i="1" a="1"/>
  <c r="E1590" i="1" s="1"/>
  <c r="D1590" i="1"/>
  <c r="C1590" i="1"/>
  <c r="B1590" i="1"/>
  <c r="A1590" i="1"/>
  <c r="F1589" i="1" a="1"/>
  <c r="F1589" i="1" s="1"/>
  <c r="E1589" i="1" a="1"/>
  <c r="E1589" i="1" s="1"/>
  <c r="D1589" i="1"/>
  <c r="C1589" i="1"/>
  <c r="B1589" i="1"/>
  <c r="A1589" i="1"/>
  <c r="F1588" i="1"/>
  <c r="F1588" i="1" a="1"/>
  <c r="E1588" i="1" a="1"/>
  <c r="E1588" i="1" s="1"/>
  <c r="D1588" i="1"/>
  <c r="C1588" i="1"/>
  <c r="B1588" i="1"/>
  <c r="A1588" i="1"/>
  <c r="F1587" i="1" a="1"/>
  <c r="F1587" i="1" s="1"/>
  <c r="E1587" i="1" a="1"/>
  <c r="E1587" i="1" s="1"/>
  <c r="D1587" i="1"/>
  <c r="C1587" i="1"/>
  <c r="B1587" i="1"/>
  <c r="A1587" i="1"/>
  <c r="F1586" i="1" a="1"/>
  <c r="F1586" i="1" s="1"/>
  <c r="E1586" i="1" a="1"/>
  <c r="E1586" i="1" s="1"/>
  <c r="D1586" i="1"/>
  <c r="C1586" i="1"/>
  <c r="B1586" i="1"/>
  <c r="A1586" i="1"/>
  <c r="F1585" i="1" a="1"/>
  <c r="F1585" i="1" s="1"/>
  <c r="E1585" i="1" a="1"/>
  <c r="E1585" i="1" s="1"/>
  <c r="D1585" i="1"/>
  <c r="C1585" i="1"/>
  <c r="B1585" i="1"/>
  <c r="A1585" i="1"/>
  <c r="F1584" i="1" a="1"/>
  <c r="F1584" i="1" s="1"/>
  <c r="E1584" i="1" a="1"/>
  <c r="E1584" i="1" s="1"/>
  <c r="D1584" i="1"/>
  <c r="C1584" i="1"/>
  <c r="B1584" i="1"/>
  <c r="A1584" i="1"/>
  <c r="F1583" i="1" a="1"/>
  <c r="F1583" i="1" s="1"/>
  <c r="E1583" i="1" a="1"/>
  <c r="E1583" i="1" s="1"/>
  <c r="D1583" i="1"/>
  <c r="C1583" i="1"/>
  <c r="B1583" i="1"/>
  <c r="A1583" i="1"/>
  <c r="F1582" i="1"/>
  <c r="F1582" i="1" a="1"/>
  <c r="E1582" i="1" a="1"/>
  <c r="E1582" i="1" s="1"/>
  <c r="D1582" i="1"/>
  <c r="C1582" i="1"/>
  <c r="B1582" i="1"/>
  <c r="A1582" i="1"/>
  <c r="F1581" i="1" a="1"/>
  <c r="F1581" i="1" s="1"/>
  <c r="E1581" i="1" a="1"/>
  <c r="E1581" i="1" s="1"/>
  <c r="D1581" i="1"/>
  <c r="C1581" i="1"/>
  <c r="B1581" i="1"/>
  <c r="A1581" i="1"/>
  <c r="F1580" i="1"/>
  <c r="F1580" i="1" a="1"/>
  <c r="E1580" i="1" a="1"/>
  <c r="E1580" i="1" s="1"/>
  <c r="D1580" i="1"/>
  <c r="C1580" i="1"/>
  <c r="B1580" i="1"/>
  <c r="A1580" i="1"/>
  <c r="F1579" i="1" a="1"/>
  <c r="F1579" i="1" s="1"/>
  <c r="E1579" i="1" a="1"/>
  <c r="E1579" i="1" s="1"/>
  <c r="D1579" i="1"/>
  <c r="C1579" i="1"/>
  <c r="B1579" i="1"/>
  <c r="A1579" i="1"/>
  <c r="F1578" i="1" a="1"/>
  <c r="F1578" i="1" s="1"/>
  <c r="E1578" i="1" a="1"/>
  <c r="E1578" i="1" s="1"/>
  <c r="D1578" i="1"/>
  <c r="C1578" i="1"/>
  <c r="B1578" i="1"/>
  <c r="A1578" i="1"/>
  <c r="F1577" i="1" a="1"/>
  <c r="F1577" i="1" s="1"/>
  <c r="E1577" i="1" a="1"/>
  <c r="E1577" i="1" s="1"/>
  <c r="D1577" i="1"/>
  <c r="C1577" i="1"/>
  <c r="B1577" i="1"/>
  <c r="A1577" i="1"/>
  <c r="F1576" i="1" a="1"/>
  <c r="F1576" i="1" s="1"/>
  <c r="E1576" i="1" a="1"/>
  <c r="E1576" i="1" s="1"/>
  <c r="D1576" i="1"/>
  <c r="C1576" i="1"/>
  <c r="B1576" i="1"/>
  <c r="A1576" i="1"/>
  <c r="F1575" i="1" a="1"/>
  <c r="F1575" i="1" s="1"/>
  <c r="E1575" i="1" a="1"/>
  <c r="E1575" i="1" s="1"/>
  <c r="D1575" i="1"/>
  <c r="C1575" i="1"/>
  <c r="B1575" i="1"/>
  <c r="A1575" i="1"/>
  <c r="F1574" i="1"/>
  <c r="F1574" i="1" a="1"/>
  <c r="E1574" i="1" a="1"/>
  <c r="E1574" i="1" s="1"/>
  <c r="D1574" i="1"/>
  <c r="C1574" i="1"/>
  <c r="B1574" i="1"/>
  <c r="A1574" i="1"/>
  <c r="F1573" i="1" a="1"/>
  <c r="F1573" i="1" s="1"/>
  <c r="E1573" i="1" a="1"/>
  <c r="E1573" i="1" s="1"/>
  <c r="D1573" i="1"/>
  <c r="C1573" i="1"/>
  <c r="B1573" i="1"/>
  <c r="A1573" i="1"/>
  <c r="F1572" i="1" a="1"/>
  <c r="F1572" i="1" s="1"/>
  <c r="E1572" i="1" a="1"/>
  <c r="E1572" i="1" s="1"/>
  <c r="D1572" i="1"/>
  <c r="C1572" i="1"/>
  <c r="B1572" i="1"/>
  <c r="A1572" i="1"/>
  <c r="F1571" i="1" a="1"/>
  <c r="F1571" i="1" s="1"/>
  <c r="E1571" i="1" a="1"/>
  <c r="E1571" i="1" s="1"/>
  <c r="D1571" i="1"/>
  <c r="C1571" i="1"/>
  <c r="B1571" i="1"/>
  <c r="A1571" i="1"/>
  <c r="F1570" i="1" a="1"/>
  <c r="F1570" i="1" s="1"/>
  <c r="E1570" i="1" a="1"/>
  <c r="E1570" i="1" s="1"/>
  <c r="D1570" i="1"/>
  <c r="C1570" i="1"/>
  <c r="B1570" i="1"/>
  <c r="A1570" i="1"/>
  <c r="F1569" i="1" a="1"/>
  <c r="F1569" i="1" s="1"/>
  <c r="E1569" i="1" a="1"/>
  <c r="E1569" i="1" s="1"/>
  <c r="D1569" i="1"/>
  <c r="C1569" i="1"/>
  <c r="B1569" i="1"/>
  <c r="A1569" i="1"/>
  <c r="F1568" i="1" a="1"/>
  <c r="F1568" i="1" s="1"/>
  <c r="E1568" i="1" a="1"/>
  <c r="E1568" i="1" s="1"/>
  <c r="D1568" i="1"/>
  <c r="C1568" i="1"/>
  <c r="B1568" i="1"/>
  <c r="A1568" i="1"/>
  <c r="F1567" i="1" a="1"/>
  <c r="F1567" i="1" s="1"/>
  <c r="E1567" i="1" a="1"/>
  <c r="E1567" i="1" s="1"/>
  <c r="D1567" i="1"/>
  <c r="C1567" i="1"/>
  <c r="B1567" i="1"/>
  <c r="A1567" i="1"/>
  <c r="F1566" i="1"/>
  <c r="F1566" i="1" a="1"/>
  <c r="E1566" i="1" a="1"/>
  <c r="E1566" i="1" s="1"/>
  <c r="D1566" i="1"/>
  <c r="C1566" i="1"/>
  <c r="B1566" i="1"/>
  <c r="A1566" i="1"/>
  <c r="F1565" i="1"/>
  <c r="F1565" i="1" a="1"/>
  <c r="E1565" i="1" a="1"/>
  <c r="E1565" i="1" s="1"/>
  <c r="D1565" i="1"/>
  <c r="C1565" i="1"/>
  <c r="B1565" i="1"/>
  <c r="A1565" i="1"/>
  <c r="F1564" i="1" a="1"/>
  <c r="F1564" i="1" s="1"/>
  <c r="E1564" i="1" a="1"/>
  <c r="E1564" i="1" s="1"/>
  <c r="D1564" i="1"/>
  <c r="C1564" i="1"/>
  <c r="B1564" i="1"/>
  <c r="A1564" i="1"/>
  <c r="F1563" i="1" a="1"/>
  <c r="F1563" i="1" s="1"/>
  <c r="E1563" i="1" a="1"/>
  <c r="E1563" i="1" s="1"/>
  <c r="D1563" i="1"/>
  <c r="C1563" i="1"/>
  <c r="B1563" i="1"/>
  <c r="A1563" i="1"/>
  <c r="F1562" i="1" a="1"/>
  <c r="F1562" i="1" s="1"/>
  <c r="E1562" i="1" a="1"/>
  <c r="E1562" i="1" s="1"/>
  <c r="D1562" i="1"/>
  <c r="C1562" i="1"/>
  <c r="B1562" i="1"/>
  <c r="A1562" i="1"/>
  <c r="F1561" i="1" a="1"/>
  <c r="F1561" i="1" s="1"/>
  <c r="E1561" i="1" a="1"/>
  <c r="E1561" i="1" s="1"/>
  <c r="D1561" i="1"/>
  <c r="C1561" i="1"/>
  <c r="B1561" i="1"/>
  <c r="A1561" i="1"/>
  <c r="F1560" i="1" a="1"/>
  <c r="F1560" i="1" s="1"/>
  <c r="E1560" i="1" a="1"/>
  <c r="E1560" i="1" s="1"/>
  <c r="D1560" i="1"/>
  <c r="C1560" i="1"/>
  <c r="B1560" i="1"/>
  <c r="A1560" i="1"/>
  <c r="F1559" i="1" a="1"/>
  <c r="F1559" i="1" s="1"/>
  <c r="E1559" i="1" a="1"/>
  <c r="E1559" i="1" s="1"/>
  <c r="D1559" i="1"/>
  <c r="C1559" i="1"/>
  <c r="B1559" i="1"/>
  <c r="A1559" i="1"/>
  <c r="F1558" i="1"/>
  <c r="F1558" i="1" a="1"/>
  <c r="E1558" i="1" a="1"/>
  <c r="E1558" i="1" s="1"/>
  <c r="D1558" i="1"/>
  <c r="C1558" i="1"/>
  <c r="B1558" i="1"/>
  <c r="A1558" i="1"/>
  <c r="F1557" i="1"/>
  <c r="F1557" i="1" a="1"/>
  <c r="E1557" i="1" a="1"/>
  <c r="E1557" i="1" s="1"/>
  <c r="D1557" i="1"/>
  <c r="C1557" i="1"/>
  <c r="B1557" i="1"/>
  <c r="A1557" i="1"/>
  <c r="F1556" i="1" a="1"/>
  <c r="F1556" i="1" s="1"/>
  <c r="E1556" i="1" a="1"/>
  <c r="E1556" i="1" s="1"/>
  <c r="D1556" i="1"/>
  <c r="C1556" i="1"/>
  <c r="B1556" i="1"/>
  <c r="A1556" i="1"/>
  <c r="F1555" i="1" a="1"/>
  <c r="F1555" i="1" s="1"/>
  <c r="E1555" i="1" a="1"/>
  <c r="E1555" i="1" s="1"/>
  <c r="D1555" i="1"/>
  <c r="C1555" i="1"/>
  <c r="B1555" i="1"/>
  <c r="A1555" i="1"/>
  <c r="F1554" i="1" a="1"/>
  <c r="F1554" i="1" s="1"/>
  <c r="E1554" i="1" a="1"/>
  <c r="E1554" i="1" s="1"/>
  <c r="D1554" i="1"/>
  <c r="C1554" i="1"/>
  <c r="B1554" i="1"/>
  <c r="A1554" i="1"/>
  <c r="F1553" i="1" a="1"/>
  <c r="F1553" i="1" s="1"/>
  <c r="E1553" i="1" a="1"/>
  <c r="E1553" i="1" s="1"/>
  <c r="D1553" i="1"/>
  <c r="C1553" i="1"/>
  <c r="B1553" i="1"/>
  <c r="A1553" i="1"/>
  <c r="F1552" i="1" a="1"/>
  <c r="F1552" i="1" s="1"/>
  <c r="E1552" i="1" a="1"/>
  <c r="E1552" i="1" s="1"/>
  <c r="D1552" i="1"/>
  <c r="C1552" i="1"/>
  <c r="B1552" i="1"/>
  <c r="A1552" i="1"/>
  <c r="F1551" i="1" a="1"/>
  <c r="F1551" i="1" s="1"/>
  <c r="E1551" i="1" a="1"/>
  <c r="E1551" i="1" s="1"/>
  <c r="D1551" i="1"/>
  <c r="C1551" i="1"/>
  <c r="B1551" i="1"/>
  <c r="A1551" i="1"/>
  <c r="F1550" i="1"/>
  <c r="F1550" i="1" a="1"/>
  <c r="E1550" i="1" a="1"/>
  <c r="E1550" i="1" s="1"/>
  <c r="D1550" i="1"/>
  <c r="C1550" i="1"/>
  <c r="B1550" i="1"/>
  <c r="A1550" i="1"/>
  <c r="F1549" i="1"/>
  <c r="F1549" i="1" a="1"/>
  <c r="E1549" i="1" a="1"/>
  <c r="E1549" i="1" s="1"/>
  <c r="D1549" i="1"/>
  <c r="C1549" i="1"/>
  <c r="B1549" i="1"/>
  <c r="A1549" i="1"/>
  <c r="F1548" i="1" a="1"/>
  <c r="F1548" i="1" s="1"/>
  <c r="E1548" i="1" a="1"/>
  <c r="E1548" i="1" s="1"/>
  <c r="D1548" i="1"/>
  <c r="C1548" i="1"/>
  <c r="B1548" i="1"/>
  <c r="A1548" i="1"/>
  <c r="F1547" i="1" a="1"/>
  <c r="F1547" i="1" s="1"/>
  <c r="E1547" i="1" a="1"/>
  <c r="E1547" i="1" s="1"/>
  <c r="D1547" i="1"/>
  <c r="C1547" i="1"/>
  <c r="B1547" i="1"/>
  <c r="A1547" i="1"/>
  <c r="F1546" i="1"/>
  <c r="F1546" i="1" a="1"/>
  <c r="E1546" i="1" a="1"/>
  <c r="E1546" i="1" s="1"/>
  <c r="D1546" i="1"/>
  <c r="C1546" i="1"/>
  <c r="B1546" i="1"/>
  <c r="A1546" i="1"/>
  <c r="F1545" i="1" a="1"/>
  <c r="F1545" i="1" s="1"/>
  <c r="E1545" i="1" a="1"/>
  <c r="E1545" i="1" s="1"/>
  <c r="D1545" i="1"/>
  <c r="C1545" i="1"/>
  <c r="B1545" i="1"/>
  <c r="A1545" i="1"/>
  <c r="F1544" i="1" a="1"/>
  <c r="F1544" i="1" s="1"/>
  <c r="E1544" i="1" a="1"/>
  <c r="E1544" i="1" s="1"/>
  <c r="D1544" i="1"/>
  <c r="C1544" i="1"/>
  <c r="B1544" i="1"/>
  <c r="A1544" i="1"/>
  <c r="F1543" i="1" a="1"/>
  <c r="F1543" i="1" s="1"/>
  <c r="E1543" i="1" a="1"/>
  <c r="E1543" i="1" s="1"/>
  <c r="D1543" i="1"/>
  <c r="C1543" i="1"/>
  <c r="B1543" i="1"/>
  <c r="A1543" i="1"/>
  <c r="F1542" i="1"/>
  <c r="F1542" i="1" a="1"/>
  <c r="E1542" i="1" a="1"/>
  <c r="E1542" i="1" s="1"/>
  <c r="D1542" i="1"/>
  <c r="C1542" i="1"/>
  <c r="B1542" i="1"/>
  <c r="A1542" i="1"/>
  <c r="F1541" i="1" a="1"/>
  <c r="F1541" i="1" s="1"/>
  <c r="E1541" i="1" a="1"/>
  <c r="E1541" i="1" s="1"/>
  <c r="D1541" i="1"/>
  <c r="C1541" i="1"/>
  <c r="B1541" i="1"/>
  <c r="A1541" i="1"/>
  <c r="F1540" i="1" a="1"/>
  <c r="F1540" i="1" s="1"/>
  <c r="E1540" i="1" a="1"/>
  <c r="E1540" i="1" s="1"/>
  <c r="D1540" i="1"/>
  <c r="C1540" i="1"/>
  <c r="B1540" i="1"/>
  <c r="A1540" i="1"/>
  <c r="F1539" i="1" a="1"/>
  <c r="F1539" i="1" s="1"/>
  <c r="E1539" i="1" a="1"/>
  <c r="E1539" i="1" s="1"/>
  <c r="D1539" i="1"/>
  <c r="C1539" i="1"/>
  <c r="B1539" i="1"/>
  <c r="A1539" i="1"/>
  <c r="F1538" i="1"/>
  <c r="F1538" i="1" a="1"/>
  <c r="E1538" i="1" a="1"/>
  <c r="E1538" i="1" s="1"/>
  <c r="D1538" i="1"/>
  <c r="C1538" i="1"/>
  <c r="B1538" i="1"/>
  <c r="A1538" i="1"/>
  <c r="F1537" i="1" a="1"/>
  <c r="F1537" i="1" s="1"/>
  <c r="E1537" i="1" a="1"/>
  <c r="E1537" i="1" s="1"/>
  <c r="D1537" i="1"/>
  <c r="C1537" i="1"/>
  <c r="B1537" i="1"/>
  <c r="A1537" i="1"/>
  <c r="F1536" i="1" a="1"/>
  <c r="F1536" i="1" s="1"/>
  <c r="E1536" i="1" a="1"/>
  <c r="E1536" i="1" s="1"/>
  <c r="D1536" i="1"/>
  <c r="C1536" i="1"/>
  <c r="B1536" i="1"/>
  <c r="A1536" i="1"/>
  <c r="F1535" i="1" a="1"/>
  <c r="F1535" i="1" s="1"/>
  <c r="E1535" i="1" a="1"/>
  <c r="E1535" i="1" s="1"/>
  <c r="D1535" i="1"/>
  <c r="C1535" i="1"/>
  <c r="B1535" i="1"/>
  <c r="A1535" i="1"/>
  <c r="F1534" i="1"/>
  <c r="F1534" i="1" a="1"/>
  <c r="E1534" i="1" a="1"/>
  <c r="E1534" i="1" s="1"/>
  <c r="D1534" i="1"/>
  <c r="C1534" i="1"/>
  <c r="B1534" i="1"/>
  <c r="A1534" i="1"/>
  <c r="F1533" i="1" a="1"/>
  <c r="F1533" i="1" s="1"/>
  <c r="E1533" i="1" a="1"/>
  <c r="E1533" i="1" s="1"/>
  <c r="D1533" i="1"/>
  <c r="C1533" i="1"/>
  <c r="B1533" i="1"/>
  <c r="A1533" i="1"/>
  <c r="F1532" i="1"/>
  <c r="F1532" i="1" a="1"/>
  <c r="E1532" i="1" a="1"/>
  <c r="E1532" i="1" s="1"/>
  <c r="D1532" i="1"/>
  <c r="C1532" i="1"/>
  <c r="B1532" i="1"/>
  <c r="A1532" i="1"/>
  <c r="F1531" i="1" a="1"/>
  <c r="F1531" i="1" s="1"/>
  <c r="E1531" i="1" a="1"/>
  <c r="E1531" i="1" s="1"/>
  <c r="D1531" i="1"/>
  <c r="C1531" i="1"/>
  <c r="B1531" i="1"/>
  <c r="A1531" i="1"/>
  <c r="F1530" i="1"/>
  <c r="F1530" i="1" a="1"/>
  <c r="E1530" i="1" a="1"/>
  <c r="E1530" i="1" s="1"/>
  <c r="D1530" i="1"/>
  <c r="C1530" i="1"/>
  <c r="B1530" i="1"/>
  <c r="A1530" i="1"/>
  <c r="F1529" i="1" a="1"/>
  <c r="F1529" i="1" s="1"/>
  <c r="E1529" i="1" a="1"/>
  <c r="E1529" i="1" s="1"/>
  <c r="D1529" i="1"/>
  <c r="C1529" i="1"/>
  <c r="B1529" i="1"/>
  <c r="A1529" i="1"/>
  <c r="F1528" i="1" a="1"/>
  <c r="F1528" i="1" s="1"/>
  <c r="E1528" i="1" a="1"/>
  <c r="E1528" i="1" s="1"/>
  <c r="D1528" i="1"/>
  <c r="C1528" i="1"/>
  <c r="B1528" i="1"/>
  <c r="A1528" i="1"/>
  <c r="F1527" i="1" a="1"/>
  <c r="F1527" i="1" s="1"/>
  <c r="E1527" i="1" a="1"/>
  <c r="E1527" i="1" s="1"/>
  <c r="D1527" i="1"/>
  <c r="C1527" i="1"/>
  <c r="B1527" i="1"/>
  <c r="A1527" i="1"/>
  <c r="F1526" i="1"/>
  <c r="F1526" i="1" a="1"/>
  <c r="E1526" i="1" a="1"/>
  <c r="E1526" i="1" s="1"/>
  <c r="D1526" i="1"/>
  <c r="C1526" i="1"/>
  <c r="B1526" i="1"/>
  <c r="A1526" i="1"/>
  <c r="F1525" i="1"/>
  <c r="F1525" i="1" a="1"/>
  <c r="E1525" i="1" a="1"/>
  <c r="E1525" i="1" s="1"/>
  <c r="D1525" i="1"/>
  <c r="C1525" i="1"/>
  <c r="B1525" i="1"/>
  <c r="A1525" i="1"/>
  <c r="F1524" i="1"/>
  <c r="F1524" i="1" a="1"/>
  <c r="E1524" i="1" a="1"/>
  <c r="E1524" i="1" s="1"/>
  <c r="D1524" i="1"/>
  <c r="C1524" i="1"/>
  <c r="B1524" i="1"/>
  <c r="A1524" i="1"/>
  <c r="F1523" i="1" a="1"/>
  <c r="F1523" i="1" s="1"/>
  <c r="E1523" i="1" a="1"/>
  <c r="E1523" i="1" s="1"/>
  <c r="D1523" i="1"/>
  <c r="C1523" i="1"/>
  <c r="B1523" i="1"/>
  <c r="A1523" i="1"/>
  <c r="F1522" i="1"/>
  <c r="F1522" i="1" a="1"/>
  <c r="E1522" i="1" a="1"/>
  <c r="E1522" i="1" s="1"/>
  <c r="D1522" i="1"/>
  <c r="C1522" i="1"/>
  <c r="B1522" i="1"/>
  <c r="A1522" i="1"/>
  <c r="F1521" i="1" a="1"/>
  <c r="F1521" i="1" s="1"/>
  <c r="E1521" i="1" a="1"/>
  <c r="E1521" i="1" s="1"/>
  <c r="D1521" i="1"/>
  <c r="C1521" i="1"/>
  <c r="B1521" i="1"/>
  <c r="A1521" i="1"/>
  <c r="F1520" i="1" a="1"/>
  <c r="F1520" i="1" s="1"/>
  <c r="E1520" i="1" a="1"/>
  <c r="E1520" i="1" s="1"/>
  <c r="D1520" i="1"/>
  <c r="C1520" i="1"/>
  <c r="B1520" i="1"/>
  <c r="A1520" i="1"/>
  <c r="F1519" i="1" a="1"/>
  <c r="F1519" i="1" s="1"/>
  <c r="E1519" i="1" a="1"/>
  <c r="E1519" i="1" s="1"/>
  <c r="D1519" i="1"/>
  <c r="C1519" i="1"/>
  <c r="B1519" i="1"/>
  <c r="A1519" i="1"/>
  <c r="F1518" i="1"/>
  <c r="F1518" i="1" a="1"/>
  <c r="E1518" i="1" a="1"/>
  <c r="E1518" i="1" s="1"/>
  <c r="D1518" i="1"/>
  <c r="C1518" i="1"/>
  <c r="B1518" i="1"/>
  <c r="A1518" i="1"/>
  <c r="F1517" i="1"/>
  <c r="F1517" i="1" a="1"/>
  <c r="E1517" i="1" a="1"/>
  <c r="E1517" i="1" s="1"/>
  <c r="D1517" i="1"/>
  <c r="C1517" i="1"/>
  <c r="B1517" i="1"/>
  <c r="A1517" i="1"/>
  <c r="F1516" i="1"/>
  <c r="F1516" i="1" a="1"/>
  <c r="E1516" i="1" a="1"/>
  <c r="E1516" i="1" s="1"/>
  <c r="D1516" i="1"/>
  <c r="C1516" i="1"/>
  <c r="B1516" i="1"/>
  <c r="A1516" i="1"/>
  <c r="F1515" i="1" a="1"/>
  <c r="F1515" i="1" s="1"/>
  <c r="E1515" i="1" a="1"/>
  <c r="E1515" i="1" s="1"/>
  <c r="D1515" i="1"/>
  <c r="C1515" i="1"/>
  <c r="B1515" i="1"/>
  <c r="A1515" i="1"/>
  <c r="F1514" i="1"/>
  <c r="F1514" i="1" a="1"/>
  <c r="E1514" i="1" a="1"/>
  <c r="E1514" i="1" s="1"/>
  <c r="D1514" i="1"/>
  <c r="C1514" i="1"/>
  <c r="B1514" i="1"/>
  <c r="A1514" i="1"/>
  <c r="F1513" i="1" a="1"/>
  <c r="F1513" i="1" s="1"/>
  <c r="E1513" i="1" a="1"/>
  <c r="E1513" i="1" s="1"/>
  <c r="D1513" i="1"/>
  <c r="C1513" i="1"/>
  <c r="B1513" i="1"/>
  <c r="A1513" i="1"/>
  <c r="F1512" i="1" a="1"/>
  <c r="F1512" i="1" s="1"/>
  <c r="E1512" i="1" a="1"/>
  <c r="E1512" i="1" s="1"/>
  <c r="D1512" i="1"/>
  <c r="C1512" i="1"/>
  <c r="B1512" i="1"/>
  <c r="A1512" i="1"/>
  <c r="F1511" i="1" a="1"/>
  <c r="F1511" i="1" s="1"/>
  <c r="E1511" i="1" a="1"/>
  <c r="E1511" i="1" s="1"/>
  <c r="D1511" i="1"/>
  <c r="C1511" i="1"/>
  <c r="B1511" i="1"/>
  <c r="A1511" i="1"/>
  <c r="F1510" i="1"/>
  <c r="F1510" i="1" a="1"/>
  <c r="E1510" i="1" a="1"/>
  <c r="E1510" i="1" s="1"/>
  <c r="D1510" i="1"/>
  <c r="C1510" i="1"/>
  <c r="B1510" i="1"/>
  <c r="A1510" i="1"/>
  <c r="F1509" i="1"/>
  <c r="F1509" i="1" a="1"/>
  <c r="E1509" i="1" a="1"/>
  <c r="E1509" i="1" s="1"/>
  <c r="D1509" i="1"/>
  <c r="C1509" i="1"/>
  <c r="B1509" i="1"/>
  <c r="A1509" i="1"/>
  <c r="F1508" i="1"/>
  <c r="F1508" i="1" a="1"/>
  <c r="E1508" i="1" a="1"/>
  <c r="E1508" i="1" s="1"/>
  <c r="D1508" i="1"/>
  <c r="C1508" i="1"/>
  <c r="B1508" i="1"/>
  <c r="A1508" i="1"/>
  <c r="F1507" i="1" a="1"/>
  <c r="F1507" i="1" s="1"/>
  <c r="E1507" i="1" a="1"/>
  <c r="E1507" i="1" s="1"/>
  <c r="D1507" i="1"/>
  <c r="C1507" i="1"/>
  <c r="B1507" i="1"/>
  <c r="A1507" i="1"/>
  <c r="F1506" i="1"/>
  <c r="F1506" i="1" a="1"/>
  <c r="E1506" i="1" a="1"/>
  <c r="E1506" i="1" s="1"/>
  <c r="D1506" i="1"/>
  <c r="C1506" i="1"/>
  <c r="B1506" i="1"/>
  <c r="A1506" i="1"/>
  <c r="F1505" i="1" a="1"/>
  <c r="F1505" i="1" s="1"/>
  <c r="E1505" i="1" a="1"/>
  <c r="E1505" i="1" s="1"/>
  <c r="D1505" i="1"/>
  <c r="C1505" i="1"/>
  <c r="B1505" i="1"/>
  <c r="A1505" i="1"/>
  <c r="F1504" i="1" a="1"/>
  <c r="F1504" i="1" s="1"/>
  <c r="E1504" i="1" a="1"/>
  <c r="E1504" i="1" s="1"/>
  <c r="D1504" i="1"/>
  <c r="C1504" i="1"/>
  <c r="B1504" i="1"/>
  <c r="A1504" i="1"/>
  <c r="F1503" i="1" a="1"/>
  <c r="F1503" i="1" s="1"/>
  <c r="E1503" i="1" a="1"/>
  <c r="E1503" i="1" s="1"/>
  <c r="D1503" i="1"/>
  <c r="C1503" i="1"/>
  <c r="B1503" i="1"/>
  <c r="A1503" i="1"/>
  <c r="F1502" i="1"/>
  <c r="F1502" i="1" a="1"/>
  <c r="E1502" i="1" a="1"/>
  <c r="E1502" i="1" s="1"/>
  <c r="D1502" i="1"/>
  <c r="C1502" i="1"/>
  <c r="B1502" i="1"/>
  <c r="A1502" i="1"/>
  <c r="F1501" i="1" a="1"/>
  <c r="F1501" i="1" s="1"/>
  <c r="E1501" i="1" a="1"/>
  <c r="E1501" i="1" s="1"/>
  <c r="D1501" i="1"/>
  <c r="C1501" i="1"/>
  <c r="B1501" i="1"/>
  <c r="A1501" i="1"/>
  <c r="F1500" i="1" a="1"/>
  <c r="F1500" i="1" s="1"/>
  <c r="E1500" i="1" a="1"/>
  <c r="E1500" i="1" s="1"/>
  <c r="D1500" i="1"/>
  <c r="C1500" i="1"/>
  <c r="B1500" i="1"/>
  <c r="A1500" i="1"/>
  <c r="F1499" i="1" a="1"/>
  <c r="F1499" i="1" s="1"/>
  <c r="E1499" i="1" a="1"/>
  <c r="E1499" i="1" s="1"/>
  <c r="D1499" i="1"/>
  <c r="C1499" i="1"/>
  <c r="B1499" i="1"/>
  <c r="A1499" i="1"/>
  <c r="F1498" i="1" a="1"/>
  <c r="F1498" i="1" s="1"/>
  <c r="E1498" i="1" a="1"/>
  <c r="E1498" i="1" s="1"/>
  <c r="D1498" i="1"/>
  <c r="C1498" i="1"/>
  <c r="B1498" i="1"/>
  <c r="A1498" i="1"/>
  <c r="F1497" i="1" a="1"/>
  <c r="F1497" i="1" s="1"/>
  <c r="E1497" i="1" a="1"/>
  <c r="E1497" i="1" s="1"/>
  <c r="D1497" i="1"/>
  <c r="C1497" i="1"/>
  <c r="B1497" i="1"/>
  <c r="A1497" i="1"/>
  <c r="F1496" i="1" a="1"/>
  <c r="F1496" i="1" s="1"/>
  <c r="E1496" i="1" a="1"/>
  <c r="E1496" i="1" s="1"/>
  <c r="D1496" i="1"/>
  <c r="C1496" i="1"/>
  <c r="B1496" i="1"/>
  <c r="A1496" i="1"/>
  <c r="F1495" i="1" a="1"/>
  <c r="F1495" i="1" s="1"/>
  <c r="E1495" i="1" a="1"/>
  <c r="E1495" i="1" s="1"/>
  <c r="D1495" i="1"/>
  <c r="C1495" i="1"/>
  <c r="B1495" i="1"/>
  <c r="A1495" i="1"/>
  <c r="F1494" i="1" a="1"/>
  <c r="F1494" i="1" s="1"/>
  <c r="E1494" i="1" a="1"/>
  <c r="E1494" i="1" s="1"/>
  <c r="D1494" i="1"/>
  <c r="C1494" i="1"/>
  <c r="B1494" i="1"/>
  <c r="A1494" i="1"/>
  <c r="F1493" i="1" a="1"/>
  <c r="F1493" i="1" s="1"/>
  <c r="E1493" i="1"/>
  <c r="E1493" i="1" a="1"/>
  <c r="D1493" i="1"/>
  <c r="C1493" i="1"/>
  <c r="B1493" i="1"/>
  <c r="A1493" i="1"/>
  <c r="F1492" i="1" a="1"/>
  <c r="F1492" i="1" s="1"/>
  <c r="E1492" i="1" a="1"/>
  <c r="E1492" i="1" s="1"/>
  <c r="D1492" i="1"/>
  <c r="C1492" i="1"/>
  <c r="B1492" i="1"/>
  <c r="A1492" i="1"/>
  <c r="F1491" i="1" a="1"/>
  <c r="F1491" i="1" s="1"/>
  <c r="E1491" i="1" a="1"/>
  <c r="E1491" i="1" s="1"/>
  <c r="D1491" i="1"/>
  <c r="C1491" i="1"/>
  <c r="B1491" i="1"/>
  <c r="A1491" i="1"/>
  <c r="F1490" i="1" a="1"/>
  <c r="F1490" i="1" s="1"/>
  <c r="E1490" i="1" a="1"/>
  <c r="E1490" i="1" s="1"/>
  <c r="D1490" i="1"/>
  <c r="C1490" i="1"/>
  <c r="B1490" i="1"/>
  <c r="A1490" i="1"/>
  <c r="F1489" i="1" a="1"/>
  <c r="F1489" i="1" s="1"/>
  <c r="E1489" i="1" a="1"/>
  <c r="E1489" i="1" s="1"/>
  <c r="D1489" i="1"/>
  <c r="C1489" i="1"/>
  <c r="B1489" i="1"/>
  <c r="A1489" i="1"/>
  <c r="F1488" i="1" a="1"/>
  <c r="F1488" i="1" s="1"/>
  <c r="E1488" i="1" a="1"/>
  <c r="E1488" i="1" s="1"/>
  <c r="D1488" i="1"/>
  <c r="C1488" i="1"/>
  <c r="B1488" i="1"/>
  <c r="A1488" i="1"/>
  <c r="F1487" i="1" a="1"/>
  <c r="F1487" i="1" s="1"/>
  <c r="E1487" i="1" a="1"/>
  <c r="E1487" i="1" s="1"/>
  <c r="D1487" i="1"/>
  <c r="C1487" i="1"/>
  <c r="B1487" i="1"/>
  <c r="A1487" i="1"/>
  <c r="F1486" i="1" a="1"/>
  <c r="F1486" i="1" s="1"/>
  <c r="E1486" i="1" a="1"/>
  <c r="E1486" i="1" s="1"/>
  <c r="D1486" i="1"/>
  <c r="C1486" i="1"/>
  <c r="B1486" i="1"/>
  <c r="A1486" i="1"/>
  <c r="F1485" i="1" a="1"/>
  <c r="F1485" i="1" s="1"/>
  <c r="E1485" i="1"/>
  <c r="E1485" i="1" a="1"/>
  <c r="D1485" i="1"/>
  <c r="C1485" i="1"/>
  <c r="B1485" i="1"/>
  <c r="A1485" i="1"/>
  <c r="F1484" i="1" a="1"/>
  <c r="F1484" i="1" s="1"/>
  <c r="E1484" i="1" a="1"/>
  <c r="E1484" i="1" s="1"/>
  <c r="D1484" i="1"/>
  <c r="C1484" i="1"/>
  <c r="B1484" i="1"/>
  <c r="A1484" i="1"/>
  <c r="F1483" i="1" a="1"/>
  <c r="F1483" i="1" s="1"/>
  <c r="E1483" i="1" a="1"/>
  <c r="E1483" i="1" s="1"/>
  <c r="D1483" i="1"/>
  <c r="C1483" i="1"/>
  <c r="B1483" i="1"/>
  <c r="A1483" i="1"/>
  <c r="F1482" i="1" a="1"/>
  <c r="F1482" i="1" s="1"/>
  <c r="E1482" i="1" a="1"/>
  <c r="E1482" i="1" s="1"/>
  <c r="D1482" i="1"/>
  <c r="C1482" i="1"/>
  <c r="B1482" i="1"/>
  <c r="A1482" i="1"/>
  <c r="F1481" i="1" a="1"/>
  <c r="F1481" i="1" s="1"/>
  <c r="E1481" i="1" a="1"/>
  <c r="E1481" i="1" s="1"/>
  <c r="D1481" i="1"/>
  <c r="C1481" i="1"/>
  <c r="B1481" i="1"/>
  <c r="A1481" i="1"/>
  <c r="F1480" i="1" a="1"/>
  <c r="F1480" i="1" s="1"/>
  <c r="E1480" i="1" a="1"/>
  <c r="E1480" i="1" s="1"/>
  <c r="D1480" i="1"/>
  <c r="C1480" i="1"/>
  <c r="B1480" i="1"/>
  <c r="A1480" i="1"/>
  <c r="F1479" i="1" a="1"/>
  <c r="F1479" i="1" s="1"/>
  <c r="E1479" i="1" a="1"/>
  <c r="E1479" i="1" s="1"/>
  <c r="D1479" i="1"/>
  <c r="C1479" i="1"/>
  <c r="B1479" i="1"/>
  <c r="A1479" i="1"/>
  <c r="F1478" i="1" a="1"/>
  <c r="F1478" i="1" s="1"/>
  <c r="E1478" i="1" a="1"/>
  <c r="E1478" i="1" s="1"/>
  <c r="D1478" i="1"/>
  <c r="C1478" i="1"/>
  <c r="B1478" i="1"/>
  <c r="A1478" i="1"/>
  <c r="F1477" i="1" a="1"/>
  <c r="F1477" i="1" s="1"/>
  <c r="E1477" i="1"/>
  <c r="E1477" i="1" a="1"/>
  <c r="D1477" i="1"/>
  <c r="C1477" i="1"/>
  <c r="B1477" i="1"/>
  <c r="A1477" i="1"/>
  <c r="F1476" i="1" a="1"/>
  <c r="F1476" i="1" s="1"/>
  <c r="E1476" i="1" a="1"/>
  <c r="E1476" i="1" s="1"/>
  <c r="D1476" i="1"/>
  <c r="C1476" i="1"/>
  <c r="B1476" i="1"/>
  <c r="A1476" i="1"/>
  <c r="F1475" i="1" a="1"/>
  <c r="F1475" i="1" s="1"/>
  <c r="E1475" i="1" a="1"/>
  <c r="E1475" i="1" s="1"/>
  <c r="D1475" i="1"/>
  <c r="C1475" i="1"/>
  <c r="B1475" i="1"/>
  <c r="A1475" i="1"/>
  <c r="F1474" i="1" a="1"/>
  <c r="F1474" i="1" s="1"/>
  <c r="E1474" i="1" a="1"/>
  <c r="E1474" i="1" s="1"/>
  <c r="D1474" i="1"/>
  <c r="C1474" i="1"/>
  <c r="B1474" i="1"/>
  <c r="A1474" i="1"/>
  <c r="F1473" i="1" a="1"/>
  <c r="F1473" i="1" s="1"/>
  <c r="E1473" i="1" a="1"/>
  <c r="E1473" i="1" s="1"/>
  <c r="D1473" i="1"/>
  <c r="C1473" i="1"/>
  <c r="B1473" i="1"/>
  <c r="A1473" i="1"/>
  <c r="F1472" i="1" a="1"/>
  <c r="F1472" i="1" s="1"/>
  <c r="E1472" i="1" a="1"/>
  <c r="E1472" i="1" s="1"/>
  <c r="D1472" i="1"/>
  <c r="C1472" i="1"/>
  <c r="B1472" i="1"/>
  <c r="A1472" i="1"/>
  <c r="F1471" i="1" a="1"/>
  <c r="F1471" i="1" s="1"/>
  <c r="E1471" i="1" a="1"/>
  <c r="E1471" i="1" s="1"/>
  <c r="D1471" i="1"/>
  <c r="C1471" i="1"/>
  <c r="B1471" i="1"/>
  <c r="A1471" i="1"/>
  <c r="F1470" i="1" a="1"/>
  <c r="F1470" i="1" s="1"/>
  <c r="E1470" i="1" a="1"/>
  <c r="E1470" i="1" s="1"/>
  <c r="D1470" i="1"/>
  <c r="C1470" i="1"/>
  <c r="B1470" i="1"/>
  <c r="A1470" i="1"/>
  <c r="F1469" i="1" a="1"/>
  <c r="F1469" i="1" s="1"/>
  <c r="E1469" i="1"/>
  <c r="E1469" i="1" a="1"/>
  <c r="D1469" i="1"/>
  <c r="C1469" i="1"/>
  <c r="B1469" i="1"/>
  <c r="A1469" i="1"/>
  <c r="F1468" i="1" a="1"/>
  <c r="F1468" i="1" s="1"/>
  <c r="E1468" i="1" a="1"/>
  <c r="E1468" i="1" s="1"/>
  <c r="D1468" i="1"/>
  <c r="C1468" i="1"/>
  <c r="B1468" i="1"/>
  <c r="A1468" i="1"/>
  <c r="F1467" i="1" a="1"/>
  <c r="F1467" i="1" s="1"/>
  <c r="E1467" i="1" a="1"/>
  <c r="E1467" i="1" s="1"/>
  <c r="D1467" i="1"/>
  <c r="C1467" i="1"/>
  <c r="B1467" i="1"/>
  <c r="A1467" i="1"/>
  <c r="F1466" i="1" a="1"/>
  <c r="F1466" i="1" s="1"/>
  <c r="E1466" i="1" a="1"/>
  <c r="E1466" i="1" s="1"/>
  <c r="D1466" i="1"/>
  <c r="C1466" i="1"/>
  <c r="B1466" i="1"/>
  <c r="A1466" i="1"/>
  <c r="F1465" i="1" a="1"/>
  <c r="F1465" i="1" s="1"/>
  <c r="E1465" i="1" a="1"/>
  <c r="E1465" i="1" s="1"/>
  <c r="D1465" i="1"/>
  <c r="C1465" i="1"/>
  <c r="B1465" i="1"/>
  <c r="A1465" i="1"/>
  <c r="F1464" i="1" a="1"/>
  <c r="F1464" i="1" s="1"/>
  <c r="E1464" i="1" a="1"/>
  <c r="E1464" i="1" s="1"/>
  <c r="D1464" i="1"/>
  <c r="C1464" i="1"/>
  <c r="B1464" i="1"/>
  <c r="A1464" i="1"/>
  <c r="F1463" i="1" a="1"/>
  <c r="F1463" i="1" s="1"/>
  <c r="E1463" i="1" a="1"/>
  <c r="E1463" i="1" s="1"/>
  <c r="D1463" i="1"/>
  <c r="C1463" i="1"/>
  <c r="B1463" i="1"/>
  <c r="A1463" i="1"/>
  <c r="F1462" i="1" a="1"/>
  <c r="F1462" i="1" s="1"/>
  <c r="E1462" i="1" a="1"/>
  <c r="E1462" i="1" s="1"/>
  <c r="D1462" i="1"/>
  <c r="C1462" i="1"/>
  <c r="B1462" i="1"/>
  <c r="A1462" i="1"/>
  <c r="F1461" i="1" a="1"/>
  <c r="F1461" i="1" s="1"/>
  <c r="E1461" i="1"/>
  <c r="E1461" i="1" a="1"/>
  <c r="D1461" i="1"/>
  <c r="C1461" i="1"/>
  <c r="B1461" i="1"/>
  <c r="A1461" i="1"/>
  <c r="F1460" i="1" a="1"/>
  <c r="F1460" i="1" s="1"/>
  <c r="E1460" i="1" a="1"/>
  <c r="E1460" i="1" s="1"/>
  <c r="D1460" i="1"/>
  <c r="C1460" i="1"/>
  <c r="B1460" i="1"/>
  <c r="A1460" i="1"/>
  <c r="F1459" i="1" a="1"/>
  <c r="F1459" i="1" s="1"/>
  <c r="E1459" i="1" a="1"/>
  <c r="E1459" i="1" s="1"/>
  <c r="D1459" i="1"/>
  <c r="C1459" i="1"/>
  <c r="B1459" i="1"/>
  <c r="A1459" i="1"/>
  <c r="F1458" i="1" a="1"/>
  <c r="F1458" i="1" s="1"/>
  <c r="E1458" i="1" a="1"/>
  <c r="E1458" i="1" s="1"/>
  <c r="D1458" i="1"/>
  <c r="C1458" i="1"/>
  <c r="B1458" i="1"/>
  <c r="A1458" i="1"/>
  <c r="F1457" i="1" a="1"/>
  <c r="F1457" i="1" s="1"/>
  <c r="E1457" i="1" a="1"/>
  <c r="E1457" i="1" s="1"/>
  <c r="D1457" i="1"/>
  <c r="C1457" i="1"/>
  <c r="B1457" i="1"/>
  <c r="A1457" i="1"/>
  <c r="F1456" i="1" a="1"/>
  <c r="F1456" i="1" s="1"/>
  <c r="E1456" i="1" a="1"/>
  <c r="E1456" i="1" s="1"/>
  <c r="D1456" i="1"/>
  <c r="C1456" i="1"/>
  <c r="B1456" i="1"/>
  <c r="A1456" i="1"/>
  <c r="F1455" i="1" a="1"/>
  <c r="F1455" i="1" s="1"/>
  <c r="E1455" i="1" a="1"/>
  <c r="E1455" i="1" s="1"/>
  <c r="D1455" i="1"/>
  <c r="C1455" i="1"/>
  <c r="B1455" i="1"/>
  <c r="A1455" i="1"/>
  <c r="F1454" i="1" a="1"/>
  <c r="F1454" i="1" s="1"/>
  <c r="E1454" i="1" a="1"/>
  <c r="E1454" i="1" s="1"/>
  <c r="D1454" i="1"/>
  <c r="C1454" i="1"/>
  <c r="B1454" i="1"/>
  <c r="A1454" i="1"/>
  <c r="F1453" i="1" a="1"/>
  <c r="F1453" i="1" s="1"/>
  <c r="E1453" i="1"/>
  <c r="E1453" i="1" a="1"/>
  <c r="D1453" i="1"/>
  <c r="C1453" i="1"/>
  <c r="B1453" i="1"/>
  <c r="A1453" i="1"/>
  <c r="F1452" i="1" a="1"/>
  <c r="F1452" i="1" s="1"/>
  <c r="E1452" i="1" a="1"/>
  <c r="E1452" i="1" s="1"/>
  <c r="D1452" i="1"/>
  <c r="C1452" i="1"/>
  <c r="B1452" i="1"/>
  <c r="A1452" i="1"/>
  <c r="F1451" i="1" a="1"/>
  <c r="F1451" i="1" s="1"/>
  <c r="E1451" i="1" a="1"/>
  <c r="E1451" i="1" s="1"/>
  <c r="D1451" i="1"/>
  <c r="C1451" i="1"/>
  <c r="B1451" i="1"/>
  <c r="A1451" i="1"/>
  <c r="F1450" i="1" a="1"/>
  <c r="F1450" i="1" s="1"/>
  <c r="E1450" i="1" a="1"/>
  <c r="E1450" i="1" s="1"/>
  <c r="D1450" i="1"/>
  <c r="C1450" i="1"/>
  <c r="B1450" i="1"/>
  <c r="A1450" i="1"/>
  <c r="F1449" i="1" a="1"/>
  <c r="F1449" i="1" s="1"/>
  <c r="E1449" i="1" a="1"/>
  <c r="E1449" i="1" s="1"/>
  <c r="D1449" i="1"/>
  <c r="C1449" i="1"/>
  <c r="B1449" i="1"/>
  <c r="A1449" i="1"/>
  <c r="F1448" i="1" a="1"/>
  <c r="F1448" i="1" s="1"/>
  <c r="E1448" i="1" a="1"/>
  <c r="E1448" i="1" s="1"/>
  <c r="D1448" i="1"/>
  <c r="C1448" i="1"/>
  <c r="B1448" i="1"/>
  <c r="A1448" i="1"/>
  <c r="F1447" i="1" a="1"/>
  <c r="F1447" i="1" s="1"/>
  <c r="E1447" i="1" a="1"/>
  <c r="E1447" i="1" s="1"/>
  <c r="D1447" i="1"/>
  <c r="C1447" i="1"/>
  <c r="B1447" i="1"/>
  <c r="A1447" i="1"/>
  <c r="F1446" i="1" a="1"/>
  <c r="F1446" i="1" s="1"/>
  <c r="E1446" i="1" a="1"/>
  <c r="E1446" i="1" s="1"/>
  <c r="D1446" i="1"/>
  <c r="C1446" i="1"/>
  <c r="B1446" i="1"/>
  <c r="A1446" i="1"/>
  <c r="F1445" i="1" a="1"/>
  <c r="F1445" i="1" s="1"/>
  <c r="E1445" i="1"/>
  <c r="E1445" i="1" a="1"/>
  <c r="D1445" i="1"/>
  <c r="C1445" i="1"/>
  <c r="B1445" i="1"/>
  <c r="A1445" i="1"/>
  <c r="F1444" i="1" a="1"/>
  <c r="F1444" i="1" s="1"/>
  <c r="E1444" i="1" a="1"/>
  <c r="E1444" i="1" s="1"/>
  <c r="D1444" i="1"/>
  <c r="C1444" i="1"/>
  <c r="B1444" i="1"/>
  <c r="A1444" i="1"/>
  <c r="F1443" i="1" a="1"/>
  <c r="F1443" i="1" s="1"/>
  <c r="E1443" i="1" a="1"/>
  <c r="E1443" i="1" s="1"/>
  <c r="D1443" i="1"/>
  <c r="C1443" i="1"/>
  <c r="B1443" i="1"/>
  <c r="A1443" i="1"/>
  <c r="F1442" i="1" a="1"/>
  <c r="F1442" i="1" s="1"/>
  <c r="E1442" i="1" a="1"/>
  <c r="E1442" i="1" s="1"/>
  <c r="D1442" i="1"/>
  <c r="C1442" i="1"/>
  <c r="B1442" i="1"/>
  <c r="A1442" i="1"/>
  <c r="F1441" i="1" a="1"/>
  <c r="F1441" i="1" s="1"/>
  <c r="E1441" i="1" a="1"/>
  <c r="E1441" i="1" s="1"/>
  <c r="D1441" i="1"/>
  <c r="C1441" i="1"/>
  <c r="B1441" i="1"/>
  <c r="A1441" i="1"/>
  <c r="F1440" i="1" a="1"/>
  <c r="F1440" i="1" s="1"/>
  <c r="E1440" i="1" a="1"/>
  <c r="E1440" i="1" s="1"/>
  <c r="D1440" i="1"/>
  <c r="C1440" i="1"/>
  <c r="B1440" i="1"/>
  <c r="A1440" i="1"/>
  <c r="F1439" i="1" a="1"/>
  <c r="F1439" i="1" s="1"/>
  <c r="E1439" i="1" a="1"/>
  <c r="E1439" i="1" s="1"/>
  <c r="D1439" i="1"/>
  <c r="C1439" i="1"/>
  <c r="B1439" i="1"/>
  <c r="A1439" i="1"/>
  <c r="F1438" i="1" a="1"/>
  <c r="F1438" i="1" s="1"/>
  <c r="E1438" i="1" a="1"/>
  <c r="E1438" i="1" s="1"/>
  <c r="D1438" i="1"/>
  <c r="C1438" i="1"/>
  <c r="B1438" i="1"/>
  <c r="A1438" i="1"/>
  <c r="F1437" i="1" a="1"/>
  <c r="F1437" i="1" s="1"/>
  <c r="E1437" i="1"/>
  <c r="E1437" i="1" a="1"/>
  <c r="D1437" i="1"/>
  <c r="C1437" i="1"/>
  <c r="B1437" i="1"/>
  <c r="A1437" i="1"/>
  <c r="F1436" i="1" a="1"/>
  <c r="F1436" i="1" s="1"/>
  <c r="E1436" i="1" a="1"/>
  <c r="E1436" i="1" s="1"/>
  <c r="D1436" i="1"/>
  <c r="C1436" i="1"/>
  <c r="B1436" i="1"/>
  <c r="A1436" i="1"/>
  <c r="F1435" i="1" a="1"/>
  <c r="F1435" i="1" s="1"/>
  <c r="E1435" i="1" a="1"/>
  <c r="E1435" i="1" s="1"/>
  <c r="D1435" i="1"/>
  <c r="C1435" i="1"/>
  <c r="B1435" i="1"/>
  <c r="A1435" i="1"/>
  <c r="F1434" i="1" a="1"/>
  <c r="F1434" i="1" s="1"/>
  <c r="E1434" i="1" a="1"/>
  <c r="E1434" i="1" s="1"/>
  <c r="D1434" i="1"/>
  <c r="C1434" i="1"/>
  <c r="B1434" i="1"/>
  <c r="A1434" i="1"/>
  <c r="F1433" i="1" a="1"/>
  <c r="F1433" i="1" s="1"/>
  <c r="E1433" i="1" a="1"/>
  <c r="E1433" i="1" s="1"/>
  <c r="D1433" i="1"/>
  <c r="C1433" i="1"/>
  <c r="B1433" i="1"/>
  <c r="A1433" i="1"/>
  <c r="F1432" i="1" a="1"/>
  <c r="F1432" i="1" s="1"/>
  <c r="E1432" i="1" a="1"/>
  <c r="E1432" i="1" s="1"/>
  <c r="D1432" i="1"/>
  <c r="C1432" i="1"/>
  <c r="B1432" i="1"/>
  <c r="A1432" i="1"/>
  <c r="F1431" i="1" a="1"/>
  <c r="F1431" i="1" s="1"/>
  <c r="E1431" i="1" a="1"/>
  <c r="E1431" i="1" s="1"/>
  <c r="D1431" i="1"/>
  <c r="C1431" i="1"/>
  <c r="B1431" i="1"/>
  <c r="A1431" i="1"/>
  <c r="F1430" i="1" a="1"/>
  <c r="F1430" i="1" s="1"/>
  <c r="E1430" i="1" a="1"/>
  <c r="E1430" i="1" s="1"/>
  <c r="D1430" i="1"/>
  <c r="C1430" i="1"/>
  <c r="B1430" i="1"/>
  <c r="A1430" i="1"/>
  <c r="F1429" i="1" a="1"/>
  <c r="F1429" i="1" s="1"/>
  <c r="E1429" i="1"/>
  <c r="E1429" i="1" a="1"/>
  <c r="D1429" i="1"/>
  <c r="C1429" i="1"/>
  <c r="B1429" i="1"/>
  <c r="A1429" i="1"/>
  <c r="F1428" i="1" a="1"/>
  <c r="F1428" i="1" s="1"/>
  <c r="E1428" i="1" a="1"/>
  <c r="E1428" i="1" s="1"/>
  <c r="D1428" i="1"/>
  <c r="C1428" i="1"/>
  <c r="B1428" i="1"/>
  <c r="A1428" i="1"/>
  <c r="F1427" i="1" a="1"/>
  <c r="F1427" i="1" s="1"/>
  <c r="E1427" i="1" a="1"/>
  <c r="E1427" i="1" s="1"/>
  <c r="D1427" i="1"/>
  <c r="C1427" i="1"/>
  <c r="B1427" i="1"/>
  <c r="A1427" i="1"/>
  <c r="F1426" i="1" a="1"/>
  <c r="F1426" i="1" s="1"/>
  <c r="E1426" i="1" a="1"/>
  <c r="E1426" i="1" s="1"/>
  <c r="D1426" i="1"/>
  <c r="C1426" i="1"/>
  <c r="B1426" i="1"/>
  <c r="A1426" i="1"/>
  <c r="F1425" i="1" a="1"/>
  <c r="F1425" i="1" s="1"/>
  <c r="E1425" i="1" a="1"/>
  <c r="E1425" i="1" s="1"/>
  <c r="D1425" i="1"/>
  <c r="C1425" i="1"/>
  <c r="B1425" i="1"/>
  <c r="A1425" i="1"/>
  <c r="F1424" i="1" a="1"/>
  <c r="F1424" i="1" s="1"/>
  <c r="E1424" i="1" a="1"/>
  <c r="E1424" i="1" s="1"/>
  <c r="D1424" i="1"/>
  <c r="C1424" i="1"/>
  <c r="B1424" i="1"/>
  <c r="A1424" i="1"/>
  <c r="F1423" i="1" a="1"/>
  <c r="F1423" i="1" s="1"/>
  <c r="E1423" i="1" a="1"/>
  <c r="E1423" i="1" s="1"/>
  <c r="D1423" i="1"/>
  <c r="C1423" i="1"/>
  <c r="B1423" i="1"/>
  <c r="A1423" i="1"/>
  <c r="F1422" i="1" a="1"/>
  <c r="F1422" i="1" s="1"/>
  <c r="E1422" i="1" a="1"/>
  <c r="E1422" i="1" s="1"/>
  <c r="D1422" i="1"/>
  <c r="C1422" i="1"/>
  <c r="B1422" i="1"/>
  <c r="A1422" i="1"/>
  <c r="F1421" i="1" a="1"/>
  <c r="F1421" i="1" s="1"/>
  <c r="E1421" i="1"/>
  <c r="E1421" i="1" a="1"/>
  <c r="D1421" i="1"/>
  <c r="C1421" i="1"/>
  <c r="B1421" i="1"/>
  <c r="A1421" i="1"/>
  <c r="F1420" i="1" a="1"/>
  <c r="F1420" i="1" s="1"/>
  <c r="E1420" i="1" a="1"/>
  <c r="E1420" i="1" s="1"/>
  <c r="D1420" i="1"/>
  <c r="C1420" i="1"/>
  <c r="B1420" i="1"/>
  <c r="A1420" i="1"/>
  <c r="F1419" i="1" a="1"/>
  <c r="F1419" i="1" s="1"/>
  <c r="E1419" i="1" a="1"/>
  <c r="E1419" i="1" s="1"/>
  <c r="D1419" i="1"/>
  <c r="C1419" i="1"/>
  <c r="B1419" i="1"/>
  <c r="A1419" i="1"/>
  <c r="F1418" i="1" a="1"/>
  <c r="F1418" i="1" s="1"/>
  <c r="E1418" i="1" a="1"/>
  <c r="E1418" i="1" s="1"/>
  <c r="D1418" i="1"/>
  <c r="C1418" i="1"/>
  <c r="B1418" i="1"/>
  <c r="A1418" i="1"/>
  <c r="F1417" i="1" a="1"/>
  <c r="F1417" i="1" s="1"/>
  <c r="E1417" i="1" a="1"/>
  <c r="E1417" i="1" s="1"/>
  <c r="D1417" i="1"/>
  <c r="C1417" i="1"/>
  <c r="B1417" i="1"/>
  <c r="A1417" i="1"/>
  <c r="F1416" i="1" a="1"/>
  <c r="F1416" i="1" s="1"/>
  <c r="E1416" i="1" a="1"/>
  <c r="E1416" i="1" s="1"/>
  <c r="D1416" i="1"/>
  <c r="C1416" i="1"/>
  <c r="B1416" i="1"/>
  <c r="A1416" i="1"/>
  <c r="F1415" i="1" a="1"/>
  <c r="F1415" i="1" s="1"/>
  <c r="E1415" i="1" a="1"/>
  <c r="E1415" i="1" s="1"/>
  <c r="D1415" i="1"/>
  <c r="C1415" i="1"/>
  <c r="B1415" i="1"/>
  <c r="A1415" i="1"/>
  <c r="F1414" i="1" a="1"/>
  <c r="F1414" i="1" s="1"/>
  <c r="E1414" i="1" a="1"/>
  <c r="E1414" i="1" s="1"/>
  <c r="D1414" i="1"/>
  <c r="C1414" i="1"/>
  <c r="B1414" i="1"/>
  <c r="A1414" i="1"/>
  <c r="F1413" i="1" a="1"/>
  <c r="F1413" i="1" s="1"/>
  <c r="E1413" i="1"/>
  <c r="E1413" i="1" a="1"/>
  <c r="D1413" i="1"/>
  <c r="C1413" i="1"/>
  <c r="B1413" i="1"/>
  <c r="A1413" i="1"/>
  <c r="F1412" i="1" a="1"/>
  <c r="F1412" i="1" s="1"/>
  <c r="E1412" i="1" a="1"/>
  <c r="E1412" i="1" s="1"/>
  <c r="D1412" i="1"/>
  <c r="C1412" i="1"/>
  <c r="B1412" i="1"/>
  <c r="A1412" i="1"/>
  <c r="F1411" i="1" a="1"/>
  <c r="F1411" i="1" s="1"/>
  <c r="E1411" i="1" a="1"/>
  <c r="E1411" i="1" s="1"/>
  <c r="D1411" i="1"/>
  <c r="C1411" i="1"/>
  <c r="B1411" i="1"/>
  <c r="A1411" i="1"/>
  <c r="F1410" i="1" a="1"/>
  <c r="F1410" i="1" s="1"/>
  <c r="E1410" i="1" a="1"/>
  <c r="E1410" i="1" s="1"/>
  <c r="D1410" i="1"/>
  <c r="C1410" i="1"/>
  <c r="B1410" i="1"/>
  <c r="A1410" i="1"/>
  <c r="F1409" i="1" a="1"/>
  <c r="F1409" i="1" s="1"/>
  <c r="E1409" i="1" a="1"/>
  <c r="E1409" i="1" s="1"/>
  <c r="D1409" i="1"/>
  <c r="C1409" i="1"/>
  <c r="B1409" i="1"/>
  <c r="A1409" i="1"/>
  <c r="F1408" i="1" a="1"/>
  <c r="F1408" i="1" s="1"/>
  <c r="E1408" i="1" a="1"/>
  <c r="E1408" i="1" s="1"/>
  <c r="D1408" i="1"/>
  <c r="C1408" i="1"/>
  <c r="B1408" i="1"/>
  <c r="A1408" i="1"/>
  <c r="F1407" i="1" a="1"/>
  <c r="F1407" i="1" s="1"/>
  <c r="E1407" i="1" a="1"/>
  <c r="E1407" i="1" s="1"/>
  <c r="D1407" i="1"/>
  <c r="C1407" i="1"/>
  <c r="B1407" i="1"/>
  <c r="A1407" i="1"/>
  <c r="F1406" i="1" a="1"/>
  <c r="F1406" i="1" s="1"/>
  <c r="E1406" i="1" a="1"/>
  <c r="E1406" i="1" s="1"/>
  <c r="D1406" i="1"/>
  <c r="C1406" i="1"/>
  <c r="B1406" i="1"/>
  <c r="A1406" i="1"/>
  <c r="F1405" i="1" a="1"/>
  <c r="F1405" i="1" s="1"/>
  <c r="E1405" i="1"/>
  <c r="E1405" i="1" a="1"/>
  <c r="D1405" i="1"/>
  <c r="C1405" i="1"/>
  <c r="B1405" i="1"/>
  <c r="A1405" i="1"/>
  <c r="F1404" i="1" a="1"/>
  <c r="F1404" i="1" s="1"/>
  <c r="E1404" i="1" a="1"/>
  <c r="E1404" i="1" s="1"/>
  <c r="D1404" i="1"/>
  <c r="C1404" i="1"/>
  <c r="B1404" i="1"/>
  <c r="A1404" i="1"/>
  <c r="F1403" i="1" a="1"/>
  <c r="F1403" i="1" s="1"/>
  <c r="E1403" i="1" a="1"/>
  <c r="E1403" i="1" s="1"/>
  <c r="D1403" i="1"/>
  <c r="C1403" i="1"/>
  <c r="B1403" i="1"/>
  <c r="A1403" i="1"/>
  <c r="F1402" i="1" a="1"/>
  <c r="F1402" i="1" s="1"/>
  <c r="E1402" i="1" a="1"/>
  <c r="E1402" i="1" s="1"/>
  <c r="D1402" i="1"/>
  <c r="C1402" i="1"/>
  <c r="B1402" i="1"/>
  <c r="A1402" i="1"/>
  <c r="F1401" i="1" a="1"/>
  <c r="F1401" i="1" s="1"/>
  <c r="E1401" i="1" a="1"/>
  <c r="E1401" i="1" s="1"/>
  <c r="D1401" i="1"/>
  <c r="C1401" i="1"/>
  <c r="B1401" i="1"/>
  <c r="A1401" i="1"/>
  <c r="F1400" i="1" a="1"/>
  <c r="F1400" i="1" s="1"/>
  <c r="E1400" i="1" a="1"/>
  <c r="E1400" i="1" s="1"/>
  <c r="D1400" i="1"/>
  <c r="C1400" i="1"/>
  <c r="B1400" i="1"/>
  <c r="A1400" i="1"/>
  <c r="F1399" i="1" a="1"/>
  <c r="F1399" i="1" s="1"/>
  <c r="E1399" i="1" a="1"/>
  <c r="E1399" i="1" s="1"/>
  <c r="D1399" i="1"/>
  <c r="C1399" i="1"/>
  <c r="B1399" i="1"/>
  <c r="A1399" i="1"/>
  <c r="F1398" i="1" a="1"/>
  <c r="F1398" i="1" s="1"/>
  <c r="E1398" i="1" a="1"/>
  <c r="E1398" i="1" s="1"/>
  <c r="D1398" i="1"/>
  <c r="C1398" i="1"/>
  <c r="B1398" i="1"/>
  <c r="A1398" i="1"/>
  <c r="F1397" i="1" a="1"/>
  <c r="F1397" i="1" s="1"/>
  <c r="E1397" i="1"/>
  <c r="E1397" i="1" a="1"/>
  <c r="D1397" i="1"/>
  <c r="C1397" i="1"/>
  <c r="B1397" i="1"/>
  <c r="A1397" i="1"/>
  <c r="F1396" i="1" a="1"/>
  <c r="F1396" i="1" s="1"/>
  <c r="E1396" i="1" a="1"/>
  <c r="E1396" i="1" s="1"/>
  <c r="D1396" i="1"/>
  <c r="C1396" i="1"/>
  <c r="B1396" i="1"/>
  <c r="A1396" i="1"/>
  <c r="F1395" i="1" a="1"/>
  <c r="F1395" i="1" s="1"/>
  <c r="E1395" i="1" a="1"/>
  <c r="E1395" i="1" s="1"/>
  <c r="D1395" i="1"/>
  <c r="C1395" i="1"/>
  <c r="B1395" i="1"/>
  <c r="A1395" i="1"/>
  <c r="F1394" i="1" a="1"/>
  <c r="F1394" i="1" s="1"/>
  <c r="E1394" i="1" a="1"/>
  <c r="E1394" i="1" s="1"/>
  <c r="D1394" i="1"/>
  <c r="C1394" i="1"/>
  <c r="B1394" i="1"/>
  <c r="A1394" i="1"/>
  <c r="F1393" i="1" a="1"/>
  <c r="F1393" i="1" s="1"/>
  <c r="E1393" i="1" a="1"/>
  <c r="E1393" i="1" s="1"/>
  <c r="D1393" i="1"/>
  <c r="C1393" i="1"/>
  <c r="B1393" i="1"/>
  <c r="A1393" i="1"/>
  <c r="F1392" i="1" a="1"/>
  <c r="F1392" i="1" s="1"/>
  <c r="E1392" i="1" a="1"/>
  <c r="E1392" i="1" s="1"/>
  <c r="D1392" i="1"/>
  <c r="C1392" i="1"/>
  <c r="B1392" i="1"/>
  <c r="A1392" i="1"/>
  <c r="F1391" i="1" a="1"/>
  <c r="F1391" i="1" s="1"/>
  <c r="E1391" i="1" a="1"/>
  <c r="E1391" i="1" s="1"/>
  <c r="D1391" i="1"/>
  <c r="C1391" i="1"/>
  <c r="B1391" i="1"/>
  <c r="A1391" i="1"/>
  <c r="F1390" i="1" a="1"/>
  <c r="F1390" i="1" s="1"/>
  <c r="E1390" i="1" a="1"/>
  <c r="E1390" i="1" s="1"/>
  <c r="D1390" i="1"/>
  <c r="C1390" i="1"/>
  <c r="B1390" i="1"/>
  <c r="A1390" i="1"/>
  <c r="F1389" i="1" a="1"/>
  <c r="F1389" i="1" s="1"/>
  <c r="E1389" i="1"/>
  <c r="E1389" i="1" a="1"/>
  <c r="D1389" i="1"/>
  <c r="C1389" i="1"/>
  <c r="B1389" i="1"/>
  <c r="A1389" i="1"/>
  <c r="F1388" i="1" a="1"/>
  <c r="F1388" i="1" s="1"/>
  <c r="E1388" i="1" a="1"/>
  <c r="E1388" i="1" s="1"/>
  <c r="D1388" i="1"/>
  <c r="C1388" i="1"/>
  <c r="B1388" i="1"/>
  <c r="A1388" i="1"/>
  <c r="F1387" i="1" a="1"/>
  <c r="F1387" i="1" s="1"/>
  <c r="E1387" i="1" a="1"/>
  <c r="E1387" i="1" s="1"/>
  <c r="D1387" i="1"/>
  <c r="C1387" i="1"/>
  <c r="B1387" i="1"/>
  <c r="A1387" i="1"/>
  <c r="F1386" i="1" a="1"/>
  <c r="F1386" i="1" s="1"/>
  <c r="E1386" i="1" a="1"/>
  <c r="E1386" i="1" s="1"/>
  <c r="D1386" i="1"/>
  <c r="C1386" i="1"/>
  <c r="B1386" i="1"/>
  <c r="A1386" i="1"/>
  <c r="F1385" i="1" a="1"/>
  <c r="F1385" i="1" s="1"/>
  <c r="E1385" i="1" a="1"/>
  <c r="E1385" i="1" s="1"/>
  <c r="D1385" i="1"/>
  <c r="C1385" i="1"/>
  <c r="B1385" i="1"/>
  <c r="A1385" i="1"/>
  <c r="F1384" i="1" a="1"/>
  <c r="F1384" i="1" s="1"/>
  <c r="E1384" i="1" a="1"/>
  <c r="E1384" i="1" s="1"/>
  <c r="D1384" i="1"/>
  <c r="C1384" i="1"/>
  <c r="B1384" i="1"/>
  <c r="A1384" i="1"/>
  <c r="F1383" i="1" a="1"/>
  <c r="F1383" i="1" s="1"/>
  <c r="E1383" i="1" a="1"/>
  <c r="E1383" i="1" s="1"/>
  <c r="D1383" i="1"/>
  <c r="C1383" i="1"/>
  <c r="B1383" i="1"/>
  <c r="A1383" i="1"/>
  <c r="F1382" i="1" a="1"/>
  <c r="F1382" i="1" s="1"/>
  <c r="E1382" i="1" a="1"/>
  <c r="E1382" i="1" s="1"/>
  <c r="D1382" i="1"/>
  <c r="C1382" i="1"/>
  <c r="B1382" i="1"/>
  <c r="A1382" i="1"/>
  <c r="F1381" i="1" a="1"/>
  <c r="F1381" i="1" s="1"/>
  <c r="E1381" i="1"/>
  <c r="E1381" i="1" a="1"/>
  <c r="D1381" i="1"/>
  <c r="C1381" i="1"/>
  <c r="B1381" i="1"/>
  <c r="A1381" i="1"/>
  <c r="F1380" i="1" a="1"/>
  <c r="F1380" i="1" s="1"/>
  <c r="E1380" i="1" a="1"/>
  <c r="E1380" i="1" s="1"/>
  <c r="D1380" i="1"/>
  <c r="C1380" i="1"/>
  <c r="B1380" i="1"/>
  <c r="A1380" i="1"/>
  <c r="F1379" i="1" a="1"/>
  <c r="F1379" i="1" s="1"/>
  <c r="E1379" i="1" a="1"/>
  <c r="E1379" i="1" s="1"/>
  <c r="D1379" i="1"/>
  <c r="C1379" i="1"/>
  <c r="B1379" i="1"/>
  <c r="A1379" i="1"/>
  <c r="F1378" i="1" a="1"/>
  <c r="F1378" i="1" s="1"/>
  <c r="E1378" i="1" a="1"/>
  <c r="E1378" i="1" s="1"/>
  <c r="D1378" i="1"/>
  <c r="C1378" i="1"/>
  <c r="B1378" i="1"/>
  <c r="A1378" i="1"/>
  <c r="F1377" i="1" a="1"/>
  <c r="F1377" i="1" s="1"/>
  <c r="E1377" i="1" a="1"/>
  <c r="E1377" i="1" s="1"/>
  <c r="D1377" i="1"/>
  <c r="C1377" i="1"/>
  <c r="B1377" i="1"/>
  <c r="A1377" i="1"/>
  <c r="F1376" i="1" a="1"/>
  <c r="F1376" i="1" s="1"/>
  <c r="E1376" i="1" a="1"/>
  <c r="E1376" i="1" s="1"/>
  <c r="D1376" i="1"/>
  <c r="C1376" i="1"/>
  <c r="B1376" i="1"/>
  <c r="A1376" i="1"/>
  <c r="F1375" i="1" a="1"/>
  <c r="F1375" i="1" s="1"/>
  <c r="E1375" i="1" a="1"/>
  <c r="E1375" i="1" s="1"/>
  <c r="D1375" i="1"/>
  <c r="C1375" i="1"/>
  <c r="B1375" i="1"/>
  <c r="A1375" i="1"/>
  <c r="F1374" i="1" a="1"/>
  <c r="F1374" i="1" s="1"/>
  <c r="E1374" i="1" a="1"/>
  <c r="E1374" i="1" s="1"/>
  <c r="D1374" i="1"/>
  <c r="C1374" i="1"/>
  <c r="B1374" i="1"/>
  <c r="A1374" i="1"/>
  <c r="F1373" i="1" a="1"/>
  <c r="F1373" i="1" s="1"/>
  <c r="E1373" i="1"/>
  <c r="E1373" i="1" a="1"/>
  <c r="D1373" i="1"/>
  <c r="C1373" i="1"/>
  <c r="B1373" i="1"/>
  <c r="A1373" i="1"/>
  <c r="F1372" i="1" a="1"/>
  <c r="F1372" i="1" s="1"/>
  <c r="E1372" i="1" a="1"/>
  <c r="E1372" i="1" s="1"/>
  <c r="D1372" i="1"/>
  <c r="C1372" i="1"/>
  <c r="B1372" i="1"/>
  <c r="A1372" i="1"/>
  <c r="F1371" i="1" a="1"/>
  <c r="F1371" i="1" s="1"/>
  <c r="E1371" i="1" a="1"/>
  <c r="E1371" i="1" s="1"/>
  <c r="D1371" i="1"/>
  <c r="C1371" i="1"/>
  <c r="B1371" i="1"/>
  <c r="A1371" i="1"/>
  <c r="F1370" i="1" a="1"/>
  <c r="F1370" i="1" s="1"/>
  <c r="E1370" i="1" a="1"/>
  <c r="E1370" i="1" s="1"/>
  <c r="D1370" i="1"/>
  <c r="C1370" i="1"/>
  <c r="B1370" i="1"/>
  <c r="A1370" i="1"/>
  <c r="F1369" i="1" a="1"/>
  <c r="F1369" i="1" s="1"/>
  <c r="E1369" i="1" a="1"/>
  <c r="E1369" i="1" s="1"/>
  <c r="D1369" i="1"/>
  <c r="C1369" i="1"/>
  <c r="B1369" i="1"/>
  <c r="A1369" i="1"/>
  <c r="F1368" i="1" a="1"/>
  <c r="F1368" i="1" s="1"/>
  <c r="E1368" i="1" a="1"/>
  <c r="E1368" i="1" s="1"/>
  <c r="D1368" i="1"/>
  <c r="C1368" i="1"/>
  <c r="B1368" i="1"/>
  <c r="A1368" i="1"/>
  <c r="F1367" i="1" a="1"/>
  <c r="F1367" i="1" s="1"/>
  <c r="E1367" i="1" a="1"/>
  <c r="E1367" i="1" s="1"/>
  <c r="D1367" i="1"/>
  <c r="C1367" i="1"/>
  <c r="B1367" i="1"/>
  <c r="A1367" i="1"/>
  <c r="F1366" i="1" a="1"/>
  <c r="F1366" i="1" s="1"/>
  <c r="E1366" i="1" a="1"/>
  <c r="E1366" i="1" s="1"/>
  <c r="D1366" i="1"/>
  <c r="C1366" i="1"/>
  <c r="B1366" i="1"/>
  <c r="A1366" i="1"/>
  <c r="F1365" i="1" a="1"/>
  <c r="F1365" i="1" s="1"/>
  <c r="E1365" i="1"/>
  <c r="E1365" i="1" a="1"/>
  <c r="D1365" i="1"/>
  <c r="C1365" i="1"/>
  <c r="B1365" i="1"/>
  <c r="A1365" i="1"/>
  <c r="F1364" i="1" a="1"/>
  <c r="F1364" i="1" s="1"/>
  <c r="E1364" i="1" a="1"/>
  <c r="E1364" i="1" s="1"/>
  <c r="D1364" i="1"/>
  <c r="C1364" i="1"/>
  <c r="B1364" i="1"/>
  <c r="A1364" i="1"/>
  <c r="F1363" i="1" a="1"/>
  <c r="F1363" i="1" s="1"/>
  <c r="E1363" i="1" a="1"/>
  <c r="E1363" i="1" s="1"/>
  <c r="D1363" i="1"/>
  <c r="C1363" i="1"/>
  <c r="B1363" i="1"/>
  <c r="A1363" i="1"/>
  <c r="F1362" i="1" a="1"/>
  <c r="F1362" i="1" s="1"/>
  <c r="E1362" i="1" a="1"/>
  <c r="E1362" i="1" s="1"/>
  <c r="D1362" i="1"/>
  <c r="C1362" i="1"/>
  <c r="B1362" i="1"/>
  <c r="A1362" i="1"/>
  <c r="F1361" i="1" a="1"/>
  <c r="F1361" i="1" s="1"/>
  <c r="E1361" i="1" a="1"/>
  <c r="E1361" i="1" s="1"/>
  <c r="D1361" i="1"/>
  <c r="C1361" i="1"/>
  <c r="B1361" i="1"/>
  <c r="A1361" i="1"/>
  <c r="F1360" i="1" a="1"/>
  <c r="F1360" i="1" s="1"/>
  <c r="E1360" i="1" a="1"/>
  <c r="E1360" i="1" s="1"/>
  <c r="D1360" i="1"/>
  <c r="C1360" i="1"/>
  <c r="B1360" i="1"/>
  <c r="A1360" i="1"/>
  <c r="F1359" i="1" a="1"/>
  <c r="F1359" i="1" s="1"/>
  <c r="E1359" i="1" a="1"/>
  <c r="E1359" i="1" s="1"/>
  <c r="D1359" i="1"/>
  <c r="C1359" i="1"/>
  <c r="B1359" i="1"/>
  <c r="A1359" i="1"/>
  <c r="F1358" i="1" a="1"/>
  <c r="F1358" i="1" s="1"/>
  <c r="E1358" i="1" a="1"/>
  <c r="E1358" i="1" s="1"/>
  <c r="D1358" i="1"/>
  <c r="C1358" i="1"/>
  <c r="B1358" i="1"/>
  <c r="A1358" i="1"/>
  <c r="F1357" i="1" a="1"/>
  <c r="F1357" i="1" s="1"/>
  <c r="E1357" i="1"/>
  <c r="E1357" i="1" a="1"/>
  <c r="D1357" i="1"/>
  <c r="C1357" i="1"/>
  <c r="B1357" i="1"/>
  <c r="A1357" i="1"/>
  <c r="F1356" i="1" a="1"/>
  <c r="F1356" i="1" s="1"/>
  <c r="E1356" i="1" a="1"/>
  <c r="E1356" i="1" s="1"/>
  <c r="D1356" i="1"/>
  <c r="C1356" i="1"/>
  <c r="B1356" i="1"/>
  <c r="A1356" i="1"/>
  <c r="F1355" i="1" a="1"/>
  <c r="F1355" i="1" s="1"/>
  <c r="E1355" i="1" a="1"/>
  <c r="E1355" i="1" s="1"/>
  <c r="D1355" i="1"/>
  <c r="C1355" i="1"/>
  <c r="B1355" i="1"/>
  <c r="A1355" i="1"/>
  <c r="F1354" i="1" a="1"/>
  <c r="F1354" i="1" s="1"/>
  <c r="E1354" i="1" a="1"/>
  <c r="E1354" i="1" s="1"/>
  <c r="D1354" i="1"/>
  <c r="C1354" i="1"/>
  <c r="B1354" i="1"/>
  <c r="A1354" i="1"/>
  <c r="F1353" i="1" a="1"/>
  <c r="F1353" i="1" s="1"/>
  <c r="E1353" i="1" a="1"/>
  <c r="E1353" i="1" s="1"/>
  <c r="D1353" i="1"/>
  <c r="C1353" i="1"/>
  <c r="B1353" i="1"/>
  <c r="A1353" i="1"/>
  <c r="F1352" i="1" a="1"/>
  <c r="F1352" i="1" s="1"/>
  <c r="E1352" i="1" a="1"/>
  <c r="E1352" i="1" s="1"/>
  <c r="D1352" i="1"/>
  <c r="C1352" i="1"/>
  <c r="B1352" i="1"/>
  <c r="A1352" i="1"/>
  <c r="F1351" i="1" a="1"/>
  <c r="F1351" i="1" s="1"/>
  <c r="E1351" i="1" a="1"/>
  <c r="E1351" i="1" s="1"/>
  <c r="D1351" i="1"/>
  <c r="C1351" i="1"/>
  <c r="B1351" i="1"/>
  <c r="A1351" i="1"/>
  <c r="F1350" i="1" a="1"/>
  <c r="F1350" i="1" s="1"/>
  <c r="E1350" i="1" a="1"/>
  <c r="E1350" i="1" s="1"/>
  <c r="D1350" i="1"/>
  <c r="C1350" i="1"/>
  <c r="B1350" i="1"/>
  <c r="A1350" i="1"/>
  <c r="F1349" i="1" a="1"/>
  <c r="F1349" i="1" s="1"/>
  <c r="E1349" i="1"/>
  <c r="E1349" i="1" a="1"/>
  <c r="D1349" i="1"/>
  <c r="C1349" i="1"/>
  <c r="B1349" i="1"/>
  <c r="A1349" i="1"/>
  <c r="F1348" i="1" a="1"/>
  <c r="F1348" i="1" s="1"/>
  <c r="E1348" i="1" a="1"/>
  <c r="E1348" i="1" s="1"/>
  <c r="D1348" i="1"/>
  <c r="C1348" i="1"/>
  <c r="B1348" i="1"/>
  <c r="A1348" i="1"/>
  <c r="F1347" i="1" a="1"/>
  <c r="F1347" i="1" s="1"/>
  <c r="E1347" i="1" a="1"/>
  <c r="E1347" i="1" s="1"/>
  <c r="D1347" i="1"/>
  <c r="C1347" i="1"/>
  <c r="B1347" i="1"/>
  <c r="A1347" i="1"/>
  <c r="F1346" i="1" a="1"/>
  <c r="F1346" i="1" s="1"/>
  <c r="E1346" i="1" a="1"/>
  <c r="E1346" i="1" s="1"/>
  <c r="D1346" i="1"/>
  <c r="C1346" i="1"/>
  <c r="B1346" i="1"/>
  <c r="A1346" i="1"/>
  <c r="F1345" i="1" a="1"/>
  <c r="F1345" i="1" s="1"/>
  <c r="E1345" i="1" a="1"/>
  <c r="E1345" i="1" s="1"/>
  <c r="D1345" i="1"/>
  <c r="C1345" i="1"/>
  <c r="B1345" i="1"/>
  <c r="A1345" i="1"/>
  <c r="F1344" i="1" a="1"/>
  <c r="F1344" i="1" s="1"/>
  <c r="E1344" i="1" a="1"/>
  <c r="E1344" i="1" s="1"/>
  <c r="D1344" i="1"/>
  <c r="C1344" i="1"/>
  <c r="B1344" i="1"/>
  <c r="A1344" i="1"/>
  <c r="F1343" i="1" a="1"/>
  <c r="F1343" i="1" s="1"/>
  <c r="E1343" i="1" a="1"/>
  <c r="E1343" i="1" s="1"/>
  <c r="D1343" i="1"/>
  <c r="C1343" i="1"/>
  <c r="B1343" i="1"/>
  <c r="A1343" i="1"/>
  <c r="F1342" i="1" a="1"/>
  <c r="F1342" i="1" s="1"/>
  <c r="E1342" i="1" a="1"/>
  <c r="E1342" i="1" s="1"/>
  <c r="D1342" i="1"/>
  <c r="C1342" i="1"/>
  <c r="B1342" i="1"/>
  <c r="A1342" i="1"/>
  <c r="F1341" i="1" a="1"/>
  <c r="F1341" i="1" s="1"/>
  <c r="E1341" i="1"/>
  <c r="E1341" i="1" a="1"/>
  <c r="D1341" i="1"/>
  <c r="C1341" i="1"/>
  <c r="B1341" i="1"/>
  <c r="A1341" i="1"/>
  <c r="F1340" i="1" a="1"/>
  <c r="F1340" i="1" s="1"/>
  <c r="E1340" i="1" a="1"/>
  <c r="E1340" i="1" s="1"/>
  <c r="D1340" i="1"/>
  <c r="C1340" i="1"/>
  <c r="B1340" i="1"/>
  <c r="A1340" i="1"/>
  <c r="F1339" i="1" a="1"/>
  <c r="F1339" i="1" s="1"/>
  <c r="E1339" i="1" a="1"/>
  <c r="E1339" i="1" s="1"/>
  <c r="D1339" i="1"/>
  <c r="C1339" i="1"/>
  <c r="B1339" i="1"/>
  <c r="A1339" i="1"/>
  <c r="F1338" i="1" a="1"/>
  <c r="F1338" i="1" s="1"/>
  <c r="E1338" i="1" a="1"/>
  <c r="E1338" i="1" s="1"/>
  <c r="D1338" i="1"/>
  <c r="C1338" i="1"/>
  <c r="B1338" i="1"/>
  <c r="A1338" i="1"/>
  <c r="F1337" i="1" a="1"/>
  <c r="F1337" i="1" s="1"/>
  <c r="E1337" i="1" a="1"/>
  <c r="E1337" i="1" s="1"/>
  <c r="D1337" i="1"/>
  <c r="C1337" i="1"/>
  <c r="B1337" i="1"/>
  <c r="A1337" i="1"/>
  <c r="F1336" i="1" a="1"/>
  <c r="F1336" i="1" s="1"/>
  <c r="E1336" i="1" a="1"/>
  <c r="E1336" i="1" s="1"/>
  <c r="D1336" i="1"/>
  <c r="C1336" i="1"/>
  <c r="B1336" i="1"/>
  <c r="A1336" i="1"/>
  <c r="F1335" i="1" a="1"/>
  <c r="F1335" i="1" s="1"/>
  <c r="E1335" i="1" a="1"/>
  <c r="E1335" i="1" s="1"/>
  <c r="D1335" i="1"/>
  <c r="C1335" i="1"/>
  <c r="B1335" i="1"/>
  <c r="A1335" i="1"/>
  <c r="F1334" i="1" a="1"/>
  <c r="F1334" i="1" s="1"/>
  <c r="E1334" i="1" a="1"/>
  <c r="E1334" i="1" s="1"/>
  <c r="D1334" i="1"/>
  <c r="C1334" i="1"/>
  <c r="B1334" i="1"/>
  <c r="A1334" i="1"/>
  <c r="F1333" i="1" a="1"/>
  <c r="F1333" i="1" s="1"/>
  <c r="E1333" i="1"/>
  <c r="E1333" i="1" a="1"/>
  <c r="D1333" i="1"/>
  <c r="C1333" i="1"/>
  <c r="B1333" i="1"/>
  <c r="A1333" i="1"/>
  <c r="F1332" i="1" a="1"/>
  <c r="F1332" i="1" s="1"/>
  <c r="E1332" i="1" a="1"/>
  <c r="E1332" i="1" s="1"/>
  <c r="D1332" i="1"/>
  <c r="C1332" i="1"/>
  <c r="B1332" i="1"/>
  <c r="A1332" i="1"/>
  <c r="F1331" i="1" a="1"/>
  <c r="F1331" i="1" s="1"/>
  <c r="E1331" i="1" a="1"/>
  <c r="E1331" i="1" s="1"/>
  <c r="D1331" i="1"/>
  <c r="C1331" i="1"/>
  <c r="B1331" i="1"/>
  <c r="A1331" i="1"/>
  <c r="F1330" i="1" a="1"/>
  <c r="F1330" i="1" s="1"/>
  <c r="E1330" i="1" a="1"/>
  <c r="E1330" i="1" s="1"/>
  <c r="D1330" i="1"/>
  <c r="C1330" i="1"/>
  <c r="B1330" i="1"/>
  <c r="A1330" i="1"/>
  <c r="F1329" i="1" a="1"/>
  <c r="F1329" i="1" s="1"/>
  <c r="E1329" i="1" a="1"/>
  <c r="E1329" i="1" s="1"/>
  <c r="D1329" i="1"/>
  <c r="C1329" i="1"/>
  <c r="B1329" i="1"/>
  <c r="A1329" i="1"/>
  <c r="F1328" i="1" a="1"/>
  <c r="F1328" i="1" s="1"/>
  <c r="E1328" i="1" a="1"/>
  <c r="E1328" i="1" s="1"/>
  <c r="D1328" i="1"/>
  <c r="C1328" i="1"/>
  <c r="B1328" i="1"/>
  <c r="A1328" i="1"/>
  <c r="F1327" i="1" a="1"/>
  <c r="F1327" i="1" s="1"/>
  <c r="E1327" i="1" a="1"/>
  <c r="E1327" i="1" s="1"/>
  <c r="D1327" i="1"/>
  <c r="C1327" i="1"/>
  <c r="B1327" i="1"/>
  <c r="A1327" i="1"/>
  <c r="F1326" i="1" a="1"/>
  <c r="F1326" i="1" s="1"/>
  <c r="E1326" i="1" a="1"/>
  <c r="E1326" i="1" s="1"/>
  <c r="D1326" i="1"/>
  <c r="C1326" i="1"/>
  <c r="B1326" i="1"/>
  <c r="A1326" i="1"/>
  <c r="F1325" i="1" a="1"/>
  <c r="F1325" i="1" s="1"/>
  <c r="E1325" i="1"/>
  <c r="E1325" i="1" a="1"/>
  <c r="D1325" i="1"/>
  <c r="C1325" i="1"/>
  <c r="B1325" i="1"/>
  <c r="A1325" i="1"/>
  <c r="F1324" i="1" a="1"/>
  <c r="F1324" i="1" s="1"/>
  <c r="E1324" i="1" a="1"/>
  <c r="E1324" i="1" s="1"/>
  <c r="D1324" i="1"/>
  <c r="C1324" i="1"/>
  <c r="B1324" i="1"/>
  <c r="A1324" i="1"/>
  <c r="F1323" i="1" a="1"/>
  <c r="F1323" i="1" s="1"/>
  <c r="E1323" i="1" a="1"/>
  <c r="E1323" i="1" s="1"/>
  <c r="D1323" i="1"/>
  <c r="C1323" i="1"/>
  <c r="B1323" i="1"/>
  <c r="A1323" i="1"/>
  <c r="F1322" i="1" a="1"/>
  <c r="F1322" i="1" s="1"/>
  <c r="E1322" i="1" a="1"/>
  <c r="E1322" i="1" s="1"/>
  <c r="D1322" i="1"/>
  <c r="C1322" i="1"/>
  <c r="B1322" i="1"/>
  <c r="A1322" i="1"/>
  <c r="F1321" i="1" a="1"/>
  <c r="F1321" i="1" s="1"/>
  <c r="E1321" i="1" a="1"/>
  <c r="E1321" i="1" s="1"/>
  <c r="D1321" i="1"/>
  <c r="C1321" i="1"/>
  <c r="B1321" i="1"/>
  <c r="A1321" i="1"/>
  <c r="F1320" i="1" a="1"/>
  <c r="F1320" i="1" s="1"/>
  <c r="E1320" i="1" a="1"/>
  <c r="E1320" i="1" s="1"/>
  <c r="D1320" i="1"/>
  <c r="C1320" i="1"/>
  <c r="B1320" i="1"/>
  <c r="A1320" i="1"/>
  <c r="F1319" i="1" a="1"/>
  <c r="F1319" i="1" s="1"/>
  <c r="E1319" i="1" a="1"/>
  <c r="E1319" i="1" s="1"/>
  <c r="D1319" i="1"/>
  <c r="C1319" i="1"/>
  <c r="B1319" i="1"/>
  <c r="A1319" i="1"/>
  <c r="F1318" i="1" a="1"/>
  <c r="F1318" i="1" s="1"/>
  <c r="E1318" i="1" a="1"/>
  <c r="E1318" i="1" s="1"/>
  <c r="D1318" i="1"/>
  <c r="C1318" i="1"/>
  <c r="B1318" i="1"/>
  <c r="A1318" i="1"/>
  <c r="F1317" i="1" a="1"/>
  <c r="F1317" i="1" s="1"/>
  <c r="E1317" i="1"/>
  <c r="E1317" i="1" a="1"/>
  <c r="D1317" i="1"/>
  <c r="C1317" i="1"/>
  <c r="B1317" i="1"/>
  <c r="A1317" i="1"/>
  <c r="F1316" i="1" a="1"/>
  <c r="F1316" i="1" s="1"/>
  <c r="E1316" i="1" a="1"/>
  <c r="E1316" i="1" s="1"/>
  <c r="D1316" i="1"/>
  <c r="C1316" i="1"/>
  <c r="B1316" i="1"/>
  <c r="A1316" i="1"/>
  <c r="F1315" i="1" a="1"/>
  <c r="F1315" i="1" s="1"/>
  <c r="E1315" i="1" a="1"/>
  <c r="E1315" i="1" s="1"/>
  <c r="D1315" i="1"/>
  <c r="C1315" i="1"/>
  <c r="B1315" i="1"/>
  <c r="A1315" i="1"/>
  <c r="F1314" i="1" a="1"/>
  <c r="F1314" i="1" s="1"/>
  <c r="E1314" i="1" a="1"/>
  <c r="E1314" i="1" s="1"/>
  <c r="D1314" i="1"/>
  <c r="C1314" i="1"/>
  <c r="B1314" i="1"/>
  <c r="A1314" i="1"/>
  <c r="F1313" i="1" a="1"/>
  <c r="F1313" i="1" s="1"/>
  <c r="E1313" i="1" a="1"/>
  <c r="E1313" i="1" s="1"/>
  <c r="D1313" i="1"/>
  <c r="C1313" i="1"/>
  <c r="B1313" i="1"/>
  <c r="A1313" i="1"/>
  <c r="F1312" i="1" a="1"/>
  <c r="F1312" i="1" s="1"/>
  <c r="E1312" i="1" a="1"/>
  <c r="E1312" i="1" s="1"/>
  <c r="D1312" i="1"/>
  <c r="C1312" i="1"/>
  <c r="B1312" i="1"/>
  <c r="A1312" i="1"/>
  <c r="F1311" i="1" a="1"/>
  <c r="F1311" i="1" s="1"/>
  <c r="E1311" i="1" a="1"/>
  <c r="E1311" i="1" s="1"/>
  <c r="D1311" i="1"/>
  <c r="C1311" i="1"/>
  <c r="B1311" i="1"/>
  <c r="A1311" i="1"/>
  <c r="F1310" i="1" a="1"/>
  <c r="F1310" i="1" s="1"/>
  <c r="E1310" i="1" a="1"/>
  <c r="E1310" i="1" s="1"/>
  <c r="D1310" i="1"/>
  <c r="C1310" i="1"/>
  <c r="B1310" i="1"/>
  <c r="A1310" i="1"/>
  <c r="F1309" i="1" a="1"/>
  <c r="F1309" i="1" s="1"/>
  <c r="E1309" i="1"/>
  <c r="E1309" i="1" a="1"/>
  <c r="D1309" i="1"/>
  <c r="C1309" i="1"/>
  <c r="B1309" i="1"/>
  <c r="A1309" i="1"/>
  <c r="F1308" i="1" a="1"/>
  <c r="F1308" i="1" s="1"/>
  <c r="E1308" i="1" a="1"/>
  <c r="E1308" i="1" s="1"/>
  <c r="D1308" i="1"/>
  <c r="C1308" i="1"/>
  <c r="B1308" i="1"/>
  <c r="A1308" i="1"/>
  <c r="F1307" i="1" a="1"/>
  <c r="F1307" i="1" s="1"/>
  <c r="E1307" i="1" a="1"/>
  <c r="E1307" i="1" s="1"/>
  <c r="D1307" i="1"/>
  <c r="C1307" i="1"/>
  <c r="B1307" i="1"/>
  <c r="A1307" i="1"/>
  <c r="F1306" i="1" a="1"/>
  <c r="F1306" i="1" s="1"/>
  <c r="E1306" i="1" a="1"/>
  <c r="E1306" i="1" s="1"/>
  <c r="D1306" i="1"/>
  <c r="C1306" i="1"/>
  <c r="B1306" i="1"/>
  <c r="A1306" i="1"/>
  <c r="F1305" i="1" a="1"/>
  <c r="F1305" i="1" s="1"/>
  <c r="E1305" i="1" a="1"/>
  <c r="E1305" i="1" s="1"/>
  <c r="D1305" i="1"/>
  <c r="C1305" i="1"/>
  <c r="B1305" i="1"/>
  <c r="A1305" i="1"/>
  <c r="F1304" i="1" a="1"/>
  <c r="F1304" i="1" s="1"/>
  <c r="E1304" i="1" a="1"/>
  <c r="E1304" i="1" s="1"/>
  <c r="D1304" i="1"/>
  <c r="C1304" i="1"/>
  <c r="B1304" i="1"/>
  <c r="A1304" i="1"/>
  <c r="F1303" i="1" a="1"/>
  <c r="F1303" i="1" s="1"/>
  <c r="E1303" i="1" a="1"/>
  <c r="E1303" i="1" s="1"/>
  <c r="D1303" i="1"/>
  <c r="C1303" i="1"/>
  <c r="B1303" i="1"/>
  <c r="A1303" i="1"/>
  <c r="F1302" i="1" a="1"/>
  <c r="F1302" i="1" s="1"/>
  <c r="E1302" i="1" a="1"/>
  <c r="E1302" i="1" s="1"/>
  <c r="D1302" i="1"/>
  <c r="C1302" i="1"/>
  <c r="B1302" i="1"/>
  <c r="A1302" i="1"/>
  <c r="F1301" i="1" a="1"/>
  <c r="F1301" i="1" s="1"/>
  <c r="E1301" i="1"/>
  <c r="E1301" i="1" a="1"/>
  <c r="D1301" i="1"/>
  <c r="C1301" i="1"/>
  <c r="B1301" i="1"/>
  <c r="A1301" i="1"/>
  <c r="F1300" i="1" a="1"/>
  <c r="F1300" i="1" s="1"/>
  <c r="E1300" i="1" a="1"/>
  <c r="E1300" i="1" s="1"/>
  <c r="D1300" i="1"/>
  <c r="C1300" i="1"/>
  <c r="B1300" i="1"/>
  <c r="A1300" i="1"/>
  <c r="F1299" i="1" a="1"/>
  <c r="F1299" i="1" s="1"/>
  <c r="E1299" i="1" a="1"/>
  <c r="E1299" i="1" s="1"/>
  <c r="D1299" i="1"/>
  <c r="C1299" i="1"/>
  <c r="B1299" i="1"/>
  <c r="A1299" i="1"/>
  <c r="F1298" i="1" a="1"/>
  <c r="F1298" i="1" s="1"/>
  <c r="E1298" i="1" a="1"/>
  <c r="E1298" i="1" s="1"/>
  <c r="D1298" i="1"/>
  <c r="C1298" i="1"/>
  <c r="B1298" i="1"/>
  <c r="A1298" i="1"/>
  <c r="F1297" i="1" a="1"/>
  <c r="F1297" i="1" s="1"/>
  <c r="E1297" i="1" a="1"/>
  <c r="E1297" i="1" s="1"/>
  <c r="D1297" i="1"/>
  <c r="C1297" i="1"/>
  <c r="B1297" i="1"/>
  <c r="A1297" i="1"/>
  <c r="F1296" i="1" a="1"/>
  <c r="F1296" i="1" s="1"/>
  <c r="E1296" i="1" a="1"/>
  <c r="E1296" i="1" s="1"/>
  <c r="D1296" i="1"/>
  <c r="C1296" i="1"/>
  <c r="B1296" i="1"/>
  <c r="A1296" i="1"/>
  <c r="F1295" i="1" a="1"/>
  <c r="F1295" i="1" s="1"/>
  <c r="E1295" i="1" a="1"/>
  <c r="E1295" i="1" s="1"/>
  <c r="D1295" i="1"/>
  <c r="C1295" i="1"/>
  <c r="B1295" i="1"/>
  <c r="A1295" i="1"/>
  <c r="F1294" i="1" a="1"/>
  <c r="F1294" i="1" s="1"/>
  <c r="E1294" i="1" a="1"/>
  <c r="E1294" i="1" s="1"/>
  <c r="D1294" i="1"/>
  <c r="C1294" i="1"/>
  <c r="B1294" i="1"/>
  <c r="A1294" i="1"/>
  <c r="F1293" i="1" a="1"/>
  <c r="F1293" i="1" s="1"/>
  <c r="E1293" i="1"/>
  <c r="E1293" i="1" a="1"/>
  <c r="D1293" i="1"/>
  <c r="C1293" i="1"/>
  <c r="B1293" i="1"/>
  <c r="A1293" i="1"/>
  <c r="F1292" i="1" a="1"/>
  <c r="F1292" i="1" s="1"/>
  <c r="E1292" i="1" a="1"/>
  <c r="E1292" i="1" s="1"/>
  <c r="D1292" i="1"/>
  <c r="C1292" i="1"/>
  <c r="B1292" i="1"/>
  <c r="A1292" i="1"/>
  <c r="F1291" i="1" a="1"/>
  <c r="F1291" i="1" s="1"/>
  <c r="E1291" i="1" a="1"/>
  <c r="E1291" i="1" s="1"/>
  <c r="D1291" i="1"/>
  <c r="C1291" i="1"/>
  <c r="B1291" i="1"/>
  <c r="A1291" i="1"/>
  <c r="F1290" i="1" a="1"/>
  <c r="F1290" i="1" s="1"/>
  <c r="E1290" i="1" a="1"/>
  <c r="E1290" i="1" s="1"/>
  <c r="D1290" i="1"/>
  <c r="C1290" i="1"/>
  <c r="B1290" i="1"/>
  <c r="A1290" i="1"/>
  <c r="F1289" i="1" a="1"/>
  <c r="F1289" i="1" s="1"/>
  <c r="E1289" i="1" a="1"/>
  <c r="E1289" i="1" s="1"/>
  <c r="D1289" i="1"/>
  <c r="C1289" i="1"/>
  <c r="B1289" i="1"/>
  <c r="A1289" i="1"/>
  <c r="F1288" i="1" a="1"/>
  <c r="F1288" i="1" s="1"/>
  <c r="E1288" i="1" a="1"/>
  <c r="E1288" i="1" s="1"/>
  <c r="D1288" i="1"/>
  <c r="C1288" i="1"/>
  <c r="B1288" i="1"/>
  <c r="A1288" i="1"/>
  <c r="F1287" i="1" a="1"/>
  <c r="F1287" i="1" s="1"/>
  <c r="E1287" i="1" a="1"/>
  <c r="E1287" i="1" s="1"/>
  <c r="D1287" i="1"/>
  <c r="C1287" i="1"/>
  <c r="B1287" i="1"/>
  <c r="A1287" i="1"/>
  <c r="F1286" i="1" a="1"/>
  <c r="F1286" i="1" s="1"/>
  <c r="E1286" i="1" a="1"/>
  <c r="E1286" i="1" s="1"/>
  <c r="D1286" i="1"/>
  <c r="C1286" i="1"/>
  <c r="B1286" i="1"/>
  <c r="A1286" i="1"/>
  <c r="F1285" i="1" a="1"/>
  <c r="F1285" i="1" s="1"/>
  <c r="E1285" i="1"/>
  <c r="E1285" i="1" a="1"/>
  <c r="D1285" i="1"/>
  <c r="C1285" i="1"/>
  <c r="B1285" i="1"/>
  <c r="A1285" i="1"/>
  <c r="F1284" i="1" a="1"/>
  <c r="F1284" i="1" s="1"/>
  <c r="E1284" i="1" a="1"/>
  <c r="E1284" i="1" s="1"/>
  <c r="D1284" i="1"/>
  <c r="C1284" i="1"/>
  <c r="B1284" i="1"/>
  <c r="A1284" i="1"/>
  <c r="F1283" i="1" a="1"/>
  <c r="F1283" i="1" s="1"/>
  <c r="E1283" i="1" a="1"/>
  <c r="E1283" i="1" s="1"/>
  <c r="D1283" i="1"/>
  <c r="C1283" i="1"/>
  <c r="B1283" i="1"/>
  <c r="A1283" i="1"/>
  <c r="F1282" i="1" a="1"/>
  <c r="F1282" i="1" s="1"/>
  <c r="E1282" i="1" a="1"/>
  <c r="E1282" i="1" s="1"/>
  <c r="D1282" i="1"/>
  <c r="C1282" i="1"/>
  <c r="B1282" i="1"/>
  <c r="A1282" i="1"/>
  <c r="F1281" i="1" a="1"/>
  <c r="F1281" i="1" s="1"/>
  <c r="E1281" i="1" a="1"/>
  <c r="E1281" i="1" s="1"/>
  <c r="D1281" i="1"/>
  <c r="C1281" i="1"/>
  <c r="B1281" i="1"/>
  <c r="A1281" i="1"/>
  <c r="F1280" i="1" a="1"/>
  <c r="F1280" i="1" s="1"/>
  <c r="E1280" i="1" a="1"/>
  <c r="E1280" i="1" s="1"/>
  <c r="D1280" i="1"/>
  <c r="C1280" i="1"/>
  <c r="B1280" i="1"/>
  <c r="A1280" i="1"/>
  <c r="F1279" i="1" a="1"/>
  <c r="F1279" i="1" s="1"/>
  <c r="E1279" i="1" a="1"/>
  <c r="E1279" i="1" s="1"/>
  <c r="D1279" i="1"/>
  <c r="C1279" i="1"/>
  <c r="B1279" i="1"/>
  <c r="A1279" i="1"/>
  <c r="F1278" i="1" a="1"/>
  <c r="F1278" i="1" s="1"/>
  <c r="E1278" i="1" a="1"/>
  <c r="E1278" i="1" s="1"/>
  <c r="D1278" i="1"/>
  <c r="C1278" i="1"/>
  <c r="B1278" i="1"/>
  <c r="A1278" i="1"/>
  <c r="F1277" i="1" a="1"/>
  <c r="F1277" i="1" s="1"/>
  <c r="E1277" i="1"/>
  <c r="E1277" i="1" a="1"/>
  <c r="D1277" i="1"/>
  <c r="C1277" i="1"/>
  <c r="B1277" i="1"/>
  <c r="A1277" i="1"/>
  <c r="F1276" i="1" a="1"/>
  <c r="F1276" i="1" s="1"/>
  <c r="E1276" i="1" a="1"/>
  <c r="E1276" i="1" s="1"/>
  <c r="D1276" i="1"/>
  <c r="C1276" i="1"/>
  <c r="B1276" i="1"/>
  <c r="A1276" i="1"/>
  <c r="F1275" i="1" a="1"/>
  <c r="F1275" i="1" s="1"/>
  <c r="E1275" i="1" a="1"/>
  <c r="E1275" i="1" s="1"/>
  <c r="D1275" i="1"/>
  <c r="C1275" i="1"/>
  <c r="B1275" i="1"/>
  <c r="A1275" i="1"/>
  <c r="F1274" i="1" a="1"/>
  <c r="F1274" i="1" s="1"/>
  <c r="E1274" i="1" a="1"/>
  <c r="E1274" i="1" s="1"/>
  <c r="D1274" i="1"/>
  <c r="C1274" i="1"/>
  <c r="B1274" i="1"/>
  <c r="A1274" i="1"/>
  <c r="F1273" i="1" a="1"/>
  <c r="F1273" i="1" s="1"/>
  <c r="E1273" i="1" a="1"/>
  <c r="E1273" i="1" s="1"/>
  <c r="D1273" i="1"/>
  <c r="C1273" i="1"/>
  <c r="B1273" i="1"/>
  <c r="A1273" i="1"/>
  <c r="F1272" i="1" a="1"/>
  <c r="F1272" i="1" s="1"/>
  <c r="E1272" i="1" a="1"/>
  <c r="E1272" i="1" s="1"/>
  <c r="D1272" i="1"/>
  <c r="C1272" i="1"/>
  <c r="B1272" i="1"/>
  <c r="A1272" i="1"/>
  <c r="F1271" i="1" a="1"/>
  <c r="F1271" i="1" s="1"/>
  <c r="E1271" i="1" a="1"/>
  <c r="E1271" i="1" s="1"/>
  <c r="D1271" i="1"/>
  <c r="C1271" i="1"/>
  <c r="B1271" i="1"/>
  <c r="A1271" i="1"/>
  <c r="F1270" i="1" a="1"/>
  <c r="F1270" i="1" s="1"/>
  <c r="E1270" i="1" a="1"/>
  <c r="E1270" i="1" s="1"/>
  <c r="D1270" i="1"/>
  <c r="C1270" i="1"/>
  <c r="B1270" i="1"/>
  <c r="A1270" i="1"/>
  <c r="F1269" i="1" a="1"/>
  <c r="F1269" i="1" s="1"/>
  <c r="E1269" i="1"/>
  <c r="E1269" i="1" a="1"/>
  <c r="D1269" i="1"/>
  <c r="C1269" i="1"/>
  <c r="B1269" i="1"/>
  <c r="A1269" i="1"/>
  <c r="F1268" i="1" a="1"/>
  <c r="F1268" i="1" s="1"/>
  <c r="E1268" i="1" a="1"/>
  <c r="E1268" i="1" s="1"/>
  <c r="D1268" i="1"/>
  <c r="C1268" i="1"/>
  <c r="B1268" i="1"/>
  <c r="A1268" i="1"/>
  <c r="F1267" i="1" a="1"/>
  <c r="F1267" i="1" s="1"/>
  <c r="E1267" i="1"/>
  <c r="E1267" i="1" a="1"/>
  <c r="D1267" i="1"/>
  <c r="C1267" i="1"/>
  <c r="B1267" i="1"/>
  <c r="A1267" i="1"/>
  <c r="F1266" i="1" a="1"/>
  <c r="F1266" i="1" s="1"/>
  <c r="E1266" i="1" a="1"/>
  <c r="E1266" i="1" s="1"/>
  <c r="D1266" i="1"/>
  <c r="C1266" i="1"/>
  <c r="B1266" i="1"/>
  <c r="A1266" i="1"/>
  <c r="F1265" i="1" a="1"/>
  <c r="F1265" i="1" s="1"/>
  <c r="E1265" i="1" a="1"/>
  <c r="E1265" i="1" s="1"/>
  <c r="D1265" i="1"/>
  <c r="C1265" i="1"/>
  <c r="B1265" i="1"/>
  <c r="A1265" i="1"/>
  <c r="F1264" i="1" a="1"/>
  <c r="F1264" i="1" s="1"/>
  <c r="E1264" i="1" a="1"/>
  <c r="E1264" i="1" s="1"/>
  <c r="D1264" i="1"/>
  <c r="C1264" i="1"/>
  <c r="B1264" i="1"/>
  <c r="A1264" i="1"/>
  <c r="F1263" i="1" a="1"/>
  <c r="F1263" i="1" s="1"/>
  <c r="E1263" i="1" a="1"/>
  <c r="E1263" i="1" s="1"/>
  <c r="D1263" i="1"/>
  <c r="C1263" i="1"/>
  <c r="B1263" i="1"/>
  <c r="A1263" i="1"/>
  <c r="F1262" i="1" a="1"/>
  <c r="F1262" i="1" s="1"/>
  <c r="E1262" i="1" a="1"/>
  <c r="E1262" i="1" s="1"/>
  <c r="D1262" i="1"/>
  <c r="C1262" i="1"/>
  <c r="B1262" i="1"/>
  <c r="A1262" i="1"/>
  <c r="F1261" i="1" a="1"/>
  <c r="F1261" i="1" s="1"/>
  <c r="E1261" i="1"/>
  <c r="E1261" i="1" a="1"/>
  <c r="D1261" i="1"/>
  <c r="C1261" i="1"/>
  <c r="B1261" i="1"/>
  <c r="A1261" i="1"/>
  <c r="F1260" i="1" a="1"/>
  <c r="F1260" i="1" s="1"/>
  <c r="E1260" i="1" a="1"/>
  <c r="E1260" i="1" s="1"/>
  <c r="D1260" i="1"/>
  <c r="C1260" i="1"/>
  <c r="B1260" i="1"/>
  <c r="A1260" i="1"/>
  <c r="F1259" i="1" a="1"/>
  <c r="F1259" i="1" s="1"/>
  <c r="E1259" i="1"/>
  <c r="E1259" i="1" a="1"/>
  <c r="D1259" i="1"/>
  <c r="C1259" i="1"/>
  <c r="B1259" i="1"/>
  <c r="A1259" i="1"/>
  <c r="F1258" i="1" a="1"/>
  <c r="F1258" i="1" s="1"/>
  <c r="E1258" i="1" a="1"/>
  <c r="E1258" i="1" s="1"/>
  <c r="D1258" i="1"/>
  <c r="C1258" i="1"/>
  <c r="B1258" i="1"/>
  <c r="A1258" i="1"/>
  <c r="F1257" i="1" a="1"/>
  <c r="F1257" i="1" s="1"/>
  <c r="E1257" i="1" a="1"/>
  <c r="E1257" i="1" s="1"/>
  <c r="D1257" i="1"/>
  <c r="C1257" i="1"/>
  <c r="B1257" i="1"/>
  <c r="A1257" i="1"/>
  <c r="F1256" i="1" a="1"/>
  <c r="F1256" i="1" s="1"/>
  <c r="E1256" i="1" a="1"/>
  <c r="E1256" i="1" s="1"/>
  <c r="D1256" i="1"/>
  <c r="C1256" i="1"/>
  <c r="B1256" i="1"/>
  <c r="A1256" i="1"/>
  <c r="F1255" i="1" a="1"/>
  <c r="F1255" i="1" s="1"/>
  <c r="E1255" i="1" a="1"/>
  <c r="E1255" i="1" s="1"/>
  <c r="D1255" i="1"/>
  <c r="C1255" i="1"/>
  <c r="B1255" i="1"/>
  <c r="A1255" i="1"/>
  <c r="F1254" i="1" a="1"/>
  <c r="F1254" i="1" s="1"/>
  <c r="E1254" i="1" a="1"/>
  <c r="E1254" i="1" s="1"/>
  <c r="D1254" i="1"/>
  <c r="C1254" i="1"/>
  <c r="B1254" i="1"/>
  <c r="A1254" i="1"/>
  <c r="F1253" i="1" a="1"/>
  <c r="F1253" i="1" s="1"/>
  <c r="E1253" i="1"/>
  <c r="E1253" i="1" a="1"/>
  <c r="D1253" i="1"/>
  <c r="C1253" i="1"/>
  <c r="B1253" i="1"/>
  <c r="A1253" i="1"/>
  <c r="F1252" i="1" a="1"/>
  <c r="F1252" i="1" s="1"/>
  <c r="E1252" i="1" a="1"/>
  <c r="E1252" i="1" s="1"/>
  <c r="D1252" i="1"/>
  <c r="C1252" i="1"/>
  <c r="B1252" i="1"/>
  <c r="A1252" i="1"/>
  <c r="F1251" i="1" a="1"/>
  <c r="F1251" i="1" s="1"/>
  <c r="E1251" i="1"/>
  <c r="E1251" i="1" a="1"/>
  <c r="D1251" i="1"/>
  <c r="C1251" i="1"/>
  <c r="B1251" i="1"/>
  <c r="A1251" i="1"/>
  <c r="F1250" i="1" a="1"/>
  <c r="F1250" i="1" s="1"/>
  <c r="E1250" i="1" a="1"/>
  <c r="E1250" i="1" s="1"/>
  <c r="D1250" i="1"/>
  <c r="C1250" i="1"/>
  <c r="B1250" i="1"/>
  <c r="A1250" i="1"/>
  <c r="F1249" i="1" a="1"/>
  <c r="F1249" i="1" s="1"/>
  <c r="E1249" i="1" a="1"/>
  <c r="E1249" i="1" s="1"/>
  <c r="D1249" i="1"/>
  <c r="C1249" i="1"/>
  <c r="B1249" i="1"/>
  <c r="A1249" i="1"/>
  <c r="F1248" i="1" a="1"/>
  <c r="F1248" i="1" s="1"/>
  <c r="E1248" i="1" a="1"/>
  <c r="E1248" i="1" s="1"/>
  <c r="D1248" i="1"/>
  <c r="C1248" i="1"/>
  <c r="B1248" i="1"/>
  <c r="A1248" i="1"/>
  <c r="F1247" i="1" a="1"/>
  <c r="F1247" i="1" s="1"/>
  <c r="E1247" i="1" a="1"/>
  <c r="E1247" i="1" s="1"/>
  <c r="D1247" i="1"/>
  <c r="C1247" i="1"/>
  <c r="B1247" i="1"/>
  <c r="A1247" i="1"/>
  <c r="F1246" i="1" a="1"/>
  <c r="F1246" i="1" s="1"/>
  <c r="E1246" i="1" a="1"/>
  <c r="E1246" i="1" s="1"/>
  <c r="D1246" i="1"/>
  <c r="C1246" i="1"/>
  <c r="B1246" i="1"/>
  <c r="A1246" i="1"/>
  <c r="F1245" i="1" a="1"/>
  <c r="F1245" i="1" s="1"/>
  <c r="E1245" i="1"/>
  <c r="E1245" i="1" a="1"/>
  <c r="D1245" i="1"/>
  <c r="C1245" i="1"/>
  <c r="B1245" i="1"/>
  <c r="A1245" i="1"/>
  <c r="F1244" i="1" a="1"/>
  <c r="F1244" i="1" s="1"/>
  <c r="E1244" i="1" a="1"/>
  <c r="E1244" i="1" s="1"/>
  <c r="D1244" i="1"/>
  <c r="C1244" i="1"/>
  <c r="B1244" i="1"/>
  <c r="A1244" i="1"/>
  <c r="F1243" i="1" a="1"/>
  <c r="F1243" i="1" s="1"/>
  <c r="E1243" i="1"/>
  <c r="E1243" i="1" a="1"/>
  <c r="D1243" i="1"/>
  <c r="C1243" i="1"/>
  <c r="B1243" i="1"/>
  <c r="A1243" i="1"/>
  <c r="F1242" i="1" a="1"/>
  <c r="F1242" i="1" s="1"/>
  <c r="E1242" i="1" a="1"/>
  <c r="E1242" i="1" s="1"/>
  <c r="D1242" i="1"/>
  <c r="C1242" i="1"/>
  <c r="B1242" i="1"/>
  <c r="A1242" i="1"/>
  <c r="F1241" i="1" a="1"/>
  <c r="F1241" i="1" s="1"/>
  <c r="E1241" i="1" a="1"/>
  <c r="E1241" i="1" s="1"/>
  <c r="D1241" i="1"/>
  <c r="C1241" i="1"/>
  <c r="B1241" i="1"/>
  <c r="A1241" i="1"/>
  <c r="F1240" i="1" a="1"/>
  <c r="F1240" i="1" s="1"/>
  <c r="E1240" i="1" a="1"/>
  <c r="E1240" i="1" s="1"/>
  <c r="D1240" i="1"/>
  <c r="C1240" i="1"/>
  <c r="B1240" i="1"/>
  <c r="A1240" i="1"/>
  <c r="F1239" i="1" a="1"/>
  <c r="F1239" i="1" s="1"/>
  <c r="E1239" i="1" a="1"/>
  <c r="E1239" i="1" s="1"/>
  <c r="D1239" i="1"/>
  <c r="C1239" i="1"/>
  <c r="B1239" i="1"/>
  <c r="A1239" i="1"/>
  <c r="F1238" i="1" a="1"/>
  <c r="F1238" i="1" s="1"/>
  <c r="E1238" i="1" a="1"/>
  <c r="E1238" i="1" s="1"/>
  <c r="D1238" i="1"/>
  <c r="C1238" i="1"/>
  <c r="B1238" i="1"/>
  <c r="A1238" i="1"/>
  <c r="F1237" i="1" a="1"/>
  <c r="F1237" i="1" s="1"/>
  <c r="E1237" i="1"/>
  <c r="E1237" i="1" a="1"/>
  <c r="D1237" i="1"/>
  <c r="C1237" i="1"/>
  <c r="B1237" i="1"/>
  <c r="A1237" i="1"/>
  <c r="F1236" i="1" a="1"/>
  <c r="F1236" i="1" s="1"/>
  <c r="E1236" i="1" a="1"/>
  <c r="E1236" i="1" s="1"/>
  <c r="D1236" i="1"/>
  <c r="C1236" i="1"/>
  <c r="B1236" i="1"/>
  <c r="A1236" i="1"/>
  <c r="F1235" i="1" a="1"/>
  <c r="F1235" i="1" s="1"/>
  <c r="E1235" i="1"/>
  <c r="E1235" i="1" a="1"/>
  <c r="D1235" i="1"/>
  <c r="C1235" i="1"/>
  <c r="B1235" i="1"/>
  <c r="A1235" i="1"/>
  <c r="F1234" i="1" a="1"/>
  <c r="F1234" i="1" s="1"/>
  <c r="E1234" i="1" a="1"/>
  <c r="E1234" i="1" s="1"/>
  <c r="D1234" i="1"/>
  <c r="C1234" i="1"/>
  <c r="B1234" i="1"/>
  <c r="A1234" i="1"/>
  <c r="F1233" i="1" a="1"/>
  <c r="F1233" i="1" s="1"/>
  <c r="E1233" i="1" a="1"/>
  <c r="E1233" i="1" s="1"/>
  <c r="D1233" i="1"/>
  <c r="C1233" i="1"/>
  <c r="B1233" i="1"/>
  <c r="A1233" i="1"/>
  <c r="F1232" i="1" a="1"/>
  <c r="F1232" i="1" s="1"/>
  <c r="E1232" i="1" a="1"/>
  <c r="E1232" i="1" s="1"/>
  <c r="D1232" i="1"/>
  <c r="C1232" i="1"/>
  <c r="B1232" i="1"/>
  <c r="A1232" i="1"/>
  <c r="F1231" i="1" a="1"/>
  <c r="F1231" i="1" s="1"/>
  <c r="E1231" i="1" a="1"/>
  <c r="E1231" i="1" s="1"/>
  <c r="D1231" i="1"/>
  <c r="C1231" i="1"/>
  <c r="B1231" i="1"/>
  <c r="A1231" i="1"/>
  <c r="F1230" i="1" a="1"/>
  <c r="F1230" i="1" s="1"/>
  <c r="E1230" i="1" a="1"/>
  <c r="E1230" i="1" s="1"/>
  <c r="D1230" i="1"/>
  <c r="C1230" i="1"/>
  <c r="B1230" i="1"/>
  <c r="A1230" i="1"/>
  <c r="F1229" i="1" a="1"/>
  <c r="F1229" i="1" s="1"/>
  <c r="E1229" i="1"/>
  <c r="E1229" i="1" a="1"/>
  <c r="D1229" i="1"/>
  <c r="C1229" i="1"/>
  <c r="B1229" i="1"/>
  <c r="A1229" i="1"/>
  <c r="F1228" i="1" a="1"/>
  <c r="F1228" i="1" s="1"/>
  <c r="E1228" i="1" a="1"/>
  <c r="E1228" i="1" s="1"/>
  <c r="D1228" i="1"/>
  <c r="C1228" i="1"/>
  <c r="B1228" i="1"/>
  <c r="A1228" i="1"/>
  <c r="F1227" i="1" a="1"/>
  <c r="F1227" i="1" s="1"/>
  <c r="E1227" i="1"/>
  <c r="E1227" i="1" a="1"/>
  <c r="D1227" i="1"/>
  <c r="C1227" i="1"/>
  <c r="B1227" i="1"/>
  <c r="A1227" i="1"/>
  <c r="F1226" i="1" a="1"/>
  <c r="F1226" i="1" s="1"/>
  <c r="E1226" i="1" a="1"/>
  <c r="E1226" i="1" s="1"/>
  <c r="D1226" i="1"/>
  <c r="C1226" i="1"/>
  <c r="B1226" i="1"/>
  <c r="A1226" i="1"/>
  <c r="F1225" i="1" a="1"/>
  <c r="F1225" i="1" s="1"/>
  <c r="E1225" i="1" a="1"/>
  <c r="E1225" i="1" s="1"/>
  <c r="D1225" i="1"/>
  <c r="C1225" i="1"/>
  <c r="B1225" i="1"/>
  <c r="A1225" i="1"/>
  <c r="F1224" i="1" a="1"/>
  <c r="F1224" i="1" s="1"/>
  <c r="E1224" i="1" a="1"/>
  <c r="E1224" i="1" s="1"/>
  <c r="D1224" i="1"/>
  <c r="C1224" i="1"/>
  <c r="B1224" i="1"/>
  <c r="A1224" i="1"/>
  <c r="F1223" i="1" a="1"/>
  <c r="F1223" i="1" s="1"/>
  <c r="E1223" i="1" a="1"/>
  <c r="E1223" i="1" s="1"/>
  <c r="D1223" i="1"/>
  <c r="C1223" i="1"/>
  <c r="B1223" i="1"/>
  <c r="A1223" i="1"/>
  <c r="F1222" i="1" a="1"/>
  <c r="F1222" i="1" s="1"/>
  <c r="E1222" i="1" a="1"/>
  <c r="E1222" i="1" s="1"/>
  <c r="D1222" i="1"/>
  <c r="C1222" i="1"/>
  <c r="B1222" i="1"/>
  <c r="A1222" i="1"/>
  <c r="F1221" i="1" a="1"/>
  <c r="F1221" i="1" s="1"/>
  <c r="E1221" i="1"/>
  <c r="E1221" i="1" a="1"/>
  <c r="D1221" i="1"/>
  <c r="C1221" i="1"/>
  <c r="B1221" i="1"/>
  <c r="A1221" i="1"/>
  <c r="F1220" i="1" a="1"/>
  <c r="F1220" i="1" s="1"/>
  <c r="E1220" i="1" a="1"/>
  <c r="E1220" i="1" s="1"/>
  <c r="D1220" i="1"/>
  <c r="C1220" i="1"/>
  <c r="B1220" i="1"/>
  <c r="A1220" i="1"/>
  <c r="F1219" i="1" a="1"/>
  <c r="F1219" i="1" s="1"/>
  <c r="E1219" i="1"/>
  <c r="E1219" i="1" a="1"/>
  <c r="D1219" i="1"/>
  <c r="C1219" i="1"/>
  <c r="B1219" i="1"/>
  <c r="A1219" i="1"/>
  <c r="F1218" i="1" a="1"/>
  <c r="F1218" i="1" s="1"/>
  <c r="E1218" i="1" a="1"/>
  <c r="E1218" i="1" s="1"/>
  <c r="D1218" i="1"/>
  <c r="C1218" i="1"/>
  <c r="B1218" i="1"/>
  <c r="A1218" i="1"/>
  <c r="F1217" i="1" a="1"/>
  <c r="F1217" i="1" s="1"/>
  <c r="E1217" i="1" a="1"/>
  <c r="E1217" i="1" s="1"/>
  <c r="D1217" i="1"/>
  <c r="C1217" i="1"/>
  <c r="B1217" i="1"/>
  <c r="A1217" i="1"/>
  <c r="F1216" i="1" a="1"/>
  <c r="F1216" i="1" s="1"/>
  <c r="E1216" i="1" a="1"/>
  <c r="E1216" i="1" s="1"/>
  <c r="D1216" i="1"/>
  <c r="C1216" i="1"/>
  <c r="B1216" i="1"/>
  <c r="A1216" i="1"/>
  <c r="F1215" i="1" a="1"/>
  <c r="F1215" i="1" s="1"/>
  <c r="E1215" i="1" a="1"/>
  <c r="E1215" i="1" s="1"/>
  <c r="D1215" i="1"/>
  <c r="C1215" i="1"/>
  <c r="B1215" i="1"/>
  <c r="A1215" i="1"/>
  <c r="F1214" i="1" a="1"/>
  <c r="F1214" i="1" s="1"/>
  <c r="E1214" i="1" a="1"/>
  <c r="E1214" i="1" s="1"/>
  <c r="D1214" i="1"/>
  <c r="C1214" i="1"/>
  <c r="B1214" i="1"/>
  <c r="A1214" i="1"/>
  <c r="F1213" i="1" a="1"/>
  <c r="F1213" i="1" s="1"/>
  <c r="E1213" i="1"/>
  <c r="E1213" i="1" a="1"/>
  <c r="D1213" i="1"/>
  <c r="C1213" i="1"/>
  <c r="B1213" i="1"/>
  <c r="A1213" i="1"/>
  <c r="F1212" i="1" a="1"/>
  <c r="F1212" i="1" s="1"/>
  <c r="E1212" i="1" a="1"/>
  <c r="E1212" i="1" s="1"/>
  <c r="D1212" i="1"/>
  <c r="C1212" i="1"/>
  <c r="B1212" i="1"/>
  <c r="A1212" i="1"/>
  <c r="F1211" i="1" a="1"/>
  <c r="F1211" i="1" s="1"/>
  <c r="E1211" i="1"/>
  <c r="E1211" i="1" a="1"/>
  <c r="D1211" i="1"/>
  <c r="C1211" i="1"/>
  <c r="B1211" i="1"/>
  <c r="A1211" i="1"/>
  <c r="F1210" i="1" a="1"/>
  <c r="F1210" i="1" s="1"/>
  <c r="E1210" i="1" a="1"/>
  <c r="E1210" i="1" s="1"/>
  <c r="D1210" i="1"/>
  <c r="C1210" i="1"/>
  <c r="B1210" i="1"/>
  <c r="A1210" i="1"/>
  <c r="F1209" i="1" a="1"/>
  <c r="F1209" i="1" s="1"/>
  <c r="E1209" i="1" a="1"/>
  <c r="E1209" i="1" s="1"/>
  <c r="D1209" i="1"/>
  <c r="C1209" i="1"/>
  <c r="B1209" i="1"/>
  <c r="A1209" i="1"/>
  <c r="F1208" i="1" a="1"/>
  <c r="F1208" i="1" s="1"/>
  <c r="E1208" i="1" a="1"/>
  <c r="E1208" i="1" s="1"/>
  <c r="D1208" i="1"/>
  <c r="C1208" i="1"/>
  <c r="B1208" i="1"/>
  <c r="A1208" i="1"/>
  <c r="F1207" i="1" a="1"/>
  <c r="F1207" i="1" s="1"/>
  <c r="E1207" i="1" a="1"/>
  <c r="E1207" i="1" s="1"/>
  <c r="D1207" i="1"/>
  <c r="C1207" i="1"/>
  <c r="B1207" i="1"/>
  <c r="A1207" i="1"/>
  <c r="F1206" i="1" a="1"/>
  <c r="F1206" i="1" s="1"/>
  <c r="E1206" i="1" a="1"/>
  <c r="E1206" i="1" s="1"/>
  <c r="D1206" i="1"/>
  <c r="C1206" i="1"/>
  <c r="B1206" i="1"/>
  <c r="A1206" i="1"/>
  <c r="F1205" i="1" a="1"/>
  <c r="F1205" i="1" s="1"/>
  <c r="E1205" i="1"/>
  <c r="E1205" i="1" a="1"/>
  <c r="D1205" i="1"/>
  <c r="C1205" i="1"/>
  <c r="B1205" i="1"/>
  <c r="A1205" i="1"/>
  <c r="F1204" i="1" a="1"/>
  <c r="F1204" i="1" s="1"/>
  <c r="E1204" i="1" a="1"/>
  <c r="E1204" i="1" s="1"/>
  <c r="D1204" i="1"/>
  <c r="C1204" i="1"/>
  <c r="B1204" i="1"/>
  <c r="A1204" i="1"/>
  <c r="F1203" i="1" a="1"/>
  <c r="F1203" i="1" s="1"/>
  <c r="E1203" i="1"/>
  <c r="E1203" i="1" a="1"/>
  <c r="D1203" i="1"/>
  <c r="C1203" i="1"/>
  <c r="B1203" i="1"/>
  <c r="A1203" i="1"/>
  <c r="F1202" i="1" a="1"/>
  <c r="F1202" i="1" s="1"/>
  <c r="E1202" i="1" a="1"/>
  <c r="E1202" i="1" s="1"/>
  <c r="D1202" i="1"/>
  <c r="C1202" i="1"/>
  <c r="B1202" i="1"/>
  <c r="A1202" i="1"/>
  <c r="F1201" i="1" a="1"/>
  <c r="F1201" i="1" s="1"/>
  <c r="E1201" i="1" a="1"/>
  <c r="E1201" i="1" s="1"/>
  <c r="D1201" i="1"/>
  <c r="C1201" i="1"/>
  <c r="B1201" i="1"/>
  <c r="A1201" i="1"/>
  <c r="F1200" i="1" a="1"/>
  <c r="F1200" i="1" s="1"/>
  <c r="E1200" i="1" a="1"/>
  <c r="E1200" i="1" s="1"/>
  <c r="D1200" i="1"/>
  <c r="C1200" i="1"/>
  <c r="B1200" i="1"/>
  <c r="A1200" i="1"/>
  <c r="F1199" i="1" a="1"/>
  <c r="F1199" i="1" s="1"/>
  <c r="E1199" i="1" a="1"/>
  <c r="E1199" i="1" s="1"/>
  <c r="D1199" i="1"/>
  <c r="C1199" i="1"/>
  <c r="B1199" i="1"/>
  <c r="A1199" i="1"/>
  <c r="F1198" i="1" a="1"/>
  <c r="F1198" i="1" s="1"/>
  <c r="E1198" i="1" a="1"/>
  <c r="E1198" i="1" s="1"/>
  <c r="D1198" i="1"/>
  <c r="C1198" i="1"/>
  <c r="B1198" i="1"/>
  <c r="A1198" i="1"/>
  <c r="F1197" i="1" a="1"/>
  <c r="F1197" i="1" s="1"/>
  <c r="E1197" i="1"/>
  <c r="E1197" i="1" a="1"/>
  <c r="D1197" i="1"/>
  <c r="C1197" i="1"/>
  <c r="B1197" i="1"/>
  <c r="A1197" i="1"/>
  <c r="F1196" i="1" a="1"/>
  <c r="F1196" i="1" s="1"/>
  <c r="E1196" i="1" a="1"/>
  <c r="E1196" i="1" s="1"/>
  <c r="D1196" i="1"/>
  <c r="C1196" i="1"/>
  <c r="B1196" i="1"/>
  <c r="A1196" i="1"/>
  <c r="F1195" i="1" a="1"/>
  <c r="F1195" i="1" s="1"/>
  <c r="E1195" i="1"/>
  <c r="E1195" i="1" a="1"/>
  <c r="D1195" i="1"/>
  <c r="C1195" i="1"/>
  <c r="B1195" i="1"/>
  <c r="A1195" i="1"/>
  <c r="F1194" i="1" a="1"/>
  <c r="F1194" i="1" s="1"/>
  <c r="E1194" i="1" a="1"/>
  <c r="E1194" i="1" s="1"/>
  <c r="D1194" i="1"/>
  <c r="C1194" i="1"/>
  <c r="B1194" i="1"/>
  <c r="A1194" i="1"/>
  <c r="F1193" i="1" a="1"/>
  <c r="F1193" i="1" s="1"/>
  <c r="E1193" i="1" a="1"/>
  <c r="E1193" i="1" s="1"/>
  <c r="D1193" i="1"/>
  <c r="C1193" i="1"/>
  <c r="B1193" i="1"/>
  <c r="A1193" i="1"/>
  <c r="F1192" i="1" a="1"/>
  <c r="F1192" i="1" s="1"/>
  <c r="E1192" i="1" a="1"/>
  <c r="E1192" i="1" s="1"/>
  <c r="D1192" i="1"/>
  <c r="C1192" i="1"/>
  <c r="B1192" i="1"/>
  <c r="A1192" i="1"/>
  <c r="F1191" i="1" a="1"/>
  <c r="F1191" i="1" s="1"/>
  <c r="E1191" i="1" a="1"/>
  <c r="E1191" i="1" s="1"/>
  <c r="D1191" i="1"/>
  <c r="C1191" i="1"/>
  <c r="B1191" i="1"/>
  <c r="A1191" i="1"/>
  <c r="F1190" i="1" a="1"/>
  <c r="F1190" i="1" s="1"/>
  <c r="E1190" i="1" a="1"/>
  <c r="E1190" i="1" s="1"/>
  <c r="D1190" i="1"/>
  <c r="C1190" i="1"/>
  <c r="B1190" i="1"/>
  <c r="A1190" i="1"/>
  <c r="F1189" i="1" a="1"/>
  <c r="F1189" i="1" s="1"/>
  <c r="E1189" i="1"/>
  <c r="E1189" i="1" a="1"/>
  <c r="D1189" i="1"/>
  <c r="C1189" i="1"/>
  <c r="B1189" i="1"/>
  <c r="A1189" i="1"/>
  <c r="F1188" i="1" a="1"/>
  <c r="F1188" i="1" s="1"/>
  <c r="E1188" i="1" a="1"/>
  <c r="E1188" i="1" s="1"/>
  <c r="D1188" i="1"/>
  <c r="C1188" i="1"/>
  <c r="B1188" i="1"/>
  <c r="A1188" i="1"/>
  <c r="F1187" i="1" a="1"/>
  <c r="F1187" i="1" s="1"/>
  <c r="E1187" i="1"/>
  <c r="E1187" i="1" a="1"/>
  <c r="D1187" i="1"/>
  <c r="C1187" i="1"/>
  <c r="B1187" i="1"/>
  <c r="A1187" i="1"/>
  <c r="F1186" i="1" a="1"/>
  <c r="F1186" i="1" s="1"/>
  <c r="E1186" i="1" a="1"/>
  <c r="E1186" i="1" s="1"/>
  <c r="D1186" i="1"/>
  <c r="C1186" i="1"/>
  <c r="B1186" i="1"/>
  <c r="A1186" i="1"/>
  <c r="F1185" i="1" a="1"/>
  <c r="F1185" i="1" s="1"/>
  <c r="E1185" i="1" a="1"/>
  <c r="E1185" i="1" s="1"/>
  <c r="D1185" i="1"/>
  <c r="C1185" i="1"/>
  <c r="B1185" i="1"/>
  <c r="A1185" i="1"/>
  <c r="F1184" i="1" a="1"/>
  <c r="F1184" i="1" s="1"/>
  <c r="E1184" i="1" a="1"/>
  <c r="E1184" i="1" s="1"/>
  <c r="D1184" i="1"/>
  <c r="C1184" i="1"/>
  <c r="B1184" i="1"/>
  <c r="A1184" i="1"/>
  <c r="F1183" i="1" a="1"/>
  <c r="F1183" i="1" s="1"/>
  <c r="E1183" i="1" a="1"/>
  <c r="E1183" i="1" s="1"/>
  <c r="D1183" i="1"/>
  <c r="C1183" i="1"/>
  <c r="B1183" i="1"/>
  <c r="A1183" i="1"/>
  <c r="F1182" i="1" a="1"/>
  <c r="F1182" i="1" s="1"/>
  <c r="E1182" i="1" a="1"/>
  <c r="E1182" i="1" s="1"/>
  <c r="D1182" i="1"/>
  <c r="C1182" i="1"/>
  <c r="B1182" i="1"/>
  <c r="A1182" i="1"/>
  <c r="F1181" i="1" a="1"/>
  <c r="F1181" i="1" s="1"/>
  <c r="E1181" i="1"/>
  <c r="E1181" i="1" a="1"/>
  <c r="D1181" i="1"/>
  <c r="C1181" i="1"/>
  <c r="B1181" i="1"/>
  <c r="A1181" i="1"/>
  <c r="F1180" i="1" a="1"/>
  <c r="F1180" i="1" s="1"/>
  <c r="E1180" i="1" a="1"/>
  <c r="E1180" i="1" s="1"/>
  <c r="D1180" i="1"/>
  <c r="C1180" i="1"/>
  <c r="B1180" i="1"/>
  <c r="A1180" i="1"/>
  <c r="F1179" i="1" a="1"/>
  <c r="F1179" i="1" s="1"/>
  <c r="E1179" i="1"/>
  <c r="E1179" i="1" a="1"/>
  <c r="D1179" i="1"/>
  <c r="C1179" i="1"/>
  <c r="B1179" i="1"/>
  <c r="A1179" i="1"/>
  <c r="F1178" i="1" a="1"/>
  <c r="F1178" i="1" s="1"/>
  <c r="E1178" i="1" a="1"/>
  <c r="E1178" i="1" s="1"/>
  <c r="D1178" i="1"/>
  <c r="C1178" i="1"/>
  <c r="B1178" i="1"/>
  <c r="A1178" i="1"/>
  <c r="F1177" i="1" a="1"/>
  <c r="F1177" i="1" s="1"/>
  <c r="E1177" i="1" a="1"/>
  <c r="E1177" i="1" s="1"/>
  <c r="D1177" i="1"/>
  <c r="C1177" i="1"/>
  <c r="B1177" i="1"/>
  <c r="A1177" i="1"/>
  <c r="F1176" i="1" a="1"/>
  <c r="F1176" i="1" s="1"/>
  <c r="E1176" i="1" a="1"/>
  <c r="E1176" i="1" s="1"/>
  <c r="D1176" i="1"/>
  <c r="C1176" i="1"/>
  <c r="B1176" i="1"/>
  <c r="A1176" i="1"/>
  <c r="F1175" i="1" a="1"/>
  <c r="F1175" i="1" s="1"/>
  <c r="E1175" i="1" a="1"/>
  <c r="E1175" i="1" s="1"/>
  <c r="D1175" i="1"/>
  <c r="C1175" i="1"/>
  <c r="B1175" i="1"/>
  <c r="A1175" i="1"/>
  <c r="F1174" i="1" a="1"/>
  <c r="F1174" i="1" s="1"/>
  <c r="E1174" i="1" a="1"/>
  <c r="E1174" i="1" s="1"/>
  <c r="D1174" i="1"/>
  <c r="C1174" i="1"/>
  <c r="B1174" i="1"/>
  <c r="A1174" i="1"/>
  <c r="F1173" i="1" a="1"/>
  <c r="F1173" i="1" s="1"/>
  <c r="E1173" i="1"/>
  <c r="E1173" i="1" a="1"/>
  <c r="D1173" i="1"/>
  <c r="C1173" i="1"/>
  <c r="B1173" i="1"/>
  <c r="A1173" i="1"/>
  <c r="F1172" i="1" a="1"/>
  <c r="F1172" i="1" s="1"/>
  <c r="E1172" i="1" a="1"/>
  <c r="E1172" i="1" s="1"/>
  <c r="D1172" i="1"/>
  <c r="C1172" i="1"/>
  <c r="B1172" i="1"/>
  <c r="A1172" i="1"/>
  <c r="F1171" i="1" a="1"/>
  <c r="F1171" i="1" s="1"/>
  <c r="E1171" i="1" a="1"/>
  <c r="E1171" i="1" s="1"/>
  <c r="D1171" i="1"/>
  <c r="C1171" i="1"/>
  <c r="B1171" i="1"/>
  <c r="A1171" i="1"/>
  <c r="F1170" i="1" a="1"/>
  <c r="F1170" i="1" s="1"/>
  <c r="E1170" i="1" a="1"/>
  <c r="E1170" i="1" s="1"/>
  <c r="D1170" i="1"/>
  <c r="C1170" i="1"/>
  <c r="B1170" i="1"/>
  <c r="A1170" i="1"/>
  <c r="F1169" i="1" a="1"/>
  <c r="F1169" i="1" s="1"/>
  <c r="E1169" i="1" a="1"/>
  <c r="E1169" i="1" s="1"/>
  <c r="D1169" i="1"/>
  <c r="C1169" i="1"/>
  <c r="B1169" i="1"/>
  <c r="A1169" i="1"/>
  <c r="F1168" i="1" a="1"/>
  <c r="F1168" i="1" s="1"/>
  <c r="E1168" i="1" a="1"/>
  <c r="E1168" i="1" s="1"/>
  <c r="D1168" i="1"/>
  <c r="C1168" i="1"/>
  <c r="B1168" i="1"/>
  <c r="A1168" i="1"/>
  <c r="F1167" i="1" a="1"/>
  <c r="F1167" i="1" s="1"/>
  <c r="E1167" i="1" a="1"/>
  <c r="E1167" i="1" s="1"/>
  <c r="D1167" i="1"/>
  <c r="C1167" i="1"/>
  <c r="B1167" i="1"/>
  <c r="A1167" i="1"/>
  <c r="F1166" i="1" a="1"/>
  <c r="F1166" i="1" s="1"/>
  <c r="E1166" i="1" a="1"/>
  <c r="E1166" i="1" s="1"/>
  <c r="D1166" i="1"/>
  <c r="C1166" i="1"/>
  <c r="B1166" i="1"/>
  <c r="A1166" i="1"/>
  <c r="F1165" i="1" a="1"/>
  <c r="F1165" i="1" s="1"/>
  <c r="E1165" i="1" a="1"/>
  <c r="E1165" i="1" s="1"/>
  <c r="D1165" i="1"/>
  <c r="C1165" i="1"/>
  <c r="B1165" i="1"/>
  <c r="A1165" i="1"/>
  <c r="F1164" i="1" a="1"/>
  <c r="F1164" i="1" s="1"/>
  <c r="E1164" i="1" a="1"/>
  <c r="E1164" i="1" s="1"/>
  <c r="D1164" i="1"/>
  <c r="C1164" i="1"/>
  <c r="B1164" i="1"/>
  <c r="A1164" i="1"/>
  <c r="F1163" i="1" a="1"/>
  <c r="F1163" i="1" s="1"/>
  <c r="E1163" i="1" a="1"/>
  <c r="E1163" i="1" s="1"/>
  <c r="D1163" i="1"/>
  <c r="C1163" i="1"/>
  <c r="B1163" i="1"/>
  <c r="A1163" i="1"/>
  <c r="F1162" i="1" a="1"/>
  <c r="F1162" i="1" s="1"/>
  <c r="E1162" i="1" a="1"/>
  <c r="E1162" i="1" s="1"/>
  <c r="D1162" i="1"/>
  <c r="C1162" i="1"/>
  <c r="B1162" i="1"/>
  <c r="A1162" i="1"/>
  <c r="F1161" i="1" a="1"/>
  <c r="F1161" i="1" s="1"/>
  <c r="E1161" i="1" a="1"/>
  <c r="E1161" i="1" s="1"/>
  <c r="D1161" i="1"/>
  <c r="C1161" i="1"/>
  <c r="B1161" i="1"/>
  <c r="A1161" i="1"/>
  <c r="F1160" i="1" a="1"/>
  <c r="F1160" i="1" s="1"/>
  <c r="E1160" i="1" a="1"/>
  <c r="E1160" i="1" s="1"/>
  <c r="D1160" i="1"/>
  <c r="C1160" i="1"/>
  <c r="B1160" i="1"/>
  <c r="A1160" i="1"/>
  <c r="F1159" i="1" a="1"/>
  <c r="F1159" i="1" s="1"/>
  <c r="E1159" i="1" a="1"/>
  <c r="E1159" i="1" s="1"/>
  <c r="D1159" i="1"/>
  <c r="C1159" i="1"/>
  <c r="B1159" i="1"/>
  <c r="A1159" i="1"/>
  <c r="F1158" i="1" a="1"/>
  <c r="F1158" i="1" s="1"/>
  <c r="E1158" i="1" a="1"/>
  <c r="E1158" i="1" s="1"/>
  <c r="D1158" i="1"/>
  <c r="C1158" i="1"/>
  <c r="B1158" i="1"/>
  <c r="A1158" i="1"/>
  <c r="F1157" i="1" a="1"/>
  <c r="F1157" i="1" s="1"/>
  <c r="E1157" i="1" a="1"/>
  <c r="E1157" i="1" s="1"/>
  <c r="D1157" i="1"/>
  <c r="C1157" i="1"/>
  <c r="B1157" i="1"/>
  <c r="A1157" i="1"/>
  <c r="F1156" i="1" a="1"/>
  <c r="F1156" i="1" s="1"/>
  <c r="E1156" i="1" a="1"/>
  <c r="E1156" i="1" s="1"/>
  <c r="D1156" i="1"/>
  <c r="C1156" i="1"/>
  <c r="B1156" i="1"/>
  <c r="A1156" i="1"/>
  <c r="F1155" i="1" a="1"/>
  <c r="F1155" i="1" s="1"/>
  <c r="E1155" i="1" a="1"/>
  <c r="E1155" i="1" s="1"/>
  <c r="D1155" i="1"/>
  <c r="C1155" i="1"/>
  <c r="B1155" i="1"/>
  <c r="A1155" i="1"/>
  <c r="F1154" i="1" a="1"/>
  <c r="F1154" i="1" s="1"/>
  <c r="E1154" i="1" a="1"/>
  <c r="E1154" i="1" s="1"/>
  <c r="D1154" i="1"/>
  <c r="C1154" i="1"/>
  <c r="B1154" i="1"/>
  <c r="A1154" i="1"/>
  <c r="F1153" i="1" a="1"/>
  <c r="F1153" i="1" s="1"/>
  <c r="E1153" i="1" a="1"/>
  <c r="E1153" i="1" s="1"/>
  <c r="D1153" i="1"/>
  <c r="C1153" i="1"/>
  <c r="B1153" i="1"/>
  <c r="A1153" i="1"/>
  <c r="F1152" i="1" a="1"/>
  <c r="F1152" i="1" s="1"/>
  <c r="E1152" i="1" a="1"/>
  <c r="E1152" i="1" s="1"/>
  <c r="D1152" i="1"/>
  <c r="C1152" i="1"/>
  <c r="B1152" i="1"/>
  <c r="A1152" i="1"/>
  <c r="F1151" i="1" a="1"/>
  <c r="F1151" i="1" s="1"/>
  <c r="E1151" i="1" a="1"/>
  <c r="E1151" i="1" s="1"/>
  <c r="D1151" i="1"/>
  <c r="C1151" i="1"/>
  <c r="B1151" i="1"/>
  <c r="A1151" i="1"/>
  <c r="F1150" i="1" a="1"/>
  <c r="F1150" i="1" s="1"/>
  <c r="E1150" i="1" a="1"/>
  <c r="E1150" i="1" s="1"/>
  <c r="D1150" i="1"/>
  <c r="C1150" i="1"/>
  <c r="B1150" i="1"/>
  <c r="A1150" i="1"/>
  <c r="F1149" i="1" a="1"/>
  <c r="F1149" i="1" s="1"/>
  <c r="E1149" i="1" a="1"/>
  <c r="E1149" i="1" s="1"/>
  <c r="D1149" i="1"/>
  <c r="C1149" i="1"/>
  <c r="B1149" i="1"/>
  <c r="A1149" i="1"/>
  <c r="F1148" i="1" a="1"/>
  <c r="F1148" i="1" s="1"/>
  <c r="E1148" i="1" a="1"/>
  <c r="E1148" i="1" s="1"/>
  <c r="D1148" i="1"/>
  <c r="C1148" i="1"/>
  <c r="B1148" i="1"/>
  <c r="A1148" i="1"/>
  <c r="F1147" i="1" a="1"/>
  <c r="F1147" i="1" s="1"/>
  <c r="E1147" i="1" a="1"/>
  <c r="E1147" i="1" s="1"/>
  <c r="D1147" i="1"/>
  <c r="C1147" i="1"/>
  <c r="B1147" i="1"/>
  <c r="A1147" i="1"/>
  <c r="F1146" i="1" a="1"/>
  <c r="F1146" i="1" s="1"/>
  <c r="E1146" i="1" a="1"/>
  <c r="E1146" i="1" s="1"/>
  <c r="D1146" i="1"/>
  <c r="C1146" i="1"/>
  <c r="B1146" i="1"/>
  <c r="A1146" i="1"/>
  <c r="F1145" i="1" a="1"/>
  <c r="F1145" i="1" s="1"/>
  <c r="E1145" i="1" a="1"/>
  <c r="E1145" i="1" s="1"/>
  <c r="D1145" i="1"/>
  <c r="C1145" i="1"/>
  <c r="B1145" i="1"/>
  <c r="A1145" i="1"/>
  <c r="F1144" i="1" a="1"/>
  <c r="F1144" i="1" s="1"/>
  <c r="E1144" i="1" a="1"/>
  <c r="E1144" i="1" s="1"/>
  <c r="D1144" i="1"/>
  <c r="C1144" i="1"/>
  <c r="B1144" i="1"/>
  <c r="A1144" i="1"/>
  <c r="F1143" i="1" a="1"/>
  <c r="F1143" i="1" s="1"/>
  <c r="E1143" i="1" a="1"/>
  <c r="E1143" i="1" s="1"/>
  <c r="D1143" i="1"/>
  <c r="C1143" i="1"/>
  <c r="B1143" i="1"/>
  <c r="A1143" i="1"/>
  <c r="F1142" i="1" a="1"/>
  <c r="F1142" i="1" s="1"/>
  <c r="E1142" i="1" a="1"/>
  <c r="E1142" i="1" s="1"/>
  <c r="D1142" i="1"/>
  <c r="C1142" i="1"/>
  <c r="B1142" i="1"/>
  <c r="A1142" i="1"/>
  <c r="F1141" i="1" a="1"/>
  <c r="F1141" i="1" s="1"/>
  <c r="E1141" i="1" a="1"/>
  <c r="E1141" i="1" s="1"/>
  <c r="D1141" i="1"/>
  <c r="C1141" i="1"/>
  <c r="B1141" i="1"/>
  <c r="A1141" i="1"/>
  <c r="F1140" i="1" a="1"/>
  <c r="F1140" i="1" s="1"/>
  <c r="E1140" i="1" a="1"/>
  <c r="E1140" i="1" s="1"/>
  <c r="D1140" i="1"/>
  <c r="C1140" i="1"/>
  <c r="B1140" i="1"/>
  <c r="A1140" i="1"/>
  <c r="F1139" i="1" a="1"/>
  <c r="F1139" i="1" s="1"/>
  <c r="E1139" i="1" a="1"/>
  <c r="E1139" i="1" s="1"/>
  <c r="D1139" i="1"/>
  <c r="C1139" i="1"/>
  <c r="B1139" i="1"/>
  <c r="A1139" i="1"/>
  <c r="F1138" i="1" a="1"/>
  <c r="F1138" i="1" s="1"/>
  <c r="E1138" i="1" a="1"/>
  <c r="E1138" i="1" s="1"/>
  <c r="D1138" i="1"/>
  <c r="C1138" i="1"/>
  <c r="B1138" i="1"/>
  <c r="A1138" i="1"/>
  <c r="F1137" i="1" a="1"/>
  <c r="F1137" i="1" s="1"/>
  <c r="E1137" i="1" a="1"/>
  <c r="E1137" i="1" s="1"/>
  <c r="D1137" i="1"/>
  <c r="C1137" i="1"/>
  <c r="B1137" i="1"/>
  <c r="A1137" i="1"/>
  <c r="F1136" i="1" a="1"/>
  <c r="F1136" i="1" s="1"/>
  <c r="E1136" i="1" a="1"/>
  <c r="E1136" i="1" s="1"/>
  <c r="D1136" i="1"/>
  <c r="C1136" i="1"/>
  <c r="B1136" i="1"/>
  <c r="A1136" i="1"/>
  <c r="F1135" i="1" a="1"/>
  <c r="F1135" i="1" s="1"/>
  <c r="E1135" i="1" a="1"/>
  <c r="E1135" i="1" s="1"/>
  <c r="D1135" i="1"/>
  <c r="C1135" i="1"/>
  <c r="B1135" i="1"/>
  <c r="A1135" i="1"/>
  <c r="F1134" i="1" a="1"/>
  <c r="F1134" i="1" s="1"/>
  <c r="E1134" i="1" a="1"/>
  <c r="E1134" i="1" s="1"/>
  <c r="D1134" i="1"/>
  <c r="C1134" i="1"/>
  <c r="B1134" i="1"/>
  <c r="A1134" i="1"/>
  <c r="F1133" i="1" a="1"/>
  <c r="F1133" i="1" s="1"/>
  <c r="E1133" i="1" a="1"/>
  <c r="E1133" i="1" s="1"/>
  <c r="D1133" i="1"/>
  <c r="C1133" i="1"/>
  <c r="B1133" i="1"/>
  <c r="A1133" i="1"/>
  <c r="F1132" i="1" a="1"/>
  <c r="F1132" i="1" s="1"/>
  <c r="E1132" i="1" a="1"/>
  <c r="E1132" i="1" s="1"/>
  <c r="D1132" i="1"/>
  <c r="C1132" i="1"/>
  <c r="B1132" i="1"/>
  <c r="A1132" i="1"/>
  <c r="F1131" i="1" a="1"/>
  <c r="F1131" i="1" s="1"/>
  <c r="E1131" i="1" a="1"/>
  <c r="E1131" i="1" s="1"/>
  <c r="D1131" i="1"/>
  <c r="C1131" i="1"/>
  <c r="B1131" i="1"/>
  <c r="A1131" i="1"/>
  <c r="F1130" i="1" a="1"/>
  <c r="F1130" i="1" s="1"/>
  <c r="E1130" i="1" a="1"/>
  <c r="E1130" i="1" s="1"/>
  <c r="D1130" i="1"/>
  <c r="C1130" i="1"/>
  <c r="B1130" i="1"/>
  <c r="A1130" i="1"/>
  <c r="F1129" i="1" a="1"/>
  <c r="F1129" i="1" s="1"/>
  <c r="E1129" i="1" a="1"/>
  <c r="E1129" i="1" s="1"/>
  <c r="D1129" i="1"/>
  <c r="C1129" i="1"/>
  <c r="B1129" i="1"/>
  <c r="A1129" i="1"/>
  <c r="F1128" i="1" a="1"/>
  <c r="F1128" i="1" s="1"/>
  <c r="E1128" i="1" a="1"/>
  <c r="E1128" i="1" s="1"/>
  <c r="D1128" i="1"/>
  <c r="C1128" i="1"/>
  <c r="B1128" i="1"/>
  <c r="A1128" i="1"/>
  <c r="F1127" i="1" a="1"/>
  <c r="F1127" i="1" s="1"/>
  <c r="E1127" i="1" a="1"/>
  <c r="E1127" i="1" s="1"/>
  <c r="D1127" i="1"/>
  <c r="C1127" i="1"/>
  <c r="B1127" i="1"/>
  <c r="A1127" i="1"/>
  <c r="F1126" i="1" a="1"/>
  <c r="F1126" i="1" s="1"/>
  <c r="E1126" i="1" a="1"/>
  <c r="E1126" i="1" s="1"/>
  <c r="D1126" i="1"/>
  <c r="C1126" i="1"/>
  <c r="B1126" i="1"/>
  <c r="A1126" i="1"/>
  <c r="F1125" i="1" a="1"/>
  <c r="F1125" i="1" s="1"/>
  <c r="E1125" i="1" a="1"/>
  <c r="E1125" i="1" s="1"/>
  <c r="D1125" i="1"/>
  <c r="C1125" i="1"/>
  <c r="B1125" i="1"/>
  <c r="A1125" i="1"/>
  <c r="F1124" i="1" a="1"/>
  <c r="F1124" i="1" s="1"/>
  <c r="E1124" i="1" a="1"/>
  <c r="E1124" i="1" s="1"/>
  <c r="D1124" i="1"/>
  <c r="C1124" i="1"/>
  <c r="B1124" i="1"/>
  <c r="A1124" i="1"/>
  <c r="F1123" i="1" a="1"/>
  <c r="F1123" i="1" s="1"/>
  <c r="E1123" i="1" a="1"/>
  <c r="E1123" i="1" s="1"/>
  <c r="D1123" i="1"/>
  <c r="C1123" i="1"/>
  <c r="B1123" i="1"/>
  <c r="A1123" i="1"/>
  <c r="F1122" i="1" a="1"/>
  <c r="F1122" i="1" s="1"/>
  <c r="E1122" i="1" a="1"/>
  <c r="E1122" i="1" s="1"/>
  <c r="D1122" i="1"/>
  <c r="C1122" i="1"/>
  <c r="B1122" i="1"/>
  <c r="A1122" i="1"/>
  <c r="F1121" i="1" a="1"/>
  <c r="F1121" i="1" s="1"/>
  <c r="E1121" i="1" a="1"/>
  <c r="E1121" i="1" s="1"/>
  <c r="D1121" i="1"/>
  <c r="C1121" i="1"/>
  <c r="B1121" i="1"/>
  <c r="A1121" i="1"/>
  <c r="F1120" i="1" a="1"/>
  <c r="F1120" i="1" s="1"/>
  <c r="E1120" i="1" a="1"/>
  <c r="E1120" i="1" s="1"/>
  <c r="D1120" i="1"/>
  <c r="C1120" i="1"/>
  <c r="B1120" i="1"/>
  <c r="A1120" i="1"/>
  <c r="F1119" i="1" a="1"/>
  <c r="F1119" i="1" s="1"/>
  <c r="E1119" i="1" a="1"/>
  <c r="E1119" i="1" s="1"/>
  <c r="D1119" i="1"/>
  <c r="C1119" i="1"/>
  <c r="B1119" i="1"/>
  <c r="A1119" i="1"/>
  <c r="F1118" i="1" a="1"/>
  <c r="F1118" i="1" s="1"/>
  <c r="E1118" i="1" a="1"/>
  <c r="E1118" i="1" s="1"/>
  <c r="D1118" i="1"/>
  <c r="C1118" i="1"/>
  <c r="B1118" i="1"/>
  <c r="A1118" i="1"/>
  <c r="F1117" i="1" a="1"/>
  <c r="F1117" i="1" s="1"/>
  <c r="E1117" i="1" a="1"/>
  <c r="E1117" i="1" s="1"/>
  <c r="D1117" i="1"/>
  <c r="C1117" i="1"/>
  <c r="B1117" i="1"/>
  <c r="A1117" i="1"/>
  <c r="F1116" i="1" a="1"/>
  <c r="F1116" i="1" s="1"/>
  <c r="E1116" i="1" a="1"/>
  <c r="E1116" i="1" s="1"/>
  <c r="D1116" i="1"/>
  <c r="C1116" i="1"/>
  <c r="B1116" i="1"/>
  <c r="A1116" i="1"/>
  <c r="F1115" i="1" a="1"/>
  <c r="F1115" i="1" s="1"/>
  <c r="E1115" i="1" a="1"/>
  <c r="E1115" i="1" s="1"/>
  <c r="D1115" i="1"/>
  <c r="C1115" i="1"/>
  <c r="B1115" i="1"/>
  <c r="A1115" i="1"/>
  <c r="F1114" i="1" a="1"/>
  <c r="F1114" i="1" s="1"/>
  <c r="E1114" i="1" a="1"/>
  <c r="E1114" i="1" s="1"/>
  <c r="D1114" i="1"/>
  <c r="C1114" i="1"/>
  <c r="B1114" i="1"/>
  <c r="A1114" i="1"/>
  <c r="F1113" i="1" a="1"/>
  <c r="F1113" i="1" s="1"/>
  <c r="E1113" i="1" a="1"/>
  <c r="E1113" i="1" s="1"/>
  <c r="D1113" i="1"/>
  <c r="C1113" i="1"/>
  <c r="B1113" i="1"/>
  <c r="A1113" i="1"/>
  <c r="F1112" i="1" a="1"/>
  <c r="F1112" i="1" s="1"/>
  <c r="E1112" i="1" a="1"/>
  <c r="E1112" i="1" s="1"/>
  <c r="D1112" i="1"/>
  <c r="C1112" i="1"/>
  <c r="B1112" i="1"/>
  <c r="A1112" i="1"/>
  <c r="F1111" i="1" a="1"/>
  <c r="F1111" i="1" s="1"/>
  <c r="E1111" i="1" a="1"/>
  <c r="E1111" i="1" s="1"/>
  <c r="D1111" i="1"/>
  <c r="C1111" i="1"/>
  <c r="B1111" i="1"/>
  <c r="A1111" i="1"/>
  <c r="F1110" i="1" a="1"/>
  <c r="F1110" i="1" s="1"/>
  <c r="E1110" i="1" a="1"/>
  <c r="E1110" i="1" s="1"/>
  <c r="D1110" i="1"/>
  <c r="C1110" i="1"/>
  <c r="B1110" i="1"/>
  <c r="A1110" i="1"/>
  <c r="F1109" i="1" a="1"/>
  <c r="F1109" i="1" s="1"/>
  <c r="E1109" i="1" a="1"/>
  <c r="E1109" i="1" s="1"/>
  <c r="D1109" i="1"/>
  <c r="C1109" i="1"/>
  <c r="B1109" i="1"/>
  <c r="A1109" i="1"/>
  <c r="F1108" i="1" a="1"/>
  <c r="F1108" i="1" s="1"/>
  <c r="E1108" i="1" a="1"/>
  <c r="E1108" i="1" s="1"/>
  <c r="D1108" i="1"/>
  <c r="C1108" i="1"/>
  <c r="B1108" i="1"/>
  <c r="A1108" i="1"/>
  <c r="F1107" i="1" a="1"/>
  <c r="F1107" i="1" s="1"/>
  <c r="E1107" i="1" a="1"/>
  <c r="E1107" i="1" s="1"/>
  <c r="D1107" i="1"/>
  <c r="C1107" i="1"/>
  <c r="B1107" i="1"/>
  <c r="A1107" i="1"/>
  <c r="F1106" i="1" a="1"/>
  <c r="F1106" i="1" s="1"/>
  <c r="E1106" i="1" a="1"/>
  <c r="E1106" i="1" s="1"/>
  <c r="D1106" i="1"/>
  <c r="C1106" i="1"/>
  <c r="B1106" i="1"/>
  <c r="A1106" i="1"/>
  <c r="F1105" i="1" a="1"/>
  <c r="F1105" i="1" s="1"/>
  <c r="E1105" i="1" a="1"/>
  <c r="E1105" i="1" s="1"/>
  <c r="D1105" i="1"/>
  <c r="C1105" i="1"/>
  <c r="B1105" i="1"/>
  <c r="A1105" i="1"/>
  <c r="F1104" i="1" a="1"/>
  <c r="F1104" i="1" s="1"/>
  <c r="E1104" i="1" a="1"/>
  <c r="E1104" i="1" s="1"/>
  <c r="D1104" i="1"/>
  <c r="C1104" i="1"/>
  <c r="B1104" i="1"/>
  <c r="A1104" i="1"/>
  <c r="F1103" i="1" a="1"/>
  <c r="F1103" i="1" s="1"/>
  <c r="E1103" i="1" a="1"/>
  <c r="E1103" i="1" s="1"/>
  <c r="D1103" i="1"/>
  <c r="C1103" i="1"/>
  <c r="B1103" i="1"/>
  <c r="A1103" i="1"/>
  <c r="F1102" i="1" a="1"/>
  <c r="F1102" i="1" s="1"/>
  <c r="E1102" i="1" a="1"/>
  <c r="E1102" i="1" s="1"/>
  <c r="D1102" i="1"/>
  <c r="C1102" i="1"/>
  <c r="B1102" i="1"/>
  <c r="A1102" i="1"/>
  <c r="F1101" i="1" a="1"/>
  <c r="F1101" i="1" s="1"/>
  <c r="E1101" i="1" a="1"/>
  <c r="E1101" i="1" s="1"/>
  <c r="D1101" i="1"/>
  <c r="C1101" i="1"/>
  <c r="B1101" i="1"/>
  <c r="A1101" i="1"/>
  <c r="F1100" i="1" a="1"/>
  <c r="F1100" i="1" s="1"/>
  <c r="E1100" i="1" a="1"/>
  <c r="E1100" i="1" s="1"/>
  <c r="D1100" i="1"/>
  <c r="C1100" i="1"/>
  <c r="B1100" i="1"/>
  <c r="A1100" i="1"/>
  <c r="F1099" i="1" a="1"/>
  <c r="F1099" i="1" s="1"/>
  <c r="E1099" i="1" a="1"/>
  <c r="E1099" i="1" s="1"/>
  <c r="D1099" i="1"/>
  <c r="C1099" i="1"/>
  <c r="B1099" i="1"/>
  <c r="A1099" i="1"/>
  <c r="F1098" i="1" a="1"/>
  <c r="F1098" i="1" s="1"/>
  <c r="E1098" i="1" a="1"/>
  <c r="E1098" i="1" s="1"/>
  <c r="D1098" i="1"/>
  <c r="C1098" i="1"/>
  <c r="B1098" i="1"/>
  <c r="A1098" i="1"/>
  <c r="F1097" i="1" a="1"/>
  <c r="F1097" i="1" s="1"/>
  <c r="E1097" i="1" a="1"/>
  <c r="E1097" i="1" s="1"/>
  <c r="D1097" i="1"/>
  <c r="C1097" i="1"/>
  <c r="B1097" i="1"/>
  <c r="A1097" i="1"/>
  <c r="F1096" i="1" a="1"/>
  <c r="F1096" i="1" s="1"/>
  <c r="E1096" i="1" a="1"/>
  <c r="E1096" i="1" s="1"/>
  <c r="D1096" i="1"/>
  <c r="C1096" i="1"/>
  <c r="B1096" i="1"/>
  <c r="A1096" i="1"/>
  <c r="F1095" i="1" a="1"/>
  <c r="F1095" i="1" s="1"/>
  <c r="E1095" i="1" a="1"/>
  <c r="E1095" i="1" s="1"/>
  <c r="D1095" i="1"/>
  <c r="C1095" i="1"/>
  <c r="B1095" i="1"/>
  <c r="A1095" i="1"/>
  <c r="F1094" i="1" a="1"/>
  <c r="F1094" i="1" s="1"/>
  <c r="E1094" i="1" a="1"/>
  <c r="E1094" i="1" s="1"/>
  <c r="D1094" i="1"/>
  <c r="C1094" i="1"/>
  <c r="B1094" i="1"/>
  <c r="A1094" i="1"/>
  <c r="F1093" i="1" a="1"/>
  <c r="F1093" i="1" s="1"/>
  <c r="E1093" i="1" a="1"/>
  <c r="E1093" i="1" s="1"/>
  <c r="D1093" i="1"/>
  <c r="C1093" i="1"/>
  <c r="B1093" i="1"/>
  <c r="A1093" i="1"/>
  <c r="F1092" i="1" a="1"/>
  <c r="F1092" i="1" s="1"/>
  <c r="E1092" i="1" a="1"/>
  <c r="E1092" i="1" s="1"/>
  <c r="D1092" i="1"/>
  <c r="C1092" i="1"/>
  <c r="B1092" i="1"/>
  <c r="A1092" i="1"/>
  <c r="F1091" i="1" a="1"/>
  <c r="F1091" i="1" s="1"/>
  <c r="E1091" i="1" a="1"/>
  <c r="E1091" i="1" s="1"/>
  <c r="D1091" i="1"/>
  <c r="C1091" i="1"/>
  <c r="B1091" i="1"/>
  <c r="A1091" i="1"/>
  <c r="F1090" i="1" a="1"/>
  <c r="F1090" i="1" s="1"/>
  <c r="E1090" i="1" a="1"/>
  <c r="E1090" i="1" s="1"/>
  <c r="D1090" i="1"/>
  <c r="C1090" i="1"/>
  <c r="B1090" i="1"/>
  <c r="A1090" i="1"/>
  <c r="F1089" i="1" a="1"/>
  <c r="F1089" i="1" s="1"/>
  <c r="E1089" i="1" a="1"/>
  <c r="E1089" i="1" s="1"/>
  <c r="D1089" i="1"/>
  <c r="C1089" i="1"/>
  <c r="B1089" i="1"/>
  <c r="A1089" i="1"/>
  <c r="F1088" i="1" a="1"/>
  <c r="F1088" i="1" s="1"/>
  <c r="E1088" i="1" a="1"/>
  <c r="E1088" i="1" s="1"/>
  <c r="D1088" i="1"/>
  <c r="C1088" i="1"/>
  <c r="B1088" i="1"/>
  <c r="A1088" i="1"/>
  <c r="F1087" i="1" a="1"/>
  <c r="F1087" i="1" s="1"/>
  <c r="E1087" i="1" a="1"/>
  <c r="E1087" i="1" s="1"/>
  <c r="D1087" i="1"/>
  <c r="C1087" i="1"/>
  <c r="B1087" i="1"/>
  <c r="A1087" i="1"/>
  <c r="F1086" i="1" a="1"/>
  <c r="F1086" i="1" s="1"/>
  <c r="E1086" i="1" a="1"/>
  <c r="E1086" i="1" s="1"/>
  <c r="D1086" i="1"/>
  <c r="C1086" i="1"/>
  <c r="B1086" i="1"/>
  <c r="A1086" i="1"/>
  <c r="F1085" i="1" a="1"/>
  <c r="F1085" i="1" s="1"/>
  <c r="E1085" i="1" a="1"/>
  <c r="E1085" i="1" s="1"/>
  <c r="D1085" i="1"/>
  <c r="C1085" i="1"/>
  <c r="B1085" i="1"/>
  <c r="A1085" i="1"/>
  <c r="F1084" i="1" a="1"/>
  <c r="F1084" i="1" s="1"/>
  <c r="E1084" i="1" a="1"/>
  <c r="E1084" i="1" s="1"/>
  <c r="D1084" i="1"/>
  <c r="C1084" i="1"/>
  <c r="B1084" i="1"/>
  <c r="A1084" i="1"/>
  <c r="F1083" i="1" a="1"/>
  <c r="F1083" i="1" s="1"/>
  <c r="E1083" i="1" a="1"/>
  <c r="E1083" i="1" s="1"/>
  <c r="D1083" i="1"/>
  <c r="C1083" i="1"/>
  <c r="B1083" i="1"/>
  <c r="A1083" i="1"/>
  <c r="F1082" i="1" a="1"/>
  <c r="F1082" i="1" s="1"/>
  <c r="E1082" i="1" a="1"/>
  <c r="E1082" i="1" s="1"/>
  <c r="D1082" i="1"/>
  <c r="C1082" i="1"/>
  <c r="B1082" i="1"/>
  <c r="A1082" i="1"/>
  <c r="F1081" i="1" a="1"/>
  <c r="F1081" i="1" s="1"/>
  <c r="E1081" i="1" a="1"/>
  <c r="E1081" i="1" s="1"/>
  <c r="D1081" i="1"/>
  <c r="C1081" i="1"/>
  <c r="B1081" i="1"/>
  <c r="A1081" i="1"/>
  <c r="F1080" i="1" a="1"/>
  <c r="F1080" i="1" s="1"/>
  <c r="E1080" i="1" a="1"/>
  <c r="E1080" i="1" s="1"/>
  <c r="D1080" i="1"/>
  <c r="C1080" i="1"/>
  <c r="B1080" i="1"/>
  <c r="A1080" i="1"/>
  <c r="F1079" i="1" a="1"/>
  <c r="F1079" i="1" s="1"/>
  <c r="E1079" i="1" a="1"/>
  <c r="E1079" i="1" s="1"/>
  <c r="D1079" i="1"/>
  <c r="C1079" i="1"/>
  <c r="B1079" i="1"/>
  <c r="A1079" i="1"/>
  <c r="F1078" i="1" a="1"/>
  <c r="F1078" i="1" s="1"/>
  <c r="E1078" i="1" a="1"/>
  <c r="E1078" i="1" s="1"/>
  <c r="D1078" i="1"/>
  <c r="C1078" i="1"/>
  <c r="B1078" i="1"/>
  <c r="A1078" i="1"/>
  <c r="F1077" i="1" a="1"/>
  <c r="F1077" i="1" s="1"/>
  <c r="E1077" i="1" a="1"/>
  <c r="E1077" i="1" s="1"/>
  <c r="D1077" i="1"/>
  <c r="C1077" i="1"/>
  <c r="B1077" i="1"/>
  <c r="A1077" i="1"/>
  <c r="F1076" i="1" a="1"/>
  <c r="F1076" i="1" s="1"/>
  <c r="E1076" i="1" a="1"/>
  <c r="E1076" i="1" s="1"/>
  <c r="D1076" i="1"/>
  <c r="C1076" i="1"/>
  <c r="B1076" i="1"/>
  <c r="A1076" i="1"/>
  <c r="F1075" i="1" a="1"/>
  <c r="F1075" i="1" s="1"/>
  <c r="E1075" i="1" a="1"/>
  <c r="E1075" i="1" s="1"/>
  <c r="D1075" i="1"/>
  <c r="C1075" i="1"/>
  <c r="B1075" i="1"/>
  <c r="A1075" i="1"/>
  <c r="F1074" i="1" a="1"/>
  <c r="F1074" i="1" s="1"/>
  <c r="E1074" i="1" a="1"/>
  <c r="E1074" i="1" s="1"/>
  <c r="D1074" i="1"/>
  <c r="C1074" i="1"/>
  <c r="B1074" i="1"/>
  <c r="A1074" i="1"/>
  <c r="F1073" i="1" a="1"/>
  <c r="F1073" i="1" s="1"/>
  <c r="E1073" i="1" a="1"/>
  <c r="E1073" i="1" s="1"/>
  <c r="D1073" i="1"/>
  <c r="C1073" i="1"/>
  <c r="B1073" i="1"/>
  <c r="A1073" i="1"/>
  <c r="F1072" i="1" a="1"/>
  <c r="F1072" i="1" s="1"/>
  <c r="E1072" i="1" a="1"/>
  <c r="E1072" i="1" s="1"/>
  <c r="D1072" i="1"/>
  <c r="C1072" i="1"/>
  <c r="B1072" i="1"/>
  <c r="A1072" i="1"/>
  <c r="F1071" i="1" a="1"/>
  <c r="F1071" i="1" s="1"/>
  <c r="E1071" i="1" a="1"/>
  <c r="E1071" i="1" s="1"/>
  <c r="D1071" i="1"/>
  <c r="C1071" i="1"/>
  <c r="B1071" i="1"/>
  <c r="A1071" i="1"/>
  <c r="F1070" i="1" a="1"/>
  <c r="F1070" i="1" s="1"/>
  <c r="E1070" i="1" a="1"/>
  <c r="E1070" i="1" s="1"/>
  <c r="D1070" i="1"/>
  <c r="C1070" i="1"/>
  <c r="B1070" i="1"/>
  <c r="A1070" i="1"/>
  <c r="F1069" i="1" a="1"/>
  <c r="F1069" i="1" s="1"/>
  <c r="E1069" i="1" a="1"/>
  <c r="E1069" i="1" s="1"/>
  <c r="D1069" i="1"/>
  <c r="C1069" i="1"/>
  <c r="B1069" i="1"/>
  <c r="A1069" i="1"/>
  <c r="F1068" i="1" a="1"/>
  <c r="F1068" i="1" s="1"/>
  <c r="E1068" i="1" a="1"/>
  <c r="E1068" i="1" s="1"/>
  <c r="D1068" i="1"/>
  <c r="C1068" i="1"/>
  <c r="B1068" i="1"/>
  <c r="A1068" i="1"/>
  <c r="F1067" i="1" a="1"/>
  <c r="F1067" i="1" s="1"/>
  <c r="E1067" i="1" a="1"/>
  <c r="E1067" i="1" s="1"/>
  <c r="D1067" i="1"/>
  <c r="C1067" i="1"/>
  <c r="B1067" i="1"/>
  <c r="A1067" i="1"/>
  <c r="F1066" i="1" a="1"/>
  <c r="F1066" i="1" s="1"/>
  <c r="E1066" i="1" a="1"/>
  <c r="E1066" i="1" s="1"/>
  <c r="D1066" i="1"/>
  <c r="C1066" i="1"/>
  <c r="B1066" i="1"/>
  <c r="A1066" i="1"/>
  <c r="F1065" i="1" a="1"/>
  <c r="F1065" i="1" s="1"/>
  <c r="E1065" i="1" a="1"/>
  <c r="E1065" i="1" s="1"/>
  <c r="D1065" i="1"/>
  <c r="C1065" i="1"/>
  <c r="B1065" i="1"/>
  <c r="A1065" i="1"/>
  <c r="F1064" i="1" a="1"/>
  <c r="F1064" i="1" s="1"/>
  <c r="E1064" i="1" a="1"/>
  <c r="E1064" i="1" s="1"/>
  <c r="D1064" i="1"/>
  <c r="C1064" i="1"/>
  <c r="B1064" i="1"/>
  <c r="A1064" i="1"/>
  <c r="F1063" i="1" a="1"/>
  <c r="F1063" i="1" s="1"/>
  <c r="E1063" i="1" a="1"/>
  <c r="E1063" i="1" s="1"/>
  <c r="D1063" i="1"/>
  <c r="C1063" i="1"/>
  <c r="B1063" i="1"/>
  <c r="A1063" i="1"/>
  <c r="F1062" i="1" a="1"/>
  <c r="F1062" i="1" s="1"/>
  <c r="E1062" i="1" a="1"/>
  <c r="E1062" i="1" s="1"/>
  <c r="D1062" i="1"/>
  <c r="C1062" i="1"/>
  <c r="B1062" i="1"/>
  <c r="A1062" i="1"/>
  <c r="F1061" i="1" a="1"/>
  <c r="F1061" i="1" s="1"/>
  <c r="E1061" i="1" a="1"/>
  <c r="E1061" i="1" s="1"/>
  <c r="D1061" i="1"/>
  <c r="C1061" i="1"/>
  <c r="B1061" i="1"/>
  <c r="A1061" i="1"/>
  <c r="F1060" i="1" a="1"/>
  <c r="F1060" i="1" s="1"/>
  <c r="E1060" i="1" a="1"/>
  <c r="E1060" i="1" s="1"/>
  <c r="D1060" i="1"/>
  <c r="C1060" i="1"/>
  <c r="B1060" i="1"/>
  <c r="A1060" i="1"/>
  <c r="F1059" i="1" a="1"/>
  <c r="F1059" i="1" s="1"/>
  <c r="E1059" i="1" a="1"/>
  <c r="E1059" i="1" s="1"/>
  <c r="D1059" i="1"/>
  <c r="C1059" i="1"/>
  <c r="B1059" i="1"/>
  <c r="A1059" i="1"/>
  <c r="F1058" i="1" a="1"/>
  <c r="F1058" i="1" s="1"/>
  <c r="E1058" i="1" a="1"/>
  <c r="E1058" i="1" s="1"/>
  <c r="D1058" i="1"/>
  <c r="C1058" i="1"/>
  <c r="B1058" i="1"/>
  <c r="A1058" i="1"/>
  <c r="F1057" i="1" a="1"/>
  <c r="F1057" i="1" s="1"/>
  <c r="E1057" i="1" a="1"/>
  <c r="E1057" i="1" s="1"/>
  <c r="D1057" i="1"/>
  <c r="C1057" i="1"/>
  <c r="B1057" i="1"/>
  <c r="A1057" i="1"/>
  <c r="F1056" i="1" a="1"/>
  <c r="F1056" i="1" s="1"/>
  <c r="E1056" i="1" a="1"/>
  <c r="E1056" i="1" s="1"/>
  <c r="D1056" i="1"/>
  <c r="C1056" i="1"/>
  <c r="B1056" i="1"/>
  <c r="A1056" i="1"/>
  <c r="F1055" i="1" a="1"/>
  <c r="F1055" i="1" s="1"/>
  <c r="E1055" i="1" a="1"/>
  <c r="E1055" i="1" s="1"/>
  <c r="D1055" i="1"/>
  <c r="C1055" i="1"/>
  <c r="B1055" i="1"/>
  <c r="A1055" i="1"/>
  <c r="F1054" i="1" a="1"/>
  <c r="F1054" i="1" s="1"/>
  <c r="E1054" i="1" a="1"/>
  <c r="E1054" i="1" s="1"/>
  <c r="D1054" i="1"/>
  <c r="C1054" i="1"/>
  <c r="B1054" i="1"/>
  <c r="A1054" i="1"/>
  <c r="F1053" i="1" a="1"/>
  <c r="F1053" i="1" s="1"/>
  <c r="E1053" i="1" a="1"/>
  <c r="E1053" i="1" s="1"/>
  <c r="D1053" i="1"/>
  <c r="C1053" i="1"/>
  <c r="B1053" i="1"/>
  <c r="A1053" i="1"/>
  <c r="F1052" i="1" a="1"/>
  <c r="F1052" i="1" s="1"/>
  <c r="E1052" i="1" a="1"/>
  <c r="E1052" i="1" s="1"/>
  <c r="D1052" i="1"/>
  <c r="C1052" i="1"/>
  <c r="B1052" i="1"/>
  <c r="A1052" i="1"/>
  <c r="F1051" i="1" a="1"/>
  <c r="F1051" i="1" s="1"/>
  <c r="E1051" i="1" a="1"/>
  <c r="E1051" i="1" s="1"/>
  <c r="D1051" i="1"/>
  <c r="C1051" i="1"/>
  <c r="B1051" i="1"/>
  <c r="A1051" i="1"/>
  <c r="F1050" i="1" a="1"/>
  <c r="F1050" i="1" s="1"/>
  <c r="E1050" i="1" a="1"/>
  <c r="E1050" i="1" s="1"/>
  <c r="D1050" i="1"/>
  <c r="C1050" i="1"/>
  <c r="B1050" i="1"/>
  <c r="A1050" i="1"/>
  <c r="F1049" i="1" a="1"/>
  <c r="F1049" i="1" s="1"/>
  <c r="E1049" i="1" a="1"/>
  <c r="E1049" i="1" s="1"/>
  <c r="D1049" i="1"/>
  <c r="C1049" i="1"/>
  <c r="B1049" i="1"/>
  <c r="A1049" i="1"/>
  <c r="F1048" i="1" a="1"/>
  <c r="F1048" i="1" s="1"/>
  <c r="E1048" i="1" a="1"/>
  <c r="E1048" i="1" s="1"/>
  <c r="D1048" i="1"/>
  <c r="C1048" i="1"/>
  <c r="B1048" i="1"/>
  <c r="A1048" i="1"/>
  <c r="F1047" i="1" a="1"/>
  <c r="F1047" i="1" s="1"/>
  <c r="E1047" i="1" a="1"/>
  <c r="E1047" i="1" s="1"/>
  <c r="D1047" i="1"/>
  <c r="C1047" i="1"/>
  <c r="B1047" i="1"/>
  <c r="A1047" i="1"/>
  <c r="F1046" i="1" a="1"/>
  <c r="F1046" i="1" s="1"/>
  <c r="E1046" i="1" a="1"/>
  <c r="E1046" i="1" s="1"/>
  <c r="D1046" i="1"/>
  <c r="C1046" i="1"/>
  <c r="B1046" i="1"/>
  <c r="A1046" i="1"/>
  <c r="F1045" i="1" a="1"/>
  <c r="F1045" i="1" s="1"/>
  <c r="E1045" i="1" a="1"/>
  <c r="E1045" i="1" s="1"/>
  <c r="D1045" i="1"/>
  <c r="C1045" i="1"/>
  <c r="B1045" i="1"/>
  <c r="A1045" i="1"/>
  <c r="F1044" i="1" a="1"/>
  <c r="F1044" i="1" s="1"/>
  <c r="E1044" i="1" a="1"/>
  <c r="E1044" i="1" s="1"/>
  <c r="D1044" i="1"/>
  <c r="C1044" i="1"/>
  <c r="B1044" i="1"/>
  <c r="A1044" i="1"/>
  <c r="F1043" i="1" a="1"/>
  <c r="F1043" i="1" s="1"/>
  <c r="E1043" i="1" a="1"/>
  <c r="E1043" i="1" s="1"/>
  <c r="D1043" i="1"/>
  <c r="C1043" i="1"/>
  <c r="B1043" i="1"/>
  <c r="A1043" i="1"/>
  <c r="F1042" i="1" a="1"/>
  <c r="F1042" i="1" s="1"/>
  <c r="E1042" i="1" a="1"/>
  <c r="E1042" i="1" s="1"/>
  <c r="D1042" i="1"/>
  <c r="C1042" i="1"/>
  <c r="B1042" i="1"/>
  <c r="A1042" i="1"/>
  <c r="F1041" i="1" a="1"/>
  <c r="F1041" i="1" s="1"/>
  <c r="E1041" i="1" a="1"/>
  <c r="E1041" i="1" s="1"/>
  <c r="D1041" i="1"/>
  <c r="C1041" i="1"/>
  <c r="B1041" i="1"/>
  <c r="A1041" i="1"/>
  <c r="F1040" i="1" a="1"/>
  <c r="F1040" i="1" s="1"/>
  <c r="E1040" i="1" a="1"/>
  <c r="E1040" i="1" s="1"/>
  <c r="D1040" i="1"/>
  <c r="C1040" i="1"/>
  <c r="B1040" i="1"/>
  <c r="A1040" i="1"/>
  <c r="F1039" i="1" a="1"/>
  <c r="F1039" i="1" s="1"/>
  <c r="E1039" i="1" a="1"/>
  <c r="E1039" i="1" s="1"/>
  <c r="D1039" i="1"/>
  <c r="C1039" i="1"/>
  <c r="B1039" i="1"/>
  <c r="A1039" i="1"/>
  <c r="F1038" i="1" a="1"/>
  <c r="F1038" i="1" s="1"/>
  <c r="E1038" i="1" a="1"/>
  <c r="E1038" i="1" s="1"/>
  <c r="D1038" i="1"/>
  <c r="C1038" i="1"/>
  <c r="B1038" i="1"/>
  <c r="A1038" i="1"/>
  <c r="F1037" i="1" a="1"/>
  <c r="F1037" i="1" s="1"/>
  <c r="E1037" i="1" a="1"/>
  <c r="E1037" i="1" s="1"/>
  <c r="D1037" i="1"/>
  <c r="C1037" i="1"/>
  <c r="B1037" i="1"/>
  <c r="A1037" i="1"/>
  <c r="F1036" i="1" a="1"/>
  <c r="F1036" i="1" s="1"/>
  <c r="E1036" i="1" a="1"/>
  <c r="E1036" i="1" s="1"/>
  <c r="D1036" i="1"/>
  <c r="C1036" i="1"/>
  <c r="B1036" i="1"/>
  <c r="A1036" i="1"/>
  <c r="F1035" i="1" a="1"/>
  <c r="F1035" i="1" s="1"/>
  <c r="E1035" i="1" a="1"/>
  <c r="E1035" i="1" s="1"/>
  <c r="D1035" i="1"/>
  <c r="C1035" i="1"/>
  <c r="B1035" i="1"/>
  <c r="A1035" i="1"/>
  <c r="F1034" i="1" a="1"/>
  <c r="F1034" i="1" s="1"/>
  <c r="E1034" i="1" a="1"/>
  <c r="E1034" i="1" s="1"/>
  <c r="D1034" i="1"/>
  <c r="C1034" i="1"/>
  <c r="B1034" i="1"/>
  <c r="A1034" i="1"/>
  <c r="F1033" i="1" a="1"/>
  <c r="F1033" i="1" s="1"/>
  <c r="E1033" i="1" a="1"/>
  <c r="E1033" i="1" s="1"/>
  <c r="D1033" i="1"/>
  <c r="C1033" i="1"/>
  <c r="B1033" i="1"/>
  <c r="A1033" i="1"/>
  <c r="F1032" i="1" a="1"/>
  <c r="F1032" i="1" s="1"/>
  <c r="E1032" i="1" a="1"/>
  <c r="E1032" i="1" s="1"/>
  <c r="D1032" i="1"/>
  <c r="C1032" i="1"/>
  <c r="B1032" i="1"/>
  <c r="A1032" i="1"/>
  <c r="F1031" i="1" a="1"/>
  <c r="F1031" i="1" s="1"/>
  <c r="E1031" i="1" a="1"/>
  <c r="E1031" i="1" s="1"/>
  <c r="D1031" i="1"/>
  <c r="C1031" i="1"/>
  <c r="B1031" i="1"/>
  <c r="A1031" i="1"/>
  <c r="F1030" i="1" a="1"/>
  <c r="F1030" i="1" s="1"/>
  <c r="E1030" i="1" a="1"/>
  <c r="E1030" i="1" s="1"/>
  <c r="D1030" i="1"/>
  <c r="C1030" i="1"/>
  <c r="B1030" i="1"/>
  <c r="A1030" i="1"/>
  <c r="F1029" i="1" a="1"/>
  <c r="F1029" i="1" s="1"/>
  <c r="E1029" i="1" a="1"/>
  <c r="E1029" i="1" s="1"/>
  <c r="D1029" i="1"/>
  <c r="C1029" i="1"/>
  <c r="B1029" i="1"/>
  <c r="A1029" i="1"/>
  <c r="F1028" i="1" a="1"/>
  <c r="F1028" i="1" s="1"/>
  <c r="E1028" i="1" a="1"/>
  <c r="E1028" i="1" s="1"/>
  <c r="D1028" i="1"/>
  <c r="C1028" i="1"/>
  <c r="B1028" i="1"/>
  <c r="A1028" i="1"/>
  <c r="F1027" i="1" a="1"/>
  <c r="F1027" i="1" s="1"/>
  <c r="E1027" i="1" a="1"/>
  <c r="E1027" i="1" s="1"/>
  <c r="D1027" i="1"/>
  <c r="C1027" i="1"/>
  <c r="B1027" i="1"/>
  <c r="A1027" i="1"/>
  <c r="F1026" i="1" a="1"/>
  <c r="F1026" i="1" s="1"/>
  <c r="E1026" i="1" a="1"/>
  <c r="E1026" i="1" s="1"/>
  <c r="D1026" i="1"/>
  <c r="C1026" i="1"/>
  <c r="B1026" i="1"/>
  <c r="A1026" i="1"/>
  <c r="F1025" i="1" a="1"/>
  <c r="F1025" i="1" s="1"/>
  <c r="E1025" i="1" a="1"/>
  <c r="E1025" i="1" s="1"/>
  <c r="D1025" i="1"/>
  <c r="C1025" i="1"/>
  <c r="B1025" i="1"/>
  <c r="A1025" i="1"/>
  <c r="F1024" i="1" a="1"/>
  <c r="F1024" i="1" s="1"/>
  <c r="E1024" i="1" a="1"/>
  <c r="E1024" i="1" s="1"/>
  <c r="D1024" i="1"/>
  <c r="C1024" i="1"/>
  <c r="B1024" i="1"/>
  <c r="A1024" i="1"/>
  <c r="F1023" i="1" a="1"/>
  <c r="F1023" i="1" s="1"/>
  <c r="E1023" i="1" a="1"/>
  <c r="E1023" i="1" s="1"/>
  <c r="D1023" i="1"/>
  <c r="C1023" i="1"/>
  <c r="B1023" i="1"/>
  <c r="A1023" i="1"/>
  <c r="F1022" i="1" a="1"/>
  <c r="F1022" i="1" s="1"/>
  <c r="E1022" i="1" a="1"/>
  <c r="E1022" i="1" s="1"/>
  <c r="D1022" i="1"/>
  <c r="C1022" i="1"/>
  <c r="B1022" i="1"/>
  <c r="A1022" i="1"/>
  <c r="F1021" i="1" a="1"/>
  <c r="F1021" i="1" s="1"/>
  <c r="E1021" i="1" a="1"/>
  <c r="E1021" i="1" s="1"/>
  <c r="D1021" i="1"/>
  <c r="C1021" i="1"/>
  <c r="B1021" i="1"/>
  <c r="A1021" i="1"/>
  <c r="F1020" i="1" a="1"/>
  <c r="F1020" i="1" s="1"/>
  <c r="E1020" i="1" a="1"/>
  <c r="E1020" i="1" s="1"/>
  <c r="D1020" i="1"/>
  <c r="C1020" i="1"/>
  <c r="B1020" i="1"/>
  <c r="A1020" i="1"/>
  <c r="F1019" i="1" a="1"/>
  <c r="F1019" i="1" s="1"/>
  <c r="E1019" i="1" a="1"/>
  <c r="E1019" i="1" s="1"/>
  <c r="D1019" i="1"/>
  <c r="C1019" i="1"/>
  <c r="B1019" i="1"/>
  <c r="A1019" i="1"/>
  <c r="F1018" i="1" a="1"/>
  <c r="F1018" i="1" s="1"/>
  <c r="E1018" i="1" a="1"/>
  <c r="E1018" i="1" s="1"/>
  <c r="D1018" i="1"/>
  <c r="C1018" i="1"/>
  <c r="B1018" i="1"/>
  <c r="A1018" i="1"/>
  <c r="F1017" i="1" a="1"/>
  <c r="F1017" i="1" s="1"/>
  <c r="E1017" i="1" a="1"/>
  <c r="E1017" i="1" s="1"/>
  <c r="D1017" i="1"/>
  <c r="C1017" i="1"/>
  <c r="B1017" i="1"/>
  <c r="A1017" i="1"/>
  <c r="F1016" i="1" a="1"/>
  <c r="F1016" i="1" s="1"/>
  <c r="E1016" i="1" a="1"/>
  <c r="E1016" i="1" s="1"/>
  <c r="D1016" i="1"/>
  <c r="C1016" i="1"/>
  <c r="B1016" i="1"/>
  <c r="A1016" i="1"/>
  <c r="F1015" i="1" a="1"/>
  <c r="F1015" i="1" s="1"/>
  <c r="E1015" i="1" a="1"/>
  <c r="E1015" i="1" s="1"/>
  <c r="D1015" i="1"/>
  <c r="C1015" i="1"/>
  <c r="B1015" i="1"/>
  <c r="A1015" i="1"/>
  <c r="F1014" i="1" a="1"/>
  <c r="F1014" i="1" s="1"/>
  <c r="E1014" i="1" a="1"/>
  <c r="E1014" i="1" s="1"/>
  <c r="D1014" i="1"/>
  <c r="C1014" i="1"/>
  <c r="B1014" i="1"/>
  <c r="A1014" i="1"/>
  <c r="F1013" i="1" a="1"/>
  <c r="F1013" i="1" s="1"/>
  <c r="E1013" i="1" a="1"/>
  <c r="E1013" i="1" s="1"/>
  <c r="D1013" i="1"/>
  <c r="C1013" i="1"/>
  <c r="B1013" i="1"/>
  <c r="A1013" i="1"/>
  <c r="F1012" i="1" a="1"/>
  <c r="F1012" i="1" s="1"/>
  <c r="E1012" i="1" a="1"/>
  <c r="E1012" i="1" s="1"/>
  <c r="D1012" i="1"/>
  <c r="C1012" i="1"/>
  <c r="B1012" i="1"/>
  <c r="A1012" i="1"/>
  <c r="F1011" i="1" a="1"/>
  <c r="F1011" i="1" s="1"/>
  <c r="E1011" i="1" a="1"/>
  <c r="E1011" i="1" s="1"/>
  <c r="D1011" i="1"/>
  <c r="C1011" i="1"/>
  <c r="B1011" i="1"/>
  <c r="A1011" i="1"/>
  <c r="F1010" i="1" a="1"/>
  <c r="F1010" i="1" s="1"/>
  <c r="E1010" i="1" a="1"/>
  <c r="E1010" i="1" s="1"/>
  <c r="D1010" i="1"/>
  <c r="C1010" i="1"/>
  <c r="B1010" i="1"/>
  <c r="A1010" i="1"/>
  <c r="F1009" i="1" a="1"/>
  <c r="F1009" i="1" s="1"/>
  <c r="E1009" i="1" a="1"/>
  <c r="E1009" i="1" s="1"/>
  <c r="D1009" i="1"/>
  <c r="C1009" i="1"/>
  <c r="B1009" i="1"/>
  <c r="A1009" i="1"/>
  <c r="F1008" i="1" a="1"/>
  <c r="F1008" i="1" s="1"/>
  <c r="E1008" i="1" a="1"/>
  <c r="E1008" i="1" s="1"/>
  <c r="D1008" i="1"/>
  <c r="C1008" i="1"/>
  <c r="B1008" i="1"/>
  <c r="A1008" i="1"/>
  <c r="F1007" i="1" a="1"/>
  <c r="F1007" i="1" s="1"/>
  <c r="E1007" i="1" a="1"/>
  <c r="E1007" i="1" s="1"/>
  <c r="D1007" i="1"/>
  <c r="C1007" i="1"/>
  <c r="B1007" i="1"/>
  <c r="A1007" i="1"/>
  <c r="F1006" i="1" a="1"/>
  <c r="F1006" i="1" s="1"/>
  <c r="E1006" i="1" a="1"/>
  <c r="E1006" i="1" s="1"/>
  <c r="D1006" i="1"/>
  <c r="C1006" i="1"/>
  <c r="B1006" i="1"/>
  <c r="A1006" i="1"/>
  <c r="F1005" i="1" a="1"/>
  <c r="F1005" i="1" s="1"/>
  <c r="E1005" i="1" a="1"/>
  <c r="E1005" i="1" s="1"/>
  <c r="D1005" i="1"/>
  <c r="C1005" i="1"/>
  <c r="B1005" i="1"/>
  <c r="A1005" i="1"/>
  <c r="F1004" i="1" a="1"/>
  <c r="F1004" i="1" s="1"/>
  <c r="E1004" i="1" a="1"/>
  <c r="E1004" i="1" s="1"/>
  <c r="D1004" i="1"/>
  <c r="C1004" i="1"/>
  <c r="B1004" i="1"/>
  <c r="A1004" i="1"/>
  <c r="F1003" i="1" a="1"/>
  <c r="F1003" i="1" s="1"/>
  <c r="E1003" i="1" a="1"/>
  <c r="E1003" i="1" s="1"/>
  <c r="D1003" i="1"/>
  <c r="C1003" i="1"/>
  <c r="B1003" i="1"/>
  <c r="A1003" i="1"/>
  <c r="F1002" i="1" a="1"/>
  <c r="F1002" i="1" s="1"/>
  <c r="E1002" i="1" a="1"/>
  <c r="E1002" i="1" s="1"/>
  <c r="D1002" i="1"/>
  <c r="C1002" i="1"/>
  <c r="B1002" i="1"/>
  <c r="A1002" i="1"/>
  <c r="F1001" i="1" a="1"/>
  <c r="F1001" i="1" s="1"/>
  <c r="E1001" i="1" a="1"/>
  <c r="E1001" i="1" s="1"/>
  <c r="D1001" i="1"/>
  <c r="C1001" i="1"/>
  <c r="B1001" i="1"/>
  <c r="A1001" i="1"/>
  <c r="F1000" i="1" a="1"/>
  <c r="F1000" i="1" s="1"/>
  <c r="E1000" i="1" a="1"/>
  <c r="E1000" i="1" s="1"/>
  <c r="D1000" i="1"/>
  <c r="C1000" i="1"/>
  <c r="B1000" i="1"/>
  <c r="A1000" i="1"/>
  <c r="F999" i="1" a="1"/>
  <c r="F999" i="1" s="1"/>
  <c r="E999" i="1" a="1"/>
  <c r="E999" i="1" s="1"/>
  <c r="D999" i="1"/>
  <c r="C999" i="1"/>
  <c r="B999" i="1"/>
  <c r="A999" i="1"/>
  <c r="F998" i="1" a="1"/>
  <c r="F998" i="1" s="1"/>
  <c r="E998" i="1" a="1"/>
  <c r="E998" i="1" s="1"/>
  <c r="D998" i="1"/>
  <c r="C998" i="1"/>
  <c r="B998" i="1"/>
  <c r="A998" i="1"/>
  <c r="F997" i="1" a="1"/>
  <c r="F997" i="1" s="1"/>
  <c r="E997" i="1" a="1"/>
  <c r="E997" i="1" s="1"/>
  <c r="D997" i="1"/>
  <c r="C997" i="1"/>
  <c r="B997" i="1"/>
  <c r="A997" i="1"/>
  <c r="F996" i="1" a="1"/>
  <c r="F996" i="1" s="1"/>
  <c r="E996" i="1" a="1"/>
  <c r="E996" i="1" s="1"/>
  <c r="D996" i="1"/>
  <c r="C996" i="1"/>
  <c r="B996" i="1"/>
  <c r="A996" i="1"/>
  <c r="F995" i="1" a="1"/>
  <c r="F995" i="1" s="1"/>
  <c r="E995" i="1" a="1"/>
  <c r="E995" i="1" s="1"/>
  <c r="D995" i="1"/>
  <c r="C995" i="1"/>
  <c r="B995" i="1"/>
  <c r="A995" i="1"/>
  <c r="F994" i="1" a="1"/>
  <c r="F994" i="1" s="1"/>
  <c r="E994" i="1" a="1"/>
  <c r="E994" i="1" s="1"/>
  <c r="D994" i="1"/>
  <c r="C994" i="1"/>
  <c r="B994" i="1"/>
  <c r="A994" i="1"/>
  <c r="F993" i="1" a="1"/>
  <c r="F993" i="1" s="1"/>
  <c r="E993" i="1" a="1"/>
  <c r="E993" i="1" s="1"/>
  <c r="D993" i="1"/>
  <c r="C993" i="1"/>
  <c r="B993" i="1"/>
  <c r="A993" i="1"/>
  <c r="F992" i="1" a="1"/>
  <c r="F992" i="1" s="1"/>
  <c r="E992" i="1" a="1"/>
  <c r="E992" i="1" s="1"/>
  <c r="D992" i="1"/>
  <c r="C992" i="1"/>
  <c r="B992" i="1"/>
  <c r="A992" i="1"/>
  <c r="F991" i="1" a="1"/>
  <c r="F991" i="1" s="1"/>
  <c r="E991" i="1" a="1"/>
  <c r="E991" i="1" s="1"/>
  <c r="D991" i="1"/>
  <c r="C991" i="1"/>
  <c r="B991" i="1"/>
  <c r="A991" i="1"/>
  <c r="F990" i="1" a="1"/>
  <c r="F990" i="1" s="1"/>
  <c r="E990" i="1" a="1"/>
  <c r="E990" i="1" s="1"/>
  <c r="D990" i="1"/>
  <c r="C990" i="1"/>
  <c r="B990" i="1"/>
  <c r="A990" i="1"/>
  <c r="F989" i="1" a="1"/>
  <c r="F989" i="1" s="1"/>
  <c r="E989" i="1" a="1"/>
  <c r="E989" i="1" s="1"/>
  <c r="D989" i="1"/>
  <c r="C989" i="1"/>
  <c r="B989" i="1"/>
  <c r="A989" i="1"/>
  <c r="F988" i="1" a="1"/>
  <c r="F988" i="1" s="1"/>
  <c r="E988" i="1" a="1"/>
  <c r="E988" i="1" s="1"/>
  <c r="D988" i="1"/>
  <c r="C988" i="1"/>
  <c r="B988" i="1"/>
  <c r="A988" i="1"/>
  <c r="F987" i="1" a="1"/>
  <c r="F987" i="1" s="1"/>
  <c r="E987" i="1" a="1"/>
  <c r="E987" i="1" s="1"/>
  <c r="D987" i="1"/>
  <c r="C987" i="1"/>
  <c r="B987" i="1"/>
  <c r="A987" i="1"/>
  <c r="F986" i="1" a="1"/>
  <c r="F986" i="1" s="1"/>
  <c r="E986" i="1" a="1"/>
  <c r="E986" i="1" s="1"/>
  <c r="D986" i="1"/>
  <c r="C986" i="1"/>
  <c r="B986" i="1"/>
  <c r="A986" i="1"/>
  <c r="F985" i="1" a="1"/>
  <c r="F985" i="1" s="1"/>
  <c r="E985" i="1" a="1"/>
  <c r="E985" i="1" s="1"/>
  <c r="D985" i="1"/>
  <c r="C985" i="1"/>
  <c r="B985" i="1"/>
  <c r="A985" i="1"/>
  <c r="F984" i="1" a="1"/>
  <c r="F984" i="1" s="1"/>
  <c r="E984" i="1" a="1"/>
  <c r="E984" i="1" s="1"/>
  <c r="D984" i="1"/>
  <c r="C984" i="1"/>
  <c r="B984" i="1"/>
  <c r="A984" i="1"/>
  <c r="F983" i="1" a="1"/>
  <c r="F983" i="1" s="1"/>
  <c r="E983" i="1" a="1"/>
  <c r="E983" i="1" s="1"/>
  <c r="D983" i="1"/>
  <c r="C983" i="1"/>
  <c r="B983" i="1"/>
  <c r="A983" i="1"/>
  <c r="F982" i="1" a="1"/>
  <c r="F982" i="1" s="1"/>
  <c r="E982" i="1" a="1"/>
  <c r="E982" i="1" s="1"/>
  <c r="D982" i="1"/>
  <c r="C982" i="1"/>
  <c r="B982" i="1"/>
  <c r="A982" i="1"/>
  <c r="F981" i="1" a="1"/>
  <c r="F981" i="1" s="1"/>
  <c r="E981" i="1" a="1"/>
  <c r="E981" i="1" s="1"/>
  <c r="D981" i="1"/>
  <c r="C981" i="1"/>
  <c r="B981" i="1"/>
  <c r="A981" i="1"/>
  <c r="F980" i="1" a="1"/>
  <c r="F980" i="1" s="1"/>
  <c r="E980" i="1" a="1"/>
  <c r="E980" i="1" s="1"/>
  <c r="D980" i="1"/>
  <c r="C980" i="1"/>
  <c r="B980" i="1"/>
  <c r="A980" i="1"/>
  <c r="F979" i="1" a="1"/>
  <c r="F979" i="1" s="1"/>
  <c r="E979" i="1" a="1"/>
  <c r="E979" i="1" s="1"/>
  <c r="D979" i="1"/>
  <c r="C979" i="1"/>
  <c r="B979" i="1"/>
  <c r="A979" i="1"/>
  <c r="F978" i="1" a="1"/>
  <c r="F978" i="1" s="1"/>
  <c r="E978" i="1" a="1"/>
  <c r="E978" i="1" s="1"/>
  <c r="D978" i="1"/>
  <c r="C978" i="1"/>
  <c r="B978" i="1"/>
  <c r="A978" i="1"/>
  <c r="F977" i="1" a="1"/>
  <c r="F977" i="1" s="1"/>
  <c r="E977" i="1" a="1"/>
  <c r="E977" i="1" s="1"/>
  <c r="D977" i="1"/>
  <c r="C977" i="1"/>
  <c r="B977" i="1"/>
  <c r="A977" i="1"/>
  <c r="F976" i="1" a="1"/>
  <c r="F976" i="1" s="1"/>
  <c r="E976" i="1" a="1"/>
  <c r="E976" i="1" s="1"/>
  <c r="D976" i="1"/>
  <c r="C976" i="1"/>
  <c r="B976" i="1"/>
  <c r="A976" i="1"/>
  <c r="F975" i="1" a="1"/>
  <c r="F975" i="1" s="1"/>
  <c r="E975" i="1" a="1"/>
  <c r="E975" i="1" s="1"/>
  <c r="D975" i="1"/>
  <c r="C975" i="1"/>
  <c r="B975" i="1"/>
  <c r="A975" i="1"/>
  <c r="F974" i="1" a="1"/>
  <c r="F974" i="1" s="1"/>
  <c r="E974" i="1" a="1"/>
  <c r="E974" i="1" s="1"/>
  <c r="D974" i="1"/>
  <c r="C974" i="1"/>
  <c r="B974" i="1"/>
  <c r="A974" i="1"/>
  <c r="F973" i="1" a="1"/>
  <c r="F973" i="1" s="1"/>
  <c r="E973" i="1" a="1"/>
  <c r="E973" i="1" s="1"/>
  <c r="D973" i="1"/>
  <c r="C973" i="1"/>
  <c r="B973" i="1"/>
  <c r="A973" i="1"/>
  <c r="F972" i="1" a="1"/>
  <c r="F972" i="1" s="1"/>
  <c r="E972" i="1" a="1"/>
  <c r="E972" i="1" s="1"/>
  <c r="D972" i="1"/>
  <c r="C972" i="1"/>
  <c r="B972" i="1"/>
  <c r="A972" i="1"/>
  <c r="F971" i="1" a="1"/>
  <c r="F971" i="1" s="1"/>
  <c r="E971" i="1" a="1"/>
  <c r="E971" i="1" s="1"/>
  <c r="D971" i="1"/>
  <c r="C971" i="1"/>
  <c r="B971" i="1"/>
  <c r="A971" i="1"/>
  <c r="F970" i="1" a="1"/>
  <c r="F970" i="1" s="1"/>
  <c r="E970" i="1" a="1"/>
  <c r="E970" i="1" s="1"/>
  <c r="D970" i="1"/>
  <c r="C970" i="1"/>
  <c r="B970" i="1"/>
  <c r="A970" i="1"/>
  <c r="F969" i="1" a="1"/>
  <c r="F969" i="1" s="1"/>
  <c r="E969" i="1" a="1"/>
  <c r="E969" i="1" s="1"/>
  <c r="D969" i="1"/>
  <c r="C969" i="1"/>
  <c r="B969" i="1"/>
  <c r="A969" i="1"/>
  <c r="F968" i="1" a="1"/>
  <c r="F968" i="1" s="1"/>
  <c r="E968" i="1" a="1"/>
  <c r="E968" i="1" s="1"/>
  <c r="D968" i="1"/>
  <c r="C968" i="1"/>
  <c r="B968" i="1"/>
  <c r="A968" i="1"/>
  <c r="F967" i="1" a="1"/>
  <c r="F967" i="1" s="1"/>
  <c r="E967" i="1" a="1"/>
  <c r="E967" i="1" s="1"/>
  <c r="D967" i="1"/>
  <c r="C967" i="1"/>
  <c r="B967" i="1"/>
  <c r="A967" i="1"/>
  <c r="F966" i="1" a="1"/>
  <c r="F966" i="1" s="1"/>
  <c r="E966" i="1" a="1"/>
  <c r="E966" i="1" s="1"/>
  <c r="D966" i="1"/>
  <c r="C966" i="1"/>
  <c r="B966" i="1"/>
  <c r="A966" i="1"/>
  <c r="F965" i="1" a="1"/>
  <c r="F965" i="1" s="1"/>
  <c r="E965" i="1" a="1"/>
  <c r="E965" i="1" s="1"/>
  <c r="D965" i="1"/>
  <c r="C965" i="1"/>
  <c r="B965" i="1"/>
  <c r="A965" i="1"/>
  <c r="F964" i="1" a="1"/>
  <c r="F964" i="1" s="1"/>
  <c r="E964" i="1" a="1"/>
  <c r="E964" i="1" s="1"/>
  <c r="D964" i="1"/>
  <c r="C964" i="1"/>
  <c r="B964" i="1"/>
  <c r="A964" i="1"/>
  <c r="F963" i="1" a="1"/>
  <c r="F963" i="1" s="1"/>
  <c r="E963" i="1" a="1"/>
  <c r="E963" i="1" s="1"/>
  <c r="D963" i="1"/>
  <c r="C963" i="1"/>
  <c r="B963" i="1"/>
  <c r="A963" i="1"/>
  <c r="F962" i="1" a="1"/>
  <c r="F962" i="1" s="1"/>
  <c r="E962" i="1" a="1"/>
  <c r="E962" i="1" s="1"/>
  <c r="D962" i="1"/>
  <c r="C962" i="1"/>
  <c r="B962" i="1"/>
  <c r="A962" i="1"/>
  <c r="F961" i="1" a="1"/>
  <c r="F961" i="1" s="1"/>
  <c r="E961" i="1" a="1"/>
  <c r="E961" i="1" s="1"/>
  <c r="D961" i="1"/>
  <c r="C961" i="1"/>
  <c r="B961" i="1"/>
  <c r="A961" i="1"/>
  <c r="F960" i="1" a="1"/>
  <c r="F960" i="1" s="1"/>
  <c r="E960" i="1" a="1"/>
  <c r="E960" i="1" s="1"/>
  <c r="D960" i="1"/>
  <c r="C960" i="1"/>
  <c r="B960" i="1"/>
  <c r="A960" i="1"/>
  <c r="F959" i="1" a="1"/>
  <c r="F959" i="1" s="1"/>
  <c r="E959" i="1" a="1"/>
  <c r="E959" i="1" s="1"/>
  <c r="D959" i="1"/>
  <c r="C959" i="1"/>
  <c r="B959" i="1"/>
  <c r="A959" i="1"/>
  <c r="F958" i="1" a="1"/>
  <c r="F958" i="1" s="1"/>
  <c r="E958" i="1" a="1"/>
  <c r="E958" i="1" s="1"/>
  <c r="D958" i="1"/>
  <c r="C958" i="1"/>
  <c r="B958" i="1"/>
  <c r="A958" i="1"/>
  <c r="F957" i="1" a="1"/>
  <c r="F957" i="1" s="1"/>
  <c r="E957" i="1" a="1"/>
  <c r="E957" i="1" s="1"/>
  <c r="D957" i="1"/>
  <c r="C957" i="1"/>
  <c r="B957" i="1"/>
  <c r="A957" i="1"/>
  <c r="F956" i="1" a="1"/>
  <c r="F956" i="1" s="1"/>
  <c r="E956" i="1" a="1"/>
  <c r="E956" i="1" s="1"/>
  <c r="D956" i="1"/>
  <c r="C956" i="1"/>
  <c r="B956" i="1"/>
  <c r="A956" i="1"/>
  <c r="F955" i="1" a="1"/>
  <c r="F955" i="1" s="1"/>
  <c r="E955" i="1" a="1"/>
  <c r="E955" i="1" s="1"/>
  <c r="D955" i="1"/>
  <c r="C955" i="1"/>
  <c r="B955" i="1"/>
  <c r="A955" i="1"/>
  <c r="F954" i="1" a="1"/>
  <c r="F954" i="1" s="1"/>
  <c r="E954" i="1" a="1"/>
  <c r="E954" i="1" s="1"/>
  <c r="D954" i="1"/>
  <c r="C954" i="1"/>
  <c r="B954" i="1"/>
  <c r="A954" i="1"/>
  <c r="F953" i="1" a="1"/>
  <c r="F953" i="1" s="1"/>
  <c r="E953" i="1" a="1"/>
  <c r="E953" i="1" s="1"/>
  <c r="D953" i="1"/>
  <c r="C953" i="1"/>
  <c r="B953" i="1"/>
  <c r="A953" i="1"/>
  <c r="F952" i="1" a="1"/>
  <c r="F952" i="1" s="1"/>
  <c r="E952" i="1" a="1"/>
  <c r="E952" i="1" s="1"/>
  <c r="D952" i="1"/>
  <c r="C952" i="1"/>
  <c r="B952" i="1"/>
  <c r="A952" i="1"/>
  <c r="F951" i="1" a="1"/>
  <c r="F951" i="1" s="1"/>
  <c r="E951" i="1" a="1"/>
  <c r="E951" i="1" s="1"/>
  <c r="D951" i="1"/>
  <c r="C951" i="1"/>
  <c r="B951" i="1"/>
  <c r="A951" i="1"/>
  <c r="F950" i="1" a="1"/>
  <c r="F950" i="1" s="1"/>
  <c r="E950" i="1" a="1"/>
  <c r="E950" i="1" s="1"/>
  <c r="D950" i="1"/>
  <c r="C950" i="1"/>
  <c r="B950" i="1"/>
  <c r="A950" i="1"/>
  <c r="F949" i="1" a="1"/>
  <c r="F949" i="1" s="1"/>
  <c r="E949" i="1" a="1"/>
  <c r="E949" i="1" s="1"/>
  <c r="D949" i="1"/>
  <c r="C949" i="1"/>
  <c r="B949" i="1"/>
  <c r="A949" i="1"/>
  <c r="F948" i="1" a="1"/>
  <c r="F948" i="1" s="1"/>
  <c r="E948" i="1" a="1"/>
  <c r="E948" i="1" s="1"/>
  <c r="D948" i="1"/>
  <c r="C948" i="1"/>
  <c r="B948" i="1"/>
  <c r="A948" i="1"/>
  <c r="F947" i="1" a="1"/>
  <c r="F947" i="1" s="1"/>
  <c r="E947" i="1" a="1"/>
  <c r="E947" i="1" s="1"/>
  <c r="D947" i="1"/>
  <c r="C947" i="1"/>
  <c r="B947" i="1"/>
  <c r="A947" i="1"/>
  <c r="F946" i="1" a="1"/>
  <c r="F946" i="1" s="1"/>
  <c r="E946" i="1" a="1"/>
  <c r="E946" i="1" s="1"/>
  <c r="D946" i="1"/>
  <c r="C946" i="1"/>
  <c r="B946" i="1"/>
  <c r="A946" i="1"/>
  <c r="F945" i="1" a="1"/>
  <c r="F945" i="1" s="1"/>
  <c r="E945" i="1" a="1"/>
  <c r="E945" i="1" s="1"/>
  <c r="D945" i="1"/>
  <c r="C945" i="1"/>
  <c r="B945" i="1"/>
  <c r="A945" i="1"/>
  <c r="F944" i="1" a="1"/>
  <c r="F944" i="1" s="1"/>
  <c r="E944" i="1" a="1"/>
  <c r="E944" i="1" s="1"/>
  <c r="D944" i="1"/>
  <c r="C944" i="1"/>
  <c r="B944" i="1"/>
  <c r="A944" i="1"/>
  <c r="F943" i="1" a="1"/>
  <c r="F943" i="1" s="1"/>
  <c r="E943" i="1" a="1"/>
  <c r="E943" i="1" s="1"/>
  <c r="D943" i="1"/>
  <c r="C943" i="1"/>
  <c r="B943" i="1"/>
  <c r="A943" i="1"/>
  <c r="F942" i="1" a="1"/>
  <c r="F942" i="1" s="1"/>
  <c r="E942" i="1" a="1"/>
  <c r="E942" i="1" s="1"/>
  <c r="D942" i="1"/>
  <c r="C942" i="1"/>
  <c r="B942" i="1"/>
  <c r="A942" i="1"/>
  <c r="F941" i="1" a="1"/>
  <c r="F941" i="1" s="1"/>
  <c r="E941" i="1" a="1"/>
  <c r="E941" i="1" s="1"/>
  <c r="D941" i="1"/>
  <c r="C941" i="1"/>
  <c r="B941" i="1"/>
  <c r="A941" i="1"/>
  <c r="F940" i="1" a="1"/>
  <c r="F940" i="1" s="1"/>
  <c r="E940" i="1" a="1"/>
  <c r="E940" i="1" s="1"/>
  <c r="D940" i="1"/>
  <c r="C940" i="1"/>
  <c r="B940" i="1"/>
  <c r="A940" i="1"/>
  <c r="F939" i="1" a="1"/>
  <c r="F939" i="1" s="1"/>
  <c r="E939" i="1" a="1"/>
  <c r="E939" i="1" s="1"/>
  <c r="D939" i="1"/>
  <c r="C939" i="1"/>
  <c r="B939" i="1"/>
  <c r="A939" i="1"/>
  <c r="F938" i="1" a="1"/>
  <c r="F938" i="1" s="1"/>
  <c r="E938" i="1" a="1"/>
  <c r="E938" i="1" s="1"/>
  <c r="D938" i="1"/>
  <c r="C938" i="1"/>
  <c r="B938" i="1"/>
  <c r="A938" i="1"/>
  <c r="F937" i="1" a="1"/>
  <c r="F937" i="1" s="1"/>
  <c r="E937" i="1" a="1"/>
  <c r="E937" i="1" s="1"/>
  <c r="D937" i="1"/>
  <c r="C937" i="1"/>
  <c r="B937" i="1"/>
  <c r="A937" i="1"/>
  <c r="F936" i="1" a="1"/>
  <c r="F936" i="1" s="1"/>
  <c r="E936" i="1" a="1"/>
  <c r="E936" i="1" s="1"/>
  <c r="D936" i="1"/>
  <c r="C936" i="1"/>
  <c r="B936" i="1"/>
  <c r="A936" i="1"/>
  <c r="F935" i="1" a="1"/>
  <c r="F935" i="1" s="1"/>
  <c r="E935" i="1" a="1"/>
  <c r="E935" i="1" s="1"/>
  <c r="D935" i="1"/>
  <c r="C935" i="1"/>
  <c r="B935" i="1"/>
  <c r="A935" i="1"/>
  <c r="F934" i="1" a="1"/>
  <c r="F934" i="1" s="1"/>
  <c r="E934" i="1" a="1"/>
  <c r="E934" i="1" s="1"/>
  <c r="D934" i="1"/>
  <c r="C934" i="1"/>
  <c r="B934" i="1"/>
  <c r="A934" i="1"/>
  <c r="F933" i="1" a="1"/>
  <c r="F933" i="1" s="1"/>
  <c r="E933" i="1" a="1"/>
  <c r="E933" i="1" s="1"/>
  <c r="D933" i="1"/>
  <c r="C933" i="1"/>
  <c r="B933" i="1"/>
  <c r="A933" i="1"/>
  <c r="F932" i="1" a="1"/>
  <c r="F932" i="1" s="1"/>
  <c r="E932" i="1" a="1"/>
  <c r="E932" i="1" s="1"/>
  <c r="D932" i="1"/>
  <c r="C932" i="1"/>
  <c r="B932" i="1"/>
  <c r="A932" i="1"/>
  <c r="F931" i="1" a="1"/>
  <c r="F931" i="1" s="1"/>
  <c r="E931" i="1" a="1"/>
  <c r="E931" i="1" s="1"/>
  <c r="D931" i="1"/>
  <c r="C931" i="1"/>
  <c r="B931" i="1"/>
  <c r="A931" i="1"/>
  <c r="F930" i="1" a="1"/>
  <c r="F930" i="1" s="1"/>
  <c r="E930" i="1" a="1"/>
  <c r="E930" i="1" s="1"/>
  <c r="D930" i="1"/>
  <c r="C930" i="1"/>
  <c r="B930" i="1"/>
  <c r="A930" i="1"/>
  <c r="F929" i="1" a="1"/>
  <c r="F929" i="1" s="1"/>
  <c r="E929" i="1" a="1"/>
  <c r="E929" i="1" s="1"/>
  <c r="D929" i="1"/>
  <c r="C929" i="1"/>
  <c r="B929" i="1"/>
  <c r="A929" i="1"/>
  <c r="F928" i="1" a="1"/>
  <c r="F928" i="1" s="1"/>
  <c r="E928" i="1" a="1"/>
  <c r="E928" i="1" s="1"/>
  <c r="D928" i="1"/>
  <c r="C928" i="1"/>
  <c r="B928" i="1"/>
  <c r="A928" i="1"/>
  <c r="F927" i="1" a="1"/>
  <c r="F927" i="1" s="1"/>
  <c r="E927" i="1" a="1"/>
  <c r="E927" i="1" s="1"/>
  <c r="D927" i="1"/>
  <c r="C927" i="1"/>
  <c r="B927" i="1"/>
  <c r="A927" i="1"/>
  <c r="F926" i="1" a="1"/>
  <c r="F926" i="1" s="1"/>
  <c r="E926" i="1" a="1"/>
  <c r="E926" i="1" s="1"/>
  <c r="D926" i="1"/>
  <c r="C926" i="1"/>
  <c r="B926" i="1"/>
  <c r="A926" i="1"/>
  <c r="F925" i="1" a="1"/>
  <c r="F925" i="1" s="1"/>
  <c r="E925" i="1" a="1"/>
  <c r="E925" i="1" s="1"/>
  <c r="D925" i="1"/>
  <c r="C925" i="1"/>
  <c r="B925" i="1"/>
  <c r="A925" i="1"/>
  <c r="F924" i="1" a="1"/>
  <c r="F924" i="1" s="1"/>
  <c r="E924" i="1" a="1"/>
  <c r="E924" i="1" s="1"/>
  <c r="D924" i="1"/>
  <c r="C924" i="1"/>
  <c r="B924" i="1"/>
  <c r="A924" i="1"/>
  <c r="F923" i="1" a="1"/>
  <c r="F923" i="1" s="1"/>
  <c r="E923" i="1" a="1"/>
  <c r="E923" i="1" s="1"/>
  <c r="D923" i="1"/>
  <c r="C923" i="1"/>
  <c r="B923" i="1"/>
  <c r="A923" i="1"/>
  <c r="F922" i="1" a="1"/>
  <c r="F922" i="1" s="1"/>
  <c r="E922" i="1" a="1"/>
  <c r="E922" i="1" s="1"/>
  <c r="D922" i="1"/>
  <c r="C922" i="1"/>
  <c r="B922" i="1"/>
  <c r="A922" i="1"/>
  <c r="F921" i="1" a="1"/>
  <c r="F921" i="1" s="1"/>
  <c r="E921" i="1" a="1"/>
  <c r="E921" i="1" s="1"/>
  <c r="D921" i="1"/>
  <c r="C921" i="1"/>
  <c r="B921" i="1"/>
  <c r="A921" i="1"/>
  <c r="F920" i="1" a="1"/>
  <c r="F920" i="1" s="1"/>
  <c r="E920" i="1" a="1"/>
  <c r="E920" i="1" s="1"/>
  <c r="D920" i="1"/>
  <c r="C920" i="1"/>
  <c r="B920" i="1"/>
  <c r="A920" i="1"/>
  <c r="F919" i="1" a="1"/>
  <c r="F919" i="1" s="1"/>
  <c r="E919" i="1" a="1"/>
  <c r="E919" i="1" s="1"/>
  <c r="D919" i="1"/>
  <c r="C919" i="1"/>
  <c r="B919" i="1"/>
  <c r="A919" i="1"/>
  <c r="F918" i="1" a="1"/>
  <c r="F918" i="1" s="1"/>
  <c r="E918" i="1" a="1"/>
  <c r="E918" i="1" s="1"/>
  <c r="D918" i="1"/>
  <c r="C918" i="1"/>
  <c r="B918" i="1"/>
  <c r="A918" i="1"/>
  <c r="F917" i="1" a="1"/>
  <c r="F917" i="1" s="1"/>
  <c r="E917" i="1" a="1"/>
  <c r="E917" i="1" s="1"/>
  <c r="D917" i="1"/>
  <c r="C917" i="1"/>
  <c r="B917" i="1"/>
  <c r="A917" i="1"/>
  <c r="F916" i="1" a="1"/>
  <c r="F916" i="1" s="1"/>
  <c r="E916" i="1" a="1"/>
  <c r="E916" i="1" s="1"/>
  <c r="D916" i="1"/>
  <c r="C916" i="1"/>
  <c r="B916" i="1"/>
  <c r="A916" i="1"/>
  <c r="F915" i="1" a="1"/>
  <c r="F915" i="1" s="1"/>
  <c r="E915" i="1" a="1"/>
  <c r="E915" i="1" s="1"/>
  <c r="D915" i="1"/>
  <c r="C915" i="1"/>
  <c r="B915" i="1"/>
  <c r="A915" i="1"/>
  <c r="F914" i="1" a="1"/>
  <c r="F914" i="1" s="1"/>
  <c r="E914" i="1" a="1"/>
  <c r="E914" i="1" s="1"/>
  <c r="D914" i="1"/>
  <c r="C914" i="1"/>
  <c r="B914" i="1"/>
  <c r="A914" i="1"/>
  <c r="F913" i="1" a="1"/>
  <c r="F913" i="1" s="1"/>
  <c r="E913" i="1" a="1"/>
  <c r="E913" i="1" s="1"/>
  <c r="D913" i="1"/>
  <c r="C913" i="1"/>
  <c r="B913" i="1"/>
  <c r="A913" i="1"/>
  <c r="F912" i="1" a="1"/>
  <c r="F912" i="1" s="1"/>
  <c r="E912" i="1" a="1"/>
  <c r="E912" i="1" s="1"/>
  <c r="D912" i="1"/>
  <c r="C912" i="1"/>
  <c r="B912" i="1"/>
  <c r="A912" i="1"/>
  <c r="F911" i="1" a="1"/>
  <c r="F911" i="1" s="1"/>
  <c r="E911" i="1" a="1"/>
  <c r="E911" i="1" s="1"/>
  <c r="D911" i="1"/>
  <c r="C911" i="1"/>
  <c r="B911" i="1"/>
  <c r="A911" i="1"/>
  <c r="F910" i="1" a="1"/>
  <c r="F910" i="1" s="1"/>
  <c r="E910" i="1" a="1"/>
  <c r="E910" i="1" s="1"/>
  <c r="D910" i="1"/>
  <c r="C910" i="1"/>
  <c r="B910" i="1"/>
  <c r="A910" i="1"/>
  <c r="F909" i="1" a="1"/>
  <c r="F909" i="1" s="1"/>
  <c r="E909" i="1" a="1"/>
  <c r="E909" i="1" s="1"/>
  <c r="D909" i="1"/>
  <c r="C909" i="1"/>
  <c r="B909" i="1"/>
  <c r="A909" i="1"/>
  <c r="F908" i="1" a="1"/>
  <c r="F908" i="1" s="1"/>
  <c r="E908" i="1" a="1"/>
  <c r="E908" i="1" s="1"/>
  <c r="D908" i="1"/>
  <c r="C908" i="1"/>
  <c r="B908" i="1"/>
  <c r="A908" i="1"/>
  <c r="F907" i="1" a="1"/>
  <c r="F907" i="1" s="1"/>
  <c r="E907" i="1" a="1"/>
  <c r="E907" i="1" s="1"/>
  <c r="D907" i="1"/>
  <c r="C907" i="1"/>
  <c r="B907" i="1"/>
  <c r="A907" i="1"/>
  <c r="F906" i="1" a="1"/>
  <c r="F906" i="1" s="1"/>
  <c r="E906" i="1" a="1"/>
  <c r="E906" i="1" s="1"/>
  <c r="D906" i="1"/>
  <c r="C906" i="1"/>
  <c r="B906" i="1"/>
  <c r="A906" i="1"/>
  <c r="F905" i="1" a="1"/>
  <c r="F905" i="1" s="1"/>
  <c r="E905" i="1" a="1"/>
  <c r="E905" i="1" s="1"/>
  <c r="D905" i="1"/>
  <c r="C905" i="1"/>
  <c r="B905" i="1"/>
  <c r="A905" i="1"/>
  <c r="F904" i="1" a="1"/>
  <c r="F904" i="1" s="1"/>
  <c r="E904" i="1" a="1"/>
  <c r="E904" i="1" s="1"/>
  <c r="D904" i="1"/>
  <c r="C904" i="1"/>
  <c r="B904" i="1"/>
  <c r="A904" i="1"/>
  <c r="F903" i="1" a="1"/>
  <c r="F903" i="1" s="1"/>
  <c r="E903" i="1" a="1"/>
  <c r="E903" i="1" s="1"/>
  <c r="D903" i="1"/>
  <c r="C903" i="1"/>
  <c r="B903" i="1"/>
  <c r="A903" i="1"/>
  <c r="F902" i="1" a="1"/>
  <c r="F902" i="1" s="1"/>
  <c r="E902" i="1" a="1"/>
  <c r="E902" i="1" s="1"/>
  <c r="D902" i="1"/>
  <c r="C902" i="1"/>
  <c r="B902" i="1"/>
  <c r="A902" i="1"/>
  <c r="F901" i="1" a="1"/>
  <c r="F901" i="1" s="1"/>
  <c r="E901" i="1" a="1"/>
  <c r="E901" i="1" s="1"/>
  <c r="D901" i="1"/>
  <c r="C901" i="1"/>
  <c r="B901" i="1"/>
  <c r="A901" i="1"/>
  <c r="F900" i="1" a="1"/>
  <c r="F900" i="1" s="1"/>
  <c r="E900" i="1" a="1"/>
  <c r="E900" i="1" s="1"/>
  <c r="D900" i="1"/>
  <c r="C900" i="1"/>
  <c r="B900" i="1"/>
  <c r="A900" i="1"/>
  <c r="F899" i="1" a="1"/>
  <c r="F899" i="1" s="1"/>
  <c r="E899" i="1" a="1"/>
  <c r="E899" i="1" s="1"/>
  <c r="D899" i="1"/>
  <c r="C899" i="1"/>
  <c r="B899" i="1"/>
  <c r="A899" i="1"/>
  <c r="F898" i="1" a="1"/>
  <c r="F898" i="1" s="1"/>
  <c r="E898" i="1" a="1"/>
  <c r="E898" i="1" s="1"/>
  <c r="D898" i="1"/>
  <c r="C898" i="1"/>
  <c r="B898" i="1"/>
  <c r="A898" i="1"/>
  <c r="F897" i="1" a="1"/>
  <c r="F897" i="1" s="1"/>
  <c r="E897" i="1" a="1"/>
  <c r="E897" i="1" s="1"/>
  <c r="D897" i="1"/>
  <c r="C897" i="1"/>
  <c r="B897" i="1"/>
  <c r="A897" i="1"/>
  <c r="F896" i="1" a="1"/>
  <c r="F896" i="1" s="1"/>
  <c r="E896" i="1" a="1"/>
  <c r="E896" i="1" s="1"/>
  <c r="D896" i="1"/>
  <c r="C896" i="1"/>
  <c r="B896" i="1"/>
  <c r="A896" i="1"/>
  <c r="F895" i="1" a="1"/>
  <c r="F895" i="1" s="1"/>
  <c r="E895" i="1" a="1"/>
  <c r="E895" i="1" s="1"/>
  <c r="D895" i="1"/>
  <c r="C895" i="1"/>
  <c r="B895" i="1"/>
  <c r="A895" i="1"/>
  <c r="F894" i="1" a="1"/>
  <c r="F894" i="1" s="1"/>
  <c r="E894" i="1" a="1"/>
  <c r="E894" i="1" s="1"/>
  <c r="D894" i="1"/>
  <c r="C894" i="1"/>
  <c r="B894" i="1"/>
  <c r="A894" i="1"/>
  <c r="F893" i="1" a="1"/>
  <c r="F893" i="1" s="1"/>
  <c r="E893" i="1" a="1"/>
  <c r="E893" i="1" s="1"/>
  <c r="D893" i="1"/>
  <c r="C893" i="1"/>
  <c r="B893" i="1"/>
  <c r="A893" i="1"/>
  <c r="F892" i="1" a="1"/>
  <c r="F892" i="1" s="1"/>
  <c r="E892" i="1" a="1"/>
  <c r="E892" i="1" s="1"/>
  <c r="D892" i="1"/>
  <c r="C892" i="1"/>
  <c r="B892" i="1"/>
  <c r="A892" i="1"/>
  <c r="F891" i="1" a="1"/>
  <c r="F891" i="1" s="1"/>
  <c r="E891" i="1" a="1"/>
  <c r="E891" i="1" s="1"/>
  <c r="D891" i="1"/>
  <c r="C891" i="1"/>
  <c r="B891" i="1"/>
  <c r="A891" i="1"/>
  <c r="F890" i="1" a="1"/>
  <c r="F890" i="1" s="1"/>
  <c r="E890" i="1" a="1"/>
  <c r="E890" i="1" s="1"/>
  <c r="D890" i="1"/>
  <c r="C890" i="1"/>
  <c r="B890" i="1"/>
  <c r="A890" i="1"/>
  <c r="F889" i="1" a="1"/>
  <c r="F889" i="1" s="1"/>
  <c r="E889" i="1" a="1"/>
  <c r="E889" i="1" s="1"/>
  <c r="D889" i="1"/>
  <c r="C889" i="1"/>
  <c r="B889" i="1"/>
  <c r="A889" i="1"/>
  <c r="F888" i="1" a="1"/>
  <c r="F888" i="1" s="1"/>
  <c r="E888" i="1" a="1"/>
  <c r="E888" i="1" s="1"/>
  <c r="D888" i="1"/>
  <c r="C888" i="1"/>
  <c r="B888" i="1"/>
  <c r="A888" i="1"/>
  <c r="F887" i="1" a="1"/>
  <c r="F887" i="1" s="1"/>
  <c r="E887" i="1" a="1"/>
  <c r="E887" i="1" s="1"/>
  <c r="D887" i="1"/>
  <c r="C887" i="1"/>
  <c r="B887" i="1"/>
  <c r="A887" i="1"/>
  <c r="F886" i="1" a="1"/>
  <c r="F886" i="1" s="1"/>
  <c r="E886" i="1" a="1"/>
  <c r="E886" i="1" s="1"/>
  <c r="D886" i="1"/>
  <c r="C886" i="1"/>
  <c r="B886" i="1"/>
  <c r="A886" i="1"/>
  <c r="F885" i="1" a="1"/>
  <c r="F885" i="1" s="1"/>
  <c r="E885" i="1" a="1"/>
  <c r="E885" i="1" s="1"/>
  <c r="D885" i="1"/>
  <c r="C885" i="1"/>
  <c r="B885" i="1"/>
  <c r="A885" i="1"/>
  <c r="F884" i="1" a="1"/>
  <c r="F884" i="1" s="1"/>
  <c r="E884" i="1" a="1"/>
  <c r="E884" i="1" s="1"/>
  <c r="D884" i="1"/>
  <c r="C884" i="1"/>
  <c r="B884" i="1"/>
  <c r="A884" i="1"/>
  <c r="F883" i="1" a="1"/>
  <c r="F883" i="1" s="1"/>
  <c r="E883" i="1" a="1"/>
  <c r="E883" i="1" s="1"/>
  <c r="D883" i="1"/>
  <c r="C883" i="1"/>
  <c r="B883" i="1"/>
  <c r="A883" i="1"/>
  <c r="F882" i="1" a="1"/>
  <c r="F882" i="1" s="1"/>
  <c r="E882" i="1" a="1"/>
  <c r="E882" i="1" s="1"/>
  <c r="D882" i="1"/>
  <c r="C882" i="1"/>
  <c r="B882" i="1"/>
  <c r="A882" i="1"/>
  <c r="F881" i="1" a="1"/>
  <c r="F881" i="1" s="1"/>
  <c r="E881" i="1" a="1"/>
  <c r="E881" i="1" s="1"/>
  <c r="D881" i="1"/>
  <c r="C881" i="1"/>
  <c r="B881" i="1"/>
  <c r="A881" i="1"/>
  <c r="F880" i="1" a="1"/>
  <c r="F880" i="1" s="1"/>
  <c r="E880" i="1" a="1"/>
  <c r="E880" i="1" s="1"/>
  <c r="D880" i="1"/>
  <c r="C880" i="1"/>
  <c r="B880" i="1"/>
  <c r="A880" i="1"/>
  <c r="F879" i="1" a="1"/>
  <c r="F879" i="1" s="1"/>
  <c r="E879" i="1" a="1"/>
  <c r="E879" i="1" s="1"/>
  <c r="D879" i="1"/>
  <c r="C879" i="1"/>
  <c r="B879" i="1"/>
  <c r="A879" i="1"/>
  <c r="F878" i="1" a="1"/>
  <c r="F878" i="1" s="1"/>
  <c r="E878" i="1" a="1"/>
  <c r="E878" i="1" s="1"/>
  <c r="D878" i="1"/>
  <c r="C878" i="1"/>
  <c r="B878" i="1"/>
  <c r="A878" i="1"/>
  <c r="F877" i="1" a="1"/>
  <c r="F877" i="1" s="1"/>
  <c r="E877" i="1" a="1"/>
  <c r="E877" i="1" s="1"/>
  <c r="D877" i="1"/>
  <c r="C877" i="1"/>
  <c r="B877" i="1"/>
  <c r="A877" i="1"/>
  <c r="F876" i="1" a="1"/>
  <c r="F876" i="1" s="1"/>
  <c r="E876" i="1" a="1"/>
  <c r="E876" i="1" s="1"/>
  <c r="D876" i="1"/>
  <c r="C876" i="1"/>
  <c r="B876" i="1"/>
  <c r="A876" i="1"/>
  <c r="F875" i="1" a="1"/>
  <c r="F875" i="1" s="1"/>
  <c r="E875" i="1" a="1"/>
  <c r="E875" i="1" s="1"/>
  <c r="D875" i="1"/>
  <c r="C875" i="1"/>
  <c r="B875" i="1"/>
  <c r="A875" i="1"/>
  <c r="F874" i="1" a="1"/>
  <c r="F874" i="1" s="1"/>
  <c r="E874" i="1" a="1"/>
  <c r="E874" i="1" s="1"/>
  <c r="D874" i="1"/>
  <c r="C874" i="1"/>
  <c r="B874" i="1"/>
  <c r="A874" i="1"/>
  <c r="F873" i="1" a="1"/>
  <c r="F873" i="1" s="1"/>
  <c r="E873" i="1" a="1"/>
  <c r="E873" i="1" s="1"/>
  <c r="D873" i="1"/>
  <c r="C873" i="1"/>
  <c r="B873" i="1"/>
  <c r="A873" i="1"/>
  <c r="F872" i="1" a="1"/>
  <c r="F872" i="1" s="1"/>
  <c r="E872" i="1" a="1"/>
  <c r="E872" i="1" s="1"/>
  <c r="D872" i="1"/>
  <c r="C872" i="1"/>
  <c r="B872" i="1"/>
  <c r="A872" i="1"/>
  <c r="F871" i="1" a="1"/>
  <c r="F871" i="1" s="1"/>
  <c r="E871" i="1" a="1"/>
  <c r="E871" i="1" s="1"/>
  <c r="D871" i="1"/>
  <c r="C871" i="1"/>
  <c r="B871" i="1"/>
  <c r="A871" i="1"/>
  <c r="F870" i="1" a="1"/>
  <c r="F870" i="1" s="1"/>
  <c r="E870" i="1" a="1"/>
  <c r="E870" i="1" s="1"/>
  <c r="D870" i="1"/>
  <c r="C870" i="1"/>
  <c r="B870" i="1"/>
  <c r="A870" i="1"/>
  <c r="F869" i="1" a="1"/>
  <c r="F869" i="1" s="1"/>
  <c r="E869" i="1" a="1"/>
  <c r="E869" i="1" s="1"/>
  <c r="D869" i="1"/>
  <c r="C869" i="1"/>
  <c r="B869" i="1"/>
  <c r="A869" i="1"/>
  <c r="F868" i="1" a="1"/>
  <c r="F868" i="1" s="1"/>
  <c r="E868" i="1" a="1"/>
  <c r="E868" i="1" s="1"/>
  <c r="D868" i="1"/>
  <c r="C868" i="1"/>
  <c r="B868" i="1"/>
  <c r="A868" i="1"/>
  <c r="F867" i="1" a="1"/>
  <c r="F867" i="1" s="1"/>
  <c r="E867" i="1" a="1"/>
  <c r="E867" i="1" s="1"/>
  <c r="D867" i="1"/>
  <c r="C867" i="1"/>
  <c r="B867" i="1"/>
  <c r="A867" i="1"/>
  <c r="F866" i="1" a="1"/>
  <c r="F866" i="1" s="1"/>
  <c r="E866" i="1" a="1"/>
  <c r="E866" i="1" s="1"/>
  <c r="D866" i="1"/>
  <c r="C866" i="1"/>
  <c r="B866" i="1"/>
  <c r="A866" i="1"/>
  <c r="F865" i="1" a="1"/>
  <c r="F865" i="1" s="1"/>
  <c r="E865" i="1" a="1"/>
  <c r="E865" i="1" s="1"/>
  <c r="D865" i="1"/>
  <c r="C865" i="1"/>
  <c r="B865" i="1"/>
  <c r="A865" i="1"/>
  <c r="F864" i="1" a="1"/>
  <c r="F864" i="1" s="1"/>
  <c r="E864" i="1" a="1"/>
  <c r="E864" i="1" s="1"/>
  <c r="D864" i="1"/>
  <c r="C864" i="1"/>
  <c r="B864" i="1"/>
  <c r="A864" i="1"/>
  <c r="F863" i="1" a="1"/>
  <c r="F863" i="1" s="1"/>
  <c r="E863" i="1" a="1"/>
  <c r="E863" i="1" s="1"/>
  <c r="D863" i="1"/>
  <c r="C863" i="1"/>
  <c r="B863" i="1"/>
  <c r="A863" i="1"/>
  <c r="F862" i="1" a="1"/>
  <c r="F862" i="1" s="1"/>
  <c r="E862" i="1" a="1"/>
  <c r="E862" i="1" s="1"/>
  <c r="D862" i="1"/>
  <c r="C862" i="1"/>
  <c r="B862" i="1"/>
  <c r="A862" i="1"/>
  <c r="F861" i="1" a="1"/>
  <c r="F861" i="1" s="1"/>
  <c r="E861" i="1" a="1"/>
  <c r="E861" i="1" s="1"/>
  <c r="D861" i="1"/>
  <c r="C861" i="1"/>
  <c r="B861" i="1"/>
  <c r="A861" i="1"/>
  <c r="F860" i="1" a="1"/>
  <c r="F860" i="1" s="1"/>
  <c r="E860" i="1" a="1"/>
  <c r="E860" i="1" s="1"/>
  <c r="D860" i="1"/>
  <c r="C860" i="1"/>
  <c r="B860" i="1"/>
  <c r="A860" i="1"/>
  <c r="F859" i="1" a="1"/>
  <c r="F859" i="1" s="1"/>
  <c r="E859" i="1" a="1"/>
  <c r="E859" i="1" s="1"/>
  <c r="D859" i="1"/>
  <c r="C859" i="1"/>
  <c r="B859" i="1"/>
  <c r="A859" i="1"/>
  <c r="F858" i="1" a="1"/>
  <c r="F858" i="1" s="1"/>
  <c r="E858" i="1" a="1"/>
  <c r="E858" i="1" s="1"/>
  <c r="D858" i="1"/>
  <c r="C858" i="1"/>
  <c r="B858" i="1"/>
  <c r="A858" i="1"/>
  <c r="F857" i="1" a="1"/>
  <c r="F857" i="1" s="1"/>
  <c r="E857" i="1" a="1"/>
  <c r="E857" i="1" s="1"/>
  <c r="D857" i="1"/>
  <c r="C857" i="1"/>
  <c r="B857" i="1"/>
  <c r="A857" i="1"/>
  <c r="F856" i="1" a="1"/>
  <c r="F856" i="1" s="1"/>
  <c r="E856" i="1" a="1"/>
  <c r="E856" i="1" s="1"/>
  <c r="D856" i="1"/>
  <c r="C856" i="1"/>
  <c r="B856" i="1"/>
  <c r="A856" i="1"/>
  <c r="F855" i="1" a="1"/>
  <c r="F855" i="1" s="1"/>
  <c r="E855" i="1" a="1"/>
  <c r="E855" i="1" s="1"/>
  <c r="D855" i="1"/>
  <c r="C855" i="1"/>
  <c r="B855" i="1"/>
  <c r="A855" i="1"/>
  <c r="F854" i="1" a="1"/>
  <c r="F854" i="1" s="1"/>
  <c r="E854" i="1" a="1"/>
  <c r="E854" i="1" s="1"/>
  <c r="D854" i="1"/>
  <c r="C854" i="1"/>
  <c r="B854" i="1"/>
  <c r="A854" i="1"/>
  <c r="F853" i="1" a="1"/>
  <c r="F853" i="1" s="1"/>
  <c r="E853" i="1" a="1"/>
  <c r="E853" i="1" s="1"/>
  <c r="D853" i="1"/>
  <c r="C853" i="1"/>
  <c r="B853" i="1"/>
  <c r="A853" i="1"/>
  <c r="F852" i="1" a="1"/>
  <c r="F852" i="1" s="1"/>
  <c r="E852" i="1" a="1"/>
  <c r="E852" i="1" s="1"/>
  <c r="D852" i="1"/>
  <c r="C852" i="1"/>
  <c r="B852" i="1"/>
  <c r="A852" i="1"/>
  <c r="F851" i="1" a="1"/>
  <c r="F851" i="1" s="1"/>
  <c r="E851" i="1" a="1"/>
  <c r="E851" i="1" s="1"/>
  <c r="D851" i="1"/>
  <c r="C851" i="1"/>
  <c r="B851" i="1"/>
  <c r="A851" i="1"/>
  <c r="F850" i="1" a="1"/>
  <c r="F850" i="1" s="1"/>
  <c r="E850" i="1" a="1"/>
  <c r="E850" i="1" s="1"/>
  <c r="D850" i="1"/>
  <c r="C850" i="1"/>
  <c r="B850" i="1"/>
  <c r="A850" i="1"/>
  <c r="F849" i="1" a="1"/>
  <c r="F849" i="1" s="1"/>
  <c r="E849" i="1" a="1"/>
  <c r="E849" i="1" s="1"/>
  <c r="D849" i="1"/>
  <c r="C849" i="1"/>
  <c r="B849" i="1"/>
  <c r="A849" i="1"/>
  <c r="F848" i="1" a="1"/>
  <c r="F848" i="1" s="1"/>
  <c r="E848" i="1" a="1"/>
  <c r="E848" i="1" s="1"/>
  <c r="D848" i="1"/>
  <c r="C848" i="1"/>
  <c r="B848" i="1"/>
  <c r="A848" i="1"/>
  <c r="F847" i="1" a="1"/>
  <c r="F847" i="1" s="1"/>
  <c r="E847" i="1" a="1"/>
  <c r="E847" i="1" s="1"/>
  <c r="D847" i="1"/>
  <c r="C847" i="1"/>
  <c r="B847" i="1"/>
  <c r="A847" i="1"/>
  <c r="F846" i="1" a="1"/>
  <c r="F846" i="1" s="1"/>
  <c r="E846" i="1" a="1"/>
  <c r="E846" i="1" s="1"/>
  <c r="D846" i="1"/>
  <c r="C846" i="1"/>
  <c r="B846" i="1"/>
  <c r="A846" i="1"/>
  <c r="F845" i="1" a="1"/>
  <c r="F845" i="1" s="1"/>
  <c r="E845" i="1" a="1"/>
  <c r="E845" i="1" s="1"/>
  <c r="D845" i="1"/>
  <c r="C845" i="1"/>
  <c r="B845" i="1"/>
  <c r="A845" i="1"/>
  <c r="F844" i="1" a="1"/>
  <c r="F844" i="1" s="1"/>
  <c r="E844" i="1" a="1"/>
  <c r="E844" i="1" s="1"/>
  <c r="D844" i="1"/>
  <c r="C844" i="1"/>
  <c r="B844" i="1"/>
  <c r="A844" i="1"/>
  <c r="F843" i="1" a="1"/>
  <c r="F843" i="1" s="1"/>
  <c r="E843" i="1" a="1"/>
  <c r="E843" i="1" s="1"/>
  <c r="D843" i="1"/>
  <c r="C843" i="1"/>
  <c r="B843" i="1"/>
  <c r="A843" i="1"/>
  <c r="F842" i="1" a="1"/>
  <c r="F842" i="1" s="1"/>
  <c r="E842" i="1" a="1"/>
  <c r="E842" i="1" s="1"/>
  <c r="D842" i="1"/>
  <c r="C842" i="1"/>
  <c r="B842" i="1"/>
  <c r="A842" i="1"/>
  <c r="F841" i="1" a="1"/>
  <c r="F841" i="1" s="1"/>
  <c r="E841" i="1" a="1"/>
  <c r="E841" i="1" s="1"/>
  <c r="D841" i="1"/>
  <c r="C841" i="1"/>
  <c r="B841" i="1"/>
  <c r="A841" i="1"/>
  <c r="F840" i="1" a="1"/>
  <c r="F840" i="1" s="1"/>
  <c r="E840" i="1" a="1"/>
  <c r="E840" i="1" s="1"/>
  <c r="D840" i="1"/>
  <c r="C840" i="1"/>
  <c r="B840" i="1"/>
  <c r="A840" i="1"/>
  <c r="F839" i="1" a="1"/>
  <c r="F839" i="1" s="1"/>
  <c r="E839" i="1" a="1"/>
  <c r="E839" i="1" s="1"/>
  <c r="D839" i="1"/>
  <c r="C839" i="1"/>
  <c r="B839" i="1"/>
  <c r="A839" i="1"/>
  <c r="F838" i="1" a="1"/>
  <c r="F838" i="1" s="1"/>
  <c r="E838" i="1" a="1"/>
  <c r="E838" i="1" s="1"/>
  <c r="D838" i="1"/>
  <c r="C838" i="1"/>
  <c r="B838" i="1"/>
  <c r="A838" i="1"/>
  <c r="F837" i="1" a="1"/>
  <c r="F837" i="1" s="1"/>
  <c r="E837" i="1" a="1"/>
  <c r="E837" i="1" s="1"/>
  <c r="D837" i="1"/>
  <c r="C837" i="1"/>
  <c r="B837" i="1"/>
  <c r="A837" i="1"/>
  <c r="F836" i="1" a="1"/>
  <c r="F836" i="1" s="1"/>
  <c r="E836" i="1" a="1"/>
  <c r="E836" i="1" s="1"/>
  <c r="D836" i="1"/>
  <c r="C836" i="1"/>
  <c r="B836" i="1"/>
  <c r="A836" i="1"/>
  <c r="F835" i="1" a="1"/>
  <c r="F835" i="1" s="1"/>
  <c r="E835" i="1" a="1"/>
  <c r="E835" i="1" s="1"/>
  <c r="D835" i="1"/>
  <c r="C835" i="1"/>
  <c r="B835" i="1"/>
  <c r="A835" i="1"/>
  <c r="F834" i="1" a="1"/>
  <c r="F834" i="1" s="1"/>
  <c r="E834" i="1" a="1"/>
  <c r="E834" i="1" s="1"/>
  <c r="D834" i="1"/>
  <c r="C834" i="1"/>
  <c r="B834" i="1"/>
  <c r="A834" i="1"/>
  <c r="F833" i="1" a="1"/>
  <c r="F833" i="1" s="1"/>
  <c r="E833" i="1" a="1"/>
  <c r="E833" i="1" s="1"/>
  <c r="D833" i="1"/>
  <c r="C833" i="1"/>
  <c r="B833" i="1"/>
  <c r="A833" i="1"/>
  <c r="F832" i="1" a="1"/>
  <c r="F832" i="1" s="1"/>
  <c r="E832" i="1" a="1"/>
  <c r="E832" i="1" s="1"/>
  <c r="D832" i="1"/>
  <c r="C832" i="1"/>
  <c r="B832" i="1"/>
  <c r="A832" i="1"/>
  <c r="F831" i="1" a="1"/>
  <c r="F831" i="1" s="1"/>
  <c r="E831" i="1" a="1"/>
  <c r="E831" i="1" s="1"/>
  <c r="D831" i="1"/>
  <c r="C831" i="1"/>
  <c r="B831" i="1"/>
  <c r="A831" i="1"/>
  <c r="F830" i="1" a="1"/>
  <c r="F830" i="1" s="1"/>
  <c r="E830" i="1" a="1"/>
  <c r="E830" i="1" s="1"/>
  <c r="D830" i="1"/>
  <c r="C830" i="1"/>
  <c r="B830" i="1"/>
  <c r="A830" i="1"/>
  <c r="F829" i="1" a="1"/>
  <c r="F829" i="1" s="1"/>
  <c r="E829" i="1" a="1"/>
  <c r="E829" i="1" s="1"/>
  <c r="D829" i="1"/>
  <c r="C829" i="1"/>
  <c r="B829" i="1"/>
  <c r="A829" i="1"/>
  <c r="F828" i="1" a="1"/>
  <c r="F828" i="1" s="1"/>
  <c r="E828" i="1" a="1"/>
  <c r="E828" i="1" s="1"/>
  <c r="D828" i="1"/>
  <c r="C828" i="1"/>
  <c r="B828" i="1"/>
  <c r="A828" i="1"/>
  <c r="F827" i="1" a="1"/>
  <c r="F827" i="1" s="1"/>
  <c r="E827" i="1" a="1"/>
  <c r="E827" i="1" s="1"/>
  <c r="D827" i="1"/>
  <c r="C827" i="1"/>
  <c r="B827" i="1"/>
  <c r="A827" i="1"/>
  <c r="F826" i="1" a="1"/>
  <c r="F826" i="1" s="1"/>
  <c r="E826" i="1" a="1"/>
  <c r="E826" i="1" s="1"/>
  <c r="D826" i="1"/>
  <c r="C826" i="1"/>
  <c r="B826" i="1"/>
  <c r="A826" i="1"/>
  <c r="F825" i="1" a="1"/>
  <c r="F825" i="1" s="1"/>
  <c r="E825" i="1" a="1"/>
  <c r="E825" i="1" s="1"/>
  <c r="D825" i="1"/>
  <c r="C825" i="1"/>
  <c r="B825" i="1"/>
  <c r="A825" i="1"/>
  <c r="F824" i="1" a="1"/>
  <c r="F824" i="1" s="1"/>
  <c r="E824" i="1" a="1"/>
  <c r="E824" i="1" s="1"/>
  <c r="D824" i="1"/>
  <c r="C824" i="1"/>
  <c r="B824" i="1"/>
  <c r="A824" i="1"/>
  <c r="F823" i="1" a="1"/>
  <c r="F823" i="1" s="1"/>
  <c r="E823" i="1" a="1"/>
  <c r="E823" i="1" s="1"/>
  <c r="D823" i="1"/>
  <c r="C823" i="1"/>
  <c r="B823" i="1"/>
  <c r="A823" i="1"/>
  <c r="F822" i="1" a="1"/>
  <c r="F822" i="1" s="1"/>
  <c r="E822" i="1" a="1"/>
  <c r="E822" i="1" s="1"/>
  <c r="D822" i="1"/>
  <c r="C822" i="1"/>
  <c r="B822" i="1"/>
  <c r="A822" i="1"/>
  <c r="F821" i="1" a="1"/>
  <c r="F821" i="1" s="1"/>
  <c r="E821" i="1" a="1"/>
  <c r="E821" i="1" s="1"/>
  <c r="D821" i="1"/>
  <c r="C821" i="1"/>
  <c r="B821" i="1"/>
  <c r="A821" i="1"/>
  <c r="F820" i="1" a="1"/>
  <c r="F820" i="1" s="1"/>
  <c r="E820" i="1" a="1"/>
  <c r="E820" i="1" s="1"/>
  <c r="D820" i="1"/>
  <c r="C820" i="1"/>
  <c r="B820" i="1"/>
  <c r="A820" i="1"/>
  <c r="F819" i="1" a="1"/>
  <c r="F819" i="1" s="1"/>
  <c r="E819" i="1" a="1"/>
  <c r="E819" i="1" s="1"/>
  <c r="D819" i="1"/>
  <c r="C819" i="1"/>
  <c r="B819" i="1"/>
  <c r="A819" i="1"/>
  <c r="F818" i="1" a="1"/>
  <c r="F818" i="1" s="1"/>
  <c r="E818" i="1" a="1"/>
  <c r="E818" i="1" s="1"/>
  <c r="D818" i="1"/>
  <c r="C818" i="1"/>
  <c r="B818" i="1"/>
  <c r="A818" i="1"/>
  <c r="F817" i="1" a="1"/>
  <c r="F817" i="1" s="1"/>
  <c r="E817" i="1" a="1"/>
  <c r="E817" i="1" s="1"/>
  <c r="D817" i="1"/>
  <c r="C817" i="1"/>
  <c r="B817" i="1"/>
  <c r="A817" i="1"/>
  <c r="F816" i="1" a="1"/>
  <c r="F816" i="1" s="1"/>
  <c r="E816" i="1" a="1"/>
  <c r="E816" i="1" s="1"/>
  <c r="D816" i="1"/>
  <c r="C816" i="1"/>
  <c r="B816" i="1"/>
  <c r="A816" i="1"/>
  <c r="F815" i="1" a="1"/>
  <c r="F815" i="1" s="1"/>
  <c r="E815" i="1" a="1"/>
  <c r="E815" i="1" s="1"/>
  <c r="D815" i="1"/>
  <c r="C815" i="1"/>
  <c r="B815" i="1"/>
  <c r="A815" i="1"/>
  <c r="F814" i="1" a="1"/>
  <c r="F814" i="1" s="1"/>
  <c r="E814" i="1" a="1"/>
  <c r="E814" i="1" s="1"/>
  <c r="D814" i="1"/>
  <c r="C814" i="1"/>
  <c r="B814" i="1"/>
  <c r="A814" i="1"/>
  <c r="F813" i="1" a="1"/>
  <c r="F813" i="1" s="1"/>
  <c r="E813" i="1" a="1"/>
  <c r="E813" i="1" s="1"/>
  <c r="D813" i="1"/>
  <c r="C813" i="1"/>
  <c r="B813" i="1"/>
  <c r="A813" i="1"/>
  <c r="F812" i="1" a="1"/>
  <c r="F812" i="1" s="1"/>
  <c r="E812" i="1" a="1"/>
  <c r="E812" i="1" s="1"/>
  <c r="D812" i="1"/>
  <c r="C812" i="1"/>
  <c r="B812" i="1"/>
  <c r="A812" i="1"/>
  <c r="F811" i="1" a="1"/>
  <c r="F811" i="1" s="1"/>
  <c r="E811" i="1" a="1"/>
  <c r="E811" i="1" s="1"/>
  <c r="D811" i="1"/>
  <c r="C811" i="1"/>
  <c r="B811" i="1"/>
  <c r="A811" i="1"/>
  <c r="F810" i="1" a="1"/>
  <c r="F810" i="1" s="1"/>
  <c r="E810" i="1" a="1"/>
  <c r="E810" i="1" s="1"/>
  <c r="D810" i="1"/>
  <c r="C810" i="1"/>
  <c r="B810" i="1"/>
  <c r="A810" i="1"/>
  <c r="F809" i="1" a="1"/>
  <c r="F809" i="1" s="1"/>
  <c r="E809" i="1" a="1"/>
  <c r="E809" i="1" s="1"/>
  <c r="D809" i="1"/>
  <c r="C809" i="1"/>
  <c r="B809" i="1"/>
  <c r="A809" i="1"/>
  <c r="F808" i="1" a="1"/>
  <c r="F808" i="1" s="1"/>
  <c r="E808" i="1" a="1"/>
  <c r="E808" i="1" s="1"/>
  <c r="D808" i="1"/>
  <c r="C808" i="1"/>
  <c r="B808" i="1"/>
  <c r="A808" i="1"/>
  <c r="F807" i="1" a="1"/>
  <c r="F807" i="1" s="1"/>
  <c r="E807" i="1" a="1"/>
  <c r="E807" i="1" s="1"/>
  <c r="D807" i="1"/>
  <c r="C807" i="1"/>
  <c r="B807" i="1"/>
  <c r="A807" i="1"/>
  <c r="F806" i="1" a="1"/>
  <c r="F806" i="1" s="1"/>
  <c r="E806" i="1" a="1"/>
  <c r="E806" i="1" s="1"/>
  <c r="D806" i="1"/>
  <c r="C806" i="1"/>
  <c r="B806" i="1"/>
  <c r="A806" i="1"/>
  <c r="F805" i="1" a="1"/>
  <c r="F805" i="1" s="1"/>
  <c r="E805" i="1" a="1"/>
  <c r="E805" i="1" s="1"/>
  <c r="D805" i="1"/>
  <c r="C805" i="1"/>
  <c r="B805" i="1"/>
  <c r="A805" i="1"/>
  <c r="F804" i="1" a="1"/>
  <c r="F804" i="1" s="1"/>
  <c r="E804" i="1" a="1"/>
  <c r="E804" i="1" s="1"/>
  <c r="D804" i="1"/>
  <c r="C804" i="1"/>
  <c r="B804" i="1"/>
  <c r="A804" i="1"/>
  <c r="F803" i="1" a="1"/>
  <c r="F803" i="1" s="1"/>
  <c r="E803" i="1" a="1"/>
  <c r="E803" i="1" s="1"/>
  <c r="D803" i="1"/>
  <c r="C803" i="1"/>
  <c r="B803" i="1"/>
  <c r="A803" i="1"/>
  <c r="F802" i="1" a="1"/>
  <c r="F802" i="1" s="1"/>
  <c r="E802" i="1" a="1"/>
  <c r="E802" i="1" s="1"/>
  <c r="D802" i="1"/>
  <c r="C802" i="1"/>
  <c r="B802" i="1"/>
  <c r="A802" i="1"/>
  <c r="F801" i="1" a="1"/>
  <c r="F801" i="1" s="1"/>
  <c r="E801" i="1" a="1"/>
  <c r="E801" i="1" s="1"/>
  <c r="D801" i="1"/>
  <c r="C801" i="1"/>
  <c r="B801" i="1"/>
  <c r="A801" i="1"/>
  <c r="F800" i="1" a="1"/>
  <c r="F800" i="1" s="1"/>
  <c r="E800" i="1" a="1"/>
  <c r="E800" i="1" s="1"/>
  <c r="D800" i="1"/>
  <c r="C800" i="1"/>
  <c r="B800" i="1"/>
  <c r="A800" i="1"/>
  <c r="F799" i="1" a="1"/>
  <c r="F799" i="1" s="1"/>
  <c r="E799" i="1" a="1"/>
  <c r="E799" i="1" s="1"/>
  <c r="D799" i="1"/>
  <c r="C799" i="1"/>
  <c r="B799" i="1"/>
  <c r="A799" i="1"/>
  <c r="F798" i="1" a="1"/>
  <c r="F798" i="1" s="1"/>
  <c r="E798" i="1" a="1"/>
  <c r="E798" i="1" s="1"/>
  <c r="D798" i="1"/>
  <c r="C798" i="1"/>
  <c r="B798" i="1"/>
  <c r="A798" i="1"/>
  <c r="F797" i="1" a="1"/>
  <c r="F797" i="1" s="1"/>
  <c r="E797" i="1" a="1"/>
  <c r="E797" i="1" s="1"/>
  <c r="D797" i="1"/>
  <c r="C797" i="1"/>
  <c r="B797" i="1"/>
  <c r="A797" i="1"/>
  <c r="F796" i="1" a="1"/>
  <c r="F796" i="1" s="1"/>
  <c r="E796" i="1" a="1"/>
  <c r="E796" i="1" s="1"/>
  <c r="D796" i="1"/>
  <c r="C796" i="1"/>
  <c r="B796" i="1"/>
  <c r="A796" i="1"/>
  <c r="F795" i="1" a="1"/>
  <c r="F795" i="1" s="1"/>
  <c r="E795" i="1" a="1"/>
  <c r="E795" i="1" s="1"/>
  <c r="D795" i="1"/>
  <c r="C795" i="1"/>
  <c r="B795" i="1"/>
  <c r="A795" i="1"/>
  <c r="F794" i="1" a="1"/>
  <c r="F794" i="1" s="1"/>
  <c r="E794" i="1" a="1"/>
  <c r="E794" i="1" s="1"/>
  <c r="D794" i="1"/>
  <c r="C794" i="1"/>
  <c r="B794" i="1"/>
  <c r="A794" i="1"/>
  <c r="F793" i="1" a="1"/>
  <c r="F793" i="1" s="1"/>
  <c r="E793" i="1" a="1"/>
  <c r="E793" i="1" s="1"/>
  <c r="D793" i="1"/>
  <c r="C793" i="1"/>
  <c r="B793" i="1"/>
  <c r="A793" i="1"/>
  <c r="F792" i="1" a="1"/>
  <c r="F792" i="1" s="1"/>
  <c r="E792" i="1" a="1"/>
  <c r="E792" i="1" s="1"/>
  <c r="D792" i="1"/>
  <c r="C792" i="1"/>
  <c r="B792" i="1"/>
  <c r="A792" i="1"/>
  <c r="F791" i="1" a="1"/>
  <c r="F791" i="1" s="1"/>
  <c r="E791" i="1" a="1"/>
  <c r="E791" i="1" s="1"/>
  <c r="D791" i="1"/>
  <c r="C791" i="1"/>
  <c r="B791" i="1"/>
  <c r="A791" i="1"/>
  <c r="F790" i="1" a="1"/>
  <c r="F790" i="1" s="1"/>
  <c r="E790" i="1" a="1"/>
  <c r="E790" i="1" s="1"/>
  <c r="D790" i="1"/>
  <c r="C790" i="1"/>
  <c r="B790" i="1"/>
  <c r="A790" i="1"/>
  <c r="F789" i="1" a="1"/>
  <c r="F789" i="1" s="1"/>
  <c r="E789" i="1" a="1"/>
  <c r="E789" i="1" s="1"/>
  <c r="D789" i="1"/>
  <c r="C789" i="1"/>
  <c r="B789" i="1"/>
  <c r="A789" i="1"/>
  <c r="F788" i="1" a="1"/>
  <c r="F788" i="1" s="1"/>
  <c r="E788" i="1" a="1"/>
  <c r="E788" i="1" s="1"/>
  <c r="D788" i="1"/>
  <c r="C788" i="1"/>
  <c r="B788" i="1"/>
  <c r="A788" i="1"/>
  <c r="F787" i="1" a="1"/>
  <c r="F787" i="1" s="1"/>
  <c r="E787" i="1" a="1"/>
  <c r="E787" i="1" s="1"/>
  <c r="D787" i="1"/>
  <c r="C787" i="1"/>
  <c r="B787" i="1"/>
  <c r="A787" i="1"/>
  <c r="F786" i="1" a="1"/>
  <c r="F786" i="1" s="1"/>
  <c r="E786" i="1" a="1"/>
  <c r="E786" i="1" s="1"/>
  <c r="D786" i="1"/>
  <c r="C786" i="1"/>
  <c r="B786" i="1"/>
  <c r="A786" i="1"/>
  <c r="F785" i="1" a="1"/>
  <c r="F785" i="1" s="1"/>
  <c r="E785" i="1" a="1"/>
  <c r="E785" i="1" s="1"/>
  <c r="D785" i="1"/>
  <c r="C785" i="1"/>
  <c r="B785" i="1"/>
  <c r="A785" i="1"/>
  <c r="F784" i="1" a="1"/>
  <c r="F784" i="1" s="1"/>
  <c r="E784" i="1" a="1"/>
  <c r="E784" i="1" s="1"/>
  <c r="D784" i="1"/>
  <c r="C784" i="1"/>
  <c r="B784" i="1"/>
  <c r="A784" i="1"/>
  <c r="F783" i="1" a="1"/>
  <c r="F783" i="1" s="1"/>
  <c r="E783" i="1" a="1"/>
  <c r="E783" i="1" s="1"/>
  <c r="D783" i="1"/>
  <c r="C783" i="1"/>
  <c r="B783" i="1"/>
  <c r="A783" i="1"/>
  <c r="F782" i="1" a="1"/>
  <c r="F782" i="1" s="1"/>
  <c r="E782" i="1" a="1"/>
  <c r="E782" i="1" s="1"/>
  <c r="D782" i="1"/>
  <c r="C782" i="1"/>
  <c r="B782" i="1"/>
  <c r="A782" i="1"/>
  <c r="F781" i="1" a="1"/>
  <c r="F781" i="1" s="1"/>
  <c r="E781" i="1" a="1"/>
  <c r="E781" i="1" s="1"/>
  <c r="D781" i="1"/>
  <c r="C781" i="1"/>
  <c r="B781" i="1"/>
  <c r="A781" i="1"/>
  <c r="F780" i="1" a="1"/>
  <c r="F780" i="1" s="1"/>
  <c r="E780" i="1" a="1"/>
  <c r="E780" i="1" s="1"/>
  <c r="D780" i="1"/>
  <c r="C780" i="1"/>
  <c r="B780" i="1"/>
  <c r="A780" i="1"/>
  <c r="F779" i="1" a="1"/>
  <c r="F779" i="1" s="1"/>
  <c r="E779" i="1" a="1"/>
  <c r="E779" i="1" s="1"/>
  <c r="D779" i="1"/>
  <c r="C779" i="1"/>
  <c r="B779" i="1"/>
  <c r="A779" i="1"/>
  <c r="F778" i="1" a="1"/>
  <c r="F778" i="1" s="1"/>
  <c r="E778" i="1" a="1"/>
  <c r="E778" i="1" s="1"/>
  <c r="D778" i="1"/>
  <c r="C778" i="1"/>
  <c r="B778" i="1"/>
  <c r="A778" i="1"/>
  <c r="F777" i="1" a="1"/>
  <c r="F777" i="1" s="1"/>
  <c r="E777" i="1" a="1"/>
  <c r="E777" i="1" s="1"/>
  <c r="D777" i="1"/>
  <c r="C777" i="1"/>
  <c r="B777" i="1"/>
  <c r="A777" i="1"/>
  <c r="F776" i="1" a="1"/>
  <c r="F776" i="1" s="1"/>
  <c r="E776" i="1" a="1"/>
  <c r="E776" i="1" s="1"/>
  <c r="D776" i="1"/>
  <c r="C776" i="1"/>
  <c r="B776" i="1"/>
  <c r="A776" i="1"/>
  <c r="F775" i="1" a="1"/>
  <c r="F775" i="1" s="1"/>
  <c r="E775" i="1" a="1"/>
  <c r="E775" i="1" s="1"/>
  <c r="D775" i="1"/>
  <c r="C775" i="1"/>
  <c r="B775" i="1"/>
  <c r="A775" i="1"/>
  <c r="F774" i="1" a="1"/>
  <c r="F774" i="1" s="1"/>
  <c r="E774" i="1" a="1"/>
  <c r="E774" i="1" s="1"/>
  <c r="D774" i="1"/>
  <c r="C774" i="1"/>
  <c r="B774" i="1"/>
  <c r="A774" i="1"/>
  <c r="F773" i="1" a="1"/>
  <c r="F773" i="1" s="1"/>
  <c r="E773" i="1" a="1"/>
  <c r="E773" i="1" s="1"/>
  <c r="D773" i="1"/>
  <c r="C773" i="1"/>
  <c r="B773" i="1"/>
  <c r="A773" i="1"/>
  <c r="F772" i="1" a="1"/>
  <c r="F772" i="1" s="1"/>
  <c r="E772" i="1" a="1"/>
  <c r="E772" i="1" s="1"/>
  <c r="D772" i="1"/>
  <c r="C772" i="1"/>
  <c r="B772" i="1"/>
  <c r="A772" i="1"/>
  <c r="F771" i="1" a="1"/>
  <c r="F771" i="1" s="1"/>
  <c r="E771" i="1" a="1"/>
  <c r="E771" i="1" s="1"/>
  <c r="D771" i="1"/>
  <c r="C771" i="1"/>
  <c r="B771" i="1"/>
  <c r="A771" i="1"/>
  <c r="F770" i="1" a="1"/>
  <c r="F770" i="1" s="1"/>
  <c r="E770" i="1" a="1"/>
  <c r="E770" i="1" s="1"/>
  <c r="D770" i="1"/>
  <c r="C770" i="1"/>
  <c r="B770" i="1"/>
  <c r="A770" i="1"/>
  <c r="F769" i="1" a="1"/>
  <c r="F769" i="1" s="1"/>
  <c r="E769" i="1" a="1"/>
  <c r="E769" i="1" s="1"/>
  <c r="D769" i="1"/>
  <c r="C769" i="1"/>
  <c r="B769" i="1"/>
  <c r="A769" i="1"/>
  <c r="F768" i="1" a="1"/>
  <c r="F768" i="1" s="1"/>
  <c r="E768" i="1" a="1"/>
  <c r="E768" i="1" s="1"/>
  <c r="D768" i="1"/>
  <c r="C768" i="1"/>
  <c r="B768" i="1"/>
  <c r="A768" i="1"/>
  <c r="F767" i="1" a="1"/>
  <c r="F767" i="1" s="1"/>
  <c r="E767" i="1" a="1"/>
  <c r="E767" i="1" s="1"/>
  <c r="D767" i="1"/>
  <c r="C767" i="1"/>
  <c r="B767" i="1"/>
  <c r="A767" i="1"/>
  <c r="F766" i="1" a="1"/>
  <c r="F766" i="1" s="1"/>
  <c r="E766" i="1" a="1"/>
  <c r="E766" i="1" s="1"/>
  <c r="D766" i="1"/>
  <c r="C766" i="1"/>
  <c r="B766" i="1"/>
  <c r="A766" i="1"/>
  <c r="F765" i="1" a="1"/>
  <c r="F765" i="1" s="1"/>
  <c r="E765" i="1" a="1"/>
  <c r="E765" i="1" s="1"/>
  <c r="D765" i="1"/>
  <c r="C765" i="1"/>
  <c r="B765" i="1"/>
  <c r="A765" i="1"/>
  <c r="F764" i="1" a="1"/>
  <c r="F764" i="1" s="1"/>
  <c r="E764" i="1" a="1"/>
  <c r="E764" i="1" s="1"/>
  <c r="D764" i="1"/>
  <c r="C764" i="1"/>
  <c r="B764" i="1"/>
  <c r="A764" i="1"/>
  <c r="F763" i="1" a="1"/>
  <c r="F763" i="1" s="1"/>
  <c r="E763" i="1" a="1"/>
  <c r="E763" i="1" s="1"/>
  <c r="D763" i="1"/>
  <c r="C763" i="1"/>
  <c r="B763" i="1"/>
  <c r="A763" i="1"/>
  <c r="F762" i="1" a="1"/>
  <c r="F762" i="1" s="1"/>
  <c r="E762" i="1" a="1"/>
  <c r="E762" i="1" s="1"/>
  <c r="D762" i="1"/>
  <c r="C762" i="1"/>
  <c r="B762" i="1"/>
  <c r="A762" i="1"/>
  <c r="F761" i="1" a="1"/>
  <c r="F761" i="1" s="1"/>
  <c r="E761" i="1" a="1"/>
  <c r="E761" i="1" s="1"/>
  <c r="D761" i="1"/>
  <c r="C761" i="1"/>
  <c r="B761" i="1"/>
  <c r="A761" i="1"/>
  <c r="F760" i="1" a="1"/>
  <c r="F760" i="1" s="1"/>
  <c r="E760" i="1" a="1"/>
  <c r="E760" i="1" s="1"/>
  <c r="D760" i="1"/>
  <c r="C760" i="1"/>
  <c r="B760" i="1"/>
  <c r="A760" i="1"/>
  <c r="F759" i="1" a="1"/>
  <c r="F759" i="1" s="1"/>
  <c r="E759" i="1" a="1"/>
  <c r="E759" i="1" s="1"/>
  <c r="D759" i="1"/>
  <c r="C759" i="1"/>
  <c r="B759" i="1"/>
  <c r="A759" i="1"/>
  <c r="F758" i="1" a="1"/>
  <c r="F758" i="1" s="1"/>
  <c r="E758" i="1" a="1"/>
  <c r="E758" i="1" s="1"/>
  <c r="D758" i="1"/>
  <c r="C758" i="1"/>
  <c r="B758" i="1"/>
  <c r="A758" i="1"/>
  <c r="F757" i="1" a="1"/>
  <c r="F757" i="1" s="1"/>
  <c r="E757" i="1" a="1"/>
  <c r="E757" i="1" s="1"/>
  <c r="D757" i="1"/>
  <c r="C757" i="1"/>
  <c r="B757" i="1"/>
  <c r="A757" i="1"/>
  <c r="F756" i="1" a="1"/>
  <c r="F756" i="1" s="1"/>
  <c r="E756" i="1" a="1"/>
  <c r="E756" i="1" s="1"/>
  <c r="D756" i="1"/>
  <c r="C756" i="1"/>
  <c r="B756" i="1"/>
  <c r="A756" i="1"/>
  <c r="F755" i="1" a="1"/>
  <c r="F755" i="1" s="1"/>
  <c r="E755" i="1" a="1"/>
  <c r="E755" i="1" s="1"/>
  <c r="D755" i="1"/>
  <c r="C755" i="1"/>
  <c r="B755" i="1"/>
  <c r="A755" i="1"/>
  <c r="F754" i="1" a="1"/>
  <c r="F754" i="1" s="1"/>
  <c r="E754" i="1" a="1"/>
  <c r="E754" i="1" s="1"/>
  <c r="D754" i="1"/>
  <c r="C754" i="1"/>
  <c r="B754" i="1"/>
  <c r="A754" i="1"/>
  <c r="F753" i="1" a="1"/>
  <c r="F753" i="1" s="1"/>
  <c r="E753" i="1" a="1"/>
  <c r="E753" i="1" s="1"/>
  <c r="D753" i="1"/>
  <c r="C753" i="1"/>
  <c r="B753" i="1"/>
  <c r="A753" i="1"/>
  <c r="F752" i="1" a="1"/>
  <c r="F752" i="1" s="1"/>
  <c r="E752" i="1" a="1"/>
  <c r="E752" i="1" s="1"/>
  <c r="D752" i="1"/>
  <c r="C752" i="1"/>
  <c r="B752" i="1"/>
  <c r="A752" i="1"/>
  <c r="F751" i="1" a="1"/>
  <c r="F751" i="1" s="1"/>
  <c r="E751" i="1" a="1"/>
  <c r="E751" i="1" s="1"/>
  <c r="D751" i="1"/>
  <c r="C751" i="1"/>
  <c r="B751" i="1"/>
  <c r="A751" i="1"/>
  <c r="F750" i="1" a="1"/>
  <c r="F750" i="1" s="1"/>
  <c r="E750" i="1" a="1"/>
  <c r="E750" i="1" s="1"/>
  <c r="D750" i="1"/>
  <c r="C750" i="1"/>
  <c r="B750" i="1"/>
  <c r="A750" i="1"/>
  <c r="F749" i="1" a="1"/>
  <c r="F749" i="1" s="1"/>
  <c r="E749" i="1" a="1"/>
  <c r="E749" i="1" s="1"/>
  <c r="D749" i="1"/>
  <c r="C749" i="1"/>
  <c r="B749" i="1"/>
  <c r="A749" i="1"/>
  <c r="F748" i="1" a="1"/>
  <c r="F748" i="1" s="1"/>
  <c r="E748" i="1" a="1"/>
  <c r="E748" i="1" s="1"/>
  <c r="D748" i="1"/>
  <c r="C748" i="1"/>
  <c r="B748" i="1"/>
  <c r="A748" i="1"/>
  <c r="F747" i="1" a="1"/>
  <c r="F747" i="1" s="1"/>
  <c r="E747" i="1" a="1"/>
  <c r="E747" i="1" s="1"/>
  <c r="D747" i="1"/>
  <c r="C747" i="1"/>
  <c r="B747" i="1"/>
  <c r="A747" i="1"/>
  <c r="F746" i="1" a="1"/>
  <c r="F746" i="1" s="1"/>
  <c r="E746" i="1" a="1"/>
  <c r="E746" i="1" s="1"/>
  <c r="D746" i="1"/>
  <c r="C746" i="1"/>
  <c r="B746" i="1"/>
  <c r="A746" i="1"/>
  <c r="F745" i="1" a="1"/>
  <c r="F745" i="1" s="1"/>
  <c r="E745" i="1" a="1"/>
  <c r="E745" i="1" s="1"/>
  <c r="D745" i="1"/>
  <c r="C745" i="1"/>
  <c r="B745" i="1"/>
  <c r="A745" i="1"/>
  <c r="F744" i="1" a="1"/>
  <c r="F744" i="1" s="1"/>
  <c r="E744" i="1" a="1"/>
  <c r="E744" i="1" s="1"/>
  <c r="D744" i="1"/>
  <c r="C744" i="1"/>
  <c r="B744" i="1"/>
  <c r="A744" i="1"/>
  <c r="F743" i="1" a="1"/>
  <c r="F743" i="1" s="1"/>
  <c r="E743" i="1" a="1"/>
  <c r="E743" i="1" s="1"/>
  <c r="D743" i="1"/>
  <c r="C743" i="1"/>
  <c r="B743" i="1"/>
  <c r="A743" i="1"/>
  <c r="F742" i="1" a="1"/>
  <c r="F742" i="1" s="1"/>
  <c r="E742" i="1" a="1"/>
  <c r="E742" i="1" s="1"/>
  <c r="D742" i="1"/>
  <c r="C742" i="1"/>
  <c r="B742" i="1"/>
  <c r="A742" i="1"/>
  <c r="F741" i="1" a="1"/>
  <c r="F741" i="1" s="1"/>
  <c r="E741" i="1" a="1"/>
  <c r="E741" i="1" s="1"/>
  <c r="D741" i="1"/>
  <c r="C741" i="1"/>
  <c r="B741" i="1"/>
  <c r="A741" i="1"/>
  <c r="F740" i="1" a="1"/>
  <c r="F740" i="1" s="1"/>
  <c r="E740" i="1" a="1"/>
  <c r="E740" i="1" s="1"/>
  <c r="D740" i="1"/>
  <c r="C740" i="1"/>
  <c r="B740" i="1"/>
  <c r="A740" i="1"/>
  <c r="F739" i="1" a="1"/>
  <c r="F739" i="1" s="1"/>
  <c r="E739" i="1" a="1"/>
  <c r="E739" i="1" s="1"/>
  <c r="D739" i="1"/>
  <c r="C739" i="1"/>
  <c r="B739" i="1"/>
  <c r="A739" i="1"/>
  <c r="F738" i="1" a="1"/>
  <c r="F738" i="1" s="1"/>
  <c r="E738" i="1" a="1"/>
  <c r="E738" i="1" s="1"/>
  <c r="D738" i="1"/>
  <c r="C738" i="1"/>
  <c r="B738" i="1"/>
  <c r="A738" i="1"/>
  <c r="F737" i="1" a="1"/>
  <c r="F737" i="1" s="1"/>
  <c r="E737" i="1" a="1"/>
  <c r="E737" i="1" s="1"/>
  <c r="D737" i="1"/>
  <c r="C737" i="1"/>
  <c r="B737" i="1"/>
  <c r="A737" i="1"/>
  <c r="F736" i="1" a="1"/>
  <c r="F736" i="1" s="1"/>
  <c r="E736" i="1" a="1"/>
  <c r="E736" i="1" s="1"/>
  <c r="D736" i="1"/>
  <c r="C736" i="1"/>
  <c r="B736" i="1"/>
  <c r="A736" i="1"/>
  <c r="F735" i="1" a="1"/>
  <c r="F735" i="1" s="1"/>
  <c r="E735" i="1" a="1"/>
  <c r="E735" i="1" s="1"/>
  <c r="D735" i="1"/>
  <c r="C735" i="1"/>
  <c r="B735" i="1"/>
  <c r="A735" i="1"/>
  <c r="F734" i="1" a="1"/>
  <c r="F734" i="1" s="1"/>
  <c r="E734" i="1" a="1"/>
  <c r="E734" i="1" s="1"/>
  <c r="D734" i="1"/>
  <c r="C734" i="1"/>
  <c r="B734" i="1"/>
  <c r="A734" i="1"/>
  <c r="F733" i="1" a="1"/>
  <c r="F733" i="1" s="1"/>
  <c r="E733" i="1" a="1"/>
  <c r="E733" i="1" s="1"/>
  <c r="D733" i="1"/>
  <c r="C733" i="1"/>
  <c r="B733" i="1"/>
  <c r="A733" i="1"/>
  <c r="F732" i="1" a="1"/>
  <c r="F732" i="1" s="1"/>
  <c r="E732" i="1" a="1"/>
  <c r="E732" i="1" s="1"/>
  <c r="D732" i="1"/>
  <c r="C732" i="1"/>
  <c r="B732" i="1"/>
  <c r="A732" i="1"/>
  <c r="F731" i="1" a="1"/>
  <c r="F731" i="1" s="1"/>
  <c r="E731" i="1" a="1"/>
  <c r="E731" i="1" s="1"/>
  <c r="D731" i="1"/>
  <c r="C731" i="1"/>
  <c r="B731" i="1"/>
  <c r="A731" i="1"/>
  <c r="F730" i="1" a="1"/>
  <c r="F730" i="1" s="1"/>
  <c r="E730" i="1" a="1"/>
  <c r="E730" i="1" s="1"/>
  <c r="D730" i="1"/>
  <c r="C730" i="1"/>
  <c r="B730" i="1"/>
  <c r="A730" i="1"/>
  <c r="F729" i="1" a="1"/>
  <c r="F729" i="1" s="1"/>
  <c r="E729" i="1" a="1"/>
  <c r="E729" i="1" s="1"/>
  <c r="D729" i="1"/>
  <c r="C729" i="1"/>
  <c r="B729" i="1"/>
  <c r="A729" i="1"/>
  <c r="F728" i="1" a="1"/>
  <c r="F728" i="1" s="1"/>
  <c r="E728" i="1" a="1"/>
  <c r="E728" i="1" s="1"/>
  <c r="D728" i="1"/>
  <c r="C728" i="1"/>
  <c r="B728" i="1"/>
  <c r="A728" i="1"/>
  <c r="F727" i="1" a="1"/>
  <c r="F727" i="1" s="1"/>
  <c r="E727" i="1" a="1"/>
  <c r="E727" i="1" s="1"/>
  <c r="D727" i="1"/>
  <c r="C727" i="1"/>
  <c r="B727" i="1"/>
  <c r="A727" i="1"/>
  <c r="F726" i="1" a="1"/>
  <c r="F726" i="1" s="1"/>
  <c r="E726" i="1" a="1"/>
  <c r="E726" i="1" s="1"/>
  <c r="D726" i="1"/>
  <c r="C726" i="1"/>
  <c r="B726" i="1"/>
  <c r="A726" i="1"/>
  <c r="F725" i="1" a="1"/>
  <c r="F725" i="1" s="1"/>
  <c r="E725" i="1" a="1"/>
  <c r="E725" i="1" s="1"/>
  <c r="D725" i="1"/>
  <c r="C725" i="1"/>
  <c r="B725" i="1"/>
  <c r="A725" i="1"/>
  <c r="F724" i="1" a="1"/>
  <c r="F724" i="1" s="1"/>
  <c r="E724" i="1" a="1"/>
  <c r="E724" i="1" s="1"/>
  <c r="D724" i="1"/>
  <c r="C724" i="1"/>
  <c r="B724" i="1"/>
  <c r="A724" i="1"/>
  <c r="F723" i="1" a="1"/>
  <c r="F723" i="1" s="1"/>
  <c r="E723" i="1" a="1"/>
  <c r="E723" i="1" s="1"/>
  <c r="D723" i="1"/>
  <c r="C723" i="1"/>
  <c r="B723" i="1"/>
  <c r="A723" i="1"/>
  <c r="F722" i="1" a="1"/>
  <c r="F722" i="1" s="1"/>
  <c r="E722" i="1" a="1"/>
  <c r="E722" i="1" s="1"/>
  <c r="D722" i="1"/>
  <c r="C722" i="1"/>
  <c r="B722" i="1"/>
  <c r="A722" i="1"/>
  <c r="F721" i="1" a="1"/>
  <c r="F721" i="1" s="1"/>
  <c r="E721" i="1" a="1"/>
  <c r="E721" i="1" s="1"/>
  <c r="D721" i="1"/>
  <c r="C721" i="1"/>
  <c r="B721" i="1"/>
  <c r="A721" i="1"/>
  <c r="F720" i="1" a="1"/>
  <c r="F720" i="1" s="1"/>
  <c r="E720" i="1" a="1"/>
  <c r="E720" i="1" s="1"/>
  <c r="D720" i="1"/>
  <c r="C720" i="1"/>
  <c r="B720" i="1"/>
  <c r="A720" i="1"/>
  <c r="F719" i="1" a="1"/>
  <c r="F719" i="1" s="1"/>
  <c r="E719" i="1" a="1"/>
  <c r="E719" i="1" s="1"/>
  <c r="D719" i="1"/>
  <c r="C719" i="1"/>
  <c r="B719" i="1"/>
  <c r="A719" i="1"/>
  <c r="F718" i="1" a="1"/>
  <c r="F718" i="1" s="1"/>
  <c r="E718" i="1" a="1"/>
  <c r="E718" i="1" s="1"/>
  <c r="D718" i="1"/>
  <c r="C718" i="1"/>
  <c r="B718" i="1"/>
  <c r="A718" i="1"/>
  <c r="F717" i="1" a="1"/>
  <c r="F717" i="1" s="1"/>
  <c r="E717" i="1" a="1"/>
  <c r="E717" i="1" s="1"/>
  <c r="D717" i="1"/>
  <c r="C717" i="1"/>
  <c r="B717" i="1"/>
  <c r="A717" i="1"/>
  <c r="F716" i="1" a="1"/>
  <c r="F716" i="1" s="1"/>
  <c r="E716" i="1" a="1"/>
  <c r="E716" i="1" s="1"/>
  <c r="D716" i="1"/>
  <c r="C716" i="1"/>
  <c r="B716" i="1"/>
  <c r="A716" i="1"/>
  <c r="F715" i="1" a="1"/>
  <c r="F715" i="1" s="1"/>
  <c r="E715" i="1" a="1"/>
  <c r="E715" i="1" s="1"/>
  <c r="D715" i="1"/>
  <c r="C715" i="1"/>
  <c r="B715" i="1"/>
  <c r="A715" i="1"/>
  <c r="F714" i="1" a="1"/>
  <c r="F714" i="1" s="1"/>
  <c r="E714" i="1" a="1"/>
  <c r="E714" i="1" s="1"/>
  <c r="D714" i="1"/>
  <c r="C714" i="1"/>
  <c r="B714" i="1"/>
  <c r="A714" i="1"/>
  <c r="F713" i="1" a="1"/>
  <c r="F713" i="1" s="1"/>
  <c r="E713" i="1" a="1"/>
  <c r="E713" i="1" s="1"/>
  <c r="D713" i="1"/>
  <c r="C713" i="1"/>
  <c r="B713" i="1"/>
  <c r="A713" i="1"/>
  <c r="F712" i="1" a="1"/>
  <c r="F712" i="1" s="1"/>
  <c r="E712" i="1" a="1"/>
  <c r="E712" i="1" s="1"/>
  <c r="D712" i="1"/>
  <c r="C712" i="1"/>
  <c r="B712" i="1"/>
  <c r="A712" i="1"/>
  <c r="F711" i="1" a="1"/>
  <c r="F711" i="1" s="1"/>
  <c r="E711" i="1" a="1"/>
  <c r="E711" i="1" s="1"/>
  <c r="D711" i="1"/>
  <c r="C711" i="1"/>
  <c r="B711" i="1"/>
  <c r="A711" i="1"/>
  <c r="F710" i="1" a="1"/>
  <c r="F710" i="1" s="1"/>
  <c r="E710" i="1" a="1"/>
  <c r="E710" i="1" s="1"/>
  <c r="D710" i="1"/>
  <c r="C710" i="1"/>
  <c r="B710" i="1"/>
  <c r="A710" i="1"/>
  <c r="F709" i="1" a="1"/>
  <c r="F709" i="1" s="1"/>
  <c r="E709" i="1" a="1"/>
  <c r="E709" i="1" s="1"/>
  <c r="D709" i="1"/>
  <c r="C709" i="1"/>
  <c r="B709" i="1"/>
  <c r="A709" i="1"/>
  <c r="F708" i="1" a="1"/>
  <c r="F708" i="1" s="1"/>
  <c r="E708" i="1" a="1"/>
  <c r="E708" i="1" s="1"/>
  <c r="D708" i="1"/>
  <c r="C708" i="1"/>
  <c r="B708" i="1"/>
  <c r="A708" i="1"/>
  <c r="F707" i="1" a="1"/>
  <c r="F707" i="1" s="1"/>
  <c r="E707" i="1" a="1"/>
  <c r="E707" i="1" s="1"/>
  <c r="D707" i="1"/>
  <c r="C707" i="1"/>
  <c r="B707" i="1"/>
  <c r="A707" i="1"/>
  <c r="F706" i="1" a="1"/>
  <c r="F706" i="1" s="1"/>
  <c r="E706" i="1" a="1"/>
  <c r="E706" i="1" s="1"/>
  <c r="D706" i="1"/>
  <c r="C706" i="1"/>
  <c r="B706" i="1"/>
  <c r="A706" i="1"/>
  <c r="F705" i="1" a="1"/>
  <c r="F705" i="1" s="1"/>
  <c r="E705" i="1" a="1"/>
  <c r="E705" i="1" s="1"/>
  <c r="D705" i="1"/>
  <c r="C705" i="1"/>
  <c r="B705" i="1"/>
  <c r="A705" i="1"/>
  <c r="F704" i="1" a="1"/>
  <c r="F704" i="1" s="1"/>
  <c r="E704" i="1" a="1"/>
  <c r="E704" i="1" s="1"/>
  <c r="D704" i="1"/>
  <c r="C704" i="1"/>
  <c r="B704" i="1"/>
  <c r="A704" i="1"/>
  <c r="F703" i="1" a="1"/>
  <c r="F703" i="1" s="1"/>
  <c r="E703" i="1" a="1"/>
  <c r="E703" i="1" s="1"/>
  <c r="D703" i="1"/>
  <c r="C703" i="1"/>
  <c r="B703" i="1"/>
  <c r="A703" i="1"/>
  <c r="F702" i="1" a="1"/>
  <c r="F702" i="1" s="1"/>
  <c r="E702" i="1" a="1"/>
  <c r="E702" i="1" s="1"/>
  <c r="D702" i="1"/>
  <c r="C702" i="1"/>
  <c r="B702" i="1"/>
  <c r="A702" i="1"/>
  <c r="F701" i="1" a="1"/>
  <c r="F701" i="1" s="1"/>
  <c r="E701" i="1" a="1"/>
  <c r="E701" i="1" s="1"/>
  <c r="D701" i="1"/>
  <c r="C701" i="1"/>
  <c r="B701" i="1"/>
  <c r="A701" i="1"/>
  <c r="F700" i="1" a="1"/>
  <c r="F700" i="1" s="1"/>
  <c r="E700" i="1" a="1"/>
  <c r="E700" i="1" s="1"/>
  <c r="D700" i="1"/>
  <c r="C700" i="1"/>
  <c r="B700" i="1"/>
  <c r="A700" i="1"/>
  <c r="F699" i="1" a="1"/>
  <c r="F699" i="1" s="1"/>
  <c r="E699" i="1" a="1"/>
  <c r="E699" i="1" s="1"/>
  <c r="D699" i="1"/>
  <c r="C699" i="1"/>
  <c r="B699" i="1"/>
  <c r="A699" i="1"/>
  <c r="F698" i="1" a="1"/>
  <c r="F698" i="1" s="1"/>
  <c r="E698" i="1" a="1"/>
  <c r="E698" i="1" s="1"/>
  <c r="D698" i="1"/>
  <c r="C698" i="1"/>
  <c r="B698" i="1"/>
  <c r="A698" i="1"/>
  <c r="F697" i="1" a="1"/>
  <c r="F697" i="1" s="1"/>
  <c r="E697" i="1" a="1"/>
  <c r="E697" i="1" s="1"/>
  <c r="D697" i="1"/>
  <c r="C697" i="1"/>
  <c r="B697" i="1"/>
  <c r="A697" i="1"/>
  <c r="F696" i="1" a="1"/>
  <c r="F696" i="1" s="1"/>
  <c r="E696" i="1" a="1"/>
  <c r="E696" i="1" s="1"/>
  <c r="D696" i="1"/>
  <c r="C696" i="1"/>
  <c r="B696" i="1"/>
  <c r="A696" i="1"/>
  <c r="F695" i="1" a="1"/>
  <c r="F695" i="1" s="1"/>
  <c r="E695" i="1" a="1"/>
  <c r="E695" i="1" s="1"/>
  <c r="D695" i="1"/>
  <c r="C695" i="1"/>
  <c r="B695" i="1"/>
  <c r="A695" i="1"/>
  <c r="F694" i="1" a="1"/>
  <c r="F694" i="1" s="1"/>
  <c r="E694" i="1" a="1"/>
  <c r="E694" i="1" s="1"/>
  <c r="D694" i="1"/>
  <c r="C694" i="1"/>
  <c r="B694" i="1"/>
  <c r="A694" i="1"/>
  <c r="F693" i="1" a="1"/>
  <c r="F693" i="1" s="1"/>
  <c r="E693" i="1" a="1"/>
  <c r="E693" i="1" s="1"/>
  <c r="D693" i="1"/>
  <c r="C693" i="1"/>
  <c r="B693" i="1"/>
  <c r="A693" i="1"/>
  <c r="F692" i="1" a="1"/>
  <c r="F692" i="1" s="1"/>
  <c r="E692" i="1" a="1"/>
  <c r="E692" i="1" s="1"/>
  <c r="D692" i="1"/>
  <c r="C692" i="1"/>
  <c r="B692" i="1"/>
  <c r="A692" i="1"/>
  <c r="F691" i="1" a="1"/>
  <c r="F691" i="1" s="1"/>
  <c r="E691" i="1" a="1"/>
  <c r="E691" i="1" s="1"/>
  <c r="D691" i="1"/>
  <c r="C691" i="1"/>
  <c r="B691" i="1"/>
  <c r="A691" i="1"/>
  <c r="F690" i="1" a="1"/>
  <c r="F690" i="1" s="1"/>
  <c r="E690" i="1" a="1"/>
  <c r="E690" i="1" s="1"/>
  <c r="D690" i="1"/>
  <c r="C690" i="1"/>
  <c r="B690" i="1"/>
  <c r="A690" i="1"/>
  <c r="F689" i="1" a="1"/>
  <c r="F689" i="1" s="1"/>
  <c r="E689" i="1" a="1"/>
  <c r="E689" i="1" s="1"/>
  <c r="D689" i="1"/>
  <c r="C689" i="1"/>
  <c r="B689" i="1"/>
  <c r="A689" i="1"/>
  <c r="F688" i="1" a="1"/>
  <c r="F688" i="1" s="1"/>
  <c r="E688" i="1" a="1"/>
  <c r="E688" i="1" s="1"/>
  <c r="D688" i="1"/>
  <c r="C688" i="1"/>
  <c r="B688" i="1"/>
  <c r="A688" i="1"/>
  <c r="F687" i="1" a="1"/>
  <c r="F687" i="1" s="1"/>
  <c r="E687" i="1" a="1"/>
  <c r="E687" i="1" s="1"/>
  <c r="D687" i="1"/>
  <c r="C687" i="1"/>
  <c r="B687" i="1"/>
  <c r="A687" i="1"/>
  <c r="F686" i="1" a="1"/>
  <c r="F686" i="1" s="1"/>
  <c r="E686" i="1" a="1"/>
  <c r="E686" i="1" s="1"/>
  <c r="D686" i="1"/>
  <c r="C686" i="1"/>
  <c r="B686" i="1"/>
  <c r="A686" i="1"/>
  <c r="F685" i="1" a="1"/>
  <c r="F685" i="1" s="1"/>
  <c r="E685" i="1" a="1"/>
  <c r="E685" i="1" s="1"/>
  <c r="D685" i="1"/>
  <c r="C685" i="1"/>
  <c r="B685" i="1"/>
  <c r="A685" i="1"/>
  <c r="F684" i="1" a="1"/>
  <c r="F684" i="1" s="1"/>
  <c r="E684" i="1" a="1"/>
  <c r="E684" i="1" s="1"/>
  <c r="D684" i="1"/>
  <c r="C684" i="1"/>
  <c r="B684" i="1"/>
  <c r="A684" i="1"/>
  <c r="F683" i="1" a="1"/>
  <c r="F683" i="1" s="1"/>
  <c r="E683" i="1" a="1"/>
  <c r="E683" i="1" s="1"/>
  <c r="D683" i="1"/>
  <c r="C683" i="1"/>
  <c r="B683" i="1"/>
  <c r="A683" i="1"/>
  <c r="F682" i="1" a="1"/>
  <c r="F682" i="1" s="1"/>
  <c r="E682" i="1" a="1"/>
  <c r="E682" i="1" s="1"/>
  <c r="D682" i="1"/>
  <c r="C682" i="1"/>
  <c r="B682" i="1"/>
  <c r="A682" i="1"/>
  <c r="F681" i="1" a="1"/>
  <c r="F681" i="1" s="1"/>
  <c r="E681" i="1" a="1"/>
  <c r="E681" i="1" s="1"/>
  <c r="D681" i="1"/>
  <c r="C681" i="1"/>
  <c r="B681" i="1"/>
  <c r="A681" i="1"/>
  <c r="F680" i="1" a="1"/>
  <c r="F680" i="1" s="1"/>
  <c r="E680" i="1" a="1"/>
  <c r="E680" i="1" s="1"/>
  <c r="D680" i="1"/>
  <c r="C680" i="1"/>
  <c r="B680" i="1"/>
  <c r="A680" i="1"/>
  <c r="F679" i="1" a="1"/>
  <c r="F679" i="1" s="1"/>
  <c r="E679" i="1" a="1"/>
  <c r="E679" i="1" s="1"/>
  <c r="D679" i="1"/>
  <c r="C679" i="1"/>
  <c r="B679" i="1"/>
  <c r="A679" i="1"/>
  <c r="F678" i="1" a="1"/>
  <c r="F678" i="1" s="1"/>
  <c r="E678" i="1" a="1"/>
  <c r="E678" i="1" s="1"/>
  <c r="D678" i="1"/>
  <c r="C678" i="1"/>
  <c r="B678" i="1"/>
  <c r="A678" i="1"/>
  <c r="F677" i="1" a="1"/>
  <c r="F677" i="1" s="1"/>
  <c r="E677" i="1" a="1"/>
  <c r="E677" i="1" s="1"/>
  <c r="D677" i="1"/>
  <c r="C677" i="1"/>
  <c r="B677" i="1"/>
  <c r="A677" i="1"/>
  <c r="F676" i="1" a="1"/>
  <c r="F676" i="1" s="1"/>
  <c r="E676" i="1" a="1"/>
  <c r="E676" i="1" s="1"/>
  <c r="D676" i="1"/>
  <c r="C676" i="1"/>
  <c r="B676" i="1"/>
  <c r="A676" i="1"/>
  <c r="F675" i="1" a="1"/>
  <c r="F675" i="1" s="1"/>
  <c r="E675" i="1" a="1"/>
  <c r="E675" i="1" s="1"/>
  <c r="D675" i="1"/>
  <c r="C675" i="1"/>
  <c r="B675" i="1"/>
  <c r="A675" i="1"/>
  <c r="F674" i="1" a="1"/>
  <c r="F674" i="1" s="1"/>
  <c r="E674" i="1" a="1"/>
  <c r="E674" i="1" s="1"/>
  <c r="D674" i="1"/>
  <c r="C674" i="1"/>
  <c r="B674" i="1"/>
  <c r="A674" i="1"/>
  <c r="F673" i="1" a="1"/>
  <c r="F673" i="1" s="1"/>
  <c r="E673" i="1" a="1"/>
  <c r="E673" i="1" s="1"/>
  <c r="D673" i="1"/>
  <c r="C673" i="1"/>
  <c r="B673" i="1"/>
  <c r="A673" i="1"/>
  <c r="F672" i="1" a="1"/>
  <c r="F672" i="1" s="1"/>
  <c r="E672" i="1" a="1"/>
  <c r="E672" i="1" s="1"/>
  <c r="D672" i="1"/>
  <c r="C672" i="1"/>
  <c r="B672" i="1"/>
  <c r="A672" i="1"/>
  <c r="F671" i="1" a="1"/>
  <c r="F671" i="1" s="1"/>
  <c r="E671" i="1" a="1"/>
  <c r="E671" i="1" s="1"/>
  <c r="D671" i="1"/>
  <c r="C671" i="1"/>
  <c r="B671" i="1"/>
  <c r="A671" i="1"/>
  <c r="F670" i="1" a="1"/>
  <c r="F670" i="1" s="1"/>
  <c r="E670" i="1" a="1"/>
  <c r="E670" i="1" s="1"/>
  <c r="D670" i="1"/>
  <c r="C670" i="1"/>
  <c r="B670" i="1"/>
  <c r="A670" i="1"/>
  <c r="F669" i="1" a="1"/>
  <c r="F669" i="1" s="1"/>
  <c r="E669" i="1" a="1"/>
  <c r="E669" i="1" s="1"/>
  <c r="D669" i="1"/>
  <c r="C669" i="1"/>
  <c r="B669" i="1"/>
  <c r="A669" i="1"/>
  <c r="F668" i="1" a="1"/>
  <c r="F668" i="1" s="1"/>
  <c r="E668" i="1" a="1"/>
  <c r="E668" i="1" s="1"/>
  <c r="D668" i="1"/>
  <c r="C668" i="1"/>
  <c r="B668" i="1"/>
  <c r="A668" i="1"/>
  <c r="F667" i="1" a="1"/>
  <c r="F667" i="1" s="1"/>
  <c r="E667" i="1" a="1"/>
  <c r="E667" i="1" s="1"/>
  <c r="D667" i="1"/>
  <c r="C667" i="1"/>
  <c r="B667" i="1"/>
  <c r="A667" i="1"/>
  <c r="F666" i="1" a="1"/>
  <c r="F666" i="1" s="1"/>
  <c r="E666" i="1" a="1"/>
  <c r="E666" i="1" s="1"/>
  <c r="D666" i="1"/>
  <c r="C666" i="1"/>
  <c r="B666" i="1"/>
  <c r="A666" i="1"/>
  <c r="F665" i="1" a="1"/>
  <c r="F665" i="1" s="1"/>
  <c r="E665" i="1" a="1"/>
  <c r="E665" i="1" s="1"/>
  <c r="D665" i="1"/>
  <c r="C665" i="1"/>
  <c r="B665" i="1"/>
  <c r="A665" i="1"/>
  <c r="F664" i="1" a="1"/>
  <c r="F664" i="1" s="1"/>
  <c r="E664" i="1" a="1"/>
  <c r="E664" i="1" s="1"/>
  <c r="D664" i="1"/>
  <c r="C664" i="1"/>
  <c r="B664" i="1"/>
  <c r="A664" i="1"/>
  <c r="F663" i="1" a="1"/>
  <c r="F663" i="1" s="1"/>
  <c r="E663" i="1" a="1"/>
  <c r="E663" i="1" s="1"/>
  <c r="D663" i="1"/>
  <c r="C663" i="1"/>
  <c r="B663" i="1"/>
  <c r="A663" i="1"/>
  <c r="F662" i="1" a="1"/>
  <c r="F662" i="1" s="1"/>
  <c r="E662" i="1" a="1"/>
  <c r="E662" i="1" s="1"/>
  <c r="D662" i="1"/>
  <c r="C662" i="1"/>
  <c r="B662" i="1"/>
  <c r="A662" i="1"/>
  <c r="F661" i="1" a="1"/>
  <c r="F661" i="1" s="1"/>
  <c r="E661" i="1" a="1"/>
  <c r="E661" i="1" s="1"/>
  <c r="D661" i="1"/>
  <c r="C661" i="1"/>
  <c r="B661" i="1"/>
  <c r="A661" i="1"/>
  <c r="F660" i="1" a="1"/>
  <c r="F660" i="1" s="1"/>
  <c r="E660" i="1" a="1"/>
  <c r="E660" i="1" s="1"/>
  <c r="D660" i="1"/>
  <c r="C660" i="1"/>
  <c r="B660" i="1"/>
  <c r="A660" i="1"/>
  <c r="F659" i="1" a="1"/>
  <c r="F659" i="1" s="1"/>
  <c r="E659" i="1" a="1"/>
  <c r="E659" i="1" s="1"/>
  <c r="D659" i="1"/>
  <c r="C659" i="1"/>
  <c r="B659" i="1"/>
  <c r="A659" i="1"/>
  <c r="F658" i="1" a="1"/>
  <c r="F658" i="1" s="1"/>
  <c r="E658" i="1" a="1"/>
  <c r="E658" i="1" s="1"/>
  <c r="D658" i="1"/>
  <c r="C658" i="1"/>
  <c r="B658" i="1"/>
  <c r="A658" i="1"/>
  <c r="F657" i="1" a="1"/>
  <c r="F657" i="1" s="1"/>
  <c r="E657" i="1" a="1"/>
  <c r="E657" i="1" s="1"/>
  <c r="D657" i="1"/>
  <c r="C657" i="1"/>
  <c r="B657" i="1"/>
  <c r="A657" i="1"/>
  <c r="F656" i="1" a="1"/>
  <c r="F656" i="1" s="1"/>
  <c r="E656" i="1" a="1"/>
  <c r="E656" i="1" s="1"/>
  <c r="D656" i="1"/>
  <c r="C656" i="1"/>
  <c r="B656" i="1"/>
  <c r="A656" i="1"/>
  <c r="F655" i="1" a="1"/>
  <c r="F655" i="1" s="1"/>
  <c r="E655" i="1" a="1"/>
  <c r="E655" i="1" s="1"/>
  <c r="D655" i="1"/>
  <c r="C655" i="1"/>
  <c r="B655" i="1"/>
  <c r="A655" i="1"/>
  <c r="F654" i="1" a="1"/>
  <c r="F654" i="1" s="1"/>
  <c r="E654" i="1" a="1"/>
  <c r="E654" i="1" s="1"/>
  <c r="D654" i="1"/>
  <c r="C654" i="1"/>
  <c r="B654" i="1"/>
  <c r="A654" i="1"/>
  <c r="F653" i="1" a="1"/>
  <c r="F653" i="1" s="1"/>
  <c r="E653" i="1" a="1"/>
  <c r="E653" i="1" s="1"/>
  <c r="D653" i="1"/>
  <c r="C653" i="1"/>
  <c r="B653" i="1"/>
  <c r="A653" i="1"/>
  <c r="F652" i="1" a="1"/>
  <c r="F652" i="1" s="1"/>
  <c r="E652" i="1" a="1"/>
  <c r="E652" i="1" s="1"/>
  <c r="D652" i="1"/>
  <c r="C652" i="1"/>
  <c r="B652" i="1"/>
  <c r="A652" i="1"/>
  <c r="F651" i="1" a="1"/>
  <c r="F651" i="1" s="1"/>
  <c r="E651" i="1" a="1"/>
  <c r="E651" i="1" s="1"/>
  <c r="D651" i="1"/>
  <c r="C651" i="1"/>
  <c r="B651" i="1"/>
  <c r="A651" i="1"/>
  <c r="F650" i="1" a="1"/>
  <c r="F650" i="1" s="1"/>
  <c r="E650" i="1" a="1"/>
  <c r="E650" i="1" s="1"/>
  <c r="D650" i="1"/>
  <c r="C650" i="1"/>
  <c r="B650" i="1"/>
  <c r="A650" i="1"/>
  <c r="F649" i="1" a="1"/>
  <c r="F649" i="1" s="1"/>
  <c r="E649" i="1" a="1"/>
  <c r="E649" i="1" s="1"/>
  <c r="D649" i="1"/>
  <c r="C649" i="1"/>
  <c r="B649" i="1"/>
  <c r="A649" i="1"/>
  <c r="F648" i="1" a="1"/>
  <c r="F648" i="1" s="1"/>
  <c r="E648" i="1" a="1"/>
  <c r="E648" i="1" s="1"/>
  <c r="D648" i="1"/>
  <c r="C648" i="1"/>
  <c r="B648" i="1"/>
  <c r="A648" i="1"/>
  <c r="F647" i="1" a="1"/>
  <c r="F647" i="1" s="1"/>
  <c r="E647" i="1" a="1"/>
  <c r="E647" i="1" s="1"/>
  <c r="D647" i="1"/>
  <c r="C647" i="1"/>
  <c r="B647" i="1"/>
  <c r="A647" i="1"/>
  <c r="F646" i="1" a="1"/>
  <c r="F646" i="1" s="1"/>
  <c r="E646" i="1" a="1"/>
  <c r="E646" i="1" s="1"/>
  <c r="D646" i="1"/>
  <c r="C646" i="1"/>
  <c r="B646" i="1"/>
  <c r="A646" i="1"/>
  <c r="F645" i="1" a="1"/>
  <c r="F645" i="1" s="1"/>
  <c r="E645" i="1" a="1"/>
  <c r="E645" i="1" s="1"/>
  <c r="D645" i="1"/>
  <c r="C645" i="1"/>
  <c r="B645" i="1"/>
  <c r="A645" i="1"/>
  <c r="F644" i="1" a="1"/>
  <c r="F644" i="1" s="1"/>
  <c r="E644" i="1" a="1"/>
  <c r="E644" i="1" s="1"/>
  <c r="D644" i="1"/>
  <c r="C644" i="1"/>
  <c r="B644" i="1"/>
  <c r="A644" i="1"/>
  <c r="F643" i="1" a="1"/>
  <c r="F643" i="1" s="1"/>
  <c r="E643" i="1" a="1"/>
  <c r="E643" i="1" s="1"/>
  <c r="D643" i="1"/>
  <c r="C643" i="1"/>
  <c r="B643" i="1"/>
  <c r="A643" i="1"/>
  <c r="F642" i="1" a="1"/>
  <c r="F642" i="1" s="1"/>
  <c r="E642" i="1" a="1"/>
  <c r="E642" i="1" s="1"/>
  <c r="D642" i="1"/>
  <c r="C642" i="1"/>
  <c r="B642" i="1"/>
  <c r="A642" i="1"/>
  <c r="F641" i="1" a="1"/>
  <c r="F641" i="1" s="1"/>
  <c r="E641" i="1" a="1"/>
  <c r="E641" i="1" s="1"/>
  <c r="D641" i="1"/>
  <c r="C641" i="1"/>
  <c r="B641" i="1"/>
  <c r="A641" i="1"/>
  <c r="F640" i="1" a="1"/>
  <c r="F640" i="1" s="1"/>
  <c r="E640" i="1" a="1"/>
  <c r="E640" i="1" s="1"/>
  <c r="D640" i="1"/>
  <c r="C640" i="1"/>
  <c r="B640" i="1"/>
  <c r="A640" i="1"/>
  <c r="F639" i="1" a="1"/>
  <c r="F639" i="1" s="1"/>
  <c r="E639" i="1" a="1"/>
  <c r="E639" i="1" s="1"/>
  <c r="D639" i="1"/>
  <c r="C639" i="1"/>
  <c r="B639" i="1"/>
  <c r="A639" i="1"/>
  <c r="F638" i="1" a="1"/>
  <c r="F638" i="1" s="1"/>
  <c r="E638" i="1" a="1"/>
  <c r="E638" i="1" s="1"/>
  <c r="D638" i="1"/>
  <c r="C638" i="1"/>
  <c r="B638" i="1"/>
  <c r="A638" i="1"/>
  <c r="F637" i="1" a="1"/>
  <c r="F637" i="1" s="1"/>
  <c r="E637" i="1" a="1"/>
  <c r="E637" i="1" s="1"/>
  <c r="D637" i="1"/>
  <c r="C637" i="1"/>
  <c r="B637" i="1"/>
  <c r="A637" i="1"/>
  <c r="F636" i="1" a="1"/>
  <c r="F636" i="1" s="1"/>
  <c r="E636" i="1" a="1"/>
  <c r="E636" i="1" s="1"/>
  <c r="D636" i="1"/>
  <c r="C636" i="1"/>
  <c r="B636" i="1"/>
  <c r="A636" i="1"/>
  <c r="F635" i="1" a="1"/>
  <c r="F635" i="1" s="1"/>
  <c r="E635" i="1" a="1"/>
  <c r="E635" i="1" s="1"/>
  <c r="D635" i="1"/>
  <c r="C635" i="1"/>
  <c r="B635" i="1"/>
  <c r="A635" i="1"/>
  <c r="F634" i="1" a="1"/>
  <c r="F634" i="1" s="1"/>
  <c r="E634" i="1" a="1"/>
  <c r="E634" i="1" s="1"/>
  <c r="D634" i="1"/>
  <c r="C634" i="1"/>
  <c r="B634" i="1"/>
  <c r="A634" i="1"/>
  <c r="F633" i="1" a="1"/>
  <c r="F633" i="1" s="1"/>
  <c r="E633" i="1" a="1"/>
  <c r="E633" i="1" s="1"/>
  <c r="D633" i="1"/>
  <c r="C633" i="1"/>
  <c r="B633" i="1"/>
  <c r="A633" i="1"/>
  <c r="F632" i="1" a="1"/>
  <c r="F632" i="1" s="1"/>
  <c r="E632" i="1" a="1"/>
  <c r="E632" i="1" s="1"/>
  <c r="D632" i="1"/>
  <c r="C632" i="1"/>
  <c r="B632" i="1"/>
  <c r="A632" i="1"/>
  <c r="F631" i="1" a="1"/>
  <c r="F631" i="1" s="1"/>
  <c r="E631" i="1" a="1"/>
  <c r="E631" i="1" s="1"/>
  <c r="D631" i="1"/>
  <c r="C631" i="1"/>
  <c r="B631" i="1"/>
  <c r="A631" i="1"/>
  <c r="F630" i="1" a="1"/>
  <c r="F630" i="1" s="1"/>
  <c r="E630" i="1" a="1"/>
  <c r="E630" i="1" s="1"/>
  <c r="D630" i="1"/>
  <c r="C630" i="1"/>
  <c r="B630" i="1"/>
  <c r="A630" i="1"/>
  <c r="F629" i="1" a="1"/>
  <c r="F629" i="1" s="1"/>
  <c r="E629" i="1" a="1"/>
  <c r="E629" i="1" s="1"/>
  <c r="D629" i="1"/>
  <c r="C629" i="1"/>
  <c r="B629" i="1"/>
  <c r="A629" i="1"/>
  <c r="F628" i="1" a="1"/>
  <c r="F628" i="1" s="1"/>
  <c r="E628" i="1" a="1"/>
  <c r="E628" i="1" s="1"/>
  <c r="D628" i="1"/>
  <c r="C628" i="1"/>
  <c r="B628" i="1"/>
  <c r="A628" i="1"/>
  <c r="F627" i="1" a="1"/>
  <c r="F627" i="1" s="1"/>
  <c r="E627" i="1" a="1"/>
  <c r="E627" i="1" s="1"/>
  <c r="D627" i="1"/>
  <c r="C627" i="1"/>
  <c r="B627" i="1"/>
  <c r="A627" i="1"/>
  <c r="F626" i="1" a="1"/>
  <c r="F626" i="1" s="1"/>
  <c r="E626" i="1" a="1"/>
  <c r="E626" i="1" s="1"/>
  <c r="D626" i="1"/>
  <c r="C626" i="1"/>
  <c r="B626" i="1"/>
  <c r="A626" i="1"/>
  <c r="F625" i="1" a="1"/>
  <c r="F625" i="1" s="1"/>
  <c r="E625" i="1" a="1"/>
  <c r="E625" i="1" s="1"/>
  <c r="D625" i="1"/>
  <c r="C625" i="1"/>
  <c r="B625" i="1"/>
  <c r="A625" i="1"/>
  <c r="F624" i="1" a="1"/>
  <c r="F624" i="1" s="1"/>
  <c r="E624" i="1" a="1"/>
  <c r="E624" i="1" s="1"/>
  <c r="D624" i="1"/>
  <c r="C624" i="1"/>
  <c r="B624" i="1"/>
  <c r="A624" i="1"/>
  <c r="F623" i="1" a="1"/>
  <c r="F623" i="1" s="1"/>
  <c r="E623" i="1" a="1"/>
  <c r="E623" i="1" s="1"/>
  <c r="D623" i="1"/>
  <c r="C623" i="1"/>
  <c r="B623" i="1"/>
  <c r="A623" i="1"/>
  <c r="F622" i="1" a="1"/>
  <c r="F622" i="1" s="1"/>
  <c r="E622" i="1" a="1"/>
  <c r="E622" i="1" s="1"/>
  <c r="D622" i="1"/>
  <c r="C622" i="1"/>
  <c r="B622" i="1"/>
  <c r="A622" i="1"/>
  <c r="F621" i="1" a="1"/>
  <c r="F621" i="1" s="1"/>
  <c r="E621" i="1" a="1"/>
  <c r="E621" i="1" s="1"/>
  <c r="D621" i="1"/>
  <c r="C621" i="1"/>
  <c r="B621" i="1"/>
  <c r="A621" i="1"/>
  <c r="F620" i="1" a="1"/>
  <c r="F620" i="1" s="1"/>
  <c r="E620" i="1" a="1"/>
  <c r="E620" i="1" s="1"/>
  <c r="D620" i="1"/>
  <c r="C620" i="1"/>
  <c r="B620" i="1"/>
  <c r="A620" i="1"/>
  <c r="F619" i="1" a="1"/>
  <c r="F619" i="1" s="1"/>
  <c r="E619" i="1" a="1"/>
  <c r="E619" i="1" s="1"/>
  <c r="D619" i="1"/>
  <c r="C619" i="1"/>
  <c r="B619" i="1"/>
  <c r="A619" i="1"/>
  <c r="F618" i="1" a="1"/>
  <c r="F618" i="1" s="1"/>
  <c r="E618" i="1" a="1"/>
  <c r="E618" i="1" s="1"/>
  <c r="D618" i="1"/>
  <c r="C618" i="1"/>
  <c r="B618" i="1"/>
  <c r="A618" i="1"/>
  <c r="F617" i="1" a="1"/>
  <c r="F617" i="1" s="1"/>
  <c r="E617" i="1" a="1"/>
  <c r="E617" i="1" s="1"/>
  <c r="D617" i="1"/>
  <c r="C617" i="1"/>
  <c r="B617" i="1"/>
  <c r="A617" i="1"/>
  <c r="F616" i="1" a="1"/>
  <c r="F616" i="1" s="1"/>
  <c r="E616" i="1" a="1"/>
  <c r="E616" i="1" s="1"/>
  <c r="D616" i="1"/>
  <c r="C616" i="1"/>
  <c r="B616" i="1"/>
  <c r="A616" i="1"/>
  <c r="F615" i="1" a="1"/>
  <c r="F615" i="1" s="1"/>
  <c r="E615" i="1" a="1"/>
  <c r="E615" i="1" s="1"/>
  <c r="D615" i="1"/>
  <c r="C615" i="1"/>
  <c r="B615" i="1"/>
  <c r="A615" i="1"/>
  <c r="F614" i="1" a="1"/>
  <c r="F614" i="1" s="1"/>
  <c r="E614" i="1" a="1"/>
  <c r="E614" i="1" s="1"/>
  <c r="D614" i="1"/>
  <c r="C614" i="1"/>
  <c r="B614" i="1"/>
  <c r="A614" i="1"/>
  <c r="F613" i="1" a="1"/>
  <c r="F613" i="1" s="1"/>
  <c r="E613" i="1" a="1"/>
  <c r="E613" i="1" s="1"/>
  <c r="D613" i="1"/>
  <c r="C613" i="1"/>
  <c r="B613" i="1"/>
  <c r="A613" i="1"/>
  <c r="F612" i="1" a="1"/>
  <c r="F612" i="1" s="1"/>
  <c r="E612" i="1" a="1"/>
  <c r="E612" i="1" s="1"/>
  <c r="D612" i="1"/>
  <c r="C612" i="1"/>
  <c r="B612" i="1"/>
  <c r="A612" i="1"/>
  <c r="F611" i="1" a="1"/>
  <c r="F611" i="1" s="1"/>
  <c r="E611" i="1" a="1"/>
  <c r="E611" i="1" s="1"/>
  <c r="D611" i="1"/>
  <c r="C611" i="1"/>
  <c r="B611" i="1"/>
  <c r="A611" i="1"/>
  <c r="F610" i="1" a="1"/>
  <c r="F610" i="1" s="1"/>
  <c r="E610" i="1" a="1"/>
  <c r="E610" i="1" s="1"/>
  <c r="D610" i="1"/>
  <c r="C610" i="1"/>
  <c r="B610" i="1"/>
  <c r="A610" i="1"/>
  <c r="F609" i="1" a="1"/>
  <c r="F609" i="1" s="1"/>
  <c r="E609" i="1" a="1"/>
  <c r="E609" i="1" s="1"/>
  <c r="D609" i="1"/>
  <c r="C609" i="1"/>
  <c r="B609" i="1"/>
  <c r="A609" i="1"/>
  <c r="F608" i="1" a="1"/>
  <c r="F608" i="1" s="1"/>
  <c r="E608" i="1" a="1"/>
  <c r="E608" i="1" s="1"/>
  <c r="D608" i="1"/>
  <c r="C608" i="1"/>
  <c r="B608" i="1"/>
  <c r="A608" i="1"/>
  <c r="F607" i="1" a="1"/>
  <c r="F607" i="1" s="1"/>
  <c r="E607" i="1" a="1"/>
  <c r="E607" i="1" s="1"/>
  <c r="D607" i="1"/>
  <c r="C607" i="1"/>
  <c r="B607" i="1"/>
  <c r="A607" i="1"/>
  <c r="F606" i="1" a="1"/>
  <c r="F606" i="1" s="1"/>
  <c r="E606" i="1" a="1"/>
  <c r="E606" i="1" s="1"/>
  <c r="D606" i="1"/>
  <c r="C606" i="1"/>
  <c r="B606" i="1"/>
  <c r="A606" i="1"/>
  <c r="F605" i="1" a="1"/>
  <c r="F605" i="1" s="1"/>
  <c r="E605" i="1" a="1"/>
  <c r="E605" i="1" s="1"/>
  <c r="D605" i="1"/>
  <c r="C605" i="1"/>
  <c r="B605" i="1"/>
  <c r="A605" i="1"/>
  <c r="F604" i="1" a="1"/>
  <c r="F604" i="1" s="1"/>
  <c r="E604" i="1" a="1"/>
  <c r="E604" i="1" s="1"/>
  <c r="D604" i="1"/>
  <c r="C604" i="1"/>
  <c r="B604" i="1"/>
  <c r="A604" i="1"/>
  <c r="F603" i="1" a="1"/>
  <c r="F603" i="1" s="1"/>
  <c r="E603" i="1" a="1"/>
  <c r="E603" i="1" s="1"/>
  <c r="D603" i="1"/>
  <c r="C603" i="1"/>
  <c r="B603" i="1"/>
  <c r="A603" i="1"/>
  <c r="F602" i="1" a="1"/>
  <c r="F602" i="1" s="1"/>
  <c r="E602" i="1" a="1"/>
  <c r="E602" i="1" s="1"/>
  <c r="D602" i="1"/>
  <c r="C602" i="1"/>
  <c r="B602" i="1"/>
  <c r="A602" i="1"/>
  <c r="F601" i="1" a="1"/>
  <c r="F601" i="1" s="1"/>
  <c r="E601" i="1" a="1"/>
  <c r="E601" i="1" s="1"/>
  <c r="D601" i="1"/>
  <c r="C601" i="1"/>
  <c r="B601" i="1"/>
  <c r="A601" i="1"/>
  <c r="F600" i="1" a="1"/>
  <c r="F600" i="1" s="1"/>
  <c r="E600" i="1" a="1"/>
  <c r="E600" i="1" s="1"/>
  <c r="D600" i="1"/>
  <c r="C600" i="1"/>
  <c r="B600" i="1"/>
  <c r="A600" i="1"/>
  <c r="F599" i="1" a="1"/>
  <c r="F599" i="1" s="1"/>
  <c r="E599" i="1" a="1"/>
  <c r="E599" i="1" s="1"/>
  <c r="D599" i="1"/>
  <c r="C599" i="1"/>
  <c r="B599" i="1"/>
  <c r="A599" i="1"/>
  <c r="F598" i="1" a="1"/>
  <c r="F598" i="1" s="1"/>
  <c r="E598" i="1" a="1"/>
  <c r="E598" i="1" s="1"/>
  <c r="D598" i="1"/>
  <c r="C598" i="1"/>
  <c r="B598" i="1"/>
  <c r="A598" i="1"/>
  <c r="F597" i="1" a="1"/>
  <c r="F597" i="1" s="1"/>
  <c r="E597" i="1" a="1"/>
  <c r="E597" i="1" s="1"/>
  <c r="D597" i="1"/>
  <c r="C597" i="1"/>
  <c r="B597" i="1"/>
  <c r="A597" i="1"/>
  <c r="F596" i="1" a="1"/>
  <c r="F596" i="1" s="1"/>
  <c r="E596" i="1" a="1"/>
  <c r="E596" i="1" s="1"/>
  <c r="D596" i="1"/>
  <c r="C596" i="1"/>
  <c r="B596" i="1"/>
  <c r="A596" i="1"/>
  <c r="F595" i="1" a="1"/>
  <c r="F595" i="1" s="1"/>
  <c r="E595" i="1" a="1"/>
  <c r="E595" i="1" s="1"/>
  <c r="D595" i="1"/>
  <c r="C595" i="1"/>
  <c r="B595" i="1"/>
  <c r="A595" i="1"/>
  <c r="F594" i="1" a="1"/>
  <c r="F594" i="1" s="1"/>
  <c r="E594" i="1" a="1"/>
  <c r="E594" i="1" s="1"/>
  <c r="D594" i="1"/>
  <c r="C594" i="1"/>
  <c r="B594" i="1"/>
  <c r="A594" i="1"/>
  <c r="F593" i="1" a="1"/>
  <c r="F593" i="1" s="1"/>
  <c r="E593" i="1" a="1"/>
  <c r="E593" i="1" s="1"/>
  <c r="D593" i="1"/>
  <c r="C593" i="1"/>
  <c r="B593" i="1"/>
  <c r="A593" i="1"/>
  <c r="F592" i="1" a="1"/>
  <c r="F592" i="1" s="1"/>
  <c r="E592" i="1" a="1"/>
  <c r="E592" i="1" s="1"/>
  <c r="D592" i="1"/>
  <c r="C592" i="1"/>
  <c r="B592" i="1"/>
  <c r="A592" i="1"/>
  <c r="F591" i="1" a="1"/>
  <c r="F591" i="1" s="1"/>
  <c r="E591" i="1" a="1"/>
  <c r="E591" i="1" s="1"/>
  <c r="D591" i="1"/>
  <c r="C591" i="1"/>
  <c r="B591" i="1"/>
  <c r="A591" i="1"/>
  <c r="F590" i="1" a="1"/>
  <c r="F590" i="1" s="1"/>
  <c r="E590" i="1" a="1"/>
  <c r="E590" i="1" s="1"/>
  <c r="D590" i="1"/>
  <c r="C590" i="1"/>
  <c r="B590" i="1"/>
  <c r="A590" i="1"/>
  <c r="F589" i="1" a="1"/>
  <c r="F589" i="1" s="1"/>
  <c r="E589" i="1" a="1"/>
  <c r="E589" i="1" s="1"/>
  <c r="D589" i="1"/>
  <c r="C589" i="1"/>
  <c r="B589" i="1"/>
  <c r="A589" i="1"/>
  <c r="F588" i="1" a="1"/>
  <c r="F588" i="1" s="1"/>
  <c r="E588" i="1" a="1"/>
  <c r="E588" i="1" s="1"/>
  <c r="D588" i="1"/>
  <c r="C588" i="1"/>
  <c r="B588" i="1"/>
  <c r="A588" i="1"/>
  <c r="F587" i="1" a="1"/>
  <c r="F587" i="1" s="1"/>
  <c r="E587" i="1" a="1"/>
  <c r="E587" i="1" s="1"/>
  <c r="D587" i="1"/>
  <c r="C587" i="1"/>
  <c r="B587" i="1"/>
  <c r="A587" i="1"/>
  <c r="F586" i="1" a="1"/>
  <c r="F586" i="1" s="1"/>
  <c r="E586" i="1" a="1"/>
  <c r="E586" i="1" s="1"/>
  <c r="D586" i="1"/>
  <c r="C586" i="1"/>
  <c r="B586" i="1"/>
  <c r="A586" i="1"/>
  <c r="F585" i="1" a="1"/>
  <c r="F585" i="1" s="1"/>
  <c r="E585" i="1" a="1"/>
  <c r="E585" i="1" s="1"/>
  <c r="D585" i="1"/>
  <c r="C585" i="1"/>
  <c r="B585" i="1"/>
  <c r="A585" i="1"/>
  <c r="F584" i="1" a="1"/>
  <c r="F584" i="1" s="1"/>
  <c r="E584" i="1" a="1"/>
  <c r="E584" i="1" s="1"/>
  <c r="D584" i="1"/>
  <c r="C584" i="1"/>
  <c r="B584" i="1"/>
  <c r="A584" i="1"/>
  <c r="F583" i="1" a="1"/>
  <c r="F583" i="1" s="1"/>
  <c r="E583" i="1" a="1"/>
  <c r="E583" i="1" s="1"/>
  <c r="D583" i="1"/>
  <c r="C583" i="1"/>
  <c r="B583" i="1"/>
  <c r="A583" i="1"/>
  <c r="F582" i="1" a="1"/>
  <c r="F582" i="1" s="1"/>
  <c r="E582" i="1" a="1"/>
  <c r="E582" i="1" s="1"/>
  <c r="D582" i="1"/>
  <c r="C582" i="1"/>
  <c r="B582" i="1"/>
  <c r="A582" i="1"/>
  <c r="F581" i="1" a="1"/>
  <c r="F581" i="1" s="1"/>
  <c r="E581" i="1" a="1"/>
  <c r="E581" i="1" s="1"/>
  <c r="D581" i="1"/>
  <c r="C581" i="1"/>
  <c r="B581" i="1"/>
  <c r="A581" i="1"/>
  <c r="F580" i="1" a="1"/>
  <c r="F580" i="1" s="1"/>
  <c r="E580" i="1" a="1"/>
  <c r="E580" i="1" s="1"/>
  <c r="D580" i="1"/>
  <c r="C580" i="1"/>
  <c r="B580" i="1"/>
  <c r="A580" i="1"/>
  <c r="F579" i="1" a="1"/>
  <c r="F579" i="1" s="1"/>
  <c r="E579" i="1" a="1"/>
  <c r="E579" i="1" s="1"/>
  <c r="D579" i="1"/>
  <c r="C579" i="1"/>
  <c r="B579" i="1"/>
  <c r="A579" i="1"/>
  <c r="F578" i="1" a="1"/>
  <c r="F578" i="1" s="1"/>
  <c r="E578" i="1" a="1"/>
  <c r="E578" i="1" s="1"/>
  <c r="D578" i="1"/>
  <c r="C578" i="1"/>
  <c r="B578" i="1"/>
  <c r="A578" i="1"/>
  <c r="F577" i="1" a="1"/>
  <c r="F577" i="1" s="1"/>
  <c r="E577" i="1" a="1"/>
  <c r="E577" i="1" s="1"/>
  <c r="D577" i="1"/>
  <c r="C577" i="1"/>
  <c r="B577" i="1"/>
  <c r="A577" i="1"/>
  <c r="F576" i="1" a="1"/>
  <c r="F576" i="1" s="1"/>
  <c r="E576" i="1" a="1"/>
  <c r="E576" i="1" s="1"/>
  <c r="D576" i="1"/>
  <c r="C576" i="1"/>
  <c r="B576" i="1"/>
  <c r="A576" i="1"/>
  <c r="F575" i="1" a="1"/>
  <c r="F575" i="1" s="1"/>
  <c r="E575" i="1" a="1"/>
  <c r="E575" i="1" s="1"/>
  <c r="D575" i="1"/>
  <c r="C575" i="1"/>
  <c r="B575" i="1"/>
  <c r="A575" i="1"/>
  <c r="F574" i="1" a="1"/>
  <c r="F574" i="1" s="1"/>
  <c r="E574" i="1" a="1"/>
  <c r="E574" i="1" s="1"/>
  <c r="D574" i="1"/>
  <c r="C574" i="1"/>
  <c r="B574" i="1"/>
  <c r="A574" i="1"/>
  <c r="F573" i="1" a="1"/>
  <c r="F573" i="1" s="1"/>
  <c r="E573" i="1" a="1"/>
  <c r="E573" i="1" s="1"/>
  <c r="D573" i="1"/>
  <c r="C573" i="1"/>
  <c r="B573" i="1"/>
  <c r="A573" i="1"/>
  <c r="F572" i="1" a="1"/>
  <c r="F572" i="1" s="1"/>
  <c r="E572" i="1" a="1"/>
  <c r="E572" i="1" s="1"/>
  <c r="D572" i="1"/>
  <c r="C572" i="1"/>
  <c r="B572" i="1"/>
  <c r="A572" i="1"/>
  <c r="F571" i="1" a="1"/>
  <c r="F571" i="1" s="1"/>
  <c r="E571" i="1" a="1"/>
  <c r="E571" i="1" s="1"/>
  <c r="D571" i="1"/>
  <c r="C571" i="1"/>
  <c r="B571" i="1"/>
  <c r="A571" i="1"/>
  <c r="F570" i="1" a="1"/>
  <c r="F570" i="1" s="1"/>
  <c r="E570" i="1" a="1"/>
  <c r="E570" i="1" s="1"/>
  <c r="D570" i="1"/>
  <c r="C570" i="1"/>
  <c r="B570" i="1"/>
  <c r="A570" i="1"/>
  <c r="F569" i="1" a="1"/>
  <c r="F569" i="1" s="1"/>
  <c r="E569" i="1" a="1"/>
  <c r="E569" i="1" s="1"/>
  <c r="D569" i="1"/>
  <c r="C569" i="1"/>
  <c r="B569" i="1"/>
  <c r="A569" i="1"/>
  <c r="F568" i="1" a="1"/>
  <c r="F568" i="1" s="1"/>
  <c r="E568" i="1" a="1"/>
  <c r="E568" i="1" s="1"/>
  <c r="D568" i="1"/>
  <c r="C568" i="1"/>
  <c r="B568" i="1"/>
  <c r="A568" i="1"/>
  <c r="F567" i="1" a="1"/>
  <c r="F567" i="1" s="1"/>
  <c r="E567" i="1" a="1"/>
  <c r="E567" i="1" s="1"/>
  <c r="D567" i="1"/>
  <c r="C567" i="1"/>
  <c r="B567" i="1"/>
  <c r="A567" i="1"/>
  <c r="F566" i="1" a="1"/>
  <c r="F566" i="1" s="1"/>
  <c r="E566" i="1" a="1"/>
  <c r="E566" i="1" s="1"/>
  <c r="D566" i="1"/>
  <c r="C566" i="1"/>
  <c r="B566" i="1"/>
  <c r="A566" i="1"/>
  <c r="F565" i="1" a="1"/>
  <c r="F565" i="1" s="1"/>
  <c r="E565" i="1" a="1"/>
  <c r="E565" i="1" s="1"/>
  <c r="D565" i="1"/>
  <c r="C565" i="1"/>
  <c r="B565" i="1"/>
  <c r="A565" i="1"/>
  <c r="F564" i="1" a="1"/>
  <c r="F564" i="1" s="1"/>
  <c r="E564" i="1" a="1"/>
  <c r="E564" i="1" s="1"/>
  <c r="D564" i="1"/>
  <c r="C564" i="1"/>
  <c r="B564" i="1"/>
  <c r="A564" i="1"/>
  <c r="F563" i="1" a="1"/>
  <c r="F563" i="1" s="1"/>
  <c r="E563" i="1" a="1"/>
  <c r="E563" i="1" s="1"/>
  <c r="D563" i="1"/>
  <c r="C563" i="1"/>
  <c r="B563" i="1"/>
  <c r="A563" i="1"/>
  <c r="F562" i="1" a="1"/>
  <c r="F562" i="1" s="1"/>
  <c r="E562" i="1" a="1"/>
  <c r="E562" i="1" s="1"/>
  <c r="D562" i="1"/>
  <c r="C562" i="1"/>
  <c r="B562" i="1"/>
  <c r="A562" i="1"/>
  <c r="F561" i="1" a="1"/>
  <c r="F561" i="1" s="1"/>
  <c r="E561" i="1" a="1"/>
  <c r="E561" i="1" s="1"/>
  <c r="D561" i="1"/>
  <c r="C561" i="1"/>
  <c r="B561" i="1"/>
  <c r="A561" i="1"/>
  <c r="F560" i="1" a="1"/>
  <c r="F560" i="1" s="1"/>
  <c r="E560" i="1" a="1"/>
  <c r="E560" i="1" s="1"/>
  <c r="D560" i="1"/>
  <c r="C560" i="1"/>
  <c r="B560" i="1"/>
  <c r="A560" i="1"/>
  <c r="F559" i="1" a="1"/>
  <c r="F559" i="1" s="1"/>
  <c r="E559" i="1" a="1"/>
  <c r="E559" i="1" s="1"/>
  <c r="D559" i="1"/>
  <c r="C559" i="1"/>
  <c r="B559" i="1"/>
  <c r="A559" i="1"/>
  <c r="F558" i="1" a="1"/>
  <c r="F558" i="1" s="1"/>
  <c r="E558" i="1" a="1"/>
  <c r="E558" i="1" s="1"/>
  <c r="D558" i="1"/>
  <c r="C558" i="1"/>
  <c r="B558" i="1"/>
  <c r="A558" i="1"/>
  <c r="F557" i="1" a="1"/>
  <c r="F557" i="1" s="1"/>
  <c r="E557" i="1" a="1"/>
  <c r="E557" i="1" s="1"/>
  <c r="D557" i="1"/>
  <c r="C557" i="1"/>
  <c r="B557" i="1"/>
  <c r="A557" i="1"/>
  <c r="F556" i="1" a="1"/>
  <c r="F556" i="1" s="1"/>
  <c r="E556" i="1" a="1"/>
  <c r="E556" i="1" s="1"/>
  <c r="D556" i="1"/>
  <c r="C556" i="1"/>
  <c r="B556" i="1"/>
  <c r="A556" i="1"/>
  <c r="F555" i="1" a="1"/>
  <c r="F555" i="1" s="1"/>
  <c r="E555" i="1" a="1"/>
  <c r="E555" i="1" s="1"/>
  <c r="D555" i="1"/>
  <c r="C555" i="1"/>
  <c r="B555" i="1"/>
  <c r="A555" i="1"/>
  <c r="F554" i="1" a="1"/>
  <c r="F554" i="1" s="1"/>
  <c r="E554" i="1" a="1"/>
  <c r="E554" i="1" s="1"/>
  <c r="D554" i="1"/>
  <c r="C554" i="1"/>
  <c r="B554" i="1"/>
  <c r="A554" i="1"/>
  <c r="F553" i="1" a="1"/>
  <c r="F553" i="1" s="1"/>
  <c r="E553" i="1" a="1"/>
  <c r="E553" i="1" s="1"/>
  <c r="D553" i="1"/>
  <c r="C553" i="1"/>
  <c r="B553" i="1"/>
  <c r="A553" i="1"/>
  <c r="F552" i="1" a="1"/>
  <c r="F552" i="1" s="1"/>
  <c r="E552" i="1" a="1"/>
  <c r="E552" i="1" s="1"/>
  <c r="D552" i="1"/>
  <c r="C552" i="1"/>
  <c r="B552" i="1"/>
  <c r="A552" i="1"/>
  <c r="F551" i="1" a="1"/>
  <c r="F551" i="1" s="1"/>
  <c r="E551" i="1" a="1"/>
  <c r="E551" i="1" s="1"/>
  <c r="D551" i="1"/>
  <c r="C551" i="1"/>
  <c r="B551" i="1"/>
  <c r="A551" i="1"/>
  <c r="F550" i="1" a="1"/>
  <c r="F550" i="1" s="1"/>
  <c r="E550" i="1" a="1"/>
  <c r="E550" i="1" s="1"/>
  <c r="D550" i="1"/>
  <c r="C550" i="1"/>
  <c r="B550" i="1"/>
  <c r="A550" i="1"/>
  <c r="F549" i="1" a="1"/>
  <c r="F549" i="1" s="1"/>
  <c r="E549" i="1" a="1"/>
  <c r="E549" i="1" s="1"/>
  <c r="D549" i="1"/>
  <c r="C549" i="1"/>
  <c r="B549" i="1"/>
  <c r="A549" i="1"/>
  <c r="F548" i="1" a="1"/>
  <c r="F548" i="1" s="1"/>
  <c r="E548" i="1" a="1"/>
  <c r="E548" i="1" s="1"/>
  <c r="D548" i="1"/>
  <c r="C548" i="1"/>
  <c r="B548" i="1"/>
  <c r="A548" i="1"/>
  <c r="F547" i="1" a="1"/>
  <c r="F547" i="1" s="1"/>
  <c r="E547" i="1" a="1"/>
  <c r="E547" i="1" s="1"/>
  <c r="D547" i="1"/>
  <c r="C547" i="1"/>
  <c r="B547" i="1"/>
  <c r="A547" i="1"/>
  <c r="F546" i="1" a="1"/>
  <c r="F546" i="1" s="1"/>
  <c r="E546" i="1" a="1"/>
  <c r="E546" i="1" s="1"/>
  <c r="D546" i="1"/>
  <c r="C546" i="1"/>
  <c r="B546" i="1"/>
  <c r="A546" i="1"/>
  <c r="F545" i="1" a="1"/>
  <c r="F545" i="1" s="1"/>
  <c r="E545" i="1" a="1"/>
  <c r="E545" i="1" s="1"/>
  <c r="D545" i="1"/>
  <c r="C545" i="1"/>
  <c r="B545" i="1"/>
  <c r="A545" i="1"/>
  <c r="F544" i="1" a="1"/>
  <c r="F544" i="1" s="1"/>
  <c r="E544" i="1" a="1"/>
  <c r="E544" i="1" s="1"/>
  <c r="D544" i="1"/>
  <c r="C544" i="1"/>
  <c r="B544" i="1"/>
  <c r="A544" i="1"/>
  <c r="F543" i="1" a="1"/>
  <c r="F543" i="1" s="1"/>
  <c r="E543" i="1" a="1"/>
  <c r="E543" i="1" s="1"/>
  <c r="D543" i="1"/>
  <c r="C543" i="1"/>
  <c r="B543" i="1"/>
  <c r="A543" i="1"/>
  <c r="F542" i="1" a="1"/>
  <c r="F542" i="1" s="1"/>
  <c r="E542" i="1" a="1"/>
  <c r="E542" i="1" s="1"/>
  <c r="D542" i="1"/>
  <c r="C542" i="1"/>
  <c r="B542" i="1"/>
  <c r="A542" i="1"/>
  <c r="F541" i="1" a="1"/>
  <c r="F541" i="1" s="1"/>
  <c r="E541" i="1" a="1"/>
  <c r="E541" i="1" s="1"/>
  <c r="D541" i="1"/>
  <c r="C541" i="1"/>
  <c r="B541" i="1"/>
  <c r="A541" i="1"/>
  <c r="F540" i="1" a="1"/>
  <c r="F540" i="1" s="1"/>
  <c r="E540" i="1" a="1"/>
  <c r="E540" i="1" s="1"/>
  <c r="D540" i="1"/>
  <c r="C540" i="1"/>
  <c r="B540" i="1"/>
  <c r="A540" i="1"/>
  <c r="F539" i="1" a="1"/>
  <c r="F539" i="1" s="1"/>
  <c r="E539" i="1" a="1"/>
  <c r="E539" i="1" s="1"/>
  <c r="D539" i="1"/>
  <c r="C539" i="1"/>
  <c r="B539" i="1"/>
  <c r="A539" i="1"/>
  <c r="F538" i="1" a="1"/>
  <c r="F538" i="1" s="1"/>
  <c r="E538" i="1" a="1"/>
  <c r="E538" i="1" s="1"/>
  <c r="D538" i="1"/>
  <c r="C538" i="1"/>
  <c r="B538" i="1"/>
  <c r="A538" i="1"/>
  <c r="F537" i="1" a="1"/>
  <c r="F537" i="1" s="1"/>
  <c r="E537" i="1" a="1"/>
  <c r="E537" i="1" s="1"/>
  <c r="D537" i="1"/>
  <c r="C537" i="1"/>
  <c r="B537" i="1"/>
  <c r="A537" i="1"/>
  <c r="F536" i="1" a="1"/>
  <c r="F536" i="1" s="1"/>
  <c r="E536" i="1" a="1"/>
  <c r="E536" i="1" s="1"/>
  <c r="D536" i="1"/>
  <c r="C536" i="1"/>
  <c r="B536" i="1"/>
  <c r="A536" i="1"/>
  <c r="F535" i="1" a="1"/>
  <c r="F535" i="1" s="1"/>
  <c r="E535" i="1" a="1"/>
  <c r="E535" i="1" s="1"/>
  <c r="D535" i="1"/>
  <c r="C535" i="1"/>
  <c r="B535" i="1"/>
  <c r="A535" i="1"/>
  <c r="F534" i="1" a="1"/>
  <c r="F534" i="1" s="1"/>
  <c r="E534" i="1" a="1"/>
  <c r="E534" i="1" s="1"/>
  <c r="D534" i="1"/>
  <c r="C534" i="1"/>
  <c r="B534" i="1"/>
  <c r="A534" i="1"/>
  <c r="F533" i="1" a="1"/>
  <c r="F533" i="1" s="1"/>
  <c r="E533" i="1" a="1"/>
  <c r="E533" i="1" s="1"/>
  <c r="D533" i="1"/>
  <c r="C533" i="1"/>
  <c r="B533" i="1"/>
  <c r="A533" i="1"/>
  <c r="F532" i="1" a="1"/>
  <c r="F532" i="1" s="1"/>
  <c r="E532" i="1" a="1"/>
  <c r="E532" i="1" s="1"/>
  <c r="D532" i="1"/>
  <c r="C532" i="1"/>
  <c r="B532" i="1"/>
  <c r="A532" i="1"/>
  <c r="F531" i="1" a="1"/>
  <c r="F531" i="1" s="1"/>
  <c r="E531" i="1" a="1"/>
  <c r="E531" i="1" s="1"/>
  <c r="D531" i="1"/>
  <c r="C531" i="1"/>
  <c r="B531" i="1"/>
  <c r="A531" i="1"/>
  <c r="F530" i="1" a="1"/>
  <c r="F530" i="1" s="1"/>
  <c r="E530" i="1" a="1"/>
  <c r="E530" i="1" s="1"/>
  <c r="D530" i="1"/>
  <c r="C530" i="1"/>
  <c r="B530" i="1"/>
  <c r="A530" i="1"/>
  <c r="F529" i="1" a="1"/>
  <c r="F529" i="1" s="1"/>
  <c r="E529" i="1" a="1"/>
  <c r="E529" i="1" s="1"/>
  <c r="D529" i="1"/>
  <c r="C529" i="1"/>
  <c r="B529" i="1"/>
  <c r="A529" i="1"/>
  <c r="F528" i="1"/>
  <c r="F528" i="1" a="1"/>
  <c r="E528" i="1" a="1"/>
  <c r="E528" i="1" s="1"/>
  <c r="D528" i="1"/>
  <c r="C528" i="1"/>
  <c r="B528" i="1"/>
  <c r="A528" i="1"/>
  <c r="F527" i="1" a="1"/>
  <c r="F527" i="1" s="1"/>
  <c r="E527" i="1" a="1"/>
  <c r="E527" i="1" s="1"/>
  <c r="D527" i="1"/>
  <c r="C527" i="1"/>
  <c r="B527" i="1"/>
  <c r="A527" i="1"/>
  <c r="F526" i="1"/>
  <c r="F526" i="1" a="1"/>
  <c r="E526" i="1" a="1"/>
  <c r="E526" i="1" s="1"/>
  <c r="D526" i="1"/>
  <c r="C526" i="1"/>
  <c r="B526" i="1"/>
  <c r="A526" i="1"/>
  <c r="F525" i="1" a="1"/>
  <c r="F525" i="1" s="1"/>
  <c r="E525" i="1" a="1"/>
  <c r="E525" i="1" s="1"/>
  <c r="D525" i="1"/>
  <c r="C525" i="1"/>
  <c r="B525" i="1"/>
  <c r="A525" i="1"/>
  <c r="F524" i="1"/>
  <c r="F524" i="1" a="1"/>
  <c r="E524" i="1" a="1"/>
  <c r="E524" i="1" s="1"/>
  <c r="D524" i="1"/>
  <c r="C524" i="1"/>
  <c r="B524" i="1"/>
  <c r="A524" i="1"/>
  <c r="F523" i="1" a="1"/>
  <c r="F523" i="1" s="1"/>
  <c r="E523" i="1" a="1"/>
  <c r="E523" i="1" s="1"/>
  <c r="D523" i="1"/>
  <c r="C523" i="1"/>
  <c r="B523" i="1"/>
  <c r="A523" i="1"/>
  <c r="F522" i="1"/>
  <c r="F522" i="1" a="1"/>
  <c r="E522" i="1" a="1"/>
  <c r="E522" i="1" s="1"/>
  <c r="D522" i="1"/>
  <c r="C522" i="1"/>
  <c r="B522" i="1"/>
  <c r="A522" i="1"/>
  <c r="F521" i="1" a="1"/>
  <c r="F521" i="1" s="1"/>
  <c r="E521" i="1" a="1"/>
  <c r="E521" i="1" s="1"/>
  <c r="D521" i="1"/>
  <c r="C521" i="1"/>
  <c r="B521" i="1"/>
  <c r="A521" i="1"/>
  <c r="F520" i="1"/>
  <c r="F520" i="1" a="1"/>
  <c r="E520" i="1" a="1"/>
  <c r="E520" i="1" s="1"/>
  <c r="D520" i="1"/>
  <c r="C520" i="1"/>
  <c r="B520" i="1"/>
  <c r="A520" i="1"/>
  <c r="F519" i="1" a="1"/>
  <c r="F519" i="1" s="1"/>
  <c r="E519" i="1" a="1"/>
  <c r="E519" i="1" s="1"/>
  <c r="D519" i="1"/>
  <c r="C519" i="1"/>
  <c r="B519" i="1"/>
  <c r="A519" i="1"/>
  <c r="F518" i="1"/>
  <c r="F518" i="1" a="1"/>
  <c r="E518" i="1" a="1"/>
  <c r="E518" i="1" s="1"/>
  <c r="D518" i="1"/>
  <c r="C518" i="1"/>
  <c r="B518" i="1"/>
  <c r="A518" i="1"/>
  <c r="F517" i="1" a="1"/>
  <c r="F517" i="1" s="1"/>
  <c r="E517" i="1" a="1"/>
  <c r="E517" i="1" s="1"/>
  <c r="D517" i="1"/>
  <c r="C517" i="1"/>
  <c r="B517" i="1"/>
  <c r="A517" i="1"/>
  <c r="F516" i="1"/>
  <c r="F516" i="1" a="1"/>
  <c r="E516" i="1" a="1"/>
  <c r="E516" i="1" s="1"/>
  <c r="D516" i="1"/>
  <c r="C516" i="1"/>
  <c r="B516" i="1"/>
  <c r="A516" i="1"/>
  <c r="F515" i="1" a="1"/>
  <c r="F515" i="1" s="1"/>
  <c r="E515" i="1" a="1"/>
  <c r="E515" i="1" s="1"/>
  <c r="D515" i="1"/>
  <c r="C515" i="1"/>
  <c r="B515" i="1"/>
  <c r="A515" i="1"/>
  <c r="F514" i="1"/>
  <c r="F514" i="1" a="1"/>
  <c r="E514" i="1" a="1"/>
  <c r="E514" i="1" s="1"/>
  <c r="D514" i="1"/>
  <c r="C514" i="1"/>
  <c r="B514" i="1"/>
  <c r="A514" i="1"/>
  <c r="F513" i="1" a="1"/>
  <c r="F513" i="1" s="1"/>
  <c r="E513" i="1" a="1"/>
  <c r="E513" i="1" s="1"/>
  <c r="D513" i="1"/>
  <c r="C513" i="1"/>
  <c r="B513" i="1"/>
  <c r="A513" i="1"/>
  <c r="F512" i="1"/>
  <c r="F512" i="1" a="1"/>
  <c r="E512" i="1" a="1"/>
  <c r="E512" i="1" s="1"/>
  <c r="D512" i="1"/>
  <c r="C512" i="1"/>
  <c r="B512" i="1"/>
  <c r="A512" i="1"/>
  <c r="F511" i="1" a="1"/>
  <c r="F511" i="1" s="1"/>
  <c r="E511" i="1" a="1"/>
  <c r="E511" i="1" s="1"/>
  <c r="D511" i="1"/>
  <c r="C511" i="1"/>
  <c r="B511" i="1"/>
  <c r="A511" i="1"/>
  <c r="F510" i="1"/>
  <c r="F510" i="1" a="1"/>
  <c r="E510" i="1" a="1"/>
  <c r="E510" i="1" s="1"/>
  <c r="D510" i="1"/>
  <c r="C510" i="1"/>
  <c r="B510" i="1"/>
  <c r="A510" i="1"/>
  <c r="F509" i="1" a="1"/>
  <c r="F509" i="1" s="1"/>
  <c r="E509" i="1" a="1"/>
  <c r="E509" i="1" s="1"/>
  <c r="D509" i="1"/>
  <c r="C509" i="1"/>
  <c r="B509" i="1"/>
  <c r="A509" i="1"/>
  <c r="F508" i="1"/>
  <c r="F508" i="1" a="1"/>
  <c r="E508" i="1" a="1"/>
  <c r="E508" i="1" s="1"/>
  <c r="D508" i="1"/>
  <c r="C508" i="1"/>
  <c r="B508" i="1"/>
  <c r="A508" i="1"/>
  <c r="F507" i="1" a="1"/>
  <c r="F507" i="1" s="1"/>
  <c r="E507" i="1" a="1"/>
  <c r="E507" i="1" s="1"/>
  <c r="D507" i="1"/>
  <c r="C507" i="1"/>
  <c r="B507" i="1"/>
  <c r="A507" i="1"/>
  <c r="F506" i="1"/>
  <c r="F506" i="1" a="1"/>
  <c r="E506" i="1" a="1"/>
  <c r="E506" i="1" s="1"/>
  <c r="D506" i="1"/>
  <c r="C506" i="1"/>
  <c r="B506" i="1"/>
  <c r="A506" i="1"/>
  <c r="F505" i="1" a="1"/>
  <c r="F505" i="1" s="1"/>
  <c r="E505" i="1" a="1"/>
  <c r="E505" i="1" s="1"/>
  <c r="D505" i="1"/>
  <c r="C505" i="1"/>
  <c r="B505" i="1"/>
  <c r="A505" i="1"/>
  <c r="F504" i="1"/>
  <c r="F504" i="1" a="1"/>
  <c r="E504" i="1" a="1"/>
  <c r="E504" i="1" s="1"/>
  <c r="D504" i="1"/>
  <c r="C504" i="1"/>
  <c r="B504" i="1"/>
  <c r="A504" i="1"/>
  <c r="F503" i="1" a="1"/>
  <c r="F503" i="1" s="1"/>
  <c r="E503" i="1" a="1"/>
  <c r="E503" i="1" s="1"/>
  <c r="D503" i="1"/>
  <c r="C503" i="1"/>
  <c r="B503" i="1"/>
  <c r="A503" i="1"/>
  <c r="F502" i="1"/>
  <c r="F502" i="1" a="1"/>
  <c r="E502" i="1" a="1"/>
  <c r="E502" i="1" s="1"/>
  <c r="D502" i="1"/>
  <c r="C502" i="1"/>
  <c r="B502" i="1"/>
  <c r="A502" i="1"/>
  <c r="F501" i="1" a="1"/>
  <c r="F501" i="1" s="1"/>
  <c r="E501" i="1" a="1"/>
  <c r="E501" i="1" s="1"/>
  <c r="D501" i="1"/>
  <c r="C501" i="1"/>
  <c r="B501" i="1"/>
  <c r="A501" i="1"/>
  <c r="F500" i="1"/>
  <c r="F500" i="1" a="1"/>
  <c r="E500" i="1" a="1"/>
  <c r="E500" i="1" s="1"/>
  <c r="D500" i="1"/>
  <c r="C500" i="1"/>
  <c r="B500" i="1"/>
  <c r="A500" i="1"/>
  <c r="F499" i="1" a="1"/>
  <c r="F499" i="1" s="1"/>
  <c r="E499" i="1" a="1"/>
  <c r="E499" i="1" s="1"/>
  <c r="D499" i="1"/>
  <c r="C499" i="1"/>
  <c r="B499" i="1"/>
  <c r="A499" i="1"/>
  <c r="F498" i="1"/>
  <c r="F498" i="1" a="1"/>
  <c r="E498" i="1" a="1"/>
  <c r="E498" i="1" s="1"/>
  <c r="D498" i="1"/>
  <c r="C498" i="1"/>
  <c r="B498" i="1"/>
  <c r="A498" i="1"/>
  <c r="F497" i="1" a="1"/>
  <c r="F497" i="1" s="1"/>
  <c r="E497" i="1" a="1"/>
  <c r="E497" i="1" s="1"/>
  <c r="D497" i="1"/>
  <c r="C497" i="1"/>
  <c r="B497" i="1"/>
  <c r="A497" i="1"/>
  <c r="F496" i="1"/>
  <c r="F496" i="1" a="1"/>
  <c r="E496" i="1" a="1"/>
  <c r="E496" i="1" s="1"/>
  <c r="D496" i="1"/>
  <c r="C496" i="1"/>
  <c r="B496" i="1"/>
  <c r="A496" i="1"/>
  <c r="F495" i="1" a="1"/>
  <c r="F495" i="1" s="1"/>
  <c r="E495" i="1" a="1"/>
  <c r="E495" i="1" s="1"/>
  <c r="D495" i="1"/>
  <c r="C495" i="1"/>
  <c r="B495" i="1"/>
  <c r="A495" i="1"/>
  <c r="F494" i="1"/>
  <c r="F494" i="1" a="1"/>
  <c r="E494" i="1" a="1"/>
  <c r="E494" i="1" s="1"/>
  <c r="D494" i="1"/>
  <c r="C494" i="1"/>
  <c r="B494" i="1"/>
  <c r="A494" i="1"/>
  <c r="F493" i="1" a="1"/>
  <c r="F493" i="1" s="1"/>
  <c r="E493" i="1" a="1"/>
  <c r="E493" i="1" s="1"/>
  <c r="D493" i="1"/>
  <c r="C493" i="1"/>
  <c r="B493" i="1"/>
  <c r="A493" i="1"/>
  <c r="F492" i="1"/>
  <c r="F492" i="1" a="1"/>
  <c r="E492" i="1" a="1"/>
  <c r="E492" i="1" s="1"/>
  <c r="D492" i="1"/>
  <c r="C492" i="1"/>
  <c r="B492" i="1"/>
  <c r="A492" i="1"/>
  <c r="F491" i="1" a="1"/>
  <c r="F491" i="1" s="1"/>
  <c r="E491" i="1" a="1"/>
  <c r="E491" i="1" s="1"/>
  <c r="D491" i="1"/>
  <c r="C491" i="1"/>
  <c r="B491" i="1"/>
  <c r="A491" i="1"/>
  <c r="F490" i="1"/>
  <c r="F490" i="1" a="1"/>
  <c r="E490" i="1" a="1"/>
  <c r="E490" i="1" s="1"/>
  <c r="D490" i="1"/>
  <c r="C490" i="1"/>
  <c r="B490" i="1"/>
  <c r="A490" i="1"/>
  <c r="F489" i="1" a="1"/>
  <c r="F489" i="1" s="1"/>
  <c r="E489" i="1" a="1"/>
  <c r="E489" i="1" s="1"/>
  <c r="D489" i="1"/>
  <c r="C489" i="1"/>
  <c r="B489" i="1"/>
  <c r="A489" i="1"/>
  <c r="F488" i="1"/>
  <c r="F488" i="1" a="1"/>
  <c r="E488" i="1" a="1"/>
  <c r="E488" i="1" s="1"/>
  <c r="D488" i="1"/>
  <c r="C488" i="1"/>
  <c r="B488" i="1"/>
  <c r="A488" i="1"/>
  <c r="F487" i="1" a="1"/>
  <c r="F487" i="1" s="1"/>
  <c r="E487" i="1" a="1"/>
  <c r="E487" i="1" s="1"/>
  <c r="D487" i="1"/>
  <c r="C487" i="1"/>
  <c r="B487" i="1"/>
  <c r="A487" i="1"/>
  <c r="F486" i="1"/>
  <c r="F486" i="1" a="1"/>
  <c r="E486" i="1" a="1"/>
  <c r="E486" i="1" s="1"/>
  <c r="D486" i="1"/>
  <c r="C486" i="1"/>
  <c r="B486" i="1"/>
  <c r="A486" i="1"/>
  <c r="F485" i="1" a="1"/>
  <c r="F485" i="1" s="1"/>
  <c r="E485" i="1" a="1"/>
  <c r="E485" i="1" s="1"/>
  <c r="D485" i="1"/>
  <c r="C485" i="1"/>
  <c r="B485" i="1"/>
  <c r="A485" i="1"/>
  <c r="F484" i="1"/>
  <c r="F484" i="1" a="1"/>
  <c r="E484" i="1" a="1"/>
  <c r="E484" i="1" s="1"/>
  <c r="D484" i="1"/>
  <c r="C484" i="1"/>
  <c r="B484" i="1"/>
  <c r="A484" i="1"/>
  <c r="F483" i="1" a="1"/>
  <c r="F483" i="1" s="1"/>
  <c r="E483" i="1" a="1"/>
  <c r="E483" i="1" s="1"/>
  <c r="D483" i="1"/>
  <c r="C483" i="1"/>
  <c r="B483" i="1"/>
  <c r="A483" i="1"/>
  <c r="F482" i="1"/>
  <c r="F482" i="1" a="1"/>
  <c r="E482" i="1" a="1"/>
  <c r="E482" i="1" s="1"/>
  <c r="D482" i="1"/>
  <c r="C482" i="1"/>
  <c r="B482" i="1"/>
  <c r="A482" i="1"/>
  <c r="F481" i="1" a="1"/>
  <c r="F481" i="1" s="1"/>
  <c r="E481" i="1" a="1"/>
  <c r="E481" i="1" s="1"/>
  <c r="D481" i="1"/>
  <c r="C481" i="1"/>
  <c r="B481" i="1"/>
  <c r="A481" i="1"/>
  <c r="F480" i="1"/>
  <c r="F480" i="1" a="1"/>
  <c r="E480" i="1" a="1"/>
  <c r="E480" i="1" s="1"/>
  <c r="D480" i="1"/>
  <c r="C480" i="1"/>
  <c r="B480" i="1"/>
  <c r="A480" i="1"/>
  <c r="F479" i="1" a="1"/>
  <c r="F479" i="1" s="1"/>
  <c r="E479" i="1" a="1"/>
  <c r="E479" i="1" s="1"/>
  <c r="D479" i="1"/>
  <c r="C479" i="1"/>
  <c r="B479" i="1"/>
  <c r="A479" i="1"/>
  <c r="F478" i="1"/>
  <c r="F478" i="1" a="1"/>
  <c r="E478" i="1" a="1"/>
  <c r="E478" i="1" s="1"/>
  <c r="D478" i="1"/>
  <c r="C478" i="1"/>
  <c r="B478" i="1"/>
  <c r="A478" i="1"/>
  <c r="F477" i="1" a="1"/>
  <c r="F477" i="1" s="1"/>
  <c r="E477" i="1" a="1"/>
  <c r="E477" i="1" s="1"/>
  <c r="D477" i="1"/>
  <c r="C477" i="1"/>
  <c r="B477" i="1"/>
  <c r="A477" i="1"/>
  <c r="F476" i="1"/>
  <c r="F476" i="1" a="1"/>
  <c r="E476" i="1" a="1"/>
  <c r="E476" i="1" s="1"/>
  <c r="D476" i="1"/>
  <c r="C476" i="1"/>
  <c r="B476" i="1"/>
  <c r="A476" i="1"/>
  <c r="F475" i="1" a="1"/>
  <c r="F475" i="1" s="1"/>
  <c r="E475" i="1" a="1"/>
  <c r="E475" i="1" s="1"/>
  <c r="D475" i="1"/>
  <c r="C475" i="1"/>
  <c r="B475" i="1"/>
  <c r="A475" i="1"/>
  <c r="F474" i="1"/>
  <c r="F474" i="1" a="1"/>
  <c r="E474" i="1" a="1"/>
  <c r="E474" i="1" s="1"/>
  <c r="D474" i="1"/>
  <c r="C474" i="1"/>
  <c r="B474" i="1"/>
  <c r="A474" i="1"/>
  <c r="F473" i="1" a="1"/>
  <c r="F473" i="1" s="1"/>
  <c r="E473" i="1" a="1"/>
  <c r="E473" i="1" s="1"/>
  <c r="D473" i="1"/>
  <c r="C473" i="1"/>
  <c r="B473" i="1"/>
  <c r="A473" i="1"/>
  <c r="F472" i="1"/>
  <c r="F472" i="1" a="1"/>
  <c r="E472" i="1" a="1"/>
  <c r="E472" i="1" s="1"/>
  <c r="D472" i="1"/>
  <c r="C472" i="1"/>
  <c r="B472" i="1"/>
  <c r="A472" i="1"/>
  <c r="F471" i="1" a="1"/>
  <c r="F471" i="1" s="1"/>
  <c r="E471" i="1" a="1"/>
  <c r="E471" i="1" s="1"/>
  <c r="D471" i="1"/>
  <c r="C471" i="1"/>
  <c r="B471" i="1"/>
  <c r="A471" i="1"/>
  <c r="F470" i="1"/>
  <c r="F470" i="1" a="1"/>
  <c r="E470" i="1" a="1"/>
  <c r="E470" i="1" s="1"/>
  <c r="D470" i="1"/>
  <c r="C470" i="1"/>
  <c r="B470" i="1"/>
  <c r="A470" i="1"/>
  <c r="F469" i="1" a="1"/>
  <c r="F469" i="1" s="1"/>
  <c r="E469" i="1" a="1"/>
  <c r="E469" i="1" s="1"/>
  <c r="D469" i="1"/>
  <c r="C469" i="1"/>
  <c r="B469" i="1"/>
  <c r="A469" i="1"/>
  <c r="F468" i="1"/>
  <c r="F468" i="1" a="1"/>
  <c r="E468" i="1" a="1"/>
  <c r="E468" i="1" s="1"/>
  <c r="D468" i="1"/>
  <c r="C468" i="1"/>
  <c r="B468" i="1"/>
  <c r="A468" i="1"/>
  <c r="F467" i="1" a="1"/>
  <c r="F467" i="1" s="1"/>
  <c r="E467" i="1" a="1"/>
  <c r="E467" i="1" s="1"/>
  <c r="D467" i="1"/>
  <c r="C467" i="1"/>
  <c r="B467" i="1"/>
  <c r="A467" i="1"/>
  <c r="F466" i="1"/>
  <c r="F466" i="1" a="1"/>
  <c r="E466" i="1" a="1"/>
  <c r="E466" i="1" s="1"/>
  <c r="D466" i="1"/>
  <c r="C466" i="1"/>
  <c r="B466" i="1"/>
  <c r="A466" i="1"/>
  <c r="F465" i="1" a="1"/>
  <c r="F465" i="1" s="1"/>
  <c r="E465" i="1" a="1"/>
  <c r="E465" i="1" s="1"/>
  <c r="D465" i="1"/>
  <c r="C465" i="1"/>
  <c r="B465" i="1"/>
  <c r="A465" i="1"/>
  <c r="F464" i="1"/>
  <c r="F464" i="1" a="1"/>
  <c r="E464" i="1" a="1"/>
  <c r="E464" i="1" s="1"/>
  <c r="D464" i="1"/>
  <c r="C464" i="1"/>
  <c r="B464" i="1"/>
  <c r="A464" i="1"/>
  <c r="F463" i="1" a="1"/>
  <c r="F463" i="1" s="1"/>
  <c r="E463" i="1" a="1"/>
  <c r="E463" i="1" s="1"/>
  <c r="D463" i="1"/>
  <c r="C463" i="1"/>
  <c r="B463" i="1"/>
  <c r="A463" i="1"/>
  <c r="F462" i="1"/>
  <c r="F462" i="1" a="1"/>
  <c r="E462" i="1" a="1"/>
  <c r="E462" i="1" s="1"/>
  <c r="D462" i="1"/>
  <c r="C462" i="1"/>
  <c r="B462" i="1"/>
  <c r="A462" i="1"/>
  <c r="F461" i="1" a="1"/>
  <c r="F461" i="1" s="1"/>
  <c r="E461" i="1" a="1"/>
  <c r="E461" i="1" s="1"/>
  <c r="D461" i="1"/>
  <c r="C461" i="1"/>
  <c r="B461" i="1"/>
  <c r="A461" i="1"/>
  <c r="F460" i="1"/>
  <c r="F460" i="1" a="1"/>
  <c r="E460" i="1" a="1"/>
  <c r="E460" i="1" s="1"/>
  <c r="D460" i="1"/>
  <c r="C460" i="1"/>
  <c r="B460" i="1"/>
  <c r="A460" i="1"/>
  <c r="F459" i="1" a="1"/>
  <c r="F459" i="1" s="1"/>
  <c r="E459" i="1" a="1"/>
  <c r="E459" i="1" s="1"/>
  <c r="D459" i="1"/>
  <c r="C459" i="1"/>
  <c r="B459" i="1"/>
  <c r="A459" i="1"/>
  <c r="F458" i="1"/>
  <c r="F458" i="1" a="1"/>
  <c r="E458" i="1" a="1"/>
  <c r="E458" i="1" s="1"/>
  <c r="D458" i="1"/>
  <c r="C458" i="1"/>
  <c r="B458" i="1"/>
  <c r="A458" i="1"/>
  <c r="F457" i="1" a="1"/>
  <c r="F457" i="1" s="1"/>
  <c r="E457" i="1" a="1"/>
  <c r="E457" i="1" s="1"/>
  <c r="D457" i="1"/>
  <c r="C457" i="1"/>
  <c r="B457" i="1"/>
  <c r="A457" i="1"/>
  <c r="F456" i="1"/>
  <c r="F456" i="1" a="1"/>
  <c r="E456" i="1" a="1"/>
  <c r="E456" i="1" s="1"/>
  <c r="D456" i="1"/>
  <c r="C456" i="1"/>
  <c r="B456" i="1"/>
  <c r="A456" i="1"/>
  <c r="F455" i="1" a="1"/>
  <c r="F455" i="1" s="1"/>
  <c r="E455" i="1" a="1"/>
  <c r="E455" i="1" s="1"/>
  <c r="D455" i="1"/>
  <c r="C455" i="1"/>
  <c r="B455" i="1"/>
  <c r="A455" i="1"/>
  <c r="F454" i="1"/>
  <c r="F454" i="1" a="1"/>
  <c r="E454" i="1" a="1"/>
  <c r="E454" i="1" s="1"/>
  <c r="D454" i="1"/>
  <c r="C454" i="1"/>
  <c r="B454" i="1"/>
  <c r="A454" i="1"/>
  <c r="F453" i="1" a="1"/>
  <c r="F453" i="1" s="1"/>
  <c r="E453" i="1" a="1"/>
  <c r="E453" i="1" s="1"/>
  <c r="D453" i="1"/>
  <c r="C453" i="1"/>
  <c r="B453" i="1"/>
  <c r="A453" i="1"/>
  <c r="F452" i="1"/>
  <c r="F452" i="1" a="1"/>
  <c r="E452" i="1" a="1"/>
  <c r="E452" i="1" s="1"/>
  <c r="D452" i="1"/>
  <c r="C452" i="1"/>
  <c r="B452" i="1"/>
  <c r="A452" i="1"/>
  <c r="F451" i="1" a="1"/>
  <c r="F451" i="1" s="1"/>
  <c r="E451" i="1" a="1"/>
  <c r="E451" i="1" s="1"/>
  <c r="D451" i="1"/>
  <c r="C451" i="1"/>
  <c r="B451" i="1"/>
  <c r="A451" i="1"/>
  <c r="F450" i="1"/>
  <c r="F450" i="1" a="1"/>
  <c r="E450" i="1" a="1"/>
  <c r="E450" i="1" s="1"/>
  <c r="D450" i="1"/>
  <c r="C450" i="1"/>
  <c r="B450" i="1"/>
  <c r="A450" i="1"/>
  <c r="F449" i="1" a="1"/>
  <c r="F449" i="1" s="1"/>
  <c r="E449" i="1" a="1"/>
  <c r="E449" i="1" s="1"/>
  <c r="D449" i="1"/>
  <c r="C449" i="1"/>
  <c r="B449" i="1"/>
  <c r="A449" i="1"/>
  <c r="F448" i="1"/>
  <c r="F448" i="1" a="1"/>
  <c r="E448" i="1" a="1"/>
  <c r="E448" i="1" s="1"/>
  <c r="D448" i="1"/>
  <c r="C448" i="1"/>
  <c r="B448" i="1"/>
  <c r="A448" i="1"/>
  <c r="F447" i="1" a="1"/>
  <c r="F447" i="1" s="1"/>
  <c r="E447" i="1" a="1"/>
  <c r="E447" i="1" s="1"/>
  <c r="D447" i="1"/>
  <c r="C447" i="1"/>
  <c r="B447" i="1"/>
  <c r="A447" i="1"/>
  <c r="F446" i="1"/>
  <c r="F446" i="1" a="1"/>
  <c r="E446" i="1" a="1"/>
  <c r="E446" i="1" s="1"/>
  <c r="D446" i="1"/>
  <c r="C446" i="1"/>
  <c r="B446" i="1"/>
  <c r="A446" i="1"/>
  <c r="F445" i="1" a="1"/>
  <c r="F445" i="1" s="1"/>
  <c r="E445" i="1" a="1"/>
  <c r="E445" i="1" s="1"/>
  <c r="D445" i="1"/>
  <c r="C445" i="1"/>
  <c r="B445" i="1"/>
  <c r="A445" i="1"/>
  <c r="F444" i="1"/>
  <c r="F444" i="1" a="1"/>
  <c r="E444" i="1" a="1"/>
  <c r="E444" i="1" s="1"/>
  <c r="D444" i="1"/>
  <c r="C444" i="1"/>
  <c r="B444" i="1"/>
  <c r="A444" i="1"/>
  <c r="F443" i="1" a="1"/>
  <c r="F443" i="1" s="1"/>
  <c r="E443" i="1" a="1"/>
  <c r="E443" i="1" s="1"/>
  <c r="D443" i="1"/>
  <c r="C443" i="1"/>
  <c r="B443" i="1"/>
  <c r="A443" i="1"/>
  <c r="F442" i="1"/>
  <c r="F442" i="1" a="1"/>
  <c r="E442" i="1" a="1"/>
  <c r="E442" i="1" s="1"/>
  <c r="D442" i="1"/>
  <c r="C442" i="1"/>
  <c r="B442" i="1"/>
  <c r="A442" i="1"/>
  <c r="F441" i="1" a="1"/>
  <c r="F441" i="1" s="1"/>
  <c r="E441" i="1" a="1"/>
  <c r="E441" i="1" s="1"/>
  <c r="D441" i="1"/>
  <c r="C441" i="1"/>
  <c r="B441" i="1"/>
  <c r="A441" i="1"/>
  <c r="F440" i="1"/>
  <c r="F440" i="1" a="1"/>
  <c r="E440" i="1" a="1"/>
  <c r="E440" i="1" s="1"/>
  <c r="D440" i="1"/>
  <c r="C440" i="1"/>
  <c r="B440" i="1"/>
  <c r="A440" i="1"/>
  <c r="F439" i="1" a="1"/>
  <c r="F439" i="1" s="1"/>
  <c r="E439" i="1" a="1"/>
  <c r="E439" i="1" s="1"/>
  <c r="D439" i="1"/>
  <c r="C439" i="1"/>
  <c r="B439" i="1"/>
  <c r="A439" i="1"/>
  <c r="F438" i="1"/>
  <c r="F438" i="1" a="1"/>
  <c r="E438" i="1" a="1"/>
  <c r="E438" i="1" s="1"/>
  <c r="D438" i="1"/>
  <c r="C438" i="1"/>
  <c r="B438" i="1"/>
  <c r="A438" i="1"/>
  <c r="F437" i="1" a="1"/>
  <c r="F437" i="1" s="1"/>
  <c r="E437" i="1" a="1"/>
  <c r="E437" i="1" s="1"/>
  <c r="D437" i="1"/>
  <c r="C437" i="1"/>
  <c r="B437" i="1"/>
  <c r="A437" i="1"/>
  <c r="F436" i="1"/>
  <c r="F436" i="1" a="1"/>
  <c r="E436" i="1" a="1"/>
  <c r="E436" i="1" s="1"/>
  <c r="D436" i="1"/>
  <c r="C436" i="1"/>
  <c r="B436" i="1"/>
  <c r="A436" i="1"/>
  <c r="F435" i="1" a="1"/>
  <c r="F435" i="1" s="1"/>
  <c r="E435" i="1" a="1"/>
  <c r="E435" i="1" s="1"/>
  <c r="D435" i="1"/>
  <c r="C435" i="1"/>
  <c r="B435" i="1"/>
  <c r="A435" i="1"/>
  <c r="F434" i="1"/>
  <c r="F434" i="1" a="1"/>
  <c r="E434" i="1" a="1"/>
  <c r="E434" i="1" s="1"/>
  <c r="D434" i="1"/>
  <c r="C434" i="1"/>
  <c r="B434" i="1"/>
  <c r="A434" i="1"/>
  <c r="F433" i="1" a="1"/>
  <c r="F433" i="1" s="1"/>
  <c r="E433" i="1" a="1"/>
  <c r="E433" i="1" s="1"/>
  <c r="D433" i="1"/>
  <c r="C433" i="1"/>
  <c r="B433" i="1"/>
  <c r="A433" i="1"/>
  <c r="F432" i="1"/>
  <c r="F432" i="1" a="1"/>
  <c r="E432" i="1" a="1"/>
  <c r="E432" i="1" s="1"/>
  <c r="D432" i="1"/>
  <c r="C432" i="1"/>
  <c r="B432" i="1"/>
  <c r="A432" i="1"/>
  <c r="F431" i="1" a="1"/>
  <c r="F431" i="1" s="1"/>
  <c r="E431" i="1" a="1"/>
  <c r="E431" i="1" s="1"/>
  <c r="D431" i="1"/>
  <c r="C431" i="1"/>
  <c r="B431" i="1"/>
  <c r="A431" i="1"/>
  <c r="F430" i="1"/>
  <c r="F430" i="1" a="1"/>
  <c r="E430" i="1" a="1"/>
  <c r="E430" i="1" s="1"/>
  <c r="D430" i="1"/>
  <c r="C430" i="1"/>
  <c r="B430" i="1"/>
  <c r="A430" i="1"/>
  <c r="F429" i="1" a="1"/>
  <c r="F429" i="1" s="1"/>
  <c r="E429" i="1" a="1"/>
  <c r="E429" i="1" s="1"/>
  <c r="D429" i="1"/>
  <c r="C429" i="1"/>
  <c r="B429" i="1"/>
  <c r="A429" i="1"/>
  <c r="F428" i="1"/>
  <c r="F428" i="1" a="1"/>
  <c r="E428" i="1" a="1"/>
  <c r="E428" i="1" s="1"/>
  <c r="D428" i="1"/>
  <c r="C428" i="1"/>
  <c r="B428" i="1"/>
  <c r="A428" i="1"/>
  <c r="F427" i="1" a="1"/>
  <c r="F427" i="1" s="1"/>
  <c r="E427" i="1" a="1"/>
  <c r="E427" i="1" s="1"/>
  <c r="D427" i="1"/>
  <c r="C427" i="1"/>
  <c r="B427" i="1"/>
  <c r="A427" i="1"/>
  <c r="F426" i="1"/>
  <c r="F426" i="1" a="1"/>
  <c r="E426" i="1" a="1"/>
  <c r="E426" i="1" s="1"/>
  <c r="D426" i="1"/>
  <c r="C426" i="1"/>
  <c r="B426" i="1"/>
  <c r="A426" i="1"/>
  <c r="F425" i="1" a="1"/>
  <c r="F425" i="1" s="1"/>
  <c r="E425" i="1" a="1"/>
  <c r="E425" i="1" s="1"/>
  <c r="D425" i="1"/>
  <c r="C425" i="1"/>
  <c r="B425" i="1"/>
  <c r="A425" i="1"/>
  <c r="F424" i="1"/>
  <c r="F424" i="1" a="1"/>
  <c r="E424" i="1" a="1"/>
  <c r="E424" i="1" s="1"/>
  <c r="D424" i="1"/>
  <c r="C424" i="1"/>
  <c r="B424" i="1"/>
  <c r="A424" i="1"/>
  <c r="F423" i="1" a="1"/>
  <c r="F423" i="1" s="1"/>
  <c r="E423" i="1" a="1"/>
  <c r="E423" i="1" s="1"/>
  <c r="D423" i="1"/>
  <c r="C423" i="1"/>
  <c r="B423" i="1"/>
  <c r="A423" i="1"/>
  <c r="F422" i="1"/>
  <c r="F422" i="1" a="1"/>
  <c r="E422" i="1" a="1"/>
  <c r="E422" i="1" s="1"/>
  <c r="D422" i="1"/>
  <c r="C422" i="1"/>
  <c r="B422" i="1"/>
  <c r="A422" i="1"/>
  <c r="F421" i="1" a="1"/>
  <c r="F421" i="1" s="1"/>
  <c r="E421" i="1" a="1"/>
  <c r="E421" i="1" s="1"/>
  <c r="D421" i="1"/>
  <c r="C421" i="1"/>
  <c r="B421" i="1"/>
  <c r="A421" i="1"/>
  <c r="F420" i="1"/>
  <c r="F420" i="1" a="1"/>
  <c r="E420" i="1" a="1"/>
  <c r="E420" i="1" s="1"/>
  <c r="D420" i="1"/>
  <c r="C420" i="1"/>
  <c r="B420" i="1"/>
  <c r="A420" i="1"/>
  <c r="F419" i="1" a="1"/>
  <c r="F419" i="1" s="1"/>
  <c r="E419" i="1" a="1"/>
  <c r="E419" i="1" s="1"/>
  <c r="D419" i="1"/>
  <c r="C419" i="1"/>
  <c r="B419" i="1"/>
  <c r="A419" i="1"/>
  <c r="F418" i="1"/>
  <c r="F418" i="1" a="1"/>
  <c r="E418" i="1" a="1"/>
  <c r="E418" i="1" s="1"/>
  <c r="D418" i="1"/>
  <c r="C418" i="1"/>
  <c r="B418" i="1"/>
  <c r="A418" i="1"/>
  <c r="F417" i="1" a="1"/>
  <c r="F417" i="1" s="1"/>
  <c r="E417" i="1" a="1"/>
  <c r="E417" i="1" s="1"/>
  <c r="D417" i="1"/>
  <c r="C417" i="1"/>
  <c r="B417" i="1"/>
  <c r="A417" i="1"/>
  <c r="F416" i="1"/>
  <c r="F416" i="1" a="1"/>
  <c r="E416" i="1" a="1"/>
  <c r="E416" i="1" s="1"/>
  <c r="D416" i="1"/>
  <c r="C416" i="1"/>
  <c r="B416" i="1"/>
  <c r="A416" i="1"/>
  <c r="F415" i="1" a="1"/>
  <c r="F415" i="1" s="1"/>
  <c r="E415" i="1" a="1"/>
  <c r="E415" i="1" s="1"/>
  <c r="D415" i="1"/>
  <c r="C415" i="1"/>
  <c r="B415" i="1"/>
  <c r="A415" i="1"/>
  <c r="F414" i="1"/>
  <c r="F414" i="1" a="1"/>
  <c r="E414" i="1" a="1"/>
  <c r="E414" i="1" s="1"/>
  <c r="D414" i="1"/>
  <c r="C414" i="1"/>
  <c r="B414" i="1"/>
  <c r="A414" i="1"/>
  <c r="F413" i="1" a="1"/>
  <c r="F413" i="1" s="1"/>
  <c r="E413" i="1" a="1"/>
  <c r="E413" i="1" s="1"/>
  <c r="D413" i="1"/>
  <c r="C413" i="1"/>
  <c r="B413" i="1"/>
  <c r="A413" i="1"/>
  <c r="F412" i="1"/>
  <c r="F412" i="1" a="1"/>
  <c r="E412" i="1" a="1"/>
  <c r="E412" i="1" s="1"/>
  <c r="D412" i="1"/>
  <c r="C412" i="1"/>
  <c r="B412" i="1"/>
  <c r="A412" i="1"/>
  <c r="F411" i="1" a="1"/>
  <c r="F411" i="1" s="1"/>
  <c r="E411" i="1" a="1"/>
  <c r="E411" i="1" s="1"/>
  <c r="D411" i="1"/>
  <c r="C411" i="1"/>
  <c r="B411" i="1"/>
  <c r="A411" i="1"/>
  <c r="F410" i="1"/>
  <c r="F410" i="1" a="1"/>
  <c r="E410" i="1" a="1"/>
  <c r="E410" i="1" s="1"/>
  <c r="D410" i="1"/>
  <c r="C410" i="1"/>
  <c r="B410" i="1"/>
  <c r="A410" i="1"/>
  <c r="F409" i="1" a="1"/>
  <c r="F409" i="1" s="1"/>
  <c r="E409" i="1" a="1"/>
  <c r="E409" i="1" s="1"/>
  <c r="D409" i="1"/>
  <c r="C409" i="1"/>
  <c r="B409" i="1"/>
  <c r="A409" i="1"/>
  <c r="F408" i="1"/>
  <c r="F408" i="1" a="1"/>
  <c r="E408" i="1" a="1"/>
  <c r="E408" i="1" s="1"/>
  <c r="D408" i="1"/>
  <c r="C408" i="1"/>
  <c r="B408" i="1"/>
  <c r="A408" i="1"/>
  <c r="F407" i="1" a="1"/>
  <c r="F407" i="1" s="1"/>
  <c r="E407" i="1" a="1"/>
  <c r="E407" i="1" s="1"/>
  <c r="D407" i="1"/>
  <c r="C407" i="1"/>
  <c r="B407" i="1"/>
  <c r="A407" i="1"/>
  <c r="F406" i="1"/>
  <c r="F406" i="1" a="1"/>
  <c r="E406" i="1" a="1"/>
  <c r="E406" i="1" s="1"/>
  <c r="D406" i="1"/>
  <c r="C406" i="1"/>
  <c r="B406" i="1"/>
  <c r="A406" i="1"/>
  <c r="F405" i="1" a="1"/>
  <c r="F405" i="1" s="1"/>
  <c r="E405" i="1" a="1"/>
  <c r="E405" i="1" s="1"/>
  <c r="D405" i="1"/>
  <c r="C405" i="1"/>
  <c r="B405" i="1"/>
  <c r="A405" i="1"/>
  <c r="F404" i="1"/>
  <c r="F404" i="1" a="1"/>
  <c r="E404" i="1" a="1"/>
  <c r="E404" i="1" s="1"/>
  <c r="D404" i="1"/>
  <c r="C404" i="1"/>
  <c r="B404" i="1"/>
  <c r="A404" i="1"/>
  <c r="F403" i="1" a="1"/>
  <c r="F403" i="1" s="1"/>
  <c r="E403" i="1" a="1"/>
  <c r="E403" i="1" s="1"/>
  <c r="D403" i="1"/>
  <c r="C403" i="1"/>
  <c r="B403" i="1"/>
  <c r="A403" i="1"/>
  <c r="F402" i="1"/>
  <c r="F402" i="1" a="1"/>
  <c r="E402" i="1" a="1"/>
  <c r="E402" i="1" s="1"/>
  <c r="D402" i="1"/>
  <c r="C402" i="1"/>
  <c r="B402" i="1"/>
  <c r="A402" i="1"/>
  <c r="F401" i="1" a="1"/>
  <c r="F401" i="1" s="1"/>
  <c r="E401" i="1" a="1"/>
  <c r="E401" i="1" s="1"/>
  <c r="D401" i="1"/>
  <c r="C401" i="1"/>
  <c r="B401" i="1"/>
  <c r="A401" i="1"/>
  <c r="F400" i="1"/>
  <c r="F400" i="1" a="1"/>
  <c r="E400" i="1" a="1"/>
  <c r="E400" i="1" s="1"/>
  <c r="D400" i="1"/>
  <c r="C400" i="1"/>
  <c r="B400" i="1"/>
  <c r="A400" i="1"/>
  <c r="F399" i="1" a="1"/>
  <c r="F399" i="1" s="1"/>
  <c r="E399" i="1" a="1"/>
  <c r="E399" i="1" s="1"/>
  <c r="D399" i="1"/>
  <c r="C399" i="1"/>
  <c r="B399" i="1"/>
  <c r="A399" i="1"/>
  <c r="F398" i="1"/>
  <c r="F398" i="1" a="1"/>
  <c r="E398" i="1" a="1"/>
  <c r="E398" i="1" s="1"/>
  <c r="D398" i="1"/>
  <c r="C398" i="1"/>
  <c r="B398" i="1"/>
  <c r="A398" i="1"/>
  <c r="F397" i="1" a="1"/>
  <c r="F397" i="1" s="1"/>
  <c r="E397" i="1" a="1"/>
  <c r="E397" i="1" s="1"/>
  <c r="D397" i="1"/>
  <c r="C397" i="1"/>
  <c r="B397" i="1"/>
  <c r="A397" i="1"/>
  <c r="F396" i="1"/>
  <c r="F396" i="1" a="1"/>
  <c r="E396" i="1" a="1"/>
  <c r="E396" i="1" s="1"/>
  <c r="D396" i="1"/>
  <c r="C396" i="1"/>
  <c r="B396" i="1"/>
  <c r="A396" i="1"/>
  <c r="F395" i="1" a="1"/>
  <c r="F395" i="1" s="1"/>
  <c r="E395" i="1" a="1"/>
  <c r="E395" i="1" s="1"/>
  <c r="D395" i="1"/>
  <c r="C395" i="1"/>
  <c r="B395" i="1"/>
  <c r="A395" i="1"/>
  <c r="F394" i="1"/>
  <c r="F394" i="1" a="1"/>
  <c r="E394" i="1" a="1"/>
  <c r="E394" i="1" s="1"/>
  <c r="D394" i="1"/>
  <c r="C394" i="1"/>
  <c r="B394" i="1"/>
  <c r="A394" i="1"/>
  <c r="F393" i="1" a="1"/>
  <c r="F393" i="1" s="1"/>
  <c r="E393" i="1" a="1"/>
  <c r="E393" i="1" s="1"/>
  <c r="D393" i="1"/>
  <c r="C393" i="1"/>
  <c r="B393" i="1"/>
  <c r="A393" i="1"/>
  <c r="F392" i="1"/>
  <c r="F392" i="1" a="1"/>
  <c r="E392" i="1" a="1"/>
  <c r="E392" i="1" s="1"/>
  <c r="D392" i="1"/>
  <c r="C392" i="1"/>
  <c r="B392" i="1"/>
  <c r="A392" i="1"/>
  <c r="F391" i="1" a="1"/>
  <c r="F391" i="1" s="1"/>
  <c r="E391" i="1" a="1"/>
  <c r="E391" i="1" s="1"/>
  <c r="D391" i="1"/>
  <c r="C391" i="1"/>
  <c r="B391" i="1"/>
  <c r="A391" i="1"/>
  <c r="F390" i="1"/>
  <c r="F390" i="1" a="1"/>
  <c r="E390" i="1" a="1"/>
  <c r="E390" i="1" s="1"/>
  <c r="D390" i="1"/>
  <c r="C390" i="1"/>
  <c r="B390" i="1"/>
  <c r="A390" i="1"/>
  <c r="F389" i="1" a="1"/>
  <c r="F389" i="1" s="1"/>
  <c r="E389" i="1" a="1"/>
  <c r="E389" i="1" s="1"/>
  <c r="D389" i="1"/>
  <c r="C389" i="1"/>
  <c r="B389" i="1"/>
  <c r="A389" i="1"/>
  <c r="F388" i="1"/>
  <c r="F388" i="1" a="1"/>
  <c r="E388" i="1" a="1"/>
  <c r="E388" i="1" s="1"/>
  <c r="D388" i="1"/>
  <c r="C388" i="1"/>
  <c r="B388" i="1"/>
  <c r="A388" i="1"/>
  <c r="F387" i="1" a="1"/>
  <c r="F387" i="1" s="1"/>
  <c r="E387" i="1" a="1"/>
  <c r="E387" i="1" s="1"/>
  <c r="D387" i="1"/>
  <c r="C387" i="1"/>
  <c r="B387" i="1"/>
  <c r="A387" i="1"/>
  <c r="F386" i="1"/>
  <c r="F386" i="1" a="1"/>
  <c r="E386" i="1" a="1"/>
  <c r="E386" i="1" s="1"/>
  <c r="D386" i="1"/>
  <c r="C386" i="1"/>
  <c r="B386" i="1"/>
  <c r="A386" i="1"/>
  <c r="F385" i="1" a="1"/>
  <c r="F385" i="1" s="1"/>
  <c r="E385" i="1" a="1"/>
  <c r="E385" i="1" s="1"/>
  <c r="D385" i="1"/>
  <c r="C385" i="1"/>
  <c r="B385" i="1"/>
  <c r="A385" i="1"/>
  <c r="F384" i="1"/>
  <c r="F384" i="1" a="1"/>
  <c r="E384" i="1" a="1"/>
  <c r="E384" i="1" s="1"/>
  <c r="D384" i="1"/>
  <c r="C384" i="1"/>
  <c r="B384" i="1"/>
  <c r="A384" i="1"/>
  <c r="F383" i="1" a="1"/>
  <c r="F383" i="1" s="1"/>
  <c r="E383" i="1" a="1"/>
  <c r="E383" i="1" s="1"/>
  <c r="D383" i="1"/>
  <c r="C383" i="1"/>
  <c r="B383" i="1"/>
  <c r="A383" i="1"/>
  <c r="F382" i="1"/>
  <c r="F382" i="1" a="1"/>
  <c r="E382" i="1" a="1"/>
  <c r="E382" i="1" s="1"/>
  <c r="D382" i="1"/>
  <c r="C382" i="1"/>
  <c r="B382" i="1"/>
  <c r="A382" i="1"/>
  <c r="F381" i="1" a="1"/>
  <c r="F381" i="1" s="1"/>
  <c r="E381" i="1" a="1"/>
  <c r="E381" i="1" s="1"/>
  <c r="D381" i="1"/>
  <c r="C381" i="1"/>
  <c r="B381" i="1"/>
  <c r="A381" i="1"/>
  <c r="F380" i="1"/>
  <c r="F380" i="1" a="1"/>
  <c r="E380" i="1" a="1"/>
  <c r="E380" i="1" s="1"/>
  <c r="D380" i="1"/>
  <c r="C380" i="1"/>
  <c r="B380" i="1"/>
  <c r="A380" i="1"/>
  <c r="F379" i="1" a="1"/>
  <c r="F379" i="1" s="1"/>
  <c r="E379" i="1" a="1"/>
  <c r="E379" i="1" s="1"/>
  <c r="D379" i="1"/>
  <c r="C379" i="1"/>
  <c r="B379" i="1"/>
  <c r="A379" i="1"/>
  <c r="F378" i="1"/>
  <c r="F378" i="1" a="1"/>
  <c r="E378" i="1" a="1"/>
  <c r="E378" i="1" s="1"/>
  <c r="D378" i="1"/>
  <c r="C378" i="1"/>
  <c r="B378" i="1"/>
  <c r="A378" i="1"/>
  <c r="F377" i="1" a="1"/>
  <c r="F377" i="1" s="1"/>
  <c r="E377" i="1" a="1"/>
  <c r="E377" i="1" s="1"/>
  <c r="D377" i="1"/>
  <c r="C377" i="1"/>
  <c r="B377" i="1"/>
  <c r="A377" i="1"/>
  <c r="F376" i="1"/>
  <c r="F376" i="1" a="1"/>
  <c r="E376" i="1" a="1"/>
  <c r="E376" i="1" s="1"/>
  <c r="D376" i="1"/>
  <c r="C376" i="1"/>
  <c r="B376" i="1"/>
  <c r="A376" i="1"/>
  <c r="F375" i="1" a="1"/>
  <c r="F375" i="1" s="1"/>
  <c r="E375" i="1" a="1"/>
  <c r="E375" i="1" s="1"/>
  <c r="D375" i="1"/>
  <c r="C375" i="1"/>
  <c r="B375" i="1"/>
  <c r="A375" i="1"/>
  <c r="F374" i="1"/>
  <c r="F374" i="1" a="1"/>
  <c r="E374" i="1" a="1"/>
  <c r="E374" i="1" s="1"/>
  <c r="D374" i="1"/>
  <c r="C374" i="1"/>
  <c r="B374" i="1"/>
  <c r="A374" i="1"/>
  <c r="F373" i="1" a="1"/>
  <c r="F373" i="1" s="1"/>
  <c r="E373" i="1" a="1"/>
  <c r="E373" i="1" s="1"/>
  <c r="D373" i="1"/>
  <c r="C373" i="1"/>
  <c r="B373" i="1"/>
  <c r="A373" i="1"/>
  <c r="F372" i="1"/>
  <c r="F372" i="1" a="1"/>
  <c r="E372" i="1" a="1"/>
  <c r="E372" i="1" s="1"/>
  <c r="D372" i="1"/>
  <c r="C372" i="1"/>
  <c r="B372" i="1"/>
  <c r="A372" i="1"/>
  <c r="F371" i="1" a="1"/>
  <c r="F371" i="1" s="1"/>
  <c r="E371" i="1" a="1"/>
  <c r="E371" i="1" s="1"/>
  <c r="D371" i="1"/>
  <c r="C371" i="1"/>
  <c r="B371" i="1"/>
  <c r="A371" i="1"/>
  <c r="F370" i="1"/>
  <c r="F370" i="1" a="1"/>
  <c r="E370" i="1" a="1"/>
  <c r="E370" i="1" s="1"/>
  <c r="D370" i="1"/>
  <c r="C370" i="1"/>
  <c r="B370" i="1"/>
  <c r="A370" i="1"/>
  <c r="F369" i="1" a="1"/>
  <c r="F369" i="1" s="1"/>
  <c r="E369" i="1" a="1"/>
  <c r="E369" i="1" s="1"/>
  <c r="D369" i="1"/>
  <c r="C369" i="1"/>
  <c r="B369" i="1"/>
  <c r="A369" i="1"/>
  <c r="F368" i="1"/>
  <c r="F368" i="1" a="1"/>
  <c r="E368" i="1" a="1"/>
  <c r="E368" i="1" s="1"/>
  <c r="D368" i="1"/>
  <c r="C368" i="1"/>
  <c r="B368" i="1"/>
  <c r="A368" i="1"/>
  <c r="F367" i="1" a="1"/>
  <c r="F367" i="1" s="1"/>
  <c r="E367" i="1" a="1"/>
  <c r="E367" i="1" s="1"/>
  <c r="D367" i="1"/>
  <c r="C367" i="1"/>
  <c r="B367" i="1"/>
  <c r="A367" i="1"/>
  <c r="F366" i="1"/>
  <c r="F366" i="1" a="1"/>
  <c r="E366" i="1" a="1"/>
  <c r="E366" i="1" s="1"/>
  <c r="D366" i="1"/>
  <c r="C366" i="1"/>
  <c r="B366" i="1"/>
  <c r="A366" i="1"/>
  <c r="F365" i="1" a="1"/>
  <c r="F365" i="1" s="1"/>
  <c r="E365" i="1" a="1"/>
  <c r="E365" i="1" s="1"/>
  <c r="D365" i="1"/>
  <c r="C365" i="1"/>
  <c r="B365" i="1"/>
  <c r="A365" i="1"/>
  <c r="F364" i="1"/>
  <c r="F364" i="1" a="1"/>
  <c r="E364" i="1" a="1"/>
  <c r="E364" i="1" s="1"/>
  <c r="D364" i="1"/>
  <c r="C364" i="1"/>
  <c r="B364" i="1"/>
  <c r="A364" i="1"/>
  <c r="F363" i="1" a="1"/>
  <c r="F363" i="1" s="1"/>
  <c r="E363" i="1" a="1"/>
  <c r="E363" i="1" s="1"/>
  <c r="D363" i="1"/>
  <c r="C363" i="1"/>
  <c r="B363" i="1"/>
  <c r="A363" i="1"/>
  <c r="F362" i="1"/>
  <c r="F362" i="1" a="1"/>
  <c r="E362" i="1" a="1"/>
  <c r="E362" i="1" s="1"/>
  <c r="D362" i="1"/>
  <c r="C362" i="1"/>
  <c r="B362" i="1"/>
  <c r="A362" i="1"/>
  <c r="F361" i="1" a="1"/>
  <c r="F361" i="1" s="1"/>
  <c r="E361" i="1" a="1"/>
  <c r="E361" i="1" s="1"/>
  <c r="D361" i="1"/>
  <c r="C361" i="1"/>
  <c r="B361" i="1"/>
  <c r="A361" i="1"/>
  <c r="F360" i="1"/>
  <c r="F360" i="1" a="1"/>
  <c r="E360" i="1" a="1"/>
  <c r="E360" i="1" s="1"/>
  <c r="D360" i="1"/>
  <c r="C360" i="1"/>
  <c r="B360" i="1"/>
  <c r="A360" i="1"/>
  <c r="F359" i="1" a="1"/>
  <c r="F359" i="1" s="1"/>
  <c r="E359" i="1" a="1"/>
  <c r="E359" i="1" s="1"/>
  <c r="D359" i="1"/>
  <c r="C359" i="1"/>
  <c r="B359" i="1"/>
  <c r="A359" i="1"/>
  <c r="F358" i="1"/>
  <c r="F358" i="1" a="1"/>
  <c r="E358" i="1" a="1"/>
  <c r="E358" i="1" s="1"/>
  <c r="D358" i="1"/>
  <c r="C358" i="1"/>
  <c r="B358" i="1"/>
  <c r="A358" i="1"/>
  <c r="F357" i="1" a="1"/>
  <c r="F357" i="1" s="1"/>
  <c r="E357" i="1" a="1"/>
  <c r="E357" i="1" s="1"/>
  <c r="D357" i="1"/>
  <c r="C357" i="1"/>
  <c r="B357" i="1"/>
  <c r="A357" i="1"/>
  <c r="F356" i="1"/>
  <c r="F356" i="1" a="1"/>
  <c r="E356" i="1" a="1"/>
  <c r="E356" i="1" s="1"/>
  <c r="D356" i="1"/>
  <c r="C356" i="1"/>
  <c r="B356" i="1"/>
  <c r="A356" i="1"/>
  <c r="F355" i="1" a="1"/>
  <c r="F355" i="1" s="1"/>
  <c r="E355" i="1" a="1"/>
  <c r="E355" i="1" s="1"/>
  <c r="D355" i="1"/>
  <c r="C355" i="1"/>
  <c r="B355" i="1"/>
  <c r="A355" i="1"/>
  <c r="F354" i="1"/>
  <c r="F354" i="1" a="1"/>
  <c r="E354" i="1" a="1"/>
  <c r="E354" i="1" s="1"/>
  <c r="D354" i="1"/>
  <c r="C354" i="1"/>
  <c r="B354" i="1"/>
  <c r="A354" i="1"/>
  <c r="F353" i="1" a="1"/>
  <c r="F353" i="1" s="1"/>
  <c r="E353" i="1" a="1"/>
  <c r="E353" i="1" s="1"/>
  <c r="D353" i="1"/>
  <c r="C353" i="1"/>
  <c r="B353" i="1"/>
  <c r="A353" i="1"/>
  <c r="F352" i="1"/>
  <c r="F352" i="1" a="1"/>
  <c r="E352" i="1" a="1"/>
  <c r="E352" i="1" s="1"/>
  <c r="D352" i="1"/>
  <c r="C352" i="1"/>
  <c r="B352" i="1"/>
  <c r="A352" i="1"/>
  <c r="F351" i="1" a="1"/>
  <c r="F351" i="1" s="1"/>
  <c r="E351" i="1" a="1"/>
  <c r="E351" i="1" s="1"/>
  <c r="D351" i="1"/>
  <c r="C351" i="1"/>
  <c r="B351" i="1"/>
  <c r="A351" i="1"/>
  <c r="F350" i="1"/>
  <c r="F350" i="1" a="1"/>
  <c r="E350" i="1" a="1"/>
  <c r="E350" i="1" s="1"/>
  <c r="D350" i="1"/>
  <c r="C350" i="1"/>
  <c r="B350" i="1"/>
  <c r="A350" i="1"/>
  <c r="F349" i="1" a="1"/>
  <c r="F349" i="1" s="1"/>
  <c r="E349" i="1" a="1"/>
  <c r="E349" i="1" s="1"/>
  <c r="D349" i="1"/>
  <c r="C349" i="1"/>
  <c r="B349" i="1"/>
  <c r="A349" i="1"/>
  <c r="F348" i="1"/>
  <c r="F348" i="1" a="1"/>
  <c r="E348" i="1" a="1"/>
  <c r="E348" i="1" s="1"/>
  <c r="D348" i="1"/>
  <c r="C348" i="1"/>
  <c r="B348" i="1"/>
  <c r="A348" i="1"/>
  <c r="F347" i="1" a="1"/>
  <c r="F347" i="1" s="1"/>
  <c r="E347" i="1" a="1"/>
  <c r="E347" i="1" s="1"/>
  <c r="D347" i="1"/>
  <c r="C347" i="1"/>
  <c r="B347" i="1"/>
  <c r="A347" i="1"/>
  <c r="F346" i="1"/>
  <c r="F346" i="1" a="1"/>
  <c r="E346" i="1" a="1"/>
  <c r="E346" i="1" s="1"/>
  <c r="D346" i="1"/>
  <c r="C346" i="1"/>
  <c r="B346" i="1"/>
  <c r="A346" i="1"/>
  <c r="F345" i="1" a="1"/>
  <c r="F345" i="1" s="1"/>
  <c r="E345" i="1" a="1"/>
  <c r="E345" i="1" s="1"/>
  <c r="D345" i="1"/>
  <c r="C345" i="1"/>
  <c r="B345" i="1"/>
  <c r="A345" i="1"/>
  <c r="F344" i="1"/>
  <c r="F344" i="1" a="1"/>
  <c r="E344" i="1" a="1"/>
  <c r="E344" i="1" s="1"/>
  <c r="D344" i="1"/>
  <c r="C344" i="1"/>
  <c r="B344" i="1"/>
  <c r="A344" i="1"/>
  <c r="F343" i="1" a="1"/>
  <c r="F343" i="1" s="1"/>
  <c r="E343" i="1" a="1"/>
  <c r="E343" i="1" s="1"/>
  <c r="D343" i="1"/>
  <c r="C343" i="1"/>
  <c r="B343" i="1"/>
  <c r="A343" i="1"/>
  <c r="F342" i="1"/>
  <c r="F342" i="1" a="1"/>
  <c r="E342" i="1" a="1"/>
  <c r="E342" i="1" s="1"/>
  <c r="D342" i="1"/>
  <c r="C342" i="1"/>
  <c r="B342" i="1"/>
  <c r="A342" i="1"/>
  <c r="F341" i="1" a="1"/>
  <c r="F341" i="1" s="1"/>
  <c r="E341" i="1" a="1"/>
  <c r="E341" i="1" s="1"/>
  <c r="D341" i="1"/>
  <c r="C341" i="1"/>
  <c r="B341" i="1"/>
  <c r="A341" i="1"/>
  <c r="F340" i="1"/>
  <c r="F340" i="1" a="1"/>
  <c r="E340" i="1" a="1"/>
  <c r="E340" i="1" s="1"/>
  <c r="D340" i="1"/>
  <c r="C340" i="1"/>
  <c r="B340" i="1"/>
  <c r="A340" i="1"/>
  <c r="F339" i="1" a="1"/>
  <c r="F339" i="1" s="1"/>
  <c r="E339" i="1" a="1"/>
  <c r="E339" i="1" s="1"/>
  <c r="D339" i="1"/>
  <c r="C339" i="1"/>
  <c r="B339" i="1"/>
  <c r="A339" i="1"/>
  <c r="F338" i="1"/>
  <c r="F338" i="1" a="1"/>
  <c r="E338" i="1" a="1"/>
  <c r="E338" i="1" s="1"/>
  <c r="D338" i="1"/>
  <c r="C338" i="1"/>
  <c r="B338" i="1"/>
  <c r="A338" i="1"/>
  <c r="F337" i="1" a="1"/>
  <c r="F337" i="1" s="1"/>
  <c r="E337" i="1" a="1"/>
  <c r="E337" i="1" s="1"/>
  <c r="D337" i="1"/>
  <c r="C337" i="1"/>
  <c r="B337" i="1"/>
  <c r="A337" i="1"/>
  <c r="F336" i="1"/>
  <c r="F336" i="1" a="1"/>
  <c r="E336" i="1" a="1"/>
  <c r="E336" i="1" s="1"/>
  <c r="D336" i="1"/>
  <c r="C336" i="1"/>
  <c r="B336" i="1"/>
  <c r="A336" i="1"/>
  <c r="F335" i="1" a="1"/>
  <c r="F335" i="1" s="1"/>
  <c r="E335" i="1" a="1"/>
  <c r="E335" i="1" s="1"/>
  <c r="D335" i="1"/>
  <c r="C335" i="1"/>
  <c r="B335" i="1"/>
  <c r="A335" i="1"/>
  <c r="F334" i="1"/>
  <c r="F334" i="1" a="1"/>
  <c r="E334" i="1" a="1"/>
  <c r="E334" i="1" s="1"/>
  <c r="D334" i="1"/>
  <c r="C334" i="1"/>
  <c r="B334" i="1"/>
  <c r="A334" i="1"/>
  <c r="F333" i="1" a="1"/>
  <c r="F333" i="1" s="1"/>
  <c r="E333" i="1" a="1"/>
  <c r="E333" i="1" s="1"/>
  <c r="D333" i="1"/>
  <c r="C333" i="1"/>
  <c r="B333" i="1"/>
  <c r="A333" i="1"/>
  <c r="F332" i="1"/>
  <c r="F332" i="1" a="1"/>
  <c r="E332" i="1" a="1"/>
  <c r="E332" i="1" s="1"/>
  <c r="D332" i="1"/>
  <c r="C332" i="1"/>
  <c r="B332" i="1"/>
  <c r="A332" i="1"/>
  <c r="F331" i="1" a="1"/>
  <c r="F331" i="1" s="1"/>
  <c r="E331" i="1" a="1"/>
  <c r="E331" i="1" s="1"/>
  <c r="D331" i="1"/>
  <c r="C331" i="1"/>
  <c r="B331" i="1"/>
  <c r="A331" i="1"/>
  <c r="F330" i="1"/>
  <c r="F330" i="1" a="1"/>
  <c r="E330" i="1" a="1"/>
  <c r="E330" i="1" s="1"/>
  <c r="D330" i="1"/>
  <c r="C330" i="1"/>
  <c r="B330" i="1"/>
  <c r="A330" i="1"/>
  <c r="F329" i="1" a="1"/>
  <c r="F329" i="1" s="1"/>
  <c r="E329" i="1" a="1"/>
  <c r="E329" i="1" s="1"/>
  <c r="D329" i="1"/>
  <c r="C329" i="1"/>
  <c r="B329" i="1"/>
  <c r="A329" i="1"/>
  <c r="F328" i="1"/>
  <c r="F328" i="1" a="1"/>
  <c r="E328" i="1" a="1"/>
  <c r="E328" i="1" s="1"/>
  <c r="D328" i="1"/>
  <c r="C328" i="1"/>
  <c r="B328" i="1"/>
  <c r="A328" i="1"/>
  <c r="F327" i="1" a="1"/>
  <c r="F327" i="1" s="1"/>
  <c r="E327" i="1" a="1"/>
  <c r="E327" i="1" s="1"/>
  <c r="D327" i="1"/>
  <c r="C327" i="1"/>
  <c r="B327" i="1"/>
  <c r="A327" i="1"/>
  <c r="F326" i="1"/>
  <c r="F326" i="1" a="1"/>
  <c r="E326" i="1" a="1"/>
  <c r="E326" i="1" s="1"/>
  <c r="D326" i="1"/>
  <c r="C326" i="1"/>
  <c r="B326" i="1"/>
  <c r="A326" i="1"/>
  <c r="F325" i="1" a="1"/>
  <c r="F325" i="1" s="1"/>
  <c r="E325" i="1" a="1"/>
  <c r="E325" i="1" s="1"/>
  <c r="D325" i="1"/>
  <c r="C325" i="1"/>
  <c r="B325" i="1"/>
  <c r="A325" i="1"/>
  <c r="F324" i="1"/>
  <c r="F324" i="1" a="1"/>
  <c r="E324" i="1" a="1"/>
  <c r="E324" i="1" s="1"/>
  <c r="D324" i="1"/>
  <c r="C324" i="1"/>
  <c r="B324" i="1"/>
  <c r="A324" i="1"/>
  <c r="F323" i="1" a="1"/>
  <c r="F323" i="1" s="1"/>
  <c r="E323" i="1" a="1"/>
  <c r="E323" i="1" s="1"/>
  <c r="D323" i="1"/>
  <c r="C323" i="1"/>
  <c r="B323" i="1"/>
  <c r="A323" i="1"/>
  <c r="F322" i="1"/>
  <c r="F322" i="1" a="1"/>
  <c r="E322" i="1" a="1"/>
  <c r="E322" i="1" s="1"/>
  <c r="D322" i="1"/>
  <c r="C322" i="1"/>
  <c r="B322" i="1"/>
  <c r="A322" i="1"/>
  <c r="F321" i="1" a="1"/>
  <c r="F321" i="1" s="1"/>
  <c r="E321" i="1" a="1"/>
  <c r="E321" i="1" s="1"/>
  <c r="D321" i="1"/>
  <c r="C321" i="1"/>
  <c r="B321" i="1"/>
  <c r="A321" i="1"/>
  <c r="F320" i="1"/>
  <c r="F320" i="1" a="1"/>
  <c r="E320" i="1" a="1"/>
  <c r="E320" i="1" s="1"/>
  <c r="D320" i="1"/>
  <c r="C320" i="1"/>
  <c r="B320" i="1"/>
  <c r="A320" i="1"/>
  <c r="F319" i="1" a="1"/>
  <c r="F319" i="1" s="1"/>
  <c r="E319" i="1" a="1"/>
  <c r="E319" i="1" s="1"/>
  <c r="D319" i="1"/>
  <c r="C319" i="1"/>
  <c r="B319" i="1"/>
  <c r="A319" i="1"/>
  <c r="F318" i="1"/>
  <c r="F318" i="1" a="1"/>
  <c r="E318" i="1" a="1"/>
  <c r="E318" i="1" s="1"/>
  <c r="D318" i="1"/>
  <c r="C318" i="1"/>
  <c r="B318" i="1"/>
  <c r="A318" i="1"/>
  <c r="F317" i="1" a="1"/>
  <c r="F317" i="1" s="1"/>
  <c r="E317" i="1" a="1"/>
  <c r="E317" i="1" s="1"/>
  <c r="D317" i="1"/>
  <c r="C317" i="1"/>
  <c r="B317" i="1"/>
  <c r="A317" i="1"/>
  <c r="F316" i="1"/>
  <c r="F316" i="1" a="1"/>
  <c r="E316" i="1" a="1"/>
  <c r="E316" i="1" s="1"/>
  <c r="D316" i="1"/>
  <c r="C316" i="1"/>
  <c r="B316" i="1"/>
  <c r="A316" i="1"/>
  <c r="F315" i="1" a="1"/>
  <c r="F315" i="1" s="1"/>
  <c r="E315" i="1" a="1"/>
  <c r="E315" i="1" s="1"/>
  <c r="D315" i="1"/>
  <c r="C315" i="1"/>
  <c r="B315" i="1"/>
  <c r="A315" i="1"/>
  <c r="F314" i="1"/>
  <c r="F314" i="1" a="1"/>
  <c r="E314" i="1" a="1"/>
  <c r="E314" i="1" s="1"/>
  <c r="D314" i="1"/>
  <c r="C314" i="1"/>
  <c r="B314" i="1"/>
  <c r="A314" i="1"/>
  <c r="F313" i="1" a="1"/>
  <c r="F313" i="1" s="1"/>
  <c r="E313" i="1" a="1"/>
  <c r="E313" i="1" s="1"/>
  <c r="D313" i="1"/>
  <c r="C313" i="1"/>
  <c r="B313" i="1"/>
  <c r="A313" i="1"/>
  <c r="F312" i="1"/>
  <c r="F312" i="1" a="1"/>
  <c r="E312" i="1" a="1"/>
  <c r="E312" i="1" s="1"/>
  <c r="D312" i="1"/>
  <c r="C312" i="1"/>
  <c r="B312" i="1"/>
  <c r="A312" i="1"/>
  <c r="F311" i="1" a="1"/>
  <c r="F311" i="1" s="1"/>
  <c r="E311" i="1" a="1"/>
  <c r="E311" i="1" s="1"/>
  <c r="D311" i="1"/>
  <c r="C311" i="1"/>
  <c r="B311" i="1"/>
  <c r="A311" i="1"/>
  <c r="F310" i="1"/>
  <c r="F310" i="1" a="1"/>
  <c r="E310" i="1" a="1"/>
  <c r="E310" i="1" s="1"/>
  <c r="D310" i="1"/>
  <c r="C310" i="1"/>
  <c r="B310" i="1"/>
  <c r="A310" i="1"/>
  <c r="F309" i="1" a="1"/>
  <c r="F309" i="1" s="1"/>
  <c r="E309" i="1" a="1"/>
  <c r="E309" i="1" s="1"/>
  <c r="D309" i="1"/>
  <c r="C309" i="1"/>
  <c r="B309" i="1"/>
  <c r="A309" i="1"/>
  <c r="F308" i="1"/>
  <c r="F308" i="1" a="1"/>
  <c r="E308" i="1" a="1"/>
  <c r="E308" i="1" s="1"/>
  <c r="D308" i="1"/>
  <c r="C308" i="1"/>
  <c r="B308" i="1"/>
  <c r="A308" i="1"/>
  <c r="F307" i="1" a="1"/>
  <c r="F307" i="1" s="1"/>
  <c r="E307" i="1" a="1"/>
  <c r="E307" i="1" s="1"/>
  <c r="D307" i="1"/>
  <c r="C307" i="1"/>
  <c r="B307" i="1"/>
  <c r="A307" i="1"/>
  <c r="F306" i="1"/>
  <c r="F306" i="1" a="1"/>
  <c r="E306" i="1" a="1"/>
  <c r="E306" i="1" s="1"/>
  <c r="D306" i="1"/>
  <c r="C306" i="1"/>
  <c r="B306" i="1"/>
  <c r="A306" i="1"/>
  <c r="F305" i="1" a="1"/>
  <c r="F305" i="1" s="1"/>
  <c r="E305" i="1" a="1"/>
  <c r="E305" i="1" s="1"/>
  <c r="D305" i="1"/>
  <c r="C305" i="1"/>
  <c r="B305" i="1"/>
  <c r="A305" i="1"/>
  <c r="F304" i="1"/>
  <c r="F304" i="1" a="1"/>
  <c r="E304" i="1" a="1"/>
  <c r="E304" i="1" s="1"/>
  <c r="D304" i="1"/>
  <c r="C304" i="1"/>
  <c r="B304" i="1"/>
  <c r="A304" i="1"/>
  <c r="F303" i="1" a="1"/>
  <c r="F303" i="1" s="1"/>
  <c r="E303" i="1" a="1"/>
  <c r="E303" i="1" s="1"/>
  <c r="D303" i="1"/>
  <c r="C303" i="1"/>
  <c r="B303" i="1"/>
  <c r="A303" i="1"/>
  <c r="F302" i="1"/>
  <c r="F302" i="1" a="1"/>
  <c r="E302" i="1" a="1"/>
  <c r="E302" i="1" s="1"/>
  <c r="D302" i="1"/>
  <c r="C302" i="1"/>
  <c r="B302" i="1"/>
  <c r="A302" i="1"/>
  <c r="F301" i="1" a="1"/>
  <c r="F301" i="1" s="1"/>
  <c r="E301" i="1" a="1"/>
  <c r="E301" i="1" s="1"/>
  <c r="D301" i="1"/>
  <c r="C301" i="1"/>
  <c r="B301" i="1"/>
  <c r="A301" i="1"/>
  <c r="F300" i="1"/>
  <c r="F300" i="1" a="1"/>
  <c r="E300" i="1" a="1"/>
  <c r="E300" i="1" s="1"/>
  <c r="D300" i="1"/>
  <c r="C300" i="1"/>
  <c r="B300" i="1"/>
  <c r="A300" i="1"/>
  <c r="F299" i="1" a="1"/>
  <c r="F299" i="1" s="1"/>
  <c r="E299" i="1" a="1"/>
  <c r="E299" i="1" s="1"/>
  <c r="D299" i="1"/>
  <c r="C299" i="1"/>
  <c r="B299" i="1"/>
  <c r="A299" i="1"/>
  <c r="F298" i="1"/>
  <c r="F298" i="1" a="1"/>
  <c r="E298" i="1" a="1"/>
  <c r="E298" i="1" s="1"/>
  <c r="D298" i="1"/>
  <c r="C298" i="1"/>
  <c r="B298" i="1"/>
  <c r="A298" i="1"/>
  <c r="F297" i="1" a="1"/>
  <c r="F297" i="1" s="1"/>
  <c r="E297" i="1" a="1"/>
  <c r="E297" i="1" s="1"/>
  <c r="D297" i="1"/>
  <c r="C297" i="1"/>
  <c r="B297" i="1"/>
  <c r="A297" i="1"/>
  <c r="F296" i="1"/>
  <c r="F296" i="1" a="1"/>
  <c r="E296" i="1" a="1"/>
  <c r="E296" i="1" s="1"/>
  <c r="D296" i="1"/>
  <c r="C296" i="1"/>
  <c r="B296" i="1"/>
  <c r="A296" i="1"/>
  <c r="F295" i="1" a="1"/>
  <c r="F295" i="1" s="1"/>
  <c r="E295" i="1" a="1"/>
  <c r="E295" i="1" s="1"/>
  <c r="D295" i="1"/>
  <c r="C295" i="1"/>
  <c r="B295" i="1"/>
  <c r="A295" i="1"/>
  <c r="F294" i="1"/>
  <c r="F294" i="1" a="1"/>
  <c r="E294" i="1" a="1"/>
  <c r="E294" i="1" s="1"/>
  <c r="D294" i="1"/>
  <c r="C294" i="1"/>
  <c r="B294" i="1"/>
  <c r="A294" i="1"/>
  <c r="F293" i="1" a="1"/>
  <c r="F293" i="1" s="1"/>
  <c r="E293" i="1" a="1"/>
  <c r="E293" i="1" s="1"/>
  <c r="D293" i="1"/>
  <c r="C293" i="1"/>
  <c r="B293" i="1"/>
  <c r="A293" i="1"/>
  <c r="F292" i="1"/>
  <c r="F292" i="1" a="1"/>
  <c r="E292" i="1" a="1"/>
  <c r="E292" i="1" s="1"/>
  <c r="D292" i="1"/>
  <c r="C292" i="1"/>
  <c r="B292" i="1"/>
  <c r="A292" i="1"/>
  <c r="F291" i="1" a="1"/>
  <c r="F291" i="1" s="1"/>
  <c r="E291" i="1" a="1"/>
  <c r="E291" i="1" s="1"/>
  <c r="D291" i="1"/>
  <c r="C291" i="1"/>
  <c r="B291" i="1"/>
  <c r="A291" i="1"/>
  <c r="F290" i="1"/>
  <c r="F290" i="1" a="1"/>
  <c r="E290" i="1" a="1"/>
  <c r="E290" i="1" s="1"/>
  <c r="D290" i="1"/>
  <c r="C290" i="1"/>
  <c r="B290" i="1"/>
  <c r="A290" i="1"/>
  <c r="F289" i="1" a="1"/>
  <c r="F289" i="1" s="1"/>
  <c r="E289" i="1" a="1"/>
  <c r="E289" i="1" s="1"/>
  <c r="D289" i="1"/>
  <c r="C289" i="1"/>
  <c r="B289" i="1"/>
  <c r="A289" i="1"/>
  <c r="F288" i="1"/>
  <c r="F288" i="1" a="1"/>
  <c r="E288" i="1" a="1"/>
  <c r="E288" i="1" s="1"/>
  <c r="D288" i="1"/>
  <c r="C288" i="1"/>
  <c r="B288" i="1"/>
  <c r="A288" i="1"/>
  <c r="F287" i="1" a="1"/>
  <c r="F287" i="1" s="1"/>
  <c r="E287" i="1" a="1"/>
  <c r="E287" i="1" s="1"/>
  <c r="D287" i="1"/>
  <c r="C287" i="1"/>
  <c r="B287" i="1"/>
  <c r="A287" i="1"/>
  <c r="F286" i="1"/>
  <c r="F286" i="1" a="1"/>
  <c r="E286" i="1" a="1"/>
  <c r="E286" i="1" s="1"/>
  <c r="D286" i="1"/>
  <c r="C286" i="1"/>
  <c r="B286" i="1"/>
  <c r="A286" i="1"/>
  <c r="F285" i="1" a="1"/>
  <c r="F285" i="1" s="1"/>
  <c r="E285" i="1" a="1"/>
  <c r="E285" i="1" s="1"/>
  <c r="D285" i="1"/>
  <c r="C285" i="1"/>
  <c r="B285" i="1"/>
  <c r="A285" i="1"/>
  <c r="F284" i="1"/>
  <c r="F284" i="1" a="1"/>
  <c r="E284" i="1" a="1"/>
  <c r="E284" i="1" s="1"/>
  <c r="D284" i="1"/>
  <c r="C284" i="1"/>
  <c r="B284" i="1"/>
  <c r="A284" i="1"/>
  <c r="F283" i="1" a="1"/>
  <c r="F283" i="1" s="1"/>
  <c r="E283" i="1" a="1"/>
  <c r="E283" i="1" s="1"/>
  <c r="D283" i="1"/>
  <c r="C283" i="1"/>
  <c r="B283" i="1"/>
  <c r="A283" i="1"/>
  <c r="F282" i="1"/>
  <c r="F282" i="1" a="1"/>
  <c r="E282" i="1" a="1"/>
  <c r="E282" i="1" s="1"/>
  <c r="D282" i="1"/>
  <c r="C282" i="1"/>
  <c r="B282" i="1"/>
  <c r="A282" i="1"/>
  <c r="F281" i="1" a="1"/>
  <c r="F281" i="1" s="1"/>
  <c r="E281" i="1" a="1"/>
  <c r="E281" i="1" s="1"/>
  <c r="D281" i="1"/>
  <c r="C281" i="1"/>
  <c r="B281" i="1"/>
  <c r="A281" i="1"/>
  <c r="F280" i="1"/>
  <c r="F280" i="1" a="1"/>
  <c r="E280" i="1" a="1"/>
  <c r="E280" i="1" s="1"/>
  <c r="D280" i="1"/>
  <c r="C280" i="1"/>
  <c r="B280" i="1"/>
  <c r="A280" i="1"/>
  <c r="F279" i="1" a="1"/>
  <c r="F279" i="1" s="1"/>
  <c r="E279" i="1" a="1"/>
  <c r="E279" i="1" s="1"/>
  <c r="D279" i="1"/>
  <c r="C279" i="1"/>
  <c r="B279" i="1"/>
  <c r="A279" i="1"/>
  <c r="F278" i="1"/>
  <c r="F278" i="1" a="1"/>
  <c r="E278" i="1" a="1"/>
  <c r="E278" i="1" s="1"/>
  <c r="D278" i="1"/>
  <c r="C278" i="1"/>
  <c r="B278" i="1"/>
  <c r="A278" i="1"/>
  <c r="F277" i="1" a="1"/>
  <c r="F277" i="1" s="1"/>
  <c r="E277" i="1" a="1"/>
  <c r="E277" i="1" s="1"/>
  <c r="D277" i="1"/>
  <c r="C277" i="1"/>
  <c r="B277" i="1"/>
  <c r="A277" i="1"/>
  <c r="F276" i="1"/>
  <c r="F276" i="1" a="1"/>
  <c r="E276" i="1" a="1"/>
  <c r="E276" i="1" s="1"/>
  <c r="D276" i="1"/>
  <c r="C276" i="1"/>
  <c r="B276" i="1"/>
  <c r="A276" i="1"/>
  <c r="F275" i="1" a="1"/>
  <c r="F275" i="1" s="1"/>
  <c r="E275" i="1" a="1"/>
  <c r="E275" i="1" s="1"/>
  <c r="D275" i="1"/>
  <c r="C275" i="1"/>
  <c r="B275" i="1"/>
  <c r="A275" i="1"/>
  <c r="F274" i="1"/>
  <c r="F274" i="1" a="1"/>
  <c r="E274" i="1" a="1"/>
  <c r="E274" i="1" s="1"/>
  <c r="D274" i="1"/>
  <c r="C274" i="1"/>
  <c r="B274" i="1"/>
  <c r="A274" i="1"/>
  <c r="F273" i="1" a="1"/>
  <c r="F273" i="1" s="1"/>
  <c r="E273" i="1" a="1"/>
  <c r="E273" i="1" s="1"/>
  <c r="D273" i="1"/>
  <c r="C273" i="1"/>
  <c r="B273" i="1"/>
  <c r="A273" i="1"/>
  <c r="F272" i="1"/>
  <c r="F272" i="1" a="1"/>
  <c r="E272" i="1" a="1"/>
  <c r="E272" i="1" s="1"/>
  <c r="D272" i="1"/>
  <c r="C272" i="1"/>
  <c r="B272" i="1"/>
  <c r="A272" i="1"/>
  <c r="F271" i="1" a="1"/>
  <c r="F271" i="1" s="1"/>
  <c r="E271" i="1" a="1"/>
  <c r="E271" i="1" s="1"/>
  <c r="D271" i="1"/>
  <c r="C271" i="1"/>
  <c r="B271" i="1"/>
  <c r="A271" i="1"/>
  <c r="F270" i="1"/>
  <c r="F270" i="1" a="1"/>
  <c r="E270" i="1" a="1"/>
  <c r="E270" i="1" s="1"/>
  <c r="D270" i="1"/>
  <c r="C270" i="1"/>
  <c r="B270" i="1"/>
  <c r="A270" i="1"/>
  <c r="F269" i="1" a="1"/>
  <c r="F269" i="1" s="1"/>
  <c r="E269" i="1" a="1"/>
  <c r="E269" i="1" s="1"/>
  <c r="D269" i="1"/>
  <c r="C269" i="1"/>
  <c r="B269" i="1"/>
  <c r="A269" i="1"/>
  <c r="F268" i="1"/>
  <c r="F268" i="1" a="1"/>
  <c r="E268" i="1" a="1"/>
  <c r="E268" i="1" s="1"/>
  <c r="D268" i="1"/>
  <c r="C268" i="1"/>
  <c r="B268" i="1"/>
  <c r="A268" i="1"/>
  <c r="F267" i="1" a="1"/>
  <c r="F267" i="1" s="1"/>
  <c r="E267" i="1" a="1"/>
  <c r="E267" i="1" s="1"/>
  <c r="D267" i="1"/>
  <c r="C267" i="1"/>
  <c r="B267" i="1"/>
  <c r="A267" i="1"/>
  <c r="F266" i="1"/>
  <c r="F266" i="1" a="1"/>
  <c r="E266" i="1" a="1"/>
  <c r="E266" i="1" s="1"/>
  <c r="D266" i="1"/>
  <c r="C266" i="1"/>
  <c r="B266" i="1"/>
  <c r="A266" i="1"/>
  <c r="F265" i="1" a="1"/>
  <c r="F265" i="1" s="1"/>
  <c r="E265" i="1" a="1"/>
  <c r="E265" i="1" s="1"/>
  <c r="D265" i="1"/>
  <c r="C265" i="1"/>
  <c r="B265" i="1"/>
  <c r="A265" i="1"/>
  <c r="F264" i="1"/>
  <c r="F264" i="1" a="1"/>
  <c r="E264" i="1" a="1"/>
  <c r="E264" i="1" s="1"/>
  <c r="D264" i="1"/>
  <c r="C264" i="1"/>
  <c r="B264" i="1"/>
  <c r="A264" i="1"/>
  <c r="F263" i="1" a="1"/>
  <c r="F263" i="1" s="1"/>
  <c r="E263" i="1" a="1"/>
  <c r="E263" i="1" s="1"/>
  <c r="D263" i="1"/>
  <c r="C263" i="1"/>
  <c r="B263" i="1"/>
  <c r="A263" i="1"/>
  <c r="F262" i="1"/>
  <c r="F262" i="1" a="1"/>
  <c r="E262" i="1" a="1"/>
  <c r="E262" i="1" s="1"/>
  <c r="D262" i="1"/>
  <c r="C262" i="1"/>
  <c r="B262" i="1"/>
  <c r="A262" i="1"/>
  <c r="F261" i="1" a="1"/>
  <c r="F261" i="1" s="1"/>
  <c r="E261" i="1" a="1"/>
  <c r="E261" i="1" s="1"/>
  <c r="D261" i="1"/>
  <c r="C261" i="1"/>
  <c r="B261" i="1"/>
  <c r="A261" i="1"/>
  <c r="F260" i="1"/>
  <c r="F260" i="1" a="1"/>
  <c r="E260" i="1" a="1"/>
  <c r="E260" i="1" s="1"/>
  <c r="D260" i="1"/>
  <c r="C260" i="1"/>
  <c r="B260" i="1"/>
  <c r="A260" i="1"/>
  <c r="F259" i="1" a="1"/>
  <c r="F259" i="1" s="1"/>
  <c r="E259" i="1" a="1"/>
  <c r="E259" i="1" s="1"/>
  <c r="D259" i="1"/>
  <c r="C259" i="1"/>
  <c r="B259" i="1"/>
  <c r="A259" i="1"/>
  <c r="F258" i="1"/>
  <c r="F258" i="1" a="1"/>
  <c r="E258" i="1" a="1"/>
  <c r="E258" i="1" s="1"/>
  <c r="D258" i="1"/>
  <c r="C258" i="1"/>
  <c r="B258" i="1"/>
  <c r="A258" i="1"/>
  <c r="F257" i="1" a="1"/>
  <c r="F257" i="1" s="1"/>
  <c r="E257" i="1" a="1"/>
  <c r="E257" i="1" s="1"/>
  <c r="D257" i="1"/>
  <c r="C257" i="1"/>
  <c r="B257" i="1"/>
  <c r="A257" i="1"/>
  <c r="F256" i="1"/>
  <c r="F256" i="1" a="1"/>
  <c r="E256" i="1" a="1"/>
  <c r="E256" i="1" s="1"/>
  <c r="D256" i="1"/>
  <c r="C256" i="1"/>
  <c r="B256" i="1"/>
  <c r="A256" i="1"/>
  <c r="F255" i="1" a="1"/>
  <c r="F255" i="1" s="1"/>
  <c r="E255" i="1" a="1"/>
  <c r="E255" i="1" s="1"/>
  <c r="D255" i="1"/>
  <c r="C255" i="1"/>
  <c r="B255" i="1"/>
  <c r="A255" i="1"/>
  <c r="F254" i="1"/>
  <c r="F254" i="1" a="1"/>
  <c r="E254" i="1" a="1"/>
  <c r="E254" i="1" s="1"/>
  <c r="D254" i="1"/>
  <c r="C254" i="1"/>
  <c r="B254" i="1"/>
  <c r="A254" i="1"/>
  <c r="F253" i="1" a="1"/>
  <c r="F253" i="1" s="1"/>
  <c r="E253" i="1" a="1"/>
  <c r="E253" i="1" s="1"/>
  <c r="D253" i="1"/>
  <c r="C253" i="1"/>
  <c r="B253" i="1"/>
  <c r="A253" i="1"/>
  <c r="F252" i="1"/>
  <c r="F252" i="1" a="1"/>
  <c r="E252" i="1" a="1"/>
  <c r="E252" i="1" s="1"/>
  <c r="D252" i="1"/>
  <c r="C252" i="1"/>
  <c r="B252" i="1"/>
  <c r="A252" i="1"/>
  <c r="F251" i="1" a="1"/>
  <c r="F251" i="1" s="1"/>
  <c r="E251" i="1" a="1"/>
  <c r="E251" i="1" s="1"/>
  <c r="D251" i="1"/>
  <c r="C251" i="1"/>
  <c r="B251" i="1"/>
  <c r="A251" i="1"/>
  <c r="F250" i="1"/>
  <c r="F250" i="1" a="1"/>
  <c r="E250" i="1" a="1"/>
  <c r="E250" i="1" s="1"/>
  <c r="D250" i="1"/>
  <c r="C250" i="1"/>
  <c r="B250" i="1"/>
  <c r="A250" i="1"/>
  <c r="F249" i="1" a="1"/>
  <c r="F249" i="1" s="1"/>
  <c r="E249" i="1" a="1"/>
  <c r="E249" i="1" s="1"/>
  <c r="D249" i="1"/>
  <c r="C249" i="1"/>
  <c r="B249" i="1"/>
  <c r="A249" i="1"/>
  <c r="F248" i="1"/>
  <c r="F248" i="1" a="1"/>
  <c r="E248" i="1" a="1"/>
  <c r="E248" i="1" s="1"/>
  <c r="D248" i="1"/>
  <c r="C248" i="1"/>
  <c r="B248" i="1"/>
  <c r="A248" i="1"/>
  <c r="F247" i="1" a="1"/>
  <c r="F247" i="1" s="1"/>
  <c r="E247" i="1" a="1"/>
  <c r="E247" i="1" s="1"/>
  <c r="D247" i="1"/>
  <c r="C247" i="1"/>
  <c r="B247" i="1"/>
  <c r="A247" i="1"/>
  <c r="F246" i="1"/>
  <c r="F246" i="1" a="1"/>
  <c r="E246" i="1" a="1"/>
  <c r="E246" i="1" s="1"/>
  <c r="D246" i="1"/>
  <c r="C246" i="1"/>
  <c r="B246" i="1"/>
  <c r="A246" i="1"/>
  <c r="F245" i="1" a="1"/>
  <c r="F245" i="1" s="1"/>
  <c r="E245" i="1" a="1"/>
  <c r="E245" i="1" s="1"/>
  <c r="D245" i="1"/>
  <c r="C245" i="1"/>
  <c r="B245" i="1"/>
  <c r="A245" i="1"/>
  <c r="F244" i="1"/>
  <c r="F244" i="1" a="1"/>
  <c r="E244" i="1" a="1"/>
  <c r="E244" i="1" s="1"/>
  <c r="D244" i="1"/>
  <c r="C244" i="1"/>
  <c r="B244" i="1"/>
  <c r="A244" i="1"/>
  <c r="F243" i="1" a="1"/>
  <c r="F243" i="1" s="1"/>
  <c r="E243" i="1" a="1"/>
  <c r="E243" i="1" s="1"/>
  <c r="D243" i="1"/>
  <c r="C243" i="1"/>
  <c r="B243" i="1"/>
  <c r="A243" i="1"/>
  <c r="F242" i="1"/>
  <c r="F242" i="1" a="1"/>
  <c r="E242" i="1" a="1"/>
  <c r="E242" i="1" s="1"/>
  <c r="D242" i="1"/>
  <c r="C242" i="1"/>
  <c r="B242" i="1"/>
  <c r="A242" i="1"/>
  <c r="F241" i="1" a="1"/>
  <c r="F241" i="1" s="1"/>
  <c r="E241" i="1" a="1"/>
  <c r="E241" i="1" s="1"/>
  <c r="D241" i="1"/>
  <c r="C241" i="1"/>
  <c r="B241" i="1"/>
  <c r="A241" i="1"/>
  <c r="F240" i="1"/>
  <c r="F240" i="1" a="1"/>
  <c r="E240" i="1" a="1"/>
  <c r="E240" i="1" s="1"/>
  <c r="D240" i="1"/>
  <c r="C240" i="1"/>
  <c r="B240" i="1"/>
  <c r="A240" i="1"/>
  <c r="F239" i="1" a="1"/>
  <c r="F239" i="1" s="1"/>
  <c r="E239" i="1" a="1"/>
  <c r="E239" i="1" s="1"/>
  <c r="D239" i="1"/>
  <c r="C239" i="1"/>
  <c r="B239" i="1"/>
  <c r="A239" i="1"/>
  <c r="F238" i="1"/>
  <c r="F238" i="1" a="1"/>
  <c r="E238" i="1" a="1"/>
  <c r="E238" i="1" s="1"/>
  <c r="D238" i="1"/>
  <c r="C238" i="1"/>
  <c r="B238" i="1"/>
  <c r="A238" i="1"/>
  <c r="F237" i="1" a="1"/>
  <c r="F237" i="1" s="1"/>
  <c r="E237" i="1" a="1"/>
  <c r="E237" i="1" s="1"/>
  <c r="D237" i="1"/>
  <c r="C237" i="1"/>
  <c r="B237" i="1"/>
  <c r="A237" i="1"/>
  <c r="F236" i="1"/>
  <c r="F236" i="1" a="1"/>
  <c r="E236" i="1" a="1"/>
  <c r="E236" i="1" s="1"/>
  <c r="D236" i="1"/>
  <c r="C236" i="1"/>
  <c r="B236" i="1"/>
  <c r="A236" i="1"/>
  <c r="F235" i="1" a="1"/>
  <c r="F235" i="1" s="1"/>
  <c r="E235" i="1" a="1"/>
  <c r="E235" i="1" s="1"/>
  <c r="D235" i="1"/>
  <c r="C235" i="1"/>
  <c r="B235" i="1"/>
  <c r="A235" i="1"/>
  <c r="F234" i="1"/>
  <c r="F234" i="1" a="1"/>
  <c r="E234" i="1" a="1"/>
  <c r="E234" i="1" s="1"/>
  <c r="D234" i="1"/>
  <c r="C234" i="1"/>
  <c r="B234" i="1"/>
  <c r="A234" i="1"/>
  <c r="F233" i="1" a="1"/>
  <c r="F233" i="1" s="1"/>
  <c r="E233" i="1" a="1"/>
  <c r="E233" i="1" s="1"/>
  <c r="D233" i="1"/>
  <c r="C233" i="1"/>
  <c r="B233" i="1"/>
  <c r="A233" i="1"/>
  <c r="F232" i="1"/>
  <c r="F232" i="1" a="1"/>
  <c r="E232" i="1" a="1"/>
  <c r="E232" i="1" s="1"/>
  <c r="D232" i="1"/>
  <c r="C232" i="1"/>
  <c r="B232" i="1"/>
  <c r="A232" i="1"/>
  <c r="F231" i="1" a="1"/>
  <c r="F231" i="1" s="1"/>
  <c r="E231" i="1" a="1"/>
  <c r="E231" i="1" s="1"/>
  <c r="D231" i="1"/>
  <c r="C231" i="1"/>
  <c r="B231" i="1"/>
  <c r="A231" i="1"/>
  <c r="F230" i="1"/>
  <c r="F230" i="1" a="1"/>
  <c r="E230" i="1" a="1"/>
  <c r="E230" i="1" s="1"/>
  <c r="D230" i="1"/>
  <c r="C230" i="1"/>
  <c r="B230" i="1"/>
  <c r="A230" i="1"/>
  <c r="F229" i="1" a="1"/>
  <c r="F229" i="1" s="1"/>
  <c r="E229" i="1" a="1"/>
  <c r="E229" i="1" s="1"/>
  <c r="D229" i="1"/>
  <c r="C229" i="1"/>
  <c r="B229" i="1"/>
  <c r="A229" i="1"/>
  <c r="F228" i="1"/>
  <c r="F228" i="1" a="1"/>
  <c r="E228" i="1" a="1"/>
  <c r="E228" i="1" s="1"/>
  <c r="D228" i="1"/>
  <c r="C228" i="1"/>
  <c r="B228" i="1"/>
  <c r="A228" i="1"/>
  <c r="F227" i="1" a="1"/>
  <c r="F227" i="1" s="1"/>
  <c r="E227" i="1" a="1"/>
  <c r="E227" i="1" s="1"/>
  <c r="D227" i="1"/>
  <c r="C227" i="1"/>
  <c r="B227" i="1"/>
  <c r="A227" i="1"/>
  <c r="F226" i="1"/>
  <c r="F226" i="1" a="1"/>
  <c r="E226" i="1" a="1"/>
  <c r="E226" i="1" s="1"/>
  <c r="D226" i="1"/>
  <c r="C226" i="1"/>
  <c r="B226" i="1"/>
  <c r="A226" i="1"/>
  <c r="F225" i="1" a="1"/>
  <c r="F225" i="1" s="1"/>
  <c r="E225" i="1" a="1"/>
  <c r="E225" i="1" s="1"/>
  <c r="D225" i="1"/>
  <c r="C225" i="1"/>
  <c r="B225" i="1"/>
  <c r="A225" i="1"/>
  <c r="F224" i="1"/>
  <c r="F224" i="1" a="1"/>
  <c r="E224" i="1" a="1"/>
  <c r="E224" i="1" s="1"/>
  <c r="D224" i="1"/>
  <c r="C224" i="1"/>
  <c r="B224" i="1"/>
  <c r="A224" i="1"/>
  <c r="F223" i="1" a="1"/>
  <c r="F223" i="1" s="1"/>
  <c r="E223" i="1" a="1"/>
  <c r="E223" i="1" s="1"/>
  <c r="D223" i="1"/>
  <c r="C223" i="1"/>
  <c r="B223" i="1"/>
  <c r="A223" i="1"/>
  <c r="F222" i="1"/>
  <c r="F222" i="1" a="1"/>
  <c r="E222" i="1" a="1"/>
  <c r="E222" i="1" s="1"/>
  <c r="D222" i="1"/>
  <c r="C222" i="1"/>
  <c r="B222" i="1"/>
  <c r="A222" i="1"/>
  <c r="F221" i="1" a="1"/>
  <c r="F221" i="1" s="1"/>
  <c r="E221" i="1" a="1"/>
  <c r="E221" i="1" s="1"/>
  <c r="D221" i="1"/>
  <c r="C221" i="1"/>
  <c r="B221" i="1"/>
  <c r="A221" i="1"/>
  <c r="F220" i="1"/>
  <c r="F220" i="1" a="1"/>
  <c r="E220" i="1" a="1"/>
  <c r="E220" i="1" s="1"/>
  <c r="D220" i="1"/>
  <c r="C220" i="1"/>
  <c r="B220" i="1"/>
  <c r="A220" i="1"/>
  <c r="F219" i="1" a="1"/>
  <c r="F219" i="1" s="1"/>
  <c r="E219" i="1" a="1"/>
  <c r="E219" i="1" s="1"/>
  <c r="D219" i="1"/>
  <c r="C219" i="1"/>
  <c r="B219" i="1"/>
  <c r="A219" i="1"/>
  <c r="F218" i="1"/>
  <c r="F218" i="1" a="1"/>
  <c r="E218" i="1" a="1"/>
  <c r="E218" i="1" s="1"/>
  <c r="D218" i="1"/>
  <c r="C218" i="1"/>
  <c r="B218" i="1"/>
  <c r="A218" i="1"/>
  <c r="F217" i="1" a="1"/>
  <c r="F217" i="1" s="1"/>
  <c r="E217" i="1" a="1"/>
  <c r="E217" i="1" s="1"/>
  <c r="D217" i="1"/>
  <c r="C217" i="1"/>
  <c r="B217" i="1"/>
  <c r="A217" i="1"/>
  <c r="F216" i="1"/>
  <c r="F216" i="1" a="1"/>
  <c r="E216" i="1" a="1"/>
  <c r="E216" i="1" s="1"/>
  <c r="D216" i="1"/>
  <c r="C216" i="1"/>
  <c r="B216" i="1"/>
  <c r="A216" i="1"/>
  <c r="F215" i="1" a="1"/>
  <c r="F215" i="1" s="1"/>
  <c r="E215" i="1" a="1"/>
  <c r="E215" i="1" s="1"/>
  <c r="D215" i="1"/>
  <c r="C215" i="1"/>
  <c r="B215" i="1"/>
  <c r="A215" i="1"/>
  <c r="F214" i="1"/>
  <c r="F214" i="1" a="1"/>
  <c r="E214" i="1" a="1"/>
  <c r="E214" i="1" s="1"/>
  <c r="D214" i="1"/>
  <c r="C214" i="1"/>
  <c r="B214" i="1"/>
  <c r="A214" i="1"/>
  <c r="F213" i="1" a="1"/>
  <c r="F213" i="1" s="1"/>
  <c r="E213" i="1" a="1"/>
  <c r="E213" i="1" s="1"/>
  <c r="D213" i="1"/>
  <c r="C213" i="1"/>
  <c r="B213" i="1"/>
  <c r="A213" i="1"/>
  <c r="F212" i="1"/>
  <c r="F212" i="1" a="1"/>
  <c r="E212" i="1" a="1"/>
  <c r="E212" i="1" s="1"/>
  <c r="D212" i="1"/>
  <c r="C212" i="1"/>
  <c r="B212" i="1"/>
  <c r="A212" i="1"/>
  <c r="F211" i="1" a="1"/>
  <c r="F211" i="1" s="1"/>
  <c r="E211" i="1" a="1"/>
  <c r="E211" i="1" s="1"/>
  <c r="D211" i="1"/>
  <c r="C211" i="1"/>
  <c r="B211" i="1"/>
  <c r="A211" i="1"/>
  <c r="F210" i="1"/>
  <c r="F210" i="1" a="1"/>
  <c r="E210" i="1" a="1"/>
  <c r="E210" i="1" s="1"/>
  <c r="D210" i="1"/>
  <c r="C210" i="1"/>
  <c r="B210" i="1"/>
  <c r="A210" i="1"/>
  <c r="F209" i="1" a="1"/>
  <c r="F209" i="1" s="1"/>
  <c r="E209" i="1" a="1"/>
  <c r="E209" i="1" s="1"/>
  <c r="D209" i="1"/>
  <c r="C209" i="1"/>
  <c r="B209" i="1"/>
  <c r="A209" i="1"/>
  <c r="F208" i="1"/>
  <c r="F208" i="1" a="1"/>
  <c r="E208" i="1" a="1"/>
  <c r="E208" i="1" s="1"/>
  <c r="D208" i="1"/>
  <c r="C208" i="1"/>
  <c r="B208" i="1"/>
  <c r="A208" i="1"/>
  <c r="F207" i="1" a="1"/>
  <c r="F207" i="1" s="1"/>
  <c r="E207" i="1" a="1"/>
  <c r="E207" i="1" s="1"/>
  <c r="D207" i="1"/>
  <c r="C207" i="1"/>
  <c r="B207" i="1"/>
  <c r="A207" i="1"/>
  <c r="F206" i="1"/>
  <c r="F206" i="1" a="1"/>
  <c r="E206" i="1" a="1"/>
  <c r="E206" i="1" s="1"/>
  <c r="D206" i="1"/>
  <c r="C206" i="1"/>
  <c r="B206" i="1"/>
  <c r="A206" i="1"/>
  <c r="F205" i="1" a="1"/>
  <c r="F205" i="1" s="1"/>
  <c r="E205" i="1" a="1"/>
  <c r="E205" i="1" s="1"/>
  <c r="D205" i="1"/>
  <c r="C205" i="1"/>
  <c r="B205" i="1"/>
  <c r="A205" i="1"/>
  <c r="F204" i="1"/>
  <c r="F204" i="1" a="1"/>
  <c r="E204" i="1" a="1"/>
  <c r="E204" i="1" s="1"/>
  <c r="D204" i="1"/>
  <c r="C204" i="1"/>
  <c r="B204" i="1"/>
  <c r="A204" i="1"/>
  <c r="F203" i="1" a="1"/>
  <c r="F203" i="1" s="1"/>
  <c r="E203" i="1" a="1"/>
  <c r="E203" i="1" s="1"/>
  <c r="D203" i="1"/>
  <c r="C203" i="1"/>
  <c r="B203" i="1"/>
  <c r="A203" i="1"/>
  <c r="F202" i="1"/>
  <c r="F202" i="1" a="1"/>
  <c r="E202" i="1" a="1"/>
  <c r="E202" i="1" s="1"/>
  <c r="D202" i="1"/>
  <c r="C202" i="1"/>
  <c r="B202" i="1"/>
  <c r="A202" i="1"/>
  <c r="F201" i="1" a="1"/>
  <c r="F201" i="1" s="1"/>
  <c r="E201" i="1" a="1"/>
  <c r="E201" i="1" s="1"/>
  <c r="D201" i="1"/>
  <c r="C201" i="1"/>
  <c r="B201" i="1"/>
  <c r="A201" i="1"/>
  <c r="F200" i="1"/>
  <c r="F200" i="1" a="1"/>
  <c r="E200" i="1" a="1"/>
  <c r="E200" i="1" s="1"/>
  <c r="D200" i="1"/>
  <c r="C200" i="1"/>
  <c r="B200" i="1"/>
  <c r="A200" i="1"/>
  <c r="F199" i="1" a="1"/>
  <c r="F199" i="1" s="1"/>
  <c r="E199" i="1" a="1"/>
  <c r="E199" i="1" s="1"/>
  <c r="D199" i="1"/>
  <c r="C199" i="1"/>
  <c r="B199" i="1"/>
  <c r="A199" i="1"/>
  <c r="F198" i="1"/>
  <c r="F198" i="1" a="1"/>
  <c r="E198" i="1" a="1"/>
  <c r="E198" i="1" s="1"/>
  <c r="D198" i="1"/>
  <c r="C198" i="1"/>
  <c r="B198" i="1"/>
  <c r="A198" i="1"/>
  <c r="F197" i="1" a="1"/>
  <c r="F197" i="1" s="1"/>
  <c r="E197" i="1" a="1"/>
  <c r="E197" i="1" s="1"/>
  <c r="D197" i="1"/>
  <c r="C197" i="1"/>
  <c r="B197" i="1"/>
  <c r="A197" i="1"/>
  <c r="F196" i="1"/>
  <c r="F196" i="1" a="1"/>
  <c r="E196" i="1" a="1"/>
  <c r="E196" i="1" s="1"/>
  <c r="D196" i="1"/>
  <c r="C196" i="1"/>
  <c r="B196" i="1"/>
  <c r="A196" i="1"/>
  <c r="F195" i="1" a="1"/>
  <c r="F195" i="1" s="1"/>
  <c r="E195" i="1" a="1"/>
  <c r="E195" i="1" s="1"/>
  <c r="D195" i="1"/>
  <c r="C195" i="1"/>
  <c r="B195" i="1"/>
  <c r="A195" i="1"/>
  <c r="F194" i="1"/>
  <c r="F194" i="1" a="1"/>
  <c r="E194" i="1" a="1"/>
  <c r="E194" i="1" s="1"/>
  <c r="D194" i="1"/>
  <c r="C194" i="1"/>
  <c r="B194" i="1"/>
  <c r="A194" i="1"/>
  <c r="F193" i="1" a="1"/>
  <c r="F193" i="1" s="1"/>
  <c r="E193" i="1" a="1"/>
  <c r="E193" i="1" s="1"/>
  <c r="D193" i="1"/>
  <c r="C193" i="1"/>
  <c r="B193" i="1"/>
  <c r="A193" i="1"/>
  <c r="F192" i="1"/>
  <c r="F192" i="1" a="1"/>
  <c r="E192" i="1" a="1"/>
  <c r="E192" i="1" s="1"/>
  <c r="D192" i="1"/>
  <c r="C192" i="1"/>
  <c r="B192" i="1"/>
  <c r="A192" i="1"/>
  <c r="F191" i="1" a="1"/>
  <c r="F191" i="1" s="1"/>
  <c r="E191" i="1" a="1"/>
  <c r="E191" i="1" s="1"/>
  <c r="D191" i="1"/>
  <c r="C191" i="1"/>
  <c r="B191" i="1"/>
  <c r="A191" i="1"/>
  <c r="F190" i="1"/>
  <c r="F190" i="1" a="1"/>
  <c r="E190" i="1" a="1"/>
  <c r="E190" i="1" s="1"/>
  <c r="D190" i="1"/>
  <c r="C190" i="1"/>
  <c r="B190" i="1"/>
  <c r="A190" i="1"/>
  <c r="F189" i="1" a="1"/>
  <c r="F189" i="1" s="1"/>
  <c r="E189" i="1" a="1"/>
  <c r="E189" i="1" s="1"/>
  <c r="D189" i="1"/>
  <c r="C189" i="1"/>
  <c r="B189" i="1"/>
  <c r="A189" i="1"/>
  <c r="F188" i="1"/>
  <c r="F188" i="1" a="1"/>
  <c r="E188" i="1" a="1"/>
  <c r="E188" i="1" s="1"/>
  <c r="D188" i="1"/>
  <c r="C188" i="1"/>
  <c r="B188" i="1"/>
  <c r="A188" i="1"/>
  <c r="F187" i="1" a="1"/>
  <c r="F187" i="1" s="1"/>
  <c r="E187" i="1" a="1"/>
  <c r="E187" i="1" s="1"/>
  <c r="D187" i="1"/>
  <c r="C187" i="1"/>
  <c r="B187" i="1"/>
  <c r="A187" i="1"/>
  <c r="F186" i="1"/>
  <c r="F186" i="1" a="1"/>
  <c r="E186" i="1" a="1"/>
  <c r="E186" i="1" s="1"/>
  <c r="D186" i="1"/>
  <c r="C186" i="1"/>
  <c r="B186" i="1"/>
  <c r="A186" i="1"/>
  <c r="F185" i="1" a="1"/>
  <c r="F185" i="1" s="1"/>
  <c r="E185" i="1" a="1"/>
  <c r="E185" i="1" s="1"/>
  <c r="D185" i="1"/>
  <c r="C185" i="1"/>
  <c r="B185" i="1"/>
  <c r="A185" i="1"/>
  <c r="F184" i="1"/>
  <c r="F184" i="1" a="1"/>
  <c r="E184" i="1" a="1"/>
  <c r="E184" i="1" s="1"/>
  <c r="D184" i="1"/>
  <c r="C184" i="1"/>
  <c r="B184" i="1"/>
  <c r="A184" i="1"/>
  <c r="F183" i="1" a="1"/>
  <c r="F183" i="1" s="1"/>
  <c r="E183" i="1" a="1"/>
  <c r="E183" i="1" s="1"/>
  <c r="D183" i="1"/>
  <c r="C183" i="1"/>
  <c r="B183" i="1"/>
  <c r="A183" i="1"/>
  <c r="F182" i="1"/>
  <c r="F182" i="1" a="1"/>
  <c r="E182" i="1" a="1"/>
  <c r="E182" i="1" s="1"/>
  <c r="D182" i="1"/>
  <c r="C182" i="1"/>
  <c r="B182" i="1"/>
  <c r="A182" i="1"/>
  <c r="F181" i="1" a="1"/>
  <c r="F181" i="1" s="1"/>
  <c r="E181" i="1" a="1"/>
  <c r="E181" i="1" s="1"/>
  <c r="D181" i="1"/>
  <c r="C181" i="1"/>
  <c r="B181" i="1"/>
  <c r="A181" i="1"/>
  <c r="F180" i="1"/>
  <c r="F180" i="1" a="1"/>
  <c r="E180" i="1" a="1"/>
  <c r="E180" i="1" s="1"/>
  <c r="D180" i="1"/>
  <c r="C180" i="1"/>
  <c r="B180" i="1"/>
  <c r="A180" i="1"/>
  <c r="F179" i="1" a="1"/>
  <c r="F179" i="1" s="1"/>
  <c r="E179" i="1" a="1"/>
  <c r="E179" i="1" s="1"/>
  <c r="D179" i="1"/>
  <c r="C179" i="1"/>
  <c r="B179" i="1"/>
  <c r="A179" i="1"/>
  <c r="F178" i="1"/>
  <c r="F178" i="1" a="1"/>
  <c r="E178" i="1" a="1"/>
  <c r="E178" i="1" s="1"/>
  <c r="D178" i="1"/>
  <c r="C178" i="1"/>
  <c r="B178" i="1"/>
  <c r="A178" i="1"/>
  <c r="F177" i="1" a="1"/>
  <c r="F177" i="1" s="1"/>
  <c r="E177" i="1" a="1"/>
  <c r="E177" i="1" s="1"/>
  <c r="D177" i="1"/>
  <c r="C177" i="1"/>
  <c r="B177" i="1"/>
  <c r="A177" i="1"/>
  <c r="F176" i="1"/>
  <c r="F176" i="1" a="1"/>
  <c r="E176" i="1" a="1"/>
  <c r="E176" i="1" s="1"/>
  <c r="D176" i="1"/>
  <c r="C176" i="1"/>
  <c r="B176" i="1"/>
  <c r="A176" i="1"/>
  <c r="F175" i="1" a="1"/>
  <c r="F175" i="1" s="1"/>
  <c r="E175" i="1" a="1"/>
  <c r="E175" i="1" s="1"/>
  <c r="D175" i="1"/>
  <c r="C175" i="1"/>
  <c r="B175" i="1"/>
  <c r="A175" i="1"/>
  <c r="F174" i="1"/>
  <c r="F174" i="1" a="1"/>
  <c r="E174" i="1" a="1"/>
  <c r="E174" i="1" s="1"/>
  <c r="D174" i="1"/>
  <c r="C174" i="1"/>
  <c r="B174" i="1"/>
  <c r="A174" i="1"/>
  <c r="F173" i="1" a="1"/>
  <c r="F173" i="1" s="1"/>
  <c r="E173" i="1" a="1"/>
  <c r="E173" i="1" s="1"/>
  <c r="D173" i="1"/>
  <c r="C173" i="1"/>
  <c r="B173" i="1"/>
  <c r="A173" i="1"/>
  <c r="F172" i="1"/>
  <c r="F172" i="1" a="1"/>
  <c r="E172" i="1" a="1"/>
  <c r="E172" i="1" s="1"/>
  <c r="D172" i="1"/>
  <c r="C172" i="1"/>
  <c r="B172" i="1"/>
  <c r="A172" i="1"/>
  <c r="F171" i="1" a="1"/>
  <c r="F171" i="1" s="1"/>
  <c r="E171" i="1" a="1"/>
  <c r="E171" i="1" s="1"/>
  <c r="D171" i="1"/>
  <c r="C171" i="1"/>
  <c r="B171" i="1"/>
  <c r="A171" i="1"/>
  <c r="F170" i="1"/>
  <c r="F170" i="1" a="1"/>
  <c r="E170" i="1" a="1"/>
  <c r="E170" i="1" s="1"/>
  <c r="D170" i="1"/>
  <c r="C170" i="1"/>
  <c r="B170" i="1"/>
  <c r="A170" i="1"/>
  <c r="F169" i="1" a="1"/>
  <c r="F169" i="1" s="1"/>
  <c r="E169" i="1" a="1"/>
  <c r="E169" i="1" s="1"/>
  <c r="D169" i="1"/>
  <c r="C169" i="1"/>
  <c r="B169" i="1"/>
  <c r="A169" i="1"/>
  <c r="F168" i="1"/>
  <c r="F168" i="1" a="1"/>
  <c r="E168" i="1" a="1"/>
  <c r="E168" i="1" s="1"/>
  <c r="D168" i="1"/>
  <c r="C168" i="1"/>
  <c r="B168" i="1"/>
  <c r="A168" i="1"/>
  <c r="F167" i="1" a="1"/>
  <c r="F167" i="1" s="1"/>
  <c r="E167" i="1" a="1"/>
  <c r="E167" i="1" s="1"/>
  <c r="D167" i="1"/>
  <c r="C167" i="1"/>
  <c r="B167" i="1"/>
  <c r="A167" i="1"/>
  <c r="F166" i="1"/>
  <c r="F166" i="1" a="1"/>
  <c r="E166" i="1" a="1"/>
  <c r="E166" i="1" s="1"/>
  <c r="D166" i="1"/>
  <c r="C166" i="1"/>
  <c r="B166" i="1"/>
  <c r="A166" i="1"/>
  <c r="F165" i="1" a="1"/>
  <c r="F165" i="1" s="1"/>
  <c r="E165" i="1" a="1"/>
  <c r="E165" i="1" s="1"/>
  <c r="D165" i="1"/>
  <c r="C165" i="1"/>
  <c r="B165" i="1"/>
  <c r="A165" i="1"/>
  <c r="F164" i="1"/>
  <c r="F164" i="1" a="1"/>
  <c r="E164" i="1" a="1"/>
  <c r="E164" i="1" s="1"/>
  <c r="D164" i="1"/>
  <c r="C164" i="1"/>
  <c r="B164" i="1"/>
  <c r="A164" i="1"/>
  <c r="F163" i="1" a="1"/>
  <c r="F163" i="1" s="1"/>
  <c r="E163" i="1" a="1"/>
  <c r="E163" i="1" s="1"/>
  <c r="D163" i="1"/>
  <c r="C163" i="1"/>
  <c r="B163" i="1"/>
  <c r="A163" i="1"/>
  <c r="F162" i="1"/>
  <c r="F162" i="1" a="1"/>
  <c r="E162" i="1" a="1"/>
  <c r="E162" i="1" s="1"/>
  <c r="D162" i="1"/>
  <c r="C162" i="1"/>
  <c r="B162" i="1"/>
  <c r="A162" i="1"/>
  <c r="F161" i="1" a="1"/>
  <c r="F161" i="1" s="1"/>
  <c r="E161" i="1" a="1"/>
  <c r="E161" i="1" s="1"/>
  <c r="D161" i="1"/>
  <c r="C161" i="1"/>
  <c r="B161" i="1"/>
  <c r="A161" i="1"/>
  <c r="F160" i="1"/>
  <c r="F160" i="1" a="1"/>
  <c r="E160" i="1" a="1"/>
  <c r="E160" i="1" s="1"/>
  <c r="D160" i="1"/>
  <c r="C160" i="1"/>
  <c r="B160" i="1"/>
  <c r="A160" i="1"/>
  <c r="F159" i="1" a="1"/>
  <c r="F159" i="1" s="1"/>
  <c r="E159" i="1" a="1"/>
  <c r="E159" i="1" s="1"/>
  <c r="D159" i="1"/>
  <c r="C159" i="1"/>
  <c r="B159" i="1"/>
  <c r="A159" i="1"/>
  <c r="F158" i="1"/>
  <c r="F158" i="1" a="1"/>
  <c r="E158" i="1" a="1"/>
  <c r="E158" i="1" s="1"/>
  <c r="D158" i="1"/>
  <c r="C158" i="1"/>
  <c r="B158" i="1"/>
  <c r="A158" i="1"/>
  <c r="F157" i="1" a="1"/>
  <c r="F157" i="1" s="1"/>
  <c r="E157" i="1" a="1"/>
  <c r="E157" i="1" s="1"/>
  <c r="D157" i="1"/>
  <c r="C157" i="1"/>
  <c r="B157" i="1"/>
  <c r="A157" i="1"/>
  <c r="F156" i="1"/>
  <c r="F156" i="1" a="1"/>
  <c r="E156" i="1" a="1"/>
  <c r="E156" i="1" s="1"/>
  <c r="D156" i="1"/>
  <c r="C156" i="1"/>
  <c r="B156" i="1"/>
  <c r="A156" i="1"/>
  <c r="F155" i="1" a="1"/>
  <c r="F155" i="1" s="1"/>
  <c r="E155" i="1" a="1"/>
  <c r="E155" i="1" s="1"/>
  <c r="D155" i="1"/>
  <c r="C155" i="1"/>
  <c r="B155" i="1"/>
  <c r="A155" i="1"/>
  <c r="F154" i="1"/>
  <c r="F154" i="1" a="1"/>
  <c r="E154" i="1" a="1"/>
  <c r="E154" i="1" s="1"/>
  <c r="D154" i="1"/>
  <c r="C154" i="1"/>
  <c r="B154" i="1"/>
  <c r="A154" i="1"/>
  <c r="F153" i="1" a="1"/>
  <c r="F153" i="1" s="1"/>
  <c r="E153" i="1" a="1"/>
  <c r="E153" i="1" s="1"/>
  <c r="D153" i="1"/>
  <c r="C153" i="1"/>
  <c r="B153" i="1"/>
  <c r="A153" i="1"/>
  <c r="F152" i="1"/>
  <c r="F152" i="1" a="1"/>
  <c r="E152" i="1" a="1"/>
  <c r="E152" i="1" s="1"/>
  <c r="D152" i="1"/>
  <c r="C152" i="1"/>
  <c r="B152" i="1"/>
  <c r="A152" i="1"/>
  <c r="F151" i="1" a="1"/>
  <c r="F151" i="1" s="1"/>
  <c r="E151" i="1" a="1"/>
  <c r="E151" i="1" s="1"/>
  <c r="D151" i="1"/>
  <c r="C151" i="1"/>
  <c r="B151" i="1"/>
  <c r="A151" i="1"/>
  <c r="F150" i="1"/>
  <c r="F150" i="1" a="1"/>
  <c r="E150" i="1" a="1"/>
  <c r="E150" i="1" s="1"/>
  <c r="D150" i="1"/>
  <c r="C150" i="1"/>
  <c r="B150" i="1"/>
  <c r="A150" i="1"/>
  <c r="F149" i="1" a="1"/>
  <c r="F149" i="1" s="1"/>
  <c r="E149" i="1" a="1"/>
  <c r="E149" i="1" s="1"/>
  <c r="D149" i="1"/>
  <c r="C149" i="1"/>
  <c r="B149" i="1"/>
  <c r="A149" i="1"/>
  <c r="F148" i="1"/>
  <c r="F148" i="1" a="1"/>
  <c r="E148" i="1" a="1"/>
  <c r="E148" i="1" s="1"/>
  <c r="D148" i="1"/>
  <c r="C148" i="1"/>
  <c r="B148" i="1"/>
  <c r="A148" i="1"/>
  <c r="F147" i="1" a="1"/>
  <c r="F147" i="1" s="1"/>
  <c r="E147" i="1" a="1"/>
  <c r="E147" i="1" s="1"/>
  <c r="D147" i="1"/>
  <c r="C147" i="1"/>
  <c r="B147" i="1"/>
  <c r="A147" i="1"/>
  <c r="F146" i="1"/>
  <c r="F146" i="1" a="1"/>
  <c r="E146" i="1" a="1"/>
  <c r="E146" i="1" s="1"/>
  <c r="D146" i="1"/>
  <c r="C146" i="1"/>
  <c r="B146" i="1"/>
  <c r="A146" i="1"/>
  <c r="F145" i="1" a="1"/>
  <c r="F145" i="1" s="1"/>
  <c r="E145" i="1" a="1"/>
  <c r="E145" i="1" s="1"/>
  <c r="D145" i="1"/>
  <c r="C145" i="1"/>
  <c r="B145" i="1"/>
  <c r="A145" i="1"/>
  <c r="F144" i="1"/>
  <c r="F144" i="1" a="1"/>
  <c r="E144" i="1" a="1"/>
  <c r="E144" i="1" s="1"/>
  <c r="D144" i="1"/>
  <c r="C144" i="1"/>
  <c r="B144" i="1"/>
  <c r="A144" i="1"/>
  <c r="F143" i="1" a="1"/>
  <c r="F143" i="1" s="1"/>
  <c r="E143" i="1" a="1"/>
  <c r="E143" i="1" s="1"/>
  <c r="D143" i="1"/>
  <c r="C143" i="1"/>
  <c r="B143" i="1"/>
  <c r="A143" i="1"/>
  <c r="F142" i="1"/>
  <c r="F142" i="1" a="1"/>
  <c r="E142" i="1" a="1"/>
  <c r="E142" i="1" s="1"/>
  <c r="D142" i="1"/>
  <c r="C142" i="1"/>
  <c r="B142" i="1"/>
  <c r="A142" i="1"/>
  <c r="F141" i="1" a="1"/>
  <c r="F141" i="1" s="1"/>
  <c r="E141" i="1" a="1"/>
  <c r="E141" i="1" s="1"/>
  <c r="D141" i="1"/>
  <c r="C141" i="1"/>
  <c r="B141" i="1"/>
  <c r="A141" i="1"/>
  <c r="F140" i="1"/>
  <c r="F140" i="1" a="1"/>
  <c r="E140" i="1" a="1"/>
  <c r="E140" i="1" s="1"/>
  <c r="D140" i="1"/>
  <c r="C140" i="1"/>
  <c r="B140" i="1"/>
  <c r="A140" i="1"/>
  <c r="F139" i="1" a="1"/>
  <c r="F139" i="1" s="1"/>
  <c r="E139" i="1" a="1"/>
  <c r="E139" i="1" s="1"/>
  <c r="D139" i="1"/>
  <c r="C139" i="1"/>
  <c r="B139" i="1"/>
  <c r="A139" i="1"/>
  <c r="F138" i="1"/>
  <c r="F138" i="1" a="1"/>
  <c r="E138" i="1" a="1"/>
  <c r="E138" i="1" s="1"/>
  <c r="D138" i="1"/>
  <c r="C138" i="1"/>
  <c r="B138" i="1"/>
  <c r="A138" i="1"/>
  <c r="F137" i="1" a="1"/>
  <c r="F137" i="1" s="1"/>
  <c r="E137" i="1" a="1"/>
  <c r="E137" i="1" s="1"/>
  <c r="D137" i="1"/>
  <c r="C137" i="1"/>
  <c r="B137" i="1"/>
  <c r="A137" i="1"/>
  <c r="F136" i="1"/>
  <c r="F136" i="1" a="1"/>
  <c r="E136" i="1" a="1"/>
  <c r="E136" i="1" s="1"/>
  <c r="D136" i="1"/>
  <c r="C136" i="1"/>
  <c r="B136" i="1"/>
  <c r="A136" i="1"/>
  <c r="F135" i="1" a="1"/>
  <c r="F135" i="1" s="1"/>
  <c r="E135" i="1" a="1"/>
  <c r="E135" i="1" s="1"/>
  <c r="D135" i="1"/>
  <c r="C135" i="1"/>
  <c r="B135" i="1"/>
  <c r="A135" i="1"/>
  <c r="F134" i="1"/>
  <c r="F134" i="1" a="1"/>
  <c r="E134" i="1" a="1"/>
  <c r="E134" i="1" s="1"/>
  <c r="D134" i="1"/>
  <c r="C134" i="1"/>
  <c r="B134" i="1"/>
  <c r="A134" i="1"/>
  <c r="F133" i="1" a="1"/>
  <c r="F133" i="1" s="1"/>
  <c r="E133" i="1" a="1"/>
  <c r="E133" i="1" s="1"/>
  <c r="D133" i="1"/>
  <c r="C133" i="1"/>
  <c r="B133" i="1"/>
  <c r="A133" i="1"/>
  <c r="F132" i="1"/>
  <c r="F132" i="1" a="1"/>
  <c r="E132" i="1" a="1"/>
  <c r="E132" i="1" s="1"/>
  <c r="D132" i="1"/>
  <c r="C132" i="1"/>
  <c r="B132" i="1"/>
  <c r="A132" i="1"/>
  <c r="F131" i="1" a="1"/>
  <c r="F131" i="1" s="1"/>
  <c r="E131" i="1" a="1"/>
  <c r="E131" i="1" s="1"/>
  <c r="D131" i="1"/>
  <c r="C131" i="1"/>
  <c r="B131" i="1"/>
  <c r="A131" i="1"/>
  <c r="F130" i="1"/>
  <c r="F130" i="1" a="1"/>
  <c r="E130" i="1" a="1"/>
  <c r="E130" i="1" s="1"/>
  <c r="D130" i="1"/>
  <c r="C130" i="1"/>
  <c r="B130" i="1"/>
  <c r="A130" i="1"/>
  <c r="F129" i="1" a="1"/>
  <c r="F129" i="1" s="1"/>
  <c r="E129" i="1" a="1"/>
  <c r="E129" i="1" s="1"/>
  <c r="D129" i="1"/>
  <c r="C129" i="1"/>
  <c r="B129" i="1"/>
  <c r="A129" i="1"/>
  <c r="F128" i="1"/>
  <c r="F128" i="1" a="1"/>
  <c r="E128" i="1" a="1"/>
  <c r="E128" i="1" s="1"/>
  <c r="D128" i="1"/>
  <c r="C128" i="1"/>
  <c r="B128" i="1"/>
  <c r="A128" i="1"/>
  <c r="F127" i="1" a="1"/>
  <c r="F127" i="1" s="1"/>
  <c r="E127" i="1" a="1"/>
  <c r="E127" i="1" s="1"/>
  <c r="D127" i="1"/>
  <c r="C127" i="1"/>
  <c r="B127" i="1"/>
  <c r="A127" i="1"/>
  <c r="F126" i="1"/>
  <c r="F126" i="1" a="1"/>
  <c r="E126" i="1" a="1"/>
  <c r="E126" i="1" s="1"/>
  <c r="D126" i="1"/>
  <c r="C126" i="1"/>
  <c r="B126" i="1"/>
  <c r="A126" i="1"/>
  <c r="F125" i="1" a="1"/>
  <c r="F125" i="1" s="1"/>
  <c r="E125" i="1" a="1"/>
  <c r="E125" i="1" s="1"/>
  <c r="D125" i="1"/>
  <c r="C125" i="1"/>
  <c r="B125" i="1"/>
  <c r="A125" i="1"/>
  <c r="F124" i="1"/>
  <c r="F124" i="1" a="1"/>
  <c r="E124" i="1" a="1"/>
  <c r="E124" i="1" s="1"/>
  <c r="D124" i="1"/>
  <c r="C124" i="1"/>
  <c r="B124" i="1"/>
  <c r="A124" i="1"/>
  <c r="F123" i="1" a="1"/>
  <c r="F123" i="1" s="1"/>
  <c r="E123" i="1" a="1"/>
  <c r="E123" i="1" s="1"/>
  <c r="D123" i="1"/>
  <c r="C123" i="1"/>
  <c r="B123" i="1"/>
  <c r="A123" i="1"/>
  <c r="F122" i="1"/>
  <c r="F122" i="1" a="1"/>
  <c r="E122" i="1" a="1"/>
  <c r="E122" i="1" s="1"/>
  <c r="D122" i="1"/>
  <c r="C122" i="1"/>
  <c r="B122" i="1"/>
  <c r="A122" i="1"/>
  <c r="F121" i="1" a="1"/>
  <c r="F121" i="1" s="1"/>
  <c r="E121" i="1" a="1"/>
  <c r="E121" i="1" s="1"/>
  <c r="D121" i="1"/>
  <c r="C121" i="1"/>
  <c r="B121" i="1"/>
  <c r="A121" i="1"/>
  <c r="F120" i="1"/>
  <c r="F120" i="1" a="1"/>
  <c r="E120" i="1" a="1"/>
  <c r="E120" i="1" s="1"/>
  <c r="D120" i="1"/>
  <c r="C120" i="1"/>
  <c r="B120" i="1"/>
  <c r="A120" i="1"/>
  <c r="F119" i="1" a="1"/>
  <c r="F119" i="1" s="1"/>
  <c r="E119" i="1" a="1"/>
  <c r="E119" i="1" s="1"/>
  <c r="D119" i="1"/>
  <c r="C119" i="1"/>
  <c r="B119" i="1"/>
  <c r="A119" i="1"/>
  <c r="F118" i="1"/>
  <c r="F118" i="1" a="1"/>
  <c r="E118" i="1" a="1"/>
  <c r="E118" i="1" s="1"/>
  <c r="D118" i="1"/>
  <c r="C118" i="1"/>
  <c r="B118" i="1"/>
  <c r="A118" i="1"/>
  <c r="F117" i="1" a="1"/>
  <c r="F117" i="1" s="1"/>
  <c r="E117" i="1" a="1"/>
  <c r="E117" i="1" s="1"/>
  <c r="D117" i="1"/>
  <c r="C117" i="1"/>
  <c r="B117" i="1"/>
  <c r="A117" i="1"/>
  <c r="F116" i="1"/>
  <c r="F116" i="1" a="1"/>
  <c r="E116" i="1" a="1"/>
  <c r="E116" i="1" s="1"/>
  <c r="D116" i="1"/>
  <c r="C116" i="1"/>
  <c r="B116" i="1"/>
  <c r="A116" i="1"/>
  <c r="F115" i="1" a="1"/>
  <c r="F115" i="1" s="1"/>
  <c r="E115" i="1" a="1"/>
  <c r="E115" i="1" s="1"/>
  <c r="D115" i="1"/>
  <c r="C115" i="1"/>
  <c r="B115" i="1"/>
  <c r="A115" i="1"/>
  <c r="F114" i="1"/>
  <c r="F114" i="1" a="1"/>
  <c r="E114" i="1" a="1"/>
  <c r="E114" i="1" s="1"/>
  <c r="D114" i="1"/>
  <c r="C114" i="1"/>
  <c r="B114" i="1"/>
  <c r="A114" i="1"/>
  <c r="F113" i="1" a="1"/>
  <c r="F113" i="1" s="1"/>
  <c r="E113" i="1" a="1"/>
  <c r="E113" i="1" s="1"/>
  <c r="D113" i="1"/>
  <c r="C113" i="1"/>
  <c r="B113" i="1"/>
  <c r="A113" i="1"/>
  <c r="F112" i="1"/>
  <c r="F112" i="1" a="1"/>
  <c r="E112" i="1" a="1"/>
  <c r="E112" i="1" s="1"/>
  <c r="D112" i="1"/>
  <c r="C112" i="1"/>
  <c r="B112" i="1"/>
  <c r="A112" i="1"/>
  <c r="F111" i="1" a="1"/>
  <c r="F111" i="1" s="1"/>
  <c r="E111" i="1" a="1"/>
  <c r="E111" i="1" s="1"/>
  <c r="D111" i="1"/>
  <c r="C111" i="1"/>
  <c r="B111" i="1"/>
  <c r="A111" i="1"/>
  <c r="F110" i="1"/>
  <c r="F110" i="1" a="1"/>
  <c r="E110" i="1" a="1"/>
  <c r="E110" i="1" s="1"/>
  <c r="D110" i="1"/>
  <c r="C110" i="1"/>
  <c r="B110" i="1"/>
  <c r="A110" i="1"/>
  <c r="F109" i="1" a="1"/>
  <c r="F109" i="1" s="1"/>
  <c r="E109" i="1" a="1"/>
  <c r="E109" i="1" s="1"/>
  <c r="D109" i="1"/>
  <c r="C109" i="1"/>
  <c r="B109" i="1"/>
  <c r="A109" i="1"/>
  <c r="F108" i="1"/>
  <c r="F108" i="1" a="1"/>
  <c r="E108" i="1" a="1"/>
  <c r="E108" i="1" s="1"/>
  <c r="D108" i="1"/>
  <c r="C108" i="1"/>
  <c r="B108" i="1"/>
  <c r="A108" i="1"/>
  <c r="F107" i="1" a="1"/>
  <c r="F107" i="1" s="1"/>
  <c r="E107" i="1" a="1"/>
  <c r="E107" i="1" s="1"/>
  <c r="D107" i="1"/>
  <c r="C107" i="1"/>
  <c r="B107" i="1"/>
  <c r="A107" i="1"/>
  <c r="F106" i="1"/>
  <c r="F106" i="1" a="1"/>
  <c r="E106" i="1" a="1"/>
  <c r="E106" i="1" s="1"/>
  <c r="D106" i="1"/>
  <c r="C106" i="1"/>
  <c r="B106" i="1"/>
  <c r="A106" i="1"/>
  <c r="F105" i="1" a="1"/>
  <c r="F105" i="1" s="1"/>
  <c r="E105" i="1" a="1"/>
  <c r="E105" i="1" s="1"/>
  <c r="D105" i="1"/>
  <c r="C105" i="1"/>
  <c r="B105" i="1"/>
  <c r="A105" i="1"/>
  <c r="F104" i="1"/>
  <c r="F104" i="1" a="1"/>
  <c r="E104" i="1" a="1"/>
  <c r="E104" i="1" s="1"/>
  <c r="D104" i="1"/>
  <c r="C104" i="1"/>
  <c r="B104" i="1"/>
  <c r="A104" i="1"/>
  <c r="F103" i="1" a="1"/>
  <c r="F103" i="1" s="1"/>
  <c r="E103" i="1" a="1"/>
  <c r="E103" i="1" s="1"/>
  <c r="D103" i="1"/>
  <c r="C103" i="1"/>
  <c r="B103" i="1"/>
  <c r="A103" i="1"/>
  <c r="F102" i="1"/>
  <c r="F102" i="1" a="1"/>
  <c r="E102" i="1" a="1"/>
  <c r="E102" i="1" s="1"/>
  <c r="D102" i="1"/>
  <c r="C102" i="1"/>
  <c r="B102" i="1"/>
  <c r="A102" i="1"/>
  <c r="F101" i="1" a="1"/>
  <c r="F101" i="1" s="1"/>
  <c r="E101" i="1" a="1"/>
  <c r="E101" i="1" s="1"/>
  <c r="D101" i="1"/>
  <c r="C101" i="1"/>
  <c r="B101" i="1"/>
  <c r="A101" i="1"/>
  <c r="F100" i="1"/>
  <c r="F100" i="1" a="1"/>
  <c r="E100" i="1" a="1"/>
  <c r="E100" i="1" s="1"/>
  <c r="D100" i="1"/>
  <c r="C100" i="1"/>
  <c r="B100" i="1"/>
  <c r="A100" i="1"/>
  <c r="F99" i="1" a="1"/>
  <c r="F99" i="1" s="1"/>
  <c r="E99" i="1" a="1"/>
  <c r="E99" i="1" s="1"/>
  <c r="D99" i="1"/>
  <c r="C99" i="1"/>
  <c r="B99" i="1"/>
  <c r="A99" i="1"/>
  <c r="F98" i="1"/>
  <c r="F98" i="1" a="1"/>
  <c r="E98" i="1" a="1"/>
  <c r="E98" i="1" s="1"/>
  <c r="D98" i="1"/>
  <c r="C98" i="1"/>
  <c r="B98" i="1"/>
  <c r="A98" i="1"/>
  <c r="F97" i="1" a="1"/>
  <c r="F97" i="1" s="1"/>
  <c r="E97" i="1" a="1"/>
  <c r="E97" i="1" s="1"/>
  <c r="D97" i="1"/>
  <c r="C97" i="1"/>
  <c r="B97" i="1"/>
  <c r="A97" i="1"/>
  <c r="F96" i="1"/>
  <c r="F96" i="1" a="1"/>
  <c r="E96" i="1" a="1"/>
  <c r="E96" i="1" s="1"/>
  <c r="D96" i="1"/>
  <c r="C96" i="1"/>
  <c r="B96" i="1"/>
  <c r="A96" i="1"/>
  <c r="F95" i="1" a="1"/>
  <c r="F95" i="1" s="1"/>
  <c r="E95" i="1" a="1"/>
  <c r="E95" i="1" s="1"/>
  <c r="D95" i="1"/>
  <c r="C95" i="1"/>
  <c r="B95" i="1"/>
  <c r="A95" i="1"/>
  <c r="F94" i="1"/>
  <c r="F94" i="1" a="1"/>
  <c r="E94" i="1" a="1"/>
  <c r="E94" i="1" s="1"/>
  <c r="D94" i="1"/>
  <c r="C94" i="1"/>
  <c r="B94" i="1"/>
  <c r="A94" i="1"/>
  <c r="F93" i="1" a="1"/>
  <c r="F93" i="1" s="1"/>
  <c r="E93" i="1" a="1"/>
  <c r="E93" i="1" s="1"/>
  <c r="D93" i="1"/>
  <c r="C93" i="1"/>
  <c r="B93" i="1"/>
  <c r="A93" i="1"/>
  <c r="F92" i="1"/>
  <c r="F92" i="1" a="1"/>
  <c r="E92" i="1" a="1"/>
  <c r="E92" i="1" s="1"/>
  <c r="D92" i="1"/>
  <c r="C92" i="1"/>
  <c r="B92" i="1"/>
  <c r="A92" i="1"/>
  <c r="F91" i="1" a="1"/>
  <c r="F91" i="1" s="1"/>
  <c r="E91" i="1" a="1"/>
  <c r="E91" i="1" s="1"/>
  <c r="D91" i="1"/>
  <c r="C91" i="1"/>
  <c r="B91" i="1"/>
  <c r="A91" i="1"/>
  <c r="F90" i="1"/>
  <c r="F90" i="1" a="1"/>
  <c r="E90" i="1" a="1"/>
  <c r="E90" i="1" s="1"/>
  <c r="D90" i="1"/>
  <c r="C90" i="1"/>
  <c r="B90" i="1"/>
  <c r="A90" i="1"/>
  <c r="F89" i="1" a="1"/>
  <c r="F89" i="1" s="1"/>
  <c r="E89" i="1" a="1"/>
  <c r="E89" i="1" s="1"/>
  <c r="D89" i="1"/>
  <c r="C89" i="1"/>
  <c r="B89" i="1"/>
  <c r="A89" i="1"/>
  <c r="F88" i="1"/>
  <c r="F88" i="1" a="1"/>
  <c r="E88" i="1" a="1"/>
  <c r="E88" i="1" s="1"/>
  <c r="D88" i="1"/>
  <c r="C88" i="1"/>
  <c r="B88" i="1"/>
  <c r="A88" i="1"/>
  <c r="F87" i="1" a="1"/>
  <c r="F87" i="1" s="1"/>
  <c r="E87" i="1" a="1"/>
  <c r="E87" i="1" s="1"/>
  <c r="D87" i="1"/>
  <c r="C87" i="1"/>
  <c r="B87" i="1"/>
  <c r="A87" i="1"/>
  <c r="F86" i="1"/>
  <c r="F86" i="1" a="1"/>
  <c r="E86" i="1" a="1"/>
  <c r="E86" i="1" s="1"/>
  <c r="D86" i="1"/>
  <c r="C86" i="1"/>
  <c r="B86" i="1"/>
  <c r="A86" i="1"/>
  <c r="F85" i="1" a="1"/>
  <c r="F85" i="1" s="1"/>
  <c r="E85" i="1" a="1"/>
  <c r="E85" i="1" s="1"/>
  <c r="D85" i="1"/>
  <c r="C85" i="1"/>
  <c r="B85" i="1"/>
  <c r="A85" i="1"/>
  <c r="F84" i="1"/>
  <c r="F84" i="1" a="1"/>
  <c r="E84" i="1" a="1"/>
  <c r="E84" i="1" s="1"/>
  <c r="D84" i="1"/>
  <c r="C84" i="1"/>
  <c r="B84" i="1"/>
  <c r="A84" i="1"/>
  <c r="F83" i="1" a="1"/>
  <c r="F83" i="1" s="1"/>
  <c r="E83" i="1" a="1"/>
  <c r="E83" i="1" s="1"/>
  <c r="D83" i="1"/>
  <c r="C83" i="1"/>
  <c r="B83" i="1"/>
  <c r="A83" i="1"/>
  <c r="F82" i="1"/>
  <c r="F82" i="1" a="1"/>
  <c r="E82" i="1" a="1"/>
  <c r="E82" i="1" s="1"/>
  <c r="D82" i="1"/>
  <c r="C82" i="1"/>
  <c r="B82" i="1"/>
  <c r="A82" i="1"/>
  <c r="F81" i="1" a="1"/>
  <c r="F81" i="1" s="1"/>
  <c r="E81" i="1" a="1"/>
  <c r="E81" i="1" s="1"/>
  <c r="D81" i="1"/>
  <c r="C81" i="1"/>
  <c r="B81" i="1"/>
  <c r="A81" i="1"/>
  <c r="F80" i="1"/>
  <c r="F80" i="1" a="1"/>
  <c r="E80" i="1" a="1"/>
  <c r="E80" i="1" s="1"/>
  <c r="D80" i="1"/>
  <c r="C80" i="1"/>
  <c r="B80" i="1"/>
  <c r="A80" i="1"/>
  <c r="F79" i="1" a="1"/>
  <c r="F79" i="1" s="1"/>
  <c r="E79" i="1" a="1"/>
  <c r="E79" i="1" s="1"/>
  <c r="D79" i="1"/>
  <c r="C79" i="1"/>
  <c r="B79" i="1"/>
  <c r="A79" i="1"/>
  <c r="F78" i="1"/>
  <c r="F78" i="1" a="1"/>
  <c r="E78" i="1" a="1"/>
  <c r="E78" i="1" s="1"/>
  <c r="D78" i="1"/>
  <c r="C78" i="1"/>
  <c r="B78" i="1"/>
  <c r="A78" i="1"/>
  <c r="F77" i="1" a="1"/>
  <c r="F77" i="1" s="1"/>
  <c r="E77" i="1" a="1"/>
  <c r="E77" i="1" s="1"/>
  <c r="D77" i="1"/>
  <c r="C77" i="1"/>
  <c r="B77" i="1"/>
  <c r="A77" i="1"/>
  <c r="F76" i="1"/>
  <c r="F76" i="1" a="1"/>
  <c r="E76" i="1" a="1"/>
  <c r="E76" i="1" s="1"/>
  <c r="D76" i="1"/>
  <c r="C76" i="1"/>
  <c r="B76" i="1"/>
  <c r="A76" i="1"/>
  <c r="F75" i="1" a="1"/>
  <c r="F75" i="1" s="1"/>
  <c r="E75" i="1" a="1"/>
  <c r="E75" i="1" s="1"/>
  <c r="D75" i="1"/>
  <c r="C75" i="1"/>
  <c r="B75" i="1"/>
  <c r="A75" i="1"/>
  <c r="F74" i="1"/>
  <c r="F74" i="1" a="1"/>
  <c r="E74" i="1" a="1"/>
  <c r="E74" i="1" s="1"/>
  <c r="D74" i="1"/>
  <c r="C74" i="1"/>
  <c r="B74" i="1"/>
  <c r="A74" i="1"/>
  <c r="F73" i="1" a="1"/>
  <c r="F73" i="1" s="1"/>
  <c r="E73" i="1" a="1"/>
  <c r="E73" i="1" s="1"/>
  <c r="D73" i="1"/>
  <c r="C73" i="1"/>
  <c r="B73" i="1"/>
  <c r="A73" i="1"/>
  <c r="F72" i="1"/>
  <c r="F72" i="1" a="1"/>
  <c r="E72" i="1" a="1"/>
  <c r="E72" i="1" s="1"/>
  <c r="D72" i="1"/>
  <c r="C72" i="1"/>
  <c r="B72" i="1"/>
  <c r="A72" i="1"/>
  <c r="F71" i="1" a="1"/>
  <c r="F71" i="1" s="1"/>
  <c r="E71" i="1" a="1"/>
  <c r="E71" i="1" s="1"/>
  <c r="D71" i="1"/>
  <c r="C71" i="1"/>
  <c r="B71" i="1"/>
  <c r="A71" i="1"/>
  <c r="F70" i="1"/>
  <c r="F70" i="1" a="1"/>
  <c r="E70" i="1" a="1"/>
  <c r="E70" i="1" s="1"/>
  <c r="D70" i="1"/>
  <c r="C70" i="1"/>
  <c r="B70" i="1"/>
  <c r="A70" i="1"/>
  <c r="F69" i="1" a="1"/>
  <c r="F69" i="1" s="1"/>
  <c r="E69" i="1" a="1"/>
  <c r="E69" i="1" s="1"/>
  <c r="D69" i="1"/>
  <c r="C69" i="1"/>
  <c r="B69" i="1"/>
  <c r="A69" i="1"/>
  <c r="F68" i="1"/>
  <c r="F68" i="1" a="1"/>
  <c r="E68" i="1" a="1"/>
  <c r="E68" i="1" s="1"/>
  <c r="D68" i="1"/>
  <c r="C68" i="1"/>
  <c r="B68" i="1"/>
  <c r="A68" i="1"/>
  <c r="F67" i="1" a="1"/>
  <c r="F67" i="1" s="1"/>
  <c r="E67" i="1" a="1"/>
  <c r="E67" i="1" s="1"/>
  <c r="D67" i="1"/>
  <c r="C67" i="1"/>
  <c r="B67" i="1"/>
  <c r="A67" i="1"/>
  <c r="F66" i="1"/>
  <c r="F66" i="1" a="1"/>
  <c r="E66" i="1" a="1"/>
  <c r="E66" i="1" s="1"/>
  <c r="D66" i="1"/>
  <c r="C66" i="1"/>
  <c r="B66" i="1"/>
  <c r="A66" i="1"/>
  <c r="F65" i="1" a="1"/>
  <c r="F65" i="1" s="1"/>
  <c r="E65" i="1" a="1"/>
  <c r="E65" i="1" s="1"/>
  <c r="D65" i="1"/>
  <c r="C65" i="1"/>
  <c r="B65" i="1"/>
  <c r="A65" i="1"/>
  <c r="F64" i="1"/>
  <c r="F64" i="1" a="1"/>
  <c r="E64" i="1" a="1"/>
  <c r="E64" i="1" s="1"/>
  <c r="D64" i="1"/>
  <c r="C64" i="1"/>
  <c r="B64" i="1"/>
  <c r="A64" i="1"/>
  <c r="F63" i="1" a="1"/>
  <c r="F63" i="1" s="1"/>
  <c r="E63" i="1" a="1"/>
  <c r="E63" i="1" s="1"/>
  <c r="D63" i="1"/>
  <c r="C63" i="1"/>
  <c r="B63" i="1"/>
  <c r="A63" i="1"/>
  <c r="F62" i="1"/>
  <c r="F62" i="1" a="1"/>
  <c r="E62" i="1" a="1"/>
  <c r="E62" i="1" s="1"/>
  <c r="D62" i="1"/>
  <c r="C62" i="1"/>
  <c r="B62" i="1"/>
  <c r="A62" i="1"/>
  <c r="F61" i="1" a="1"/>
  <c r="F61" i="1" s="1"/>
  <c r="E61" i="1" a="1"/>
  <c r="E61" i="1" s="1"/>
  <c r="D61" i="1"/>
  <c r="C61" i="1"/>
  <c r="B61" i="1"/>
  <c r="A61" i="1"/>
  <c r="F60" i="1"/>
  <c r="F60" i="1" a="1"/>
  <c r="E60" i="1" a="1"/>
  <c r="E60" i="1" s="1"/>
  <c r="D60" i="1"/>
  <c r="C60" i="1"/>
  <c r="B60" i="1"/>
  <c r="A60" i="1"/>
  <c r="F59" i="1" a="1"/>
  <c r="F59" i="1" s="1"/>
  <c r="E59" i="1" a="1"/>
  <c r="E59" i="1" s="1"/>
  <c r="D59" i="1"/>
  <c r="C59" i="1"/>
  <c r="B59" i="1"/>
  <c r="A59" i="1"/>
  <c r="F58" i="1"/>
  <c r="F58" i="1" a="1"/>
  <c r="E58" i="1" a="1"/>
  <c r="E58" i="1" s="1"/>
  <c r="D58" i="1"/>
  <c r="C58" i="1"/>
  <c r="B58" i="1"/>
  <c r="A58" i="1"/>
  <c r="F57" i="1" a="1"/>
  <c r="F57" i="1" s="1"/>
  <c r="E57" i="1" a="1"/>
  <c r="E57" i="1" s="1"/>
  <c r="D57" i="1"/>
  <c r="C57" i="1"/>
  <c r="B57" i="1"/>
  <c r="A57" i="1"/>
  <c r="F56" i="1"/>
  <c r="F56" i="1" a="1"/>
  <c r="E56" i="1" a="1"/>
  <c r="E56" i="1" s="1"/>
  <c r="D56" i="1"/>
  <c r="C56" i="1"/>
  <c r="B56" i="1"/>
  <c r="A56" i="1"/>
  <c r="F55" i="1" a="1"/>
  <c r="F55" i="1" s="1"/>
  <c r="E55" i="1" a="1"/>
  <c r="E55" i="1" s="1"/>
  <c r="D55" i="1"/>
  <c r="C55" i="1"/>
  <c r="B55" i="1"/>
  <c r="A55" i="1"/>
  <c r="F54" i="1"/>
  <c r="F54" i="1" a="1"/>
  <c r="E54" i="1" a="1"/>
  <c r="E54" i="1" s="1"/>
  <c r="D54" i="1"/>
  <c r="C54" i="1"/>
  <c r="B54" i="1"/>
  <c r="A54" i="1"/>
  <c r="F53" i="1" a="1"/>
  <c r="F53" i="1" s="1"/>
  <c r="E53" i="1" a="1"/>
  <c r="E53" i="1" s="1"/>
  <c r="D53" i="1"/>
  <c r="C53" i="1"/>
  <c r="B53" i="1"/>
  <c r="A53" i="1"/>
  <c r="F52" i="1"/>
  <c r="F52" i="1" a="1"/>
  <c r="E52" i="1" a="1"/>
  <c r="E52" i="1" s="1"/>
  <c r="D52" i="1"/>
  <c r="C52" i="1"/>
  <c r="B52" i="1"/>
  <c r="A52" i="1"/>
  <c r="F51" i="1" a="1"/>
  <c r="F51" i="1" s="1"/>
  <c r="E51" i="1" a="1"/>
  <c r="E51" i="1" s="1"/>
  <c r="D51" i="1"/>
  <c r="C51" i="1"/>
  <c r="B51" i="1"/>
  <c r="A51" i="1"/>
  <c r="F50" i="1"/>
  <c r="F50" i="1" a="1"/>
  <c r="E50" i="1" a="1"/>
  <c r="E50" i="1" s="1"/>
  <c r="D50" i="1"/>
  <c r="C50" i="1"/>
  <c r="B50" i="1"/>
  <c r="A50" i="1"/>
  <c r="F49" i="1" a="1"/>
  <c r="F49" i="1" s="1"/>
  <c r="E49" i="1" a="1"/>
  <c r="E49" i="1" s="1"/>
  <c r="D49" i="1"/>
  <c r="C49" i="1"/>
  <c r="B49" i="1"/>
  <c r="A49" i="1"/>
  <c r="F48" i="1"/>
  <c r="F48" i="1" a="1"/>
  <c r="E48" i="1" a="1"/>
  <c r="E48" i="1" s="1"/>
  <c r="D48" i="1"/>
  <c r="C48" i="1"/>
  <c r="B48" i="1"/>
  <c r="A48" i="1"/>
  <c r="F47" i="1" a="1"/>
  <c r="F47" i="1" s="1"/>
  <c r="E47" i="1" a="1"/>
  <c r="E47" i="1" s="1"/>
  <c r="D47" i="1"/>
  <c r="C47" i="1"/>
  <c r="B47" i="1"/>
  <c r="A47" i="1"/>
  <c r="F46" i="1"/>
  <c r="F46" i="1" a="1"/>
  <c r="E46" i="1" a="1"/>
  <c r="E46" i="1" s="1"/>
  <c r="D46" i="1"/>
  <c r="C46" i="1"/>
  <c r="B46" i="1"/>
  <c r="A46" i="1"/>
  <c r="F45" i="1" a="1"/>
  <c r="F45" i="1" s="1"/>
  <c r="E45" i="1" a="1"/>
  <c r="E45" i="1" s="1"/>
  <c r="D45" i="1"/>
  <c r="C45" i="1"/>
  <c r="B45" i="1"/>
  <c r="A45" i="1"/>
  <c r="F44" i="1"/>
  <c r="F44" i="1" a="1"/>
  <c r="E44" i="1" a="1"/>
  <c r="E44" i="1" s="1"/>
  <c r="D44" i="1"/>
  <c r="C44" i="1"/>
  <c r="B44" i="1"/>
  <c r="A44" i="1"/>
  <c r="F43" i="1" a="1"/>
  <c r="F43" i="1" s="1"/>
  <c r="E43" i="1" a="1"/>
  <c r="E43" i="1" s="1"/>
  <c r="D43" i="1"/>
  <c r="C43" i="1"/>
  <c r="B43" i="1"/>
  <c r="A43" i="1"/>
  <c r="F42" i="1"/>
  <c r="F42" i="1" a="1"/>
  <c r="E42" i="1" a="1"/>
  <c r="E42" i="1" s="1"/>
  <c r="D42" i="1"/>
  <c r="C42" i="1"/>
  <c r="B42" i="1"/>
  <c r="A42" i="1"/>
  <c r="F41" i="1" a="1"/>
  <c r="F41" i="1" s="1"/>
  <c r="E41" i="1" a="1"/>
  <c r="E41" i="1" s="1"/>
  <c r="D41" i="1"/>
  <c r="C41" i="1"/>
  <c r="B41" i="1"/>
  <c r="A41" i="1"/>
  <c r="F40" i="1"/>
  <c r="F40" i="1" a="1"/>
  <c r="E40" i="1" a="1"/>
  <c r="E40" i="1" s="1"/>
  <c r="D40" i="1"/>
  <c r="C40" i="1"/>
  <c r="B40" i="1"/>
  <c r="A40" i="1"/>
  <c r="F39" i="1" a="1"/>
  <c r="F39" i="1" s="1"/>
  <c r="E39" i="1" a="1"/>
  <c r="E39" i="1" s="1"/>
  <c r="D39" i="1"/>
  <c r="C39" i="1"/>
  <c r="B39" i="1"/>
  <c r="A39" i="1"/>
  <c r="F38" i="1"/>
  <c r="F38" i="1" a="1"/>
  <c r="E38" i="1" a="1"/>
  <c r="E38" i="1" s="1"/>
  <c r="D38" i="1"/>
  <c r="C38" i="1"/>
  <c r="B38" i="1"/>
  <c r="A38" i="1"/>
  <c r="F37" i="1" a="1"/>
  <c r="F37" i="1" s="1"/>
  <c r="E37" i="1" a="1"/>
  <c r="E37" i="1" s="1"/>
  <c r="D37" i="1"/>
  <c r="C37" i="1"/>
  <c r="B37" i="1"/>
  <c r="A37" i="1"/>
  <c r="F36" i="1"/>
  <c r="F36" i="1" a="1"/>
  <c r="E36" i="1" a="1"/>
  <c r="E36" i="1" s="1"/>
  <c r="D36" i="1"/>
  <c r="C36" i="1"/>
  <c r="B36" i="1"/>
  <c r="A36" i="1"/>
  <c r="F35" i="1" a="1"/>
  <c r="F35" i="1" s="1"/>
  <c r="E35" i="1" a="1"/>
  <c r="E35" i="1" s="1"/>
  <c r="D35" i="1"/>
  <c r="C35" i="1"/>
  <c r="B35" i="1"/>
  <c r="A35" i="1"/>
  <c r="F34" i="1"/>
  <c r="F34" i="1" a="1"/>
  <c r="E34" i="1" a="1"/>
  <c r="E34" i="1" s="1"/>
  <c r="D34" i="1"/>
  <c r="C34" i="1"/>
  <c r="B34" i="1"/>
  <c r="A34" i="1"/>
  <c r="F33" i="1" a="1"/>
  <c r="F33" i="1" s="1"/>
  <c r="E33" i="1" a="1"/>
  <c r="E33" i="1" s="1"/>
  <c r="D33" i="1"/>
  <c r="C33" i="1"/>
  <c r="B33" i="1"/>
  <c r="A33" i="1"/>
  <c r="F32" i="1"/>
  <c r="F32" i="1" a="1"/>
  <c r="E32" i="1" a="1"/>
  <c r="E32" i="1" s="1"/>
  <c r="D32" i="1"/>
  <c r="C32" i="1"/>
  <c r="B32" i="1"/>
  <c r="A32" i="1"/>
  <c r="F31" i="1" a="1"/>
  <c r="F31" i="1" s="1"/>
  <c r="E31" i="1" a="1"/>
  <c r="E31" i="1" s="1"/>
  <c r="D31" i="1"/>
  <c r="C31" i="1"/>
  <c r="B31" i="1"/>
  <c r="A31" i="1"/>
  <c r="F30" i="1"/>
  <c r="F30" i="1" a="1"/>
  <c r="E30" i="1" a="1"/>
  <c r="E30" i="1" s="1"/>
  <c r="D30" i="1"/>
  <c r="C30" i="1"/>
  <c r="B30" i="1"/>
  <c r="A30" i="1"/>
  <c r="F29" i="1" a="1"/>
  <c r="F29" i="1" s="1"/>
  <c r="E29" i="1" a="1"/>
  <c r="E29" i="1" s="1"/>
  <c r="D29" i="1"/>
  <c r="C29" i="1"/>
  <c r="B29" i="1"/>
  <c r="A29" i="1"/>
  <c r="F28" i="1"/>
  <c r="F28" i="1" a="1"/>
  <c r="E28" i="1" a="1"/>
  <c r="E28" i="1" s="1"/>
  <c r="D28" i="1"/>
  <c r="C28" i="1"/>
  <c r="B28" i="1"/>
  <c r="A28" i="1"/>
  <c r="F27" i="1" a="1"/>
  <c r="F27" i="1" s="1"/>
  <c r="E27" i="1" a="1"/>
  <c r="E27" i="1" s="1"/>
  <c r="D27" i="1"/>
  <c r="C27" i="1"/>
  <c r="B27" i="1"/>
  <c r="A27" i="1"/>
  <c r="F26" i="1"/>
  <c r="F26" i="1" a="1"/>
  <c r="E26" i="1" a="1"/>
  <c r="E26" i="1" s="1"/>
  <c r="D26" i="1"/>
  <c r="C26" i="1"/>
  <c r="B26" i="1"/>
  <c r="A26" i="1"/>
  <c r="F25" i="1" a="1"/>
  <c r="F25" i="1" s="1"/>
  <c r="E25" i="1" a="1"/>
  <c r="E25" i="1" s="1"/>
  <c r="D25" i="1"/>
  <c r="C25" i="1"/>
  <c r="B25" i="1"/>
  <c r="A25" i="1"/>
  <c r="F24" i="1"/>
  <c r="F24" i="1" a="1"/>
  <c r="E24" i="1" a="1"/>
  <c r="E24" i="1" s="1"/>
  <c r="D24" i="1"/>
  <c r="C24" i="1"/>
  <c r="B24" i="1"/>
  <c r="A24" i="1"/>
  <c r="F23" i="1" a="1"/>
  <c r="F23" i="1" s="1"/>
  <c r="E23" i="1" a="1"/>
  <c r="E23" i="1" s="1"/>
  <c r="D23" i="1"/>
  <c r="C23" i="1"/>
  <c r="B23" i="1"/>
  <c r="A23" i="1"/>
  <c r="F22" i="1"/>
  <c r="F22" i="1" a="1"/>
  <c r="E22" i="1" a="1"/>
  <c r="E22" i="1" s="1"/>
  <c r="D22" i="1"/>
  <c r="C22" i="1"/>
  <c r="B22" i="1"/>
  <c r="A22" i="1"/>
  <c r="F21" i="1" a="1"/>
  <c r="F21" i="1" s="1"/>
  <c r="E21" i="1" a="1"/>
  <c r="E21" i="1" s="1"/>
  <c r="D21" i="1"/>
  <c r="C21" i="1"/>
  <c r="B21" i="1"/>
  <c r="A21" i="1"/>
  <c r="F20" i="1"/>
  <c r="F20" i="1" a="1"/>
  <c r="E20" i="1" a="1"/>
  <c r="E20" i="1" s="1"/>
  <c r="D20" i="1"/>
  <c r="C20" i="1"/>
  <c r="B20" i="1"/>
  <c r="A20" i="1"/>
  <c r="F19" i="1" a="1"/>
  <c r="F19" i="1" s="1"/>
  <c r="E19" i="1" a="1"/>
  <c r="E19" i="1" s="1"/>
  <c r="D19" i="1"/>
  <c r="C19" i="1"/>
  <c r="B19" i="1"/>
  <c r="A19" i="1"/>
  <c r="F18" i="1"/>
  <c r="F18" i="1" a="1"/>
  <c r="E18" i="1" a="1"/>
  <c r="E18" i="1" s="1"/>
  <c r="D18" i="1"/>
  <c r="C18" i="1"/>
  <c r="B18" i="1"/>
  <c r="A18" i="1"/>
  <c r="F17" i="1" a="1"/>
  <c r="F17" i="1" s="1"/>
  <c r="E17" i="1" a="1"/>
  <c r="E17" i="1" s="1"/>
  <c r="D17" i="1"/>
  <c r="C17" i="1"/>
  <c r="B17" i="1"/>
  <c r="A17" i="1"/>
  <c r="F16" i="1"/>
  <c r="F16" i="1" a="1"/>
  <c r="E16" i="1" a="1"/>
  <c r="E16" i="1" s="1"/>
  <c r="D16" i="1"/>
  <c r="C16" i="1"/>
  <c r="B16" i="1"/>
  <c r="A16" i="1"/>
  <c r="F15" i="1" a="1"/>
  <c r="F15" i="1" s="1"/>
  <c r="E15" i="1" a="1"/>
  <c r="E15" i="1" s="1"/>
  <c r="D15" i="1"/>
  <c r="C15" i="1"/>
  <c r="B15" i="1"/>
  <c r="A15" i="1"/>
  <c r="F14" i="1"/>
  <c r="F14" i="1" a="1"/>
  <c r="E14" i="1" a="1"/>
  <c r="E14" i="1" s="1"/>
  <c r="D14" i="1"/>
  <c r="C14" i="1"/>
  <c r="B14" i="1"/>
  <c r="A14" i="1"/>
  <c r="F13" i="1" a="1"/>
  <c r="F13" i="1" s="1"/>
  <c r="E13" i="1" a="1"/>
  <c r="E13" i="1" s="1"/>
  <c r="D13" i="1"/>
  <c r="C13" i="1"/>
  <c r="B13" i="1"/>
  <c r="A13" i="1"/>
  <c r="F12" i="1"/>
  <c r="F12" i="1" a="1"/>
  <c r="E12" i="1" a="1"/>
  <c r="E12" i="1" s="1"/>
  <c r="D12" i="1"/>
  <c r="C12" i="1"/>
  <c r="B12" i="1"/>
  <c r="A12" i="1"/>
  <c r="F11" i="1" a="1"/>
  <c r="F11" i="1" s="1"/>
  <c r="E11" i="1" a="1"/>
  <c r="E11" i="1" s="1"/>
  <c r="D11" i="1"/>
  <c r="C11" i="1"/>
  <c r="B11" i="1"/>
  <c r="A11" i="1"/>
  <c r="F10" i="1"/>
  <c r="F10" i="1" a="1"/>
  <c r="E10" i="1" a="1"/>
  <c r="E10" i="1" s="1"/>
  <c r="D10" i="1"/>
  <c r="C10" i="1"/>
  <c r="B10" i="1"/>
  <c r="A10" i="1"/>
  <c r="F9" i="1" a="1"/>
  <c r="F9" i="1" s="1"/>
  <c r="E9" i="1" a="1"/>
  <c r="E9" i="1" s="1"/>
  <c r="D9" i="1"/>
  <c r="C9" i="1"/>
  <c r="B9" i="1"/>
  <c r="A9" i="1"/>
  <c r="F8" i="1"/>
  <c r="F8" i="1" a="1"/>
  <c r="E8" i="1" a="1"/>
  <c r="E8" i="1" s="1"/>
  <c r="D8" i="1"/>
  <c r="C8" i="1"/>
  <c r="B8" i="1"/>
  <c r="A8" i="1"/>
  <c r="F7" i="1" a="1"/>
  <c r="F7" i="1" s="1"/>
  <c r="E7" i="1" a="1"/>
  <c r="E7" i="1" s="1"/>
  <c r="D7" i="1"/>
  <c r="C7" i="1"/>
  <c r="B7" i="1"/>
  <c r="A7" i="1"/>
  <c r="F6" i="1"/>
  <c r="F6" i="1" a="1"/>
  <c r="E6" i="1" a="1"/>
  <c r="E6" i="1" s="1"/>
  <c r="D6" i="1"/>
  <c r="C6" i="1"/>
  <c r="B6" i="1"/>
  <c r="A6" i="1"/>
  <c r="F5" i="1" a="1"/>
  <c r="F5" i="1" s="1"/>
  <c r="E5" i="1" a="1"/>
  <c r="E5" i="1" s="1"/>
  <c r="D5" i="1"/>
  <c r="C5" i="1"/>
  <c r="B5" i="1"/>
  <c r="A5" i="1"/>
  <c r="F4" i="1"/>
  <c r="F4" i="1" a="1"/>
  <c r="E4" i="1" a="1"/>
  <c r="E4" i="1" s="1"/>
  <c r="D4" i="1"/>
  <c r="C4" i="1"/>
  <c r="B4" i="1"/>
  <c r="A4" i="1"/>
  <c r="F3" i="1" a="1"/>
  <c r="F3" i="1" s="1"/>
  <c r="E3" i="1" a="1"/>
  <c r="E3" i="1" s="1"/>
  <c r="D3" i="1"/>
  <c r="C3" i="1"/>
  <c r="B3" i="1"/>
  <c r="A3" i="1"/>
  <c r="F2" i="1"/>
  <c r="F2" i="1" a="1"/>
  <c r="E2" i="1" a="1"/>
  <c r="E2" i="1" s="1"/>
  <c r="D2" i="1"/>
  <c r="C2" i="1"/>
  <c r="B2" i="1"/>
  <c r="A2" i="1"/>
  <c r="F5298" i="1" l="1" a="1"/>
  <c r="F5298" i="1" s="1"/>
  <c r="E5298" i="1" a="1"/>
  <c r="E5298" i="1" s="1"/>
  <c r="F5365" i="1" a="1"/>
  <c r="F5365" i="1" s="1"/>
  <c r="E5365" i="1" a="1"/>
  <c r="E5365" i="1" s="1"/>
  <c r="F5373" i="1" a="1"/>
  <c r="F5373" i="1" s="1"/>
  <c r="E5373" i="1" a="1"/>
  <c r="E5373" i="1" s="1"/>
  <c r="F5357" i="1" a="1"/>
  <c r="F5357" i="1" s="1"/>
  <c r="E5357" i="1" a="1"/>
  <c r="E5357" i="1" s="1"/>
  <c r="F5346" i="1" a="1"/>
  <c r="F5346" i="1" s="1"/>
  <c r="E5346" i="1" a="1"/>
  <c r="E5346" i="1" s="1"/>
  <c r="E5301" i="1" a="1"/>
  <c r="E5301" i="1" s="1"/>
  <c r="E5321" i="1" a="1"/>
  <c r="E5321" i="1" s="1"/>
  <c r="F5338" i="1" a="1"/>
  <c r="F5338" i="1" s="1"/>
  <c r="E5338" i="1" a="1"/>
  <c r="E5338" i="1" s="1"/>
  <c r="F5347" i="1" a="1"/>
  <c r="F5347" i="1" s="1"/>
  <c r="E5362" i="1" a="1"/>
  <c r="E5362" i="1" s="1"/>
  <c r="F5362" i="1" a="1"/>
  <c r="F5362" i="1" s="1"/>
  <c r="E5370" i="1" a="1"/>
  <c r="E5370" i="1" s="1"/>
  <c r="F5370" i="1" a="1"/>
  <c r="F5370" i="1" s="1"/>
  <c r="E5313" i="1" a="1"/>
  <c r="E5313" i="1" s="1"/>
  <c r="F5330" i="1" a="1"/>
  <c r="F5330" i="1" s="1"/>
  <c r="E5330" i="1" a="1"/>
  <c r="E5330" i="1" s="1"/>
  <c r="F5336" i="1" a="1"/>
  <c r="F5336" i="1" s="1"/>
  <c r="F5339" i="1" a="1"/>
  <c r="F5339" i="1" s="1"/>
  <c r="E5305" i="1" a="1"/>
  <c r="E5305" i="1" s="1"/>
  <c r="F5322" i="1" a="1"/>
  <c r="F5322" i="1" s="1"/>
  <c r="E5322" i="1" a="1"/>
  <c r="E5322" i="1" s="1"/>
  <c r="F5328" i="1" a="1"/>
  <c r="F5328" i="1" s="1"/>
  <c r="F5331" i="1" a="1"/>
  <c r="F5331" i="1" s="1"/>
  <c r="E5349" i="1" a="1"/>
  <c r="E5349" i="1" s="1"/>
  <c r="F5354" i="1" a="1"/>
  <c r="F5354" i="1" s="1"/>
  <c r="E5297" i="1" a="1"/>
  <c r="E5297" i="1" s="1"/>
  <c r="F5314" i="1" a="1"/>
  <c r="F5314" i="1" s="1"/>
  <c r="E5314" i="1" a="1"/>
  <c r="E5314" i="1" s="1"/>
  <c r="F5320" i="1" a="1"/>
  <c r="F5320" i="1" s="1"/>
  <c r="F5323" i="1" a="1"/>
  <c r="F5323" i="1" s="1"/>
  <c r="E5341" i="1" a="1"/>
  <c r="E5341" i="1" s="1"/>
  <c r="F5306" i="1" a="1"/>
  <c r="F5306" i="1" s="1"/>
  <c r="E5306" i="1" a="1"/>
  <c r="E5306" i="1" s="1"/>
  <c r="F5312" i="1" a="1"/>
  <c r="F5312" i="1" s="1"/>
  <c r="F5405" i="1" a="1"/>
  <c r="F5405" i="1" s="1"/>
  <c r="E5405" i="1" a="1"/>
  <c r="E5405" i="1" s="1"/>
  <c r="F5420" i="1" a="1"/>
  <c r="F5420" i="1" s="1"/>
  <c r="E5420" i="1" a="1"/>
  <c r="E5420" i="1" s="1"/>
  <c r="F5379" i="1" a="1"/>
  <c r="F5379" i="1" s="1"/>
  <c r="F5384" i="1" a="1"/>
  <c r="F5384" i="1" s="1"/>
  <c r="E5392" i="1" a="1"/>
  <c r="E5392" i="1" s="1"/>
  <c r="F5411" i="1" a="1"/>
  <c r="F5411" i="1" s="1"/>
  <c r="E5359" i="1" a="1"/>
  <c r="E5359" i="1" s="1"/>
  <c r="E5364" i="1" a="1"/>
  <c r="E5364" i="1" s="1"/>
  <c r="E5369" i="1" a="1"/>
  <c r="E5369" i="1" s="1"/>
  <c r="F5397" i="1" a="1"/>
  <c r="F5397" i="1" s="1"/>
  <c r="E5397" i="1" a="1"/>
  <c r="E5397" i="1" s="1"/>
  <c r="F5412" i="1" a="1"/>
  <c r="F5412" i="1" s="1"/>
  <c r="E5412" i="1" a="1"/>
  <c r="E5412" i="1" s="1"/>
  <c r="E5372" i="1" a="1"/>
  <c r="E5372" i="1" s="1"/>
  <c r="E5377" i="1" a="1"/>
  <c r="E5377" i="1" s="1"/>
  <c r="F5378" i="1" a="1"/>
  <c r="F5378" i="1" s="1"/>
  <c r="F5404" i="1" a="1"/>
  <c r="F5404" i="1" s="1"/>
  <c r="E5404" i="1" a="1"/>
  <c r="E5404" i="1" s="1"/>
  <c r="F5421" i="1" a="1"/>
  <c r="F5421" i="1" s="1"/>
  <c r="E5421" i="1" a="1"/>
  <c r="E5421" i="1" s="1"/>
  <c r="F5396" i="1" a="1"/>
  <c r="F5396" i="1" s="1"/>
  <c r="E5396" i="1" a="1"/>
  <c r="E5396" i="1" s="1"/>
  <c r="F5413" i="1" a="1"/>
  <c r="F5413" i="1" s="1"/>
  <c r="E5413" i="1" a="1"/>
  <c r="E5413" i="1" s="1"/>
  <c r="E5429" i="1" a="1"/>
  <c r="E5429" i="1" s="1"/>
  <c r="E5428" i="1" a="1"/>
  <c r="E5428" i="1" s="1"/>
  <c r="E5427" i="1" a="1"/>
  <c r="E5427" i="1" s="1"/>
  <c r="E5426" i="1" a="1"/>
  <c r="E54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<sst xmlns="http://schemas.openxmlformats.org/spreadsheetml/2006/main" count="6" uniqueCount="6">
  <si>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Facility ID</t>
  </si>
  <si>
    <t>State</t>
  </si>
  <si>
    <t>Hospital Type</t>
  </si>
  <si>
    <t>Hospital Ownership</t>
  </si>
  <si>
    <t>HCAHPS Score</t>
  </si>
  <si>
    <t>Readmissions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</si>
</sst>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aa115bb0d7b0f72/Desktop/readmissions-analysis.xlsx" TargetMode="External"/><Relationship Id="rId1" Type="http://schemas.openxmlformats.org/officeDocument/2006/relationships/externalLinkPath" Target="https://d.docs.live.net/2aa115bb0d7b0f72/Desktop/readmissions-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raw_readmissions"/>
      <sheetName val="raw_HCAHPS"/>
      <sheetName val="raw_hospital_info"/>
      <sheetName val="cleaned_table"/>
      <sheetName val="state analysis"/>
      <sheetName val="score analysis"/>
      <sheetName val="ownership analysis"/>
      <sheetName val="dashboard_prep"/>
      <sheetName val="Readmissions_Analysi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F2">
            <v>-0.24605327556614709</v>
          </cell>
        </row>
      </sheetData>
      <sheetData sheetId="7">
        <row r="18">
          <cell r="J18">
            <v>0.22740142371524641</v>
          </cell>
        </row>
      </sheetData>
      <sheetData sheetId="8">
        <row r="3">
          <cell r="K3">
            <v>14.939173570128336</v>
          </cell>
        </row>
      </sheetData>
      <sheetData sheetId="9">
        <row r="5">
          <cell r="C5" t="str">
            <v>Acute Care Hospitals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D33FDE-4242-E045-830F-D3F2834B9493}" name="clean" displayName="clean" ref="A1:F5433" totalsRowShown="0">
  <autoFilter ref="A1:F5433" xr:uid="{B788A7A5-0463-43BB-9121-A70AA27E6C0D}"/>
  <tableColumns count="6">
    <tableColumn id="1" xr3:uid="{EAD80409-2F25-3941-BA75-869C5FC83065}" name="Facility ID">
      <calculatedColumnFormula>[1]!hospitalinfo[[#This Row],[Facility ID]]</calculatedColumnFormula>
    </tableColumn>
    <tableColumn id="2" xr3:uid="{D7A67A14-1EB6-3949-8970-5D853B28032D}" name="State">
      <calculatedColumnFormula>[1]!hospitalinfo[[#This Row],[State]]</calculatedColumnFormula>
    </tableColumn>
    <tableColumn id="3" xr3:uid="{427B1B2C-34D4-2548-B6B9-917DFBE22A52}" name="Hospital Type">
      <calculatedColumnFormula>[1]!hospitalinfo[[#This Row],[Hospital Type]]</calculatedColumnFormula>
    </tableColumn>
    <tableColumn id="4" xr3:uid="{29B34D7A-0305-7E4D-83D4-8E616C14D26D}" name="Hospital Ownership">
      <calculatedColumnFormula>[1]!hospitalinfo[[#This Row],[Hospital Ownership]]</calculatedColumnFormula>
    </tableColumn>
    <tableColumn id="5" xr3:uid="{B34E13D9-6EFC-B64C-9168-9500AD520490}" name="HCAHPS Score" dataDxfId="1">
      <calculatedColumnFormula array="1">_xlfn.IFNA(_xlfn.XLOOKUP(1,([1]!hcahps[Facility ID] = clean[[#This Row],[Facility ID]]) * ([1]!hcahps[HCAHPS Measure ID] = "H_HSP_RATING_LINEAR_SCORE"), [1]!hcahps[HCAHPS Linear Mean Value]), "No Match")</calculatedColumnFormula>
    </tableColumn>
    <tableColumn id="6" xr3:uid="{1168EA7E-EF57-F14A-9BFB-8E7116E63855}" name="Readmissions Score" dataDxfId="0">
      <calculatedColumnFormula array="1">_xlfn.IFNA(_xlfn.XLOOKUP(1,([1]!readmissions[Facility ID] = clean[[#This Row],[Facility ID]]) * ([1]!readmissions[Measure ID] = "Hybrid_HWR"), [1]!readmissions[Score]), "No Match")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D501-65AE-5B49-898D-D46A035C3C2B}">
  <dimension ref="A1:F5433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11.6640625" customWidth="1"/>
    <col min="3" max="3" width="34.6640625" bestFit="1" customWidth="1"/>
    <col min="4" max="4" width="39.83203125" bestFit="1" customWidth="1"/>
    <col min="5" max="5" width="20.83203125" customWidth="1"/>
    <col min="6" max="6" width="20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tr">
        <f>[1]!hospitalinfo[[#This Row],[Facility ID]]</f>
        <v>020001</v>
      </c>
      <c r="B2" t="str">
        <f>[1]!hospitalinfo[[#This Row],[State]]</f>
        <v>AK</v>
      </c>
      <c r="C2" t="str">
        <f>[1]!hospitalinfo[[#This Row],[Hospital Type]]</f>
        <v>Acute Care Hospitals</v>
      </c>
      <c r="D2" t="str">
        <f>[1]!hospitalinfo[[#This Row],[Hospital Ownership]]</f>
        <v>Voluntary non-profit - Church</v>
      </c>
      <c r="E2" cm="1">
        <f t="array" ref="E2">_xlfn.IFNA(_xlfn.XLOOKUP(1,([1]!hcahps[Facility ID] = clean[[#This Row],[Facility ID]]) * ([1]!hcahps[HCAHPS Measure ID] = "H_HSP_RATING_LINEAR_SCORE"), [1]!hcahps[HCAHPS Linear Mean Value]), "No Match")</f>
        <v>88</v>
      </c>
      <c r="F2" cm="1">
        <f t="array" ref="F2">_xlfn.IFNA(_xlfn.XLOOKUP(1,([1]!readmissions[Facility ID] = clean[[#This Row],[Facility ID]]) * ([1]!readmissions[Measure ID] = "Hybrid_HWR"), [1]!readmissions[Score]), "No Match")</f>
        <v>13.7</v>
      </c>
    </row>
    <row r="3" spans="1:6" x14ac:dyDescent="0.2">
      <c r="A3" t="str">
        <f>[1]!hospitalinfo[[#This Row],[Facility ID]]</f>
        <v>020006</v>
      </c>
      <c r="B3" t="str">
        <f>[1]!hospitalinfo[[#This Row],[State]]</f>
        <v>AK</v>
      </c>
      <c r="C3" t="str">
        <f>[1]!hospitalinfo[[#This Row],[Hospital Type]]</f>
        <v>Acute Care Hospitals</v>
      </c>
      <c r="D3" t="str">
        <f>[1]!hospitalinfo[[#This Row],[Hospital Ownership]]</f>
        <v>Voluntary non-profit - Other</v>
      </c>
      <c r="E3" cm="1">
        <f t="array" ref="E3">_xlfn.IFNA(_xlfn.XLOOKUP(1,([1]!hcahps[Facility ID] = clean[[#This Row],[Facility ID]]) * ([1]!hcahps[HCAHPS Measure ID] = "H_HSP_RATING_LINEAR_SCORE"), [1]!hcahps[HCAHPS Linear Mean Value]), "No Match")</f>
        <v>89</v>
      </c>
      <c r="F3" cm="1">
        <f t="array" ref="F3">_xlfn.IFNA(_xlfn.XLOOKUP(1,([1]!readmissions[Facility ID] = clean[[#This Row],[Facility ID]]) * ([1]!readmissions[Measure ID] = "Hybrid_HWR"), [1]!readmissions[Score]), "No Match")</f>
        <v>15</v>
      </c>
    </row>
    <row r="4" spans="1:6" x14ac:dyDescent="0.2">
      <c r="A4" t="str">
        <f>[1]!hospitalinfo[[#This Row],[Facility ID]]</f>
        <v>020008</v>
      </c>
      <c r="B4" t="str">
        <f>[1]!hospitalinfo[[#This Row],[State]]</f>
        <v>AK</v>
      </c>
      <c r="C4" t="str">
        <f>[1]!hospitalinfo[[#This Row],[Hospital Type]]</f>
        <v>Acute Care Hospitals</v>
      </c>
      <c r="D4" t="str">
        <f>[1]!hospitalinfo[[#This Row],[Hospital Ownership]]</f>
        <v>Government - Local</v>
      </c>
      <c r="E4" cm="1">
        <f t="array" ref="E4">_xlfn.IFNA(_xlfn.XLOOKUP(1,([1]!hcahps[Facility ID] = clean[[#This Row],[Facility ID]]) * ([1]!hcahps[HCAHPS Measure ID] = "H_HSP_RATING_LINEAR_SCORE"), [1]!hcahps[HCAHPS Linear Mean Value]), "No Match")</f>
        <v>92</v>
      </c>
      <c r="F4" cm="1">
        <f t="array" ref="F4">_xlfn.IFNA(_xlfn.XLOOKUP(1,([1]!readmissions[Facility ID] = clean[[#This Row],[Facility ID]]) * ([1]!readmissions[Measure ID] = "Hybrid_HWR"), [1]!readmissions[Score]), "No Match")</f>
        <v>14.4</v>
      </c>
    </row>
    <row r="5" spans="1:6" x14ac:dyDescent="0.2">
      <c r="A5" t="str">
        <f>[1]!hospitalinfo[[#This Row],[Facility ID]]</f>
        <v>020012</v>
      </c>
      <c r="B5" t="str">
        <f>[1]!hospitalinfo[[#This Row],[State]]</f>
        <v>AK</v>
      </c>
      <c r="C5" t="str">
        <f>[1]!hospitalinfo[[#This Row],[Hospital Type]]</f>
        <v>Acute Care Hospitals</v>
      </c>
      <c r="D5" t="str">
        <f>[1]!hospitalinfo[[#This Row],[Hospital Ownership]]</f>
        <v>Voluntary non-profit - Private</v>
      </c>
      <c r="E5" cm="1">
        <f t="array" ref="E5">_xlfn.IFNA(_xlfn.XLOOKUP(1,([1]!hcahps[Facility ID] = clean[[#This Row],[Facility ID]]) * ([1]!hcahps[HCAHPS Measure ID] = "H_HSP_RATING_LINEAR_SCORE"), [1]!hcahps[HCAHPS Linear Mean Value]), "No Match")</f>
        <v>88</v>
      </c>
      <c r="F5" cm="1">
        <f t="array" ref="F5">_xlfn.IFNA(_xlfn.XLOOKUP(1,([1]!readmissions[Facility ID] = clean[[#This Row],[Facility ID]]) * ([1]!readmissions[Measure ID] = "Hybrid_HWR"), [1]!readmissions[Score]), "No Match")</f>
        <v>14.7</v>
      </c>
    </row>
    <row r="6" spans="1:6" x14ac:dyDescent="0.2">
      <c r="A6" t="str">
        <f>[1]!hospitalinfo[[#This Row],[Facility ID]]</f>
        <v>020017</v>
      </c>
      <c r="B6" t="str">
        <f>[1]!hospitalinfo[[#This Row],[State]]</f>
        <v>AK</v>
      </c>
      <c r="C6" t="str">
        <f>[1]!hospitalinfo[[#This Row],[Hospital Type]]</f>
        <v>Acute Care Hospitals</v>
      </c>
      <c r="D6" t="str">
        <f>[1]!hospitalinfo[[#This Row],[Hospital Ownership]]</f>
        <v>Proprietary</v>
      </c>
      <c r="E6" cm="1">
        <f t="array" ref="E6">_xlfn.IFNA(_xlfn.XLOOKUP(1,([1]!hcahps[Facility ID] = clean[[#This Row],[Facility ID]]) * ([1]!hcahps[HCAHPS Measure ID] = "H_HSP_RATING_LINEAR_SCORE"), [1]!hcahps[HCAHPS Linear Mean Value]), "No Match")</f>
        <v>87</v>
      </c>
      <c r="F6" cm="1">
        <f t="array" ref="F6">_xlfn.IFNA(_xlfn.XLOOKUP(1,([1]!readmissions[Facility ID] = clean[[#This Row],[Facility ID]]) * ([1]!readmissions[Measure ID] = "Hybrid_HWR"), [1]!readmissions[Score]), "No Match")</f>
        <v>15.8</v>
      </c>
    </row>
    <row r="7" spans="1:6" x14ac:dyDescent="0.2">
      <c r="A7" t="str">
        <f>[1]!hospitalinfo[[#This Row],[Facility ID]]</f>
        <v>020018</v>
      </c>
      <c r="B7" t="str">
        <f>[1]!hospitalinfo[[#This Row],[State]]</f>
        <v>AK</v>
      </c>
      <c r="C7" t="str">
        <f>[1]!hospitalinfo[[#This Row],[Hospital Type]]</f>
        <v>Acute Care Hospitals</v>
      </c>
      <c r="D7" t="str">
        <f>[1]!hospitalinfo[[#This Row],[Hospital Ownership]]</f>
        <v>Tribal</v>
      </c>
      <c r="E7" cm="1">
        <f t="array" ref="E7">_xlfn.IFNA(_xlfn.XLOOKUP(1,([1]!hcahps[Facility ID] = clean[[#This Row],[Facility ID]]) * ([1]!hcahps[HCAHPS Measure ID] = "H_HSP_RATING_LINEAR_SCORE"), [1]!hcahps[HCAHPS Linear Mean Value]), "No Match")</f>
        <v>86</v>
      </c>
      <c r="F7" cm="1">
        <f t="array" ref="F7">_xlfn.IFNA(_xlfn.XLOOKUP(1,([1]!readmissions[Facility ID] = clean[[#This Row],[Facility ID]]) * ([1]!readmissions[Measure ID] = "Hybrid_HWR"), [1]!readmissions[Score]), "No Match")</f>
        <v>14.5</v>
      </c>
    </row>
    <row r="8" spans="1:6" x14ac:dyDescent="0.2">
      <c r="A8" t="str">
        <f>[1]!hospitalinfo[[#This Row],[Facility ID]]</f>
        <v>020024</v>
      </c>
      <c r="B8" t="str">
        <f>[1]!hospitalinfo[[#This Row],[State]]</f>
        <v>AK</v>
      </c>
      <c r="C8" t="str">
        <f>[1]!hospitalinfo[[#This Row],[Hospital Type]]</f>
        <v>Acute Care Hospitals</v>
      </c>
      <c r="D8" t="str">
        <f>[1]!hospitalinfo[[#This Row],[Hospital Ownership]]</f>
        <v>Voluntary non-profit - Other</v>
      </c>
      <c r="E8" cm="1">
        <f t="array" ref="E8">_xlfn.IFNA(_xlfn.XLOOKUP(1,([1]!hcahps[Facility ID] = clean[[#This Row],[Facility ID]]) * ([1]!hcahps[HCAHPS Measure ID] = "H_HSP_RATING_LINEAR_SCORE"), [1]!hcahps[HCAHPS Linear Mean Value]), "No Match")</f>
        <v>90</v>
      </c>
      <c r="F8" cm="1">
        <f t="array" ref="F8">_xlfn.IFNA(_xlfn.XLOOKUP(1,([1]!readmissions[Facility ID] = clean[[#This Row],[Facility ID]]) * ([1]!readmissions[Measure ID] = "Hybrid_HWR"), [1]!readmissions[Score]), "No Match")</f>
        <v>15.8</v>
      </c>
    </row>
    <row r="9" spans="1:6" x14ac:dyDescent="0.2">
      <c r="A9" t="str">
        <f>[1]!hospitalinfo[[#This Row],[Facility ID]]</f>
        <v>020026</v>
      </c>
      <c r="B9" t="str">
        <f>[1]!hospitalinfo[[#This Row],[State]]</f>
        <v>AK</v>
      </c>
      <c r="C9" t="str">
        <f>[1]!hospitalinfo[[#This Row],[Hospital Type]]</f>
        <v>Acute Care Hospitals</v>
      </c>
      <c r="D9" t="str">
        <f>[1]!hospitalinfo[[#This Row],[Hospital Ownership]]</f>
        <v>Government - Federal</v>
      </c>
      <c r="E9" cm="1">
        <f t="array" ref="E9">_xlfn.IFNA(_xlfn.XLOOKUP(1,([1]!hcahps[Facility ID] = clean[[#This Row],[Facility ID]]) * ([1]!hcahps[HCAHPS Measure ID] = "H_HSP_RATING_LINEAR_SCORE"), [1]!hcahps[HCAHPS Linear Mean Value]), "No Match")</f>
        <v>84</v>
      </c>
      <c r="F9" cm="1">
        <f t="array" ref="F9">_xlfn.IFNA(_xlfn.XLOOKUP(1,([1]!readmissions[Facility ID] = clean[[#This Row],[Facility ID]]) * ([1]!readmissions[Measure ID] = "Hybrid_HWR"), [1]!readmissions[Score]), "No Match")</f>
        <v>15</v>
      </c>
    </row>
    <row r="10" spans="1:6" x14ac:dyDescent="0.2">
      <c r="A10" t="str">
        <f>[1]!hospitalinfo[[#This Row],[Facility ID]]</f>
        <v>02013F</v>
      </c>
      <c r="B10" t="str">
        <f>[1]!hospitalinfo[[#This Row],[State]]</f>
        <v>AK</v>
      </c>
      <c r="C10" t="str">
        <f>[1]!hospitalinfo[[#This Row],[Hospital Type]]</f>
        <v>Acute Care - Department of Defense</v>
      </c>
      <c r="D10" t="str">
        <f>[1]!hospitalinfo[[#This Row],[Hospital Ownership]]</f>
        <v>Department of Defense</v>
      </c>
      <c r="E10" cm="1">
        <f t="array" ref="E10">_xlfn.IFNA(_xlfn.XLOOKUP(1,([1]!hcahps[Facility ID] = clean[[#This Row],[Facility ID]]) * ([1]!hcahps[HCAHPS Measure ID] = "H_HSP_RATING_LINEAR_SCORE"), [1]!hcahps[HCAHPS Linear Mean Value]), "No Match")</f>
        <v>91</v>
      </c>
      <c r="F10" t="str" cm="1">
        <f t="array" ref="F10">_xlfn.IFNA(_xlfn.XLOOKUP(1,([1]!readmissions[Facility ID] = clean[[#This Row],[Facility ID]]) * ([1]!readmissions[Measure ID] = "Hybrid_HWR"), [1]!readmissions[Score]), "No Match")</f>
        <v>Not Available</v>
      </c>
    </row>
    <row r="11" spans="1:6" x14ac:dyDescent="0.2">
      <c r="A11" t="str">
        <f>[1]!hospitalinfo[[#This Row],[Facility ID]]</f>
        <v>02014F</v>
      </c>
      <c r="B11" t="str">
        <f>[1]!hospitalinfo[[#This Row],[State]]</f>
        <v>AK</v>
      </c>
      <c r="C11" t="str">
        <f>[1]!hospitalinfo[[#This Row],[Hospital Type]]</f>
        <v>Acute Care - Department of Defense</v>
      </c>
      <c r="D11" t="str">
        <f>[1]!hospitalinfo[[#This Row],[Hospital Ownership]]</f>
        <v>Department of Defense</v>
      </c>
      <c r="E11" cm="1">
        <f t="array" ref="E11">_xlfn.IFNA(_xlfn.XLOOKUP(1,([1]!hcahps[Facility ID] = clean[[#This Row],[Facility ID]]) * ([1]!hcahps[HCAHPS Measure ID] = "H_HSP_RATING_LINEAR_SCORE"), [1]!hcahps[HCAHPS Linear Mean Value]), "No Match")</f>
        <v>92</v>
      </c>
      <c r="F11" t="str" cm="1">
        <f t="array" ref="F11">_xlfn.IFNA(_xlfn.XLOOKUP(1,([1]!readmissions[Facility ID] = clean[[#This Row],[Facility ID]]) * ([1]!readmissions[Measure ID] = "Hybrid_HWR"), [1]!readmissions[Score]), "No Match")</f>
        <v>Not Available</v>
      </c>
    </row>
    <row r="12" spans="1:6" x14ac:dyDescent="0.2">
      <c r="A12" t="str">
        <f>[1]!hospitalinfo[[#This Row],[Facility ID]]</f>
        <v>021301</v>
      </c>
      <c r="B12" t="str">
        <f>[1]!hospitalinfo[[#This Row],[State]]</f>
        <v>AK</v>
      </c>
      <c r="C12" t="str">
        <f>[1]!hospitalinfo[[#This Row],[Hospital Type]]</f>
        <v>Critical Access Hospitals</v>
      </c>
      <c r="D12" t="str">
        <f>[1]!hospitalinfo[[#This Row],[Hospital Ownership]]</f>
        <v>Government - Local</v>
      </c>
      <c r="E12" t="str" cm="1">
        <f t="array" ref="E12">_xlfn.IFNA(_xlfn.XLOOKUP(1,([1]!hcahps[Facility ID] = clean[[#This Row],[Facility ID]]) * ([1]!hcahps[HCAHPS Measure ID] = "H_HSP_RATING_LINEAR_SCORE"), [1]!hcahps[HCAHPS Linear Mean Value]), "No Match")</f>
        <v>Not Available</v>
      </c>
      <c r="F12" t="str" cm="1">
        <f t="array" ref="F12">_xlfn.IFNA(_xlfn.XLOOKUP(1,([1]!readmissions[Facility ID] = clean[[#This Row],[Facility ID]]) * ([1]!readmissions[Measure ID] = "Hybrid_HWR"), [1]!readmissions[Score]), "No Match")</f>
        <v>Not Available</v>
      </c>
    </row>
    <row r="13" spans="1:6" x14ac:dyDescent="0.2">
      <c r="A13" t="str">
        <f>[1]!hospitalinfo[[#This Row],[Facility ID]]</f>
        <v>021302</v>
      </c>
      <c r="B13" t="str">
        <f>[1]!hospitalinfo[[#This Row],[State]]</f>
        <v>AK</v>
      </c>
      <c r="C13" t="str">
        <f>[1]!hospitalinfo[[#This Row],[Hospital Type]]</f>
        <v>Critical Access Hospitals</v>
      </c>
      <c r="D13" t="str">
        <f>[1]!hospitalinfo[[#This Row],[Hospital Ownership]]</f>
        <v>Government - Local</v>
      </c>
      <c r="E13" t="str" cm="1">
        <f t="array" ref="E13">_xlfn.IFNA(_xlfn.XLOOKUP(1,([1]!hcahps[Facility ID] = clean[[#This Row],[Facility ID]]) * ([1]!hcahps[HCAHPS Measure ID] = "H_HSP_RATING_LINEAR_SCORE"), [1]!hcahps[HCAHPS Linear Mean Value]), "No Match")</f>
        <v>Not Available</v>
      </c>
      <c r="F13" t="str" cm="1">
        <f t="array" ref="F13">_xlfn.IFNA(_xlfn.XLOOKUP(1,([1]!readmissions[Facility ID] = clean[[#This Row],[Facility ID]]) * ([1]!readmissions[Measure ID] = "Hybrid_HWR"), [1]!readmissions[Score]), "No Match")</f>
        <v>Not Available</v>
      </c>
    </row>
    <row r="14" spans="1:6" x14ac:dyDescent="0.2">
      <c r="A14" t="str">
        <f>[1]!hospitalinfo[[#This Row],[Facility ID]]</f>
        <v>021304</v>
      </c>
      <c r="B14" t="str">
        <f>[1]!hospitalinfo[[#This Row],[State]]</f>
        <v>AK</v>
      </c>
      <c r="C14" t="str">
        <f>[1]!hospitalinfo[[#This Row],[Hospital Type]]</f>
        <v>Critical Access Hospitals</v>
      </c>
      <c r="D14" t="str">
        <f>[1]!hospitalinfo[[#This Row],[Hospital Ownership]]</f>
        <v>Government - Local</v>
      </c>
      <c r="E14" t="str" cm="1">
        <f t="array" ref="E14">_xlfn.IFNA(_xlfn.XLOOKUP(1,([1]!hcahps[Facility ID] = clean[[#This Row],[Facility ID]]) * ([1]!hcahps[HCAHPS Measure ID] = "H_HSP_RATING_LINEAR_SCORE"), [1]!hcahps[HCAHPS Linear Mean Value]), "No Match")</f>
        <v>Not Available</v>
      </c>
      <c r="F14" cm="1">
        <f t="array" ref="F14">_xlfn.IFNA(_xlfn.XLOOKUP(1,([1]!readmissions[Facility ID] = clean[[#This Row],[Facility ID]]) * ([1]!readmissions[Measure ID] = "Hybrid_HWR"), [1]!readmissions[Score]), "No Match")</f>
        <v>14.6</v>
      </c>
    </row>
    <row r="15" spans="1:6" x14ac:dyDescent="0.2">
      <c r="A15" t="str">
        <f>[1]!hospitalinfo[[#This Row],[Facility ID]]</f>
        <v>021305</v>
      </c>
      <c r="B15" t="str">
        <f>[1]!hospitalinfo[[#This Row],[State]]</f>
        <v>AK</v>
      </c>
      <c r="C15" t="str">
        <f>[1]!hospitalinfo[[#This Row],[Hospital Type]]</f>
        <v>Critical Access Hospitals</v>
      </c>
      <c r="D15" t="str">
        <f>[1]!hospitalinfo[[#This Row],[Hospital Ownership]]</f>
        <v>Tribal</v>
      </c>
      <c r="E15" t="str" cm="1">
        <f t="array" ref="E15">_xlfn.IFNA(_xlfn.XLOOKUP(1,([1]!hcahps[Facility ID] = clean[[#This Row],[Facility ID]]) * ([1]!hcahps[HCAHPS Measure ID] = "H_HSP_RATING_LINEAR_SCORE"), [1]!hcahps[HCAHPS Linear Mean Value]), "No Match")</f>
        <v>Not Available</v>
      </c>
      <c r="F15" cm="1">
        <f t="array" ref="F15">_xlfn.IFNA(_xlfn.XLOOKUP(1,([1]!readmissions[Facility ID] = clean[[#This Row],[Facility ID]]) * ([1]!readmissions[Measure ID] = "Hybrid_HWR"), [1]!readmissions[Score]), "No Match")</f>
        <v>14.7</v>
      </c>
    </row>
    <row r="16" spans="1:6" x14ac:dyDescent="0.2">
      <c r="A16" t="str">
        <f>[1]!hospitalinfo[[#This Row],[Facility ID]]</f>
        <v>021306</v>
      </c>
      <c r="B16" t="str">
        <f>[1]!hospitalinfo[[#This Row],[State]]</f>
        <v>AK</v>
      </c>
      <c r="C16" t="str">
        <f>[1]!hospitalinfo[[#This Row],[Hospital Type]]</f>
        <v>Critical Access Hospitals</v>
      </c>
      <c r="D16" t="str">
        <f>[1]!hospitalinfo[[#This Row],[Hospital Ownership]]</f>
        <v>Voluntary non-profit - Church</v>
      </c>
      <c r="E16" t="str" cm="1">
        <f t="array" ref="E16">_xlfn.IFNA(_xlfn.XLOOKUP(1,([1]!hcahps[Facility ID] = clean[[#This Row],[Facility ID]]) * ([1]!hcahps[HCAHPS Measure ID] = "H_HSP_RATING_LINEAR_SCORE"), [1]!hcahps[HCAHPS Linear Mean Value]), "No Match")</f>
        <v>Not Available</v>
      </c>
      <c r="F16" cm="1">
        <f t="array" ref="F16">_xlfn.IFNA(_xlfn.XLOOKUP(1,([1]!readmissions[Facility ID] = clean[[#This Row],[Facility ID]]) * ([1]!readmissions[Measure ID] = "Hybrid_HWR"), [1]!readmissions[Score]), "No Match")</f>
        <v>14.8</v>
      </c>
    </row>
    <row r="17" spans="1:6" x14ac:dyDescent="0.2">
      <c r="A17" t="str">
        <f>[1]!hospitalinfo[[#This Row],[Facility ID]]</f>
        <v>021307</v>
      </c>
      <c r="B17" t="str">
        <f>[1]!hospitalinfo[[#This Row],[State]]</f>
        <v>AK</v>
      </c>
      <c r="C17" t="str">
        <f>[1]!hospitalinfo[[#This Row],[Hospital Type]]</f>
        <v>Critical Access Hospitals</v>
      </c>
      <c r="D17" t="str">
        <f>[1]!hospitalinfo[[#This Row],[Hospital Ownership]]</f>
        <v>Government - Local</v>
      </c>
      <c r="E17" t="str" cm="1">
        <f t="array" ref="E17">_xlfn.IFNA(_xlfn.XLOOKUP(1,([1]!hcahps[Facility ID] = clean[[#This Row],[Facility ID]]) * ([1]!hcahps[HCAHPS Measure ID] = "H_HSP_RATING_LINEAR_SCORE"), [1]!hcahps[HCAHPS Linear Mean Value]), "No Match")</f>
        <v>Not Available</v>
      </c>
      <c r="F17" t="str" cm="1">
        <f t="array" ref="F17">_xlfn.IFNA(_xlfn.XLOOKUP(1,([1]!readmissions[Facility ID] = clean[[#This Row],[Facility ID]]) * ([1]!readmissions[Measure ID] = "Hybrid_HWR"), [1]!readmissions[Score]), "No Match")</f>
        <v>Not Available</v>
      </c>
    </row>
    <row r="18" spans="1:6" x14ac:dyDescent="0.2">
      <c r="A18" t="str">
        <f>[1]!hospitalinfo[[#This Row],[Facility ID]]</f>
        <v>021308</v>
      </c>
      <c r="B18" t="str">
        <f>[1]!hospitalinfo[[#This Row],[State]]</f>
        <v>AK</v>
      </c>
      <c r="C18" t="str">
        <f>[1]!hospitalinfo[[#This Row],[Hospital Type]]</f>
        <v>Critical Access Hospitals</v>
      </c>
      <c r="D18" t="str">
        <f>[1]!hospitalinfo[[#This Row],[Hospital Ownership]]</f>
        <v>Tribal</v>
      </c>
      <c r="E18" t="str" cm="1">
        <f t="array" ref="E18">_xlfn.IFNA(_xlfn.XLOOKUP(1,([1]!hcahps[Facility ID] = clean[[#This Row],[Facility ID]]) * ([1]!hcahps[HCAHPS Measure ID] = "H_HSP_RATING_LINEAR_SCORE"), [1]!hcahps[HCAHPS Linear Mean Value]), "No Match")</f>
        <v>Not Available</v>
      </c>
      <c r="F18" cm="1">
        <f t="array" ref="F18">_xlfn.IFNA(_xlfn.XLOOKUP(1,([1]!readmissions[Facility ID] = clean[[#This Row],[Facility ID]]) * ([1]!readmissions[Measure ID] = "Hybrid_HWR"), [1]!readmissions[Score]), "No Match")</f>
        <v>15.1</v>
      </c>
    </row>
    <row r="19" spans="1:6" x14ac:dyDescent="0.2">
      <c r="A19" t="str">
        <f>[1]!hospitalinfo[[#This Row],[Facility ID]]</f>
        <v>021309</v>
      </c>
      <c r="B19" t="str">
        <f>[1]!hospitalinfo[[#This Row],[State]]</f>
        <v>AK</v>
      </c>
      <c r="C19" t="str">
        <f>[1]!hospitalinfo[[#This Row],[Hospital Type]]</f>
        <v>Critical Access Hospitals</v>
      </c>
      <c r="D19" t="str">
        <f>[1]!hospitalinfo[[#This Row],[Hospital Ownership]]</f>
        <v>Voluntary non-profit - Private</v>
      </c>
      <c r="E19" t="str" cm="1">
        <f t="array" ref="E19">_xlfn.IFNA(_xlfn.XLOOKUP(1,([1]!hcahps[Facility ID] = clean[[#This Row],[Facility ID]]) * ([1]!hcahps[HCAHPS Measure ID] = "H_HSP_RATING_LINEAR_SCORE"), [1]!hcahps[HCAHPS Linear Mean Value]), "No Match")</f>
        <v>Not Available</v>
      </c>
      <c r="F19" cm="1">
        <f t="array" ref="F19">_xlfn.IFNA(_xlfn.XLOOKUP(1,([1]!readmissions[Facility ID] = clean[[#This Row],[Facility ID]]) * ([1]!readmissions[Measure ID] = "Hybrid_HWR"), [1]!readmissions[Score]), "No Match")</f>
        <v>14.9</v>
      </c>
    </row>
    <row r="20" spans="1:6" x14ac:dyDescent="0.2">
      <c r="A20" t="str">
        <f>[1]!hospitalinfo[[#This Row],[Facility ID]]</f>
        <v>021310</v>
      </c>
      <c r="B20" t="str">
        <f>[1]!hospitalinfo[[#This Row],[State]]</f>
        <v>AK</v>
      </c>
      <c r="C20" t="str">
        <f>[1]!hospitalinfo[[#This Row],[Hospital Type]]</f>
        <v>Critical Access Hospitals</v>
      </c>
      <c r="D20" t="str">
        <f>[1]!hospitalinfo[[#This Row],[Hospital Ownership]]</f>
        <v>Tribal</v>
      </c>
      <c r="E20" t="str" cm="1">
        <f t="array" ref="E20">_xlfn.IFNA(_xlfn.XLOOKUP(1,([1]!hcahps[Facility ID] = clean[[#This Row],[Facility ID]]) * ([1]!hcahps[HCAHPS Measure ID] = "H_HSP_RATING_LINEAR_SCORE"), [1]!hcahps[HCAHPS Linear Mean Value]), "No Match")</f>
        <v>Not Available</v>
      </c>
      <c r="F20" t="str" cm="1">
        <f t="array" ref="F20">_xlfn.IFNA(_xlfn.XLOOKUP(1,([1]!readmissions[Facility ID] = clean[[#This Row],[Facility ID]]) * ([1]!readmissions[Measure ID] = "Hybrid_HWR"), [1]!readmissions[Score]), "No Match")</f>
        <v>Not Available</v>
      </c>
    </row>
    <row r="21" spans="1:6" x14ac:dyDescent="0.2">
      <c r="A21" t="str">
        <f>[1]!hospitalinfo[[#This Row],[Facility ID]]</f>
        <v>021311</v>
      </c>
      <c r="B21" t="str">
        <f>[1]!hospitalinfo[[#This Row],[State]]</f>
        <v>AK</v>
      </c>
      <c r="C21" t="str">
        <f>[1]!hospitalinfo[[#This Row],[Hospital Type]]</f>
        <v>Critical Access Hospitals</v>
      </c>
      <c r="D21" t="str">
        <f>[1]!hospitalinfo[[#This Row],[Hospital Ownership]]</f>
        <v>Voluntary non-profit - Church</v>
      </c>
      <c r="E21" cm="1">
        <f t="array" ref="E21">_xlfn.IFNA(_xlfn.XLOOKUP(1,([1]!hcahps[Facility ID] = clean[[#This Row],[Facility ID]]) * ([1]!hcahps[HCAHPS Measure ID] = "H_HSP_RATING_LINEAR_SCORE"), [1]!hcahps[HCAHPS Linear Mean Value]), "No Match")</f>
        <v>90</v>
      </c>
      <c r="F21" cm="1">
        <f t="array" ref="F21">_xlfn.IFNA(_xlfn.XLOOKUP(1,([1]!readmissions[Facility ID] = clean[[#This Row],[Facility ID]]) * ([1]!readmissions[Measure ID] = "Hybrid_HWR"), [1]!readmissions[Score]), "No Match")</f>
        <v>14.7</v>
      </c>
    </row>
    <row r="22" spans="1:6" x14ac:dyDescent="0.2">
      <c r="A22" t="str">
        <f>[1]!hospitalinfo[[#This Row],[Facility ID]]</f>
        <v>021312</v>
      </c>
      <c r="B22" t="str">
        <f>[1]!hospitalinfo[[#This Row],[State]]</f>
        <v>AK</v>
      </c>
      <c r="C22" t="str">
        <f>[1]!hospitalinfo[[#This Row],[Hospital Type]]</f>
        <v>Critical Access Hospitals</v>
      </c>
      <c r="D22" t="str">
        <f>[1]!hospitalinfo[[#This Row],[Hospital Ownership]]</f>
        <v>Tribal</v>
      </c>
      <c r="E22" t="str" cm="1">
        <f t="array" ref="E22">_xlfn.IFNA(_xlfn.XLOOKUP(1,([1]!hcahps[Facility ID] = clean[[#This Row],[Facility ID]]) * ([1]!hcahps[HCAHPS Measure ID] = "H_HSP_RATING_LINEAR_SCORE"), [1]!hcahps[HCAHPS Linear Mean Value]), "No Match")</f>
        <v>Not Available</v>
      </c>
      <c r="F22" cm="1">
        <f t="array" ref="F22">_xlfn.IFNA(_xlfn.XLOOKUP(1,([1]!readmissions[Facility ID] = clean[[#This Row],[Facility ID]]) * ([1]!readmissions[Measure ID] = "Hybrid_HWR"), [1]!readmissions[Score]), "No Match")</f>
        <v>16.3</v>
      </c>
    </row>
    <row r="23" spans="1:6" x14ac:dyDescent="0.2">
      <c r="A23" t="str">
        <f>[1]!hospitalinfo[[#This Row],[Facility ID]]</f>
        <v>021313</v>
      </c>
      <c r="B23" t="str">
        <f>[1]!hospitalinfo[[#This Row],[State]]</f>
        <v>AK</v>
      </c>
      <c r="C23" t="str">
        <f>[1]!hospitalinfo[[#This Row],[Hospital Type]]</f>
        <v>Critical Access Hospitals</v>
      </c>
      <c r="D23" t="str">
        <f>[1]!hospitalinfo[[#This Row],[Hospital Ownership]]</f>
        <v>Voluntary non-profit - Private</v>
      </c>
      <c r="E23" t="str" cm="1">
        <f t="array" ref="E23">_xlfn.IFNA(_xlfn.XLOOKUP(1,([1]!hcahps[Facility ID] = clean[[#This Row],[Facility ID]]) * ([1]!hcahps[HCAHPS Measure ID] = "H_HSP_RATING_LINEAR_SCORE"), [1]!hcahps[HCAHPS Linear Mean Value]), "No Match")</f>
        <v>Not Available</v>
      </c>
      <c r="F23" cm="1">
        <f t="array" ref="F23">_xlfn.IFNA(_xlfn.XLOOKUP(1,([1]!readmissions[Facility ID] = clean[[#This Row],[Facility ID]]) * ([1]!readmissions[Measure ID] = "Hybrid_HWR"), [1]!readmissions[Score]), "No Match")</f>
        <v>15</v>
      </c>
    </row>
    <row r="24" spans="1:6" x14ac:dyDescent="0.2">
      <c r="A24" t="str">
        <f>[1]!hospitalinfo[[#This Row],[Facility ID]]</f>
        <v>021314</v>
      </c>
      <c r="B24" t="str">
        <f>[1]!hospitalinfo[[#This Row],[State]]</f>
        <v>AK</v>
      </c>
      <c r="C24" t="str">
        <f>[1]!hospitalinfo[[#This Row],[Hospital Type]]</f>
        <v>Critical Access Hospitals</v>
      </c>
      <c r="D24" t="str">
        <f>[1]!hospitalinfo[[#This Row],[Hospital Ownership]]</f>
        <v>Tribal</v>
      </c>
      <c r="E24" t="str" cm="1">
        <f t="array" ref="E24">_xlfn.IFNA(_xlfn.XLOOKUP(1,([1]!hcahps[Facility ID] = clean[[#This Row],[Facility ID]]) * ([1]!hcahps[HCAHPS Measure ID] = "H_HSP_RATING_LINEAR_SCORE"), [1]!hcahps[HCAHPS Linear Mean Value]), "No Match")</f>
        <v>Not Available</v>
      </c>
      <c r="F24" cm="1">
        <f t="array" ref="F24">_xlfn.IFNA(_xlfn.XLOOKUP(1,([1]!readmissions[Facility ID] = clean[[#This Row],[Facility ID]]) * ([1]!readmissions[Measure ID] = "Hybrid_HWR"), [1]!readmissions[Score]), "No Match")</f>
        <v>14.6</v>
      </c>
    </row>
    <row r="25" spans="1:6" x14ac:dyDescent="0.2">
      <c r="A25" t="str">
        <f>[1]!hospitalinfo[[#This Row],[Facility ID]]</f>
        <v>024001</v>
      </c>
      <c r="B25" t="str">
        <f>[1]!hospitalinfo[[#This Row],[State]]</f>
        <v>AK</v>
      </c>
      <c r="C25" t="str">
        <f>[1]!hospitalinfo[[#This Row],[Hospital Type]]</f>
        <v>Psychiatric</v>
      </c>
      <c r="D25" t="str">
        <f>[1]!hospitalinfo[[#This Row],[Hospital Ownership]]</f>
        <v>Proprietary</v>
      </c>
      <c r="E25" t="str" cm="1">
        <f t="array" ref="E25">_xlfn.IFNA(_xlfn.XLOOKUP(1,([1]!hcahps[Facility ID] = clean[[#This Row],[Facility ID]]) * ([1]!hcahps[HCAHPS Measure ID] = "H_HSP_RATING_LINEAR_SCORE"), [1]!hcahps[HCAHPS Linear Mean Value]), "No Match")</f>
        <v>No Match</v>
      </c>
      <c r="F25" t="str" cm="1">
        <f t="array" ref="F25">_xlfn.IFNA(_xlfn.XLOOKUP(1,([1]!readmissions[Facility ID] = clean[[#This Row],[Facility ID]]) * ([1]!readmissions[Measure ID] = "Hybrid_HWR"), [1]!readmissions[Score]), "No Match")</f>
        <v>No Match</v>
      </c>
    </row>
    <row r="26" spans="1:6" x14ac:dyDescent="0.2">
      <c r="A26" t="str">
        <f>[1]!hospitalinfo[[#This Row],[Facility ID]]</f>
        <v>024002</v>
      </c>
      <c r="B26" t="str">
        <f>[1]!hospitalinfo[[#This Row],[State]]</f>
        <v>AK</v>
      </c>
      <c r="C26" t="str">
        <f>[1]!hospitalinfo[[#This Row],[Hospital Type]]</f>
        <v>Psychiatric</v>
      </c>
      <c r="D26" t="str">
        <f>[1]!hospitalinfo[[#This Row],[Hospital Ownership]]</f>
        <v>Government - State</v>
      </c>
      <c r="E26" t="str" cm="1">
        <f t="array" ref="E26">_xlfn.IFNA(_xlfn.XLOOKUP(1,([1]!hcahps[Facility ID] = clean[[#This Row],[Facility ID]]) * ([1]!hcahps[HCAHPS Measure ID] = "H_HSP_RATING_LINEAR_SCORE"), [1]!hcahps[HCAHPS Linear Mean Value]), "No Match")</f>
        <v>No Match</v>
      </c>
      <c r="F26" t="str" cm="1">
        <f t="array" ref="F26">_xlfn.IFNA(_xlfn.XLOOKUP(1,([1]!readmissions[Facility ID] = clean[[#This Row],[Facility ID]]) * ([1]!readmissions[Measure ID] = "Hybrid_HWR"), [1]!readmissions[Score]), "No Match")</f>
        <v>No Match</v>
      </c>
    </row>
    <row r="27" spans="1:6" x14ac:dyDescent="0.2">
      <c r="A27" t="str">
        <f>[1]!hospitalinfo[[#This Row],[Facility ID]]</f>
        <v>010001</v>
      </c>
      <c r="B27" t="str">
        <f>[1]!hospitalinfo[[#This Row],[State]]</f>
        <v>AL</v>
      </c>
      <c r="C27" t="str">
        <f>[1]!hospitalinfo[[#This Row],[Hospital Type]]</f>
        <v>Acute Care Hospitals</v>
      </c>
      <c r="D27" t="str">
        <f>[1]!hospitalinfo[[#This Row],[Hospital Ownership]]</f>
        <v>Government - Hospital District or Authority</v>
      </c>
      <c r="E27" cm="1">
        <f t="array" ref="E27">_xlfn.IFNA(_xlfn.XLOOKUP(1,([1]!hcahps[Facility ID] = clean[[#This Row],[Facility ID]]) * ([1]!hcahps[HCAHPS Measure ID] = "H_HSP_RATING_LINEAR_SCORE"), [1]!hcahps[HCAHPS Linear Mean Value]), "No Match")</f>
        <v>89</v>
      </c>
      <c r="F27" cm="1">
        <f t="array" ref="F27">_xlfn.IFNA(_xlfn.XLOOKUP(1,([1]!readmissions[Facility ID] = clean[[#This Row],[Facility ID]]) * ([1]!readmissions[Measure ID] = "Hybrid_HWR"), [1]!readmissions[Score]), "No Match")</f>
        <v>15.1</v>
      </c>
    </row>
    <row r="28" spans="1:6" x14ac:dyDescent="0.2">
      <c r="A28" t="str">
        <f>[1]!hospitalinfo[[#This Row],[Facility ID]]</f>
        <v>010005</v>
      </c>
      <c r="B28" t="str">
        <f>[1]!hospitalinfo[[#This Row],[State]]</f>
        <v>AL</v>
      </c>
      <c r="C28" t="str">
        <f>[1]!hospitalinfo[[#This Row],[Hospital Type]]</f>
        <v>Acute Care Hospitals</v>
      </c>
      <c r="D28" t="str">
        <f>[1]!hospitalinfo[[#This Row],[Hospital Ownership]]</f>
        <v>Government - Hospital District or Authority</v>
      </c>
      <c r="E28" cm="1">
        <f t="array" ref="E28">_xlfn.IFNA(_xlfn.XLOOKUP(1,([1]!hcahps[Facility ID] = clean[[#This Row],[Facility ID]]) * ([1]!hcahps[HCAHPS Measure ID] = "H_HSP_RATING_LINEAR_SCORE"), [1]!hcahps[HCAHPS Linear Mean Value]), "No Match")</f>
        <v>86</v>
      </c>
      <c r="F28" cm="1">
        <f t="array" ref="F28">_xlfn.IFNA(_xlfn.XLOOKUP(1,([1]!readmissions[Facility ID] = clean[[#This Row],[Facility ID]]) * ([1]!readmissions[Measure ID] = "Hybrid_HWR"), [1]!readmissions[Score]), "No Match")</f>
        <v>13.3</v>
      </c>
    </row>
    <row r="29" spans="1:6" x14ac:dyDescent="0.2">
      <c r="A29" t="str">
        <f>[1]!hospitalinfo[[#This Row],[Facility ID]]</f>
        <v>010006</v>
      </c>
      <c r="B29" t="str">
        <f>[1]!hospitalinfo[[#This Row],[State]]</f>
        <v>AL</v>
      </c>
      <c r="C29" t="str">
        <f>[1]!hospitalinfo[[#This Row],[Hospital Type]]</f>
        <v>Acute Care Hospitals</v>
      </c>
      <c r="D29" t="str">
        <f>[1]!hospitalinfo[[#This Row],[Hospital Ownership]]</f>
        <v>Proprietary</v>
      </c>
      <c r="E29" cm="1">
        <f t="array" ref="E29">_xlfn.IFNA(_xlfn.XLOOKUP(1,([1]!hcahps[Facility ID] = clean[[#This Row],[Facility ID]]) * ([1]!hcahps[HCAHPS Measure ID] = "H_HSP_RATING_LINEAR_SCORE"), [1]!hcahps[HCAHPS Linear Mean Value]), "No Match")</f>
        <v>83</v>
      </c>
      <c r="F29" cm="1">
        <f t="array" ref="F29">_xlfn.IFNA(_xlfn.XLOOKUP(1,([1]!readmissions[Facility ID] = clean[[#This Row],[Facility ID]]) * ([1]!readmissions[Measure ID] = "Hybrid_HWR"), [1]!readmissions[Score]), "No Match")</f>
        <v>15.9</v>
      </c>
    </row>
    <row r="30" spans="1:6" x14ac:dyDescent="0.2">
      <c r="A30" t="str">
        <f>[1]!hospitalinfo[[#This Row],[Facility ID]]</f>
        <v>010007</v>
      </c>
      <c r="B30" t="str">
        <f>[1]!hospitalinfo[[#This Row],[State]]</f>
        <v>AL</v>
      </c>
      <c r="C30" t="str">
        <f>[1]!hospitalinfo[[#This Row],[Hospital Type]]</f>
        <v>Acute Care Hospitals</v>
      </c>
      <c r="D30" t="str">
        <f>[1]!hospitalinfo[[#This Row],[Hospital Ownership]]</f>
        <v>Voluntary non-profit - Private</v>
      </c>
      <c r="E30" t="str" cm="1">
        <f t="array" ref="E30">_xlfn.IFNA(_xlfn.XLOOKUP(1,([1]!hcahps[Facility ID] = clean[[#This Row],[Facility ID]]) * ([1]!hcahps[HCAHPS Measure ID] = "H_HSP_RATING_LINEAR_SCORE"), [1]!hcahps[HCAHPS Linear Mean Value]), "No Match")</f>
        <v>Not Available</v>
      </c>
      <c r="F30" cm="1">
        <f t="array" ref="F30">_xlfn.IFNA(_xlfn.XLOOKUP(1,([1]!readmissions[Facility ID] = clean[[#This Row],[Facility ID]]) * ([1]!readmissions[Measure ID] = "Hybrid_HWR"), [1]!readmissions[Score]), "No Match")</f>
        <v>15.4</v>
      </c>
    </row>
    <row r="31" spans="1:6" x14ac:dyDescent="0.2">
      <c r="A31" t="str">
        <f>[1]!hospitalinfo[[#This Row],[Facility ID]]</f>
        <v>010011</v>
      </c>
      <c r="B31" t="str">
        <f>[1]!hospitalinfo[[#This Row],[State]]</f>
        <v>AL</v>
      </c>
      <c r="C31" t="str">
        <f>[1]!hospitalinfo[[#This Row],[Hospital Type]]</f>
        <v>Acute Care Hospitals</v>
      </c>
      <c r="D31" t="str">
        <f>[1]!hospitalinfo[[#This Row],[Hospital Ownership]]</f>
        <v>Voluntary non-profit - Private</v>
      </c>
      <c r="E31" cm="1">
        <f t="array" ref="E31">_xlfn.IFNA(_xlfn.XLOOKUP(1,([1]!hcahps[Facility ID] = clean[[#This Row],[Facility ID]]) * ([1]!hcahps[HCAHPS Measure ID] = "H_HSP_RATING_LINEAR_SCORE"), [1]!hcahps[HCAHPS Linear Mean Value]), "No Match")</f>
        <v>87</v>
      </c>
      <c r="F31" cm="1">
        <f t="array" ref="F31">_xlfn.IFNA(_xlfn.XLOOKUP(1,([1]!readmissions[Facility ID] = clean[[#This Row],[Facility ID]]) * ([1]!readmissions[Measure ID] = "Hybrid_HWR"), [1]!readmissions[Score]), "No Match")</f>
        <v>14.6</v>
      </c>
    </row>
    <row r="32" spans="1:6" x14ac:dyDescent="0.2">
      <c r="A32" t="str">
        <f>[1]!hospitalinfo[[#This Row],[Facility ID]]</f>
        <v>010012</v>
      </c>
      <c r="B32" t="str">
        <f>[1]!hospitalinfo[[#This Row],[State]]</f>
        <v>AL</v>
      </c>
      <c r="C32" t="str">
        <f>[1]!hospitalinfo[[#This Row],[Hospital Type]]</f>
        <v>Acute Care Hospitals</v>
      </c>
      <c r="D32" t="str">
        <f>[1]!hospitalinfo[[#This Row],[Hospital Ownership]]</f>
        <v>Proprietary</v>
      </c>
      <c r="E32" cm="1">
        <f t="array" ref="E32">_xlfn.IFNA(_xlfn.XLOOKUP(1,([1]!hcahps[Facility ID] = clean[[#This Row],[Facility ID]]) * ([1]!hcahps[HCAHPS Measure ID] = "H_HSP_RATING_LINEAR_SCORE"), [1]!hcahps[HCAHPS Linear Mean Value]), "No Match")</f>
        <v>84</v>
      </c>
      <c r="F32" cm="1">
        <f t="array" ref="F32">_xlfn.IFNA(_xlfn.XLOOKUP(1,([1]!readmissions[Facility ID] = clean[[#This Row],[Facility ID]]) * ([1]!readmissions[Measure ID] = "Hybrid_HWR"), [1]!readmissions[Score]), "No Match")</f>
        <v>15.1</v>
      </c>
    </row>
    <row r="33" spans="1:6" x14ac:dyDescent="0.2">
      <c r="A33" t="str">
        <f>[1]!hospitalinfo[[#This Row],[Facility ID]]</f>
        <v>010016</v>
      </c>
      <c r="B33" t="str">
        <f>[1]!hospitalinfo[[#This Row],[State]]</f>
        <v>AL</v>
      </c>
      <c r="C33" t="str">
        <f>[1]!hospitalinfo[[#This Row],[Hospital Type]]</f>
        <v>Acute Care Hospitals</v>
      </c>
      <c r="D33" t="str">
        <f>[1]!hospitalinfo[[#This Row],[Hospital Ownership]]</f>
        <v>Voluntary non-profit - Private</v>
      </c>
      <c r="E33" cm="1">
        <f t="array" ref="E33">_xlfn.IFNA(_xlfn.XLOOKUP(1,([1]!hcahps[Facility ID] = clean[[#This Row],[Facility ID]]) * ([1]!hcahps[HCAHPS Measure ID] = "H_HSP_RATING_LINEAR_SCORE"), [1]!hcahps[HCAHPS Linear Mean Value]), "No Match")</f>
        <v>84</v>
      </c>
      <c r="F33" cm="1">
        <f t="array" ref="F33">_xlfn.IFNA(_xlfn.XLOOKUP(1,([1]!readmissions[Facility ID] = clean[[#This Row],[Facility ID]]) * ([1]!readmissions[Measure ID] = "Hybrid_HWR"), [1]!readmissions[Score]), "No Match")</f>
        <v>14</v>
      </c>
    </row>
    <row r="34" spans="1:6" x14ac:dyDescent="0.2">
      <c r="A34" t="str">
        <f>[1]!hospitalinfo[[#This Row],[Facility ID]]</f>
        <v>010018</v>
      </c>
      <c r="B34" t="str">
        <f>[1]!hospitalinfo[[#This Row],[State]]</f>
        <v>AL</v>
      </c>
      <c r="C34" t="str">
        <f>[1]!hospitalinfo[[#This Row],[Hospital Type]]</f>
        <v>Acute Care Hospitals</v>
      </c>
      <c r="D34" t="str">
        <f>[1]!hospitalinfo[[#This Row],[Hospital Ownership]]</f>
        <v>Voluntary non-profit - Private</v>
      </c>
      <c r="E34" t="str" cm="1">
        <f t="array" ref="E34">_xlfn.IFNA(_xlfn.XLOOKUP(1,([1]!hcahps[Facility ID] = clean[[#This Row],[Facility ID]]) * ([1]!hcahps[HCAHPS Measure ID] = "H_HSP_RATING_LINEAR_SCORE"), [1]!hcahps[HCAHPS Linear Mean Value]), "No Match")</f>
        <v>Not Available</v>
      </c>
      <c r="F34" t="str" cm="1">
        <f t="array" ref="F34">_xlfn.IFNA(_xlfn.XLOOKUP(1,([1]!readmissions[Facility ID] = clean[[#This Row],[Facility ID]]) * ([1]!readmissions[Measure ID] = "Hybrid_HWR"), [1]!readmissions[Score]), "No Match")</f>
        <v>Not Available</v>
      </c>
    </row>
    <row r="35" spans="1:6" x14ac:dyDescent="0.2">
      <c r="A35" t="str">
        <f>[1]!hospitalinfo[[#This Row],[Facility ID]]</f>
        <v>010019</v>
      </c>
      <c r="B35" t="str">
        <f>[1]!hospitalinfo[[#This Row],[State]]</f>
        <v>AL</v>
      </c>
      <c r="C35" t="str">
        <f>[1]!hospitalinfo[[#This Row],[Hospital Type]]</f>
        <v>Acute Care Hospitals</v>
      </c>
      <c r="D35" t="str">
        <f>[1]!hospitalinfo[[#This Row],[Hospital Ownership]]</f>
        <v>Government - Hospital District or Authority</v>
      </c>
      <c r="E35" cm="1">
        <f t="array" ref="E35">_xlfn.IFNA(_xlfn.XLOOKUP(1,([1]!hcahps[Facility ID] = clean[[#This Row],[Facility ID]]) * ([1]!hcahps[HCAHPS Measure ID] = "H_HSP_RATING_LINEAR_SCORE"), [1]!hcahps[HCAHPS Linear Mean Value]), "No Match")</f>
        <v>90</v>
      </c>
      <c r="F35" cm="1">
        <f t="array" ref="F35">_xlfn.IFNA(_xlfn.XLOOKUP(1,([1]!readmissions[Facility ID] = clean[[#This Row],[Facility ID]]) * ([1]!readmissions[Measure ID] = "Hybrid_HWR"), [1]!readmissions[Score]), "No Match")</f>
        <v>16</v>
      </c>
    </row>
    <row r="36" spans="1:6" x14ac:dyDescent="0.2">
      <c r="A36" t="str">
        <f>[1]!hospitalinfo[[#This Row],[Facility ID]]</f>
        <v>010021</v>
      </c>
      <c r="B36" t="str">
        <f>[1]!hospitalinfo[[#This Row],[State]]</f>
        <v>AL</v>
      </c>
      <c r="C36" t="str">
        <f>[1]!hospitalinfo[[#This Row],[Hospital Type]]</f>
        <v>Acute Care Hospitals</v>
      </c>
      <c r="D36" t="str">
        <f>[1]!hospitalinfo[[#This Row],[Hospital Ownership]]</f>
        <v>Government - Hospital District or Authority</v>
      </c>
      <c r="E36" t="str" cm="1">
        <f t="array" ref="E36">_xlfn.IFNA(_xlfn.XLOOKUP(1,([1]!hcahps[Facility ID] = clean[[#This Row],[Facility ID]]) * ([1]!hcahps[HCAHPS Measure ID] = "H_HSP_RATING_LINEAR_SCORE"), [1]!hcahps[HCAHPS Linear Mean Value]), "No Match")</f>
        <v>Not Available</v>
      </c>
      <c r="F36" cm="1">
        <f t="array" ref="F36">_xlfn.IFNA(_xlfn.XLOOKUP(1,([1]!readmissions[Facility ID] = clean[[#This Row],[Facility ID]]) * ([1]!readmissions[Measure ID] = "Hybrid_HWR"), [1]!readmissions[Score]), "No Match")</f>
        <v>14.8</v>
      </c>
    </row>
    <row r="37" spans="1:6" x14ac:dyDescent="0.2">
      <c r="A37" t="str">
        <f>[1]!hospitalinfo[[#This Row],[Facility ID]]</f>
        <v>010022</v>
      </c>
      <c r="B37" t="str">
        <f>[1]!hospitalinfo[[#This Row],[State]]</f>
        <v>AL</v>
      </c>
      <c r="C37" t="str">
        <f>[1]!hospitalinfo[[#This Row],[Hospital Type]]</f>
        <v>Acute Care Hospitals</v>
      </c>
      <c r="D37" t="str">
        <f>[1]!hospitalinfo[[#This Row],[Hospital Ownership]]</f>
        <v>Proprietary</v>
      </c>
      <c r="E37" t="str" cm="1">
        <f t="array" ref="E37">_xlfn.IFNA(_xlfn.XLOOKUP(1,([1]!hcahps[Facility ID] = clean[[#This Row],[Facility ID]]) * ([1]!hcahps[HCAHPS Measure ID] = "H_HSP_RATING_LINEAR_SCORE"), [1]!hcahps[HCAHPS Linear Mean Value]), "No Match")</f>
        <v>Not Available</v>
      </c>
      <c r="F37" cm="1">
        <f t="array" ref="F37">_xlfn.IFNA(_xlfn.XLOOKUP(1,([1]!readmissions[Facility ID] = clean[[#This Row],[Facility ID]]) * ([1]!readmissions[Measure ID] = "Hybrid_HWR"), [1]!readmissions[Score]), "No Match")</f>
        <v>15.1</v>
      </c>
    </row>
    <row r="38" spans="1:6" x14ac:dyDescent="0.2">
      <c r="A38" t="str">
        <f>[1]!hospitalinfo[[#This Row],[Facility ID]]</f>
        <v>010023</v>
      </c>
      <c r="B38" t="str">
        <f>[1]!hospitalinfo[[#This Row],[State]]</f>
        <v>AL</v>
      </c>
      <c r="C38" t="str">
        <f>[1]!hospitalinfo[[#This Row],[Hospital Type]]</f>
        <v>Acute Care Hospitals</v>
      </c>
      <c r="D38" t="str">
        <f>[1]!hospitalinfo[[#This Row],[Hospital Ownership]]</f>
        <v>Government - Hospital District or Authority</v>
      </c>
      <c r="E38" cm="1">
        <f t="array" ref="E38">_xlfn.IFNA(_xlfn.XLOOKUP(1,([1]!hcahps[Facility ID] = clean[[#This Row],[Facility ID]]) * ([1]!hcahps[HCAHPS Measure ID] = "H_HSP_RATING_LINEAR_SCORE"), [1]!hcahps[HCAHPS Linear Mean Value]), "No Match")</f>
        <v>87</v>
      </c>
      <c r="F38" cm="1">
        <f t="array" ref="F38">_xlfn.IFNA(_xlfn.XLOOKUP(1,([1]!readmissions[Facility ID] = clean[[#This Row],[Facility ID]]) * ([1]!readmissions[Measure ID] = "Hybrid_HWR"), [1]!readmissions[Score]), "No Match")</f>
        <v>15</v>
      </c>
    </row>
    <row r="39" spans="1:6" x14ac:dyDescent="0.2">
      <c r="A39" t="str">
        <f>[1]!hospitalinfo[[#This Row],[Facility ID]]</f>
        <v>010024</v>
      </c>
      <c r="B39" t="str">
        <f>[1]!hospitalinfo[[#This Row],[State]]</f>
        <v>AL</v>
      </c>
      <c r="C39" t="str">
        <f>[1]!hospitalinfo[[#This Row],[Hospital Type]]</f>
        <v>Acute Care Hospitals</v>
      </c>
      <c r="D39" t="str">
        <f>[1]!hospitalinfo[[#This Row],[Hospital Ownership]]</f>
        <v>Voluntary non-profit - Private</v>
      </c>
      <c r="E39" cm="1">
        <f t="array" ref="E39">_xlfn.IFNA(_xlfn.XLOOKUP(1,([1]!hcahps[Facility ID] = clean[[#This Row],[Facility ID]]) * ([1]!hcahps[HCAHPS Measure ID] = "H_HSP_RATING_LINEAR_SCORE"), [1]!hcahps[HCAHPS Linear Mean Value]), "No Match")</f>
        <v>87</v>
      </c>
      <c r="F39" cm="1">
        <f t="array" ref="F39">_xlfn.IFNA(_xlfn.XLOOKUP(1,([1]!readmissions[Facility ID] = clean[[#This Row],[Facility ID]]) * ([1]!readmissions[Measure ID] = "Hybrid_HWR"), [1]!readmissions[Score]), "No Match")</f>
        <v>15.8</v>
      </c>
    </row>
    <row r="40" spans="1:6" x14ac:dyDescent="0.2">
      <c r="A40" t="str">
        <f>[1]!hospitalinfo[[#This Row],[Facility ID]]</f>
        <v>010029</v>
      </c>
      <c r="B40" t="str">
        <f>[1]!hospitalinfo[[#This Row],[State]]</f>
        <v>AL</v>
      </c>
      <c r="C40" t="str">
        <f>[1]!hospitalinfo[[#This Row],[Hospital Type]]</f>
        <v>Acute Care Hospitals</v>
      </c>
      <c r="D40" t="str">
        <f>[1]!hospitalinfo[[#This Row],[Hospital Ownership]]</f>
        <v>Government - Hospital District or Authority</v>
      </c>
      <c r="E40" cm="1">
        <f t="array" ref="E40">_xlfn.IFNA(_xlfn.XLOOKUP(1,([1]!hcahps[Facility ID] = clean[[#This Row],[Facility ID]]) * ([1]!hcahps[HCAHPS Measure ID] = "H_HSP_RATING_LINEAR_SCORE"), [1]!hcahps[HCAHPS Linear Mean Value]), "No Match")</f>
        <v>90</v>
      </c>
      <c r="F40" cm="1">
        <f t="array" ref="F40">_xlfn.IFNA(_xlfn.XLOOKUP(1,([1]!readmissions[Facility ID] = clean[[#This Row],[Facility ID]]) * ([1]!readmissions[Measure ID] = "Hybrid_HWR"), [1]!readmissions[Score]), "No Match")</f>
        <v>14.4</v>
      </c>
    </row>
    <row r="41" spans="1:6" x14ac:dyDescent="0.2">
      <c r="A41" t="str">
        <f>[1]!hospitalinfo[[#This Row],[Facility ID]]</f>
        <v>010033</v>
      </c>
      <c r="B41" t="str">
        <f>[1]!hospitalinfo[[#This Row],[State]]</f>
        <v>AL</v>
      </c>
      <c r="C41" t="str">
        <f>[1]!hospitalinfo[[#This Row],[Hospital Type]]</f>
        <v>Acute Care Hospitals</v>
      </c>
      <c r="D41" t="str">
        <f>[1]!hospitalinfo[[#This Row],[Hospital Ownership]]</f>
        <v>Government - State</v>
      </c>
      <c r="E41" cm="1">
        <f t="array" ref="E41">_xlfn.IFNA(_xlfn.XLOOKUP(1,([1]!hcahps[Facility ID] = clean[[#This Row],[Facility ID]]) * ([1]!hcahps[HCAHPS Measure ID] = "H_HSP_RATING_LINEAR_SCORE"), [1]!hcahps[HCAHPS Linear Mean Value]), "No Match")</f>
        <v>89</v>
      </c>
      <c r="F41" cm="1">
        <f t="array" ref="F41">_xlfn.IFNA(_xlfn.XLOOKUP(1,([1]!readmissions[Facility ID] = clean[[#This Row],[Facility ID]]) * ([1]!readmissions[Measure ID] = "Hybrid_HWR"), [1]!readmissions[Score]), "No Match")</f>
        <v>15.6</v>
      </c>
    </row>
    <row r="42" spans="1:6" x14ac:dyDescent="0.2">
      <c r="A42" t="str">
        <f>[1]!hospitalinfo[[#This Row],[Facility ID]]</f>
        <v>010034</v>
      </c>
      <c r="B42" t="str">
        <f>[1]!hospitalinfo[[#This Row],[State]]</f>
        <v>AL</v>
      </c>
      <c r="C42" t="str">
        <f>[1]!hospitalinfo[[#This Row],[Hospital Type]]</f>
        <v>Acute Care Hospitals</v>
      </c>
      <c r="D42" t="str">
        <f>[1]!hospitalinfo[[#This Row],[Hospital Ownership]]</f>
        <v>Voluntary non-profit - Private</v>
      </c>
      <c r="E42" t="str" cm="1">
        <f t="array" ref="E42">_xlfn.IFNA(_xlfn.XLOOKUP(1,([1]!hcahps[Facility ID] = clean[[#This Row],[Facility ID]]) * ([1]!hcahps[HCAHPS Measure ID] = "H_HSP_RATING_LINEAR_SCORE"), [1]!hcahps[HCAHPS Linear Mean Value]), "No Match")</f>
        <v>Not Available</v>
      </c>
      <c r="F42" cm="1">
        <f t="array" ref="F42">_xlfn.IFNA(_xlfn.XLOOKUP(1,([1]!readmissions[Facility ID] = clean[[#This Row],[Facility ID]]) * ([1]!readmissions[Measure ID] = "Hybrid_HWR"), [1]!readmissions[Score]), "No Match")</f>
        <v>15.6</v>
      </c>
    </row>
    <row r="43" spans="1:6" x14ac:dyDescent="0.2">
      <c r="A43" t="str">
        <f>[1]!hospitalinfo[[#This Row],[Facility ID]]</f>
        <v>010035</v>
      </c>
      <c r="B43" t="str">
        <f>[1]!hospitalinfo[[#This Row],[State]]</f>
        <v>AL</v>
      </c>
      <c r="C43" t="str">
        <f>[1]!hospitalinfo[[#This Row],[Hospital Type]]</f>
        <v>Acute Care Hospitals</v>
      </c>
      <c r="D43" t="str">
        <f>[1]!hospitalinfo[[#This Row],[Hospital Ownership]]</f>
        <v>Government - Hospital District or Authority</v>
      </c>
      <c r="E43" cm="1">
        <f t="array" ref="E43">_xlfn.IFNA(_xlfn.XLOOKUP(1,([1]!hcahps[Facility ID] = clean[[#This Row],[Facility ID]]) * ([1]!hcahps[HCAHPS Measure ID] = "H_HSP_RATING_LINEAR_SCORE"), [1]!hcahps[HCAHPS Linear Mean Value]), "No Match")</f>
        <v>87</v>
      </c>
      <c r="F43" cm="1">
        <f t="array" ref="F43">_xlfn.IFNA(_xlfn.XLOOKUP(1,([1]!readmissions[Facility ID] = clean[[#This Row],[Facility ID]]) * ([1]!readmissions[Measure ID] = "Hybrid_HWR"), [1]!readmissions[Score]), "No Match")</f>
        <v>16.600000000000001</v>
      </c>
    </row>
    <row r="44" spans="1:6" x14ac:dyDescent="0.2">
      <c r="A44" t="str">
        <f>[1]!hospitalinfo[[#This Row],[Facility ID]]</f>
        <v>010036</v>
      </c>
      <c r="B44" t="str">
        <f>[1]!hospitalinfo[[#This Row],[State]]</f>
        <v>AL</v>
      </c>
      <c r="C44" t="str">
        <f>[1]!hospitalinfo[[#This Row],[Hospital Type]]</f>
        <v>Acute Care Hospitals</v>
      </c>
      <c r="D44" t="str">
        <f>[1]!hospitalinfo[[#This Row],[Hospital Ownership]]</f>
        <v>Proprietary</v>
      </c>
      <c r="E44" cm="1">
        <f t="array" ref="E44">_xlfn.IFNA(_xlfn.XLOOKUP(1,([1]!hcahps[Facility ID] = clean[[#This Row],[Facility ID]]) * ([1]!hcahps[HCAHPS Measure ID] = "H_HSP_RATING_LINEAR_SCORE"), [1]!hcahps[HCAHPS Linear Mean Value]), "No Match")</f>
        <v>85</v>
      </c>
      <c r="F44" cm="1">
        <f t="array" ref="F44">_xlfn.IFNA(_xlfn.XLOOKUP(1,([1]!readmissions[Facility ID] = clean[[#This Row],[Facility ID]]) * ([1]!readmissions[Measure ID] = "Hybrid_HWR"), [1]!readmissions[Score]), "No Match")</f>
        <v>14.9</v>
      </c>
    </row>
    <row r="45" spans="1:6" x14ac:dyDescent="0.2">
      <c r="A45" t="str">
        <f>[1]!hospitalinfo[[#This Row],[Facility ID]]</f>
        <v>010039</v>
      </c>
      <c r="B45" t="str">
        <f>[1]!hospitalinfo[[#This Row],[State]]</f>
        <v>AL</v>
      </c>
      <c r="C45" t="str">
        <f>[1]!hospitalinfo[[#This Row],[Hospital Type]]</f>
        <v>Acute Care Hospitals</v>
      </c>
      <c r="D45" t="str">
        <f>[1]!hospitalinfo[[#This Row],[Hospital Ownership]]</f>
        <v>Government - Hospital District or Authority</v>
      </c>
      <c r="E45" cm="1">
        <f t="array" ref="E45">_xlfn.IFNA(_xlfn.XLOOKUP(1,([1]!hcahps[Facility ID] = clean[[#This Row],[Facility ID]]) * ([1]!hcahps[HCAHPS Measure ID] = "H_HSP_RATING_LINEAR_SCORE"), [1]!hcahps[HCAHPS Linear Mean Value]), "No Match")</f>
        <v>89</v>
      </c>
      <c r="F45" cm="1">
        <f t="array" ref="F45">_xlfn.IFNA(_xlfn.XLOOKUP(1,([1]!readmissions[Facility ID] = clean[[#This Row],[Facility ID]]) * ([1]!readmissions[Measure ID] = "Hybrid_HWR"), [1]!readmissions[Score]), "No Match")</f>
        <v>14.3</v>
      </c>
    </row>
    <row r="46" spans="1:6" x14ac:dyDescent="0.2">
      <c r="A46" t="str">
        <f>[1]!hospitalinfo[[#This Row],[Facility ID]]</f>
        <v>010040</v>
      </c>
      <c r="B46" t="str">
        <f>[1]!hospitalinfo[[#This Row],[State]]</f>
        <v>AL</v>
      </c>
      <c r="C46" t="str">
        <f>[1]!hospitalinfo[[#This Row],[Hospital Type]]</f>
        <v>Acute Care Hospitals</v>
      </c>
      <c r="D46" t="str">
        <f>[1]!hospitalinfo[[#This Row],[Hospital Ownership]]</f>
        <v>Proprietary</v>
      </c>
      <c r="E46" cm="1">
        <f t="array" ref="E46">_xlfn.IFNA(_xlfn.XLOOKUP(1,([1]!hcahps[Facility ID] = clean[[#This Row],[Facility ID]]) * ([1]!hcahps[HCAHPS Measure ID] = "H_HSP_RATING_LINEAR_SCORE"), [1]!hcahps[HCAHPS Linear Mean Value]), "No Match")</f>
        <v>81</v>
      </c>
      <c r="F46" cm="1">
        <f t="array" ref="F46">_xlfn.IFNA(_xlfn.XLOOKUP(1,([1]!readmissions[Facility ID] = clean[[#This Row],[Facility ID]]) * ([1]!readmissions[Measure ID] = "Hybrid_HWR"), [1]!readmissions[Score]), "No Match")</f>
        <v>15.9</v>
      </c>
    </row>
    <row r="47" spans="1:6" x14ac:dyDescent="0.2">
      <c r="A47" t="str">
        <f>[1]!hospitalinfo[[#This Row],[Facility ID]]</f>
        <v>010044</v>
      </c>
      <c r="B47" t="str">
        <f>[1]!hospitalinfo[[#This Row],[State]]</f>
        <v>AL</v>
      </c>
      <c r="C47" t="str">
        <f>[1]!hospitalinfo[[#This Row],[Hospital Type]]</f>
        <v>Acute Care Hospitals</v>
      </c>
      <c r="D47" t="str">
        <f>[1]!hospitalinfo[[#This Row],[Hospital Ownership]]</f>
        <v>Voluntary non-profit - Private</v>
      </c>
      <c r="E47" t="str" cm="1">
        <f t="array" ref="E47">_xlfn.IFNA(_xlfn.XLOOKUP(1,([1]!hcahps[Facility ID] = clean[[#This Row],[Facility ID]]) * ([1]!hcahps[HCAHPS Measure ID] = "H_HSP_RATING_LINEAR_SCORE"), [1]!hcahps[HCAHPS Linear Mean Value]), "No Match")</f>
        <v>Not Available</v>
      </c>
      <c r="F47" cm="1">
        <f t="array" ref="F47">_xlfn.IFNA(_xlfn.XLOOKUP(1,([1]!readmissions[Facility ID] = clean[[#This Row],[Facility ID]]) * ([1]!readmissions[Measure ID] = "Hybrid_HWR"), [1]!readmissions[Score]), "No Match")</f>
        <v>14.8</v>
      </c>
    </row>
    <row r="48" spans="1:6" x14ac:dyDescent="0.2">
      <c r="A48" t="str">
        <f>[1]!hospitalinfo[[#This Row],[Facility ID]]</f>
        <v>010045</v>
      </c>
      <c r="B48" t="str">
        <f>[1]!hospitalinfo[[#This Row],[State]]</f>
        <v>AL</v>
      </c>
      <c r="C48" t="str">
        <f>[1]!hospitalinfo[[#This Row],[Hospital Type]]</f>
        <v>Acute Care Hospitals</v>
      </c>
      <c r="D48" t="str">
        <f>[1]!hospitalinfo[[#This Row],[Hospital Ownership]]</f>
        <v>Voluntary non-profit - Other</v>
      </c>
      <c r="E48" cm="1">
        <f t="array" ref="E48">_xlfn.IFNA(_xlfn.XLOOKUP(1,([1]!hcahps[Facility ID] = clean[[#This Row],[Facility ID]]) * ([1]!hcahps[HCAHPS Measure ID] = "H_HSP_RATING_LINEAR_SCORE"), [1]!hcahps[HCAHPS Linear Mean Value]), "No Match")</f>
        <v>95</v>
      </c>
      <c r="F48" cm="1">
        <f t="array" ref="F48">_xlfn.IFNA(_xlfn.XLOOKUP(1,([1]!readmissions[Facility ID] = clean[[#This Row],[Facility ID]]) * ([1]!readmissions[Measure ID] = "Hybrid_HWR"), [1]!readmissions[Score]), "No Match")</f>
        <v>14.9</v>
      </c>
    </row>
    <row r="49" spans="1:6" x14ac:dyDescent="0.2">
      <c r="A49" t="str">
        <f>[1]!hospitalinfo[[#This Row],[Facility ID]]</f>
        <v>010046</v>
      </c>
      <c r="B49" t="str">
        <f>[1]!hospitalinfo[[#This Row],[State]]</f>
        <v>AL</v>
      </c>
      <c r="C49" t="str">
        <f>[1]!hospitalinfo[[#This Row],[Hospital Type]]</f>
        <v>Acute Care Hospitals</v>
      </c>
      <c r="D49" t="str">
        <f>[1]!hospitalinfo[[#This Row],[Hospital Ownership]]</f>
        <v>Proprietary</v>
      </c>
      <c r="E49" cm="1">
        <f t="array" ref="E49">_xlfn.IFNA(_xlfn.XLOOKUP(1,([1]!hcahps[Facility ID] = clean[[#This Row],[Facility ID]]) * ([1]!hcahps[HCAHPS Measure ID] = "H_HSP_RATING_LINEAR_SCORE"), [1]!hcahps[HCAHPS Linear Mean Value]), "No Match")</f>
        <v>88</v>
      </c>
      <c r="F49" cm="1">
        <f t="array" ref="F49">_xlfn.IFNA(_xlfn.XLOOKUP(1,([1]!readmissions[Facility ID] = clean[[#This Row],[Facility ID]]) * ([1]!readmissions[Measure ID] = "Hybrid_HWR"), [1]!readmissions[Score]), "No Match")</f>
        <v>15.7</v>
      </c>
    </row>
    <row r="50" spans="1:6" x14ac:dyDescent="0.2">
      <c r="A50" t="str">
        <f>[1]!hospitalinfo[[#This Row],[Facility ID]]</f>
        <v>010049</v>
      </c>
      <c r="B50" t="str">
        <f>[1]!hospitalinfo[[#This Row],[State]]</f>
        <v>AL</v>
      </c>
      <c r="C50" t="str">
        <f>[1]!hospitalinfo[[#This Row],[Hospital Type]]</f>
        <v>Acute Care Hospitals</v>
      </c>
      <c r="D50" t="str">
        <f>[1]!hospitalinfo[[#This Row],[Hospital Ownership]]</f>
        <v>Proprietary</v>
      </c>
      <c r="E50" cm="1">
        <f t="array" ref="E50">_xlfn.IFNA(_xlfn.XLOOKUP(1,([1]!hcahps[Facility ID] = clean[[#This Row],[Facility ID]]) * ([1]!hcahps[HCAHPS Measure ID] = "H_HSP_RATING_LINEAR_SCORE"), [1]!hcahps[HCAHPS Linear Mean Value]), "No Match")</f>
        <v>87</v>
      </c>
      <c r="F50" cm="1">
        <f t="array" ref="F50">_xlfn.IFNA(_xlfn.XLOOKUP(1,([1]!readmissions[Facility ID] = clean[[#This Row],[Facility ID]]) * ([1]!readmissions[Measure ID] = "Hybrid_HWR"), [1]!readmissions[Score]), "No Match")</f>
        <v>14.9</v>
      </c>
    </row>
    <row r="51" spans="1:6" x14ac:dyDescent="0.2">
      <c r="A51" t="str">
        <f>[1]!hospitalinfo[[#This Row],[Facility ID]]</f>
        <v>010051</v>
      </c>
      <c r="B51" t="str">
        <f>[1]!hospitalinfo[[#This Row],[State]]</f>
        <v>AL</v>
      </c>
      <c r="C51" t="str">
        <f>[1]!hospitalinfo[[#This Row],[Hospital Type]]</f>
        <v>Acute Care Hospitals</v>
      </c>
      <c r="D51" t="str">
        <f>[1]!hospitalinfo[[#This Row],[Hospital Ownership]]</f>
        <v>Voluntary non-profit - Other</v>
      </c>
      <c r="E51" t="str" cm="1">
        <f t="array" ref="E51">_xlfn.IFNA(_xlfn.XLOOKUP(1,([1]!hcahps[Facility ID] = clean[[#This Row],[Facility ID]]) * ([1]!hcahps[HCAHPS Measure ID] = "H_HSP_RATING_LINEAR_SCORE"), [1]!hcahps[HCAHPS Linear Mean Value]), "No Match")</f>
        <v>Not Available</v>
      </c>
      <c r="F51" t="str" cm="1">
        <f t="array" ref="F51">_xlfn.IFNA(_xlfn.XLOOKUP(1,([1]!readmissions[Facility ID] = clean[[#This Row],[Facility ID]]) * ([1]!readmissions[Measure ID] = "Hybrid_HWR"), [1]!readmissions[Score]), "No Match")</f>
        <v>Not Available</v>
      </c>
    </row>
    <row r="52" spans="1:6" x14ac:dyDescent="0.2">
      <c r="A52" t="str">
        <f>[1]!hospitalinfo[[#This Row],[Facility ID]]</f>
        <v>010052</v>
      </c>
      <c r="B52" t="str">
        <f>[1]!hospitalinfo[[#This Row],[State]]</f>
        <v>AL</v>
      </c>
      <c r="C52" t="str">
        <f>[1]!hospitalinfo[[#This Row],[Hospital Type]]</f>
        <v>Acute Care Hospitals</v>
      </c>
      <c r="D52" t="str">
        <f>[1]!hospitalinfo[[#This Row],[Hospital Ownership]]</f>
        <v>Proprietary</v>
      </c>
      <c r="E52" cm="1">
        <f t="array" ref="E52">_xlfn.IFNA(_xlfn.XLOOKUP(1,([1]!hcahps[Facility ID] = clean[[#This Row],[Facility ID]]) * ([1]!hcahps[HCAHPS Measure ID] = "H_HSP_RATING_LINEAR_SCORE"), [1]!hcahps[HCAHPS Linear Mean Value]), "No Match")</f>
        <v>94</v>
      </c>
      <c r="F52" cm="1">
        <f t="array" ref="F52">_xlfn.IFNA(_xlfn.XLOOKUP(1,([1]!readmissions[Facility ID] = clean[[#This Row],[Facility ID]]) * ([1]!readmissions[Measure ID] = "Hybrid_HWR"), [1]!readmissions[Score]), "No Match")</f>
        <v>14.3</v>
      </c>
    </row>
    <row r="53" spans="1:6" x14ac:dyDescent="0.2">
      <c r="A53" t="str">
        <f>[1]!hospitalinfo[[#This Row],[Facility ID]]</f>
        <v>010055</v>
      </c>
      <c r="B53" t="str">
        <f>[1]!hospitalinfo[[#This Row],[State]]</f>
        <v>AL</v>
      </c>
      <c r="C53" t="str">
        <f>[1]!hospitalinfo[[#This Row],[Hospital Type]]</f>
        <v>Acute Care Hospitals</v>
      </c>
      <c r="D53" t="str">
        <f>[1]!hospitalinfo[[#This Row],[Hospital Ownership]]</f>
        <v>Proprietary</v>
      </c>
      <c r="E53" cm="1">
        <f t="array" ref="E53">_xlfn.IFNA(_xlfn.XLOOKUP(1,([1]!hcahps[Facility ID] = clean[[#This Row],[Facility ID]]) * ([1]!hcahps[HCAHPS Measure ID] = "H_HSP_RATING_LINEAR_SCORE"), [1]!hcahps[HCAHPS Linear Mean Value]), "No Match")</f>
        <v>86</v>
      </c>
      <c r="F53" cm="1">
        <f t="array" ref="F53">_xlfn.IFNA(_xlfn.XLOOKUP(1,([1]!readmissions[Facility ID] = clean[[#This Row],[Facility ID]]) * ([1]!readmissions[Measure ID] = "Hybrid_HWR"), [1]!readmissions[Score]), "No Match")</f>
        <v>15.9</v>
      </c>
    </row>
    <row r="54" spans="1:6" x14ac:dyDescent="0.2">
      <c r="A54" t="str">
        <f>[1]!hospitalinfo[[#This Row],[Facility ID]]</f>
        <v>010056</v>
      </c>
      <c r="B54" t="str">
        <f>[1]!hospitalinfo[[#This Row],[State]]</f>
        <v>AL</v>
      </c>
      <c r="C54" t="str">
        <f>[1]!hospitalinfo[[#This Row],[Hospital Type]]</f>
        <v>Acute Care Hospitals</v>
      </c>
      <c r="D54" t="str">
        <f>[1]!hospitalinfo[[#This Row],[Hospital Ownership]]</f>
        <v>Voluntary non-profit - Private</v>
      </c>
      <c r="E54" cm="1">
        <f t="array" ref="E54">_xlfn.IFNA(_xlfn.XLOOKUP(1,([1]!hcahps[Facility ID] = clean[[#This Row],[Facility ID]]) * ([1]!hcahps[HCAHPS Measure ID] = "H_HSP_RATING_LINEAR_SCORE"), [1]!hcahps[HCAHPS Linear Mean Value]), "No Match")</f>
        <v>86</v>
      </c>
      <c r="F54" cm="1">
        <f t="array" ref="F54">_xlfn.IFNA(_xlfn.XLOOKUP(1,([1]!readmissions[Facility ID] = clean[[#This Row],[Facility ID]]) * ([1]!readmissions[Measure ID] = "Hybrid_HWR"), [1]!readmissions[Score]), "No Match")</f>
        <v>15.3</v>
      </c>
    </row>
    <row r="55" spans="1:6" x14ac:dyDescent="0.2">
      <c r="A55" t="str">
        <f>[1]!hospitalinfo[[#This Row],[Facility ID]]</f>
        <v>010058</v>
      </c>
      <c r="B55" t="str">
        <f>[1]!hospitalinfo[[#This Row],[State]]</f>
        <v>AL</v>
      </c>
      <c r="C55" t="str">
        <f>[1]!hospitalinfo[[#This Row],[Hospital Type]]</f>
        <v>Acute Care Hospitals</v>
      </c>
      <c r="D55" t="str">
        <f>[1]!hospitalinfo[[#This Row],[Hospital Ownership]]</f>
        <v>Government - Hospital District or Authority</v>
      </c>
      <c r="E55" t="str" cm="1">
        <f t="array" ref="E55">_xlfn.IFNA(_xlfn.XLOOKUP(1,([1]!hcahps[Facility ID] = clean[[#This Row],[Facility ID]]) * ([1]!hcahps[HCAHPS Measure ID] = "H_HSP_RATING_LINEAR_SCORE"), [1]!hcahps[HCAHPS Linear Mean Value]), "No Match")</f>
        <v>Not Available</v>
      </c>
      <c r="F55" cm="1">
        <f t="array" ref="F55">_xlfn.IFNA(_xlfn.XLOOKUP(1,([1]!readmissions[Facility ID] = clean[[#This Row],[Facility ID]]) * ([1]!readmissions[Measure ID] = "Hybrid_HWR"), [1]!readmissions[Score]), "No Match")</f>
        <v>14.7</v>
      </c>
    </row>
    <row r="56" spans="1:6" x14ac:dyDescent="0.2">
      <c r="A56" t="str">
        <f>[1]!hospitalinfo[[#This Row],[Facility ID]]</f>
        <v>010061</v>
      </c>
      <c r="B56" t="str">
        <f>[1]!hospitalinfo[[#This Row],[State]]</f>
        <v>AL</v>
      </c>
      <c r="C56" t="str">
        <f>[1]!hospitalinfo[[#This Row],[Hospital Type]]</f>
        <v>Acute Care Hospitals</v>
      </c>
      <c r="D56" t="str">
        <f>[1]!hospitalinfo[[#This Row],[Hospital Ownership]]</f>
        <v>Government - Hospital District or Authority</v>
      </c>
      <c r="E56" cm="1">
        <f t="array" ref="E56">_xlfn.IFNA(_xlfn.XLOOKUP(1,([1]!hcahps[Facility ID] = clean[[#This Row],[Facility ID]]) * ([1]!hcahps[HCAHPS Measure ID] = "H_HSP_RATING_LINEAR_SCORE"), [1]!hcahps[HCAHPS Linear Mean Value]), "No Match")</f>
        <v>88</v>
      </c>
      <c r="F56" cm="1">
        <f t="array" ref="F56">_xlfn.IFNA(_xlfn.XLOOKUP(1,([1]!readmissions[Facility ID] = clean[[#This Row],[Facility ID]]) * ([1]!readmissions[Measure ID] = "Hybrid_HWR"), [1]!readmissions[Score]), "No Match")</f>
        <v>14.7</v>
      </c>
    </row>
    <row r="57" spans="1:6" x14ac:dyDescent="0.2">
      <c r="A57" t="str">
        <f>[1]!hospitalinfo[[#This Row],[Facility ID]]</f>
        <v>010062</v>
      </c>
      <c r="B57" t="str">
        <f>[1]!hospitalinfo[[#This Row],[State]]</f>
        <v>AL</v>
      </c>
      <c r="C57" t="str">
        <f>[1]!hospitalinfo[[#This Row],[Hospital Type]]</f>
        <v>Acute Care Hospitals</v>
      </c>
      <c r="D57" t="str">
        <f>[1]!hospitalinfo[[#This Row],[Hospital Ownership]]</f>
        <v>Government - Hospital District or Authority</v>
      </c>
      <c r="E57" t="str" cm="1">
        <f t="array" ref="E57">_xlfn.IFNA(_xlfn.XLOOKUP(1,([1]!hcahps[Facility ID] = clean[[#This Row],[Facility ID]]) * ([1]!hcahps[HCAHPS Measure ID] = "H_HSP_RATING_LINEAR_SCORE"), [1]!hcahps[HCAHPS Linear Mean Value]), "No Match")</f>
        <v>Not Available</v>
      </c>
      <c r="F57" cm="1">
        <f t="array" ref="F57">_xlfn.IFNA(_xlfn.XLOOKUP(1,([1]!readmissions[Facility ID] = clean[[#This Row],[Facility ID]]) * ([1]!readmissions[Measure ID] = "Hybrid_HWR"), [1]!readmissions[Score]), "No Match")</f>
        <v>14.9</v>
      </c>
    </row>
    <row r="58" spans="1:6" x14ac:dyDescent="0.2">
      <c r="A58" t="str">
        <f>[1]!hospitalinfo[[#This Row],[Facility ID]]</f>
        <v>010065</v>
      </c>
      <c r="B58" t="str">
        <f>[1]!hospitalinfo[[#This Row],[State]]</f>
        <v>AL</v>
      </c>
      <c r="C58" t="str">
        <f>[1]!hospitalinfo[[#This Row],[Hospital Type]]</f>
        <v>Acute Care Hospitals</v>
      </c>
      <c r="D58" t="str">
        <f>[1]!hospitalinfo[[#This Row],[Hospital Ownership]]</f>
        <v>Voluntary non-profit - Private</v>
      </c>
      <c r="E58" cm="1">
        <f t="array" ref="E58">_xlfn.IFNA(_xlfn.XLOOKUP(1,([1]!hcahps[Facility ID] = clean[[#This Row],[Facility ID]]) * ([1]!hcahps[HCAHPS Measure ID] = "H_HSP_RATING_LINEAR_SCORE"), [1]!hcahps[HCAHPS Linear Mean Value]), "No Match")</f>
        <v>88</v>
      </c>
      <c r="F58" cm="1">
        <f t="array" ref="F58">_xlfn.IFNA(_xlfn.XLOOKUP(1,([1]!readmissions[Facility ID] = clean[[#This Row],[Facility ID]]) * ([1]!readmissions[Measure ID] = "Hybrid_HWR"), [1]!readmissions[Score]), "No Match")</f>
        <v>14.2</v>
      </c>
    </row>
    <row r="59" spans="1:6" x14ac:dyDescent="0.2">
      <c r="A59" t="str">
        <f>[1]!hospitalinfo[[#This Row],[Facility ID]]</f>
        <v>010073</v>
      </c>
      <c r="B59" t="str">
        <f>[1]!hospitalinfo[[#This Row],[State]]</f>
        <v>AL</v>
      </c>
      <c r="C59" t="str">
        <f>[1]!hospitalinfo[[#This Row],[Hospital Type]]</f>
        <v>Acute Care Hospitals</v>
      </c>
      <c r="D59" t="str">
        <f>[1]!hospitalinfo[[#This Row],[Hospital Ownership]]</f>
        <v>Government - Hospital District or Authority</v>
      </c>
      <c r="E59" t="str" cm="1">
        <f t="array" ref="E59">_xlfn.IFNA(_xlfn.XLOOKUP(1,([1]!hcahps[Facility ID] = clean[[#This Row],[Facility ID]]) * ([1]!hcahps[HCAHPS Measure ID] = "H_HSP_RATING_LINEAR_SCORE"), [1]!hcahps[HCAHPS Linear Mean Value]), "No Match")</f>
        <v>Not Available</v>
      </c>
      <c r="F59" cm="1">
        <f t="array" ref="F59">_xlfn.IFNA(_xlfn.XLOOKUP(1,([1]!readmissions[Facility ID] = clean[[#This Row],[Facility ID]]) * ([1]!readmissions[Measure ID] = "Hybrid_HWR"), [1]!readmissions[Score]), "No Match")</f>
        <v>14.7</v>
      </c>
    </row>
    <row r="60" spans="1:6" x14ac:dyDescent="0.2">
      <c r="A60" t="str">
        <f>[1]!hospitalinfo[[#This Row],[Facility ID]]</f>
        <v>010078</v>
      </c>
      <c r="B60" t="str">
        <f>[1]!hospitalinfo[[#This Row],[State]]</f>
        <v>AL</v>
      </c>
      <c r="C60" t="str">
        <f>[1]!hospitalinfo[[#This Row],[Hospital Type]]</f>
        <v>Acute Care Hospitals</v>
      </c>
      <c r="D60" t="str">
        <f>[1]!hospitalinfo[[#This Row],[Hospital Ownership]]</f>
        <v>Government - Local</v>
      </c>
      <c r="E60" cm="1">
        <f t="array" ref="E60">_xlfn.IFNA(_xlfn.XLOOKUP(1,([1]!hcahps[Facility ID] = clean[[#This Row],[Facility ID]]) * ([1]!hcahps[HCAHPS Measure ID] = "H_HSP_RATING_LINEAR_SCORE"), [1]!hcahps[HCAHPS Linear Mean Value]), "No Match")</f>
        <v>83</v>
      </c>
      <c r="F60" cm="1">
        <f t="array" ref="F60">_xlfn.IFNA(_xlfn.XLOOKUP(1,([1]!readmissions[Facility ID] = clean[[#This Row],[Facility ID]]) * ([1]!readmissions[Measure ID] = "Hybrid_HWR"), [1]!readmissions[Score]), "No Match")</f>
        <v>15.7</v>
      </c>
    </row>
    <row r="61" spans="1:6" x14ac:dyDescent="0.2">
      <c r="A61" t="str">
        <f>[1]!hospitalinfo[[#This Row],[Facility ID]]</f>
        <v>010079</v>
      </c>
      <c r="B61" t="str">
        <f>[1]!hospitalinfo[[#This Row],[State]]</f>
        <v>AL</v>
      </c>
      <c r="C61" t="str">
        <f>[1]!hospitalinfo[[#This Row],[Hospital Type]]</f>
        <v>Acute Care Hospitals</v>
      </c>
      <c r="D61" t="str">
        <f>[1]!hospitalinfo[[#This Row],[Hospital Ownership]]</f>
        <v>Government - Hospital District or Authority</v>
      </c>
      <c r="E61" cm="1">
        <f t="array" ref="E61">_xlfn.IFNA(_xlfn.XLOOKUP(1,([1]!hcahps[Facility ID] = clean[[#This Row],[Facility ID]]) * ([1]!hcahps[HCAHPS Measure ID] = "H_HSP_RATING_LINEAR_SCORE"), [1]!hcahps[HCAHPS Linear Mean Value]), "No Match")</f>
        <v>91</v>
      </c>
      <c r="F61" cm="1">
        <f t="array" ref="F61">_xlfn.IFNA(_xlfn.XLOOKUP(1,([1]!readmissions[Facility ID] = clean[[#This Row],[Facility ID]]) * ([1]!readmissions[Measure ID] = "Hybrid_HWR"), [1]!readmissions[Score]), "No Match")</f>
        <v>14.4</v>
      </c>
    </row>
    <row r="62" spans="1:6" x14ac:dyDescent="0.2">
      <c r="A62" t="str">
        <f>[1]!hospitalinfo[[#This Row],[Facility ID]]</f>
        <v>010083</v>
      </c>
      <c r="B62" t="str">
        <f>[1]!hospitalinfo[[#This Row],[State]]</f>
        <v>AL</v>
      </c>
      <c r="C62" t="str">
        <f>[1]!hospitalinfo[[#This Row],[Hospital Type]]</f>
        <v>Acute Care Hospitals</v>
      </c>
      <c r="D62" t="str">
        <f>[1]!hospitalinfo[[#This Row],[Hospital Ownership]]</f>
        <v>Proprietary</v>
      </c>
      <c r="E62" cm="1">
        <f t="array" ref="E62">_xlfn.IFNA(_xlfn.XLOOKUP(1,([1]!hcahps[Facility ID] = clean[[#This Row],[Facility ID]]) * ([1]!hcahps[HCAHPS Measure ID] = "H_HSP_RATING_LINEAR_SCORE"), [1]!hcahps[HCAHPS Linear Mean Value]), "No Match")</f>
        <v>86</v>
      </c>
      <c r="F62" cm="1">
        <f t="array" ref="F62">_xlfn.IFNA(_xlfn.XLOOKUP(1,([1]!readmissions[Facility ID] = clean[[#This Row],[Facility ID]]) * ([1]!readmissions[Measure ID] = "Hybrid_HWR"), [1]!readmissions[Score]), "No Match")</f>
        <v>14.6</v>
      </c>
    </row>
    <row r="63" spans="1:6" x14ac:dyDescent="0.2">
      <c r="A63" t="str">
        <f>[1]!hospitalinfo[[#This Row],[Facility ID]]</f>
        <v>010085</v>
      </c>
      <c r="B63" t="str">
        <f>[1]!hospitalinfo[[#This Row],[State]]</f>
        <v>AL</v>
      </c>
      <c r="C63" t="str">
        <f>[1]!hospitalinfo[[#This Row],[Hospital Type]]</f>
        <v>Acute Care Hospitals</v>
      </c>
      <c r="D63" t="str">
        <f>[1]!hospitalinfo[[#This Row],[Hospital Ownership]]</f>
        <v>Government - Hospital District or Authority</v>
      </c>
      <c r="E63" cm="1">
        <f t="array" ref="E63">_xlfn.IFNA(_xlfn.XLOOKUP(1,([1]!hcahps[Facility ID] = clean[[#This Row],[Facility ID]]) * ([1]!hcahps[HCAHPS Measure ID] = "H_HSP_RATING_LINEAR_SCORE"), [1]!hcahps[HCAHPS Linear Mean Value]), "No Match")</f>
        <v>87</v>
      </c>
      <c r="F63" cm="1">
        <f t="array" ref="F63">_xlfn.IFNA(_xlfn.XLOOKUP(1,([1]!readmissions[Facility ID] = clean[[#This Row],[Facility ID]]) * ([1]!readmissions[Measure ID] = "Hybrid_HWR"), [1]!readmissions[Score]), "No Match")</f>
        <v>14.8</v>
      </c>
    </row>
    <row r="64" spans="1:6" x14ac:dyDescent="0.2">
      <c r="A64" t="str">
        <f>[1]!hospitalinfo[[#This Row],[Facility ID]]</f>
        <v>010086</v>
      </c>
      <c r="B64" t="str">
        <f>[1]!hospitalinfo[[#This Row],[State]]</f>
        <v>AL</v>
      </c>
      <c r="C64" t="str">
        <f>[1]!hospitalinfo[[#This Row],[Hospital Type]]</f>
        <v>Acute Care Hospitals</v>
      </c>
      <c r="D64" t="str">
        <f>[1]!hospitalinfo[[#This Row],[Hospital Ownership]]</f>
        <v>Proprietary</v>
      </c>
      <c r="E64" t="str" cm="1">
        <f t="array" ref="E64">_xlfn.IFNA(_xlfn.XLOOKUP(1,([1]!hcahps[Facility ID] = clean[[#This Row],[Facility ID]]) * ([1]!hcahps[HCAHPS Measure ID] = "H_HSP_RATING_LINEAR_SCORE"), [1]!hcahps[HCAHPS Linear Mean Value]), "No Match")</f>
        <v>Not Available</v>
      </c>
      <c r="F64" cm="1">
        <f t="array" ref="F64">_xlfn.IFNA(_xlfn.XLOOKUP(1,([1]!readmissions[Facility ID] = clean[[#This Row],[Facility ID]]) * ([1]!readmissions[Measure ID] = "Hybrid_HWR"), [1]!readmissions[Score]), "No Match")</f>
        <v>13.8</v>
      </c>
    </row>
    <row r="65" spans="1:6" x14ac:dyDescent="0.2">
      <c r="A65" t="str">
        <f>[1]!hospitalinfo[[#This Row],[Facility ID]]</f>
        <v>010087</v>
      </c>
      <c r="B65" t="str">
        <f>[1]!hospitalinfo[[#This Row],[State]]</f>
        <v>AL</v>
      </c>
      <c r="C65" t="str">
        <f>[1]!hospitalinfo[[#This Row],[Hospital Type]]</f>
        <v>Acute Care Hospitals</v>
      </c>
      <c r="D65" t="str">
        <f>[1]!hospitalinfo[[#This Row],[Hospital Ownership]]</f>
        <v>Government - State</v>
      </c>
      <c r="E65" cm="1">
        <f t="array" ref="E65">_xlfn.IFNA(_xlfn.XLOOKUP(1,([1]!hcahps[Facility ID] = clean[[#This Row],[Facility ID]]) * ([1]!hcahps[HCAHPS Measure ID] = "H_HSP_RATING_LINEAR_SCORE"), [1]!hcahps[HCAHPS Linear Mean Value]), "No Match")</f>
        <v>88</v>
      </c>
      <c r="F65" cm="1">
        <f t="array" ref="F65">_xlfn.IFNA(_xlfn.XLOOKUP(1,([1]!readmissions[Facility ID] = clean[[#This Row],[Facility ID]]) * ([1]!readmissions[Measure ID] = "Hybrid_HWR"), [1]!readmissions[Score]), "No Match")</f>
        <v>15.7</v>
      </c>
    </row>
    <row r="66" spans="1:6" x14ac:dyDescent="0.2">
      <c r="A66" t="str">
        <f>[1]!hospitalinfo[[#This Row],[Facility ID]]</f>
        <v>010089</v>
      </c>
      <c r="B66" t="str">
        <f>[1]!hospitalinfo[[#This Row],[State]]</f>
        <v>AL</v>
      </c>
      <c r="C66" t="str">
        <f>[1]!hospitalinfo[[#This Row],[Hospital Type]]</f>
        <v>Acute Care Hospitals</v>
      </c>
      <c r="D66" t="str">
        <f>[1]!hospitalinfo[[#This Row],[Hospital Ownership]]</f>
        <v>Proprietary</v>
      </c>
      <c r="E66" cm="1">
        <f t="array" ref="E66">_xlfn.IFNA(_xlfn.XLOOKUP(1,([1]!hcahps[Facility ID] = clean[[#This Row],[Facility ID]]) * ([1]!hcahps[HCAHPS Measure ID] = "H_HSP_RATING_LINEAR_SCORE"), [1]!hcahps[HCAHPS Linear Mean Value]), "No Match")</f>
        <v>82</v>
      </c>
      <c r="F66" cm="1">
        <f t="array" ref="F66">_xlfn.IFNA(_xlfn.XLOOKUP(1,([1]!readmissions[Facility ID] = clean[[#This Row],[Facility ID]]) * ([1]!readmissions[Measure ID] = "Hybrid_HWR"), [1]!readmissions[Score]), "No Match")</f>
        <v>15.4</v>
      </c>
    </row>
    <row r="67" spans="1:6" x14ac:dyDescent="0.2">
      <c r="A67" t="str">
        <f>[1]!hospitalinfo[[#This Row],[Facility ID]]</f>
        <v>010090</v>
      </c>
      <c r="B67" t="str">
        <f>[1]!hospitalinfo[[#This Row],[State]]</f>
        <v>AL</v>
      </c>
      <c r="C67" t="str">
        <f>[1]!hospitalinfo[[#This Row],[Hospital Type]]</f>
        <v>Acute Care Hospitals</v>
      </c>
      <c r="D67" t="str">
        <f>[1]!hospitalinfo[[#This Row],[Hospital Ownership]]</f>
        <v>Voluntary non-profit - Church</v>
      </c>
      <c r="E67" cm="1">
        <f t="array" ref="E67">_xlfn.IFNA(_xlfn.XLOOKUP(1,([1]!hcahps[Facility ID] = clean[[#This Row],[Facility ID]]) * ([1]!hcahps[HCAHPS Measure ID] = "H_HSP_RATING_LINEAR_SCORE"), [1]!hcahps[HCAHPS Linear Mean Value]), "No Match")</f>
        <v>84</v>
      </c>
      <c r="F67" cm="1">
        <f t="array" ref="F67">_xlfn.IFNA(_xlfn.XLOOKUP(1,([1]!readmissions[Facility ID] = clean[[#This Row],[Facility ID]]) * ([1]!readmissions[Measure ID] = "Hybrid_HWR"), [1]!readmissions[Score]), "No Match")</f>
        <v>14.4</v>
      </c>
    </row>
    <row r="68" spans="1:6" x14ac:dyDescent="0.2">
      <c r="A68" t="str">
        <f>[1]!hospitalinfo[[#This Row],[Facility ID]]</f>
        <v>010091</v>
      </c>
      <c r="B68" t="str">
        <f>[1]!hospitalinfo[[#This Row],[State]]</f>
        <v>AL</v>
      </c>
      <c r="C68" t="str">
        <f>[1]!hospitalinfo[[#This Row],[Hospital Type]]</f>
        <v>Acute Care Hospitals</v>
      </c>
      <c r="D68" t="str">
        <f>[1]!hospitalinfo[[#This Row],[Hospital Ownership]]</f>
        <v>Government - Hospital District or Authority</v>
      </c>
      <c r="E68" t="str" cm="1">
        <f t="array" ref="E68">_xlfn.IFNA(_xlfn.XLOOKUP(1,([1]!hcahps[Facility ID] = clean[[#This Row],[Facility ID]]) * ([1]!hcahps[HCAHPS Measure ID] = "H_HSP_RATING_LINEAR_SCORE"), [1]!hcahps[HCAHPS Linear Mean Value]), "No Match")</f>
        <v>Not Available</v>
      </c>
      <c r="F68" t="str" cm="1">
        <f t="array" ref="F68">_xlfn.IFNA(_xlfn.XLOOKUP(1,([1]!readmissions[Facility ID] = clean[[#This Row],[Facility ID]]) * ([1]!readmissions[Measure ID] = "Hybrid_HWR"), [1]!readmissions[Score]), "No Match")</f>
        <v>Not Available</v>
      </c>
    </row>
    <row r="69" spans="1:6" x14ac:dyDescent="0.2">
      <c r="A69" t="str">
        <f>[1]!hospitalinfo[[#This Row],[Facility ID]]</f>
        <v>010092</v>
      </c>
      <c r="B69" t="str">
        <f>[1]!hospitalinfo[[#This Row],[State]]</f>
        <v>AL</v>
      </c>
      <c r="C69" t="str">
        <f>[1]!hospitalinfo[[#This Row],[Hospital Type]]</f>
        <v>Acute Care Hospitals</v>
      </c>
      <c r="D69" t="str">
        <f>[1]!hospitalinfo[[#This Row],[Hospital Ownership]]</f>
        <v>Government - Hospital District or Authority</v>
      </c>
      <c r="E69" cm="1">
        <f t="array" ref="E69">_xlfn.IFNA(_xlfn.XLOOKUP(1,([1]!hcahps[Facility ID] = clean[[#This Row],[Facility ID]]) * ([1]!hcahps[HCAHPS Measure ID] = "H_HSP_RATING_LINEAR_SCORE"), [1]!hcahps[HCAHPS Linear Mean Value]), "No Match")</f>
        <v>88</v>
      </c>
      <c r="F69" cm="1">
        <f t="array" ref="F69">_xlfn.IFNA(_xlfn.XLOOKUP(1,([1]!readmissions[Facility ID] = clean[[#This Row],[Facility ID]]) * ([1]!readmissions[Measure ID] = "Hybrid_HWR"), [1]!readmissions[Score]), "No Match")</f>
        <v>14.8</v>
      </c>
    </row>
    <row r="70" spans="1:6" x14ac:dyDescent="0.2">
      <c r="A70" t="str">
        <f>[1]!hospitalinfo[[#This Row],[Facility ID]]</f>
        <v>010095</v>
      </c>
      <c r="B70" t="str">
        <f>[1]!hospitalinfo[[#This Row],[State]]</f>
        <v>AL</v>
      </c>
      <c r="C70" t="str">
        <f>[1]!hospitalinfo[[#This Row],[Hospital Type]]</f>
        <v>Acute Care Hospitals</v>
      </c>
      <c r="D70" t="str">
        <f>[1]!hospitalinfo[[#This Row],[Hospital Ownership]]</f>
        <v>Government - Hospital District or Authority</v>
      </c>
      <c r="E70" t="str" cm="1">
        <f t="array" ref="E70">_xlfn.IFNA(_xlfn.XLOOKUP(1,([1]!hcahps[Facility ID] = clean[[#This Row],[Facility ID]]) * ([1]!hcahps[HCAHPS Measure ID] = "H_HSP_RATING_LINEAR_SCORE"), [1]!hcahps[HCAHPS Linear Mean Value]), "No Match")</f>
        <v>Not Available</v>
      </c>
      <c r="F70" cm="1">
        <f t="array" ref="F70">_xlfn.IFNA(_xlfn.XLOOKUP(1,([1]!readmissions[Facility ID] = clean[[#This Row],[Facility ID]]) * ([1]!readmissions[Measure ID] = "Hybrid_HWR"), [1]!readmissions[Score]), "No Match")</f>
        <v>15.2</v>
      </c>
    </row>
    <row r="71" spans="1:6" x14ac:dyDescent="0.2">
      <c r="A71" t="str">
        <f>[1]!hospitalinfo[[#This Row],[Facility ID]]</f>
        <v>010097</v>
      </c>
      <c r="B71" t="str">
        <f>[1]!hospitalinfo[[#This Row],[State]]</f>
        <v>AL</v>
      </c>
      <c r="C71" t="str">
        <f>[1]!hospitalinfo[[#This Row],[Hospital Type]]</f>
        <v>Acute Care Hospitals</v>
      </c>
      <c r="D71" t="str">
        <f>[1]!hospitalinfo[[#This Row],[Hospital Ownership]]</f>
        <v>Proprietary</v>
      </c>
      <c r="E71" t="str" cm="1">
        <f t="array" ref="E71">_xlfn.IFNA(_xlfn.XLOOKUP(1,([1]!hcahps[Facility ID] = clean[[#This Row],[Facility ID]]) * ([1]!hcahps[HCAHPS Measure ID] = "H_HSP_RATING_LINEAR_SCORE"), [1]!hcahps[HCAHPS Linear Mean Value]), "No Match")</f>
        <v>Not Available</v>
      </c>
      <c r="F71" cm="1">
        <f t="array" ref="F71">_xlfn.IFNA(_xlfn.XLOOKUP(1,([1]!readmissions[Facility ID] = clean[[#This Row],[Facility ID]]) * ([1]!readmissions[Measure ID] = "Hybrid_HWR"), [1]!readmissions[Score]), "No Match")</f>
        <v>15.2</v>
      </c>
    </row>
    <row r="72" spans="1:6" x14ac:dyDescent="0.2">
      <c r="A72" t="str">
        <f>[1]!hospitalinfo[[#This Row],[Facility ID]]</f>
        <v>010099</v>
      </c>
      <c r="B72" t="str">
        <f>[1]!hospitalinfo[[#This Row],[State]]</f>
        <v>AL</v>
      </c>
      <c r="C72" t="str">
        <f>[1]!hospitalinfo[[#This Row],[Hospital Type]]</f>
        <v>Acute Care Hospitals</v>
      </c>
      <c r="D72" t="str">
        <f>[1]!hospitalinfo[[#This Row],[Hospital Ownership]]</f>
        <v>Government - Hospital District or Authority</v>
      </c>
      <c r="E72" cm="1">
        <f t="array" ref="E72">_xlfn.IFNA(_xlfn.XLOOKUP(1,([1]!hcahps[Facility ID] = clean[[#This Row],[Facility ID]]) * ([1]!hcahps[HCAHPS Measure ID] = "H_HSP_RATING_LINEAR_SCORE"), [1]!hcahps[HCAHPS Linear Mean Value]), "No Match")</f>
        <v>85</v>
      </c>
      <c r="F72" cm="1">
        <f t="array" ref="F72">_xlfn.IFNA(_xlfn.XLOOKUP(1,([1]!readmissions[Facility ID] = clean[[#This Row],[Facility ID]]) * ([1]!readmissions[Measure ID] = "Hybrid_HWR"), [1]!readmissions[Score]), "No Match")</f>
        <v>15.5</v>
      </c>
    </row>
    <row r="73" spans="1:6" x14ac:dyDescent="0.2">
      <c r="A73" t="str">
        <f>[1]!hospitalinfo[[#This Row],[Facility ID]]</f>
        <v>010100</v>
      </c>
      <c r="B73" t="str">
        <f>[1]!hospitalinfo[[#This Row],[State]]</f>
        <v>AL</v>
      </c>
      <c r="C73" t="str">
        <f>[1]!hospitalinfo[[#This Row],[Hospital Type]]</f>
        <v>Acute Care Hospitals</v>
      </c>
      <c r="D73" t="str">
        <f>[1]!hospitalinfo[[#This Row],[Hospital Ownership]]</f>
        <v>Voluntary non-profit - Private</v>
      </c>
      <c r="E73" cm="1">
        <f t="array" ref="E73">_xlfn.IFNA(_xlfn.XLOOKUP(1,([1]!hcahps[Facility ID] = clean[[#This Row],[Facility ID]]) * ([1]!hcahps[HCAHPS Measure ID] = "H_HSP_RATING_LINEAR_SCORE"), [1]!hcahps[HCAHPS Linear Mean Value]), "No Match")</f>
        <v>89</v>
      </c>
      <c r="F73" cm="1">
        <f t="array" ref="F73">_xlfn.IFNA(_xlfn.XLOOKUP(1,([1]!readmissions[Facility ID] = clean[[#This Row],[Facility ID]]) * ([1]!readmissions[Measure ID] = "Hybrid_HWR"), [1]!readmissions[Score]), "No Match")</f>
        <v>15.2</v>
      </c>
    </row>
    <row r="74" spans="1:6" x14ac:dyDescent="0.2">
      <c r="A74" t="str">
        <f>[1]!hospitalinfo[[#This Row],[Facility ID]]</f>
        <v>010101</v>
      </c>
      <c r="B74" t="str">
        <f>[1]!hospitalinfo[[#This Row],[State]]</f>
        <v>AL</v>
      </c>
      <c r="C74" t="str">
        <f>[1]!hospitalinfo[[#This Row],[Hospital Type]]</f>
        <v>Acute Care Hospitals</v>
      </c>
      <c r="D74" t="str">
        <f>[1]!hospitalinfo[[#This Row],[Hospital Ownership]]</f>
        <v>Voluntary non-profit - Private</v>
      </c>
      <c r="E74" cm="1">
        <f t="array" ref="E74">_xlfn.IFNA(_xlfn.XLOOKUP(1,([1]!hcahps[Facility ID] = clean[[#This Row],[Facility ID]]) * ([1]!hcahps[HCAHPS Measure ID] = "H_HSP_RATING_LINEAR_SCORE"), [1]!hcahps[HCAHPS Linear Mean Value]), "No Match")</f>
        <v>93</v>
      </c>
      <c r="F74" cm="1">
        <f t="array" ref="F74">_xlfn.IFNA(_xlfn.XLOOKUP(1,([1]!readmissions[Facility ID] = clean[[#This Row],[Facility ID]]) * ([1]!readmissions[Measure ID] = "Hybrid_HWR"), [1]!readmissions[Score]), "No Match")</f>
        <v>15</v>
      </c>
    </row>
    <row r="75" spans="1:6" x14ac:dyDescent="0.2">
      <c r="A75" t="str">
        <f>[1]!hospitalinfo[[#This Row],[Facility ID]]</f>
        <v>010103</v>
      </c>
      <c r="B75" t="str">
        <f>[1]!hospitalinfo[[#This Row],[State]]</f>
        <v>AL</v>
      </c>
      <c r="C75" t="str">
        <f>[1]!hospitalinfo[[#This Row],[Hospital Type]]</f>
        <v>Acute Care Hospitals</v>
      </c>
      <c r="D75" t="str">
        <f>[1]!hospitalinfo[[#This Row],[Hospital Ownership]]</f>
        <v>Voluntary non-profit - Church</v>
      </c>
      <c r="E75" cm="1">
        <f t="array" ref="E75">_xlfn.IFNA(_xlfn.XLOOKUP(1,([1]!hcahps[Facility ID] = clean[[#This Row],[Facility ID]]) * ([1]!hcahps[HCAHPS Measure ID] = "H_HSP_RATING_LINEAR_SCORE"), [1]!hcahps[HCAHPS Linear Mean Value]), "No Match")</f>
        <v>86</v>
      </c>
      <c r="F75" cm="1">
        <f t="array" ref="F75">_xlfn.IFNA(_xlfn.XLOOKUP(1,([1]!readmissions[Facility ID] = clean[[#This Row],[Facility ID]]) * ([1]!readmissions[Measure ID] = "Hybrid_HWR"), [1]!readmissions[Score]), "No Match")</f>
        <v>14.4</v>
      </c>
    </row>
    <row r="76" spans="1:6" x14ac:dyDescent="0.2">
      <c r="A76" t="str">
        <f>[1]!hospitalinfo[[#This Row],[Facility ID]]</f>
        <v>010104</v>
      </c>
      <c r="B76" t="str">
        <f>[1]!hospitalinfo[[#This Row],[State]]</f>
        <v>AL</v>
      </c>
      <c r="C76" t="str">
        <f>[1]!hospitalinfo[[#This Row],[Hospital Type]]</f>
        <v>Acute Care Hospitals</v>
      </c>
      <c r="D76" t="str">
        <f>[1]!hospitalinfo[[#This Row],[Hospital Ownership]]</f>
        <v>Proprietary</v>
      </c>
      <c r="E76" cm="1">
        <f t="array" ref="E76">_xlfn.IFNA(_xlfn.XLOOKUP(1,([1]!hcahps[Facility ID] = clean[[#This Row],[Facility ID]]) * ([1]!hcahps[HCAHPS Measure ID] = "H_HSP_RATING_LINEAR_SCORE"), [1]!hcahps[HCAHPS Linear Mean Value]), "No Match")</f>
        <v>88</v>
      </c>
      <c r="F76" cm="1">
        <f t="array" ref="F76">_xlfn.IFNA(_xlfn.XLOOKUP(1,([1]!readmissions[Facility ID] = clean[[#This Row],[Facility ID]]) * ([1]!readmissions[Measure ID] = "Hybrid_HWR"), [1]!readmissions[Score]), "No Match")</f>
        <v>15.8</v>
      </c>
    </row>
    <row r="77" spans="1:6" x14ac:dyDescent="0.2">
      <c r="A77" t="str">
        <f>[1]!hospitalinfo[[#This Row],[Facility ID]]</f>
        <v>010108</v>
      </c>
      <c r="B77" t="str">
        <f>[1]!hospitalinfo[[#This Row],[State]]</f>
        <v>AL</v>
      </c>
      <c r="C77" t="str">
        <f>[1]!hospitalinfo[[#This Row],[Hospital Type]]</f>
        <v>Acute Care Hospitals</v>
      </c>
      <c r="D77" t="str">
        <f>[1]!hospitalinfo[[#This Row],[Hospital Ownership]]</f>
        <v>Government - Hospital District or Authority</v>
      </c>
      <c r="E77" cm="1">
        <f t="array" ref="E77">_xlfn.IFNA(_xlfn.XLOOKUP(1,([1]!hcahps[Facility ID] = clean[[#This Row],[Facility ID]]) * ([1]!hcahps[HCAHPS Measure ID] = "H_HSP_RATING_LINEAR_SCORE"), [1]!hcahps[HCAHPS Linear Mean Value]), "No Match")</f>
        <v>90</v>
      </c>
      <c r="F77" cm="1">
        <f t="array" ref="F77">_xlfn.IFNA(_xlfn.XLOOKUP(1,([1]!readmissions[Facility ID] = clean[[#This Row],[Facility ID]]) * ([1]!readmissions[Measure ID] = "Hybrid_HWR"), [1]!readmissions[Score]), "No Match")</f>
        <v>15.5</v>
      </c>
    </row>
    <row r="78" spans="1:6" x14ac:dyDescent="0.2">
      <c r="A78" t="str">
        <f>[1]!hospitalinfo[[#This Row],[Facility ID]]</f>
        <v>010110</v>
      </c>
      <c r="B78" t="str">
        <f>[1]!hospitalinfo[[#This Row],[State]]</f>
        <v>AL</v>
      </c>
      <c r="C78" t="str">
        <f>[1]!hospitalinfo[[#This Row],[Hospital Type]]</f>
        <v>Acute Care Hospitals</v>
      </c>
      <c r="D78" t="str">
        <f>[1]!hospitalinfo[[#This Row],[Hospital Ownership]]</f>
        <v>Proprietary</v>
      </c>
      <c r="E78" t="str" cm="1">
        <f t="array" ref="E78">_xlfn.IFNA(_xlfn.XLOOKUP(1,([1]!hcahps[Facility ID] = clean[[#This Row],[Facility ID]]) * ([1]!hcahps[HCAHPS Measure ID] = "H_HSP_RATING_LINEAR_SCORE"), [1]!hcahps[HCAHPS Linear Mean Value]), "No Match")</f>
        <v>Not Available</v>
      </c>
      <c r="F78" t="str" cm="1">
        <f t="array" ref="F78">_xlfn.IFNA(_xlfn.XLOOKUP(1,([1]!readmissions[Facility ID] = clean[[#This Row],[Facility ID]]) * ([1]!readmissions[Measure ID] = "Hybrid_HWR"), [1]!readmissions[Score]), "No Match")</f>
        <v>Not Available</v>
      </c>
    </row>
    <row r="79" spans="1:6" x14ac:dyDescent="0.2">
      <c r="A79" t="str">
        <f>[1]!hospitalinfo[[#This Row],[Facility ID]]</f>
        <v>010112</v>
      </c>
      <c r="B79" t="str">
        <f>[1]!hospitalinfo[[#This Row],[State]]</f>
        <v>AL</v>
      </c>
      <c r="C79" t="str">
        <f>[1]!hospitalinfo[[#This Row],[Hospital Type]]</f>
        <v>Acute Care Hospitals</v>
      </c>
      <c r="D79" t="str">
        <f>[1]!hospitalinfo[[#This Row],[Hospital Ownership]]</f>
        <v>Government - Hospital District or Authority</v>
      </c>
      <c r="E79" cm="1">
        <f t="array" ref="E79">_xlfn.IFNA(_xlfn.XLOOKUP(1,([1]!hcahps[Facility ID] = clean[[#This Row],[Facility ID]]) * ([1]!hcahps[HCAHPS Measure ID] = "H_HSP_RATING_LINEAR_SCORE"), [1]!hcahps[HCAHPS Linear Mean Value]), "No Match")</f>
        <v>83</v>
      </c>
      <c r="F79" cm="1">
        <f t="array" ref="F79">_xlfn.IFNA(_xlfn.XLOOKUP(1,([1]!readmissions[Facility ID] = clean[[#This Row],[Facility ID]]) * ([1]!readmissions[Measure ID] = "Hybrid_HWR"), [1]!readmissions[Score]), "No Match")</f>
        <v>14.9</v>
      </c>
    </row>
    <row r="80" spans="1:6" x14ac:dyDescent="0.2">
      <c r="A80" t="str">
        <f>[1]!hospitalinfo[[#This Row],[Facility ID]]</f>
        <v>010113</v>
      </c>
      <c r="B80" t="str">
        <f>[1]!hospitalinfo[[#This Row],[State]]</f>
        <v>AL</v>
      </c>
      <c r="C80" t="str">
        <f>[1]!hospitalinfo[[#This Row],[Hospital Type]]</f>
        <v>Acute Care Hospitals</v>
      </c>
      <c r="D80" t="str">
        <f>[1]!hospitalinfo[[#This Row],[Hospital Ownership]]</f>
        <v>Voluntary non-profit - Private</v>
      </c>
      <c r="E80" cm="1">
        <f t="array" ref="E80">_xlfn.IFNA(_xlfn.XLOOKUP(1,([1]!hcahps[Facility ID] = clean[[#This Row],[Facility ID]]) * ([1]!hcahps[HCAHPS Measure ID] = "H_HSP_RATING_LINEAR_SCORE"), [1]!hcahps[HCAHPS Linear Mean Value]), "No Match")</f>
        <v>86</v>
      </c>
      <c r="F80" cm="1">
        <f t="array" ref="F80">_xlfn.IFNA(_xlfn.XLOOKUP(1,([1]!readmissions[Facility ID] = clean[[#This Row],[Facility ID]]) * ([1]!readmissions[Measure ID] = "Hybrid_HWR"), [1]!readmissions[Score]), "No Match")</f>
        <v>14.9</v>
      </c>
    </row>
    <row r="81" spans="1:6" x14ac:dyDescent="0.2">
      <c r="A81" t="str">
        <f>[1]!hospitalinfo[[#This Row],[Facility ID]]</f>
        <v>010114</v>
      </c>
      <c r="B81" t="str">
        <f>[1]!hospitalinfo[[#This Row],[State]]</f>
        <v>AL</v>
      </c>
      <c r="C81" t="str">
        <f>[1]!hospitalinfo[[#This Row],[Hospital Type]]</f>
        <v>Acute Care Hospitals</v>
      </c>
      <c r="D81" t="str">
        <f>[1]!hospitalinfo[[#This Row],[Hospital Ownership]]</f>
        <v>Government - Hospital District or Authority</v>
      </c>
      <c r="E81" cm="1">
        <f t="array" ref="E81">_xlfn.IFNA(_xlfn.XLOOKUP(1,([1]!hcahps[Facility ID] = clean[[#This Row],[Facility ID]]) * ([1]!hcahps[HCAHPS Measure ID] = "H_HSP_RATING_LINEAR_SCORE"), [1]!hcahps[HCAHPS Linear Mean Value]), "No Match")</f>
        <v>87</v>
      </c>
      <c r="F81" cm="1">
        <f t="array" ref="F81">_xlfn.IFNA(_xlfn.XLOOKUP(1,([1]!readmissions[Facility ID] = clean[[#This Row],[Facility ID]]) * ([1]!readmissions[Measure ID] = "Hybrid_HWR"), [1]!readmissions[Score]), "No Match")</f>
        <v>14.7</v>
      </c>
    </row>
    <row r="82" spans="1:6" x14ac:dyDescent="0.2">
      <c r="A82" t="str">
        <f>[1]!hospitalinfo[[#This Row],[Facility ID]]</f>
        <v>010118</v>
      </c>
      <c r="B82" t="str">
        <f>[1]!hospitalinfo[[#This Row],[State]]</f>
        <v>AL</v>
      </c>
      <c r="C82" t="str">
        <f>[1]!hospitalinfo[[#This Row],[Hospital Type]]</f>
        <v>Acute Care Hospitals</v>
      </c>
      <c r="D82" t="str">
        <f>[1]!hospitalinfo[[#This Row],[Hospital Ownership]]</f>
        <v>Proprietary</v>
      </c>
      <c r="E82" cm="1">
        <f t="array" ref="E82">_xlfn.IFNA(_xlfn.XLOOKUP(1,([1]!hcahps[Facility ID] = clean[[#This Row],[Facility ID]]) * ([1]!hcahps[HCAHPS Measure ID] = "H_HSP_RATING_LINEAR_SCORE"), [1]!hcahps[HCAHPS Linear Mean Value]), "No Match")</f>
        <v>80</v>
      </c>
      <c r="F82" cm="1">
        <f t="array" ref="F82">_xlfn.IFNA(_xlfn.XLOOKUP(1,([1]!readmissions[Facility ID] = clean[[#This Row],[Facility ID]]) * ([1]!readmissions[Measure ID] = "Hybrid_HWR"), [1]!readmissions[Score]), "No Match")</f>
        <v>15.8</v>
      </c>
    </row>
    <row r="83" spans="1:6" x14ac:dyDescent="0.2">
      <c r="A83" t="str">
        <f>[1]!hospitalinfo[[#This Row],[Facility ID]]</f>
        <v>010120</v>
      </c>
      <c r="B83" t="str">
        <f>[1]!hospitalinfo[[#This Row],[State]]</f>
        <v>AL</v>
      </c>
      <c r="C83" t="str">
        <f>[1]!hospitalinfo[[#This Row],[Hospital Type]]</f>
        <v>Acute Care Hospitals</v>
      </c>
      <c r="D83" t="str">
        <f>[1]!hospitalinfo[[#This Row],[Hospital Ownership]]</f>
        <v>Government - Hospital District or Authority</v>
      </c>
      <c r="E83" t="str" cm="1">
        <f t="array" ref="E83">_xlfn.IFNA(_xlfn.XLOOKUP(1,([1]!hcahps[Facility ID] = clean[[#This Row],[Facility ID]]) * ([1]!hcahps[HCAHPS Measure ID] = "H_HSP_RATING_LINEAR_SCORE"), [1]!hcahps[HCAHPS Linear Mean Value]), "No Match")</f>
        <v>Not Available</v>
      </c>
      <c r="F83" cm="1">
        <f t="array" ref="F83">_xlfn.IFNA(_xlfn.XLOOKUP(1,([1]!readmissions[Facility ID] = clean[[#This Row],[Facility ID]]) * ([1]!readmissions[Measure ID] = "Hybrid_HWR"), [1]!readmissions[Score]), "No Match")</f>
        <v>15.9</v>
      </c>
    </row>
    <row r="84" spans="1:6" x14ac:dyDescent="0.2">
      <c r="A84" t="str">
        <f>[1]!hospitalinfo[[#This Row],[Facility ID]]</f>
        <v>010125</v>
      </c>
      <c r="B84" t="str">
        <f>[1]!hospitalinfo[[#This Row],[State]]</f>
        <v>AL</v>
      </c>
      <c r="C84" t="str">
        <f>[1]!hospitalinfo[[#This Row],[Hospital Type]]</f>
        <v>Acute Care Hospitals</v>
      </c>
      <c r="D84" t="str">
        <f>[1]!hospitalinfo[[#This Row],[Hospital Ownership]]</f>
        <v>Proprietary</v>
      </c>
      <c r="E84" t="str" cm="1">
        <f t="array" ref="E84">_xlfn.IFNA(_xlfn.XLOOKUP(1,([1]!hcahps[Facility ID] = clean[[#This Row],[Facility ID]]) * ([1]!hcahps[HCAHPS Measure ID] = "H_HSP_RATING_LINEAR_SCORE"), [1]!hcahps[HCAHPS Linear Mean Value]), "No Match")</f>
        <v>Not Available</v>
      </c>
      <c r="F84" cm="1">
        <f t="array" ref="F84">_xlfn.IFNA(_xlfn.XLOOKUP(1,([1]!readmissions[Facility ID] = clean[[#This Row],[Facility ID]]) * ([1]!readmissions[Measure ID] = "Hybrid_HWR"), [1]!readmissions[Score]), "No Match")</f>
        <v>14.9</v>
      </c>
    </row>
    <row r="85" spans="1:6" x14ac:dyDescent="0.2">
      <c r="A85" t="str">
        <f>[1]!hospitalinfo[[#This Row],[Facility ID]]</f>
        <v>010126</v>
      </c>
      <c r="B85" t="str">
        <f>[1]!hospitalinfo[[#This Row],[State]]</f>
        <v>AL</v>
      </c>
      <c r="C85" t="str">
        <f>[1]!hospitalinfo[[#This Row],[Hospital Type]]</f>
        <v>Acute Care Hospitals</v>
      </c>
      <c r="D85" t="str">
        <f>[1]!hospitalinfo[[#This Row],[Hospital Ownership]]</f>
        <v>Government - Federal</v>
      </c>
      <c r="E85" cm="1">
        <f t="array" ref="E85">_xlfn.IFNA(_xlfn.XLOOKUP(1,([1]!hcahps[Facility ID] = clean[[#This Row],[Facility ID]]) * ([1]!hcahps[HCAHPS Measure ID] = "H_HSP_RATING_LINEAR_SCORE"), [1]!hcahps[HCAHPS Linear Mean Value]), "No Match")</f>
        <v>90</v>
      </c>
      <c r="F85" cm="1">
        <f t="array" ref="F85">_xlfn.IFNA(_xlfn.XLOOKUP(1,([1]!readmissions[Facility ID] = clean[[#This Row],[Facility ID]]) * ([1]!readmissions[Measure ID] = "Hybrid_HWR"), [1]!readmissions[Score]), "No Match")</f>
        <v>14.7</v>
      </c>
    </row>
    <row r="86" spans="1:6" x14ac:dyDescent="0.2">
      <c r="A86" t="str">
        <f>[1]!hospitalinfo[[#This Row],[Facility ID]]</f>
        <v>010128</v>
      </c>
      <c r="B86" t="str">
        <f>[1]!hospitalinfo[[#This Row],[State]]</f>
        <v>AL</v>
      </c>
      <c r="C86" t="str">
        <f>[1]!hospitalinfo[[#This Row],[Hospital Type]]</f>
        <v>Acute Care Hospitals</v>
      </c>
      <c r="D86" t="str">
        <f>[1]!hospitalinfo[[#This Row],[Hospital Ownership]]</f>
        <v>Proprietary</v>
      </c>
      <c r="E86" t="str" cm="1">
        <f t="array" ref="E86">_xlfn.IFNA(_xlfn.XLOOKUP(1,([1]!hcahps[Facility ID] = clean[[#This Row],[Facility ID]]) * ([1]!hcahps[HCAHPS Measure ID] = "H_HSP_RATING_LINEAR_SCORE"), [1]!hcahps[HCAHPS Linear Mean Value]), "No Match")</f>
        <v>Not Available</v>
      </c>
      <c r="F86" cm="1">
        <f t="array" ref="F86">_xlfn.IFNA(_xlfn.XLOOKUP(1,([1]!readmissions[Facility ID] = clean[[#This Row],[Facility ID]]) * ([1]!readmissions[Measure ID] = "Hybrid_HWR"), [1]!readmissions[Score]), "No Match")</f>
        <v>14.7</v>
      </c>
    </row>
    <row r="87" spans="1:6" x14ac:dyDescent="0.2">
      <c r="A87" t="str">
        <f>[1]!hospitalinfo[[#This Row],[Facility ID]]</f>
        <v>010129</v>
      </c>
      <c r="B87" t="str">
        <f>[1]!hospitalinfo[[#This Row],[State]]</f>
        <v>AL</v>
      </c>
      <c r="C87" t="str">
        <f>[1]!hospitalinfo[[#This Row],[Hospital Type]]</f>
        <v>Acute Care Hospitals</v>
      </c>
      <c r="D87" t="str">
        <f>[1]!hospitalinfo[[#This Row],[Hospital Ownership]]</f>
        <v>Voluntary non-profit - Private</v>
      </c>
      <c r="E87" cm="1">
        <f t="array" ref="E87">_xlfn.IFNA(_xlfn.XLOOKUP(1,([1]!hcahps[Facility ID] = clean[[#This Row],[Facility ID]]) * ([1]!hcahps[HCAHPS Measure ID] = "H_HSP_RATING_LINEAR_SCORE"), [1]!hcahps[HCAHPS Linear Mean Value]), "No Match")</f>
        <v>93</v>
      </c>
      <c r="F87" cm="1">
        <f t="array" ref="F87">_xlfn.IFNA(_xlfn.XLOOKUP(1,([1]!readmissions[Facility ID] = clean[[#This Row],[Facility ID]]) * ([1]!readmissions[Measure ID] = "Hybrid_HWR"), [1]!readmissions[Score]), "No Match")</f>
        <v>14.9</v>
      </c>
    </row>
    <row r="88" spans="1:6" x14ac:dyDescent="0.2">
      <c r="A88" t="str">
        <f>[1]!hospitalinfo[[#This Row],[Facility ID]]</f>
        <v>010130</v>
      </c>
      <c r="B88" t="str">
        <f>[1]!hospitalinfo[[#This Row],[State]]</f>
        <v>AL</v>
      </c>
      <c r="C88" t="str">
        <f>[1]!hospitalinfo[[#This Row],[Hospital Type]]</f>
        <v>Acute Care Hospitals</v>
      </c>
      <c r="D88" t="str">
        <f>[1]!hospitalinfo[[#This Row],[Hospital Ownership]]</f>
        <v>Voluntary non-profit - Private</v>
      </c>
      <c r="E88" cm="1">
        <f t="array" ref="E88">_xlfn.IFNA(_xlfn.XLOOKUP(1,([1]!hcahps[Facility ID] = clean[[#This Row],[Facility ID]]) * ([1]!hcahps[HCAHPS Measure ID] = "H_HSP_RATING_LINEAR_SCORE"), [1]!hcahps[HCAHPS Linear Mean Value]), "No Match")</f>
        <v>90</v>
      </c>
      <c r="F88" cm="1">
        <f t="array" ref="F88">_xlfn.IFNA(_xlfn.XLOOKUP(1,([1]!readmissions[Facility ID] = clean[[#This Row],[Facility ID]]) * ([1]!readmissions[Measure ID] = "Hybrid_HWR"), [1]!readmissions[Score]), "No Match")</f>
        <v>15.8</v>
      </c>
    </row>
    <row r="89" spans="1:6" x14ac:dyDescent="0.2">
      <c r="A89" t="str">
        <f>[1]!hospitalinfo[[#This Row],[Facility ID]]</f>
        <v>010131</v>
      </c>
      <c r="B89" t="str">
        <f>[1]!hospitalinfo[[#This Row],[State]]</f>
        <v>AL</v>
      </c>
      <c r="C89" t="str">
        <f>[1]!hospitalinfo[[#This Row],[Hospital Type]]</f>
        <v>Acute Care Hospitals</v>
      </c>
      <c r="D89" t="str">
        <f>[1]!hospitalinfo[[#This Row],[Hospital Ownership]]</f>
        <v>Proprietary</v>
      </c>
      <c r="E89" cm="1">
        <f t="array" ref="E89">_xlfn.IFNA(_xlfn.XLOOKUP(1,([1]!hcahps[Facility ID] = clean[[#This Row],[Facility ID]]) * ([1]!hcahps[HCAHPS Measure ID] = "H_HSP_RATING_LINEAR_SCORE"), [1]!hcahps[HCAHPS Linear Mean Value]), "No Match")</f>
        <v>84</v>
      </c>
      <c r="F89" cm="1">
        <f t="array" ref="F89">_xlfn.IFNA(_xlfn.XLOOKUP(1,([1]!readmissions[Facility ID] = clean[[#This Row],[Facility ID]]) * ([1]!readmissions[Measure ID] = "Hybrid_HWR"), [1]!readmissions[Score]), "No Match")</f>
        <v>14.7</v>
      </c>
    </row>
    <row r="90" spans="1:6" x14ac:dyDescent="0.2">
      <c r="A90" t="str">
        <f>[1]!hospitalinfo[[#This Row],[Facility ID]]</f>
        <v>010138</v>
      </c>
      <c r="B90" t="str">
        <f>[1]!hospitalinfo[[#This Row],[State]]</f>
        <v>AL</v>
      </c>
      <c r="C90" t="str">
        <f>[1]!hospitalinfo[[#This Row],[Hospital Type]]</f>
        <v>Acute Care Hospitals</v>
      </c>
      <c r="D90" t="str">
        <f>[1]!hospitalinfo[[#This Row],[Hospital Ownership]]</f>
        <v>Government - Hospital District or Authority</v>
      </c>
      <c r="E90" t="str" cm="1">
        <f t="array" ref="E90">_xlfn.IFNA(_xlfn.XLOOKUP(1,([1]!hcahps[Facility ID] = clean[[#This Row],[Facility ID]]) * ([1]!hcahps[HCAHPS Measure ID] = "H_HSP_RATING_LINEAR_SCORE"), [1]!hcahps[HCAHPS Linear Mean Value]), "No Match")</f>
        <v>Not Available</v>
      </c>
      <c r="F90" t="str" cm="1">
        <f t="array" ref="F90">_xlfn.IFNA(_xlfn.XLOOKUP(1,([1]!readmissions[Facility ID] = clean[[#This Row],[Facility ID]]) * ([1]!readmissions[Measure ID] = "Hybrid_HWR"), [1]!readmissions[Score]), "No Match")</f>
        <v>Not Available</v>
      </c>
    </row>
    <row r="91" spans="1:6" x14ac:dyDescent="0.2">
      <c r="A91" t="str">
        <f>[1]!hospitalinfo[[#This Row],[Facility ID]]</f>
        <v>010139</v>
      </c>
      <c r="B91" t="str">
        <f>[1]!hospitalinfo[[#This Row],[State]]</f>
        <v>AL</v>
      </c>
      <c r="C91" t="str">
        <f>[1]!hospitalinfo[[#This Row],[Hospital Type]]</f>
        <v>Acute Care Hospitals</v>
      </c>
      <c r="D91" t="str">
        <f>[1]!hospitalinfo[[#This Row],[Hospital Ownership]]</f>
        <v>Proprietary</v>
      </c>
      <c r="E91" cm="1">
        <f t="array" ref="E91">_xlfn.IFNA(_xlfn.XLOOKUP(1,([1]!hcahps[Facility ID] = clean[[#This Row],[Facility ID]]) * ([1]!hcahps[HCAHPS Measure ID] = "H_HSP_RATING_LINEAR_SCORE"), [1]!hcahps[HCAHPS Linear Mean Value]), "No Match")</f>
        <v>82</v>
      </c>
      <c r="F91" cm="1">
        <f t="array" ref="F91">_xlfn.IFNA(_xlfn.XLOOKUP(1,([1]!readmissions[Facility ID] = clean[[#This Row],[Facility ID]]) * ([1]!readmissions[Measure ID] = "Hybrid_HWR"), [1]!readmissions[Score]), "No Match")</f>
        <v>14.5</v>
      </c>
    </row>
    <row r="92" spans="1:6" x14ac:dyDescent="0.2">
      <c r="A92" t="str">
        <f>[1]!hospitalinfo[[#This Row],[Facility ID]]</f>
        <v>010144</v>
      </c>
      <c r="B92" t="str">
        <f>[1]!hospitalinfo[[#This Row],[State]]</f>
        <v>AL</v>
      </c>
      <c r="C92" t="str">
        <f>[1]!hospitalinfo[[#This Row],[Hospital Type]]</f>
        <v>Acute Care Hospitals</v>
      </c>
      <c r="D92" t="str">
        <f>[1]!hospitalinfo[[#This Row],[Hospital Ownership]]</f>
        <v>Proprietary</v>
      </c>
      <c r="E92" cm="1">
        <f t="array" ref="E92">_xlfn.IFNA(_xlfn.XLOOKUP(1,([1]!hcahps[Facility ID] = clean[[#This Row],[Facility ID]]) * ([1]!hcahps[HCAHPS Measure ID] = "H_HSP_RATING_LINEAR_SCORE"), [1]!hcahps[HCAHPS Linear Mean Value]), "No Match")</f>
        <v>88</v>
      </c>
      <c r="F92" cm="1">
        <f t="array" ref="F92">_xlfn.IFNA(_xlfn.XLOOKUP(1,([1]!readmissions[Facility ID] = clean[[#This Row],[Facility ID]]) * ([1]!readmissions[Measure ID] = "Hybrid_HWR"), [1]!readmissions[Score]), "No Match")</f>
        <v>15.6</v>
      </c>
    </row>
    <row r="93" spans="1:6" x14ac:dyDescent="0.2">
      <c r="A93" t="str">
        <f>[1]!hospitalinfo[[#This Row],[Facility ID]]</f>
        <v>010148</v>
      </c>
      <c r="B93" t="str">
        <f>[1]!hospitalinfo[[#This Row],[State]]</f>
        <v>AL</v>
      </c>
      <c r="C93" t="str">
        <f>[1]!hospitalinfo[[#This Row],[Hospital Type]]</f>
        <v>Acute Care Hospitals</v>
      </c>
      <c r="D93" t="str">
        <f>[1]!hospitalinfo[[#This Row],[Hospital Ownership]]</f>
        <v>Proprietary</v>
      </c>
      <c r="E93" cm="1">
        <f t="array" ref="E93">_xlfn.IFNA(_xlfn.XLOOKUP(1,([1]!hcahps[Facility ID] = clean[[#This Row],[Facility ID]]) * ([1]!hcahps[HCAHPS Measure ID] = "H_HSP_RATING_LINEAR_SCORE"), [1]!hcahps[HCAHPS Linear Mean Value]), "No Match")</f>
        <v>90</v>
      </c>
      <c r="F93" cm="1">
        <f t="array" ref="F93">_xlfn.IFNA(_xlfn.XLOOKUP(1,([1]!readmissions[Facility ID] = clean[[#This Row],[Facility ID]]) * ([1]!readmissions[Measure ID] = "Hybrid_HWR"), [1]!readmissions[Score]), "No Match")</f>
        <v>15.6</v>
      </c>
    </row>
    <row r="94" spans="1:6" x14ac:dyDescent="0.2">
      <c r="A94" t="str">
        <f>[1]!hospitalinfo[[#This Row],[Facility ID]]</f>
        <v>010149</v>
      </c>
      <c r="B94" t="str">
        <f>[1]!hospitalinfo[[#This Row],[State]]</f>
        <v>AL</v>
      </c>
      <c r="C94" t="str">
        <f>[1]!hospitalinfo[[#This Row],[Hospital Type]]</f>
        <v>Acute Care Hospitals</v>
      </c>
      <c r="D94" t="str">
        <f>[1]!hospitalinfo[[#This Row],[Hospital Ownership]]</f>
        <v>Government - Hospital District or Authority</v>
      </c>
      <c r="E94" cm="1">
        <f t="array" ref="E94">_xlfn.IFNA(_xlfn.XLOOKUP(1,([1]!hcahps[Facility ID] = clean[[#This Row],[Facility ID]]) * ([1]!hcahps[HCAHPS Measure ID] = "H_HSP_RATING_LINEAR_SCORE"), [1]!hcahps[HCAHPS Linear Mean Value]), "No Match")</f>
        <v>90</v>
      </c>
      <c r="F94" cm="1">
        <f t="array" ref="F94">_xlfn.IFNA(_xlfn.XLOOKUP(1,([1]!readmissions[Facility ID] = clean[[#This Row],[Facility ID]]) * ([1]!readmissions[Measure ID] = "Hybrid_HWR"), [1]!readmissions[Score]), "No Match")</f>
        <v>14.8</v>
      </c>
    </row>
    <row r="95" spans="1:6" x14ac:dyDescent="0.2">
      <c r="A95" t="str">
        <f>[1]!hospitalinfo[[#This Row],[Facility ID]]</f>
        <v>01014F</v>
      </c>
      <c r="B95" t="str">
        <f>[1]!hospitalinfo[[#This Row],[State]]</f>
        <v>AL</v>
      </c>
      <c r="C95" t="str">
        <f>[1]!hospitalinfo[[#This Row],[Hospital Type]]</f>
        <v>Acute Care - Veterans Administration</v>
      </c>
      <c r="D95" t="str">
        <f>[1]!hospitalinfo[[#This Row],[Hospital Ownership]]</f>
        <v>Veterans Health Administration</v>
      </c>
      <c r="E95" cm="1">
        <f t="array" ref="E95">_xlfn.IFNA(_xlfn.XLOOKUP(1,([1]!hcahps[Facility ID] = clean[[#This Row],[Facility ID]]) * ([1]!hcahps[HCAHPS Measure ID] = "H_HSP_RATING_LINEAR_SCORE"), [1]!hcahps[HCAHPS Linear Mean Value]), "No Match")</f>
        <v>90</v>
      </c>
      <c r="F95" cm="1">
        <f t="array" ref="F95">_xlfn.IFNA(_xlfn.XLOOKUP(1,([1]!readmissions[Facility ID] = clean[[#This Row],[Facility ID]]) * ([1]!readmissions[Measure ID] = "Hybrid_HWR"), [1]!readmissions[Score]), "No Match")</f>
        <v>14.5</v>
      </c>
    </row>
    <row r="96" spans="1:6" x14ac:dyDescent="0.2">
      <c r="A96" t="str">
        <f>[1]!hospitalinfo[[#This Row],[Facility ID]]</f>
        <v>010150</v>
      </c>
      <c r="B96" t="str">
        <f>[1]!hospitalinfo[[#This Row],[State]]</f>
        <v>AL</v>
      </c>
      <c r="C96" t="str">
        <f>[1]!hospitalinfo[[#This Row],[Hospital Type]]</f>
        <v>Acute Care Hospitals</v>
      </c>
      <c r="D96" t="str">
        <f>[1]!hospitalinfo[[#This Row],[Hospital Ownership]]</f>
        <v>Proprietary</v>
      </c>
      <c r="E96" t="str" cm="1">
        <f t="array" ref="E96">_xlfn.IFNA(_xlfn.XLOOKUP(1,([1]!hcahps[Facility ID] = clean[[#This Row],[Facility ID]]) * ([1]!hcahps[HCAHPS Measure ID] = "H_HSP_RATING_LINEAR_SCORE"), [1]!hcahps[HCAHPS Linear Mean Value]), "No Match")</f>
        <v>Not Available</v>
      </c>
      <c r="F96" cm="1">
        <f t="array" ref="F96">_xlfn.IFNA(_xlfn.XLOOKUP(1,([1]!readmissions[Facility ID] = clean[[#This Row],[Facility ID]]) * ([1]!readmissions[Measure ID] = "Hybrid_HWR"), [1]!readmissions[Score]), "No Match")</f>
        <v>14.7</v>
      </c>
    </row>
    <row r="97" spans="1:6" x14ac:dyDescent="0.2">
      <c r="A97" t="str">
        <f>[1]!hospitalinfo[[#This Row],[Facility ID]]</f>
        <v>010157</v>
      </c>
      <c r="B97" t="str">
        <f>[1]!hospitalinfo[[#This Row],[State]]</f>
        <v>AL</v>
      </c>
      <c r="C97" t="str">
        <f>[1]!hospitalinfo[[#This Row],[Hospital Type]]</f>
        <v>Acute Care Hospitals</v>
      </c>
      <c r="D97" t="str">
        <f>[1]!hospitalinfo[[#This Row],[Hospital Ownership]]</f>
        <v>Proprietary</v>
      </c>
      <c r="E97" t="str" cm="1">
        <f t="array" ref="E97">_xlfn.IFNA(_xlfn.XLOOKUP(1,([1]!hcahps[Facility ID] = clean[[#This Row],[Facility ID]]) * ([1]!hcahps[HCAHPS Measure ID] = "H_HSP_RATING_LINEAR_SCORE"), [1]!hcahps[HCAHPS Linear Mean Value]), "No Match")</f>
        <v>Not Available</v>
      </c>
      <c r="F97" cm="1">
        <f t="array" ref="F97">_xlfn.IFNA(_xlfn.XLOOKUP(1,([1]!readmissions[Facility ID] = clean[[#This Row],[Facility ID]]) * ([1]!readmissions[Measure ID] = "Hybrid_HWR"), [1]!readmissions[Score]), "No Match")</f>
        <v>15.4</v>
      </c>
    </row>
    <row r="98" spans="1:6" x14ac:dyDescent="0.2">
      <c r="A98" t="str">
        <f>[1]!hospitalinfo[[#This Row],[Facility ID]]</f>
        <v>010158</v>
      </c>
      <c r="B98" t="str">
        <f>[1]!hospitalinfo[[#This Row],[State]]</f>
        <v>AL</v>
      </c>
      <c r="C98" t="str">
        <f>[1]!hospitalinfo[[#This Row],[Hospital Type]]</f>
        <v>Acute Care Hospitals</v>
      </c>
      <c r="D98" t="str">
        <f>[1]!hospitalinfo[[#This Row],[Hospital Ownership]]</f>
        <v>Proprietary</v>
      </c>
      <c r="E98" t="str" cm="1">
        <f t="array" ref="E98">_xlfn.IFNA(_xlfn.XLOOKUP(1,([1]!hcahps[Facility ID] = clean[[#This Row],[Facility ID]]) * ([1]!hcahps[HCAHPS Measure ID] = "H_HSP_RATING_LINEAR_SCORE"), [1]!hcahps[HCAHPS Linear Mean Value]), "No Match")</f>
        <v>Not Available</v>
      </c>
      <c r="F98" cm="1">
        <f t="array" ref="F98">_xlfn.IFNA(_xlfn.XLOOKUP(1,([1]!readmissions[Facility ID] = clean[[#This Row],[Facility ID]]) * ([1]!readmissions[Measure ID] = "Hybrid_HWR"), [1]!readmissions[Score]), "No Match")</f>
        <v>16.3</v>
      </c>
    </row>
    <row r="99" spans="1:6" x14ac:dyDescent="0.2">
      <c r="A99" t="str">
        <f>[1]!hospitalinfo[[#This Row],[Facility ID]]</f>
        <v>010164</v>
      </c>
      <c r="B99" t="str">
        <f>[1]!hospitalinfo[[#This Row],[State]]</f>
        <v>AL</v>
      </c>
      <c r="C99" t="str">
        <f>[1]!hospitalinfo[[#This Row],[Hospital Type]]</f>
        <v>Acute Care Hospitals</v>
      </c>
      <c r="D99" t="str">
        <f>[1]!hospitalinfo[[#This Row],[Hospital Ownership]]</f>
        <v>Government - Hospital District or Authority</v>
      </c>
      <c r="E99" cm="1">
        <f t="array" ref="E99">_xlfn.IFNA(_xlfn.XLOOKUP(1,([1]!hcahps[Facility ID] = clean[[#This Row],[Facility ID]]) * ([1]!hcahps[HCAHPS Measure ID] = "H_HSP_RATING_LINEAR_SCORE"), [1]!hcahps[HCAHPS Linear Mean Value]), "No Match")</f>
        <v>88</v>
      </c>
      <c r="F99" cm="1">
        <f t="array" ref="F99">_xlfn.IFNA(_xlfn.XLOOKUP(1,([1]!readmissions[Facility ID] = clean[[#This Row],[Facility ID]]) * ([1]!readmissions[Measure ID] = "Hybrid_HWR"), [1]!readmissions[Score]), "No Match")</f>
        <v>15.1</v>
      </c>
    </row>
    <row r="100" spans="1:6" x14ac:dyDescent="0.2">
      <c r="A100" t="str">
        <f>[1]!hospitalinfo[[#This Row],[Facility ID]]</f>
        <v>010168</v>
      </c>
      <c r="B100" t="str">
        <f>[1]!hospitalinfo[[#This Row],[State]]</f>
        <v>AL</v>
      </c>
      <c r="C100" t="str">
        <f>[1]!hospitalinfo[[#This Row],[Hospital Type]]</f>
        <v>Acute Care Hospitals</v>
      </c>
      <c r="D100" t="str">
        <f>[1]!hospitalinfo[[#This Row],[Hospital Ownership]]</f>
        <v>Government - State</v>
      </c>
      <c r="E100" cm="1">
        <f t="array" ref="E100">_xlfn.IFNA(_xlfn.XLOOKUP(1,([1]!hcahps[Facility ID] = clean[[#This Row],[Facility ID]]) * ([1]!hcahps[HCAHPS Measure ID] = "H_HSP_RATING_LINEAR_SCORE"), [1]!hcahps[HCAHPS Linear Mean Value]), "No Match")</f>
        <v>93</v>
      </c>
      <c r="F100" cm="1">
        <f t="array" ref="F100">_xlfn.IFNA(_xlfn.XLOOKUP(1,([1]!readmissions[Facility ID] = clean[[#This Row],[Facility ID]]) * ([1]!readmissions[Measure ID] = "Hybrid_HWR"), [1]!readmissions[Score]), "No Match")</f>
        <v>15.2</v>
      </c>
    </row>
    <row r="101" spans="1:6" x14ac:dyDescent="0.2">
      <c r="A101" t="str">
        <f>[1]!hospitalinfo[[#This Row],[Facility ID]]</f>
        <v>010169</v>
      </c>
      <c r="B101" t="str">
        <f>[1]!hospitalinfo[[#This Row],[State]]</f>
        <v>AL</v>
      </c>
      <c r="C101" t="str">
        <f>[1]!hospitalinfo[[#This Row],[Hospital Type]]</f>
        <v>Acute Care Hospitals</v>
      </c>
      <c r="D101" t="str">
        <f>[1]!hospitalinfo[[#This Row],[Hospital Ownership]]</f>
        <v>Government - Hospital District or Authority</v>
      </c>
      <c r="E101" t="str" cm="1">
        <f t="array" ref="E101">_xlfn.IFNA(_xlfn.XLOOKUP(1,([1]!hcahps[Facility ID] = clean[[#This Row],[Facility ID]]) * ([1]!hcahps[HCAHPS Measure ID] = "H_HSP_RATING_LINEAR_SCORE"), [1]!hcahps[HCAHPS Linear Mean Value]), "No Match")</f>
        <v>Not Available</v>
      </c>
      <c r="F101" cm="1">
        <f t="array" ref="F101">_xlfn.IFNA(_xlfn.XLOOKUP(1,([1]!readmissions[Facility ID] = clean[[#This Row],[Facility ID]]) * ([1]!readmissions[Measure ID] = "Hybrid_HWR"), [1]!readmissions[Score]), "No Match")</f>
        <v>15.5</v>
      </c>
    </row>
    <row r="102" spans="1:6" x14ac:dyDescent="0.2">
      <c r="A102" t="str">
        <f>[1]!hospitalinfo[[#This Row],[Facility ID]]</f>
        <v>010173</v>
      </c>
      <c r="B102" t="str">
        <f>[1]!hospitalinfo[[#This Row],[State]]</f>
        <v>AL</v>
      </c>
      <c r="C102" t="str">
        <f>[1]!hospitalinfo[[#This Row],[Hospital Type]]</f>
        <v>Acute Care Hospitals</v>
      </c>
      <c r="D102" t="str">
        <f>[1]!hospitalinfo[[#This Row],[Hospital Ownership]]</f>
        <v>Voluntary non-profit - Church</v>
      </c>
      <c r="E102" t="str" cm="1">
        <f t="array" ref="E102">_xlfn.IFNA(_xlfn.XLOOKUP(1,([1]!hcahps[Facility ID] = clean[[#This Row],[Facility ID]]) * ([1]!hcahps[HCAHPS Measure ID] = "H_HSP_RATING_LINEAR_SCORE"), [1]!hcahps[HCAHPS Linear Mean Value]), "No Match")</f>
        <v>Not Available</v>
      </c>
      <c r="F102" cm="1">
        <f t="array" ref="F102">_xlfn.IFNA(_xlfn.XLOOKUP(1,([1]!readmissions[Facility ID] = clean[[#This Row],[Facility ID]]) * ([1]!readmissions[Measure ID] = "Hybrid_HWR"), [1]!readmissions[Score]), "No Match")</f>
        <v>14.8</v>
      </c>
    </row>
    <row r="103" spans="1:6" x14ac:dyDescent="0.2">
      <c r="A103" t="str">
        <f>[1]!hospitalinfo[[#This Row],[Facility ID]]</f>
        <v>01019F</v>
      </c>
      <c r="B103" t="str">
        <f>[1]!hospitalinfo[[#This Row],[State]]</f>
        <v>AL</v>
      </c>
      <c r="C103" t="str">
        <f>[1]!hospitalinfo[[#This Row],[Hospital Type]]</f>
        <v>Acute Care - Veterans Administration</v>
      </c>
      <c r="D103" t="str">
        <f>[1]!hospitalinfo[[#This Row],[Hospital Ownership]]</f>
        <v>Veterans Health Administration</v>
      </c>
      <c r="E103" cm="1">
        <f t="array" ref="E103">_xlfn.IFNA(_xlfn.XLOOKUP(1,([1]!hcahps[Facility ID] = clean[[#This Row],[Facility ID]]) * ([1]!hcahps[HCAHPS Measure ID] = "H_HSP_RATING_LINEAR_SCORE"), [1]!hcahps[HCAHPS Linear Mean Value]), "No Match")</f>
        <v>90</v>
      </c>
      <c r="F103" cm="1">
        <f t="array" ref="F103">_xlfn.IFNA(_xlfn.XLOOKUP(1,([1]!readmissions[Facility ID] = clean[[#This Row],[Facility ID]]) * ([1]!readmissions[Measure ID] = "Hybrid_HWR"), [1]!readmissions[Score]), "No Match")</f>
        <v>14.5</v>
      </c>
    </row>
    <row r="104" spans="1:6" x14ac:dyDescent="0.2">
      <c r="A104" t="str">
        <f>[1]!hospitalinfo[[#This Row],[Facility ID]]</f>
        <v>01021F</v>
      </c>
      <c r="B104" t="str">
        <f>[1]!hospitalinfo[[#This Row],[State]]</f>
        <v>AL</v>
      </c>
      <c r="C104" t="str">
        <f>[1]!hospitalinfo[[#This Row],[Hospital Type]]</f>
        <v>Acute Care - Veterans Administration</v>
      </c>
      <c r="D104" t="str">
        <f>[1]!hospitalinfo[[#This Row],[Hospital Ownership]]</f>
        <v>Veterans Health Administration</v>
      </c>
      <c r="E104" t="str" cm="1">
        <f t="array" ref="E104">_xlfn.IFNA(_xlfn.XLOOKUP(1,([1]!hcahps[Facility ID] = clean[[#This Row],[Facility ID]]) * ([1]!hcahps[HCAHPS Measure ID] = "H_HSP_RATING_LINEAR_SCORE"), [1]!hcahps[HCAHPS Linear Mean Value]), "No Match")</f>
        <v>Not Available</v>
      </c>
      <c r="F104" t="str" cm="1">
        <f t="array" ref="F104">_xlfn.IFNA(_xlfn.XLOOKUP(1,([1]!readmissions[Facility ID] = clean[[#This Row],[Facility ID]]) * ([1]!readmissions[Measure ID] = "Hybrid_HWR"), [1]!readmissions[Score]), "No Match")</f>
        <v>Not Available</v>
      </c>
    </row>
    <row r="105" spans="1:6" x14ac:dyDescent="0.2">
      <c r="A105" t="str">
        <f>[1]!hospitalinfo[[#This Row],[Facility ID]]</f>
        <v>010779</v>
      </c>
      <c r="B105" t="str">
        <f>[1]!hospitalinfo[[#This Row],[State]]</f>
        <v>AL</v>
      </c>
      <c r="C105" t="str">
        <f>[1]!hospitalinfo[[#This Row],[Hospital Type]]</f>
        <v>Rural Emergency Hospital</v>
      </c>
      <c r="D105" t="str">
        <f>[1]!hospitalinfo[[#This Row],[Hospital Ownership]]</f>
        <v>Proprietary</v>
      </c>
      <c r="E105" t="str" cm="1">
        <f t="array" ref="E105">_xlfn.IFNA(_xlfn.XLOOKUP(1,([1]!hcahps[Facility ID] = clean[[#This Row],[Facility ID]]) * ([1]!hcahps[HCAHPS Measure ID] = "H_HSP_RATING_LINEAR_SCORE"), [1]!hcahps[HCAHPS Linear Mean Value]), "No Match")</f>
        <v>Not Available</v>
      </c>
      <c r="F105" t="str" cm="1">
        <f t="array" ref="F105">_xlfn.IFNA(_xlfn.XLOOKUP(1,([1]!readmissions[Facility ID] = clean[[#This Row],[Facility ID]]) * ([1]!readmissions[Measure ID] = "Hybrid_HWR"), [1]!readmissions[Score]), "No Match")</f>
        <v>Not Available</v>
      </c>
    </row>
    <row r="106" spans="1:6" x14ac:dyDescent="0.2">
      <c r="A106" t="str">
        <f>[1]!hospitalinfo[[#This Row],[Facility ID]]</f>
        <v>010780</v>
      </c>
      <c r="B106" t="str">
        <f>[1]!hospitalinfo[[#This Row],[State]]</f>
        <v>AL</v>
      </c>
      <c r="C106" t="str">
        <f>[1]!hospitalinfo[[#This Row],[Hospital Type]]</f>
        <v>Rural Emergency Hospital</v>
      </c>
      <c r="D106" t="str">
        <f>[1]!hospitalinfo[[#This Row],[Hospital Ownership]]</f>
        <v>Government - Hospital District or Authority</v>
      </c>
      <c r="E106" t="str" cm="1">
        <f t="array" ref="E106">_xlfn.IFNA(_xlfn.XLOOKUP(1,([1]!hcahps[Facility ID] = clean[[#This Row],[Facility ID]]) * ([1]!hcahps[HCAHPS Measure ID] = "H_HSP_RATING_LINEAR_SCORE"), [1]!hcahps[HCAHPS Linear Mean Value]), "No Match")</f>
        <v>Not Available</v>
      </c>
      <c r="F106" t="str" cm="1">
        <f t="array" ref="F106">_xlfn.IFNA(_xlfn.XLOOKUP(1,([1]!readmissions[Facility ID] = clean[[#This Row],[Facility ID]]) * ([1]!readmissions[Measure ID] = "Hybrid_HWR"), [1]!readmissions[Score]), "No Match")</f>
        <v>Not Available</v>
      </c>
    </row>
    <row r="107" spans="1:6" x14ac:dyDescent="0.2">
      <c r="A107" t="str">
        <f>[1]!hospitalinfo[[#This Row],[Facility ID]]</f>
        <v>010781</v>
      </c>
      <c r="B107" t="str">
        <f>[1]!hospitalinfo[[#This Row],[State]]</f>
        <v>AL</v>
      </c>
      <c r="C107" t="str">
        <f>[1]!hospitalinfo[[#This Row],[Hospital Type]]</f>
        <v>Rural Emergency Hospital</v>
      </c>
      <c r="D107" t="str">
        <f>[1]!hospitalinfo[[#This Row],[Hospital Ownership]]</f>
        <v>Government - Local</v>
      </c>
      <c r="E107" t="str" cm="1">
        <f t="array" ref="E107">_xlfn.IFNA(_xlfn.XLOOKUP(1,([1]!hcahps[Facility ID] = clean[[#This Row],[Facility ID]]) * ([1]!hcahps[HCAHPS Measure ID] = "H_HSP_RATING_LINEAR_SCORE"), [1]!hcahps[HCAHPS Linear Mean Value]), "No Match")</f>
        <v>Not Available</v>
      </c>
      <c r="F107" t="str" cm="1">
        <f t="array" ref="F107">_xlfn.IFNA(_xlfn.XLOOKUP(1,([1]!readmissions[Facility ID] = clean[[#This Row],[Facility ID]]) * ([1]!readmissions[Measure ID] = "Hybrid_HWR"), [1]!readmissions[Score]), "No Match")</f>
        <v>Not Available</v>
      </c>
    </row>
    <row r="108" spans="1:6" x14ac:dyDescent="0.2">
      <c r="A108" t="str">
        <f>[1]!hospitalinfo[[#This Row],[Facility ID]]</f>
        <v>011300</v>
      </c>
      <c r="B108" t="str">
        <f>[1]!hospitalinfo[[#This Row],[State]]</f>
        <v>AL</v>
      </c>
      <c r="C108" t="str">
        <f>[1]!hospitalinfo[[#This Row],[Hospital Type]]</f>
        <v>Critical Access Hospitals</v>
      </c>
      <c r="D108" t="str">
        <f>[1]!hospitalinfo[[#This Row],[Hospital Ownership]]</f>
        <v>Government - Local</v>
      </c>
      <c r="E108" t="str" cm="1">
        <f t="array" ref="E108">_xlfn.IFNA(_xlfn.XLOOKUP(1,([1]!hcahps[Facility ID] = clean[[#This Row],[Facility ID]]) * ([1]!hcahps[HCAHPS Measure ID] = "H_HSP_RATING_LINEAR_SCORE"), [1]!hcahps[HCAHPS Linear Mean Value]), "No Match")</f>
        <v>Not Available</v>
      </c>
      <c r="F108" cm="1">
        <f t="array" ref="F108">_xlfn.IFNA(_xlfn.XLOOKUP(1,([1]!readmissions[Facility ID] = clean[[#This Row],[Facility ID]]) * ([1]!readmissions[Measure ID] = "Hybrid_HWR"), [1]!readmissions[Score]), "No Match")</f>
        <v>14.9</v>
      </c>
    </row>
    <row r="109" spans="1:6" x14ac:dyDescent="0.2">
      <c r="A109" t="str">
        <f>[1]!hospitalinfo[[#This Row],[Facility ID]]</f>
        <v>011302</v>
      </c>
      <c r="B109" t="str">
        <f>[1]!hospitalinfo[[#This Row],[State]]</f>
        <v>AL</v>
      </c>
      <c r="C109" t="str">
        <f>[1]!hospitalinfo[[#This Row],[Hospital Type]]</f>
        <v>Critical Access Hospitals</v>
      </c>
      <c r="D109" t="str">
        <f>[1]!hospitalinfo[[#This Row],[Hospital Ownership]]</f>
        <v>Government - Hospital District or Authority</v>
      </c>
      <c r="E109" t="str" cm="1">
        <f t="array" ref="E109">_xlfn.IFNA(_xlfn.XLOOKUP(1,([1]!hcahps[Facility ID] = clean[[#This Row],[Facility ID]]) * ([1]!hcahps[HCAHPS Measure ID] = "H_HSP_RATING_LINEAR_SCORE"), [1]!hcahps[HCAHPS Linear Mean Value]), "No Match")</f>
        <v>Not Available</v>
      </c>
      <c r="F109" cm="1">
        <f t="array" ref="F109">_xlfn.IFNA(_xlfn.XLOOKUP(1,([1]!readmissions[Facility ID] = clean[[#This Row],[Facility ID]]) * ([1]!readmissions[Measure ID] = "Hybrid_HWR"), [1]!readmissions[Score]), "No Match")</f>
        <v>15</v>
      </c>
    </row>
    <row r="110" spans="1:6" x14ac:dyDescent="0.2">
      <c r="A110" t="str">
        <f>[1]!hospitalinfo[[#This Row],[Facility ID]]</f>
        <v>011304</v>
      </c>
      <c r="B110" t="str">
        <f>[1]!hospitalinfo[[#This Row],[State]]</f>
        <v>AL</v>
      </c>
      <c r="C110" t="str">
        <f>[1]!hospitalinfo[[#This Row],[Hospital Type]]</f>
        <v>Critical Access Hospitals</v>
      </c>
      <c r="D110" t="str">
        <f>[1]!hospitalinfo[[#This Row],[Hospital Ownership]]</f>
        <v>Voluntary non-profit - Private</v>
      </c>
      <c r="E110" t="str" cm="1">
        <f t="array" ref="E110">_xlfn.IFNA(_xlfn.XLOOKUP(1,([1]!hcahps[Facility ID] = clean[[#This Row],[Facility ID]]) * ([1]!hcahps[HCAHPS Measure ID] = "H_HSP_RATING_LINEAR_SCORE"), [1]!hcahps[HCAHPS Linear Mean Value]), "No Match")</f>
        <v>Not Available</v>
      </c>
      <c r="F110" t="str" cm="1">
        <f t="array" ref="F110">_xlfn.IFNA(_xlfn.XLOOKUP(1,([1]!readmissions[Facility ID] = clean[[#This Row],[Facility ID]]) * ([1]!readmissions[Measure ID] = "Hybrid_HWR"), [1]!readmissions[Score]), "No Match")</f>
        <v>Not Available</v>
      </c>
    </row>
    <row r="111" spans="1:6" x14ac:dyDescent="0.2">
      <c r="A111" t="str">
        <f>[1]!hospitalinfo[[#This Row],[Facility ID]]</f>
        <v>011305</v>
      </c>
      <c r="B111" t="str">
        <f>[1]!hospitalinfo[[#This Row],[State]]</f>
        <v>AL</v>
      </c>
      <c r="C111" t="str">
        <f>[1]!hospitalinfo[[#This Row],[Hospital Type]]</f>
        <v>Critical Access Hospitals</v>
      </c>
      <c r="D111" t="str">
        <f>[1]!hospitalinfo[[#This Row],[Hospital Ownership]]</f>
        <v>Voluntary non-profit - Private</v>
      </c>
      <c r="E111" t="str" cm="1">
        <f t="array" ref="E111">_xlfn.IFNA(_xlfn.XLOOKUP(1,([1]!hcahps[Facility ID] = clean[[#This Row],[Facility ID]]) * ([1]!hcahps[HCAHPS Measure ID] = "H_HSP_RATING_LINEAR_SCORE"), [1]!hcahps[HCAHPS Linear Mean Value]), "No Match")</f>
        <v>Not Available</v>
      </c>
      <c r="F111" cm="1">
        <f t="array" ref="F111">_xlfn.IFNA(_xlfn.XLOOKUP(1,([1]!readmissions[Facility ID] = clean[[#This Row],[Facility ID]]) * ([1]!readmissions[Measure ID] = "Hybrid_HWR"), [1]!readmissions[Score]), "No Match")</f>
        <v>14.2</v>
      </c>
    </row>
    <row r="112" spans="1:6" x14ac:dyDescent="0.2">
      <c r="A112" t="str">
        <f>[1]!hospitalinfo[[#This Row],[Facility ID]]</f>
        <v>011306</v>
      </c>
      <c r="B112" t="str">
        <f>[1]!hospitalinfo[[#This Row],[State]]</f>
        <v>AL</v>
      </c>
      <c r="C112" t="str">
        <f>[1]!hospitalinfo[[#This Row],[Hospital Type]]</f>
        <v>Critical Access Hospitals</v>
      </c>
      <c r="D112" t="str">
        <f>[1]!hospitalinfo[[#This Row],[Hospital Ownership]]</f>
        <v>Government - Hospital District or Authority</v>
      </c>
      <c r="E112" t="str" cm="1">
        <f t="array" ref="E112">_xlfn.IFNA(_xlfn.XLOOKUP(1,([1]!hcahps[Facility ID] = clean[[#This Row],[Facility ID]]) * ([1]!hcahps[HCAHPS Measure ID] = "H_HSP_RATING_LINEAR_SCORE"), [1]!hcahps[HCAHPS Linear Mean Value]), "No Match")</f>
        <v>Not Available</v>
      </c>
      <c r="F112" cm="1">
        <f t="array" ref="F112">_xlfn.IFNA(_xlfn.XLOOKUP(1,([1]!readmissions[Facility ID] = clean[[#This Row],[Facility ID]]) * ([1]!readmissions[Measure ID] = "Hybrid_HWR"), [1]!readmissions[Score]), "No Match")</f>
        <v>14.6</v>
      </c>
    </row>
    <row r="113" spans="1:6" x14ac:dyDescent="0.2">
      <c r="A113" t="str">
        <f>[1]!hospitalinfo[[#This Row],[Facility ID]]</f>
        <v>011307</v>
      </c>
      <c r="B113" t="str">
        <f>[1]!hospitalinfo[[#This Row],[State]]</f>
        <v>AL</v>
      </c>
      <c r="C113" t="str">
        <f>[1]!hospitalinfo[[#This Row],[Hospital Type]]</f>
        <v>Critical Access Hospitals</v>
      </c>
      <c r="D113" t="str">
        <f>[1]!hospitalinfo[[#This Row],[Hospital Ownership]]</f>
        <v>Government - Hospital District or Authority</v>
      </c>
      <c r="E113" t="str" cm="1">
        <f t="array" ref="E113">_xlfn.IFNA(_xlfn.XLOOKUP(1,([1]!hcahps[Facility ID] = clean[[#This Row],[Facility ID]]) * ([1]!hcahps[HCAHPS Measure ID] = "H_HSP_RATING_LINEAR_SCORE"), [1]!hcahps[HCAHPS Linear Mean Value]), "No Match")</f>
        <v>Not Available</v>
      </c>
      <c r="F113" t="str" cm="1">
        <f t="array" ref="F113">_xlfn.IFNA(_xlfn.XLOOKUP(1,([1]!readmissions[Facility ID] = clean[[#This Row],[Facility ID]]) * ([1]!readmissions[Measure ID] = "Hybrid_HWR"), [1]!readmissions[Score]), "No Match")</f>
        <v>Not Available</v>
      </c>
    </row>
    <row r="114" spans="1:6" x14ac:dyDescent="0.2">
      <c r="A114" t="str">
        <f>[1]!hospitalinfo[[#This Row],[Facility ID]]</f>
        <v>011308</v>
      </c>
      <c r="B114" t="str">
        <f>[1]!hospitalinfo[[#This Row],[State]]</f>
        <v>AL</v>
      </c>
      <c r="C114" t="str">
        <f>[1]!hospitalinfo[[#This Row],[Hospital Type]]</f>
        <v>Critical Access Hospitals</v>
      </c>
      <c r="D114" t="str">
        <f>[1]!hospitalinfo[[#This Row],[Hospital Ownership]]</f>
        <v>Government - Hospital District or Authority</v>
      </c>
      <c r="E114" t="str" cm="1">
        <f t="array" ref="E114">_xlfn.IFNA(_xlfn.XLOOKUP(1,([1]!hcahps[Facility ID] = clean[[#This Row],[Facility ID]]) * ([1]!hcahps[HCAHPS Measure ID] = "H_HSP_RATING_LINEAR_SCORE"), [1]!hcahps[HCAHPS Linear Mean Value]), "No Match")</f>
        <v>Not Available</v>
      </c>
      <c r="F114" t="str" cm="1">
        <f t="array" ref="F114">_xlfn.IFNA(_xlfn.XLOOKUP(1,([1]!readmissions[Facility ID] = clean[[#This Row],[Facility ID]]) * ([1]!readmissions[Measure ID] = "Hybrid_HWR"), [1]!readmissions[Score]), "No Match")</f>
        <v>Not Available</v>
      </c>
    </row>
    <row r="115" spans="1:6" x14ac:dyDescent="0.2">
      <c r="A115" t="str">
        <f>[1]!hospitalinfo[[#This Row],[Facility ID]]</f>
        <v>011309</v>
      </c>
      <c r="B115" t="str">
        <f>[1]!hospitalinfo[[#This Row],[State]]</f>
        <v>AL</v>
      </c>
      <c r="C115" t="str">
        <f>[1]!hospitalinfo[[#This Row],[Hospital Type]]</f>
        <v>Critical Access Hospitals</v>
      </c>
      <c r="D115" t="str">
        <f>[1]!hospitalinfo[[#This Row],[Hospital Ownership]]</f>
        <v>Government - Hospital District or Authority</v>
      </c>
      <c r="E115" t="str" cm="1">
        <f t="array" ref="E115">_xlfn.IFNA(_xlfn.XLOOKUP(1,([1]!hcahps[Facility ID] = clean[[#This Row],[Facility ID]]) * ([1]!hcahps[HCAHPS Measure ID] = "H_HSP_RATING_LINEAR_SCORE"), [1]!hcahps[HCAHPS Linear Mean Value]), "No Match")</f>
        <v>Not Available</v>
      </c>
      <c r="F115" t="str" cm="1">
        <f t="array" ref="F115">_xlfn.IFNA(_xlfn.XLOOKUP(1,([1]!readmissions[Facility ID] = clean[[#This Row],[Facility ID]]) * ([1]!readmissions[Measure ID] = "Hybrid_HWR"), [1]!readmissions[Score]), "No Match")</f>
        <v>Not Available</v>
      </c>
    </row>
    <row r="116" spans="1:6" x14ac:dyDescent="0.2">
      <c r="A116" t="str">
        <f>[1]!hospitalinfo[[#This Row],[Facility ID]]</f>
        <v>013300</v>
      </c>
      <c r="B116" t="str">
        <f>[1]!hospitalinfo[[#This Row],[State]]</f>
        <v>AL</v>
      </c>
      <c r="C116" t="str">
        <f>[1]!hospitalinfo[[#This Row],[Hospital Type]]</f>
        <v>Childrens</v>
      </c>
      <c r="D116" t="str">
        <f>[1]!hospitalinfo[[#This Row],[Hospital Ownership]]</f>
        <v>Voluntary non-profit - Private</v>
      </c>
      <c r="E116" t="str" cm="1">
        <f t="array" ref="E116">_xlfn.IFNA(_xlfn.XLOOKUP(1,([1]!hcahps[Facility ID] = clean[[#This Row],[Facility ID]]) * ([1]!hcahps[HCAHPS Measure ID] = "H_HSP_RATING_LINEAR_SCORE"), [1]!hcahps[HCAHPS Linear Mean Value]), "No Match")</f>
        <v>Not Available</v>
      </c>
      <c r="F116" t="str" cm="1">
        <f t="array" ref="F116">_xlfn.IFNA(_xlfn.XLOOKUP(1,([1]!readmissions[Facility ID] = clean[[#This Row],[Facility ID]]) * ([1]!readmissions[Measure ID] = "Hybrid_HWR"), [1]!readmissions[Score]), "No Match")</f>
        <v>Not Available</v>
      </c>
    </row>
    <row r="117" spans="1:6" x14ac:dyDescent="0.2">
      <c r="A117" t="str">
        <f>[1]!hospitalinfo[[#This Row],[Facility ID]]</f>
        <v>013301</v>
      </c>
      <c r="B117" t="str">
        <f>[1]!hospitalinfo[[#This Row],[State]]</f>
        <v>AL</v>
      </c>
      <c r="C117" t="str">
        <f>[1]!hospitalinfo[[#This Row],[Hospital Type]]</f>
        <v>Childrens</v>
      </c>
      <c r="D117" t="str">
        <f>[1]!hospitalinfo[[#This Row],[Hospital Ownership]]</f>
        <v>Government - State</v>
      </c>
      <c r="E117" t="str" cm="1">
        <f t="array" ref="E117">_xlfn.IFNA(_xlfn.XLOOKUP(1,([1]!hcahps[Facility ID] = clean[[#This Row],[Facility ID]]) * ([1]!hcahps[HCAHPS Measure ID] = "H_HSP_RATING_LINEAR_SCORE"), [1]!hcahps[HCAHPS Linear Mean Value]), "No Match")</f>
        <v>Not Available</v>
      </c>
      <c r="F117" t="str" cm="1">
        <f t="array" ref="F117">_xlfn.IFNA(_xlfn.XLOOKUP(1,([1]!readmissions[Facility ID] = clean[[#This Row],[Facility ID]]) * ([1]!readmissions[Measure ID] = "Hybrid_HWR"), [1]!readmissions[Score]), "No Match")</f>
        <v>Not Available</v>
      </c>
    </row>
    <row r="118" spans="1:6" x14ac:dyDescent="0.2">
      <c r="A118" t="str">
        <f>[1]!hospitalinfo[[#This Row],[Facility ID]]</f>
        <v>014000</v>
      </c>
      <c r="B118" t="str">
        <f>[1]!hospitalinfo[[#This Row],[State]]</f>
        <v>AL</v>
      </c>
      <c r="C118" t="str">
        <f>[1]!hospitalinfo[[#This Row],[Hospital Type]]</f>
        <v>Psychiatric</v>
      </c>
      <c r="D118" t="str">
        <f>[1]!hospitalinfo[[#This Row],[Hospital Ownership]]</f>
        <v>Proprietary</v>
      </c>
      <c r="E118" t="str" cm="1">
        <f t="array" ref="E118">_xlfn.IFNA(_xlfn.XLOOKUP(1,([1]!hcahps[Facility ID] = clean[[#This Row],[Facility ID]]) * ([1]!hcahps[HCAHPS Measure ID] = "H_HSP_RATING_LINEAR_SCORE"), [1]!hcahps[HCAHPS Linear Mean Value]), "No Match")</f>
        <v>No Match</v>
      </c>
      <c r="F118" t="str" cm="1">
        <f t="array" ref="F118">_xlfn.IFNA(_xlfn.XLOOKUP(1,([1]!readmissions[Facility ID] = clean[[#This Row],[Facility ID]]) * ([1]!readmissions[Measure ID] = "Hybrid_HWR"), [1]!readmissions[Score]), "No Match")</f>
        <v>No Match</v>
      </c>
    </row>
    <row r="119" spans="1:6" x14ac:dyDescent="0.2">
      <c r="A119" t="str">
        <f>[1]!hospitalinfo[[#This Row],[Facility ID]]</f>
        <v>014006</v>
      </c>
      <c r="B119" t="str">
        <f>[1]!hospitalinfo[[#This Row],[State]]</f>
        <v>AL</v>
      </c>
      <c r="C119" t="str">
        <f>[1]!hospitalinfo[[#This Row],[Hospital Type]]</f>
        <v>Psychiatric</v>
      </c>
      <c r="D119" t="str">
        <f>[1]!hospitalinfo[[#This Row],[Hospital Ownership]]</f>
        <v>Proprietary</v>
      </c>
      <c r="E119" t="str" cm="1">
        <f t="array" ref="E119">_xlfn.IFNA(_xlfn.XLOOKUP(1,([1]!hcahps[Facility ID] = clean[[#This Row],[Facility ID]]) * ([1]!hcahps[HCAHPS Measure ID] = "H_HSP_RATING_LINEAR_SCORE"), [1]!hcahps[HCAHPS Linear Mean Value]), "No Match")</f>
        <v>No Match</v>
      </c>
      <c r="F119" t="str" cm="1">
        <f t="array" ref="F119">_xlfn.IFNA(_xlfn.XLOOKUP(1,([1]!readmissions[Facility ID] = clean[[#This Row],[Facility ID]]) * ([1]!readmissions[Measure ID] = "Hybrid_HWR"), [1]!readmissions[Score]), "No Match")</f>
        <v>No Match</v>
      </c>
    </row>
    <row r="120" spans="1:6" x14ac:dyDescent="0.2">
      <c r="A120" t="str">
        <f>[1]!hospitalinfo[[#This Row],[Facility ID]]</f>
        <v>014007</v>
      </c>
      <c r="B120" t="str">
        <f>[1]!hospitalinfo[[#This Row],[State]]</f>
        <v>AL</v>
      </c>
      <c r="C120" t="str">
        <f>[1]!hospitalinfo[[#This Row],[Hospital Type]]</f>
        <v>Psychiatric</v>
      </c>
      <c r="D120" t="str">
        <f>[1]!hospitalinfo[[#This Row],[Hospital Ownership]]</f>
        <v>Government - State</v>
      </c>
      <c r="E120" t="str" cm="1">
        <f t="array" ref="E120">_xlfn.IFNA(_xlfn.XLOOKUP(1,([1]!hcahps[Facility ID] = clean[[#This Row],[Facility ID]]) * ([1]!hcahps[HCAHPS Measure ID] = "H_HSP_RATING_LINEAR_SCORE"), [1]!hcahps[HCAHPS Linear Mean Value]), "No Match")</f>
        <v>No Match</v>
      </c>
      <c r="F120" t="str" cm="1">
        <f t="array" ref="F120">_xlfn.IFNA(_xlfn.XLOOKUP(1,([1]!readmissions[Facility ID] = clean[[#This Row],[Facility ID]]) * ([1]!readmissions[Measure ID] = "Hybrid_HWR"), [1]!readmissions[Score]), "No Match")</f>
        <v>No Match</v>
      </c>
    </row>
    <row r="121" spans="1:6" x14ac:dyDescent="0.2">
      <c r="A121" t="str">
        <f>[1]!hospitalinfo[[#This Row],[Facility ID]]</f>
        <v>014012</v>
      </c>
      <c r="B121" t="str">
        <f>[1]!hospitalinfo[[#This Row],[State]]</f>
        <v>AL</v>
      </c>
      <c r="C121" t="str">
        <f>[1]!hospitalinfo[[#This Row],[Hospital Type]]</f>
        <v>Psychiatric</v>
      </c>
      <c r="D121" t="str">
        <f>[1]!hospitalinfo[[#This Row],[Hospital Ownership]]</f>
        <v>Government - State</v>
      </c>
      <c r="E121" t="str" cm="1">
        <f t="array" ref="E121">_xlfn.IFNA(_xlfn.XLOOKUP(1,([1]!hcahps[Facility ID] = clean[[#This Row],[Facility ID]]) * ([1]!hcahps[HCAHPS Measure ID] = "H_HSP_RATING_LINEAR_SCORE"), [1]!hcahps[HCAHPS Linear Mean Value]), "No Match")</f>
        <v>No Match</v>
      </c>
      <c r="F121" t="str" cm="1">
        <f t="array" ref="F121">_xlfn.IFNA(_xlfn.XLOOKUP(1,([1]!readmissions[Facility ID] = clean[[#This Row],[Facility ID]]) * ([1]!readmissions[Measure ID] = "Hybrid_HWR"), [1]!readmissions[Score]), "No Match")</f>
        <v>No Match</v>
      </c>
    </row>
    <row r="122" spans="1:6" x14ac:dyDescent="0.2">
      <c r="A122" t="str">
        <f>[1]!hospitalinfo[[#This Row],[Facility ID]]</f>
        <v>014014</v>
      </c>
      <c r="B122" t="str">
        <f>[1]!hospitalinfo[[#This Row],[State]]</f>
        <v>AL</v>
      </c>
      <c r="C122" t="str">
        <f>[1]!hospitalinfo[[#This Row],[Hospital Type]]</f>
        <v>Psychiatric</v>
      </c>
      <c r="D122" t="str">
        <f>[1]!hospitalinfo[[#This Row],[Hospital Ownership]]</f>
        <v>Voluntary non-profit - Other</v>
      </c>
      <c r="E122" t="str" cm="1">
        <f t="array" ref="E122">_xlfn.IFNA(_xlfn.XLOOKUP(1,([1]!hcahps[Facility ID] = clean[[#This Row],[Facility ID]]) * ([1]!hcahps[HCAHPS Measure ID] = "H_HSP_RATING_LINEAR_SCORE"), [1]!hcahps[HCAHPS Linear Mean Value]), "No Match")</f>
        <v>No Match</v>
      </c>
      <c r="F122" t="str" cm="1">
        <f t="array" ref="F122">_xlfn.IFNA(_xlfn.XLOOKUP(1,([1]!readmissions[Facility ID] = clean[[#This Row],[Facility ID]]) * ([1]!readmissions[Measure ID] = "Hybrid_HWR"), [1]!readmissions[Score]), "No Match")</f>
        <v>No Match</v>
      </c>
    </row>
    <row r="123" spans="1:6" x14ac:dyDescent="0.2">
      <c r="A123" t="str">
        <f>[1]!hospitalinfo[[#This Row],[Facility ID]]</f>
        <v>014015</v>
      </c>
      <c r="B123" t="str">
        <f>[1]!hospitalinfo[[#This Row],[State]]</f>
        <v>AL</v>
      </c>
      <c r="C123" t="str">
        <f>[1]!hospitalinfo[[#This Row],[Hospital Type]]</f>
        <v>Psychiatric</v>
      </c>
      <c r="D123" t="str">
        <f>[1]!hospitalinfo[[#This Row],[Hospital Ownership]]</f>
        <v>Proprietary</v>
      </c>
      <c r="E123" t="str" cm="1">
        <f t="array" ref="E123">_xlfn.IFNA(_xlfn.XLOOKUP(1,([1]!hcahps[Facility ID] = clean[[#This Row],[Facility ID]]) * ([1]!hcahps[HCAHPS Measure ID] = "H_HSP_RATING_LINEAR_SCORE"), [1]!hcahps[HCAHPS Linear Mean Value]), "No Match")</f>
        <v>No Match</v>
      </c>
      <c r="F123" t="str" cm="1">
        <f t="array" ref="F123">_xlfn.IFNA(_xlfn.XLOOKUP(1,([1]!readmissions[Facility ID] = clean[[#This Row],[Facility ID]]) * ([1]!readmissions[Measure ID] = "Hybrid_HWR"), [1]!readmissions[Score]), "No Match")</f>
        <v>No Match</v>
      </c>
    </row>
    <row r="124" spans="1:6" x14ac:dyDescent="0.2">
      <c r="A124" t="str">
        <f>[1]!hospitalinfo[[#This Row],[Facility ID]]</f>
        <v>014016</v>
      </c>
      <c r="B124" t="str">
        <f>[1]!hospitalinfo[[#This Row],[State]]</f>
        <v>AL</v>
      </c>
      <c r="C124" t="str">
        <f>[1]!hospitalinfo[[#This Row],[Hospital Type]]</f>
        <v>Psychiatric</v>
      </c>
      <c r="D124" t="str">
        <f>[1]!hospitalinfo[[#This Row],[Hospital Ownership]]</f>
        <v>Proprietary</v>
      </c>
      <c r="E124" t="str" cm="1">
        <f t="array" ref="E124">_xlfn.IFNA(_xlfn.XLOOKUP(1,([1]!hcahps[Facility ID] = clean[[#This Row],[Facility ID]]) * ([1]!hcahps[HCAHPS Measure ID] = "H_HSP_RATING_LINEAR_SCORE"), [1]!hcahps[HCAHPS Linear Mean Value]), "No Match")</f>
        <v>No Match</v>
      </c>
      <c r="F124" t="str" cm="1">
        <f t="array" ref="F124">_xlfn.IFNA(_xlfn.XLOOKUP(1,([1]!readmissions[Facility ID] = clean[[#This Row],[Facility ID]]) * ([1]!readmissions[Measure ID] = "Hybrid_HWR"), [1]!readmissions[Score]), "No Match")</f>
        <v>No Match</v>
      </c>
    </row>
    <row r="125" spans="1:6" x14ac:dyDescent="0.2">
      <c r="A125" t="str">
        <f>[1]!hospitalinfo[[#This Row],[Facility ID]]</f>
        <v>014017</v>
      </c>
      <c r="B125" t="str">
        <f>[1]!hospitalinfo[[#This Row],[State]]</f>
        <v>AL</v>
      </c>
      <c r="C125" t="str">
        <f>[1]!hospitalinfo[[#This Row],[Hospital Type]]</f>
        <v>Psychiatric</v>
      </c>
      <c r="D125" t="str">
        <f>[1]!hospitalinfo[[#This Row],[Hospital Ownership]]</f>
        <v>Voluntary non-profit - Other</v>
      </c>
      <c r="E125" t="str" cm="1">
        <f t="array" ref="E125">_xlfn.IFNA(_xlfn.XLOOKUP(1,([1]!hcahps[Facility ID] = clean[[#This Row],[Facility ID]]) * ([1]!hcahps[HCAHPS Measure ID] = "H_HSP_RATING_LINEAR_SCORE"), [1]!hcahps[HCAHPS Linear Mean Value]), "No Match")</f>
        <v>No Match</v>
      </c>
      <c r="F125" t="str" cm="1">
        <f t="array" ref="F125">_xlfn.IFNA(_xlfn.XLOOKUP(1,([1]!readmissions[Facility ID] = clean[[#This Row],[Facility ID]]) * ([1]!readmissions[Measure ID] = "Hybrid_HWR"), [1]!readmissions[Score]), "No Match")</f>
        <v>No Match</v>
      </c>
    </row>
    <row r="126" spans="1:6" x14ac:dyDescent="0.2">
      <c r="A126" t="str">
        <f>[1]!hospitalinfo[[#This Row],[Facility ID]]</f>
        <v>014018</v>
      </c>
      <c r="B126" t="str">
        <f>[1]!hospitalinfo[[#This Row],[State]]</f>
        <v>AL</v>
      </c>
      <c r="C126" t="str">
        <f>[1]!hospitalinfo[[#This Row],[Hospital Type]]</f>
        <v>Psychiatric</v>
      </c>
      <c r="D126" t="str">
        <f>[1]!hospitalinfo[[#This Row],[Hospital Ownership]]</f>
        <v>Proprietary</v>
      </c>
      <c r="E126" t="str" cm="1">
        <f t="array" ref="E126">_xlfn.IFNA(_xlfn.XLOOKUP(1,([1]!hcahps[Facility ID] = clean[[#This Row],[Facility ID]]) * ([1]!hcahps[HCAHPS Measure ID] = "H_HSP_RATING_LINEAR_SCORE"), [1]!hcahps[HCAHPS Linear Mean Value]), "No Match")</f>
        <v>No Match</v>
      </c>
      <c r="F126" t="str" cm="1">
        <f t="array" ref="F126">_xlfn.IFNA(_xlfn.XLOOKUP(1,([1]!readmissions[Facility ID] = clean[[#This Row],[Facility ID]]) * ([1]!readmissions[Measure ID] = "Hybrid_HWR"), [1]!readmissions[Score]), "No Match")</f>
        <v>No Match</v>
      </c>
    </row>
    <row r="127" spans="1:6" x14ac:dyDescent="0.2">
      <c r="A127" t="str">
        <f>[1]!hospitalinfo[[#This Row],[Facility ID]]</f>
        <v>040001</v>
      </c>
      <c r="B127" t="str">
        <f>[1]!hospitalinfo[[#This Row],[State]]</f>
        <v>AR</v>
      </c>
      <c r="C127" t="str">
        <f>[1]!hospitalinfo[[#This Row],[Hospital Type]]</f>
        <v>Acute Care Hospitals</v>
      </c>
      <c r="D127" t="str">
        <f>[1]!hospitalinfo[[#This Row],[Hospital Ownership]]</f>
        <v>Proprietary</v>
      </c>
      <c r="E127" cm="1">
        <f t="array" ref="E127">_xlfn.IFNA(_xlfn.XLOOKUP(1,([1]!hcahps[Facility ID] = clean[[#This Row],[Facility ID]]) * ([1]!hcahps[HCAHPS Measure ID] = "H_HSP_RATING_LINEAR_SCORE"), [1]!hcahps[HCAHPS Linear Mean Value]), "No Match")</f>
        <v>87</v>
      </c>
      <c r="F127" cm="1">
        <f t="array" ref="F127">_xlfn.IFNA(_xlfn.XLOOKUP(1,([1]!readmissions[Facility ID] = clean[[#This Row],[Facility ID]]) * ([1]!readmissions[Measure ID] = "Hybrid_HWR"), [1]!readmissions[Score]), "No Match")</f>
        <v>14.8</v>
      </c>
    </row>
    <row r="128" spans="1:6" x14ac:dyDescent="0.2">
      <c r="A128" t="str">
        <f>[1]!hospitalinfo[[#This Row],[Facility ID]]</f>
        <v>040002</v>
      </c>
      <c r="B128" t="str">
        <f>[1]!hospitalinfo[[#This Row],[State]]</f>
        <v>AR</v>
      </c>
      <c r="C128" t="str">
        <f>[1]!hospitalinfo[[#This Row],[Hospital Type]]</f>
        <v>Acute Care Hospitals</v>
      </c>
      <c r="D128" t="str">
        <f>[1]!hospitalinfo[[#This Row],[Hospital Ownership]]</f>
        <v>Voluntary non-profit - Private</v>
      </c>
      <c r="E128" cm="1">
        <f t="array" ref="E128">_xlfn.IFNA(_xlfn.XLOOKUP(1,([1]!hcahps[Facility ID] = clean[[#This Row],[Facility ID]]) * ([1]!hcahps[HCAHPS Measure ID] = "H_HSP_RATING_LINEAR_SCORE"), [1]!hcahps[HCAHPS Linear Mean Value]), "No Match")</f>
        <v>89</v>
      </c>
      <c r="F128" cm="1">
        <f t="array" ref="F128">_xlfn.IFNA(_xlfn.XLOOKUP(1,([1]!readmissions[Facility ID] = clean[[#This Row],[Facility ID]]) * ([1]!readmissions[Measure ID] = "Hybrid_HWR"), [1]!readmissions[Score]), "No Match")</f>
        <v>15.5</v>
      </c>
    </row>
    <row r="129" spans="1:6" x14ac:dyDescent="0.2">
      <c r="A129" t="str">
        <f>[1]!hospitalinfo[[#This Row],[Facility ID]]</f>
        <v>040004</v>
      </c>
      <c r="B129" t="str">
        <f>[1]!hospitalinfo[[#This Row],[State]]</f>
        <v>AR</v>
      </c>
      <c r="C129" t="str">
        <f>[1]!hospitalinfo[[#This Row],[Hospital Type]]</f>
        <v>Acute Care Hospitals</v>
      </c>
      <c r="D129" t="str">
        <f>[1]!hospitalinfo[[#This Row],[Hospital Ownership]]</f>
        <v>Voluntary non-profit - Private</v>
      </c>
      <c r="E129" cm="1">
        <f t="array" ref="E129">_xlfn.IFNA(_xlfn.XLOOKUP(1,([1]!hcahps[Facility ID] = clean[[#This Row],[Facility ID]]) * ([1]!hcahps[HCAHPS Measure ID] = "H_HSP_RATING_LINEAR_SCORE"), [1]!hcahps[HCAHPS Linear Mean Value]), "No Match")</f>
        <v>89</v>
      </c>
      <c r="F129" cm="1">
        <f t="array" ref="F129">_xlfn.IFNA(_xlfn.XLOOKUP(1,([1]!readmissions[Facility ID] = clean[[#This Row],[Facility ID]]) * ([1]!readmissions[Measure ID] = "Hybrid_HWR"), [1]!readmissions[Score]), "No Match")</f>
        <v>13.3</v>
      </c>
    </row>
    <row r="130" spans="1:6" x14ac:dyDescent="0.2">
      <c r="A130" t="str">
        <f>[1]!hospitalinfo[[#This Row],[Facility ID]]</f>
        <v>040007</v>
      </c>
      <c r="B130" t="str">
        <f>[1]!hospitalinfo[[#This Row],[State]]</f>
        <v>AR</v>
      </c>
      <c r="C130" t="str">
        <f>[1]!hospitalinfo[[#This Row],[Hospital Type]]</f>
        <v>Acute Care Hospitals</v>
      </c>
      <c r="D130" t="str">
        <f>[1]!hospitalinfo[[#This Row],[Hospital Ownership]]</f>
        <v>Voluntary non-profit - Private</v>
      </c>
      <c r="E130" cm="1">
        <f t="array" ref="E130">_xlfn.IFNA(_xlfn.XLOOKUP(1,([1]!hcahps[Facility ID] = clean[[#This Row],[Facility ID]]) * ([1]!hcahps[HCAHPS Measure ID] = "H_HSP_RATING_LINEAR_SCORE"), [1]!hcahps[HCAHPS Linear Mean Value]), "No Match")</f>
        <v>85</v>
      </c>
      <c r="F130" cm="1">
        <f t="array" ref="F130">_xlfn.IFNA(_xlfn.XLOOKUP(1,([1]!readmissions[Facility ID] = clean[[#This Row],[Facility ID]]) * ([1]!readmissions[Measure ID] = "Hybrid_HWR"), [1]!readmissions[Score]), "No Match")</f>
        <v>14.7</v>
      </c>
    </row>
    <row r="131" spans="1:6" x14ac:dyDescent="0.2">
      <c r="A131" t="str">
        <f>[1]!hospitalinfo[[#This Row],[Facility ID]]</f>
        <v>040010</v>
      </c>
      <c r="B131" t="str">
        <f>[1]!hospitalinfo[[#This Row],[State]]</f>
        <v>AR</v>
      </c>
      <c r="C131" t="str">
        <f>[1]!hospitalinfo[[#This Row],[Hospital Type]]</f>
        <v>Acute Care Hospitals</v>
      </c>
      <c r="D131" t="str">
        <f>[1]!hospitalinfo[[#This Row],[Hospital Ownership]]</f>
        <v>Voluntary non-profit - Private</v>
      </c>
      <c r="E131" cm="1">
        <f t="array" ref="E131">_xlfn.IFNA(_xlfn.XLOOKUP(1,([1]!hcahps[Facility ID] = clean[[#This Row],[Facility ID]]) * ([1]!hcahps[HCAHPS Measure ID] = "H_HSP_RATING_LINEAR_SCORE"), [1]!hcahps[HCAHPS Linear Mean Value]), "No Match")</f>
        <v>91</v>
      </c>
      <c r="F131" cm="1">
        <f t="array" ref="F131">_xlfn.IFNA(_xlfn.XLOOKUP(1,([1]!readmissions[Facility ID] = clean[[#This Row],[Facility ID]]) * ([1]!readmissions[Measure ID] = "Hybrid_HWR"), [1]!readmissions[Score]), "No Match")</f>
        <v>14</v>
      </c>
    </row>
    <row r="132" spans="1:6" x14ac:dyDescent="0.2">
      <c r="A132" t="str">
        <f>[1]!hospitalinfo[[#This Row],[Facility ID]]</f>
        <v>040011</v>
      </c>
      <c r="B132" t="str">
        <f>[1]!hospitalinfo[[#This Row],[State]]</f>
        <v>AR</v>
      </c>
      <c r="C132" t="str">
        <f>[1]!hospitalinfo[[#This Row],[Hospital Type]]</f>
        <v>Acute Care Hospitals</v>
      </c>
      <c r="D132" t="str">
        <f>[1]!hospitalinfo[[#This Row],[Hospital Ownership]]</f>
        <v>Voluntary non-profit - Private</v>
      </c>
      <c r="E132" cm="1">
        <f t="array" ref="E132">_xlfn.IFNA(_xlfn.XLOOKUP(1,([1]!hcahps[Facility ID] = clean[[#This Row],[Facility ID]]) * ([1]!hcahps[HCAHPS Measure ID] = "H_HSP_RATING_LINEAR_SCORE"), [1]!hcahps[HCAHPS Linear Mean Value]), "No Match")</f>
        <v>88</v>
      </c>
      <c r="F132" cm="1">
        <f t="array" ref="F132">_xlfn.IFNA(_xlfn.XLOOKUP(1,([1]!readmissions[Facility ID] = clean[[#This Row],[Facility ID]]) * ([1]!readmissions[Measure ID] = "Hybrid_HWR"), [1]!readmissions[Score]), "No Match")</f>
        <v>14.9</v>
      </c>
    </row>
    <row r="133" spans="1:6" x14ac:dyDescent="0.2">
      <c r="A133" t="str">
        <f>[1]!hospitalinfo[[#This Row],[Facility ID]]</f>
        <v>040014</v>
      </c>
      <c r="B133" t="str">
        <f>[1]!hospitalinfo[[#This Row],[State]]</f>
        <v>AR</v>
      </c>
      <c r="C133" t="str">
        <f>[1]!hospitalinfo[[#This Row],[Hospital Type]]</f>
        <v>Acute Care Hospitals</v>
      </c>
      <c r="D133" t="str">
        <f>[1]!hospitalinfo[[#This Row],[Hospital Ownership]]</f>
        <v>Voluntary non-profit - Private</v>
      </c>
      <c r="E133" cm="1">
        <f t="array" ref="E133">_xlfn.IFNA(_xlfn.XLOOKUP(1,([1]!hcahps[Facility ID] = clean[[#This Row],[Facility ID]]) * ([1]!hcahps[HCAHPS Measure ID] = "H_HSP_RATING_LINEAR_SCORE"), [1]!hcahps[HCAHPS Linear Mean Value]), "No Match")</f>
        <v>88</v>
      </c>
      <c r="F133" cm="1">
        <f t="array" ref="F133">_xlfn.IFNA(_xlfn.XLOOKUP(1,([1]!readmissions[Facility ID] = clean[[#This Row],[Facility ID]]) * ([1]!readmissions[Measure ID] = "Hybrid_HWR"), [1]!readmissions[Score]), "No Match")</f>
        <v>16.899999999999999</v>
      </c>
    </row>
    <row r="134" spans="1:6" x14ac:dyDescent="0.2">
      <c r="A134" t="str">
        <f>[1]!hospitalinfo[[#This Row],[Facility ID]]</f>
        <v>040016</v>
      </c>
      <c r="B134" t="str">
        <f>[1]!hospitalinfo[[#This Row],[State]]</f>
        <v>AR</v>
      </c>
      <c r="C134" t="str">
        <f>[1]!hospitalinfo[[#This Row],[Hospital Type]]</f>
        <v>Acute Care Hospitals</v>
      </c>
      <c r="D134" t="str">
        <f>[1]!hospitalinfo[[#This Row],[Hospital Ownership]]</f>
        <v>Government - State</v>
      </c>
      <c r="E134" cm="1">
        <f t="array" ref="E134">_xlfn.IFNA(_xlfn.XLOOKUP(1,([1]!hcahps[Facility ID] = clean[[#This Row],[Facility ID]]) * ([1]!hcahps[HCAHPS Measure ID] = "H_HSP_RATING_LINEAR_SCORE"), [1]!hcahps[HCAHPS Linear Mean Value]), "No Match")</f>
        <v>89</v>
      </c>
      <c r="F134" cm="1">
        <f t="array" ref="F134">_xlfn.IFNA(_xlfn.XLOOKUP(1,([1]!readmissions[Facility ID] = clean[[#This Row],[Facility ID]]) * ([1]!readmissions[Measure ID] = "Hybrid_HWR"), [1]!readmissions[Score]), "No Match")</f>
        <v>14.7</v>
      </c>
    </row>
    <row r="135" spans="1:6" x14ac:dyDescent="0.2">
      <c r="A135" t="str">
        <f>[1]!hospitalinfo[[#This Row],[Facility ID]]</f>
        <v>040017</v>
      </c>
      <c r="B135" t="str">
        <f>[1]!hospitalinfo[[#This Row],[State]]</f>
        <v>AR</v>
      </c>
      <c r="C135" t="str">
        <f>[1]!hospitalinfo[[#This Row],[Hospital Type]]</f>
        <v>Acute Care Hospitals</v>
      </c>
      <c r="D135" t="str">
        <f>[1]!hospitalinfo[[#This Row],[Hospital Ownership]]</f>
        <v>Voluntary non-profit - Private</v>
      </c>
      <c r="E135" cm="1">
        <f t="array" ref="E135">_xlfn.IFNA(_xlfn.XLOOKUP(1,([1]!hcahps[Facility ID] = clean[[#This Row],[Facility ID]]) * ([1]!hcahps[HCAHPS Measure ID] = "H_HSP_RATING_LINEAR_SCORE"), [1]!hcahps[HCAHPS Linear Mean Value]), "No Match")</f>
        <v>85</v>
      </c>
      <c r="F135" cm="1">
        <f t="array" ref="F135">_xlfn.IFNA(_xlfn.XLOOKUP(1,([1]!readmissions[Facility ID] = clean[[#This Row],[Facility ID]]) * ([1]!readmissions[Measure ID] = "Hybrid_HWR"), [1]!readmissions[Score]), "No Match")</f>
        <v>15.1</v>
      </c>
    </row>
    <row r="136" spans="1:6" x14ac:dyDescent="0.2">
      <c r="A136" t="str">
        <f>[1]!hospitalinfo[[#This Row],[Facility ID]]</f>
        <v>040018</v>
      </c>
      <c r="B136" t="str">
        <f>[1]!hospitalinfo[[#This Row],[State]]</f>
        <v>AR</v>
      </c>
      <c r="C136" t="str">
        <f>[1]!hospitalinfo[[#This Row],[Hospital Type]]</f>
        <v>Acute Care Hospitals</v>
      </c>
      <c r="D136" t="str">
        <f>[1]!hospitalinfo[[#This Row],[Hospital Ownership]]</f>
        <v>Voluntary non-profit - Private</v>
      </c>
      <c r="E136" t="str" cm="1">
        <f t="array" ref="E136">_xlfn.IFNA(_xlfn.XLOOKUP(1,([1]!hcahps[Facility ID] = clean[[#This Row],[Facility ID]]) * ([1]!hcahps[HCAHPS Measure ID] = "H_HSP_RATING_LINEAR_SCORE"), [1]!hcahps[HCAHPS Linear Mean Value]), "No Match")</f>
        <v>Not Available</v>
      </c>
      <c r="F136" t="str" cm="1">
        <f t="array" ref="F136">_xlfn.IFNA(_xlfn.XLOOKUP(1,([1]!readmissions[Facility ID] = clean[[#This Row],[Facility ID]]) * ([1]!readmissions[Measure ID] = "Hybrid_HWR"), [1]!readmissions[Score]), "No Match")</f>
        <v>Not Available</v>
      </c>
    </row>
    <row r="137" spans="1:6" x14ac:dyDescent="0.2">
      <c r="A137" t="str">
        <f>[1]!hospitalinfo[[#This Row],[Facility ID]]</f>
        <v>040019</v>
      </c>
      <c r="B137" t="str">
        <f>[1]!hospitalinfo[[#This Row],[State]]</f>
        <v>AR</v>
      </c>
      <c r="C137" t="str">
        <f>[1]!hospitalinfo[[#This Row],[Hospital Type]]</f>
        <v>Acute Care Hospitals</v>
      </c>
      <c r="D137" t="str">
        <f>[1]!hospitalinfo[[#This Row],[Hospital Ownership]]</f>
        <v>Proprietary</v>
      </c>
      <c r="E137" cm="1">
        <f t="array" ref="E137">_xlfn.IFNA(_xlfn.XLOOKUP(1,([1]!hcahps[Facility ID] = clean[[#This Row],[Facility ID]]) * ([1]!hcahps[HCAHPS Measure ID] = "H_HSP_RATING_LINEAR_SCORE"), [1]!hcahps[HCAHPS Linear Mean Value]), "No Match")</f>
        <v>87</v>
      </c>
      <c r="F137" cm="1">
        <f t="array" ref="F137">_xlfn.IFNA(_xlfn.XLOOKUP(1,([1]!readmissions[Facility ID] = clean[[#This Row],[Facility ID]]) * ([1]!readmissions[Measure ID] = "Hybrid_HWR"), [1]!readmissions[Score]), "No Match")</f>
        <v>14.8</v>
      </c>
    </row>
    <row r="138" spans="1:6" x14ac:dyDescent="0.2">
      <c r="A138" t="str">
        <f>[1]!hospitalinfo[[#This Row],[Facility ID]]</f>
        <v>040020</v>
      </c>
      <c r="B138" t="str">
        <f>[1]!hospitalinfo[[#This Row],[State]]</f>
        <v>AR</v>
      </c>
      <c r="C138" t="str">
        <f>[1]!hospitalinfo[[#This Row],[Hospital Type]]</f>
        <v>Acute Care Hospitals</v>
      </c>
      <c r="D138" t="str">
        <f>[1]!hospitalinfo[[#This Row],[Hospital Ownership]]</f>
        <v>Voluntary non-profit - Private</v>
      </c>
      <c r="E138" cm="1">
        <f t="array" ref="E138">_xlfn.IFNA(_xlfn.XLOOKUP(1,([1]!hcahps[Facility ID] = clean[[#This Row],[Facility ID]]) * ([1]!hcahps[HCAHPS Measure ID] = "H_HSP_RATING_LINEAR_SCORE"), [1]!hcahps[HCAHPS Linear Mean Value]), "No Match")</f>
        <v>91</v>
      </c>
      <c r="F138" cm="1">
        <f t="array" ref="F138">_xlfn.IFNA(_xlfn.XLOOKUP(1,([1]!readmissions[Facility ID] = clean[[#This Row],[Facility ID]]) * ([1]!readmissions[Measure ID] = "Hybrid_HWR"), [1]!readmissions[Score]), "No Match")</f>
        <v>15.4</v>
      </c>
    </row>
    <row r="139" spans="1:6" x14ac:dyDescent="0.2">
      <c r="A139" t="str">
        <f>[1]!hospitalinfo[[#This Row],[Facility ID]]</f>
        <v>040022</v>
      </c>
      <c r="B139" t="str">
        <f>[1]!hospitalinfo[[#This Row],[State]]</f>
        <v>AR</v>
      </c>
      <c r="C139" t="str">
        <f>[1]!hospitalinfo[[#This Row],[Hospital Type]]</f>
        <v>Acute Care Hospitals</v>
      </c>
      <c r="D139" t="str">
        <f>[1]!hospitalinfo[[#This Row],[Hospital Ownership]]</f>
        <v>Proprietary</v>
      </c>
      <c r="E139" cm="1">
        <f t="array" ref="E139">_xlfn.IFNA(_xlfn.XLOOKUP(1,([1]!hcahps[Facility ID] = clean[[#This Row],[Facility ID]]) * ([1]!hcahps[HCAHPS Measure ID] = "H_HSP_RATING_LINEAR_SCORE"), [1]!hcahps[HCAHPS Linear Mean Value]), "No Match")</f>
        <v>87</v>
      </c>
      <c r="F139" cm="1">
        <f t="array" ref="F139">_xlfn.IFNA(_xlfn.XLOOKUP(1,([1]!readmissions[Facility ID] = clean[[#This Row],[Facility ID]]) * ([1]!readmissions[Measure ID] = "Hybrid_HWR"), [1]!readmissions[Score]), "No Match")</f>
        <v>14.9</v>
      </c>
    </row>
    <row r="140" spans="1:6" x14ac:dyDescent="0.2">
      <c r="A140" t="str">
        <f>[1]!hospitalinfo[[#This Row],[Facility ID]]</f>
        <v>040026</v>
      </c>
      <c r="B140" t="str">
        <f>[1]!hospitalinfo[[#This Row],[State]]</f>
        <v>AR</v>
      </c>
      <c r="C140" t="str">
        <f>[1]!hospitalinfo[[#This Row],[Hospital Type]]</f>
        <v>Acute Care Hospitals</v>
      </c>
      <c r="D140" t="str">
        <f>[1]!hospitalinfo[[#This Row],[Hospital Ownership]]</f>
        <v>Voluntary non-profit - Private</v>
      </c>
      <c r="E140" cm="1">
        <f t="array" ref="E140">_xlfn.IFNA(_xlfn.XLOOKUP(1,([1]!hcahps[Facility ID] = clean[[#This Row],[Facility ID]]) * ([1]!hcahps[HCAHPS Measure ID] = "H_HSP_RATING_LINEAR_SCORE"), [1]!hcahps[HCAHPS Linear Mean Value]), "No Match")</f>
        <v>87</v>
      </c>
      <c r="F140" cm="1">
        <f t="array" ref="F140">_xlfn.IFNA(_xlfn.XLOOKUP(1,([1]!readmissions[Facility ID] = clean[[#This Row],[Facility ID]]) * ([1]!readmissions[Measure ID] = "Hybrid_HWR"), [1]!readmissions[Score]), "No Match")</f>
        <v>15.4</v>
      </c>
    </row>
    <row r="141" spans="1:6" x14ac:dyDescent="0.2">
      <c r="A141" t="str">
        <f>[1]!hospitalinfo[[#This Row],[Facility ID]]</f>
        <v>040027</v>
      </c>
      <c r="B141" t="str">
        <f>[1]!hospitalinfo[[#This Row],[State]]</f>
        <v>AR</v>
      </c>
      <c r="C141" t="str">
        <f>[1]!hospitalinfo[[#This Row],[Hospital Type]]</f>
        <v>Acute Care Hospitals</v>
      </c>
      <c r="D141" t="str">
        <f>[1]!hospitalinfo[[#This Row],[Hospital Ownership]]</f>
        <v>Voluntary non-profit - Private</v>
      </c>
      <c r="E141" cm="1">
        <f t="array" ref="E141">_xlfn.IFNA(_xlfn.XLOOKUP(1,([1]!hcahps[Facility ID] = clean[[#This Row],[Facility ID]]) * ([1]!hcahps[HCAHPS Measure ID] = "H_HSP_RATING_LINEAR_SCORE"), [1]!hcahps[HCAHPS Linear Mean Value]), "No Match")</f>
        <v>89</v>
      </c>
      <c r="F141" cm="1">
        <f t="array" ref="F141">_xlfn.IFNA(_xlfn.XLOOKUP(1,([1]!readmissions[Facility ID] = clean[[#This Row],[Facility ID]]) * ([1]!readmissions[Measure ID] = "Hybrid_HWR"), [1]!readmissions[Score]), "No Match")</f>
        <v>15.7</v>
      </c>
    </row>
    <row r="142" spans="1:6" x14ac:dyDescent="0.2">
      <c r="A142" t="str">
        <f>[1]!hospitalinfo[[#This Row],[Facility ID]]</f>
        <v>040029</v>
      </c>
      <c r="B142" t="str">
        <f>[1]!hospitalinfo[[#This Row],[State]]</f>
        <v>AR</v>
      </c>
      <c r="C142" t="str">
        <f>[1]!hospitalinfo[[#This Row],[Hospital Type]]</f>
        <v>Acute Care Hospitals</v>
      </c>
      <c r="D142" t="str">
        <f>[1]!hospitalinfo[[#This Row],[Hospital Ownership]]</f>
        <v>Voluntary non-profit - Private</v>
      </c>
      <c r="E142" cm="1">
        <f t="array" ref="E142">_xlfn.IFNA(_xlfn.XLOOKUP(1,([1]!hcahps[Facility ID] = clean[[#This Row],[Facility ID]]) * ([1]!hcahps[HCAHPS Measure ID] = "H_HSP_RATING_LINEAR_SCORE"), [1]!hcahps[HCAHPS Linear Mean Value]), "No Match")</f>
        <v>88</v>
      </c>
      <c r="F142" cm="1">
        <f t="array" ref="F142">_xlfn.IFNA(_xlfn.XLOOKUP(1,([1]!readmissions[Facility ID] = clean[[#This Row],[Facility ID]]) * ([1]!readmissions[Measure ID] = "Hybrid_HWR"), [1]!readmissions[Score]), "No Match")</f>
        <v>16.100000000000001</v>
      </c>
    </row>
    <row r="143" spans="1:6" x14ac:dyDescent="0.2">
      <c r="A143" t="str">
        <f>[1]!hospitalinfo[[#This Row],[Facility ID]]</f>
        <v>040036</v>
      </c>
      <c r="B143" t="str">
        <f>[1]!hospitalinfo[[#This Row],[State]]</f>
        <v>AR</v>
      </c>
      <c r="C143" t="str">
        <f>[1]!hospitalinfo[[#This Row],[Hospital Type]]</f>
        <v>Acute Care Hospitals</v>
      </c>
      <c r="D143" t="str">
        <f>[1]!hospitalinfo[[#This Row],[Hospital Ownership]]</f>
        <v>Voluntary non-profit - Private</v>
      </c>
      <c r="E143" cm="1">
        <f t="array" ref="E143">_xlfn.IFNA(_xlfn.XLOOKUP(1,([1]!hcahps[Facility ID] = clean[[#This Row],[Facility ID]]) * ([1]!hcahps[HCAHPS Measure ID] = "H_HSP_RATING_LINEAR_SCORE"), [1]!hcahps[HCAHPS Linear Mean Value]), "No Match")</f>
        <v>83</v>
      </c>
      <c r="F143" cm="1">
        <f t="array" ref="F143">_xlfn.IFNA(_xlfn.XLOOKUP(1,([1]!readmissions[Facility ID] = clean[[#This Row],[Facility ID]]) * ([1]!readmissions[Measure ID] = "Hybrid_HWR"), [1]!readmissions[Score]), "No Match")</f>
        <v>15.8</v>
      </c>
    </row>
    <row r="144" spans="1:6" x14ac:dyDescent="0.2">
      <c r="A144" t="str">
        <f>[1]!hospitalinfo[[#This Row],[Facility ID]]</f>
        <v>040039</v>
      </c>
      <c r="B144" t="str">
        <f>[1]!hospitalinfo[[#This Row],[State]]</f>
        <v>AR</v>
      </c>
      <c r="C144" t="str">
        <f>[1]!hospitalinfo[[#This Row],[Hospital Type]]</f>
        <v>Acute Care Hospitals</v>
      </c>
      <c r="D144" t="str">
        <f>[1]!hospitalinfo[[#This Row],[Hospital Ownership]]</f>
        <v>Voluntary non-profit - Private</v>
      </c>
      <c r="E144" cm="1">
        <f t="array" ref="E144">_xlfn.IFNA(_xlfn.XLOOKUP(1,([1]!hcahps[Facility ID] = clean[[#This Row],[Facility ID]]) * ([1]!hcahps[HCAHPS Measure ID] = "H_HSP_RATING_LINEAR_SCORE"), [1]!hcahps[HCAHPS Linear Mean Value]), "No Match")</f>
        <v>85</v>
      </c>
      <c r="F144" cm="1">
        <f t="array" ref="F144">_xlfn.IFNA(_xlfn.XLOOKUP(1,([1]!readmissions[Facility ID] = clean[[#This Row],[Facility ID]]) * ([1]!readmissions[Measure ID] = "Hybrid_HWR"), [1]!readmissions[Score]), "No Match")</f>
        <v>15.5</v>
      </c>
    </row>
    <row r="145" spans="1:6" x14ac:dyDescent="0.2">
      <c r="A145" t="str">
        <f>[1]!hospitalinfo[[#This Row],[Facility ID]]</f>
        <v>040041</v>
      </c>
      <c r="B145" t="str">
        <f>[1]!hospitalinfo[[#This Row],[State]]</f>
        <v>AR</v>
      </c>
      <c r="C145" t="str">
        <f>[1]!hospitalinfo[[#This Row],[Hospital Type]]</f>
        <v>Acute Care Hospitals</v>
      </c>
      <c r="D145" t="str">
        <f>[1]!hospitalinfo[[#This Row],[Hospital Ownership]]</f>
        <v>Proprietary</v>
      </c>
      <c r="E145" cm="1">
        <f t="array" ref="E145">_xlfn.IFNA(_xlfn.XLOOKUP(1,([1]!hcahps[Facility ID] = clean[[#This Row],[Facility ID]]) * ([1]!hcahps[HCAHPS Measure ID] = "H_HSP_RATING_LINEAR_SCORE"), [1]!hcahps[HCAHPS Linear Mean Value]), "No Match")</f>
        <v>85</v>
      </c>
      <c r="F145" cm="1">
        <f t="array" ref="F145">_xlfn.IFNA(_xlfn.XLOOKUP(1,([1]!readmissions[Facility ID] = clean[[#This Row],[Facility ID]]) * ([1]!readmissions[Measure ID] = "Hybrid_HWR"), [1]!readmissions[Score]), "No Match")</f>
        <v>14.3</v>
      </c>
    </row>
    <row r="146" spans="1:6" x14ac:dyDescent="0.2">
      <c r="A146" t="str">
        <f>[1]!hospitalinfo[[#This Row],[Facility ID]]</f>
        <v>040050</v>
      </c>
      <c r="B146" t="str">
        <f>[1]!hospitalinfo[[#This Row],[State]]</f>
        <v>AR</v>
      </c>
      <c r="C146" t="str">
        <f>[1]!hospitalinfo[[#This Row],[Hospital Type]]</f>
        <v>Acute Care Hospitals</v>
      </c>
      <c r="D146" t="str">
        <f>[1]!hospitalinfo[[#This Row],[Hospital Ownership]]</f>
        <v>Voluntary non-profit - Private</v>
      </c>
      <c r="E146" t="str" cm="1">
        <f t="array" ref="E146">_xlfn.IFNA(_xlfn.XLOOKUP(1,([1]!hcahps[Facility ID] = clean[[#This Row],[Facility ID]]) * ([1]!hcahps[HCAHPS Measure ID] = "H_HSP_RATING_LINEAR_SCORE"), [1]!hcahps[HCAHPS Linear Mean Value]), "No Match")</f>
        <v>Not Available</v>
      </c>
      <c r="F146" cm="1">
        <f t="array" ref="F146">_xlfn.IFNA(_xlfn.XLOOKUP(1,([1]!readmissions[Facility ID] = clean[[#This Row],[Facility ID]]) * ([1]!readmissions[Measure ID] = "Hybrid_HWR"), [1]!readmissions[Score]), "No Match")</f>
        <v>14.9</v>
      </c>
    </row>
    <row r="147" spans="1:6" x14ac:dyDescent="0.2">
      <c r="A147" t="str">
        <f>[1]!hospitalinfo[[#This Row],[Facility ID]]</f>
        <v>040051</v>
      </c>
      <c r="B147" t="str">
        <f>[1]!hospitalinfo[[#This Row],[State]]</f>
        <v>AR</v>
      </c>
      <c r="C147" t="str">
        <f>[1]!hospitalinfo[[#This Row],[Hospital Type]]</f>
        <v>Acute Care Hospitals</v>
      </c>
      <c r="D147" t="str">
        <f>[1]!hospitalinfo[[#This Row],[Hospital Ownership]]</f>
        <v>Voluntary non-profit - Private</v>
      </c>
      <c r="E147" cm="1">
        <f t="array" ref="E147">_xlfn.IFNA(_xlfn.XLOOKUP(1,([1]!hcahps[Facility ID] = clean[[#This Row],[Facility ID]]) * ([1]!hcahps[HCAHPS Measure ID] = "H_HSP_RATING_LINEAR_SCORE"), [1]!hcahps[HCAHPS Linear Mean Value]), "No Match")</f>
        <v>87</v>
      </c>
      <c r="F147" cm="1">
        <f t="array" ref="F147">_xlfn.IFNA(_xlfn.XLOOKUP(1,([1]!readmissions[Facility ID] = clean[[#This Row],[Facility ID]]) * ([1]!readmissions[Measure ID] = "Hybrid_HWR"), [1]!readmissions[Score]), "No Match")</f>
        <v>18.100000000000001</v>
      </c>
    </row>
    <row r="148" spans="1:6" x14ac:dyDescent="0.2">
      <c r="A148" t="str">
        <f>[1]!hospitalinfo[[#This Row],[Facility ID]]</f>
        <v>040055</v>
      </c>
      <c r="B148" t="str">
        <f>[1]!hospitalinfo[[#This Row],[State]]</f>
        <v>AR</v>
      </c>
      <c r="C148" t="str">
        <f>[1]!hospitalinfo[[#This Row],[Hospital Type]]</f>
        <v>Acute Care Hospitals</v>
      </c>
      <c r="D148" t="str">
        <f>[1]!hospitalinfo[[#This Row],[Hospital Ownership]]</f>
        <v>Voluntary non-profit - Private</v>
      </c>
      <c r="E148" cm="1">
        <f t="array" ref="E148">_xlfn.IFNA(_xlfn.XLOOKUP(1,([1]!hcahps[Facility ID] = clean[[#This Row],[Facility ID]]) * ([1]!hcahps[HCAHPS Measure ID] = "H_HSP_RATING_LINEAR_SCORE"), [1]!hcahps[HCAHPS Linear Mean Value]), "No Match")</f>
        <v>86</v>
      </c>
      <c r="F148" cm="1">
        <f t="array" ref="F148">_xlfn.IFNA(_xlfn.XLOOKUP(1,([1]!readmissions[Facility ID] = clean[[#This Row],[Facility ID]]) * ([1]!readmissions[Measure ID] = "Hybrid_HWR"), [1]!readmissions[Score]), "No Match")</f>
        <v>15.2</v>
      </c>
    </row>
    <row r="149" spans="1:6" x14ac:dyDescent="0.2">
      <c r="A149" t="str">
        <f>[1]!hospitalinfo[[#This Row],[Facility ID]]</f>
        <v>040062</v>
      </c>
      <c r="B149" t="str">
        <f>[1]!hospitalinfo[[#This Row],[State]]</f>
        <v>AR</v>
      </c>
      <c r="C149" t="str">
        <f>[1]!hospitalinfo[[#This Row],[Hospital Type]]</f>
        <v>Acute Care Hospitals</v>
      </c>
      <c r="D149" t="str">
        <f>[1]!hospitalinfo[[#This Row],[Hospital Ownership]]</f>
        <v>Voluntary non-profit - Private</v>
      </c>
      <c r="E149" cm="1">
        <f t="array" ref="E149">_xlfn.IFNA(_xlfn.XLOOKUP(1,([1]!hcahps[Facility ID] = clean[[#This Row],[Facility ID]]) * ([1]!hcahps[HCAHPS Measure ID] = "H_HSP_RATING_LINEAR_SCORE"), [1]!hcahps[HCAHPS Linear Mean Value]), "No Match")</f>
        <v>88</v>
      </c>
      <c r="F149" cm="1">
        <f t="array" ref="F149">_xlfn.IFNA(_xlfn.XLOOKUP(1,([1]!readmissions[Facility ID] = clean[[#This Row],[Facility ID]]) * ([1]!readmissions[Measure ID] = "Hybrid_HWR"), [1]!readmissions[Score]), "No Match")</f>
        <v>14.7</v>
      </c>
    </row>
    <row r="150" spans="1:6" x14ac:dyDescent="0.2">
      <c r="A150" t="str">
        <f>[1]!hospitalinfo[[#This Row],[Facility ID]]</f>
        <v>040067</v>
      </c>
      <c r="B150" t="str">
        <f>[1]!hospitalinfo[[#This Row],[State]]</f>
        <v>AR</v>
      </c>
      <c r="C150" t="str">
        <f>[1]!hospitalinfo[[#This Row],[Hospital Type]]</f>
        <v>Acute Care Hospitals</v>
      </c>
      <c r="D150" t="str">
        <f>[1]!hospitalinfo[[#This Row],[Hospital Ownership]]</f>
        <v>Government - Local</v>
      </c>
      <c r="E150" t="str" cm="1">
        <f t="array" ref="E150">_xlfn.IFNA(_xlfn.XLOOKUP(1,([1]!hcahps[Facility ID] = clean[[#This Row],[Facility ID]]) * ([1]!hcahps[HCAHPS Measure ID] = "H_HSP_RATING_LINEAR_SCORE"), [1]!hcahps[HCAHPS Linear Mean Value]), "No Match")</f>
        <v>Not Available</v>
      </c>
      <c r="F150" cm="1">
        <f t="array" ref="F150">_xlfn.IFNA(_xlfn.XLOOKUP(1,([1]!readmissions[Facility ID] = clean[[#This Row],[Facility ID]]) * ([1]!readmissions[Measure ID] = "Hybrid_HWR"), [1]!readmissions[Score]), "No Match")</f>
        <v>15.1</v>
      </c>
    </row>
    <row r="151" spans="1:6" x14ac:dyDescent="0.2">
      <c r="A151" t="str">
        <f>[1]!hospitalinfo[[#This Row],[Facility ID]]</f>
        <v>040069</v>
      </c>
      <c r="B151" t="str">
        <f>[1]!hospitalinfo[[#This Row],[State]]</f>
        <v>AR</v>
      </c>
      <c r="C151" t="str">
        <f>[1]!hospitalinfo[[#This Row],[Hospital Type]]</f>
        <v>Acute Care Hospitals</v>
      </c>
      <c r="D151" t="str">
        <f>[1]!hospitalinfo[[#This Row],[Hospital Ownership]]</f>
        <v>Government - Local</v>
      </c>
      <c r="E151" t="str" cm="1">
        <f t="array" ref="E151">_xlfn.IFNA(_xlfn.XLOOKUP(1,([1]!hcahps[Facility ID] = clean[[#This Row],[Facility ID]]) * ([1]!hcahps[HCAHPS Measure ID] = "H_HSP_RATING_LINEAR_SCORE"), [1]!hcahps[HCAHPS Linear Mean Value]), "No Match")</f>
        <v>Not Available</v>
      </c>
      <c r="F151" cm="1">
        <f t="array" ref="F151">_xlfn.IFNA(_xlfn.XLOOKUP(1,([1]!readmissions[Facility ID] = clean[[#This Row],[Facility ID]]) * ([1]!readmissions[Measure ID] = "Hybrid_HWR"), [1]!readmissions[Score]), "No Match")</f>
        <v>15.1</v>
      </c>
    </row>
    <row r="152" spans="1:6" x14ac:dyDescent="0.2">
      <c r="A152" t="str">
        <f>[1]!hospitalinfo[[#This Row],[Facility ID]]</f>
        <v>040071</v>
      </c>
      <c r="B152" t="str">
        <f>[1]!hospitalinfo[[#This Row],[State]]</f>
        <v>AR</v>
      </c>
      <c r="C152" t="str">
        <f>[1]!hospitalinfo[[#This Row],[Hospital Type]]</f>
        <v>Acute Care Hospitals</v>
      </c>
      <c r="D152" t="str">
        <f>[1]!hospitalinfo[[#This Row],[Hospital Ownership]]</f>
        <v>Voluntary non-profit - Private</v>
      </c>
      <c r="E152" cm="1">
        <f t="array" ref="E152">_xlfn.IFNA(_xlfn.XLOOKUP(1,([1]!hcahps[Facility ID] = clean[[#This Row],[Facility ID]]) * ([1]!hcahps[HCAHPS Measure ID] = "H_HSP_RATING_LINEAR_SCORE"), [1]!hcahps[HCAHPS Linear Mean Value]), "No Match")</f>
        <v>85</v>
      </c>
      <c r="F152" cm="1">
        <f t="array" ref="F152">_xlfn.IFNA(_xlfn.XLOOKUP(1,([1]!readmissions[Facility ID] = clean[[#This Row],[Facility ID]]) * ([1]!readmissions[Measure ID] = "Hybrid_HWR"), [1]!readmissions[Score]), "No Match")</f>
        <v>15.3</v>
      </c>
    </row>
    <row r="153" spans="1:6" x14ac:dyDescent="0.2">
      <c r="A153" t="str">
        <f>[1]!hospitalinfo[[#This Row],[Facility ID]]</f>
        <v>040072</v>
      </c>
      <c r="B153" t="str">
        <f>[1]!hospitalinfo[[#This Row],[State]]</f>
        <v>AR</v>
      </c>
      <c r="C153" t="str">
        <f>[1]!hospitalinfo[[#This Row],[Hospital Type]]</f>
        <v>Acute Care Hospitals</v>
      </c>
      <c r="D153" t="str">
        <f>[1]!hospitalinfo[[#This Row],[Hospital Ownership]]</f>
        <v>Voluntary non-profit - Private</v>
      </c>
      <c r="E153" t="str" cm="1">
        <f t="array" ref="E153">_xlfn.IFNA(_xlfn.XLOOKUP(1,([1]!hcahps[Facility ID] = clean[[#This Row],[Facility ID]]) * ([1]!hcahps[HCAHPS Measure ID] = "H_HSP_RATING_LINEAR_SCORE"), [1]!hcahps[HCAHPS Linear Mean Value]), "No Match")</f>
        <v>Not Available</v>
      </c>
      <c r="F153" cm="1">
        <f t="array" ref="F153">_xlfn.IFNA(_xlfn.XLOOKUP(1,([1]!readmissions[Facility ID] = clean[[#This Row],[Facility ID]]) * ([1]!readmissions[Measure ID] = "Hybrid_HWR"), [1]!readmissions[Score]), "No Match")</f>
        <v>15</v>
      </c>
    </row>
    <row r="154" spans="1:6" x14ac:dyDescent="0.2">
      <c r="A154" t="str">
        <f>[1]!hospitalinfo[[#This Row],[Facility ID]]</f>
        <v>040076</v>
      </c>
      <c r="B154" t="str">
        <f>[1]!hospitalinfo[[#This Row],[State]]</f>
        <v>AR</v>
      </c>
      <c r="C154" t="str">
        <f>[1]!hospitalinfo[[#This Row],[Hospital Type]]</f>
        <v>Acute Care Hospitals</v>
      </c>
      <c r="D154" t="str">
        <f>[1]!hospitalinfo[[#This Row],[Hospital Ownership]]</f>
        <v>Voluntary non-profit - Private</v>
      </c>
      <c r="E154" t="str" cm="1">
        <f t="array" ref="E154">_xlfn.IFNA(_xlfn.XLOOKUP(1,([1]!hcahps[Facility ID] = clean[[#This Row],[Facility ID]]) * ([1]!hcahps[HCAHPS Measure ID] = "H_HSP_RATING_LINEAR_SCORE"), [1]!hcahps[HCAHPS Linear Mean Value]), "No Match")</f>
        <v>Not Available</v>
      </c>
      <c r="F154" cm="1">
        <f t="array" ref="F154">_xlfn.IFNA(_xlfn.XLOOKUP(1,([1]!readmissions[Facility ID] = clean[[#This Row],[Facility ID]]) * ([1]!readmissions[Measure ID] = "Hybrid_HWR"), [1]!readmissions[Score]), "No Match")</f>
        <v>15</v>
      </c>
    </row>
    <row r="155" spans="1:6" x14ac:dyDescent="0.2">
      <c r="A155" t="str">
        <f>[1]!hospitalinfo[[#This Row],[Facility ID]]</f>
        <v>040078</v>
      </c>
      <c r="B155" t="str">
        <f>[1]!hospitalinfo[[#This Row],[State]]</f>
        <v>AR</v>
      </c>
      <c r="C155" t="str">
        <f>[1]!hospitalinfo[[#This Row],[Hospital Type]]</f>
        <v>Acute Care Hospitals</v>
      </c>
      <c r="D155" t="str">
        <f>[1]!hospitalinfo[[#This Row],[Hospital Ownership]]</f>
        <v>Proprietary</v>
      </c>
      <c r="E155" cm="1">
        <f t="array" ref="E155">_xlfn.IFNA(_xlfn.XLOOKUP(1,([1]!hcahps[Facility ID] = clean[[#This Row],[Facility ID]]) * ([1]!hcahps[HCAHPS Measure ID] = "H_HSP_RATING_LINEAR_SCORE"), [1]!hcahps[HCAHPS Linear Mean Value]), "No Match")</f>
        <v>82</v>
      </c>
      <c r="F155" cm="1">
        <f t="array" ref="F155">_xlfn.IFNA(_xlfn.XLOOKUP(1,([1]!readmissions[Facility ID] = clean[[#This Row],[Facility ID]]) * ([1]!readmissions[Measure ID] = "Hybrid_HWR"), [1]!readmissions[Score]), "No Match")</f>
        <v>15.8</v>
      </c>
    </row>
    <row r="156" spans="1:6" x14ac:dyDescent="0.2">
      <c r="A156" t="str">
        <f>[1]!hospitalinfo[[#This Row],[Facility ID]]</f>
        <v>040084</v>
      </c>
      <c r="B156" t="str">
        <f>[1]!hospitalinfo[[#This Row],[State]]</f>
        <v>AR</v>
      </c>
      <c r="C156" t="str">
        <f>[1]!hospitalinfo[[#This Row],[Hospital Type]]</f>
        <v>Acute Care Hospitals</v>
      </c>
      <c r="D156" t="str">
        <f>[1]!hospitalinfo[[#This Row],[Hospital Ownership]]</f>
        <v>Proprietary</v>
      </c>
      <c r="E156" cm="1">
        <f t="array" ref="E156">_xlfn.IFNA(_xlfn.XLOOKUP(1,([1]!hcahps[Facility ID] = clean[[#This Row],[Facility ID]]) * ([1]!hcahps[HCAHPS Measure ID] = "H_HSP_RATING_LINEAR_SCORE"), [1]!hcahps[HCAHPS Linear Mean Value]), "No Match")</f>
        <v>87</v>
      </c>
      <c r="F156" cm="1">
        <f t="array" ref="F156">_xlfn.IFNA(_xlfn.XLOOKUP(1,([1]!readmissions[Facility ID] = clean[[#This Row],[Facility ID]]) * ([1]!readmissions[Measure ID] = "Hybrid_HWR"), [1]!readmissions[Score]), "No Match")</f>
        <v>14.9</v>
      </c>
    </row>
    <row r="157" spans="1:6" x14ac:dyDescent="0.2">
      <c r="A157" t="str">
        <f>[1]!hospitalinfo[[#This Row],[Facility ID]]</f>
        <v>040088</v>
      </c>
      <c r="B157" t="str">
        <f>[1]!hospitalinfo[[#This Row],[State]]</f>
        <v>AR</v>
      </c>
      <c r="C157" t="str">
        <f>[1]!hospitalinfo[[#This Row],[Hospital Type]]</f>
        <v>Acute Care Hospitals</v>
      </c>
      <c r="D157" t="str">
        <f>[1]!hospitalinfo[[#This Row],[Hospital Ownership]]</f>
        <v>Proprietary</v>
      </c>
      <c r="E157" cm="1">
        <f t="array" ref="E157">_xlfn.IFNA(_xlfn.XLOOKUP(1,([1]!hcahps[Facility ID] = clean[[#This Row],[Facility ID]]) * ([1]!hcahps[HCAHPS Measure ID] = "H_HSP_RATING_LINEAR_SCORE"), [1]!hcahps[HCAHPS Linear Mean Value]), "No Match")</f>
        <v>87</v>
      </c>
      <c r="F157" cm="1">
        <f t="array" ref="F157">_xlfn.IFNA(_xlfn.XLOOKUP(1,([1]!readmissions[Facility ID] = clean[[#This Row],[Facility ID]]) * ([1]!readmissions[Measure ID] = "Hybrid_HWR"), [1]!readmissions[Score]), "No Match")</f>
        <v>15</v>
      </c>
    </row>
    <row r="158" spans="1:6" x14ac:dyDescent="0.2">
      <c r="A158" t="str">
        <f>[1]!hospitalinfo[[#This Row],[Facility ID]]</f>
        <v>04009F</v>
      </c>
      <c r="B158" t="str">
        <f>[1]!hospitalinfo[[#This Row],[State]]</f>
        <v>AR</v>
      </c>
      <c r="C158" t="str">
        <f>[1]!hospitalinfo[[#This Row],[Hospital Type]]</f>
        <v>Acute Care - Veterans Administration</v>
      </c>
      <c r="D158" t="str">
        <f>[1]!hospitalinfo[[#This Row],[Hospital Ownership]]</f>
        <v>Veterans Health Administration</v>
      </c>
      <c r="E158" cm="1">
        <f t="array" ref="E158">_xlfn.IFNA(_xlfn.XLOOKUP(1,([1]!hcahps[Facility ID] = clean[[#This Row],[Facility ID]]) * ([1]!hcahps[HCAHPS Measure ID] = "H_HSP_RATING_LINEAR_SCORE"), [1]!hcahps[HCAHPS Linear Mean Value]), "No Match")</f>
        <v>93</v>
      </c>
      <c r="F158" cm="1">
        <f t="array" ref="F158">_xlfn.IFNA(_xlfn.XLOOKUP(1,([1]!readmissions[Facility ID] = clean[[#This Row],[Facility ID]]) * ([1]!readmissions[Measure ID] = "Hybrid_HWR"), [1]!readmissions[Score]), "No Match")</f>
        <v>13.5</v>
      </c>
    </row>
    <row r="159" spans="1:6" x14ac:dyDescent="0.2">
      <c r="A159" t="str">
        <f>[1]!hospitalinfo[[#This Row],[Facility ID]]</f>
        <v>04010F</v>
      </c>
      <c r="B159" t="str">
        <f>[1]!hospitalinfo[[#This Row],[State]]</f>
        <v>AR</v>
      </c>
      <c r="C159" t="str">
        <f>[1]!hospitalinfo[[#This Row],[Hospital Type]]</f>
        <v>Acute Care - Veterans Administration</v>
      </c>
      <c r="D159" t="str">
        <f>[1]!hospitalinfo[[#This Row],[Hospital Ownership]]</f>
        <v>Veterans Health Administration</v>
      </c>
      <c r="E159" cm="1">
        <f t="array" ref="E159">_xlfn.IFNA(_xlfn.XLOOKUP(1,([1]!hcahps[Facility ID] = clean[[#This Row],[Facility ID]]) * ([1]!hcahps[HCAHPS Measure ID] = "H_HSP_RATING_LINEAR_SCORE"), [1]!hcahps[HCAHPS Linear Mean Value]), "No Match")</f>
        <v>89</v>
      </c>
      <c r="F159" cm="1">
        <f t="array" ref="F159">_xlfn.IFNA(_xlfn.XLOOKUP(1,([1]!readmissions[Facility ID] = clean[[#This Row],[Facility ID]]) * ([1]!readmissions[Measure ID] = "Hybrid_HWR"), [1]!readmissions[Score]), "No Match")</f>
        <v>16.8</v>
      </c>
    </row>
    <row r="160" spans="1:6" x14ac:dyDescent="0.2">
      <c r="A160" t="str">
        <f>[1]!hospitalinfo[[#This Row],[Facility ID]]</f>
        <v>040114</v>
      </c>
      <c r="B160" t="str">
        <f>[1]!hospitalinfo[[#This Row],[State]]</f>
        <v>AR</v>
      </c>
      <c r="C160" t="str">
        <f>[1]!hospitalinfo[[#This Row],[Hospital Type]]</f>
        <v>Acute Care Hospitals</v>
      </c>
      <c r="D160" t="str">
        <f>[1]!hospitalinfo[[#This Row],[Hospital Ownership]]</f>
        <v>Voluntary non-profit - Private</v>
      </c>
      <c r="E160" cm="1">
        <f t="array" ref="E160">_xlfn.IFNA(_xlfn.XLOOKUP(1,([1]!hcahps[Facility ID] = clean[[#This Row],[Facility ID]]) * ([1]!hcahps[HCAHPS Measure ID] = "H_HSP_RATING_LINEAR_SCORE"), [1]!hcahps[HCAHPS Linear Mean Value]), "No Match")</f>
        <v>85</v>
      </c>
      <c r="F160" cm="1">
        <f t="array" ref="F160">_xlfn.IFNA(_xlfn.XLOOKUP(1,([1]!readmissions[Facility ID] = clean[[#This Row],[Facility ID]]) * ([1]!readmissions[Measure ID] = "Hybrid_HWR"), [1]!readmissions[Score]), "No Match")</f>
        <v>16.100000000000001</v>
      </c>
    </row>
    <row r="161" spans="1:6" x14ac:dyDescent="0.2">
      <c r="A161" t="str">
        <f>[1]!hospitalinfo[[#This Row],[Facility ID]]</f>
        <v>040118</v>
      </c>
      <c r="B161" t="str">
        <f>[1]!hospitalinfo[[#This Row],[State]]</f>
        <v>AR</v>
      </c>
      <c r="C161" t="str">
        <f>[1]!hospitalinfo[[#This Row],[Hospital Type]]</f>
        <v>Acute Care Hospitals</v>
      </c>
      <c r="D161" t="str">
        <f>[1]!hospitalinfo[[#This Row],[Hospital Ownership]]</f>
        <v>Voluntary non-profit - Private</v>
      </c>
      <c r="E161" cm="1">
        <f t="array" ref="E161">_xlfn.IFNA(_xlfn.XLOOKUP(1,([1]!hcahps[Facility ID] = clean[[#This Row],[Facility ID]]) * ([1]!hcahps[HCAHPS Measure ID] = "H_HSP_RATING_LINEAR_SCORE"), [1]!hcahps[HCAHPS Linear Mean Value]), "No Match")</f>
        <v>90</v>
      </c>
      <c r="F161" cm="1">
        <f t="array" ref="F161">_xlfn.IFNA(_xlfn.XLOOKUP(1,([1]!readmissions[Facility ID] = clean[[#This Row],[Facility ID]]) * ([1]!readmissions[Measure ID] = "Hybrid_HWR"), [1]!readmissions[Score]), "No Match")</f>
        <v>15.3</v>
      </c>
    </row>
    <row r="162" spans="1:6" x14ac:dyDescent="0.2">
      <c r="A162" t="str">
        <f>[1]!hospitalinfo[[#This Row],[Facility ID]]</f>
        <v>040119</v>
      </c>
      <c r="B162" t="str">
        <f>[1]!hospitalinfo[[#This Row],[State]]</f>
        <v>AR</v>
      </c>
      <c r="C162" t="str">
        <f>[1]!hospitalinfo[[#This Row],[Hospital Type]]</f>
        <v>Acute Care Hospitals</v>
      </c>
      <c r="D162" t="str">
        <f>[1]!hospitalinfo[[#This Row],[Hospital Ownership]]</f>
        <v>Voluntary non-profit - Private</v>
      </c>
      <c r="E162" cm="1">
        <f t="array" ref="E162">_xlfn.IFNA(_xlfn.XLOOKUP(1,([1]!hcahps[Facility ID] = clean[[#This Row],[Facility ID]]) * ([1]!hcahps[HCAHPS Measure ID] = "H_HSP_RATING_LINEAR_SCORE"), [1]!hcahps[HCAHPS Linear Mean Value]), "No Match")</f>
        <v>86</v>
      </c>
      <c r="F162" cm="1">
        <f t="array" ref="F162">_xlfn.IFNA(_xlfn.XLOOKUP(1,([1]!readmissions[Facility ID] = clean[[#This Row],[Facility ID]]) * ([1]!readmissions[Measure ID] = "Hybrid_HWR"), [1]!readmissions[Score]), "No Match")</f>
        <v>14.7</v>
      </c>
    </row>
    <row r="163" spans="1:6" x14ac:dyDescent="0.2">
      <c r="A163" t="str">
        <f>[1]!hospitalinfo[[#This Row],[Facility ID]]</f>
        <v>040132</v>
      </c>
      <c r="B163" t="str">
        <f>[1]!hospitalinfo[[#This Row],[State]]</f>
        <v>AR</v>
      </c>
      <c r="C163" t="str">
        <f>[1]!hospitalinfo[[#This Row],[Hospital Type]]</f>
        <v>Acute Care Hospitals</v>
      </c>
      <c r="D163" t="str">
        <f>[1]!hospitalinfo[[#This Row],[Hospital Ownership]]</f>
        <v>Voluntary non-profit - Private</v>
      </c>
      <c r="E163" t="str" cm="1">
        <f t="array" ref="E163">_xlfn.IFNA(_xlfn.XLOOKUP(1,([1]!hcahps[Facility ID] = clean[[#This Row],[Facility ID]]) * ([1]!hcahps[HCAHPS Measure ID] = "H_HSP_RATING_LINEAR_SCORE"), [1]!hcahps[HCAHPS Linear Mean Value]), "No Match")</f>
        <v>Not Available</v>
      </c>
      <c r="F163" t="str" cm="1">
        <f t="array" ref="F163">_xlfn.IFNA(_xlfn.XLOOKUP(1,([1]!readmissions[Facility ID] = clean[[#This Row],[Facility ID]]) * ([1]!readmissions[Measure ID] = "Hybrid_HWR"), [1]!readmissions[Score]), "No Match")</f>
        <v>Not Available</v>
      </c>
    </row>
    <row r="164" spans="1:6" x14ac:dyDescent="0.2">
      <c r="A164" t="str">
        <f>[1]!hospitalinfo[[#This Row],[Facility ID]]</f>
        <v>040134</v>
      </c>
      <c r="B164" t="str">
        <f>[1]!hospitalinfo[[#This Row],[State]]</f>
        <v>AR</v>
      </c>
      <c r="C164" t="str">
        <f>[1]!hospitalinfo[[#This Row],[Hospital Type]]</f>
        <v>Acute Care Hospitals</v>
      </c>
      <c r="D164" t="str">
        <f>[1]!hospitalinfo[[#This Row],[Hospital Ownership]]</f>
        <v>Proprietary</v>
      </c>
      <c r="E164" cm="1">
        <f t="array" ref="E164">_xlfn.IFNA(_xlfn.XLOOKUP(1,([1]!hcahps[Facility ID] = clean[[#This Row],[Facility ID]]) * ([1]!hcahps[HCAHPS Measure ID] = "H_HSP_RATING_LINEAR_SCORE"), [1]!hcahps[HCAHPS Linear Mean Value]), "No Match")</f>
        <v>94</v>
      </c>
      <c r="F164" cm="1">
        <f t="array" ref="F164">_xlfn.IFNA(_xlfn.XLOOKUP(1,([1]!readmissions[Facility ID] = clean[[#This Row],[Facility ID]]) * ([1]!readmissions[Measure ID] = "Hybrid_HWR"), [1]!readmissions[Score]), "No Match")</f>
        <v>15.5</v>
      </c>
    </row>
    <row r="165" spans="1:6" x14ac:dyDescent="0.2">
      <c r="A165" t="str">
        <f>[1]!hospitalinfo[[#This Row],[Facility ID]]</f>
        <v>040137</v>
      </c>
      <c r="B165" t="str">
        <f>[1]!hospitalinfo[[#This Row],[State]]</f>
        <v>AR</v>
      </c>
      <c r="C165" t="str">
        <f>[1]!hospitalinfo[[#This Row],[Hospital Type]]</f>
        <v>Acute Care Hospitals</v>
      </c>
      <c r="D165" t="str">
        <f>[1]!hospitalinfo[[#This Row],[Hospital Ownership]]</f>
        <v>Voluntary non-profit - Church</v>
      </c>
      <c r="E165" cm="1">
        <f t="array" ref="E165">_xlfn.IFNA(_xlfn.XLOOKUP(1,([1]!hcahps[Facility ID] = clean[[#This Row],[Facility ID]]) * ([1]!hcahps[HCAHPS Measure ID] = "H_HSP_RATING_LINEAR_SCORE"), [1]!hcahps[HCAHPS Linear Mean Value]), "No Match")</f>
        <v>89</v>
      </c>
      <c r="F165" cm="1">
        <f t="array" ref="F165">_xlfn.IFNA(_xlfn.XLOOKUP(1,([1]!readmissions[Facility ID] = clean[[#This Row],[Facility ID]]) * ([1]!readmissions[Measure ID] = "Hybrid_HWR"), [1]!readmissions[Score]), "No Match")</f>
        <v>15</v>
      </c>
    </row>
    <row r="166" spans="1:6" x14ac:dyDescent="0.2">
      <c r="A166" t="str">
        <f>[1]!hospitalinfo[[#This Row],[Facility ID]]</f>
        <v>040147</v>
      </c>
      <c r="B166" t="str">
        <f>[1]!hospitalinfo[[#This Row],[State]]</f>
        <v>AR</v>
      </c>
      <c r="C166" t="str">
        <f>[1]!hospitalinfo[[#This Row],[Hospital Type]]</f>
        <v>Acute Care Hospitals</v>
      </c>
      <c r="D166" t="str">
        <f>[1]!hospitalinfo[[#This Row],[Hospital Ownership]]</f>
        <v>Physician</v>
      </c>
      <c r="E166" cm="1">
        <f t="array" ref="E166">_xlfn.IFNA(_xlfn.XLOOKUP(1,([1]!hcahps[Facility ID] = clean[[#This Row],[Facility ID]]) * ([1]!hcahps[HCAHPS Measure ID] = "H_HSP_RATING_LINEAR_SCORE"), [1]!hcahps[HCAHPS Linear Mean Value]), "No Match")</f>
        <v>93</v>
      </c>
      <c r="F166" cm="1">
        <f t="array" ref="F166">_xlfn.IFNA(_xlfn.XLOOKUP(1,([1]!readmissions[Facility ID] = clean[[#This Row],[Facility ID]]) * ([1]!readmissions[Measure ID] = "Hybrid_HWR"), [1]!readmissions[Score]), "No Match")</f>
        <v>14.3</v>
      </c>
    </row>
    <row r="167" spans="1:6" x14ac:dyDescent="0.2">
      <c r="A167" t="str">
        <f>[1]!hospitalinfo[[#This Row],[Facility ID]]</f>
        <v>040153</v>
      </c>
      <c r="B167" t="str">
        <f>[1]!hospitalinfo[[#This Row],[State]]</f>
        <v>AR</v>
      </c>
      <c r="C167" t="str">
        <f>[1]!hospitalinfo[[#This Row],[Hospital Type]]</f>
        <v>Acute Care Hospitals</v>
      </c>
      <c r="D167" t="str">
        <f>[1]!hospitalinfo[[#This Row],[Hospital Ownership]]</f>
        <v>Proprietary</v>
      </c>
      <c r="E167" t="str" cm="1">
        <f t="array" ref="E167">_xlfn.IFNA(_xlfn.XLOOKUP(1,([1]!hcahps[Facility ID] = clean[[#This Row],[Facility ID]]) * ([1]!hcahps[HCAHPS Measure ID] = "H_HSP_RATING_LINEAR_SCORE"), [1]!hcahps[HCAHPS Linear Mean Value]), "No Match")</f>
        <v>Not Available</v>
      </c>
      <c r="F167" cm="1">
        <f t="array" ref="F167">_xlfn.IFNA(_xlfn.XLOOKUP(1,([1]!readmissions[Facility ID] = clean[[#This Row],[Facility ID]]) * ([1]!readmissions[Measure ID] = "Hybrid_HWR"), [1]!readmissions[Score]), "No Match")</f>
        <v>14.7</v>
      </c>
    </row>
    <row r="168" spans="1:6" x14ac:dyDescent="0.2">
      <c r="A168" t="str">
        <f>[1]!hospitalinfo[[#This Row],[Facility ID]]</f>
        <v>040154</v>
      </c>
      <c r="B168" t="str">
        <f>[1]!hospitalinfo[[#This Row],[State]]</f>
        <v>AR</v>
      </c>
      <c r="C168" t="str">
        <f>[1]!hospitalinfo[[#This Row],[Hospital Type]]</f>
        <v>Acute Care Hospitals</v>
      </c>
      <c r="D168" t="str">
        <f>[1]!hospitalinfo[[#This Row],[Hospital Ownership]]</f>
        <v>Voluntary non-profit - Private</v>
      </c>
      <c r="E168" cm="1">
        <f t="array" ref="E168">_xlfn.IFNA(_xlfn.XLOOKUP(1,([1]!hcahps[Facility ID] = clean[[#This Row],[Facility ID]]) * ([1]!hcahps[HCAHPS Measure ID] = "H_HSP_RATING_LINEAR_SCORE"), [1]!hcahps[HCAHPS Linear Mean Value]), "No Match")</f>
        <v>90</v>
      </c>
      <c r="F168" cm="1">
        <f t="array" ref="F168">_xlfn.IFNA(_xlfn.XLOOKUP(1,([1]!readmissions[Facility ID] = clean[[#This Row],[Facility ID]]) * ([1]!readmissions[Measure ID] = "Hybrid_HWR"), [1]!readmissions[Score]), "No Match")</f>
        <v>15.6</v>
      </c>
    </row>
    <row r="169" spans="1:6" x14ac:dyDescent="0.2">
      <c r="A169" t="str">
        <f>[1]!hospitalinfo[[#This Row],[Facility ID]]</f>
        <v>040156</v>
      </c>
      <c r="B169" t="str">
        <f>[1]!hospitalinfo[[#This Row],[State]]</f>
        <v>AR</v>
      </c>
      <c r="C169" t="str">
        <f>[1]!hospitalinfo[[#This Row],[Hospital Type]]</f>
        <v>Acute Care Hospitals</v>
      </c>
      <c r="D169" t="str">
        <f>[1]!hospitalinfo[[#This Row],[Hospital Ownership]]</f>
        <v>Voluntary non-profit - Private</v>
      </c>
      <c r="E169" t="str" cm="1">
        <f t="array" ref="E169">_xlfn.IFNA(_xlfn.XLOOKUP(1,([1]!hcahps[Facility ID] = clean[[#This Row],[Facility ID]]) * ([1]!hcahps[HCAHPS Measure ID] = "H_HSP_RATING_LINEAR_SCORE"), [1]!hcahps[HCAHPS Linear Mean Value]), "No Match")</f>
        <v>Not Available</v>
      </c>
      <c r="F169" cm="1">
        <f t="array" ref="F169">_xlfn.IFNA(_xlfn.XLOOKUP(1,([1]!readmissions[Facility ID] = clean[[#This Row],[Facility ID]]) * ([1]!readmissions[Measure ID] = "Hybrid_HWR"), [1]!readmissions[Score]), "No Match")</f>
        <v>14.7</v>
      </c>
    </row>
    <row r="170" spans="1:6" x14ac:dyDescent="0.2">
      <c r="A170" t="str">
        <f>[1]!hospitalinfo[[#This Row],[Facility ID]]</f>
        <v>040161</v>
      </c>
      <c r="B170" t="str">
        <f>[1]!hospitalinfo[[#This Row],[State]]</f>
        <v>AR</v>
      </c>
      <c r="C170" t="str">
        <f>[1]!hospitalinfo[[#This Row],[Hospital Type]]</f>
        <v>Acute Care Hospitals</v>
      </c>
      <c r="D170" t="str">
        <f>[1]!hospitalinfo[[#This Row],[Hospital Ownership]]</f>
        <v>Proprietary</v>
      </c>
      <c r="E170" cm="1">
        <f t="array" ref="E170">_xlfn.IFNA(_xlfn.XLOOKUP(1,([1]!hcahps[Facility ID] = clean[[#This Row],[Facility ID]]) * ([1]!hcahps[HCAHPS Measure ID] = "H_HSP_RATING_LINEAR_SCORE"), [1]!hcahps[HCAHPS Linear Mean Value]), "No Match")</f>
        <v>93</v>
      </c>
      <c r="F170" cm="1">
        <f t="array" ref="F170">_xlfn.IFNA(_xlfn.XLOOKUP(1,([1]!readmissions[Facility ID] = clean[[#This Row],[Facility ID]]) * ([1]!readmissions[Measure ID] = "Hybrid_HWR"), [1]!readmissions[Score]), "No Match")</f>
        <v>15.3</v>
      </c>
    </row>
    <row r="171" spans="1:6" x14ac:dyDescent="0.2">
      <c r="A171" t="str">
        <f>[1]!hospitalinfo[[#This Row],[Facility ID]]</f>
        <v>040164</v>
      </c>
      <c r="B171" t="str">
        <f>[1]!hospitalinfo[[#This Row],[State]]</f>
        <v>AR</v>
      </c>
      <c r="C171" t="str">
        <f>[1]!hospitalinfo[[#This Row],[Hospital Type]]</f>
        <v>Acute Care Hospitals</v>
      </c>
      <c r="D171" t="str">
        <f>[1]!hospitalinfo[[#This Row],[Hospital Ownership]]</f>
        <v>Voluntary non-profit - Private</v>
      </c>
      <c r="E171" t="str" cm="1">
        <f t="array" ref="E171">_xlfn.IFNA(_xlfn.XLOOKUP(1,([1]!hcahps[Facility ID] = clean[[#This Row],[Facility ID]]) * ([1]!hcahps[HCAHPS Measure ID] = "H_HSP_RATING_LINEAR_SCORE"), [1]!hcahps[HCAHPS Linear Mean Value]), "No Match")</f>
        <v>Not Available</v>
      </c>
      <c r="F171" cm="1">
        <f t="array" ref="F171">_xlfn.IFNA(_xlfn.XLOOKUP(1,([1]!readmissions[Facility ID] = clean[[#This Row],[Facility ID]]) * ([1]!readmissions[Measure ID] = "Hybrid_HWR"), [1]!readmissions[Score]), "No Match")</f>
        <v>15.2</v>
      </c>
    </row>
    <row r="172" spans="1:6" x14ac:dyDescent="0.2">
      <c r="A172" t="str">
        <f>[1]!hospitalinfo[[#This Row],[Facility ID]]</f>
        <v>040779</v>
      </c>
      <c r="B172" t="str">
        <f>[1]!hospitalinfo[[#This Row],[State]]</f>
        <v>AR</v>
      </c>
      <c r="C172" t="str">
        <f>[1]!hospitalinfo[[#This Row],[Hospital Type]]</f>
        <v>Rural Emergency Hospital</v>
      </c>
      <c r="D172" t="str">
        <f>[1]!hospitalinfo[[#This Row],[Hospital Ownership]]</f>
        <v>Voluntary non-profit - Private</v>
      </c>
      <c r="E172" t="str" cm="1">
        <f t="array" ref="E172">_xlfn.IFNA(_xlfn.XLOOKUP(1,([1]!hcahps[Facility ID] = clean[[#This Row],[Facility ID]]) * ([1]!hcahps[HCAHPS Measure ID] = "H_HSP_RATING_LINEAR_SCORE"), [1]!hcahps[HCAHPS Linear Mean Value]), "No Match")</f>
        <v>Not Available</v>
      </c>
      <c r="F172" t="str" cm="1">
        <f t="array" ref="F172">_xlfn.IFNA(_xlfn.XLOOKUP(1,([1]!readmissions[Facility ID] = clean[[#This Row],[Facility ID]]) * ([1]!readmissions[Measure ID] = "Hybrid_HWR"), [1]!readmissions[Score]), "No Match")</f>
        <v>Not Available</v>
      </c>
    </row>
    <row r="173" spans="1:6" x14ac:dyDescent="0.2">
      <c r="A173" t="str">
        <f>[1]!hospitalinfo[[#This Row],[Facility ID]]</f>
        <v>040780</v>
      </c>
      <c r="B173" t="str">
        <f>[1]!hospitalinfo[[#This Row],[State]]</f>
        <v>AR</v>
      </c>
      <c r="C173" t="str">
        <f>[1]!hospitalinfo[[#This Row],[Hospital Type]]</f>
        <v>Rural Emergency Hospital</v>
      </c>
      <c r="D173" t="str">
        <f>[1]!hospitalinfo[[#This Row],[Hospital Ownership]]</f>
        <v>Government - Local</v>
      </c>
      <c r="E173" t="str" cm="1">
        <f t="array" ref="E173">_xlfn.IFNA(_xlfn.XLOOKUP(1,([1]!hcahps[Facility ID] = clean[[#This Row],[Facility ID]]) * ([1]!hcahps[HCAHPS Measure ID] = "H_HSP_RATING_LINEAR_SCORE"), [1]!hcahps[HCAHPS Linear Mean Value]), "No Match")</f>
        <v>Not Available</v>
      </c>
      <c r="F173" t="str" cm="1">
        <f t="array" ref="F173">_xlfn.IFNA(_xlfn.XLOOKUP(1,([1]!readmissions[Facility ID] = clean[[#This Row],[Facility ID]]) * ([1]!readmissions[Measure ID] = "Hybrid_HWR"), [1]!readmissions[Score]), "No Match")</f>
        <v>Not Available</v>
      </c>
    </row>
    <row r="174" spans="1:6" x14ac:dyDescent="0.2">
      <c r="A174" t="str">
        <f>[1]!hospitalinfo[[#This Row],[Facility ID]]</f>
        <v>040781</v>
      </c>
      <c r="B174" t="str">
        <f>[1]!hospitalinfo[[#This Row],[State]]</f>
        <v>AR</v>
      </c>
      <c r="C174" t="str">
        <f>[1]!hospitalinfo[[#This Row],[Hospital Type]]</f>
        <v>Rural Emergency Hospital</v>
      </c>
      <c r="D174" t="str">
        <f>[1]!hospitalinfo[[#This Row],[Hospital Ownership]]</f>
        <v>Proprietary</v>
      </c>
      <c r="E174" t="str" cm="1">
        <f t="array" ref="E174">_xlfn.IFNA(_xlfn.XLOOKUP(1,([1]!hcahps[Facility ID] = clean[[#This Row],[Facility ID]]) * ([1]!hcahps[HCAHPS Measure ID] = "H_HSP_RATING_LINEAR_SCORE"), [1]!hcahps[HCAHPS Linear Mean Value]), "No Match")</f>
        <v>Not Available</v>
      </c>
      <c r="F174" t="str" cm="1">
        <f t="array" ref="F174">_xlfn.IFNA(_xlfn.XLOOKUP(1,([1]!readmissions[Facility ID] = clean[[#This Row],[Facility ID]]) * ([1]!readmissions[Measure ID] = "Hybrid_HWR"), [1]!readmissions[Score]), "No Match")</f>
        <v>Not Available</v>
      </c>
    </row>
    <row r="175" spans="1:6" x14ac:dyDescent="0.2">
      <c r="A175" t="str">
        <f>[1]!hospitalinfo[[#This Row],[Facility ID]]</f>
        <v>040782</v>
      </c>
      <c r="B175" t="str">
        <f>[1]!hospitalinfo[[#This Row],[State]]</f>
        <v>AR</v>
      </c>
      <c r="C175" t="str">
        <f>[1]!hospitalinfo[[#This Row],[Hospital Type]]</f>
        <v>Rural Emergency Hospital</v>
      </c>
      <c r="D175" t="str">
        <f>[1]!hospitalinfo[[#This Row],[Hospital Ownership]]</f>
        <v>Government - Local</v>
      </c>
      <c r="E175" t="str" cm="1">
        <f t="array" ref="E175">_xlfn.IFNA(_xlfn.XLOOKUP(1,([1]!hcahps[Facility ID] = clean[[#This Row],[Facility ID]]) * ([1]!hcahps[HCAHPS Measure ID] = "H_HSP_RATING_LINEAR_SCORE"), [1]!hcahps[HCAHPS Linear Mean Value]), "No Match")</f>
        <v>Not Available</v>
      </c>
      <c r="F175" t="str" cm="1">
        <f t="array" ref="F175">_xlfn.IFNA(_xlfn.XLOOKUP(1,([1]!readmissions[Facility ID] = clean[[#This Row],[Facility ID]]) * ([1]!readmissions[Measure ID] = "Hybrid_HWR"), [1]!readmissions[Score]), "No Match")</f>
        <v>Not Available</v>
      </c>
    </row>
    <row r="176" spans="1:6" x14ac:dyDescent="0.2">
      <c r="A176" t="str">
        <f>[1]!hospitalinfo[[#This Row],[Facility ID]]</f>
        <v>040783</v>
      </c>
      <c r="B176" t="str">
        <f>[1]!hospitalinfo[[#This Row],[State]]</f>
        <v>AR</v>
      </c>
      <c r="C176" t="str">
        <f>[1]!hospitalinfo[[#This Row],[Hospital Type]]</f>
        <v>Rural Emergency Hospital</v>
      </c>
      <c r="D176" t="str">
        <f>[1]!hospitalinfo[[#This Row],[Hospital Ownership]]</f>
        <v>Voluntary non-profit - Private</v>
      </c>
      <c r="E176" t="str" cm="1">
        <f t="array" ref="E176">_xlfn.IFNA(_xlfn.XLOOKUP(1,([1]!hcahps[Facility ID] = clean[[#This Row],[Facility ID]]) * ([1]!hcahps[HCAHPS Measure ID] = "H_HSP_RATING_LINEAR_SCORE"), [1]!hcahps[HCAHPS Linear Mean Value]), "No Match")</f>
        <v>Not Available</v>
      </c>
      <c r="F176" t="str" cm="1">
        <f t="array" ref="F176">_xlfn.IFNA(_xlfn.XLOOKUP(1,([1]!readmissions[Facility ID] = clean[[#This Row],[Facility ID]]) * ([1]!readmissions[Measure ID] = "Hybrid_HWR"), [1]!readmissions[Score]), "No Match")</f>
        <v>Not Available</v>
      </c>
    </row>
    <row r="177" spans="1:6" x14ac:dyDescent="0.2">
      <c r="A177" t="str">
        <f>[1]!hospitalinfo[[#This Row],[Facility ID]]</f>
        <v>041300</v>
      </c>
      <c r="B177" t="str">
        <f>[1]!hospitalinfo[[#This Row],[State]]</f>
        <v>AR</v>
      </c>
      <c r="C177" t="str">
        <f>[1]!hospitalinfo[[#This Row],[Hospital Type]]</f>
        <v>Critical Access Hospitals</v>
      </c>
      <c r="D177" t="str">
        <f>[1]!hospitalinfo[[#This Row],[Hospital Ownership]]</f>
        <v>Voluntary non-profit - Private</v>
      </c>
      <c r="E177" t="str" cm="1">
        <f t="array" ref="E177">_xlfn.IFNA(_xlfn.XLOOKUP(1,([1]!hcahps[Facility ID] = clean[[#This Row],[Facility ID]]) * ([1]!hcahps[HCAHPS Measure ID] = "H_HSP_RATING_LINEAR_SCORE"), [1]!hcahps[HCAHPS Linear Mean Value]), "No Match")</f>
        <v>Not Available</v>
      </c>
      <c r="F177" cm="1">
        <f t="array" ref="F177">_xlfn.IFNA(_xlfn.XLOOKUP(1,([1]!readmissions[Facility ID] = clean[[#This Row],[Facility ID]]) * ([1]!readmissions[Measure ID] = "Hybrid_HWR"), [1]!readmissions[Score]), "No Match")</f>
        <v>14.4</v>
      </c>
    </row>
    <row r="178" spans="1:6" x14ac:dyDescent="0.2">
      <c r="A178" t="str">
        <f>[1]!hospitalinfo[[#This Row],[Facility ID]]</f>
        <v>041302</v>
      </c>
      <c r="B178" t="str">
        <f>[1]!hospitalinfo[[#This Row],[State]]</f>
        <v>AR</v>
      </c>
      <c r="C178" t="str">
        <f>[1]!hospitalinfo[[#This Row],[Hospital Type]]</f>
        <v>Critical Access Hospitals</v>
      </c>
      <c r="D178" t="str">
        <f>[1]!hospitalinfo[[#This Row],[Hospital Ownership]]</f>
        <v>Government - Local</v>
      </c>
      <c r="E178" t="str" cm="1">
        <f t="array" ref="E178">_xlfn.IFNA(_xlfn.XLOOKUP(1,([1]!hcahps[Facility ID] = clean[[#This Row],[Facility ID]]) * ([1]!hcahps[HCAHPS Measure ID] = "H_HSP_RATING_LINEAR_SCORE"), [1]!hcahps[HCAHPS Linear Mean Value]), "No Match")</f>
        <v>Not Available</v>
      </c>
      <c r="F178" cm="1">
        <f t="array" ref="F178">_xlfn.IFNA(_xlfn.XLOOKUP(1,([1]!readmissions[Facility ID] = clean[[#This Row],[Facility ID]]) * ([1]!readmissions[Measure ID] = "Hybrid_HWR"), [1]!readmissions[Score]), "No Match")</f>
        <v>14.9</v>
      </c>
    </row>
    <row r="179" spans="1:6" x14ac:dyDescent="0.2">
      <c r="A179" t="str">
        <f>[1]!hospitalinfo[[#This Row],[Facility ID]]</f>
        <v>041303</v>
      </c>
      <c r="B179" t="str">
        <f>[1]!hospitalinfo[[#This Row],[State]]</f>
        <v>AR</v>
      </c>
      <c r="C179" t="str">
        <f>[1]!hospitalinfo[[#This Row],[Hospital Type]]</f>
        <v>Critical Access Hospitals</v>
      </c>
      <c r="D179" t="str">
        <f>[1]!hospitalinfo[[#This Row],[Hospital Ownership]]</f>
        <v>Voluntary non-profit - Private</v>
      </c>
      <c r="E179" t="str" cm="1">
        <f t="array" ref="E179">_xlfn.IFNA(_xlfn.XLOOKUP(1,([1]!hcahps[Facility ID] = clean[[#This Row],[Facility ID]]) * ([1]!hcahps[HCAHPS Measure ID] = "H_HSP_RATING_LINEAR_SCORE"), [1]!hcahps[HCAHPS Linear Mean Value]), "No Match")</f>
        <v>Not Available</v>
      </c>
      <c r="F179" cm="1">
        <f t="array" ref="F179">_xlfn.IFNA(_xlfn.XLOOKUP(1,([1]!readmissions[Facility ID] = clean[[#This Row],[Facility ID]]) * ([1]!readmissions[Measure ID] = "Hybrid_HWR"), [1]!readmissions[Score]), "No Match")</f>
        <v>14.8</v>
      </c>
    </row>
    <row r="180" spans="1:6" x14ac:dyDescent="0.2">
      <c r="A180" t="str">
        <f>[1]!hospitalinfo[[#This Row],[Facility ID]]</f>
        <v>041305</v>
      </c>
      <c r="B180" t="str">
        <f>[1]!hospitalinfo[[#This Row],[State]]</f>
        <v>AR</v>
      </c>
      <c r="C180" t="str">
        <f>[1]!hospitalinfo[[#This Row],[Hospital Type]]</f>
        <v>Critical Access Hospitals</v>
      </c>
      <c r="D180" t="str">
        <f>[1]!hospitalinfo[[#This Row],[Hospital Ownership]]</f>
        <v>Voluntary non-profit - Private</v>
      </c>
      <c r="E180" t="str" cm="1">
        <f t="array" ref="E180">_xlfn.IFNA(_xlfn.XLOOKUP(1,([1]!hcahps[Facility ID] = clean[[#This Row],[Facility ID]]) * ([1]!hcahps[HCAHPS Measure ID] = "H_HSP_RATING_LINEAR_SCORE"), [1]!hcahps[HCAHPS Linear Mean Value]), "No Match")</f>
        <v>Not Available</v>
      </c>
      <c r="F180" cm="1">
        <f t="array" ref="F180">_xlfn.IFNA(_xlfn.XLOOKUP(1,([1]!readmissions[Facility ID] = clean[[#This Row],[Facility ID]]) * ([1]!readmissions[Measure ID] = "Hybrid_HWR"), [1]!readmissions[Score]), "No Match")</f>
        <v>15.4</v>
      </c>
    </row>
    <row r="181" spans="1:6" x14ac:dyDescent="0.2">
      <c r="A181" t="str">
        <f>[1]!hospitalinfo[[#This Row],[Facility ID]]</f>
        <v>041306</v>
      </c>
      <c r="B181" t="str">
        <f>[1]!hospitalinfo[[#This Row],[State]]</f>
        <v>AR</v>
      </c>
      <c r="C181" t="str">
        <f>[1]!hospitalinfo[[#This Row],[Hospital Type]]</f>
        <v>Critical Access Hospitals</v>
      </c>
      <c r="D181" t="str">
        <f>[1]!hospitalinfo[[#This Row],[Hospital Ownership]]</f>
        <v>Voluntary non-profit - Private</v>
      </c>
      <c r="E181" t="str" cm="1">
        <f t="array" ref="E181">_xlfn.IFNA(_xlfn.XLOOKUP(1,([1]!hcahps[Facility ID] = clean[[#This Row],[Facility ID]]) * ([1]!hcahps[HCAHPS Measure ID] = "H_HSP_RATING_LINEAR_SCORE"), [1]!hcahps[HCAHPS Linear Mean Value]), "No Match")</f>
        <v>Not Available</v>
      </c>
      <c r="F181" cm="1">
        <f t="array" ref="F181">_xlfn.IFNA(_xlfn.XLOOKUP(1,([1]!readmissions[Facility ID] = clean[[#This Row],[Facility ID]]) * ([1]!readmissions[Measure ID] = "Hybrid_HWR"), [1]!readmissions[Score]), "No Match")</f>
        <v>16</v>
      </c>
    </row>
    <row r="182" spans="1:6" x14ac:dyDescent="0.2">
      <c r="A182" t="str">
        <f>[1]!hospitalinfo[[#This Row],[Facility ID]]</f>
        <v>041307</v>
      </c>
      <c r="B182" t="str">
        <f>[1]!hospitalinfo[[#This Row],[State]]</f>
        <v>AR</v>
      </c>
      <c r="C182" t="str">
        <f>[1]!hospitalinfo[[#This Row],[Hospital Type]]</f>
        <v>Critical Access Hospitals</v>
      </c>
      <c r="D182" t="str">
        <f>[1]!hospitalinfo[[#This Row],[Hospital Ownership]]</f>
        <v>Voluntary non-profit - Private</v>
      </c>
      <c r="E182" t="str" cm="1">
        <f t="array" ref="E182">_xlfn.IFNA(_xlfn.XLOOKUP(1,([1]!hcahps[Facility ID] = clean[[#This Row],[Facility ID]]) * ([1]!hcahps[HCAHPS Measure ID] = "H_HSP_RATING_LINEAR_SCORE"), [1]!hcahps[HCAHPS Linear Mean Value]), "No Match")</f>
        <v>Not Available</v>
      </c>
      <c r="F182" cm="1">
        <f t="array" ref="F182">_xlfn.IFNA(_xlfn.XLOOKUP(1,([1]!readmissions[Facility ID] = clean[[#This Row],[Facility ID]]) * ([1]!readmissions[Measure ID] = "Hybrid_HWR"), [1]!readmissions[Score]), "No Match")</f>
        <v>14.6</v>
      </c>
    </row>
    <row r="183" spans="1:6" x14ac:dyDescent="0.2">
      <c r="A183" t="str">
        <f>[1]!hospitalinfo[[#This Row],[Facility ID]]</f>
        <v>041308</v>
      </c>
      <c r="B183" t="str">
        <f>[1]!hospitalinfo[[#This Row],[State]]</f>
        <v>AR</v>
      </c>
      <c r="C183" t="str">
        <f>[1]!hospitalinfo[[#This Row],[Hospital Type]]</f>
        <v>Critical Access Hospitals</v>
      </c>
      <c r="D183" t="str">
        <f>[1]!hospitalinfo[[#This Row],[Hospital Ownership]]</f>
        <v>Voluntary non-profit - Private</v>
      </c>
      <c r="E183" t="str" cm="1">
        <f t="array" ref="E183">_xlfn.IFNA(_xlfn.XLOOKUP(1,([1]!hcahps[Facility ID] = clean[[#This Row],[Facility ID]]) * ([1]!hcahps[HCAHPS Measure ID] = "H_HSP_RATING_LINEAR_SCORE"), [1]!hcahps[HCAHPS Linear Mean Value]), "No Match")</f>
        <v>Not Available</v>
      </c>
      <c r="F183" cm="1">
        <f t="array" ref="F183">_xlfn.IFNA(_xlfn.XLOOKUP(1,([1]!readmissions[Facility ID] = clean[[#This Row],[Facility ID]]) * ([1]!readmissions[Measure ID] = "Hybrid_HWR"), [1]!readmissions[Score]), "No Match")</f>
        <v>14.9</v>
      </c>
    </row>
    <row r="184" spans="1:6" x14ac:dyDescent="0.2">
      <c r="A184" t="str">
        <f>[1]!hospitalinfo[[#This Row],[Facility ID]]</f>
        <v>041309</v>
      </c>
      <c r="B184" t="str">
        <f>[1]!hospitalinfo[[#This Row],[State]]</f>
        <v>AR</v>
      </c>
      <c r="C184" t="str">
        <f>[1]!hospitalinfo[[#This Row],[Hospital Type]]</f>
        <v>Critical Access Hospitals</v>
      </c>
      <c r="D184" t="str">
        <f>[1]!hospitalinfo[[#This Row],[Hospital Ownership]]</f>
        <v>Voluntary non-profit - Private</v>
      </c>
      <c r="E184" t="str" cm="1">
        <f t="array" ref="E184">_xlfn.IFNA(_xlfn.XLOOKUP(1,([1]!hcahps[Facility ID] = clean[[#This Row],[Facility ID]]) * ([1]!hcahps[HCAHPS Measure ID] = "H_HSP_RATING_LINEAR_SCORE"), [1]!hcahps[HCAHPS Linear Mean Value]), "No Match")</f>
        <v>Not Available</v>
      </c>
      <c r="F184" cm="1">
        <f t="array" ref="F184">_xlfn.IFNA(_xlfn.XLOOKUP(1,([1]!readmissions[Facility ID] = clean[[#This Row],[Facility ID]]) * ([1]!readmissions[Measure ID] = "Hybrid_HWR"), [1]!readmissions[Score]), "No Match")</f>
        <v>15</v>
      </c>
    </row>
    <row r="185" spans="1:6" x14ac:dyDescent="0.2">
      <c r="A185" t="str">
        <f>[1]!hospitalinfo[[#This Row],[Facility ID]]</f>
        <v>041310</v>
      </c>
      <c r="B185" t="str">
        <f>[1]!hospitalinfo[[#This Row],[State]]</f>
        <v>AR</v>
      </c>
      <c r="C185" t="str">
        <f>[1]!hospitalinfo[[#This Row],[Hospital Type]]</f>
        <v>Critical Access Hospitals</v>
      </c>
      <c r="D185" t="str">
        <f>[1]!hospitalinfo[[#This Row],[Hospital Ownership]]</f>
        <v>Voluntary non-profit - Private</v>
      </c>
      <c r="E185" t="str" cm="1">
        <f t="array" ref="E185">_xlfn.IFNA(_xlfn.XLOOKUP(1,([1]!hcahps[Facility ID] = clean[[#This Row],[Facility ID]]) * ([1]!hcahps[HCAHPS Measure ID] = "H_HSP_RATING_LINEAR_SCORE"), [1]!hcahps[HCAHPS Linear Mean Value]), "No Match")</f>
        <v>Not Available</v>
      </c>
      <c r="F185" cm="1">
        <f t="array" ref="F185">_xlfn.IFNA(_xlfn.XLOOKUP(1,([1]!readmissions[Facility ID] = clean[[#This Row],[Facility ID]]) * ([1]!readmissions[Measure ID] = "Hybrid_HWR"), [1]!readmissions[Score]), "No Match")</f>
        <v>15.2</v>
      </c>
    </row>
    <row r="186" spans="1:6" x14ac:dyDescent="0.2">
      <c r="A186" t="str">
        <f>[1]!hospitalinfo[[#This Row],[Facility ID]]</f>
        <v>041311</v>
      </c>
      <c r="B186" t="str">
        <f>[1]!hospitalinfo[[#This Row],[State]]</f>
        <v>AR</v>
      </c>
      <c r="C186" t="str">
        <f>[1]!hospitalinfo[[#This Row],[Hospital Type]]</f>
        <v>Critical Access Hospitals</v>
      </c>
      <c r="D186" t="str">
        <f>[1]!hospitalinfo[[#This Row],[Hospital Ownership]]</f>
        <v>Voluntary non-profit - Private</v>
      </c>
      <c r="E186" cm="1">
        <f t="array" ref="E186">_xlfn.IFNA(_xlfn.XLOOKUP(1,([1]!hcahps[Facility ID] = clean[[#This Row],[Facility ID]]) * ([1]!hcahps[HCAHPS Measure ID] = "H_HSP_RATING_LINEAR_SCORE"), [1]!hcahps[HCAHPS Linear Mean Value]), "No Match")</f>
        <v>97</v>
      </c>
      <c r="F186" cm="1">
        <f t="array" ref="F186">_xlfn.IFNA(_xlfn.XLOOKUP(1,([1]!readmissions[Facility ID] = clean[[#This Row],[Facility ID]]) * ([1]!readmissions[Measure ID] = "Hybrid_HWR"), [1]!readmissions[Score]), "No Match")</f>
        <v>15.4</v>
      </c>
    </row>
    <row r="187" spans="1:6" x14ac:dyDescent="0.2">
      <c r="A187" t="str">
        <f>[1]!hospitalinfo[[#This Row],[Facility ID]]</f>
        <v>041312</v>
      </c>
      <c r="B187" t="str">
        <f>[1]!hospitalinfo[[#This Row],[State]]</f>
        <v>AR</v>
      </c>
      <c r="C187" t="str">
        <f>[1]!hospitalinfo[[#This Row],[Hospital Type]]</f>
        <v>Critical Access Hospitals</v>
      </c>
      <c r="D187" t="str">
        <f>[1]!hospitalinfo[[#This Row],[Hospital Ownership]]</f>
        <v>Voluntary non-profit - Private</v>
      </c>
      <c r="E187" t="str" cm="1">
        <f t="array" ref="E187">_xlfn.IFNA(_xlfn.XLOOKUP(1,([1]!hcahps[Facility ID] = clean[[#This Row],[Facility ID]]) * ([1]!hcahps[HCAHPS Measure ID] = "H_HSP_RATING_LINEAR_SCORE"), [1]!hcahps[HCAHPS Linear Mean Value]), "No Match")</f>
        <v>Not Available</v>
      </c>
      <c r="F187" cm="1">
        <f t="array" ref="F187">_xlfn.IFNA(_xlfn.XLOOKUP(1,([1]!readmissions[Facility ID] = clean[[#This Row],[Facility ID]]) * ([1]!readmissions[Measure ID] = "Hybrid_HWR"), [1]!readmissions[Score]), "No Match")</f>
        <v>15.2</v>
      </c>
    </row>
    <row r="188" spans="1:6" x14ac:dyDescent="0.2">
      <c r="A188" t="str">
        <f>[1]!hospitalinfo[[#This Row],[Facility ID]]</f>
        <v>041313</v>
      </c>
      <c r="B188" t="str">
        <f>[1]!hospitalinfo[[#This Row],[State]]</f>
        <v>AR</v>
      </c>
      <c r="C188" t="str">
        <f>[1]!hospitalinfo[[#This Row],[Hospital Type]]</f>
        <v>Critical Access Hospitals</v>
      </c>
      <c r="D188" t="str">
        <f>[1]!hospitalinfo[[#This Row],[Hospital Ownership]]</f>
        <v>Voluntary non-profit - Private</v>
      </c>
      <c r="E188" t="str" cm="1">
        <f t="array" ref="E188">_xlfn.IFNA(_xlfn.XLOOKUP(1,([1]!hcahps[Facility ID] = clean[[#This Row],[Facility ID]]) * ([1]!hcahps[HCAHPS Measure ID] = "H_HSP_RATING_LINEAR_SCORE"), [1]!hcahps[HCAHPS Linear Mean Value]), "No Match")</f>
        <v>Not Available</v>
      </c>
      <c r="F188" cm="1">
        <f t="array" ref="F188">_xlfn.IFNA(_xlfn.XLOOKUP(1,([1]!readmissions[Facility ID] = clean[[#This Row],[Facility ID]]) * ([1]!readmissions[Measure ID] = "Hybrid_HWR"), [1]!readmissions[Score]), "No Match")</f>
        <v>14.7</v>
      </c>
    </row>
    <row r="189" spans="1:6" x14ac:dyDescent="0.2">
      <c r="A189" t="str">
        <f>[1]!hospitalinfo[[#This Row],[Facility ID]]</f>
        <v>041317</v>
      </c>
      <c r="B189" t="str">
        <f>[1]!hospitalinfo[[#This Row],[State]]</f>
        <v>AR</v>
      </c>
      <c r="C189" t="str">
        <f>[1]!hospitalinfo[[#This Row],[Hospital Type]]</f>
        <v>Critical Access Hospitals</v>
      </c>
      <c r="D189" t="str">
        <f>[1]!hospitalinfo[[#This Row],[Hospital Ownership]]</f>
        <v>Government - Local</v>
      </c>
      <c r="E189" t="str" cm="1">
        <f t="array" ref="E189">_xlfn.IFNA(_xlfn.XLOOKUP(1,([1]!hcahps[Facility ID] = clean[[#This Row],[Facility ID]]) * ([1]!hcahps[HCAHPS Measure ID] = "H_HSP_RATING_LINEAR_SCORE"), [1]!hcahps[HCAHPS Linear Mean Value]), "No Match")</f>
        <v>Not Available</v>
      </c>
      <c r="F189" cm="1">
        <f t="array" ref="F189">_xlfn.IFNA(_xlfn.XLOOKUP(1,([1]!readmissions[Facility ID] = clean[[#This Row],[Facility ID]]) * ([1]!readmissions[Measure ID] = "Hybrid_HWR"), [1]!readmissions[Score]), "No Match")</f>
        <v>15.3</v>
      </c>
    </row>
    <row r="190" spans="1:6" x14ac:dyDescent="0.2">
      <c r="A190" t="str">
        <f>[1]!hospitalinfo[[#This Row],[Facility ID]]</f>
        <v>041318</v>
      </c>
      <c r="B190" t="str">
        <f>[1]!hospitalinfo[[#This Row],[State]]</f>
        <v>AR</v>
      </c>
      <c r="C190" t="str">
        <f>[1]!hospitalinfo[[#This Row],[Hospital Type]]</f>
        <v>Critical Access Hospitals</v>
      </c>
      <c r="D190" t="str">
        <f>[1]!hospitalinfo[[#This Row],[Hospital Ownership]]</f>
        <v>Voluntary non-profit - Private</v>
      </c>
      <c r="E190" t="str" cm="1">
        <f t="array" ref="E190">_xlfn.IFNA(_xlfn.XLOOKUP(1,([1]!hcahps[Facility ID] = clean[[#This Row],[Facility ID]]) * ([1]!hcahps[HCAHPS Measure ID] = "H_HSP_RATING_LINEAR_SCORE"), [1]!hcahps[HCAHPS Linear Mean Value]), "No Match")</f>
        <v>Not Available</v>
      </c>
      <c r="F190" cm="1">
        <f t="array" ref="F190">_xlfn.IFNA(_xlfn.XLOOKUP(1,([1]!readmissions[Facility ID] = clean[[#This Row],[Facility ID]]) * ([1]!readmissions[Measure ID] = "Hybrid_HWR"), [1]!readmissions[Score]), "No Match")</f>
        <v>15.3</v>
      </c>
    </row>
    <row r="191" spans="1:6" x14ac:dyDescent="0.2">
      <c r="A191" t="str">
        <f>[1]!hospitalinfo[[#This Row],[Facility ID]]</f>
        <v>041320</v>
      </c>
      <c r="B191" t="str">
        <f>[1]!hospitalinfo[[#This Row],[State]]</f>
        <v>AR</v>
      </c>
      <c r="C191" t="str">
        <f>[1]!hospitalinfo[[#This Row],[Hospital Type]]</f>
        <v>Critical Access Hospitals</v>
      </c>
      <c r="D191" t="str">
        <f>[1]!hospitalinfo[[#This Row],[Hospital Ownership]]</f>
        <v>Voluntary non-profit - Private</v>
      </c>
      <c r="E191" t="str" cm="1">
        <f t="array" ref="E191">_xlfn.IFNA(_xlfn.XLOOKUP(1,([1]!hcahps[Facility ID] = clean[[#This Row],[Facility ID]]) * ([1]!hcahps[HCAHPS Measure ID] = "H_HSP_RATING_LINEAR_SCORE"), [1]!hcahps[HCAHPS Linear Mean Value]), "No Match")</f>
        <v>Not Available</v>
      </c>
      <c r="F191" cm="1">
        <f t="array" ref="F191">_xlfn.IFNA(_xlfn.XLOOKUP(1,([1]!readmissions[Facility ID] = clean[[#This Row],[Facility ID]]) * ([1]!readmissions[Measure ID] = "Hybrid_HWR"), [1]!readmissions[Score]), "No Match")</f>
        <v>14.9</v>
      </c>
    </row>
    <row r="192" spans="1:6" x14ac:dyDescent="0.2">
      <c r="A192" t="str">
        <f>[1]!hospitalinfo[[#This Row],[Facility ID]]</f>
        <v>041321</v>
      </c>
      <c r="B192" t="str">
        <f>[1]!hospitalinfo[[#This Row],[State]]</f>
        <v>AR</v>
      </c>
      <c r="C192" t="str">
        <f>[1]!hospitalinfo[[#This Row],[Hospital Type]]</f>
        <v>Critical Access Hospitals</v>
      </c>
      <c r="D192" t="str">
        <f>[1]!hospitalinfo[[#This Row],[Hospital Ownership]]</f>
        <v>Voluntary non-profit - Private</v>
      </c>
      <c r="E192" t="str" cm="1">
        <f t="array" ref="E192">_xlfn.IFNA(_xlfn.XLOOKUP(1,([1]!hcahps[Facility ID] = clean[[#This Row],[Facility ID]]) * ([1]!hcahps[HCAHPS Measure ID] = "H_HSP_RATING_LINEAR_SCORE"), [1]!hcahps[HCAHPS Linear Mean Value]), "No Match")</f>
        <v>Not Available</v>
      </c>
      <c r="F192" cm="1">
        <f t="array" ref="F192">_xlfn.IFNA(_xlfn.XLOOKUP(1,([1]!readmissions[Facility ID] = clean[[#This Row],[Facility ID]]) * ([1]!readmissions[Measure ID] = "Hybrid_HWR"), [1]!readmissions[Score]), "No Match")</f>
        <v>15.2</v>
      </c>
    </row>
    <row r="193" spans="1:6" x14ac:dyDescent="0.2">
      <c r="A193" t="str">
        <f>[1]!hospitalinfo[[#This Row],[Facility ID]]</f>
        <v>041322</v>
      </c>
      <c r="B193" t="str">
        <f>[1]!hospitalinfo[[#This Row],[State]]</f>
        <v>AR</v>
      </c>
      <c r="C193" t="str">
        <f>[1]!hospitalinfo[[#This Row],[Hospital Type]]</f>
        <v>Critical Access Hospitals</v>
      </c>
      <c r="D193" t="str">
        <f>[1]!hospitalinfo[[#This Row],[Hospital Ownership]]</f>
        <v>Government - Local</v>
      </c>
      <c r="E193" t="str" cm="1">
        <f t="array" ref="E193">_xlfn.IFNA(_xlfn.XLOOKUP(1,([1]!hcahps[Facility ID] = clean[[#This Row],[Facility ID]]) * ([1]!hcahps[HCAHPS Measure ID] = "H_HSP_RATING_LINEAR_SCORE"), [1]!hcahps[HCAHPS Linear Mean Value]), "No Match")</f>
        <v>Not Available</v>
      </c>
      <c r="F193" cm="1">
        <f t="array" ref="F193">_xlfn.IFNA(_xlfn.XLOOKUP(1,([1]!readmissions[Facility ID] = clean[[#This Row],[Facility ID]]) * ([1]!readmissions[Measure ID] = "Hybrid_HWR"), [1]!readmissions[Score]), "No Match")</f>
        <v>14.9</v>
      </c>
    </row>
    <row r="194" spans="1:6" x14ac:dyDescent="0.2">
      <c r="A194" t="str">
        <f>[1]!hospitalinfo[[#This Row],[Facility ID]]</f>
        <v>041323</v>
      </c>
      <c r="B194" t="str">
        <f>[1]!hospitalinfo[[#This Row],[State]]</f>
        <v>AR</v>
      </c>
      <c r="C194" t="str">
        <f>[1]!hospitalinfo[[#This Row],[Hospital Type]]</f>
        <v>Critical Access Hospitals</v>
      </c>
      <c r="D194" t="str">
        <f>[1]!hospitalinfo[[#This Row],[Hospital Ownership]]</f>
        <v>Voluntary non-profit - Private</v>
      </c>
      <c r="E194" t="str" cm="1">
        <f t="array" ref="E194">_xlfn.IFNA(_xlfn.XLOOKUP(1,([1]!hcahps[Facility ID] = clean[[#This Row],[Facility ID]]) * ([1]!hcahps[HCAHPS Measure ID] = "H_HSP_RATING_LINEAR_SCORE"), [1]!hcahps[HCAHPS Linear Mean Value]), "No Match")</f>
        <v>Not Available</v>
      </c>
      <c r="F194" cm="1">
        <f t="array" ref="F194">_xlfn.IFNA(_xlfn.XLOOKUP(1,([1]!readmissions[Facility ID] = clean[[#This Row],[Facility ID]]) * ([1]!readmissions[Measure ID] = "Hybrid_HWR"), [1]!readmissions[Score]), "No Match")</f>
        <v>15.1</v>
      </c>
    </row>
    <row r="195" spans="1:6" x14ac:dyDescent="0.2">
      <c r="A195" t="str">
        <f>[1]!hospitalinfo[[#This Row],[Facility ID]]</f>
        <v>041324</v>
      </c>
      <c r="B195" t="str">
        <f>[1]!hospitalinfo[[#This Row],[State]]</f>
        <v>AR</v>
      </c>
      <c r="C195" t="str">
        <f>[1]!hospitalinfo[[#This Row],[Hospital Type]]</f>
        <v>Critical Access Hospitals</v>
      </c>
      <c r="D195" t="str">
        <f>[1]!hospitalinfo[[#This Row],[Hospital Ownership]]</f>
        <v>Voluntary non-profit - Church</v>
      </c>
      <c r="E195" t="str" cm="1">
        <f t="array" ref="E195">_xlfn.IFNA(_xlfn.XLOOKUP(1,([1]!hcahps[Facility ID] = clean[[#This Row],[Facility ID]]) * ([1]!hcahps[HCAHPS Measure ID] = "H_HSP_RATING_LINEAR_SCORE"), [1]!hcahps[HCAHPS Linear Mean Value]), "No Match")</f>
        <v>Not Available</v>
      </c>
      <c r="F195" cm="1">
        <f t="array" ref="F195">_xlfn.IFNA(_xlfn.XLOOKUP(1,([1]!readmissions[Facility ID] = clean[[#This Row],[Facility ID]]) * ([1]!readmissions[Measure ID] = "Hybrid_HWR"), [1]!readmissions[Score]), "No Match")</f>
        <v>15</v>
      </c>
    </row>
    <row r="196" spans="1:6" x14ac:dyDescent="0.2">
      <c r="A196" t="str">
        <f>[1]!hospitalinfo[[#This Row],[Facility ID]]</f>
        <v>041326</v>
      </c>
      <c r="B196" t="str">
        <f>[1]!hospitalinfo[[#This Row],[State]]</f>
        <v>AR</v>
      </c>
      <c r="C196" t="str">
        <f>[1]!hospitalinfo[[#This Row],[Hospital Type]]</f>
        <v>Critical Access Hospitals</v>
      </c>
      <c r="D196" t="str">
        <f>[1]!hospitalinfo[[#This Row],[Hospital Ownership]]</f>
        <v>Voluntary non-profit - Private</v>
      </c>
      <c r="E196" t="str" cm="1">
        <f t="array" ref="E196">_xlfn.IFNA(_xlfn.XLOOKUP(1,([1]!hcahps[Facility ID] = clean[[#This Row],[Facility ID]]) * ([1]!hcahps[HCAHPS Measure ID] = "H_HSP_RATING_LINEAR_SCORE"), [1]!hcahps[HCAHPS Linear Mean Value]), "No Match")</f>
        <v>Not Available</v>
      </c>
      <c r="F196" cm="1">
        <f t="array" ref="F196">_xlfn.IFNA(_xlfn.XLOOKUP(1,([1]!readmissions[Facility ID] = clean[[#This Row],[Facility ID]]) * ([1]!readmissions[Measure ID] = "Hybrid_HWR"), [1]!readmissions[Score]), "No Match")</f>
        <v>15</v>
      </c>
    </row>
    <row r="197" spans="1:6" x14ac:dyDescent="0.2">
      <c r="A197" t="str">
        <f>[1]!hospitalinfo[[#This Row],[Facility ID]]</f>
        <v>041327</v>
      </c>
      <c r="B197" t="str">
        <f>[1]!hospitalinfo[[#This Row],[State]]</f>
        <v>AR</v>
      </c>
      <c r="C197" t="str">
        <f>[1]!hospitalinfo[[#This Row],[Hospital Type]]</f>
        <v>Critical Access Hospitals</v>
      </c>
      <c r="D197" t="str">
        <f>[1]!hospitalinfo[[#This Row],[Hospital Ownership]]</f>
        <v>Voluntary non-profit - Private</v>
      </c>
      <c r="E197" t="str" cm="1">
        <f t="array" ref="E197">_xlfn.IFNA(_xlfn.XLOOKUP(1,([1]!hcahps[Facility ID] = clean[[#This Row],[Facility ID]]) * ([1]!hcahps[HCAHPS Measure ID] = "H_HSP_RATING_LINEAR_SCORE"), [1]!hcahps[HCAHPS Linear Mean Value]), "No Match")</f>
        <v>Not Available</v>
      </c>
      <c r="F197" cm="1">
        <f t="array" ref="F197">_xlfn.IFNA(_xlfn.XLOOKUP(1,([1]!readmissions[Facility ID] = clean[[#This Row],[Facility ID]]) * ([1]!readmissions[Measure ID] = "Hybrid_HWR"), [1]!readmissions[Score]), "No Match")</f>
        <v>14.7</v>
      </c>
    </row>
    <row r="198" spans="1:6" x14ac:dyDescent="0.2">
      <c r="A198" t="str">
        <f>[1]!hospitalinfo[[#This Row],[Facility ID]]</f>
        <v>041328</v>
      </c>
      <c r="B198" t="str">
        <f>[1]!hospitalinfo[[#This Row],[State]]</f>
        <v>AR</v>
      </c>
      <c r="C198" t="str">
        <f>[1]!hospitalinfo[[#This Row],[Hospital Type]]</f>
        <v>Critical Access Hospitals</v>
      </c>
      <c r="D198" t="str">
        <f>[1]!hospitalinfo[[#This Row],[Hospital Ownership]]</f>
        <v>Voluntary non-profit - Private</v>
      </c>
      <c r="E198" t="str" cm="1">
        <f t="array" ref="E198">_xlfn.IFNA(_xlfn.XLOOKUP(1,([1]!hcahps[Facility ID] = clean[[#This Row],[Facility ID]]) * ([1]!hcahps[HCAHPS Measure ID] = "H_HSP_RATING_LINEAR_SCORE"), [1]!hcahps[HCAHPS Linear Mean Value]), "No Match")</f>
        <v>Not Available</v>
      </c>
      <c r="F198" cm="1">
        <f t="array" ref="F198">_xlfn.IFNA(_xlfn.XLOOKUP(1,([1]!readmissions[Facility ID] = clean[[#This Row],[Facility ID]]) * ([1]!readmissions[Measure ID] = "Hybrid_HWR"), [1]!readmissions[Score]), "No Match")</f>
        <v>14.9</v>
      </c>
    </row>
    <row r="199" spans="1:6" x14ac:dyDescent="0.2">
      <c r="A199" t="str">
        <f>[1]!hospitalinfo[[#This Row],[Facility ID]]</f>
        <v>041329</v>
      </c>
      <c r="B199" t="str">
        <f>[1]!hospitalinfo[[#This Row],[State]]</f>
        <v>AR</v>
      </c>
      <c r="C199" t="str">
        <f>[1]!hospitalinfo[[#This Row],[Hospital Type]]</f>
        <v>Critical Access Hospitals</v>
      </c>
      <c r="D199" t="str">
        <f>[1]!hospitalinfo[[#This Row],[Hospital Ownership]]</f>
        <v>Voluntary non-profit - Private</v>
      </c>
      <c r="E199" t="str" cm="1">
        <f t="array" ref="E199">_xlfn.IFNA(_xlfn.XLOOKUP(1,([1]!hcahps[Facility ID] = clean[[#This Row],[Facility ID]]) * ([1]!hcahps[HCAHPS Measure ID] = "H_HSP_RATING_LINEAR_SCORE"), [1]!hcahps[HCAHPS Linear Mean Value]), "No Match")</f>
        <v>Not Available</v>
      </c>
      <c r="F199" cm="1">
        <f t="array" ref="F199">_xlfn.IFNA(_xlfn.XLOOKUP(1,([1]!readmissions[Facility ID] = clean[[#This Row],[Facility ID]]) * ([1]!readmissions[Measure ID] = "Hybrid_HWR"), [1]!readmissions[Score]), "No Match")</f>
        <v>15.2</v>
      </c>
    </row>
    <row r="200" spans="1:6" x14ac:dyDescent="0.2">
      <c r="A200" t="str">
        <f>[1]!hospitalinfo[[#This Row],[Facility ID]]</f>
        <v>041330</v>
      </c>
      <c r="B200" t="str">
        <f>[1]!hospitalinfo[[#This Row],[State]]</f>
        <v>AR</v>
      </c>
      <c r="C200" t="str">
        <f>[1]!hospitalinfo[[#This Row],[Hospital Type]]</f>
        <v>Critical Access Hospitals</v>
      </c>
      <c r="D200" t="str">
        <f>[1]!hospitalinfo[[#This Row],[Hospital Ownership]]</f>
        <v>Government - Local</v>
      </c>
      <c r="E200" cm="1">
        <f t="array" ref="E200">_xlfn.IFNA(_xlfn.XLOOKUP(1,([1]!hcahps[Facility ID] = clean[[#This Row],[Facility ID]]) * ([1]!hcahps[HCAHPS Measure ID] = "H_HSP_RATING_LINEAR_SCORE"), [1]!hcahps[HCAHPS Linear Mean Value]), "No Match")</f>
        <v>91</v>
      </c>
      <c r="F200" cm="1">
        <f t="array" ref="F200">_xlfn.IFNA(_xlfn.XLOOKUP(1,([1]!readmissions[Facility ID] = clean[[#This Row],[Facility ID]]) * ([1]!readmissions[Measure ID] = "Hybrid_HWR"), [1]!readmissions[Score]), "No Match")</f>
        <v>16.2</v>
      </c>
    </row>
    <row r="201" spans="1:6" x14ac:dyDescent="0.2">
      <c r="A201" t="str">
        <f>[1]!hospitalinfo[[#This Row],[Facility ID]]</f>
        <v>041331</v>
      </c>
      <c r="B201" t="str">
        <f>[1]!hospitalinfo[[#This Row],[State]]</f>
        <v>AR</v>
      </c>
      <c r="C201" t="str">
        <f>[1]!hospitalinfo[[#This Row],[Hospital Type]]</f>
        <v>Critical Access Hospitals</v>
      </c>
      <c r="D201" t="str">
        <f>[1]!hospitalinfo[[#This Row],[Hospital Ownership]]</f>
        <v>Voluntary non-profit - Private</v>
      </c>
      <c r="E201" t="str" cm="1">
        <f t="array" ref="E201">_xlfn.IFNA(_xlfn.XLOOKUP(1,([1]!hcahps[Facility ID] = clean[[#This Row],[Facility ID]]) * ([1]!hcahps[HCAHPS Measure ID] = "H_HSP_RATING_LINEAR_SCORE"), [1]!hcahps[HCAHPS Linear Mean Value]), "No Match")</f>
        <v>Not Available</v>
      </c>
      <c r="F201" cm="1">
        <f t="array" ref="F201">_xlfn.IFNA(_xlfn.XLOOKUP(1,([1]!readmissions[Facility ID] = clean[[#This Row],[Facility ID]]) * ([1]!readmissions[Measure ID] = "Hybrid_HWR"), [1]!readmissions[Score]), "No Match")</f>
        <v>15.1</v>
      </c>
    </row>
    <row r="202" spans="1:6" x14ac:dyDescent="0.2">
      <c r="A202" t="str">
        <f>[1]!hospitalinfo[[#This Row],[Facility ID]]</f>
        <v>041332</v>
      </c>
      <c r="B202" t="str">
        <f>[1]!hospitalinfo[[#This Row],[State]]</f>
        <v>AR</v>
      </c>
      <c r="C202" t="str">
        <f>[1]!hospitalinfo[[#This Row],[Hospital Type]]</f>
        <v>Critical Access Hospitals</v>
      </c>
      <c r="D202" t="str">
        <f>[1]!hospitalinfo[[#This Row],[Hospital Ownership]]</f>
        <v>Government - Local</v>
      </c>
      <c r="E202" t="str" cm="1">
        <f t="array" ref="E202">_xlfn.IFNA(_xlfn.XLOOKUP(1,([1]!hcahps[Facility ID] = clean[[#This Row],[Facility ID]]) * ([1]!hcahps[HCAHPS Measure ID] = "H_HSP_RATING_LINEAR_SCORE"), [1]!hcahps[HCAHPS Linear Mean Value]), "No Match")</f>
        <v>Not Available</v>
      </c>
      <c r="F202" cm="1">
        <f t="array" ref="F202">_xlfn.IFNA(_xlfn.XLOOKUP(1,([1]!readmissions[Facility ID] = clean[[#This Row],[Facility ID]]) * ([1]!readmissions[Measure ID] = "Hybrid_HWR"), [1]!readmissions[Score]), "No Match")</f>
        <v>15.4</v>
      </c>
    </row>
    <row r="203" spans="1:6" x14ac:dyDescent="0.2">
      <c r="A203" t="str">
        <f>[1]!hospitalinfo[[#This Row],[Facility ID]]</f>
        <v>041333</v>
      </c>
      <c r="B203" t="str">
        <f>[1]!hospitalinfo[[#This Row],[State]]</f>
        <v>AR</v>
      </c>
      <c r="C203" t="str">
        <f>[1]!hospitalinfo[[#This Row],[Hospital Type]]</f>
        <v>Critical Access Hospitals</v>
      </c>
      <c r="D203" t="str">
        <f>[1]!hospitalinfo[[#This Row],[Hospital Ownership]]</f>
        <v>Government - Local</v>
      </c>
      <c r="E203" t="str" cm="1">
        <f t="array" ref="E203">_xlfn.IFNA(_xlfn.XLOOKUP(1,([1]!hcahps[Facility ID] = clean[[#This Row],[Facility ID]]) * ([1]!hcahps[HCAHPS Measure ID] = "H_HSP_RATING_LINEAR_SCORE"), [1]!hcahps[HCAHPS Linear Mean Value]), "No Match")</f>
        <v>Not Available</v>
      </c>
      <c r="F203" t="str" cm="1">
        <f t="array" ref="F203">_xlfn.IFNA(_xlfn.XLOOKUP(1,([1]!readmissions[Facility ID] = clean[[#This Row],[Facility ID]]) * ([1]!readmissions[Measure ID] = "Hybrid_HWR"), [1]!readmissions[Score]), "No Match")</f>
        <v>Not Available</v>
      </c>
    </row>
    <row r="204" spans="1:6" x14ac:dyDescent="0.2">
      <c r="A204" t="str">
        <f>[1]!hospitalinfo[[#This Row],[Facility ID]]</f>
        <v>041334</v>
      </c>
      <c r="B204" t="str">
        <f>[1]!hospitalinfo[[#This Row],[State]]</f>
        <v>AR</v>
      </c>
      <c r="C204" t="str">
        <f>[1]!hospitalinfo[[#This Row],[Hospital Type]]</f>
        <v>Critical Access Hospitals</v>
      </c>
      <c r="D204" t="str">
        <f>[1]!hospitalinfo[[#This Row],[Hospital Ownership]]</f>
        <v>Voluntary non-profit - Other</v>
      </c>
      <c r="E204" t="str" cm="1">
        <f t="array" ref="E204">_xlfn.IFNA(_xlfn.XLOOKUP(1,([1]!hcahps[Facility ID] = clean[[#This Row],[Facility ID]]) * ([1]!hcahps[HCAHPS Measure ID] = "H_HSP_RATING_LINEAR_SCORE"), [1]!hcahps[HCAHPS Linear Mean Value]), "No Match")</f>
        <v>Not Available</v>
      </c>
      <c r="F204" t="str" cm="1">
        <f t="array" ref="F204">_xlfn.IFNA(_xlfn.XLOOKUP(1,([1]!readmissions[Facility ID] = clean[[#This Row],[Facility ID]]) * ([1]!readmissions[Measure ID] = "Hybrid_HWR"), [1]!readmissions[Score]), "No Match")</f>
        <v>Not Available</v>
      </c>
    </row>
    <row r="205" spans="1:6" x14ac:dyDescent="0.2">
      <c r="A205" t="str">
        <f>[1]!hospitalinfo[[#This Row],[Facility ID]]</f>
        <v>041335</v>
      </c>
      <c r="B205" t="str">
        <f>[1]!hospitalinfo[[#This Row],[State]]</f>
        <v>AR</v>
      </c>
      <c r="C205" t="str">
        <f>[1]!hospitalinfo[[#This Row],[Hospital Type]]</f>
        <v>Critical Access Hospitals</v>
      </c>
      <c r="D205" t="str">
        <f>[1]!hospitalinfo[[#This Row],[Hospital Ownership]]</f>
        <v>Proprietary</v>
      </c>
      <c r="E205" t="str" cm="1">
        <f t="array" ref="E205">_xlfn.IFNA(_xlfn.XLOOKUP(1,([1]!hcahps[Facility ID] = clean[[#This Row],[Facility ID]]) * ([1]!hcahps[HCAHPS Measure ID] = "H_HSP_RATING_LINEAR_SCORE"), [1]!hcahps[HCAHPS Linear Mean Value]), "No Match")</f>
        <v>Not Available</v>
      </c>
      <c r="F205" t="str" cm="1">
        <f t="array" ref="F205">_xlfn.IFNA(_xlfn.XLOOKUP(1,([1]!readmissions[Facility ID] = clean[[#This Row],[Facility ID]]) * ([1]!readmissions[Measure ID] = "Hybrid_HWR"), [1]!readmissions[Score]), "No Match")</f>
        <v>Not Available</v>
      </c>
    </row>
    <row r="206" spans="1:6" x14ac:dyDescent="0.2">
      <c r="A206" t="str">
        <f>[1]!hospitalinfo[[#This Row],[Facility ID]]</f>
        <v>043300</v>
      </c>
      <c r="B206" t="str">
        <f>[1]!hospitalinfo[[#This Row],[State]]</f>
        <v>AR</v>
      </c>
      <c r="C206" t="str">
        <f>[1]!hospitalinfo[[#This Row],[Hospital Type]]</f>
        <v>Childrens</v>
      </c>
      <c r="D206" t="str">
        <f>[1]!hospitalinfo[[#This Row],[Hospital Ownership]]</f>
        <v>Voluntary non-profit - Private</v>
      </c>
      <c r="E206" t="str" cm="1">
        <f t="array" ref="E206">_xlfn.IFNA(_xlfn.XLOOKUP(1,([1]!hcahps[Facility ID] = clean[[#This Row],[Facility ID]]) * ([1]!hcahps[HCAHPS Measure ID] = "H_HSP_RATING_LINEAR_SCORE"), [1]!hcahps[HCAHPS Linear Mean Value]), "No Match")</f>
        <v>Not Available</v>
      </c>
      <c r="F206" t="str" cm="1">
        <f t="array" ref="F206">_xlfn.IFNA(_xlfn.XLOOKUP(1,([1]!readmissions[Facility ID] = clean[[#This Row],[Facility ID]]) * ([1]!readmissions[Measure ID] = "Hybrid_HWR"), [1]!readmissions[Score]), "No Match")</f>
        <v>Not Available</v>
      </c>
    </row>
    <row r="207" spans="1:6" x14ac:dyDescent="0.2">
      <c r="A207" t="str">
        <f>[1]!hospitalinfo[[#This Row],[Facility ID]]</f>
        <v>043301</v>
      </c>
      <c r="B207" t="str">
        <f>[1]!hospitalinfo[[#This Row],[State]]</f>
        <v>AR</v>
      </c>
      <c r="C207" t="str">
        <f>[1]!hospitalinfo[[#This Row],[Hospital Type]]</f>
        <v>Childrens</v>
      </c>
      <c r="D207" t="str">
        <f>[1]!hospitalinfo[[#This Row],[Hospital Ownership]]</f>
        <v>Voluntary non-profit - Private</v>
      </c>
      <c r="E207" t="str" cm="1">
        <f t="array" ref="E207">_xlfn.IFNA(_xlfn.XLOOKUP(1,([1]!hcahps[Facility ID] = clean[[#This Row],[Facility ID]]) * ([1]!hcahps[HCAHPS Measure ID] = "H_HSP_RATING_LINEAR_SCORE"), [1]!hcahps[HCAHPS Linear Mean Value]), "No Match")</f>
        <v>Not Available</v>
      </c>
      <c r="F207" t="str" cm="1">
        <f t="array" ref="F207">_xlfn.IFNA(_xlfn.XLOOKUP(1,([1]!readmissions[Facility ID] = clean[[#This Row],[Facility ID]]) * ([1]!readmissions[Measure ID] = "Hybrid_HWR"), [1]!readmissions[Score]), "No Match")</f>
        <v>Not Available</v>
      </c>
    </row>
    <row r="208" spans="1:6" x14ac:dyDescent="0.2">
      <c r="A208" t="str">
        <f>[1]!hospitalinfo[[#This Row],[Facility ID]]</f>
        <v>044004</v>
      </c>
      <c r="B208" t="str">
        <f>[1]!hospitalinfo[[#This Row],[State]]</f>
        <v>AR</v>
      </c>
      <c r="C208" t="str">
        <f>[1]!hospitalinfo[[#This Row],[Hospital Type]]</f>
        <v>Psychiatric</v>
      </c>
      <c r="D208" t="str">
        <f>[1]!hospitalinfo[[#This Row],[Hospital Ownership]]</f>
        <v>Proprietary</v>
      </c>
      <c r="E208" t="str" cm="1">
        <f t="array" ref="E208">_xlfn.IFNA(_xlfn.XLOOKUP(1,([1]!hcahps[Facility ID] = clean[[#This Row],[Facility ID]]) * ([1]!hcahps[HCAHPS Measure ID] = "H_HSP_RATING_LINEAR_SCORE"), [1]!hcahps[HCAHPS Linear Mean Value]), "No Match")</f>
        <v>No Match</v>
      </c>
      <c r="F208" t="str" cm="1">
        <f t="array" ref="F208">_xlfn.IFNA(_xlfn.XLOOKUP(1,([1]!readmissions[Facility ID] = clean[[#This Row],[Facility ID]]) * ([1]!readmissions[Measure ID] = "Hybrid_HWR"), [1]!readmissions[Score]), "No Match")</f>
        <v>No Match</v>
      </c>
    </row>
    <row r="209" spans="1:6" x14ac:dyDescent="0.2">
      <c r="A209" t="str">
        <f>[1]!hospitalinfo[[#This Row],[Facility ID]]</f>
        <v>044005</v>
      </c>
      <c r="B209" t="str">
        <f>[1]!hospitalinfo[[#This Row],[State]]</f>
        <v>AR</v>
      </c>
      <c r="C209" t="str">
        <f>[1]!hospitalinfo[[#This Row],[Hospital Type]]</f>
        <v>Psychiatric</v>
      </c>
      <c r="D209" t="str">
        <f>[1]!hospitalinfo[[#This Row],[Hospital Ownership]]</f>
        <v>Proprietary</v>
      </c>
      <c r="E209" t="str" cm="1">
        <f t="array" ref="E209">_xlfn.IFNA(_xlfn.XLOOKUP(1,([1]!hcahps[Facility ID] = clean[[#This Row],[Facility ID]]) * ([1]!hcahps[HCAHPS Measure ID] = "H_HSP_RATING_LINEAR_SCORE"), [1]!hcahps[HCAHPS Linear Mean Value]), "No Match")</f>
        <v>No Match</v>
      </c>
      <c r="F209" t="str" cm="1">
        <f t="array" ref="F209">_xlfn.IFNA(_xlfn.XLOOKUP(1,([1]!readmissions[Facility ID] = clean[[#This Row],[Facility ID]]) * ([1]!readmissions[Measure ID] = "Hybrid_HWR"), [1]!readmissions[Score]), "No Match")</f>
        <v>No Match</v>
      </c>
    </row>
    <row r="210" spans="1:6" x14ac:dyDescent="0.2">
      <c r="A210" t="str">
        <f>[1]!hospitalinfo[[#This Row],[Facility ID]]</f>
        <v>044006</v>
      </c>
      <c r="B210" t="str">
        <f>[1]!hospitalinfo[[#This Row],[State]]</f>
        <v>AR</v>
      </c>
      <c r="C210" t="str">
        <f>[1]!hospitalinfo[[#This Row],[Hospital Type]]</f>
        <v>Psychiatric</v>
      </c>
      <c r="D210" t="str">
        <f>[1]!hospitalinfo[[#This Row],[Hospital Ownership]]</f>
        <v>Proprietary</v>
      </c>
      <c r="E210" t="str" cm="1">
        <f t="array" ref="E210">_xlfn.IFNA(_xlfn.XLOOKUP(1,([1]!hcahps[Facility ID] = clean[[#This Row],[Facility ID]]) * ([1]!hcahps[HCAHPS Measure ID] = "H_HSP_RATING_LINEAR_SCORE"), [1]!hcahps[HCAHPS Linear Mean Value]), "No Match")</f>
        <v>No Match</v>
      </c>
      <c r="F210" t="str" cm="1">
        <f t="array" ref="F210">_xlfn.IFNA(_xlfn.XLOOKUP(1,([1]!readmissions[Facility ID] = clean[[#This Row],[Facility ID]]) * ([1]!readmissions[Measure ID] = "Hybrid_HWR"), [1]!readmissions[Score]), "No Match")</f>
        <v>No Match</v>
      </c>
    </row>
    <row r="211" spans="1:6" x14ac:dyDescent="0.2">
      <c r="A211" t="str">
        <f>[1]!hospitalinfo[[#This Row],[Facility ID]]</f>
        <v>044007</v>
      </c>
      <c r="B211" t="str">
        <f>[1]!hospitalinfo[[#This Row],[State]]</f>
        <v>AR</v>
      </c>
      <c r="C211" t="str">
        <f>[1]!hospitalinfo[[#This Row],[Hospital Type]]</f>
        <v>Psychiatric</v>
      </c>
      <c r="D211" t="str">
        <f>[1]!hospitalinfo[[#This Row],[Hospital Ownership]]</f>
        <v>Proprietary</v>
      </c>
      <c r="E211" t="str" cm="1">
        <f t="array" ref="E211">_xlfn.IFNA(_xlfn.XLOOKUP(1,([1]!hcahps[Facility ID] = clean[[#This Row],[Facility ID]]) * ([1]!hcahps[HCAHPS Measure ID] = "H_HSP_RATING_LINEAR_SCORE"), [1]!hcahps[HCAHPS Linear Mean Value]), "No Match")</f>
        <v>No Match</v>
      </c>
      <c r="F211" t="str" cm="1">
        <f t="array" ref="F211">_xlfn.IFNA(_xlfn.XLOOKUP(1,([1]!readmissions[Facility ID] = clean[[#This Row],[Facility ID]]) * ([1]!readmissions[Measure ID] = "Hybrid_HWR"), [1]!readmissions[Score]), "No Match")</f>
        <v>No Match</v>
      </c>
    </row>
    <row r="212" spans="1:6" x14ac:dyDescent="0.2">
      <c r="A212" t="str">
        <f>[1]!hospitalinfo[[#This Row],[Facility ID]]</f>
        <v>044011</v>
      </c>
      <c r="B212" t="str">
        <f>[1]!hospitalinfo[[#This Row],[State]]</f>
        <v>AR</v>
      </c>
      <c r="C212" t="str">
        <f>[1]!hospitalinfo[[#This Row],[Hospital Type]]</f>
        <v>Psychiatric</v>
      </c>
      <c r="D212" t="str">
        <f>[1]!hospitalinfo[[#This Row],[Hospital Ownership]]</f>
        <v>Government - State</v>
      </c>
      <c r="E212" t="str" cm="1">
        <f t="array" ref="E212">_xlfn.IFNA(_xlfn.XLOOKUP(1,([1]!hcahps[Facility ID] = clean[[#This Row],[Facility ID]]) * ([1]!hcahps[HCAHPS Measure ID] = "H_HSP_RATING_LINEAR_SCORE"), [1]!hcahps[HCAHPS Linear Mean Value]), "No Match")</f>
        <v>No Match</v>
      </c>
      <c r="F212" t="str" cm="1">
        <f t="array" ref="F212">_xlfn.IFNA(_xlfn.XLOOKUP(1,([1]!readmissions[Facility ID] = clean[[#This Row],[Facility ID]]) * ([1]!readmissions[Measure ID] = "Hybrid_HWR"), [1]!readmissions[Score]), "No Match")</f>
        <v>No Match</v>
      </c>
    </row>
    <row r="213" spans="1:6" x14ac:dyDescent="0.2">
      <c r="A213" t="str">
        <f>[1]!hospitalinfo[[#This Row],[Facility ID]]</f>
        <v>044017</v>
      </c>
      <c r="B213" t="str">
        <f>[1]!hospitalinfo[[#This Row],[State]]</f>
        <v>AR</v>
      </c>
      <c r="C213" t="str">
        <f>[1]!hospitalinfo[[#This Row],[Hospital Type]]</f>
        <v>Psychiatric</v>
      </c>
      <c r="D213" t="str">
        <f>[1]!hospitalinfo[[#This Row],[Hospital Ownership]]</f>
        <v>Voluntary non-profit - Private</v>
      </c>
      <c r="E213" t="str" cm="1">
        <f t="array" ref="E213">_xlfn.IFNA(_xlfn.XLOOKUP(1,([1]!hcahps[Facility ID] = clean[[#This Row],[Facility ID]]) * ([1]!hcahps[HCAHPS Measure ID] = "H_HSP_RATING_LINEAR_SCORE"), [1]!hcahps[HCAHPS Linear Mean Value]), "No Match")</f>
        <v>No Match</v>
      </c>
      <c r="F213" t="str" cm="1">
        <f t="array" ref="F213">_xlfn.IFNA(_xlfn.XLOOKUP(1,([1]!readmissions[Facility ID] = clean[[#This Row],[Facility ID]]) * ([1]!readmissions[Measure ID] = "Hybrid_HWR"), [1]!readmissions[Score]), "No Match")</f>
        <v>No Match</v>
      </c>
    </row>
    <row r="214" spans="1:6" x14ac:dyDescent="0.2">
      <c r="A214" t="str">
        <f>[1]!hospitalinfo[[#This Row],[Facility ID]]</f>
        <v>044019</v>
      </c>
      <c r="B214" t="str">
        <f>[1]!hospitalinfo[[#This Row],[State]]</f>
        <v>AR</v>
      </c>
      <c r="C214" t="str">
        <f>[1]!hospitalinfo[[#This Row],[Hospital Type]]</f>
        <v>Psychiatric</v>
      </c>
      <c r="D214" t="str">
        <f>[1]!hospitalinfo[[#This Row],[Hospital Ownership]]</f>
        <v>Proprietary</v>
      </c>
      <c r="E214" t="str" cm="1">
        <f t="array" ref="E214">_xlfn.IFNA(_xlfn.XLOOKUP(1,([1]!hcahps[Facility ID] = clean[[#This Row],[Facility ID]]) * ([1]!hcahps[HCAHPS Measure ID] = "H_HSP_RATING_LINEAR_SCORE"), [1]!hcahps[HCAHPS Linear Mean Value]), "No Match")</f>
        <v>No Match</v>
      </c>
      <c r="F214" t="str" cm="1">
        <f t="array" ref="F214">_xlfn.IFNA(_xlfn.XLOOKUP(1,([1]!readmissions[Facility ID] = clean[[#This Row],[Facility ID]]) * ([1]!readmissions[Measure ID] = "Hybrid_HWR"), [1]!readmissions[Score]), "No Match")</f>
        <v>No Match</v>
      </c>
    </row>
    <row r="215" spans="1:6" x14ac:dyDescent="0.2">
      <c r="A215" t="str">
        <f>[1]!hospitalinfo[[#This Row],[Facility ID]]</f>
        <v>044020</v>
      </c>
      <c r="B215" t="str">
        <f>[1]!hospitalinfo[[#This Row],[State]]</f>
        <v>AR</v>
      </c>
      <c r="C215" t="str">
        <f>[1]!hospitalinfo[[#This Row],[Hospital Type]]</f>
        <v>Psychiatric</v>
      </c>
      <c r="D215" t="str">
        <f>[1]!hospitalinfo[[#This Row],[Hospital Ownership]]</f>
        <v>Proprietary</v>
      </c>
      <c r="E215" t="str" cm="1">
        <f t="array" ref="E215">_xlfn.IFNA(_xlfn.XLOOKUP(1,([1]!hcahps[Facility ID] = clean[[#This Row],[Facility ID]]) * ([1]!hcahps[HCAHPS Measure ID] = "H_HSP_RATING_LINEAR_SCORE"), [1]!hcahps[HCAHPS Linear Mean Value]), "No Match")</f>
        <v>No Match</v>
      </c>
      <c r="F215" t="str" cm="1">
        <f t="array" ref="F215">_xlfn.IFNA(_xlfn.XLOOKUP(1,([1]!readmissions[Facility ID] = clean[[#This Row],[Facility ID]]) * ([1]!readmissions[Measure ID] = "Hybrid_HWR"), [1]!readmissions[Score]), "No Match")</f>
        <v>No Match</v>
      </c>
    </row>
    <row r="216" spans="1:6" x14ac:dyDescent="0.2">
      <c r="A216" t="str">
        <f>[1]!hospitalinfo[[#This Row],[Facility ID]]</f>
        <v>044021</v>
      </c>
      <c r="B216" t="str">
        <f>[1]!hospitalinfo[[#This Row],[State]]</f>
        <v>AR</v>
      </c>
      <c r="C216" t="str">
        <f>[1]!hospitalinfo[[#This Row],[Hospital Type]]</f>
        <v>Psychiatric</v>
      </c>
      <c r="D216" t="str">
        <f>[1]!hospitalinfo[[#This Row],[Hospital Ownership]]</f>
        <v>Voluntary non-profit - Church</v>
      </c>
      <c r="E216" t="str" cm="1">
        <f t="array" ref="E216">_xlfn.IFNA(_xlfn.XLOOKUP(1,([1]!hcahps[Facility ID] = clean[[#This Row],[Facility ID]]) * ([1]!hcahps[HCAHPS Measure ID] = "H_HSP_RATING_LINEAR_SCORE"), [1]!hcahps[HCAHPS Linear Mean Value]), "No Match")</f>
        <v>No Match</v>
      </c>
      <c r="F216" t="str" cm="1">
        <f t="array" ref="F216">_xlfn.IFNA(_xlfn.XLOOKUP(1,([1]!readmissions[Facility ID] = clean[[#This Row],[Facility ID]]) * ([1]!readmissions[Measure ID] = "Hybrid_HWR"), [1]!readmissions[Score]), "No Match")</f>
        <v>No Match</v>
      </c>
    </row>
    <row r="217" spans="1:6" x14ac:dyDescent="0.2">
      <c r="A217" t="str">
        <f>[1]!hospitalinfo[[#This Row],[Facility ID]]</f>
        <v>044022</v>
      </c>
      <c r="B217" t="str">
        <f>[1]!hospitalinfo[[#This Row],[State]]</f>
        <v>AR</v>
      </c>
      <c r="C217" t="str">
        <f>[1]!hospitalinfo[[#This Row],[Hospital Type]]</f>
        <v>Psychiatric</v>
      </c>
      <c r="D217" t="str">
        <f>[1]!hospitalinfo[[#This Row],[Hospital Ownership]]</f>
        <v>Proprietary</v>
      </c>
      <c r="E217" t="str" cm="1">
        <f t="array" ref="E217">_xlfn.IFNA(_xlfn.XLOOKUP(1,([1]!hcahps[Facility ID] = clean[[#This Row],[Facility ID]]) * ([1]!hcahps[HCAHPS Measure ID] = "H_HSP_RATING_LINEAR_SCORE"), [1]!hcahps[HCAHPS Linear Mean Value]), "No Match")</f>
        <v>No Match</v>
      </c>
      <c r="F217" t="str" cm="1">
        <f t="array" ref="F217">_xlfn.IFNA(_xlfn.XLOOKUP(1,([1]!readmissions[Facility ID] = clean[[#This Row],[Facility ID]]) * ([1]!readmissions[Measure ID] = "Hybrid_HWR"), [1]!readmissions[Score]), "No Match")</f>
        <v>No Match</v>
      </c>
    </row>
    <row r="218" spans="1:6" x14ac:dyDescent="0.2">
      <c r="A218">
        <f>[1]!hospitalinfo[[#This Row],[Facility ID]]</f>
        <v>640001</v>
      </c>
      <c r="B218" t="str">
        <f>[1]!hospitalinfo[[#This Row],[State]]</f>
        <v>AS</v>
      </c>
      <c r="C218" t="str">
        <f>[1]!hospitalinfo[[#This Row],[Hospital Type]]</f>
        <v>Acute Care Hospitals</v>
      </c>
      <c r="D218" t="str">
        <f>[1]!hospitalinfo[[#This Row],[Hospital Ownership]]</f>
        <v>Government - Hospital District or Authority</v>
      </c>
      <c r="E218" t="str" cm="1">
        <f t="array" ref="E218">_xlfn.IFNA(_xlfn.XLOOKUP(1,([1]!hcahps[Facility ID] = clean[[#This Row],[Facility ID]]) * ([1]!hcahps[HCAHPS Measure ID] = "H_HSP_RATING_LINEAR_SCORE"), [1]!hcahps[HCAHPS Linear Mean Value]), "No Match")</f>
        <v>Not Available</v>
      </c>
      <c r="F218" t="str" cm="1">
        <f t="array" ref="F218">_xlfn.IFNA(_xlfn.XLOOKUP(1,([1]!readmissions[Facility ID] = clean[[#This Row],[Facility ID]]) * ([1]!readmissions[Measure ID] = "Hybrid_HWR"), [1]!readmissions[Score]), "No Match")</f>
        <v>Not Available</v>
      </c>
    </row>
    <row r="219" spans="1:6" x14ac:dyDescent="0.2">
      <c r="A219" t="str">
        <f>[1]!hospitalinfo[[#This Row],[Facility ID]]</f>
        <v>030002</v>
      </c>
      <c r="B219" t="str">
        <f>[1]!hospitalinfo[[#This Row],[State]]</f>
        <v>AZ</v>
      </c>
      <c r="C219" t="str">
        <f>[1]!hospitalinfo[[#This Row],[Hospital Type]]</f>
        <v>Acute Care Hospitals</v>
      </c>
      <c r="D219" t="str">
        <f>[1]!hospitalinfo[[#This Row],[Hospital Ownership]]</f>
        <v>Voluntary non-profit - Other</v>
      </c>
      <c r="E219" cm="1">
        <f t="array" ref="E219">_xlfn.IFNA(_xlfn.XLOOKUP(1,([1]!hcahps[Facility ID] = clean[[#This Row],[Facility ID]]) * ([1]!hcahps[HCAHPS Measure ID] = "H_HSP_RATING_LINEAR_SCORE"), [1]!hcahps[HCAHPS Linear Mean Value]), "No Match")</f>
        <v>88</v>
      </c>
      <c r="F219" cm="1">
        <f t="array" ref="F219">_xlfn.IFNA(_xlfn.XLOOKUP(1,([1]!readmissions[Facility ID] = clean[[#This Row],[Facility ID]]) * ([1]!readmissions[Measure ID] = "Hybrid_HWR"), [1]!readmissions[Score]), "No Match")</f>
        <v>14.9</v>
      </c>
    </row>
    <row r="220" spans="1:6" x14ac:dyDescent="0.2">
      <c r="A220" t="str">
        <f>[1]!hospitalinfo[[#This Row],[Facility ID]]</f>
        <v>030006</v>
      </c>
      <c r="B220" t="str">
        <f>[1]!hospitalinfo[[#This Row],[State]]</f>
        <v>AZ</v>
      </c>
      <c r="C220" t="str">
        <f>[1]!hospitalinfo[[#This Row],[Hospital Type]]</f>
        <v>Acute Care Hospitals</v>
      </c>
      <c r="D220" t="str">
        <f>[1]!hospitalinfo[[#This Row],[Hospital Ownership]]</f>
        <v>Voluntary non-profit - Private</v>
      </c>
      <c r="E220" cm="1">
        <f t="array" ref="E220">_xlfn.IFNA(_xlfn.XLOOKUP(1,([1]!hcahps[Facility ID] = clean[[#This Row],[Facility ID]]) * ([1]!hcahps[HCAHPS Measure ID] = "H_HSP_RATING_LINEAR_SCORE"), [1]!hcahps[HCAHPS Linear Mean Value]), "No Match")</f>
        <v>85</v>
      </c>
      <c r="F220" cm="1">
        <f t="array" ref="F220">_xlfn.IFNA(_xlfn.XLOOKUP(1,([1]!readmissions[Facility ID] = clean[[#This Row],[Facility ID]]) * ([1]!readmissions[Measure ID] = "Hybrid_HWR"), [1]!readmissions[Score]), "No Match")</f>
        <v>14.6</v>
      </c>
    </row>
    <row r="221" spans="1:6" x14ac:dyDescent="0.2">
      <c r="A221" t="str">
        <f>[1]!hospitalinfo[[#This Row],[Facility ID]]</f>
        <v>030007</v>
      </c>
      <c r="B221" t="str">
        <f>[1]!hospitalinfo[[#This Row],[State]]</f>
        <v>AZ</v>
      </c>
      <c r="C221" t="str">
        <f>[1]!hospitalinfo[[#This Row],[Hospital Type]]</f>
        <v>Acute Care Hospitals</v>
      </c>
      <c r="D221" t="str">
        <f>[1]!hospitalinfo[[#This Row],[Hospital Ownership]]</f>
        <v>Voluntary non-profit - Private</v>
      </c>
      <c r="E221" cm="1">
        <f t="array" ref="E221">_xlfn.IFNA(_xlfn.XLOOKUP(1,([1]!hcahps[Facility ID] = clean[[#This Row],[Facility ID]]) * ([1]!hcahps[HCAHPS Measure ID] = "H_HSP_RATING_LINEAR_SCORE"), [1]!hcahps[HCAHPS Linear Mean Value]), "No Match")</f>
        <v>86</v>
      </c>
      <c r="F221" cm="1">
        <f t="array" ref="F221">_xlfn.IFNA(_xlfn.XLOOKUP(1,([1]!readmissions[Facility ID] = clean[[#This Row],[Facility ID]]) * ([1]!readmissions[Measure ID] = "Hybrid_HWR"), [1]!readmissions[Score]), "No Match")</f>
        <v>15.3</v>
      </c>
    </row>
    <row r="222" spans="1:6" x14ac:dyDescent="0.2">
      <c r="A222" t="str">
        <f>[1]!hospitalinfo[[#This Row],[Facility ID]]</f>
        <v>030010</v>
      </c>
      <c r="B222" t="str">
        <f>[1]!hospitalinfo[[#This Row],[State]]</f>
        <v>AZ</v>
      </c>
      <c r="C222" t="str">
        <f>[1]!hospitalinfo[[#This Row],[Hospital Type]]</f>
        <v>Acute Care Hospitals</v>
      </c>
      <c r="D222" t="str">
        <f>[1]!hospitalinfo[[#This Row],[Hospital Ownership]]</f>
        <v>Voluntary non-profit - Private</v>
      </c>
      <c r="E222" cm="1">
        <f t="array" ref="E222">_xlfn.IFNA(_xlfn.XLOOKUP(1,([1]!hcahps[Facility ID] = clean[[#This Row],[Facility ID]]) * ([1]!hcahps[HCAHPS Measure ID] = "H_HSP_RATING_LINEAR_SCORE"), [1]!hcahps[HCAHPS Linear Mean Value]), "No Match")</f>
        <v>81</v>
      </c>
      <c r="F222" cm="1">
        <f t="array" ref="F222">_xlfn.IFNA(_xlfn.XLOOKUP(1,([1]!readmissions[Facility ID] = clean[[#This Row],[Facility ID]]) * ([1]!readmissions[Measure ID] = "Hybrid_HWR"), [1]!readmissions[Score]), "No Match")</f>
        <v>14.3</v>
      </c>
    </row>
    <row r="223" spans="1:6" x14ac:dyDescent="0.2">
      <c r="A223" t="str">
        <f>[1]!hospitalinfo[[#This Row],[Facility ID]]</f>
        <v>030011</v>
      </c>
      <c r="B223" t="str">
        <f>[1]!hospitalinfo[[#This Row],[State]]</f>
        <v>AZ</v>
      </c>
      <c r="C223" t="str">
        <f>[1]!hospitalinfo[[#This Row],[Hospital Type]]</f>
        <v>Acute Care Hospitals</v>
      </c>
      <c r="D223" t="str">
        <f>[1]!hospitalinfo[[#This Row],[Hospital Ownership]]</f>
        <v>Voluntary non-profit - Other</v>
      </c>
      <c r="E223" cm="1">
        <f t="array" ref="E223">_xlfn.IFNA(_xlfn.XLOOKUP(1,([1]!hcahps[Facility ID] = clean[[#This Row],[Facility ID]]) * ([1]!hcahps[HCAHPS Measure ID] = "H_HSP_RATING_LINEAR_SCORE"), [1]!hcahps[HCAHPS Linear Mean Value]), "No Match")</f>
        <v>79</v>
      </c>
      <c r="F223" cm="1">
        <f t="array" ref="F223">_xlfn.IFNA(_xlfn.XLOOKUP(1,([1]!readmissions[Facility ID] = clean[[#This Row],[Facility ID]]) * ([1]!readmissions[Measure ID] = "Hybrid_HWR"), [1]!readmissions[Score]), "No Match")</f>
        <v>14.7</v>
      </c>
    </row>
    <row r="224" spans="1:6" x14ac:dyDescent="0.2">
      <c r="A224" t="str">
        <f>[1]!hospitalinfo[[#This Row],[Facility ID]]</f>
        <v>030012</v>
      </c>
      <c r="B224" t="str">
        <f>[1]!hospitalinfo[[#This Row],[State]]</f>
        <v>AZ</v>
      </c>
      <c r="C224" t="str">
        <f>[1]!hospitalinfo[[#This Row],[Hospital Type]]</f>
        <v>Acute Care Hospitals</v>
      </c>
      <c r="D224" t="str">
        <f>[1]!hospitalinfo[[#This Row],[Hospital Ownership]]</f>
        <v>Voluntary non-profit - Private</v>
      </c>
      <c r="E224" cm="1">
        <f t="array" ref="E224">_xlfn.IFNA(_xlfn.XLOOKUP(1,([1]!hcahps[Facility ID] = clean[[#This Row],[Facility ID]]) * ([1]!hcahps[HCAHPS Measure ID] = "H_HSP_RATING_LINEAR_SCORE"), [1]!hcahps[HCAHPS Linear Mean Value]), "No Match")</f>
        <v>87</v>
      </c>
      <c r="F224" cm="1">
        <f t="array" ref="F224">_xlfn.IFNA(_xlfn.XLOOKUP(1,([1]!readmissions[Facility ID] = clean[[#This Row],[Facility ID]]) * ([1]!readmissions[Measure ID] = "Hybrid_HWR"), [1]!readmissions[Score]), "No Match")</f>
        <v>15.5</v>
      </c>
    </row>
    <row r="225" spans="1:6" x14ac:dyDescent="0.2">
      <c r="A225" t="str">
        <f>[1]!hospitalinfo[[#This Row],[Facility ID]]</f>
        <v>030013</v>
      </c>
      <c r="B225" t="str">
        <f>[1]!hospitalinfo[[#This Row],[State]]</f>
        <v>AZ</v>
      </c>
      <c r="C225" t="str">
        <f>[1]!hospitalinfo[[#This Row],[Hospital Type]]</f>
        <v>Acute Care Hospitals</v>
      </c>
      <c r="D225" t="str">
        <f>[1]!hospitalinfo[[#This Row],[Hospital Ownership]]</f>
        <v>Voluntary non-profit - Private</v>
      </c>
      <c r="E225" cm="1">
        <f t="array" ref="E225">_xlfn.IFNA(_xlfn.XLOOKUP(1,([1]!hcahps[Facility ID] = clean[[#This Row],[Facility ID]]) * ([1]!hcahps[HCAHPS Measure ID] = "H_HSP_RATING_LINEAR_SCORE"), [1]!hcahps[HCAHPS Linear Mean Value]), "No Match")</f>
        <v>85</v>
      </c>
      <c r="F225" cm="1">
        <f t="array" ref="F225">_xlfn.IFNA(_xlfn.XLOOKUP(1,([1]!readmissions[Facility ID] = clean[[#This Row],[Facility ID]]) * ([1]!readmissions[Measure ID] = "Hybrid_HWR"), [1]!readmissions[Score]), "No Match")</f>
        <v>14.8</v>
      </c>
    </row>
    <row r="226" spans="1:6" x14ac:dyDescent="0.2">
      <c r="A226" t="str">
        <f>[1]!hospitalinfo[[#This Row],[Facility ID]]</f>
        <v>030014</v>
      </c>
      <c r="B226" t="str">
        <f>[1]!hospitalinfo[[#This Row],[State]]</f>
        <v>AZ</v>
      </c>
      <c r="C226" t="str">
        <f>[1]!hospitalinfo[[#This Row],[Hospital Type]]</f>
        <v>Acute Care Hospitals</v>
      </c>
      <c r="D226" t="str">
        <f>[1]!hospitalinfo[[#This Row],[Hospital Ownership]]</f>
        <v>Voluntary non-profit - Private</v>
      </c>
      <c r="E226" cm="1">
        <f t="array" ref="E226">_xlfn.IFNA(_xlfn.XLOOKUP(1,([1]!hcahps[Facility ID] = clean[[#This Row],[Facility ID]]) * ([1]!hcahps[HCAHPS Measure ID] = "H_HSP_RATING_LINEAR_SCORE"), [1]!hcahps[HCAHPS Linear Mean Value]), "No Match")</f>
        <v>87</v>
      </c>
      <c r="F226" cm="1">
        <f t="array" ref="F226">_xlfn.IFNA(_xlfn.XLOOKUP(1,([1]!readmissions[Facility ID] = clean[[#This Row],[Facility ID]]) * ([1]!readmissions[Measure ID] = "Hybrid_HWR"), [1]!readmissions[Score]), "No Match")</f>
        <v>13.9</v>
      </c>
    </row>
    <row r="227" spans="1:6" x14ac:dyDescent="0.2">
      <c r="A227" t="str">
        <f>[1]!hospitalinfo[[#This Row],[Facility ID]]</f>
        <v>030016</v>
      </c>
      <c r="B227" t="str">
        <f>[1]!hospitalinfo[[#This Row],[State]]</f>
        <v>AZ</v>
      </c>
      <c r="C227" t="str">
        <f>[1]!hospitalinfo[[#This Row],[Hospital Type]]</f>
        <v>Acute Care Hospitals</v>
      </c>
      <c r="D227" t="str">
        <f>[1]!hospitalinfo[[#This Row],[Hospital Ownership]]</f>
        <v>Voluntary non-profit - Other</v>
      </c>
      <c r="E227" cm="1">
        <f t="array" ref="E227">_xlfn.IFNA(_xlfn.XLOOKUP(1,([1]!hcahps[Facility ID] = clean[[#This Row],[Facility ID]]) * ([1]!hcahps[HCAHPS Measure ID] = "H_HSP_RATING_LINEAR_SCORE"), [1]!hcahps[HCAHPS Linear Mean Value]), "No Match")</f>
        <v>85</v>
      </c>
      <c r="F227" cm="1">
        <f t="array" ref="F227">_xlfn.IFNA(_xlfn.XLOOKUP(1,([1]!readmissions[Facility ID] = clean[[#This Row],[Facility ID]]) * ([1]!readmissions[Measure ID] = "Hybrid_HWR"), [1]!readmissions[Score]), "No Match")</f>
        <v>16.600000000000001</v>
      </c>
    </row>
    <row r="228" spans="1:6" x14ac:dyDescent="0.2">
      <c r="A228" t="str">
        <f>[1]!hospitalinfo[[#This Row],[Facility ID]]</f>
        <v>030022</v>
      </c>
      <c r="B228" t="str">
        <f>[1]!hospitalinfo[[#This Row],[State]]</f>
        <v>AZ</v>
      </c>
      <c r="C228" t="str">
        <f>[1]!hospitalinfo[[#This Row],[Hospital Type]]</f>
        <v>Acute Care Hospitals</v>
      </c>
      <c r="D228" t="str">
        <f>[1]!hospitalinfo[[#This Row],[Hospital Ownership]]</f>
        <v>Government - Local</v>
      </c>
      <c r="E228" cm="1">
        <f t="array" ref="E228">_xlfn.IFNA(_xlfn.XLOOKUP(1,([1]!hcahps[Facility ID] = clean[[#This Row],[Facility ID]]) * ([1]!hcahps[HCAHPS Measure ID] = "H_HSP_RATING_LINEAR_SCORE"), [1]!hcahps[HCAHPS Linear Mean Value]), "No Match")</f>
        <v>89</v>
      </c>
      <c r="F228" cm="1">
        <f t="array" ref="F228">_xlfn.IFNA(_xlfn.XLOOKUP(1,([1]!readmissions[Facility ID] = clean[[#This Row],[Facility ID]]) * ([1]!readmissions[Measure ID] = "Hybrid_HWR"), [1]!readmissions[Score]), "No Match")</f>
        <v>15.3</v>
      </c>
    </row>
    <row r="229" spans="1:6" x14ac:dyDescent="0.2">
      <c r="A229" t="str">
        <f>[1]!hospitalinfo[[#This Row],[Facility ID]]</f>
        <v>030023</v>
      </c>
      <c r="B229" t="str">
        <f>[1]!hospitalinfo[[#This Row],[State]]</f>
        <v>AZ</v>
      </c>
      <c r="C229" t="str">
        <f>[1]!hospitalinfo[[#This Row],[Hospital Type]]</f>
        <v>Acute Care Hospitals</v>
      </c>
      <c r="D229" t="str">
        <f>[1]!hospitalinfo[[#This Row],[Hospital Ownership]]</f>
        <v>Voluntary non-profit - Private</v>
      </c>
      <c r="E229" cm="1">
        <f t="array" ref="E229">_xlfn.IFNA(_xlfn.XLOOKUP(1,([1]!hcahps[Facility ID] = clean[[#This Row],[Facility ID]]) * ([1]!hcahps[HCAHPS Measure ID] = "H_HSP_RATING_LINEAR_SCORE"), [1]!hcahps[HCAHPS Linear Mean Value]), "No Match")</f>
        <v>87</v>
      </c>
      <c r="F229" cm="1">
        <f t="array" ref="F229">_xlfn.IFNA(_xlfn.XLOOKUP(1,([1]!readmissions[Facility ID] = clean[[#This Row],[Facility ID]]) * ([1]!readmissions[Measure ID] = "Hybrid_HWR"), [1]!readmissions[Score]), "No Match")</f>
        <v>15</v>
      </c>
    </row>
    <row r="230" spans="1:6" x14ac:dyDescent="0.2">
      <c r="A230" t="str">
        <f>[1]!hospitalinfo[[#This Row],[Facility ID]]</f>
        <v>030024</v>
      </c>
      <c r="B230" t="str">
        <f>[1]!hospitalinfo[[#This Row],[State]]</f>
        <v>AZ</v>
      </c>
      <c r="C230" t="str">
        <f>[1]!hospitalinfo[[#This Row],[Hospital Type]]</f>
        <v>Acute Care Hospitals</v>
      </c>
      <c r="D230" t="str">
        <f>[1]!hospitalinfo[[#This Row],[Hospital Ownership]]</f>
        <v>Voluntary non-profit - Church</v>
      </c>
      <c r="E230" cm="1">
        <f t="array" ref="E230">_xlfn.IFNA(_xlfn.XLOOKUP(1,([1]!hcahps[Facility ID] = clean[[#This Row],[Facility ID]]) * ([1]!hcahps[HCAHPS Measure ID] = "H_HSP_RATING_LINEAR_SCORE"), [1]!hcahps[HCAHPS Linear Mean Value]), "No Match")</f>
        <v>89</v>
      </c>
      <c r="F230" cm="1">
        <f t="array" ref="F230">_xlfn.IFNA(_xlfn.XLOOKUP(1,([1]!readmissions[Facility ID] = clean[[#This Row],[Facility ID]]) * ([1]!readmissions[Measure ID] = "Hybrid_HWR"), [1]!readmissions[Score]), "No Match")</f>
        <v>15.1</v>
      </c>
    </row>
    <row r="231" spans="1:6" x14ac:dyDescent="0.2">
      <c r="A231" t="str">
        <f>[1]!hospitalinfo[[#This Row],[Facility ID]]</f>
        <v>030030</v>
      </c>
      <c r="B231" t="str">
        <f>[1]!hospitalinfo[[#This Row],[State]]</f>
        <v>AZ</v>
      </c>
      <c r="C231" t="str">
        <f>[1]!hospitalinfo[[#This Row],[Hospital Type]]</f>
        <v>Acute Care Hospitals</v>
      </c>
      <c r="D231" t="str">
        <f>[1]!hospitalinfo[[#This Row],[Hospital Ownership]]</f>
        <v>Physician</v>
      </c>
      <c r="E231" cm="1">
        <f t="array" ref="E231">_xlfn.IFNA(_xlfn.XLOOKUP(1,([1]!hcahps[Facility ID] = clean[[#This Row],[Facility ID]]) * ([1]!hcahps[HCAHPS Measure ID] = "H_HSP_RATING_LINEAR_SCORE"), [1]!hcahps[HCAHPS Linear Mean Value]), "No Match")</f>
        <v>81</v>
      </c>
      <c r="F231" cm="1">
        <f t="array" ref="F231">_xlfn.IFNA(_xlfn.XLOOKUP(1,([1]!readmissions[Facility ID] = clean[[#This Row],[Facility ID]]) * ([1]!readmissions[Measure ID] = "Hybrid_HWR"), [1]!readmissions[Score]), "No Match")</f>
        <v>15.4</v>
      </c>
    </row>
    <row r="232" spans="1:6" x14ac:dyDescent="0.2">
      <c r="A232" t="str">
        <f>[1]!hospitalinfo[[#This Row],[Facility ID]]</f>
        <v>030036</v>
      </c>
      <c r="B232" t="str">
        <f>[1]!hospitalinfo[[#This Row],[State]]</f>
        <v>AZ</v>
      </c>
      <c r="C232" t="str">
        <f>[1]!hospitalinfo[[#This Row],[Hospital Type]]</f>
        <v>Acute Care Hospitals</v>
      </c>
      <c r="D232" t="str">
        <f>[1]!hospitalinfo[[#This Row],[Hospital Ownership]]</f>
        <v>Voluntary non-profit - Private</v>
      </c>
      <c r="E232" cm="1">
        <f t="array" ref="E232">_xlfn.IFNA(_xlfn.XLOOKUP(1,([1]!hcahps[Facility ID] = clean[[#This Row],[Facility ID]]) * ([1]!hcahps[HCAHPS Measure ID] = "H_HSP_RATING_LINEAR_SCORE"), [1]!hcahps[HCAHPS Linear Mean Value]), "No Match")</f>
        <v>89</v>
      </c>
      <c r="F232" cm="1">
        <f t="array" ref="F232">_xlfn.IFNA(_xlfn.XLOOKUP(1,([1]!readmissions[Facility ID] = clean[[#This Row],[Facility ID]]) * ([1]!readmissions[Measure ID] = "Hybrid_HWR"), [1]!readmissions[Score]), "No Match")</f>
        <v>15.2</v>
      </c>
    </row>
    <row r="233" spans="1:6" x14ac:dyDescent="0.2">
      <c r="A233" t="str">
        <f>[1]!hospitalinfo[[#This Row],[Facility ID]]</f>
        <v>030037</v>
      </c>
      <c r="B233" t="str">
        <f>[1]!hospitalinfo[[#This Row],[State]]</f>
        <v>AZ</v>
      </c>
      <c r="C233" t="str">
        <f>[1]!hospitalinfo[[#This Row],[Hospital Type]]</f>
        <v>Acute Care Hospitals</v>
      </c>
      <c r="D233" t="str">
        <f>[1]!hospitalinfo[[#This Row],[Hospital Ownership]]</f>
        <v>Proprietary</v>
      </c>
      <c r="E233" cm="1">
        <f t="array" ref="E233">_xlfn.IFNA(_xlfn.XLOOKUP(1,([1]!hcahps[Facility ID] = clean[[#This Row],[Facility ID]]) * ([1]!hcahps[HCAHPS Measure ID] = "H_HSP_RATING_LINEAR_SCORE"), [1]!hcahps[HCAHPS Linear Mean Value]), "No Match")</f>
        <v>77</v>
      </c>
      <c r="F233" cm="1">
        <f t="array" ref="F233">_xlfn.IFNA(_xlfn.XLOOKUP(1,([1]!readmissions[Facility ID] = clean[[#This Row],[Facility ID]]) * ([1]!readmissions[Measure ID] = "Hybrid_HWR"), [1]!readmissions[Score]), "No Match")</f>
        <v>15</v>
      </c>
    </row>
    <row r="234" spans="1:6" x14ac:dyDescent="0.2">
      <c r="A234" t="str">
        <f>[1]!hospitalinfo[[#This Row],[Facility ID]]</f>
        <v>030038</v>
      </c>
      <c r="B234" t="str">
        <f>[1]!hospitalinfo[[#This Row],[State]]</f>
        <v>AZ</v>
      </c>
      <c r="C234" t="str">
        <f>[1]!hospitalinfo[[#This Row],[Hospital Type]]</f>
        <v>Acute Care Hospitals</v>
      </c>
      <c r="D234" t="str">
        <f>[1]!hospitalinfo[[#This Row],[Hospital Ownership]]</f>
        <v>Proprietary</v>
      </c>
      <c r="E234" cm="1">
        <f t="array" ref="E234">_xlfn.IFNA(_xlfn.XLOOKUP(1,([1]!hcahps[Facility ID] = clean[[#This Row],[Facility ID]]) * ([1]!hcahps[HCAHPS Measure ID] = "H_HSP_RATING_LINEAR_SCORE"), [1]!hcahps[HCAHPS Linear Mean Value]), "No Match")</f>
        <v>89</v>
      </c>
      <c r="F234" cm="1">
        <f t="array" ref="F234">_xlfn.IFNA(_xlfn.XLOOKUP(1,([1]!readmissions[Facility ID] = clean[[#This Row],[Facility ID]]) * ([1]!readmissions[Measure ID] = "Hybrid_HWR"), [1]!readmissions[Score]), "No Match")</f>
        <v>15.2</v>
      </c>
    </row>
    <row r="235" spans="1:6" x14ac:dyDescent="0.2">
      <c r="A235" t="str">
        <f>[1]!hospitalinfo[[#This Row],[Facility ID]]</f>
        <v>030043</v>
      </c>
      <c r="B235" t="str">
        <f>[1]!hospitalinfo[[#This Row],[State]]</f>
        <v>AZ</v>
      </c>
      <c r="C235" t="str">
        <f>[1]!hospitalinfo[[#This Row],[Hospital Type]]</f>
        <v>Acute Care Hospitals</v>
      </c>
      <c r="D235" t="str">
        <f>[1]!hospitalinfo[[#This Row],[Hospital Ownership]]</f>
        <v>Voluntary non-profit - Other</v>
      </c>
      <c r="E235" cm="1">
        <f t="array" ref="E235">_xlfn.IFNA(_xlfn.XLOOKUP(1,([1]!hcahps[Facility ID] = clean[[#This Row],[Facility ID]]) * ([1]!hcahps[HCAHPS Measure ID] = "H_HSP_RATING_LINEAR_SCORE"), [1]!hcahps[HCAHPS Linear Mean Value]), "No Match")</f>
        <v>84</v>
      </c>
      <c r="F235" cm="1">
        <f t="array" ref="F235">_xlfn.IFNA(_xlfn.XLOOKUP(1,([1]!readmissions[Facility ID] = clean[[#This Row],[Facility ID]]) * ([1]!readmissions[Measure ID] = "Hybrid_HWR"), [1]!readmissions[Score]), "No Match")</f>
        <v>15.3</v>
      </c>
    </row>
    <row r="236" spans="1:6" x14ac:dyDescent="0.2">
      <c r="A236" t="str">
        <f>[1]!hospitalinfo[[#This Row],[Facility ID]]</f>
        <v>030055</v>
      </c>
      <c r="B236" t="str">
        <f>[1]!hospitalinfo[[#This Row],[State]]</f>
        <v>AZ</v>
      </c>
      <c r="C236" t="str">
        <f>[1]!hospitalinfo[[#This Row],[Hospital Type]]</f>
        <v>Acute Care Hospitals</v>
      </c>
      <c r="D236" t="str">
        <f>[1]!hospitalinfo[[#This Row],[Hospital Ownership]]</f>
        <v>Government - Hospital District or Authority</v>
      </c>
      <c r="E236" cm="1">
        <f t="array" ref="E236">_xlfn.IFNA(_xlfn.XLOOKUP(1,([1]!hcahps[Facility ID] = clean[[#This Row],[Facility ID]]) * ([1]!hcahps[HCAHPS Measure ID] = "H_HSP_RATING_LINEAR_SCORE"), [1]!hcahps[HCAHPS Linear Mean Value]), "No Match")</f>
        <v>84</v>
      </c>
      <c r="F236" cm="1">
        <f t="array" ref="F236">_xlfn.IFNA(_xlfn.XLOOKUP(1,([1]!readmissions[Facility ID] = clean[[#This Row],[Facility ID]]) * ([1]!readmissions[Measure ID] = "Hybrid_HWR"), [1]!readmissions[Score]), "No Match")</f>
        <v>14.5</v>
      </c>
    </row>
    <row r="237" spans="1:6" x14ac:dyDescent="0.2">
      <c r="A237" t="str">
        <f>[1]!hospitalinfo[[#This Row],[Facility ID]]</f>
        <v>030061</v>
      </c>
      <c r="B237" t="str">
        <f>[1]!hospitalinfo[[#This Row],[State]]</f>
        <v>AZ</v>
      </c>
      <c r="C237" t="str">
        <f>[1]!hospitalinfo[[#This Row],[Hospital Type]]</f>
        <v>Acute Care Hospitals</v>
      </c>
      <c r="D237" t="str">
        <f>[1]!hospitalinfo[[#This Row],[Hospital Ownership]]</f>
        <v>Voluntary non-profit - Other</v>
      </c>
      <c r="E237" cm="1">
        <f t="array" ref="E237">_xlfn.IFNA(_xlfn.XLOOKUP(1,([1]!hcahps[Facility ID] = clean[[#This Row],[Facility ID]]) * ([1]!hcahps[HCAHPS Measure ID] = "H_HSP_RATING_LINEAR_SCORE"), [1]!hcahps[HCAHPS Linear Mean Value]), "No Match")</f>
        <v>84</v>
      </c>
      <c r="F237" cm="1">
        <f t="array" ref="F237">_xlfn.IFNA(_xlfn.XLOOKUP(1,([1]!readmissions[Facility ID] = clean[[#This Row],[Facility ID]]) * ([1]!readmissions[Measure ID] = "Hybrid_HWR"), [1]!readmissions[Score]), "No Match")</f>
        <v>14.3</v>
      </c>
    </row>
    <row r="238" spans="1:6" x14ac:dyDescent="0.2">
      <c r="A238" t="str">
        <f>[1]!hospitalinfo[[#This Row],[Facility ID]]</f>
        <v>030062</v>
      </c>
      <c r="B238" t="str">
        <f>[1]!hospitalinfo[[#This Row],[State]]</f>
        <v>AZ</v>
      </c>
      <c r="C238" t="str">
        <f>[1]!hospitalinfo[[#This Row],[Hospital Type]]</f>
        <v>Acute Care Hospitals</v>
      </c>
      <c r="D238" t="str">
        <f>[1]!hospitalinfo[[#This Row],[Hospital Ownership]]</f>
        <v>Voluntary non-profit - Private</v>
      </c>
      <c r="E238" cm="1">
        <f t="array" ref="E238">_xlfn.IFNA(_xlfn.XLOOKUP(1,([1]!hcahps[Facility ID] = clean[[#This Row],[Facility ID]]) * ([1]!hcahps[HCAHPS Measure ID] = "H_HSP_RATING_LINEAR_SCORE"), [1]!hcahps[HCAHPS Linear Mean Value]), "No Match")</f>
        <v>85</v>
      </c>
      <c r="F238" cm="1">
        <f t="array" ref="F238">_xlfn.IFNA(_xlfn.XLOOKUP(1,([1]!readmissions[Facility ID] = clean[[#This Row],[Facility ID]]) * ([1]!readmissions[Measure ID] = "Hybrid_HWR"), [1]!readmissions[Score]), "No Match")</f>
        <v>14</v>
      </c>
    </row>
    <row r="239" spans="1:6" x14ac:dyDescent="0.2">
      <c r="A239" t="str">
        <f>[1]!hospitalinfo[[#This Row],[Facility ID]]</f>
        <v>030064</v>
      </c>
      <c r="B239" t="str">
        <f>[1]!hospitalinfo[[#This Row],[State]]</f>
        <v>AZ</v>
      </c>
      <c r="C239" t="str">
        <f>[1]!hospitalinfo[[#This Row],[Hospital Type]]</f>
        <v>Acute Care Hospitals</v>
      </c>
      <c r="D239" t="str">
        <f>[1]!hospitalinfo[[#This Row],[Hospital Ownership]]</f>
        <v>Voluntary non-profit - Private</v>
      </c>
      <c r="E239" cm="1">
        <f t="array" ref="E239">_xlfn.IFNA(_xlfn.XLOOKUP(1,([1]!hcahps[Facility ID] = clean[[#This Row],[Facility ID]]) * ([1]!hcahps[HCAHPS Measure ID] = "H_HSP_RATING_LINEAR_SCORE"), [1]!hcahps[HCAHPS Linear Mean Value]), "No Match")</f>
        <v>87</v>
      </c>
      <c r="F239" cm="1">
        <f t="array" ref="F239">_xlfn.IFNA(_xlfn.XLOOKUP(1,([1]!readmissions[Facility ID] = clean[[#This Row],[Facility ID]]) * ([1]!readmissions[Measure ID] = "Hybrid_HWR"), [1]!readmissions[Score]), "No Match")</f>
        <v>14.6</v>
      </c>
    </row>
    <row r="240" spans="1:6" x14ac:dyDescent="0.2">
      <c r="A240" t="str">
        <f>[1]!hospitalinfo[[#This Row],[Facility ID]]</f>
        <v>030065</v>
      </c>
      <c r="B240" t="str">
        <f>[1]!hospitalinfo[[#This Row],[State]]</f>
        <v>AZ</v>
      </c>
      <c r="C240" t="str">
        <f>[1]!hospitalinfo[[#This Row],[Hospital Type]]</f>
        <v>Acute Care Hospitals</v>
      </c>
      <c r="D240" t="str">
        <f>[1]!hospitalinfo[[#This Row],[Hospital Ownership]]</f>
        <v>Voluntary non-profit - Private</v>
      </c>
      <c r="E240" cm="1">
        <f t="array" ref="E240">_xlfn.IFNA(_xlfn.XLOOKUP(1,([1]!hcahps[Facility ID] = clean[[#This Row],[Facility ID]]) * ([1]!hcahps[HCAHPS Measure ID] = "H_HSP_RATING_LINEAR_SCORE"), [1]!hcahps[HCAHPS Linear Mean Value]), "No Match")</f>
        <v>83</v>
      </c>
      <c r="F240" cm="1">
        <f t="array" ref="F240">_xlfn.IFNA(_xlfn.XLOOKUP(1,([1]!readmissions[Facility ID] = clean[[#This Row],[Facility ID]]) * ([1]!readmissions[Measure ID] = "Hybrid_HWR"), [1]!readmissions[Score]), "No Match")</f>
        <v>15.1</v>
      </c>
    </row>
    <row r="241" spans="1:6" x14ac:dyDescent="0.2">
      <c r="A241" t="str">
        <f>[1]!hospitalinfo[[#This Row],[Facility ID]]</f>
        <v>030069</v>
      </c>
      <c r="B241" t="str">
        <f>[1]!hospitalinfo[[#This Row],[State]]</f>
        <v>AZ</v>
      </c>
      <c r="C241" t="str">
        <f>[1]!hospitalinfo[[#This Row],[Hospital Type]]</f>
        <v>Acute Care Hospitals</v>
      </c>
      <c r="D241" t="str">
        <f>[1]!hospitalinfo[[#This Row],[Hospital Ownership]]</f>
        <v>Proprietary</v>
      </c>
      <c r="E241" cm="1">
        <f t="array" ref="E241">_xlfn.IFNA(_xlfn.XLOOKUP(1,([1]!hcahps[Facility ID] = clean[[#This Row],[Facility ID]]) * ([1]!hcahps[HCAHPS Measure ID] = "H_HSP_RATING_LINEAR_SCORE"), [1]!hcahps[HCAHPS Linear Mean Value]), "No Match")</f>
        <v>82</v>
      </c>
      <c r="F241" cm="1">
        <f t="array" ref="F241">_xlfn.IFNA(_xlfn.XLOOKUP(1,([1]!readmissions[Facility ID] = clean[[#This Row],[Facility ID]]) * ([1]!readmissions[Measure ID] = "Hybrid_HWR"), [1]!readmissions[Score]), "No Match")</f>
        <v>15.5</v>
      </c>
    </row>
    <row r="242" spans="1:6" x14ac:dyDescent="0.2">
      <c r="A242" t="str">
        <f>[1]!hospitalinfo[[#This Row],[Facility ID]]</f>
        <v>030071</v>
      </c>
      <c r="B242" t="str">
        <f>[1]!hospitalinfo[[#This Row],[State]]</f>
        <v>AZ</v>
      </c>
      <c r="C242" t="str">
        <f>[1]!hospitalinfo[[#This Row],[Hospital Type]]</f>
        <v>Acute Care Hospitals</v>
      </c>
      <c r="D242" t="str">
        <f>[1]!hospitalinfo[[#This Row],[Hospital Ownership]]</f>
        <v>Tribal</v>
      </c>
      <c r="E242" cm="1">
        <f t="array" ref="E242">_xlfn.IFNA(_xlfn.XLOOKUP(1,([1]!hcahps[Facility ID] = clean[[#This Row],[Facility ID]]) * ([1]!hcahps[HCAHPS Measure ID] = "H_HSP_RATING_LINEAR_SCORE"), [1]!hcahps[HCAHPS Linear Mean Value]), "No Match")</f>
        <v>90</v>
      </c>
      <c r="F242" cm="1">
        <f t="array" ref="F242">_xlfn.IFNA(_xlfn.XLOOKUP(1,([1]!readmissions[Facility ID] = clean[[#This Row],[Facility ID]]) * ([1]!readmissions[Measure ID] = "Hybrid_HWR"), [1]!readmissions[Score]), "No Match")</f>
        <v>16.5</v>
      </c>
    </row>
    <row r="243" spans="1:6" x14ac:dyDescent="0.2">
      <c r="A243" t="str">
        <f>[1]!hospitalinfo[[#This Row],[Facility ID]]</f>
        <v>030073</v>
      </c>
      <c r="B243" t="str">
        <f>[1]!hospitalinfo[[#This Row],[State]]</f>
        <v>AZ</v>
      </c>
      <c r="C243" t="str">
        <f>[1]!hospitalinfo[[#This Row],[Hospital Type]]</f>
        <v>Acute Care Hospitals</v>
      </c>
      <c r="D243" t="str">
        <f>[1]!hospitalinfo[[#This Row],[Hospital Ownership]]</f>
        <v>Voluntary non-profit - Other</v>
      </c>
      <c r="E243" cm="1">
        <f t="array" ref="E243">_xlfn.IFNA(_xlfn.XLOOKUP(1,([1]!hcahps[Facility ID] = clean[[#This Row],[Facility ID]]) * ([1]!hcahps[HCAHPS Measure ID] = "H_HSP_RATING_LINEAR_SCORE"), [1]!hcahps[HCAHPS Linear Mean Value]), "No Match")</f>
        <v>87</v>
      </c>
      <c r="F243" cm="1">
        <f t="array" ref="F243">_xlfn.IFNA(_xlfn.XLOOKUP(1,([1]!readmissions[Facility ID] = clean[[#This Row],[Facility ID]]) * ([1]!readmissions[Measure ID] = "Hybrid_HWR"), [1]!readmissions[Score]), "No Match")</f>
        <v>15.2</v>
      </c>
    </row>
    <row r="244" spans="1:6" x14ac:dyDescent="0.2">
      <c r="A244" t="str">
        <f>[1]!hospitalinfo[[#This Row],[Facility ID]]</f>
        <v>030074</v>
      </c>
      <c r="B244" t="str">
        <f>[1]!hospitalinfo[[#This Row],[State]]</f>
        <v>AZ</v>
      </c>
      <c r="C244" t="str">
        <f>[1]!hospitalinfo[[#This Row],[Hospital Type]]</f>
        <v>Acute Care Hospitals</v>
      </c>
      <c r="D244" t="str">
        <f>[1]!hospitalinfo[[#This Row],[Hospital Ownership]]</f>
        <v>Tribal</v>
      </c>
      <c r="E244" t="str" cm="1">
        <f t="array" ref="E244">_xlfn.IFNA(_xlfn.XLOOKUP(1,([1]!hcahps[Facility ID] = clean[[#This Row],[Facility ID]]) * ([1]!hcahps[HCAHPS Measure ID] = "H_HSP_RATING_LINEAR_SCORE"), [1]!hcahps[HCAHPS Linear Mean Value]), "No Match")</f>
        <v>Not Available</v>
      </c>
      <c r="F244" t="str" cm="1">
        <f t="array" ref="F244">_xlfn.IFNA(_xlfn.XLOOKUP(1,([1]!readmissions[Facility ID] = clean[[#This Row],[Facility ID]]) * ([1]!readmissions[Measure ID] = "Hybrid_HWR"), [1]!readmissions[Score]), "No Match")</f>
        <v>Not Available</v>
      </c>
    </row>
    <row r="245" spans="1:6" x14ac:dyDescent="0.2">
      <c r="A245" t="str">
        <f>[1]!hospitalinfo[[#This Row],[Facility ID]]</f>
        <v>030078</v>
      </c>
      <c r="B245" t="str">
        <f>[1]!hospitalinfo[[#This Row],[State]]</f>
        <v>AZ</v>
      </c>
      <c r="C245" t="str">
        <f>[1]!hospitalinfo[[#This Row],[Hospital Type]]</f>
        <v>Acute Care Hospitals</v>
      </c>
      <c r="D245" t="str">
        <f>[1]!hospitalinfo[[#This Row],[Hospital Ownership]]</f>
        <v>Government - Federal</v>
      </c>
      <c r="E245" cm="1">
        <f t="array" ref="E245">_xlfn.IFNA(_xlfn.XLOOKUP(1,([1]!hcahps[Facility ID] = clean[[#This Row],[Facility ID]]) * ([1]!hcahps[HCAHPS Measure ID] = "H_HSP_RATING_LINEAR_SCORE"), [1]!hcahps[HCAHPS Linear Mean Value]), "No Match")</f>
        <v>93</v>
      </c>
      <c r="F245" cm="1">
        <f t="array" ref="F245">_xlfn.IFNA(_xlfn.XLOOKUP(1,([1]!readmissions[Facility ID] = clean[[#This Row],[Facility ID]]) * ([1]!readmissions[Measure ID] = "Hybrid_HWR"), [1]!readmissions[Score]), "No Match")</f>
        <v>14.4</v>
      </c>
    </row>
    <row r="246" spans="1:6" x14ac:dyDescent="0.2">
      <c r="A246" t="str">
        <f>[1]!hospitalinfo[[#This Row],[Facility ID]]</f>
        <v>030083</v>
      </c>
      <c r="B246" t="str">
        <f>[1]!hospitalinfo[[#This Row],[State]]</f>
        <v>AZ</v>
      </c>
      <c r="C246" t="str">
        <f>[1]!hospitalinfo[[#This Row],[Hospital Type]]</f>
        <v>Acute Care Hospitals</v>
      </c>
      <c r="D246" t="str">
        <f>[1]!hospitalinfo[[#This Row],[Hospital Ownership]]</f>
        <v>Proprietary</v>
      </c>
      <c r="E246" cm="1">
        <f t="array" ref="E246">_xlfn.IFNA(_xlfn.XLOOKUP(1,([1]!hcahps[Facility ID] = clean[[#This Row],[Facility ID]]) * ([1]!hcahps[HCAHPS Measure ID] = "H_HSP_RATING_LINEAR_SCORE"), [1]!hcahps[HCAHPS Linear Mean Value]), "No Match")</f>
        <v>81</v>
      </c>
      <c r="F246" cm="1">
        <f t="array" ref="F246">_xlfn.IFNA(_xlfn.XLOOKUP(1,([1]!readmissions[Facility ID] = clean[[#This Row],[Facility ID]]) * ([1]!readmissions[Measure ID] = "Hybrid_HWR"), [1]!readmissions[Score]), "No Match")</f>
        <v>14.5</v>
      </c>
    </row>
    <row r="247" spans="1:6" x14ac:dyDescent="0.2">
      <c r="A247" t="str">
        <f>[1]!hospitalinfo[[#This Row],[Facility ID]]</f>
        <v>030084</v>
      </c>
      <c r="B247" t="str">
        <f>[1]!hospitalinfo[[#This Row],[State]]</f>
        <v>AZ</v>
      </c>
      <c r="C247" t="str">
        <f>[1]!hospitalinfo[[#This Row],[Hospital Type]]</f>
        <v>Acute Care Hospitals</v>
      </c>
      <c r="D247" t="str">
        <f>[1]!hospitalinfo[[#This Row],[Hospital Ownership]]</f>
        <v>Government - Federal</v>
      </c>
      <c r="E247" t="str" cm="1">
        <f t="array" ref="E247">_xlfn.IFNA(_xlfn.XLOOKUP(1,([1]!hcahps[Facility ID] = clean[[#This Row],[Facility ID]]) * ([1]!hcahps[HCAHPS Measure ID] = "H_HSP_RATING_LINEAR_SCORE"), [1]!hcahps[HCAHPS Linear Mean Value]), "No Match")</f>
        <v>Not Available</v>
      </c>
      <c r="F247" cm="1">
        <f t="array" ref="F247">_xlfn.IFNA(_xlfn.XLOOKUP(1,([1]!readmissions[Facility ID] = clean[[#This Row],[Facility ID]]) * ([1]!readmissions[Measure ID] = "Hybrid_HWR"), [1]!readmissions[Score]), "No Match")</f>
        <v>16.8</v>
      </c>
    </row>
    <row r="248" spans="1:6" x14ac:dyDescent="0.2">
      <c r="A248" t="str">
        <f>[1]!hospitalinfo[[#This Row],[Facility ID]]</f>
        <v>030085</v>
      </c>
      <c r="B248" t="str">
        <f>[1]!hospitalinfo[[#This Row],[State]]</f>
        <v>AZ</v>
      </c>
      <c r="C248" t="str">
        <f>[1]!hospitalinfo[[#This Row],[Hospital Type]]</f>
        <v>Acute Care Hospitals</v>
      </c>
      <c r="D248" t="str">
        <f>[1]!hospitalinfo[[#This Row],[Hospital Ownership]]</f>
        <v>Proprietary</v>
      </c>
      <c r="E248" cm="1">
        <f t="array" ref="E248">_xlfn.IFNA(_xlfn.XLOOKUP(1,([1]!hcahps[Facility ID] = clean[[#This Row],[Facility ID]]) * ([1]!hcahps[HCAHPS Measure ID] = "H_HSP_RATING_LINEAR_SCORE"), [1]!hcahps[HCAHPS Linear Mean Value]), "No Match")</f>
        <v>78</v>
      </c>
      <c r="F248" cm="1">
        <f t="array" ref="F248">_xlfn.IFNA(_xlfn.XLOOKUP(1,([1]!readmissions[Facility ID] = clean[[#This Row],[Facility ID]]) * ([1]!readmissions[Measure ID] = "Hybrid_HWR"), [1]!readmissions[Score]), "No Match")</f>
        <v>14.7</v>
      </c>
    </row>
    <row r="249" spans="1:6" x14ac:dyDescent="0.2">
      <c r="A249" t="str">
        <f>[1]!hospitalinfo[[#This Row],[Facility ID]]</f>
        <v>030087</v>
      </c>
      <c r="B249" t="str">
        <f>[1]!hospitalinfo[[#This Row],[State]]</f>
        <v>AZ</v>
      </c>
      <c r="C249" t="str">
        <f>[1]!hospitalinfo[[#This Row],[Hospital Type]]</f>
        <v>Acute Care Hospitals</v>
      </c>
      <c r="D249" t="str">
        <f>[1]!hospitalinfo[[#This Row],[Hospital Ownership]]</f>
        <v>Proprietary</v>
      </c>
      <c r="E249" cm="1">
        <f t="array" ref="E249">_xlfn.IFNA(_xlfn.XLOOKUP(1,([1]!hcahps[Facility ID] = clean[[#This Row],[Facility ID]]) * ([1]!hcahps[HCAHPS Measure ID] = "H_HSP_RATING_LINEAR_SCORE"), [1]!hcahps[HCAHPS Linear Mean Value]), "No Match")</f>
        <v>88</v>
      </c>
      <c r="F249" cm="1">
        <f t="array" ref="F249">_xlfn.IFNA(_xlfn.XLOOKUP(1,([1]!readmissions[Facility ID] = clean[[#This Row],[Facility ID]]) * ([1]!readmissions[Measure ID] = "Hybrid_HWR"), [1]!readmissions[Score]), "No Match")</f>
        <v>15.4</v>
      </c>
    </row>
    <row r="250" spans="1:6" x14ac:dyDescent="0.2">
      <c r="A250" t="str">
        <f>[1]!hospitalinfo[[#This Row],[Facility ID]]</f>
        <v>030088</v>
      </c>
      <c r="B250" t="str">
        <f>[1]!hospitalinfo[[#This Row],[State]]</f>
        <v>AZ</v>
      </c>
      <c r="C250" t="str">
        <f>[1]!hospitalinfo[[#This Row],[Hospital Type]]</f>
        <v>Acute Care Hospitals</v>
      </c>
      <c r="D250" t="str">
        <f>[1]!hospitalinfo[[#This Row],[Hospital Ownership]]</f>
        <v>Voluntary non-profit - Private</v>
      </c>
      <c r="E250" cm="1">
        <f t="array" ref="E250">_xlfn.IFNA(_xlfn.XLOOKUP(1,([1]!hcahps[Facility ID] = clean[[#This Row],[Facility ID]]) * ([1]!hcahps[HCAHPS Measure ID] = "H_HSP_RATING_LINEAR_SCORE"), [1]!hcahps[HCAHPS Linear Mean Value]), "No Match")</f>
        <v>85</v>
      </c>
      <c r="F250" cm="1">
        <f t="array" ref="F250">_xlfn.IFNA(_xlfn.XLOOKUP(1,([1]!readmissions[Facility ID] = clean[[#This Row],[Facility ID]]) * ([1]!readmissions[Measure ID] = "Hybrid_HWR"), [1]!readmissions[Score]), "No Match")</f>
        <v>13.9</v>
      </c>
    </row>
    <row r="251" spans="1:6" x14ac:dyDescent="0.2">
      <c r="A251" t="str">
        <f>[1]!hospitalinfo[[#This Row],[Facility ID]]</f>
        <v>030089</v>
      </c>
      <c r="B251" t="str">
        <f>[1]!hospitalinfo[[#This Row],[State]]</f>
        <v>AZ</v>
      </c>
      <c r="C251" t="str">
        <f>[1]!hospitalinfo[[#This Row],[Hospital Type]]</f>
        <v>Acute Care Hospitals</v>
      </c>
      <c r="D251" t="str">
        <f>[1]!hospitalinfo[[#This Row],[Hospital Ownership]]</f>
        <v>Government - Hospital District or Authority</v>
      </c>
      <c r="E251" cm="1">
        <f t="array" ref="E251">_xlfn.IFNA(_xlfn.XLOOKUP(1,([1]!hcahps[Facility ID] = clean[[#This Row],[Facility ID]]) * ([1]!hcahps[HCAHPS Measure ID] = "H_HSP_RATING_LINEAR_SCORE"), [1]!hcahps[HCAHPS Linear Mean Value]), "No Match")</f>
        <v>82</v>
      </c>
      <c r="F251" cm="1">
        <f t="array" ref="F251">_xlfn.IFNA(_xlfn.XLOOKUP(1,([1]!readmissions[Facility ID] = clean[[#This Row],[Facility ID]]) * ([1]!readmissions[Measure ID] = "Hybrid_HWR"), [1]!readmissions[Score]), "No Match")</f>
        <v>14</v>
      </c>
    </row>
    <row r="252" spans="1:6" x14ac:dyDescent="0.2">
      <c r="A252" t="str">
        <f>[1]!hospitalinfo[[#This Row],[Facility ID]]</f>
        <v>030092</v>
      </c>
      <c r="B252" t="str">
        <f>[1]!hospitalinfo[[#This Row],[State]]</f>
        <v>AZ</v>
      </c>
      <c r="C252" t="str">
        <f>[1]!hospitalinfo[[#This Row],[Hospital Type]]</f>
        <v>Acute Care Hospitals</v>
      </c>
      <c r="D252" t="str">
        <f>[1]!hospitalinfo[[#This Row],[Hospital Ownership]]</f>
        <v>Voluntary non-profit - Private</v>
      </c>
      <c r="E252" cm="1">
        <f t="array" ref="E252">_xlfn.IFNA(_xlfn.XLOOKUP(1,([1]!hcahps[Facility ID] = clean[[#This Row],[Facility ID]]) * ([1]!hcahps[HCAHPS Measure ID] = "H_HSP_RATING_LINEAR_SCORE"), [1]!hcahps[HCAHPS Linear Mean Value]), "No Match")</f>
        <v>88</v>
      </c>
      <c r="F252" cm="1">
        <f t="array" ref="F252">_xlfn.IFNA(_xlfn.XLOOKUP(1,([1]!readmissions[Facility ID] = clean[[#This Row],[Facility ID]]) * ([1]!readmissions[Measure ID] = "Hybrid_HWR"), [1]!readmissions[Score]), "No Match")</f>
        <v>14.6</v>
      </c>
    </row>
    <row r="253" spans="1:6" x14ac:dyDescent="0.2">
      <c r="A253" t="str">
        <f>[1]!hospitalinfo[[#This Row],[Facility ID]]</f>
        <v>030093</v>
      </c>
      <c r="B253" t="str">
        <f>[1]!hospitalinfo[[#This Row],[State]]</f>
        <v>AZ</v>
      </c>
      <c r="C253" t="str">
        <f>[1]!hospitalinfo[[#This Row],[Hospital Type]]</f>
        <v>Acute Care Hospitals</v>
      </c>
      <c r="D253" t="str">
        <f>[1]!hospitalinfo[[#This Row],[Hospital Ownership]]</f>
        <v>Voluntary non-profit - Private</v>
      </c>
      <c r="E253" cm="1">
        <f t="array" ref="E253">_xlfn.IFNA(_xlfn.XLOOKUP(1,([1]!hcahps[Facility ID] = clean[[#This Row],[Facility ID]]) * ([1]!hcahps[HCAHPS Measure ID] = "H_HSP_RATING_LINEAR_SCORE"), [1]!hcahps[HCAHPS Linear Mean Value]), "No Match")</f>
        <v>84</v>
      </c>
      <c r="F253" cm="1">
        <f t="array" ref="F253">_xlfn.IFNA(_xlfn.XLOOKUP(1,([1]!readmissions[Facility ID] = clean[[#This Row],[Facility ID]]) * ([1]!readmissions[Measure ID] = "Hybrid_HWR"), [1]!readmissions[Score]), "No Match")</f>
        <v>15.1</v>
      </c>
    </row>
    <row r="254" spans="1:6" x14ac:dyDescent="0.2">
      <c r="A254" t="str">
        <f>[1]!hospitalinfo[[#This Row],[Facility ID]]</f>
        <v>030094</v>
      </c>
      <c r="B254" t="str">
        <f>[1]!hospitalinfo[[#This Row],[State]]</f>
        <v>AZ</v>
      </c>
      <c r="C254" t="str">
        <f>[1]!hospitalinfo[[#This Row],[Hospital Type]]</f>
        <v>Acute Care Hospitals</v>
      </c>
      <c r="D254" t="str">
        <f>[1]!hospitalinfo[[#This Row],[Hospital Ownership]]</f>
        <v>Proprietary</v>
      </c>
      <c r="E254" cm="1">
        <f t="array" ref="E254">_xlfn.IFNA(_xlfn.XLOOKUP(1,([1]!hcahps[Facility ID] = clean[[#This Row],[Facility ID]]) * ([1]!hcahps[HCAHPS Measure ID] = "H_HSP_RATING_LINEAR_SCORE"), [1]!hcahps[HCAHPS Linear Mean Value]), "No Match")</f>
        <v>83</v>
      </c>
      <c r="F254" cm="1">
        <f t="array" ref="F254">_xlfn.IFNA(_xlfn.XLOOKUP(1,([1]!readmissions[Facility ID] = clean[[#This Row],[Facility ID]]) * ([1]!readmissions[Measure ID] = "Hybrid_HWR"), [1]!readmissions[Score]), "No Match")</f>
        <v>14.2</v>
      </c>
    </row>
    <row r="255" spans="1:6" x14ac:dyDescent="0.2">
      <c r="A255" t="str">
        <f>[1]!hospitalinfo[[#This Row],[Facility ID]]</f>
        <v>030101</v>
      </c>
      <c r="B255" t="str">
        <f>[1]!hospitalinfo[[#This Row],[State]]</f>
        <v>AZ</v>
      </c>
      <c r="C255" t="str">
        <f>[1]!hospitalinfo[[#This Row],[Hospital Type]]</f>
        <v>Acute Care Hospitals</v>
      </c>
      <c r="D255" t="str">
        <f>[1]!hospitalinfo[[#This Row],[Hospital Ownership]]</f>
        <v>Proprietary</v>
      </c>
      <c r="E255" cm="1">
        <f t="array" ref="E255">_xlfn.IFNA(_xlfn.XLOOKUP(1,([1]!hcahps[Facility ID] = clean[[#This Row],[Facility ID]]) * ([1]!hcahps[HCAHPS Measure ID] = "H_HSP_RATING_LINEAR_SCORE"), [1]!hcahps[HCAHPS Linear Mean Value]), "No Match")</f>
        <v>82</v>
      </c>
      <c r="F255" cm="1">
        <f t="array" ref="F255">_xlfn.IFNA(_xlfn.XLOOKUP(1,([1]!readmissions[Facility ID] = clean[[#This Row],[Facility ID]]) * ([1]!readmissions[Measure ID] = "Hybrid_HWR"), [1]!readmissions[Score]), "No Match")</f>
        <v>14.9</v>
      </c>
    </row>
    <row r="256" spans="1:6" x14ac:dyDescent="0.2">
      <c r="A256" t="str">
        <f>[1]!hospitalinfo[[#This Row],[Facility ID]]</f>
        <v>030103</v>
      </c>
      <c r="B256" t="str">
        <f>[1]!hospitalinfo[[#This Row],[State]]</f>
        <v>AZ</v>
      </c>
      <c r="C256" t="str">
        <f>[1]!hospitalinfo[[#This Row],[Hospital Type]]</f>
        <v>Acute Care Hospitals</v>
      </c>
      <c r="D256" t="str">
        <f>[1]!hospitalinfo[[#This Row],[Hospital Ownership]]</f>
        <v>Voluntary non-profit - Private</v>
      </c>
      <c r="E256" cm="1">
        <f t="array" ref="E256">_xlfn.IFNA(_xlfn.XLOOKUP(1,([1]!hcahps[Facility ID] = clean[[#This Row],[Facility ID]]) * ([1]!hcahps[HCAHPS Measure ID] = "H_HSP_RATING_LINEAR_SCORE"), [1]!hcahps[HCAHPS Linear Mean Value]), "No Match")</f>
        <v>96</v>
      </c>
      <c r="F256" cm="1">
        <f t="array" ref="F256">_xlfn.IFNA(_xlfn.XLOOKUP(1,([1]!readmissions[Facility ID] = clean[[#This Row],[Facility ID]]) * ([1]!readmissions[Measure ID] = "Hybrid_HWR"), [1]!readmissions[Score]), "No Match")</f>
        <v>14.1</v>
      </c>
    </row>
    <row r="257" spans="1:6" x14ac:dyDescent="0.2">
      <c r="A257" t="str">
        <f>[1]!hospitalinfo[[#This Row],[Facility ID]]</f>
        <v>030105</v>
      </c>
      <c r="B257" t="str">
        <f>[1]!hospitalinfo[[#This Row],[State]]</f>
        <v>AZ</v>
      </c>
      <c r="C257" t="str">
        <f>[1]!hospitalinfo[[#This Row],[Hospital Type]]</f>
        <v>Acute Care Hospitals</v>
      </c>
      <c r="D257" t="str">
        <f>[1]!hospitalinfo[[#This Row],[Hospital Ownership]]</f>
        <v>Voluntary non-profit - Private</v>
      </c>
      <c r="E257" cm="1">
        <f t="array" ref="E257">_xlfn.IFNA(_xlfn.XLOOKUP(1,([1]!hcahps[Facility ID] = clean[[#This Row],[Facility ID]]) * ([1]!hcahps[HCAHPS Measure ID] = "H_HSP_RATING_LINEAR_SCORE"), [1]!hcahps[HCAHPS Linear Mean Value]), "No Match")</f>
        <v>89</v>
      </c>
      <c r="F257" cm="1">
        <f t="array" ref="F257">_xlfn.IFNA(_xlfn.XLOOKUP(1,([1]!readmissions[Facility ID] = clean[[#This Row],[Facility ID]]) * ([1]!readmissions[Measure ID] = "Hybrid_HWR"), [1]!readmissions[Score]), "No Match")</f>
        <v>14.4</v>
      </c>
    </row>
    <row r="258" spans="1:6" x14ac:dyDescent="0.2">
      <c r="A258" t="str">
        <f>[1]!hospitalinfo[[#This Row],[Facility ID]]</f>
        <v>030107</v>
      </c>
      <c r="B258" t="str">
        <f>[1]!hospitalinfo[[#This Row],[State]]</f>
        <v>AZ</v>
      </c>
      <c r="C258" t="str">
        <f>[1]!hospitalinfo[[#This Row],[Hospital Type]]</f>
        <v>Acute Care Hospitals</v>
      </c>
      <c r="D258" t="str">
        <f>[1]!hospitalinfo[[#This Row],[Hospital Ownership]]</f>
        <v>Physician</v>
      </c>
      <c r="E258" cm="1">
        <f t="array" ref="E258">_xlfn.IFNA(_xlfn.XLOOKUP(1,([1]!hcahps[Facility ID] = clean[[#This Row],[Facility ID]]) * ([1]!hcahps[HCAHPS Measure ID] = "H_HSP_RATING_LINEAR_SCORE"), [1]!hcahps[HCAHPS Linear Mean Value]), "No Match")</f>
        <v>90</v>
      </c>
      <c r="F258" cm="1">
        <f t="array" ref="F258">_xlfn.IFNA(_xlfn.XLOOKUP(1,([1]!readmissions[Facility ID] = clean[[#This Row],[Facility ID]]) * ([1]!readmissions[Measure ID] = "Hybrid_HWR"), [1]!readmissions[Score]), "No Match")</f>
        <v>14.8</v>
      </c>
    </row>
    <row r="259" spans="1:6" x14ac:dyDescent="0.2">
      <c r="A259" t="str">
        <f>[1]!hospitalinfo[[#This Row],[Facility ID]]</f>
        <v>030108</v>
      </c>
      <c r="B259" t="str">
        <f>[1]!hospitalinfo[[#This Row],[State]]</f>
        <v>AZ</v>
      </c>
      <c r="C259" t="str">
        <f>[1]!hospitalinfo[[#This Row],[Hospital Type]]</f>
        <v>Acute Care Hospitals</v>
      </c>
      <c r="D259" t="str">
        <f>[1]!hospitalinfo[[#This Row],[Hospital Ownership]]</f>
        <v>Physician</v>
      </c>
      <c r="E259" cm="1">
        <f t="array" ref="E259">_xlfn.IFNA(_xlfn.XLOOKUP(1,([1]!hcahps[Facility ID] = clean[[#This Row],[Facility ID]]) * ([1]!hcahps[HCAHPS Measure ID] = "H_HSP_RATING_LINEAR_SCORE"), [1]!hcahps[HCAHPS Linear Mean Value]), "No Match")</f>
        <v>91</v>
      </c>
      <c r="F259" cm="1">
        <f t="array" ref="F259">_xlfn.IFNA(_xlfn.XLOOKUP(1,([1]!readmissions[Facility ID] = clean[[#This Row],[Facility ID]]) * ([1]!readmissions[Measure ID] = "Hybrid_HWR"), [1]!readmissions[Score]), "No Match")</f>
        <v>14.3</v>
      </c>
    </row>
    <row r="260" spans="1:6" x14ac:dyDescent="0.2">
      <c r="A260" t="str">
        <f>[1]!hospitalinfo[[#This Row],[Facility ID]]</f>
        <v>030110</v>
      </c>
      <c r="B260" t="str">
        <f>[1]!hospitalinfo[[#This Row],[State]]</f>
        <v>AZ</v>
      </c>
      <c r="C260" t="str">
        <f>[1]!hospitalinfo[[#This Row],[Hospital Type]]</f>
        <v>Acute Care Hospitals</v>
      </c>
      <c r="D260" t="str">
        <f>[1]!hospitalinfo[[#This Row],[Hospital Ownership]]</f>
        <v>Proprietary</v>
      </c>
      <c r="E260" cm="1">
        <f t="array" ref="E260">_xlfn.IFNA(_xlfn.XLOOKUP(1,([1]!hcahps[Facility ID] = clean[[#This Row],[Facility ID]]) * ([1]!hcahps[HCAHPS Measure ID] = "H_HSP_RATING_LINEAR_SCORE"), [1]!hcahps[HCAHPS Linear Mean Value]), "No Match")</f>
        <v>77</v>
      </c>
      <c r="F260" cm="1">
        <f t="array" ref="F260">_xlfn.IFNA(_xlfn.XLOOKUP(1,([1]!readmissions[Facility ID] = clean[[#This Row],[Facility ID]]) * ([1]!readmissions[Measure ID] = "Hybrid_HWR"), [1]!readmissions[Score]), "No Match")</f>
        <v>14.9</v>
      </c>
    </row>
    <row r="261" spans="1:6" x14ac:dyDescent="0.2">
      <c r="A261" t="str">
        <f>[1]!hospitalinfo[[#This Row],[Facility ID]]</f>
        <v>030111</v>
      </c>
      <c r="B261" t="str">
        <f>[1]!hospitalinfo[[#This Row],[State]]</f>
        <v>AZ</v>
      </c>
      <c r="C261" t="str">
        <f>[1]!hospitalinfo[[#This Row],[Hospital Type]]</f>
        <v>Acute Care Hospitals</v>
      </c>
      <c r="D261" t="str">
        <f>[1]!hospitalinfo[[#This Row],[Hospital Ownership]]</f>
        <v>Voluntary non-profit - Private</v>
      </c>
      <c r="E261" cm="1">
        <f t="array" ref="E261">_xlfn.IFNA(_xlfn.XLOOKUP(1,([1]!hcahps[Facility ID] = clean[[#This Row],[Facility ID]]) * ([1]!hcahps[HCAHPS Measure ID] = "H_HSP_RATING_LINEAR_SCORE"), [1]!hcahps[HCAHPS Linear Mean Value]), "No Match")</f>
        <v>84</v>
      </c>
      <c r="F261" cm="1">
        <f t="array" ref="F261">_xlfn.IFNA(_xlfn.XLOOKUP(1,([1]!readmissions[Facility ID] = clean[[#This Row],[Facility ID]]) * ([1]!readmissions[Measure ID] = "Hybrid_HWR"), [1]!readmissions[Score]), "No Match")</f>
        <v>14.5</v>
      </c>
    </row>
    <row r="262" spans="1:6" x14ac:dyDescent="0.2">
      <c r="A262" t="str">
        <f>[1]!hospitalinfo[[#This Row],[Facility ID]]</f>
        <v>030112</v>
      </c>
      <c r="B262" t="str">
        <f>[1]!hospitalinfo[[#This Row],[State]]</f>
        <v>AZ</v>
      </c>
      <c r="C262" t="str">
        <f>[1]!hospitalinfo[[#This Row],[Hospital Type]]</f>
        <v>Acute Care Hospitals</v>
      </c>
      <c r="D262" t="str">
        <f>[1]!hospitalinfo[[#This Row],[Hospital Ownership]]</f>
        <v>Proprietary</v>
      </c>
      <c r="E262" cm="1">
        <f t="array" ref="E262">_xlfn.IFNA(_xlfn.XLOOKUP(1,([1]!hcahps[Facility ID] = clean[[#This Row],[Facility ID]]) * ([1]!hcahps[HCAHPS Measure ID] = "H_HSP_RATING_LINEAR_SCORE"), [1]!hcahps[HCAHPS Linear Mean Value]), "No Match")</f>
        <v>91</v>
      </c>
      <c r="F262" cm="1">
        <f t="array" ref="F262">_xlfn.IFNA(_xlfn.XLOOKUP(1,([1]!readmissions[Facility ID] = clean[[#This Row],[Facility ID]]) * ([1]!readmissions[Measure ID] = "Hybrid_HWR"), [1]!readmissions[Score]), "No Match")</f>
        <v>14</v>
      </c>
    </row>
    <row r="263" spans="1:6" x14ac:dyDescent="0.2">
      <c r="A263" t="str">
        <f>[1]!hospitalinfo[[#This Row],[Facility ID]]</f>
        <v>030113</v>
      </c>
      <c r="B263" t="str">
        <f>[1]!hospitalinfo[[#This Row],[State]]</f>
        <v>AZ</v>
      </c>
      <c r="C263" t="str">
        <f>[1]!hospitalinfo[[#This Row],[Hospital Type]]</f>
        <v>Acute Care Hospitals</v>
      </c>
      <c r="D263" t="str">
        <f>[1]!hospitalinfo[[#This Row],[Hospital Ownership]]</f>
        <v>Government - Federal</v>
      </c>
      <c r="E263" cm="1">
        <f t="array" ref="E263">_xlfn.IFNA(_xlfn.XLOOKUP(1,([1]!hcahps[Facility ID] = clean[[#This Row],[Facility ID]]) * ([1]!hcahps[HCAHPS Measure ID] = "H_HSP_RATING_LINEAR_SCORE"), [1]!hcahps[HCAHPS Linear Mean Value]), "No Match")</f>
        <v>88</v>
      </c>
      <c r="F263" cm="1">
        <f t="array" ref="F263">_xlfn.IFNA(_xlfn.XLOOKUP(1,([1]!readmissions[Facility ID] = clean[[#This Row],[Facility ID]]) * ([1]!readmissions[Measure ID] = "Hybrid_HWR"), [1]!readmissions[Score]), "No Match")</f>
        <v>15.3</v>
      </c>
    </row>
    <row r="264" spans="1:6" x14ac:dyDescent="0.2">
      <c r="A264" t="str">
        <f>[1]!hospitalinfo[[#This Row],[Facility ID]]</f>
        <v>030114</v>
      </c>
      <c r="B264" t="str">
        <f>[1]!hospitalinfo[[#This Row],[State]]</f>
        <v>AZ</v>
      </c>
      <c r="C264" t="str">
        <f>[1]!hospitalinfo[[#This Row],[Hospital Type]]</f>
        <v>Acute Care Hospitals</v>
      </c>
      <c r="D264" t="str">
        <f>[1]!hospitalinfo[[#This Row],[Hospital Ownership]]</f>
        <v>Proprietary</v>
      </c>
      <c r="E264" cm="1">
        <f t="array" ref="E264">_xlfn.IFNA(_xlfn.XLOOKUP(1,([1]!hcahps[Facility ID] = clean[[#This Row],[Facility ID]]) * ([1]!hcahps[HCAHPS Measure ID] = "H_HSP_RATING_LINEAR_SCORE"), [1]!hcahps[HCAHPS Linear Mean Value]), "No Match")</f>
        <v>85</v>
      </c>
      <c r="F264" cm="1">
        <f t="array" ref="F264">_xlfn.IFNA(_xlfn.XLOOKUP(1,([1]!readmissions[Facility ID] = clean[[#This Row],[Facility ID]]) * ([1]!readmissions[Measure ID] = "Hybrid_HWR"), [1]!readmissions[Score]), "No Match")</f>
        <v>14.4</v>
      </c>
    </row>
    <row r="265" spans="1:6" x14ac:dyDescent="0.2">
      <c r="A265" t="str">
        <f>[1]!hospitalinfo[[#This Row],[Facility ID]]</f>
        <v>030115</v>
      </c>
      <c r="B265" t="str">
        <f>[1]!hospitalinfo[[#This Row],[State]]</f>
        <v>AZ</v>
      </c>
      <c r="C265" t="str">
        <f>[1]!hospitalinfo[[#This Row],[Hospital Type]]</f>
        <v>Acute Care Hospitals</v>
      </c>
      <c r="D265" t="str">
        <f>[1]!hospitalinfo[[#This Row],[Hospital Ownership]]</f>
        <v>Voluntary non-profit - Private</v>
      </c>
      <c r="E265" cm="1">
        <f t="array" ref="E265">_xlfn.IFNA(_xlfn.XLOOKUP(1,([1]!hcahps[Facility ID] = clean[[#This Row],[Facility ID]]) * ([1]!hcahps[HCAHPS Measure ID] = "H_HSP_RATING_LINEAR_SCORE"), [1]!hcahps[HCAHPS Linear Mean Value]), "No Match")</f>
        <v>87</v>
      </c>
      <c r="F265" cm="1">
        <f t="array" ref="F265">_xlfn.IFNA(_xlfn.XLOOKUP(1,([1]!readmissions[Facility ID] = clean[[#This Row],[Facility ID]]) * ([1]!readmissions[Measure ID] = "Hybrid_HWR"), [1]!readmissions[Score]), "No Match")</f>
        <v>13.9</v>
      </c>
    </row>
    <row r="266" spans="1:6" x14ac:dyDescent="0.2">
      <c r="A266" t="str">
        <f>[1]!hospitalinfo[[#This Row],[Facility ID]]</f>
        <v>030117</v>
      </c>
      <c r="B266" t="str">
        <f>[1]!hospitalinfo[[#This Row],[State]]</f>
        <v>AZ</v>
      </c>
      <c r="C266" t="str">
        <f>[1]!hospitalinfo[[#This Row],[Hospital Type]]</f>
        <v>Acute Care Hospitals</v>
      </c>
      <c r="D266" t="str">
        <f>[1]!hospitalinfo[[#This Row],[Hospital Ownership]]</f>
        <v>Proprietary</v>
      </c>
      <c r="E266" cm="1">
        <f t="array" ref="E266">_xlfn.IFNA(_xlfn.XLOOKUP(1,([1]!hcahps[Facility ID] = clean[[#This Row],[Facility ID]]) * ([1]!hcahps[HCAHPS Measure ID] = "H_HSP_RATING_LINEAR_SCORE"), [1]!hcahps[HCAHPS Linear Mean Value]), "No Match")</f>
        <v>87</v>
      </c>
      <c r="F266" cm="1">
        <f t="array" ref="F266">_xlfn.IFNA(_xlfn.XLOOKUP(1,([1]!readmissions[Facility ID] = clean[[#This Row],[Facility ID]]) * ([1]!readmissions[Measure ID] = "Hybrid_HWR"), [1]!readmissions[Score]), "No Match")</f>
        <v>15.2</v>
      </c>
    </row>
    <row r="267" spans="1:6" x14ac:dyDescent="0.2">
      <c r="A267" t="str">
        <f>[1]!hospitalinfo[[#This Row],[Facility ID]]</f>
        <v>030119</v>
      </c>
      <c r="B267" t="str">
        <f>[1]!hospitalinfo[[#This Row],[State]]</f>
        <v>AZ</v>
      </c>
      <c r="C267" t="str">
        <f>[1]!hospitalinfo[[#This Row],[Hospital Type]]</f>
        <v>Acute Care Hospitals</v>
      </c>
      <c r="D267" t="str">
        <f>[1]!hospitalinfo[[#This Row],[Hospital Ownership]]</f>
        <v>Voluntary non-profit - Church</v>
      </c>
      <c r="E267" cm="1">
        <f t="array" ref="E267">_xlfn.IFNA(_xlfn.XLOOKUP(1,([1]!hcahps[Facility ID] = clean[[#This Row],[Facility ID]]) * ([1]!hcahps[HCAHPS Measure ID] = "H_HSP_RATING_LINEAR_SCORE"), [1]!hcahps[HCAHPS Linear Mean Value]), "No Match")</f>
        <v>90</v>
      </c>
      <c r="F267" cm="1">
        <f t="array" ref="F267">_xlfn.IFNA(_xlfn.XLOOKUP(1,([1]!readmissions[Facility ID] = clean[[#This Row],[Facility ID]]) * ([1]!readmissions[Measure ID] = "Hybrid_HWR"), [1]!readmissions[Score]), "No Match")</f>
        <v>14.8</v>
      </c>
    </row>
    <row r="268" spans="1:6" x14ac:dyDescent="0.2">
      <c r="A268" t="str">
        <f>[1]!hospitalinfo[[#This Row],[Facility ID]]</f>
        <v>030121</v>
      </c>
      <c r="B268" t="str">
        <f>[1]!hospitalinfo[[#This Row],[State]]</f>
        <v>AZ</v>
      </c>
      <c r="C268" t="str">
        <f>[1]!hospitalinfo[[#This Row],[Hospital Type]]</f>
        <v>Acute Care Hospitals</v>
      </c>
      <c r="D268" t="str">
        <f>[1]!hospitalinfo[[#This Row],[Hospital Ownership]]</f>
        <v>Proprietary</v>
      </c>
      <c r="E268" cm="1">
        <f t="array" ref="E268">_xlfn.IFNA(_xlfn.XLOOKUP(1,([1]!hcahps[Facility ID] = clean[[#This Row],[Facility ID]]) * ([1]!hcahps[HCAHPS Measure ID] = "H_HSP_RATING_LINEAR_SCORE"), [1]!hcahps[HCAHPS Linear Mean Value]), "No Match")</f>
        <v>82</v>
      </c>
      <c r="F268" cm="1">
        <f t="array" ref="F268">_xlfn.IFNA(_xlfn.XLOOKUP(1,([1]!readmissions[Facility ID] = clean[[#This Row],[Facility ID]]) * ([1]!readmissions[Measure ID] = "Hybrid_HWR"), [1]!readmissions[Score]), "No Match")</f>
        <v>14</v>
      </c>
    </row>
    <row r="269" spans="1:6" x14ac:dyDescent="0.2">
      <c r="A269" t="str">
        <f>[1]!hospitalinfo[[#This Row],[Facility ID]]</f>
        <v>030122</v>
      </c>
      <c r="B269" t="str">
        <f>[1]!hospitalinfo[[#This Row],[State]]</f>
        <v>AZ</v>
      </c>
      <c r="C269" t="str">
        <f>[1]!hospitalinfo[[#This Row],[Hospital Type]]</f>
        <v>Acute Care Hospitals</v>
      </c>
      <c r="D269" t="str">
        <f>[1]!hospitalinfo[[#This Row],[Hospital Ownership]]</f>
        <v>Voluntary non-profit - Other</v>
      </c>
      <c r="E269" cm="1">
        <f t="array" ref="E269">_xlfn.IFNA(_xlfn.XLOOKUP(1,([1]!hcahps[Facility ID] = clean[[#This Row],[Facility ID]]) * ([1]!hcahps[HCAHPS Measure ID] = "H_HSP_RATING_LINEAR_SCORE"), [1]!hcahps[HCAHPS Linear Mean Value]), "No Match")</f>
        <v>89</v>
      </c>
      <c r="F269" cm="1">
        <f t="array" ref="F269">_xlfn.IFNA(_xlfn.XLOOKUP(1,([1]!readmissions[Facility ID] = clean[[#This Row],[Facility ID]]) * ([1]!readmissions[Measure ID] = "Hybrid_HWR"), [1]!readmissions[Score]), "No Match")</f>
        <v>15.3</v>
      </c>
    </row>
    <row r="270" spans="1:6" x14ac:dyDescent="0.2">
      <c r="A270" t="str">
        <f>[1]!hospitalinfo[[#This Row],[Facility ID]]</f>
        <v>030123</v>
      </c>
      <c r="B270" t="str">
        <f>[1]!hospitalinfo[[#This Row],[State]]</f>
        <v>AZ</v>
      </c>
      <c r="C270" t="str">
        <f>[1]!hospitalinfo[[#This Row],[Hospital Type]]</f>
        <v>Acute Care Hospitals</v>
      </c>
      <c r="D270" t="str">
        <f>[1]!hospitalinfo[[#This Row],[Hospital Ownership]]</f>
        <v>Voluntary non-profit - Private</v>
      </c>
      <c r="E270" cm="1">
        <f t="array" ref="E270">_xlfn.IFNA(_xlfn.XLOOKUP(1,([1]!hcahps[Facility ID] = clean[[#This Row],[Facility ID]]) * ([1]!hcahps[HCAHPS Measure ID] = "H_HSP_RATING_LINEAR_SCORE"), [1]!hcahps[HCAHPS Linear Mean Value]), "No Match")</f>
        <v>92</v>
      </c>
      <c r="F270" cm="1">
        <f t="array" ref="F270">_xlfn.IFNA(_xlfn.XLOOKUP(1,([1]!readmissions[Facility ID] = clean[[#This Row],[Facility ID]]) * ([1]!readmissions[Measure ID] = "Hybrid_HWR"), [1]!readmissions[Score]), "No Match")</f>
        <v>14.3</v>
      </c>
    </row>
    <row r="271" spans="1:6" x14ac:dyDescent="0.2">
      <c r="A271" t="str">
        <f>[1]!hospitalinfo[[#This Row],[Facility ID]]</f>
        <v>03012F</v>
      </c>
      <c r="B271" t="str">
        <f>[1]!hospitalinfo[[#This Row],[State]]</f>
        <v>AZ</v>
      </c>
      <c r="C271" t="str">
        <f>[1]!hospitalinfo[[#This Row],[Hospital Type]]</f>
        <v>Acute Care - Veterans Administration</v>
      </c>
      <c r="D271" t="str">
        <f>[1]!hospitalinfo[[#This Row],[Hospital Ownership]]</f>
        <v>Veterans Health Administration</v>
      </c>
      <c r="E271" cm="1">
        <f t="array" ref="E271">_xlfn.IFNA(_xlfn.XLOOKUP(1,([1]!hcahps[Facility ID] = clean[[#This Row],[Facility ID]]) * ([1]!hcahps[HCAHPS Measure ID] = "H_HSP_RATING_LINEAR_SCORE"), [1]!hcahps[HCAHPS Linear Mean Value]), "No Match")</f>
        <v>86</v>
      </c>
      <c r="F271" cm="1">
        <f t="array" ref="F271">_xlfn.IFNA(_xlfn.XLOOKUP(1,([1]!readmissions[Facility ID] = clean[[#This Row],[Facility ID]]) * ([1]!readmissions[Measure ID] = "Hybrid_HWR"), [1]!readmissions[Score]), "No Match")</f>
        <v>12.9</v>
      </c>
    </row>
    <row r="272" spans="1:6" x14ac:dyDescent="0.2">
      <c r="A272" t="str">
        <f>[1]!hospitalinfo[[#This Row],[Facility ID]]</f>
        <v>030130</v>
      </c>
      <c r="B272" t="str">
        <f>[1]!hospitalinfo[[#This Row],[State]]</f>
        <v>AZ</v>
      </c>
      <c r="C272" t="str">
        <f>[1]!hospitalinfo[[#This Row],[Hospital Type]]</f>
        <v>Acute Care Hospitals</v>
      </c>
      <c r="D272" t="str">
        <f>[1]!hospitalinfo[[#This Row],[Hospital Ownership]]</f>
        <v>Voluntary non-profit - Private</v>
      </c>
      <c r="E272" cm="1">
        <f t="array" ref="E272">_xlfn.IFNA(_xlfn.XLOOKUP(1,([1]!hcahps[Facility ID] = clean[[#This Row],[Facility ID]]) * ([1]!hcahps[HCAHPS Measure ID] = "H_HSP_RATING_LINEAR_SCORE"), [1]!hcahps[HCAHPS Linear Mean Value]), "No Match")</f>
        <v>88</v>
      </c>
      <c r="F272" cm="1">
        <f t="array" ref="F272">_xlfn.IFNA(_xlfn.XLOOKUP(1,([1]!readmissions[Facility ID] = clean[[#This Row],[Facility ID]]) * ([1]!readmissions[Measure ID] = "Hybrid_HWR"), [1]!readmissions[Score]), "No Match")</f>
        <v>15.3</v>
      </c>
    </row>
    <row r="273" spans="1:6" x14ac:dyDescent="0.2">
      <c r="A273" t="str">
        <f>[1]!hospitalinfo[[#This Row],[Facility ID]]</f>
        <v>030134</v>
      </c>
      <c r="B273" t="str">
        <f>[1]!hospitalinfo[[#This Row],[State]]</f>
        <v>AZ</v>
      </c>
      <c r="C273" t="str">
        <f>[1]!hospitalinfo[[#This Row],[Hospital Type]]</f>
        <v>Acute Care Hospitals</v>
      </c>
      <c r="D273" t="str">
        <f>[1]!hospitalinfo[[#This Row],[Hospital Ownership]]</f>
        <v>Voluntary non-profit - Other</v>
      </c>
      <c r="E273" cm="1">
        <f t="array" ref="E273">_xlfn.IFNA(_xlfn.XLOOKUP(1,([1]!hcahps[Facility ID] = clean[[#This Row],[Facility ID]]) * ([1]!hcahps[HCAHPS Measure ID] = "H_HSP_RATING_LINEAR_SCORE"), [1]!hcahps[HCAHPS Linear Mean Value]), "No Match")</f>
        <v>89</v>
      </c>
      <c r="F273" cm="1">
        <f t="array" ref="F273">_xlfn.IFNA(_xlfn.XLOOKUP(1,([1]!readmissions[Facility ID] = clean[[#This Row],[Facility ID]]) * ([1]!readmissions[Measure ID] = "Hybrid_HWR"), [1]!readmissions[Score]), "No Match")</f>
        <v>15.3</v>
      </c>
    </row>
    <row r="274" spans="1:6" x14ac:dyDescent="0.2">
      <c r="A274" t="str">
        <f>[1]!hospitalinfo[[#This Row],[Facility ID]]</f>
        <v>030136</v>
      </c>
      <c r="B274" t="str">
        <f>[1]!hospitalinfo[[#This Row],[State]]</f>
        <v>AZ</v>
      </c>
      <c r="C274" t="str">
        <f>[1]!hospitalinfo[[#This Row],[Hospital Type]]</f>
        <v>Acute Care Hospitals</v>
      </c>
      <c r="D274" t="str">
        <f>[1]!hospitalinfo[[#This Row],[Hospital Ownership]]</f>
        <v>Proprietary</v>
      </c>
      <c r="E274" t="str" cm="1">
        <f t="array" ref="E274">_xlfn.IFNA(_xlfn.XLOOKUP(1,([1]!hcahps[Facility ID] = clean[[#This Row],[Facility ID]]) * ([1]!hcahps[HCAHPS Measure ID] = "H_HSP_RATING_LINEAR_SCORE"), [1]!hcahps[HCAHPS Linear Mean Value]), "No Match")</f>
        <v>Not Available</v>
      </c>
      <c r="F274" cm="1">
        <f t="array" ref="F274">_xlfn.IFNA(_xlfn.XLOOKUP(1,([1]!readmissions[Facility ID] = clean[[#This Row],[Facility ID]]) * ([1]!readmissions[Measure ID] = "Hybrid_HWR"), [1]!readmissions[Score]), "No Match")</f>
        <v>15</v>
      </c>
    </row>
    <row r="275" spans="1:6" x14ac:dyDescent="0.2">
      <c r="A275" t="str">
        <f>[1]!hospitalinfo[[#This Row],[Facility ID]]</f>
        <v>030138</v>
      </c>
      <c r="B275" t="str">
        <f>[1]!hospitalinfo[[#This Row],[State]]</f>
        <v>AZ</v>
      </c>
      <c r="C275" t="str">
        <f>[1]!hospitalinfo[[#This Row],[Hospital Type]]</f>
        <v>Acute Care Hospitals</v>
      </c>
      <c r="D275" t="str">
        <f>[1]!hospitalinfo[[#This Row],[Hospital Ownership]]</f>
        <v>Proprietary</v>
      </c>
      <c r="E275" cm="1">
        <f t="array" ref="E275">_xlfn.IFNA(_xlfn.XLOOKUP(1,([1]!hcahps[Facility ID] = clean[[#This Row],[Facility ID]]) * ([1]!hcahps[HCAHPS Measure ID] = "H_HSP_RATING_LINEAR_SCORE"), [1]!hcahps[HCAHPS Linear Mean Value]), "No Match")</f>
        <v>92</v>
      </c>
      <c r="F275" cm="1">
        <f t="array" ref="F275">_xlfn.IFNA(_xlfn.XLOOKUP(1,([1]!readmissions[Facility ID] = clean[[#This Row],[Facility ID]]) * ([1]!readmissions[Measure ID] = "Hybrid_HWR"), [1]!readmissions[Score]), "No Match")</f>
        <v>15.3</v>
      </c>
    </row>
    <row r="276" spans="1:6" x14ac:dyDescent="0.2">
      <c r="A276" t="str">
        <f>[1]!hospitalinfo[[#This Row],[Facility ID]]</f>
        <v>030139</v>
      </c>
      <c r="B276" t="str">
        <f>[1]!hospitalinfo[[#This Row],[State]]</f>
        <v>AZ</v>
      </c>
      <c r="C276" t="str">
        <f>[1]!hospitalinfo[[#This Row],[Hospital Type]]</f>
        <v>Acute Care Hospitals</v>
      </c>
      <c r="D276" t="str">
        <f>[1]!hospitalinfo[[#This Row],[Hospital Ownership]]</f>
        <v>Voluntary non-profit - Private</v>
      </c>
      <c r="E276" cm="1">
        <f t="array" ref="E276">_xlfn.IFNA(_xlfn.XLOOKUP(1,([1]!hcahps[Facility ID] = clean[[#This Row],[Facility ID]]) * ([1]!hcahps[HCAHPS Measure ID] = "H_HSP_RATING_LINEAR_SCORE"), [1]!hcahps[HCAHPS Linear Mean Value]), "No Match")</f>
        <v>91</v>
      </c>
      <c r="F276" cm="1">
        <f t="array" ref="F276">_xlfn.IFNA(_xlfn.XLOOKUP(1,([1]!readmissions[Facility ID] = clean[[#This Row],[Facility ID]]) * ([1]!readmissions[Measure ID] = "Hybrid_HWR"), [1]!readmissions[Score]), "No Match")</f>
        <v>14.6</v>
      </c>
    </row>
    <row r="277" spans="1:6" x14ac:dyDescent="0.2">
      <c r="A277" t="str">
        <f>[1]!hospitalinfo[[#This Row],[Facility ID]]</f>
        <v>03013F</v>
      </c>
      <c r="B277" t="str">
        <f>[1]!hospitalinfo[[#This Row],[State]]</f>
        <v>AZ</v>
      </c>
      <c r="C277" t="str">
        <f>[1]!hospitalinfo[[#This Row],[Hospital Type]]</f>
        <v>Acute Care - Veterans Administration</v>
      </c>
      <c r="D277" t="str">
        <f>[1]!hospitalinfo[[#This Row],[Hospital Ownership]]</f>
        <v>Veterans Health Administration</v>
      </c>
      <c r="E277" cm="1">
        <f t="array" ref="E277">_xlfn.IFNA(_xlfn.XLOOKUP(1,([1]!hcahps[Facility ID] = clean[[#This Row],[Facility ID]]) * ([1]!hcahps[HCAHPS Measure ID] = "H_HSP_RATING_LINEAR_SCORE"), [1]!hcahps[HCAHPS Linear Mean Value]), "No Match")</f>
        <v>90</v>
      </c>
      <c r="F277" cm="1">
        <f t="array" ref="F277">_xlfn.IFNA(_xlfn.XLOOKUP(1,([1]!readmissions[Facility ID] = clean[[#This Row],[Facility ID]]) * ([1]!readmissions[Measure ID] = "Hybrid_HWR"), [1]!readmissions[Score]), "No Match")</f>
        <v>15.3</v>
      </c>
    </row>
    <row r="278" spans="1:6" x14ac:dyDescent="0.2">
      <c r="A278" t="str">
        <f>[1]!hospitalinfo[[#This Row],[Facility ID]]</f>
        <v>030146</v>
      </c>
      <c r="B278" t="str">
        <f>[1]!hospitalinfo[[#This Row],[State]]</f>
        <v>AZ</v>
      </c>
      <c r="C278" t="str">
        <f>[1]!hospitalinfo[[#This Row],[Hospital Type]]</f>
        <v>Acute Care Hospitals</v>
      </c>
      <c r="D278" t="str">
        <f>[1]!hospitalinfo[[#This Row],[Hospital Ownership]]</f>
        <v>Voluntary non-profit - Private</v>
      </c>
      <c r="E278" cm="1">
        <f t="array" ref="E278">_xlfn.IFNA(_xlfn.XLOOKUP(1,([1]!hcahps[Facility ID] = clean[[#This Row],[Facility ID]]) * ([1]!hcahps[HCAHPS Measure ID] = "H_HSP_RATING_LINEAR_SCORE"), [1]!hcahps[HCAHPS Linear Mean Value]), "No Match")</f>
        <v>93</v>
      </c>
      <c r="F278" cm="1">
        <f t="array" ref="F278">_xlfn.IFNA(_xlfn.XLOOKUP(1,([1]!readmissions[Facility ID] = clean[[#This Row],[Facility ID]]) * ([1]!readmissions[Measure ID] = "Hybrid_HWR"), [1]!readmissions[Score]), "No Match")</f>
        <v>15.2</v>
      </c>
    </row>
    <row r="279" spans="1:6" x14ac:dyDescent="0.2">
      <c r="A279" t="str">
        <f>[1]!hospitalinfo[[#This Row],[Facility ID]]</f>
        <v>030147</v>
      </c>
      <c r="B279" t="str">
        <f>[1]!hospitalinfo[[#This Row],[State]]</f>
        <v>AZ</v>
      </c>
      <c r="C279" t="str">
        <f>[1]!hospitalinfo[[#This Row],[Hospital Type]]</f>
        <v>Acute Care Hospitals</v>
      </c>
      <c r="D279" t="str">
        <f>[1]!hospitalinfo[[#This Row],[Hospital Ownership]]</f>
        <v>Voluntary non-profit - Private</v>
      </c>
      <c r="E279" cm="1">
        <f t="array" ref="E279">_xlfn.IFNA(_xlfn.XLOOKUP(1,([1]!hcahps[Facility ID] = clean[[#This Row],[Facility ID]]) * ([1]!hcahps[HCAHPS Measure ID] = "H_HSP_RATING_LINEAR_SCORE"), [1]!hcahps[HCAHPS Linear Mean Value]), "No Match")</f>
        <v>89</v>
      </c>
      <c r="F279" cm="1">
        <f t="array" ref="F279">_xlfn.IFNA(_xlfn.XLOOKUP(1,([1]!readmissions[Facility ID] = clean[[#This Row],[Facility ID]]) * ([1]!readmissions[Measure ID] = "Hybrid_HWR"), [1]!readmissions[Score]), "No Match")</f>
        <v>15.3</v>
      </c>
    </row>
    <row r="280" spans="1:6" x14ac:dyDescent="0.2">
      <c r="A280" t="str">
        <f>[1]!hospitalinfo[[#This Row],[Facility ID]]</f>
        <v>030148</v>
      </c>
      <c r="B280" t="str">
        <f>[1]!hospitalinfo[[#This Row],[State]]</f>
        <v>AZ</v>
      </c>
      <c r="C280" t="str">
        <f>[1]!hospitalinfo[[#This Row],[Hospital Type]]</f>
        <v>Acute Care Hospitals</v>
      </c>
      <c r="D280" t="str">
        <f>[1]!hospitalinfo[[#This Row],[Hospital Ownership]]</f>
        <v>Voluntary non-profit - Private</v>
      </c>
      <c r="E280" cm="1">
        <f t="array" ref="E280">_xlfn.IFNA(_xlfn.XLOOKUP(1,([1]!hcahps[Facility ID] = clean[[#This Row],[Facility ID]]) * ([1]!hcahps[HCAHPS Measure ID] = "H_HSP_RATING_LINEAR_SCORE"), [1]!hcahps[HCAHPS Linear Mean Value]), "No Match")</f>
        <v>86</v>
      </c>
      <c r="F280" cm="1">
        <f t="array" ref="F280">_xlfn.IFNA(_xlfn.XLOOKUP(1,([1]!readmissions[Facility ID] = clean[[#This Row],[Facility ID]]) * ([1]!readmissions[Measure ID] = "Hybrid_HWR"), [1]!readmissions[Score]), "No Match")</f>
        <v>14.3</v>
      </c>
    </row>
    <row r="281" spans="1:6" x14ac:dyDescent="0.2">
      <c r="A281" t="str">
        <f>[1]!hospitalinfo[[#This Row],[Facility ID]]</f>
        <v>030152</v>
      </c>
      <c r="B281" t="str">
        <f>[1]!hospitalinfo[[#This Row],[State]]</f>
        <v>AZ</v>
      </c>
      <c r="C281" t="str">
        <f>[1]!hospitalinfo[[#This Row],[Hospital Type]]</f>
        <v>Acute Care Hospitals</v>
      </c>
      <c r="D281" t="str">
        <f>[1]!hospitalinfo[[#This Row],[Hospital Ownership]]</f>
        <v>Proprietary</v>
      </c>
      <c r="E281" t="str" cm="1">
        <f t="array" ref="E281">_xlfn.IFNA(_xlfn.XLOOKUP(1,([1]!hcahps[Facility ID] = clean[[#This Row],[Facility ID]]) * ([1]!hcahps[HCAHPS Measure ID] = "H_HSP_RATING_LINEAR_SCORE"), [1]!hcahps[HCAHPS Linear Mean Value]), "No Match")</f>
        <v>Not Available</v>
      </c>
      <c r="F281" cm="1">
        <f t="array" ref="F281">_xlfn.IFNA(_xlfn.XLOOKUP(1,([1]!readmissions[Facility ID] = clean[[#This Row],[Facility ID]]) * ([1]!readmissions[Measure ID] = "Hybrid_HWR"), [1]!readmissions[Score]), "No Match")</f>
        <v>15.3</v>
      </c>
    </row>
    <row r="282" spans="1:6" x14ac:dyDescent="0.2">
      <c r="A282" t="str">
        <f>[1]!hospitalinfo[[#This Row],[Facility ID]]</f>
        <v>030153</v>
      </c>
      <c r="B282" t="str">
        <f>[1]!hospitalinfo[[#This Row],[State]]</f>
        <v>AZ</v>
      </c>
      <c r="C282" t="str">
        <f>[1]!hospitalinfo[[#This Row],[Hospital Type]]</f>
        <v>Acute Care Hospitals</v>
      </c>
      <c r="D282" t="str">
        <f>[1]!hospitalinfo[[#This Row],[Hospital Ownership]]</f>
        <v>Proprietary</v>
      </c>
      <c r="E282" t="str" cm="1">
        <f t="array" ref="E282">_xlfn.IFNA(_xlfn.XLOOKUP(1,([1]!hcahps[Facility ID] = clean[[#This Row],[Facility ID]]) * ([1]!hcahps[HCAHPS Measure ID] = "H_HSP_RATING_LINEAR_SCORE"), [1]!hcahps[HCAHPS Linear Mean Value]), "No Match")</f>
        <v>Not Available</v>
      </c>
      <c r="F282" t="str" cm="1">
        <f t="array" ref="F282">_xlfn.IFNA(_xlfn.XLOOKUP(1,([1]!readmissions[Facility ID] = clean[[#This Row],[Facility ID]]) * ([1]!readmissions[Measure ID] = "Hybrid_HWR"), [1]!readmissions[Score]), "No Match")</f>
        <v>Not Available</v>
      </c>
    </row>
    <row r="283" spans="1:6" x14ac:dyDescent="0.2">
      <c r="A283" t="str">
        <f>[1]!hospitalinfo[[#This Row],[Facility ID]]</f>
        <v>030154</v>
      </c>
      <c r="B283" t="str">
        <f>[1]!hospitalinfo[[#This Row],[State]]</f>
        <v>AZ</v>
      </c>
      <c r="C283" t="str">
        <f>[1]!hospitalinfo[[#This Row],[Hospital Type]]</f>
        <v>Acute Care Hospitals</v>
      </c>
      <c r="D283" t="str">
        <f>[1]!hospitalinfo[[#This Row],[Hospital Ownership]]</f>
        <v>Proprietary</v>
      </c>
      <c r="E283" t="str" cm="1">
        <f t="array" ref="E283">_xlfn.IFNA(_xlfn.XLOOKUP(1,([1]!hcahps[Facility ID] = clean[[#This Row],[Facility ID]]) * ([1]!hcahps[HCAHPS Measure ID] = "H_HSP_RATING_LINEAR_SCORE"), [1]!hcahps[HCAHPS Linear Mean Value]), "No Match")</f>
        <v>Not Available</v>
      </c>
      <c r="F283" cm="1">
        <f t="array" ref="F283">_xlfn.IFNA(_xlfn.XLOOKUP(1,([1]!readmissions[Facility ID] = clean[[#This Row],[Facility ID]]) * ([1]!readmissions[Measure ID] = "Hybrid_HWR"), [1]!readmissions[Score]), "No Match")</f>
        <v>15.3</v>
      </c>
    </row>
    <row r="284" spans="1:6" x14ac:dyDescent="0.2">
      <c r="A284" t="str">
        <f>[1]!hospitalinfo[[#This Row],[Facility ID]]</f>
        <v>030155</v>
      </c>
      <c r="B284" t="str">
        <f>[1]!hospitalinfo[[#This Row],[State]]</f>
        <v>AZ</v>
      </c>
      <c r="C284" t="str">
        <f>[1]!hospitalinfo[[#This Row],[Hospital Type]]</f>
        <v>Acute Care Hospitals</v>
      </c>
      <c r="D284" t="str">
        <f>[1]!hospitalinfo[[#This Row],[Hospital Ownership]]</f>
        <v>Proprietary</v>
      </c>
      <c r="E284" t="str" cm="1">
        <f t="array" ref="E284">_xlfn.IFNA(_xlfn.XLOOKUP(1,([1]!hcahps[Facility ID] = clean[[#This Row],[Facility ID]]) * ([1]!hcahps[HCAHPS Measure ID] = "H_HSP_RATING_LINEAR_SCORE"), [1]!hcahps[HCAHPS Linear Mean Value]), "No Match")</f>
        <v>Not Available</v>
      </c>
      <c r="F284" t="str" cm="1">
        <f t="array" ref="F284">_xlfn.IFNA(_xlfn.XLOOKUP(1,([1]!readmissions[Facility ID] = clean[[#This Row],[Facility ID]]) * ([1]!readmissions[Measure ID] = "Hybrid_HWR"), [1]!readmissions[Score]), "No Match")</f>
        <v>Not Available</v>
      </c>
    </row>
    <row r="285" spans="1:6" x14ac:dyDescent="0.2">
      <c r="A285" t="str">
        <f>[1]!hospitalinfo[[#This Row],[Facility ID]]</f>
        <v>030195</v>
      </c>
      <c r="B285" t="str">
        <f>[1]!hospitalinfo[[#This Row],[State]]</f>
        <v>AZ</v>
      </c>
      <c r="C285" t="str">
        <f>[1]!hospitalinfo[[#This Row],[Hospital Type]]</f>
        <v>Acute Care Hospitals</v>
      </c>
      <c r="D285" t="str">
        <f>[1]!hospitalinfo[[#This Row],[Hospital Ownership]]</f>
        <v>Government - Federal</v>
      </c>
      <c r="E285" t="str" cm="1">
        <f t="array" ref="E285">_xlfn.IFNA(_xlfn.XLOOKUP(1,([1]!hcahps[Facility ID] = clean[[#This Row],[Facility ID]]) * ([1]!hcahps[HCAHPS Measure ID] = "H_HSP_RATING_LINEAR_SCORE"), [1]!hcahps[HCAHPS Linear Mean Value]), "No Match")</f>
        <v>Not Available</v>
      </c>
      <c r="F285" t="str" cm="1">
        <f t="array" ref="F285">_xlfn.IFNA(_xlfn.XLOOKUP(1,([1]!readmissions[Facility ID] = clean[[#This Row],[Facility ID]]) * ([1]!readmissions[Measure ID] = "Hybrid_HWR"), [1]!readmissions[Score]), "No Match")</f>
        <v>Not Available</v>
      </c>
    </row>
    <row r="286" spans="1:6" x14ac:dyDescent="0.2">
      <c r="A286" t="str">
        <f>[1]!hospitalinfo[[#This Row],[Facility ID]]</f>
        <v>03033F</v>
      </c>
      <c r="B286" t="str">
        <f>[1]!hospitalinfo[[#This Row],[State]]</f>
        <v>AZ</v>
      </c>
      <c r="C286" t="str">
        <f>[1]!hospitalinfo[[#This Row],[Hospital Type]]</f>
        <v>Acute Care - Veterans Administration</v>
      </c>
      <c r="D286" t="str">
        <f>[1]!hospitalinfo[[#This Row],[Hospital Ownership]]</f>
        <v>Veterans Health Administration</v>
      </c>
      <c r="E286" cm="1">
        <f t="array" ref="E286">_xlfn.IFNA(_xlfn.XLOOKUP(1,([1]!hcahps[Facility ID] = clean[[#This Row],[Facility ID]]) * ([1]!hcahps[HCAHPS Measure ID] = "H_HSP_RATING_LINEAR_SCORE"), [1]!hcahps[HCAHPS Linear Mean Value]), "No Match")</f>
        <v>91</v>
      </c>
      <c r="F286" cm="1">
        <f t="array" ref="F286">_xlfn.IFNA(_xlfn.XLOOKUP(1,([1]!readmissions[Facility ID] = clean[[#This Row],[Facility ID]]) * ([1]!readmissions[Measure ID] = "Hybrid_HWR"), [1]!readmissions[Score]), "No Match")</f>
        <v>15.8</v>
      </c>
    </row>
    <row r="287" spans="1:6" x14ac:dyDescent="0.2">
      <c r="A287" t="str">
        <f>[1]!hospitalinfo[[#This Row],[Facility ID]]</f>
        <v>031300</v>
      </c>
      <c r="B287" t="str">
        <f>[1]!hospitalinfo[[#This Row],[State]]</f>
        <v>AZ</v>
      </c>
      <c r="C287" t="str">
        <f>[1]!hospitalinfo[[#This Row],[Hospital Type]]</f>
        <v>Critical Access Hospitals</v>
      </c>
      <c r="D287" t="str">
        <f>[1]!hospitalinfo[[#This Row],[Hospital Ownership]]</f>
        <v>Voluntary non-profit - Other</v>
      </c>
      <c r="E287" t="str" cm="1">
        <f t="array" ref="E287">_xlfn.IFNA(_xlfn.XLOOKUP(1,([1]!hcahps[Facility ID] = clean[[#This Row],[Facility ID]]) * ([1]!hcahps[HCAHPS Measure ID] = "H_HSP_RATING_LINEAR_SCORE"), [1]!hcahps[HCAHPS Linear Mean Value]), "No Match")</f>
        <v>Not Available</v>
      </c>
      <c r="F287" cm="1">
        <f t="array" ref="F287">_xlfn.IFNA(_xlfn.XLOOKUP(1,([1]!readmissions[Facility ID] = clean[[#This Row],[Facility ID]]) * ([1]!readmissions[Measure ID] = "Hybrid_HWR"), [1]!readmissions[Score]), "No Match")</f>
        <v>14.6</v>
      </c>
    </row>
    <row r="288" spans="1:6" x14ac:dyDescent="0.2">
      <c r="A288" t="str">
        <f>[1]!hospitalinfo[[#This Row],[Facility ID]]</f>
        <v>031301</v>
      </c>
      <c r="B288" t="str">
        <f>[1]!hospitalinfo[[#This Row],[State]]</f>
        <v>AZ</v>
      </c>
      <c r="C288" t="str">
        <f>[1]!hospitalinfo[[#This Row],[Hospital Type]]</f>
        <v>Critical Access Hospitals</v>
      </c>
      <c r="D288" t="str">
        <f>[1]!hospitalinfo[[#This Row],[Hospital Ownership]]</f>
        <v>Voluntary non-profit - Private</v>
      </c>
      <c r="E288" t="str" cm="1">
        <f t="array" ref="E288">_xlfn.IFNA(_xlfn.XLOOKUP(1,([1]!hcahps[Facility ID] = clean[[#This Row],[Facility ID]]) * ([1]!hcahps[HCAHPS Measure ID] = "H_HSP_RATING_LINEAR_SCORE"), [1]!hcahps[HCAHPS Linear Mean Value]), "No Match")</f>
        <v>Not Available</v>
      </c>
      <c r="F288" t="str" cm="1">
        <f t="array" ref="F288">_xlfn.IFNA(_xlfn.XLOOKUP(1,([1]!readmissions[Facility ID] = clean[[#This Row],[Facility ID]]) * ([1]!readmissions[Measure ID] = "Hybrid_HWR"), [1]!readmissions[Score]), "No Match")</f>
        <v>Not Available</v>
      </c>
    </row>
    <row r="289" spans="1:6" x14ac:dyDescent="0.2">
      <c r="A289" t="str">
        <f>[1]!hospitalinfo[[#This Row],[Facility ID]]</f>
        <v>031302</v>
      </c>
      <c r="B289" t="str">
        <f>[1]!hospitalinfo[[#This Row],[State]]</f>
        <v>AZ</v>
      </c>
      <c r="C289" t="str">
        <f>[1]!hospitalinfo[[#This Row],[Hospital Type]]</f>
        <v>Critical Access Hospitals</v>
      </c>
      <c r="D289" t="str">
        <f>[1]!hospitalinfo[[#This Row],[Hospital Ownership]]</f>
        <v>Voluntary non-profit - Private</v>
      </c>
      <c r="E289" t="str" cm="1">
        <f t="array" ref="E289">_xlfn.IFNA(_xlfn.XLOOKUP(1,([1]!hcahps[Facility ID] = clean[[#This Row],[Facility ID]]) * ([1]!hcahps[HCAHPS Measure ID] = "H_HSP_RATING_LINEAR_SCORE"), [1]!hcahps[HCAHPS Linear Mean Value]), "No Match")</f>
        <v>Not Available</v>
      </c>
      <c r="F289" cm="1">
        <f t="array" ref="F289">_xlfn.IFNA(_xlfn.XLOOKUP(1,([1]!readmissions[Facility ID] = clean[[#This Row],[Facility ID]]) * ([1]!readmissions[Measure ID] = "Hybrid_HWR"), [1]!readmissions[Score]), "No Match")</f>
        <v>15</v>
      </c>
    </row>
    <row r="290" spans="1:6" x14ac:dyDescent="0.2">
      <c r="A290" t="str">
        <f>[1]!hospitalinfo[[#This Row],[Facility ID]]</f>
        <v>031304</v>
      </c>
      <c r="B290" t="str">
        <f>[1]!hospitalinfo[[#This Row],[State]]</f>
        <v>AZ</v>
      </c>
      <c r="C290" t="str">
        <f>[1]!hospitalinfo[[#This Row],[Hospital Type]]</f>
        <v>Critical Access Hospitals</v>
      </c>
      <c r="D290" t="str">
        <f>[1]!hospitalinfo[[#This Row],[Hospital Ownership]]</f>
        <v>Government - Hospital District or Authority</v>
      </c>
      <c r="E290" t="str" cm="1">
        <f t="array" ref="E290">_xlfn.IFNA(_xlfn.XLOOKUP(1,([1]!hcahps[Facility ID] = clean[[#This Row],[Facility ID]]) * ([1]!hcahps[HCAHPS Measure ID] = "H_HSP_RATING_LINEAR_SCORE"), [1]!hcahps[HCAHPS Linear Mean Value]), "No Match")</f>
        <v>Not Available</v>
      </c>
      <c r="F290" t="str" cm="1">
        <f t="array" ref="F290">_xlfn.IFNA(_xlfn.XLOOKUP(1,([1]!readmissions[Facility ID] = clean[[#This Row],[Facility ID]]) * ([1]!readmissions[Measure ID] = "Hybrid_HWR"), [1]!readmissions[Score]), "No Match")</f>
        <v>Not Available</v>
      </c>
    </row>
    <row r="291" spans="1:6" x14ac:dyDescent="0.2">
      <c r="A291" t="str">
        <f>[1]!hospitalinfo[[#This Row],[Facility ID]]</f>
        <v>031305</v>
      </c>
      <c r="B291" t="str">
        <f>[1]!hospitalinfo[[#This Row],[State]]</f>
        <v>AZ</v>
      </c>
      <c r="C291" t="str">
        <f>[1]!hospitalinfo[[#This Row],[Hospital Type]]</f>
        <v>Critical Access Hospitals</v>
      </c>
      <c r="D291" t="str">
        <f>[1]!hospitalinfo[[#This Row],[Hospital Ownership]]</f>
        <v>Tribal</v>
      </c>
      <c r="E291" t="str" cm="1">
        <f t="array" ref="E291">_xlfn.IFNA(_xlfn.XLOOKUP(1,([1]!hcahps[Facility ID] = clean[[#This Row],[Facility ID]]) * ([1]!hcahps[HCAHPS Measure ID] = "H_HSP_RATING_LINEAR_SCORE"), [1]!hcahps[HCAHPS Linear Mean Value]), "No Match")</f>
        <v>Not Available</v>
      </c>
      <c r="F291" cm="1">
        <f t="array" ref="F291">_xlfn.IFNA(_xlfn.XLOOKUP(1,([1]!readmissions[Facility ID] = clean[[#This Row],[Facility ID]]) * ([1]!readmissions[Measure ID] = "Hybrid_HWR"), [1]!readmissions[Score]), "No Match")</f>
        <v>14.9</v>
      </c>
    </row>
    <row r="292" spans="1:6" x14ac:dyDescent="0.2">
      <c r="A292" t="str">
        <f>[1]!hospitalinfo[[#This Row],[Facility ID]]</f>
        <v>031307</v>
      </c>
      <c r="B292" t="str">
        <f>[1]!hospitalinfo[[#This Row],[State]]</f>
        <v>AZ</v>
      </c>
      <c r="C292" t="str">
        <f>[1]!hospitalinfo[[#This Row],[Hospital Type]]</f>
        <v>Critical Access Hospitals</v>
      </c>
      <c r="D292" t="str">
        <f>[1]!hospitalinfo[[#This Row],[Hospital Ownership]]</f>
        <v>Government - Federal</v>
      </c>
      <c r="E292" t="str" cm="1">
        <f t="array" ref="E292">_xlfn.IFNA(_xlfn.XLOOKUP(1,([1]!hcahps[Facility ID] = clean[[#This Row],[Facility ID]]) * ([1]!hcahps[HCAHPS Measure ID] = "H_HSP_RATING_LINEAR_SCORE"), [1]!hcahps[HCAHPS Linear Mean Value]), "No Match")</f>
        <v>Not Available</v>
      </c>
      <c r="F292" t="str" cm="1">
        <f t="array" ref="F292">_xlfn.IFNA(_xlfn.XLOOKUP(1,([1]!readmissions[Facility ID] = clean[[#This Row],[Facility ID]]) * ([1]!readmissions[Measure ID] = "Hybrid_HWR"), [1]!readmissions[Score]), "No Match")</f>
        <v>Not Available</v>
      </c>
    </row>
    <row r="293" spans="1:6" x14ac:dyDescent="0.2">
      <c r="A293" t="str">
        <f>[1]!hospitalinfo[[#This Row],[Facility ID]]</f>
        <v>031308</v>
      </c>
      <c r="B293" t="str">
        <f>[1]!hospitalinfo[[#This Row],[State]]</f>
        <v>AZ</v>
      </c>
      <c r="C293" t="str">
        <f>[1]!hospitalinfo[[#This Row],[Hospital Type]]</f>
        <v>Critical Access Hospitals</v>
      </c>
      <c r="D293" t="str">
        <f>[1]!hospitalinfo[[#This Row],[Hospital Ownership]]</f>
        <v>Government - Federal</v>
      </c>
      <c r="E293" t="str" cm="1">
        <f t="array" ref="E293">_xlfn.IFNA(_xlfn.XLOOKUP(1,([1]!hcahps[Facility ID] = clean[[#This Row],[Facility ID]]) * ([1]!hcahps[HCAHPS Measure ID] = "H_HSP_RATING_LINEAR_SCORE"), [1]!hcahps[HCAHPS Linear Mean Value]), "No Match")</f>
        <v>Not Available</v>
      </c>
      <c r="F293" t="str" cm="1">
        <f t="array" ref="F293">_xlfn.IFNA(_xlfn.XLOOKUP(1,([1]!readmissions[Facility ID] = clean[[#This Row],[Facility ID]]) * ([1]!readmissions[Measure ID] = "Hybrid_HWR"), [1]!readmissions[Score]), "No Match")</f>
        <v>Not Available</v>
      </c>
    </row>
    <row r="294" spans="1:6" x14ac:dyDescent="0.2">
      <c r="A294" t="str">
        <f>[1]!hospitalinfo[[#This Row],[Facility ID]]</f>
        <v>031309</v>
      </c>
      <c r="B294" t="str">
        <f>[1]!hospitalinfo[[#This Row],[State]]</f>
        <v>AZ</v>
      </c>
      <c r="C294" t="str">
        <f>[1]!hospitalinfo[[#This Row],[Hospital Type]]</f>
        <v>Critical Access Hospitals</v>
      </c>
      <c r="D294" t="str">
        <f>[1]!hospitalinfo[[#This Row],[Hospital Ownership]]</f>
        <v>Voluntary non-profit - Private</v>
      </c>
      <c r="E294" t="str" cm="1">
        <f t="array" ref="E294">_xlfn.IFNA(_xlfn.XLOOKUP(1,([1]!hcahps[Facility ID] = clean[[#This Row],[Facility ID]]) * ([1]!hcahps[HCAHPS Measure ID] = "H_HSP_RATING_LINEAR_SCORE"), [1]!hcahps[HCAHPS Linear Mean Value]), "No Match")</f>
        <v>Not Available</v>
      </c>
      <c r="F294" cm="1">
        <f t="array" ref="F294">_xlfn.IFNA(_xlfn.XLOOKUP(1,([1]!readmissions[Facility ID] = clean[[#This Row],[Facility ID]]) * ([1]!readmissions[Measure ID] = "Hybrid_HWR"), [1]!readmissions[Score]), "No Match")</f>
        <v>15.7</v>
      </c>
    </row>
    <row r="295" spans="1:6" x14ac:dyDescent="0.2">
      <c r="A295" t="str">
        <f>[1]!hospitalinfo[[#This Row],[Facility ID]]</f>
        <v>031311</v>
      </c>
      <c r="B295" t="str">
        <f>[1]!hospitalinfo[[#This Row],[State]]</f>
        <v>AZ</v>
      </c>
      <c r="C295" t="str">
        <f>[1]!hospitalinfo[[#This Row],[Hospital Type]]</f>
        <v>Critical Access Hospitals</v>
      </c>
      <c r="D295" t="str">
        <f>[1]!hospitalinfo[[#This Row],[Hospital Ownership]]</f>
        <v>Voluntary non-profit - Private</v>
      </c>
      <c r="E295" t="str" cm="1">
        <f t="array" ref="E295">_xlfn.IFNA(_xlfn.XLOOKUP(1,([1]!hcahps[Facility ID] = clean[[#This Row],[Facility ID]]) * ([1]!hcahps[HCAHPS Measure ID] = "H_HSP_RATING_LINEAR_SCORE"), [1]!hcahps[HCAHPS Linear Mean Value]), "No Match")</f>
        <v>Not Available</v>
      </c>
      <c r="F295" cm="1">
        <f t="array" ref="F295">_xlfn.IFNA(_xlfn.XLOOKUP(1,([1]!readmissions[Facility ID] = clean[[#This Row],[Facility ID]]) * ([1]!readmissions[Measure ID] = "Hybrid_HWR"), [1]!readmissions[Score]), "No Match")</f>
        <v>15.1</v>
      </c>
    </row>
    <row r="296" spans="1:6" x14ac:dyDescent="0.2">
      <c r="A296" t="str">
        <f>[1]!hospitalinfo[[#This Row],[Facility ID]]</f>
        <v>031312</v>
      </c>
      <c r="B296" t="str">
        <f>[1]!hospitalinfo[[#This Row],[State]]</f>
        <v>AZ</v>
      </c>
      <c r="C296" t="str">
        <f>[1]!hospitalinfo[[#This Row],[Hospital Type]]</f>
        <v>Critical Access Hospitals</v>
      </c>
      <c r="D296" t="str">
        <f>[1]!hospitalinfo[[#This Row],[Hospital Ownership]]</f>
        <v>Voluntary non-profit - Private</v>
      </c>
      <c r="E296" t="str" cm="1">
        <f t="array" ref="E296">_xlfn.IFNA(_xlfn.XLOOKUP(1,([1]!hcahps[Facility ID] = clean[[#This Row],[Facility ID]]) * ([1]!hcahps[HCAHPS Measure ID] = "H_HSP_RATING_LINEAR_SCORE"), [1]!hcahps[HCAHPS Linear Mean Value]), "No Match")</f>
        <v>Not Available</v>
      </c>
      <c r="F296" cm="1">
        <f t="array" ref="F296">_xlfn.IFNA(_xlfn.XLOOKUP(1,([1]!readmissions[Facility ID] = clean[[#This Row],[Facility ID]]) * ([1]!readmissions[Measure ID] = "Hybrid_HWR"), [1]!readmissions[Score]), "No Match")</f>
        <v>14.7</v>
      </c>
    </row>
    <row r="297" spans="1:6" x14ac:dyDescent="0.2">
      <c r="A297" t="str">
        <f>[1]!hospitalinfo[[#This Row],[Facility ID]]</f>
        <v>031313</v>
      </c>
      <c r="B297" t="str">
        <f>[1]!hospitalinfo[[#This Row],[State]]</f>
        <v>AZ</v>
      </c>
      <c r="C297" t="str">
        <f>[1]!hospitalinfo[[#This Row],[Hospital Type]]</f>
        <v>Critical Access Hospitals</v>
      </c>
      <c r="D297" t="str">
        <f>[1]!hospitalinfo[[#This Row],[Hospital Ownership]]</f>
        <v>Proprietary</v>
      </c>
      <c r="E297" t="str" cm="1">
        <f t="array" ref="E297">_xlfn.IFNA(_xlfn.XLOOKUP(1,([1]!hcahps[Facility ID] = clean[[#This Row],[Facility ID]]) * ([1]!hcahps[HCAHPS Measure ID] = "H_HSP_RATING_LINEAR_SCORE"), [1]!hcahps[HCAHPS Linear Mean Value]), "No Match")</f>
        <v>Not Available</v>
      </c>
      <c r="F297" t="str" cm="1">
        <f t="array" ref="F297">_xlfn.IFNA(_xlfn.XLOOKUP(1,([1]!readmissions[Facility ID] = clean[[#This Row],[Facility ID]]) * ([1]!readmissions[Measure ID] = "Hybrid_HWR"), [1]!readmissions[Score]), "No Match")</f>
        <v>Not Available</v>
      </c>
    </row>
    <row r="298" spans="1:6" x14ac:dyDescent="0.2">
      <c r="A298" t="str">
        <f>[1]!hospitalinfo[[#This Row],[Facility ID]]</f>
        <v>031314</v>
      </c>
      <c r="B298" t="str">
        <f>[1]!hospitalinfo[[#This Row],[State]]</f>
        <v>AZ</v>
      </c>
      <c r="C298" t="str">
        <f>[1]!hospitalinfo[[#This Row],[Hospital Type]]</f>
        <v>Critical Access Hospitals</v>
      </c>
      <c r="D298" t="str">
        <f>[1]!hospitalinfo[[#This Row],[Hospital Ownership]]</f>
        <v>Voluntary non-profit - Private</v>
      </c>
      <c r="E298" cm="1">
        <f t="array" ref="E298">_xlfn.IFNA(_xlfn.XLOOKUP(1,([1]!hcahps[Facility ID] = clean[[#This Row],[Facility ID]]) * ([1]!hcahps[HCAHPS Measure ID] = "H_HSP_RATING_LINEAR_SCORE"), [1]!hcahps[HCAHPS Linear Mean Value]), "No Match")</f>
        <v>89</v>
      </c>
      <c r="F298" cm="1">
        <f t="array" ref="F298">_xlfn.IFNA(_xlfn.XLOOKUP(1,([1]!readmissions[Facility ID] = clean[[#This Row],[Facility ID]]) * ([1]!readmissions[Measure ID] = "Hybrid_HWR"), [1]!readmissions[Score]), "No Match")</f>
        <v>15.8</v>
      </c>
    </row>
    <row r="299" spans="1:6" x14ac:dyDescent="0.2">
      <c r="A299" t="str">
        <f>[1]!hospitalinfo[[#This Row],[Facility ID]]</f>
        <v>031315</v>
      </c>
      <c r="B299" t="str">
        <f>[1]!hospitalinfo[[#This Row],[State]]</f>
        <v>AZ</v>
      </c>
      <c r="C299" t="str">
        <f>[1]!hospitalinfo[[#This Row],[Hospital Type]]</f>
        <v>Critical Access Hospitals</v>
      </c>
      <c r="D299" t="str">
        <f>[1]!hospitalinfo[[#This Row],[Hospital Ownership]]</f>
        <v>Voluntary non-profit - Private</v>
      </c>
      <c r="E299" cm="1">
        <f t="array" ref="E299">_xlfn.IFNA(_xlfn.XLOOKUP(1,([1]!hcahps[Facility ID] = clean[[#This Row],[Facility ID]]) * ([1]!hcahps[HCAHPS Measure ID] = "H_HSP_RATING_LINEAR_SCORE"), [1]!hcahps[HCAHPS Linear Mean Value]), "No Match")</f>
        <v>91</v>
      </c>
      <c r="F299" cm="1">
        <f t="array" ref="F299">_xlfn.IFNA(_xlfn.XLOOKUP(1,([1]!readmissions[Facility ID] = clean[[#This Row],[Facility ID]]) * ([1]!readmissions[Measure ID] = "Hybrid_HWR"), [1]!readmissions[Score]), "No Match")</f>
        <v>14.9</v>
      </c>
    </row>
    <row r="300" spans="1:6" x14ac:dyDescent="0.2">
      <c r="A300" t="str">
        <f>[1]!hospitalinfo[[#This Row],[Facility ID]]</f>
        <v>031317</v>
      </c>
      <c r="B300" t="str">
        <f>[1]!hospitalinfo[[#This Row],[State]]</f>
        <v>AZ</v>
      </c>
      <c r="C300" t="str">
        <f>[1]!hospitalinfo[[#This Row],[Hospital Type]]</f>
        <v>Critical Access Hospitals</v>
      </c>
      <c r="D300" t="str">
        <f>[1]!hospitalinfo[[#This Row],[Hospital Ownership]]</f>
        <v>Voluntary non-profit - Private</v>
      </c>
      <c r="E300" cm="1">
        <f t="array" ref="E300">_xlfn.IFNA(_xlfn.XLOOKUP(1,([1]!hcahps[Facility ID] = clean[[#This Row],[Facility ID]]) * ([1]!hcahps[HCAHPS Measure ID] = "H_HSP_RATING_LINEAR_SCORE"), [1]!hcahps[HCAHPS Linear Mean Value]), "No Match")</f>
        <v>86</v>
      </c>
      <c r="F300" cm="1">
        <f t="array" ref="F300">_xlfn.IFNA(_xlfn.XLOOKUP(1,([1]!readmissions[Facility ID] = clean[[#This Row],[Facility ID]]) * ([1]!readmissions[Measure ID] = "Hybrid_HWR"), [1]!readmissions[Score]), "No Match")</f>
        <v>15</v>
      </c>
    </row>
    <row r="301" spans="1:6" x14ac:dyDescent="0.2">
      <c r="A301" t="str">
        <f>[1]!hospitalinfo[[#This Row],[Facility ID]]</f>
        <v>031318</v>
      </c>
      <c r="B301" t="str">
        <f>[1]!hospitalinfo[[#This Row],[State]]</f>
        <v>AZ</v>
      </c>
      <c r="C301" t="str">
        <f>[1]!hospitalinfo[[#This Row],[Hospital Type]]</f>
        <v>Critical Access Hospitals</v>
      </c>
      <c r="D301" t="str">
        <f>[1]!hospitalinfo[[#This Row],[Hospital Ownership]]</f>
        <v>Voluntary non-profit - Other</v>
      </c>
      <c r="E301" cm="1">
        <f t="array" ref="E301">_xlfn.IFNA(_xlfn.XLOOKUP(1,([1]!hcahps[Facility ID] = clean[[#This Row],[Facility ID]]) * ([1]!hcahps[HCAHPS Measure ID] = "H_HSP_RATING_LINEAR_SCORE"), [1]!hcahps[HCAHPS Linear Mean Value]), "No Match")</f>
        <v>90</v>
      </c>
      <c r="F301" cm="1">
        <f t="array" ref="F301">_xlfn.IFNA(_xlfn.XLOOKUP(1,([1]!readmissions[Facility ID] = clean[[#This Row],[Facility ID]]) * ([1]!readmissions[Measure ID] = "Hybrid_HWR"), [1]!readmissions[Score]), "No Match")</f>
        <v>14.4</v>
      </c>
    </row>
    <row r="302" spans="1:6" x14ac:dyDescent="0.2">
      <c r="A302" t="str">
        <f>[1]!hospitalinfo[[#This Row],[Facility ID]]</f>
        <v>031319</v>
      </c>
      <c r="B302" t="str">
        <f>[1]!hospitalinfo[[#This Row],[State]]</f>
        <v>AZ</v>
      </c>
      <c r="C302" t="str">
        <f>[1]!hospitalinfo[[#This Row],[Hospital Type]]</f>
        <v>Critical Access Hospitals</v>
      </c>
      <c r="D302" t="str">
        <f>[1]!hospitalinfo[[#This Row],[Hospital Ownership]]</f>
        <v>Government - Hospital District or Authority</v>
      </c>
      <c r="E302" cm="1">
        <f t="array" ref="E302">_xlfn.IFNA(_xlfn.XLOOKUP(1,([1]!hcahps[Facility ID] = clean[[#This Row],[Facility ID]]) * ([1]!hcahps[HCAHPS Measure ID] = "H_HSP_RATING_LINEAR_SCORE"), [1]!hcahps[HCAHPS Linear Mean Value]), "No Match")</f>
        <v>91</v>
      </c>
      <c r="F302" cm="1">
        <f t="array" ref="F302">_xlfn.IFNA(_xlfn.XLOOKUP(1,([1]!readmissions[Facility ID] = clean[[#This Row],[Facility ID]]) * ([1]!readmissions[Measure ID] = "Hybrid_HWR"), [1]!readmissions[Score]), "No Match")</f>
        <v>14.6</v>
      </c>
    </row>
    <row r="303" spans="1:6" x14ac:dyDescent="0.2">
      <c r="A303" t="str">
        <f>[1]!hospitalinfo[[#This Row],[Facility ID]]</f>
        <v>031320</v>
      </c>
      <c r="B303" t="str">
        <f>[1]!hospitalinfo[[#This Row],[State]]</f>
        <v>AZ</v>
      </c>
      <c r="C303" t="str">
        <f>[1]!hospitalinfo[[#This Row],[Hospital Type]]</f>
        <v>Critical Access Hospitals</v>
      </c>
      <c r="D303" t="str">
        <f>[1]!hospitalinfo[[#This Row],[Hospital Ownership]]</f>
        <v>Tribal</v>
      </c>
      <c r="E303" t="str" cm="1">
        <f t="array" ref="E303">_xlfn.IFNA(_xlfn.XLOOKUP(1,([1]!hcahps[Facility ID] = clean[[#This Row],[Facility ID]]) * ([1]!hcahps[HCAHPS Measure ID] = "H_HSP_RATING_LINEAR_SCORE"), [1]!hcahps[HCAHPS Linear Mean Value]), "No Match")</f>
        <v>Not Available</v>
      </c>
      <c r="F303" cm="1">
        <f t="array" ref="F303">_xlfn.IFNA(_xlfn.XLOOKUP(1,([1]!readmissions[Facility ID] = clean[[#This Row],[Facility ID]]) * ([1]!readmissions[Measure ID] = "Hybrid_HWR"), [1]!readmissions[Score]), "No Match")</f>
        <v>15.3</v>
      </c>
    </row>
    <row r="304" spans="1:6" x14ac:dyDescent="0.2">
      <c r="A304" t="str">
        <f>[1]!hospitalinfo[[#This Row],[Facility ID]]</f>
        <v>033302</v>
      </c>
      <c r="B304" t="str">
        <f>[1]!hospitalinfo[[#This Row],[State]]</f>
        <v>AZ</v>
      </c>
      <c r="C304" t="str">
        <f>[1]!hospitalinfo[[#This Row],[Hospital Type]]</f>
        <v>Childrens</v>
      </c>
      <c r="D304" t="str">
        <f>[1]!hospitalinfo[[#This Row],[Hospital Ownership]]</f>
        <v>Voluntary non-profit - Private</v>
      </c>
      <c r="E304" t="str" cm="1">
        <f t="array" ref="E304">_xlfn.IFNA(_xlfn.XLOOKUP(1,([1]!hcahps[Facility ID] = clean[[#This Row],[Facility ID]]) * ([1]!hcahps[HCAHPS Measure ID] = "H_HSP_RATING_LINEAR_SCORE"), [1]!hcahps[HCAHPS Linear Mean Value]), "No Match")</f>
        <v>Not Available</v>
      </c>
      <c r="F304" t="str" cm="1">
        <f t="array" ref="F304">_xlfn.IFNA(_xlfn.XLOOKUP(1,([1]!readmissions[Facility ID] = clean[[#This Row],[Facility ID]]) * ([1]!readmissions[Measure ID] = "Hybrid_HWR"), [1]!readmissions[Score]), "No Match")</f>
        <v>Not Available</v>
      </c>
    </row>
    <row r="305" spans="1:6" x14ac:dyDescent="0.2">
      <c r="A305" t="str">
        <f>[1]!hospitalinfo[[#This Row],[Facility ID]]</f>
        <v>034004</v>
      </c>
      <c r="B305" t="str">
        <f>[1]!hospitalinfo[[#This Row],[State]]</f>
        <v>AZ</v>
      </c>
      <c r="C305" t="str">
        <f>[1]!hospitalinfo[[#This Row],[Hospital Type]]</f>
        <v>Psychiatric</v>
      </c>
      <c r="D305" t="str">
        <f>[1]!hospitalinfo[[#This Row],[Hospital Ownership]]</f>
        <v>Voluntary non-profit - Private</v>
      </c>
      <c r="E305" t="str" cm="1">
        <f t="array" ref="E305">_xlfn.IFNA(_xlfn.XLOOKUP(1,([1]!hcahps[Facility ID] = clean[[#This Row],[Facility ID]]) * ([1]!hcahps[HCAHPS Measure ID] = "H_HSP_RATING_LINEAR_SCORE"), [1]!hcahps[HCAHPS Linear Mean Value]), "No Match")</f>
        <v>No Match</v>
      </c>
      <c r="F305" t="str" cm="1">
        <f t="array" ref="F305">_xlfn.IFNA(_xlfn.XLOOKUP(1,([1]!readmissions[Facility ID] = clean[[#This Row],[Facility ID]]) * ([1]!readmissions[Measure ID] = "Hybrid_HWR"), [1]!readmissions[Score]), "No Match")</f>
        <v>No Match</v>
      </c>
    </row>
    <row r="306" spans="1:6" x14ac:dyDescent="0.2">
      <c r="A306" t="str">
        <f>[1]!hospitalinfo[[#This Row],[Facility ID]]</f>
        <v>034013</v>
      </c>
      <c r="B306" t="str">
        <f>[1]!hospitalinfo[[#This Row],[State]]</f>
        <v>AZ</v>
      </c>
      <c r="C306" t="str">
        <f>[1]!hospitalinfo[[#This Row],[Hospital Type]]</f>
        <v>Psychiatric</v>
      </c>
      <c r="D306" t="str">
        <f>[1]!hospitalinfo[[#This Row],[Hospital Ownership]]</f>
        <v>Proprietary</v>
      </c>
      <c r="E306" t="str" cm="1">
        <f t="array" ref="E306">_xlfn.IFNA(_xlfn.XLOOKUP(1,([1]!hcahps[Facility ID] = clean[[#This Row],[Facility ID]]) * ([1]!hcahps[HCAHPS Measure ID] = "H_HSP_RATING_LINEAR_SCORE"), [1]!hcahps[HCAHPS Linear Mean Value]), "No Match")</f>
        <v>No Match</v>
      </c>
      <c r="F306" t="str" cm="1">
        <f t="array" ref="F306">_xlfn.IFNA(_xlfn.XLOOKUP(1,([1]!readmissions[Facility ID] = clean[[#This Row],[Facility ID]]) * ([1]!readmissions[Measure ID] = "Hybrid_HWR"), [1]!readmissions[Score]), "No Match")</f>
        <v>No Match</v>
      </c>
    </row>
    <row r="307" spans="1:6" x14ac:dyDescent="0.2">
      <c r="A307" t="str">
        <f>[1]!hospitalinfo[[#This Row],[Facility ID]]</f>
        <v>034020</v>
      </c>
      <c r="B307" t="str">
        <f>[1]!hospitalinfo[[#This Row],[State]]</f>
        <v>AZ</v>
      </c>
      <c r="C307" t="str">
        <f>[1]!hospitalinfo[[#This Row],[Hospital Type]]</f>
        <v>Psychiatric</v>
      </c>
      <c r="D307" t="str">
        <f>[1]!hospitalinfo[[#This Row],[Hospital Ownership]]</f>
        <v>Proprietary</v>
      </c>
      <c r="E307" t="str" cm="1">
        <f t="array" ref="E307">_xlfn.IFNA(_xlfn.XLOOKUP(1,([1]!hcahps[Facility ID] = clean[[#This Row],[Facility ID]]) * ([1]!hcahps[HCAHPS Measure ID] = "H_HSP_RATING_LINEAR_SCORE"), [1]!hcahps[HCAHPS Linear Mean Value]), "No Match")</f>
        <v>No Match</v>
      </c>
      <c r="F307" t="str" cm="1">
        <f t="array" ref="F307">_xlfn.IFNA(_xlfn.XLOOKUP(1,([1]!readmissions[Facility ID] = clean[[#This Row],[Facility ID]]) * ([1]!readmissions[Measure ID] = "Hybrid_HWR"), [1]!readmissions[Score]), "No Match")</f>
        <v>No Match</v>
      </c>
    </row>
    <row r="308" spans="1:6" x14ac:dyDescent="0.2">
      <c r="A308" t="str">
        <f>[1]!hospitalinfo[[#This Row],[Facility ID]]</f>
        <v>034021</v>
      </c>
      <c r="B308" t="str">
        <f>[1]!hospitalinfo[[#This Row],[State]]</f>
        <v>AZ</v>
      </c>
      <c r="C308" t="str">
        <f>[1]!hospitalinfo[[#This Row],[Hospital Type]]</f>
        <v>Psychiatric</v>
      </c>
      <c r="D308" t="str">
        <f>[1]!hospitalinfo[[#This Row],[Hospital Ownership]]</f>
        <v>Government - State</v>
      </c>
      <c r="E308" t="str" cm="1">
        <f t="array" ref="E308">_xlfn.IFNA(_xlfn.XLOOKUP(1,([1]!hcahps[Facility ID] = clean[[#This Row],[Facility ID]]) * ([1]!hcahps[HCAHPS Measure ID] = "H_HSP_RATING_LINEAR_SCORE"), [1]!hcahps[HCAHPS Linear Mean Value]), "No Match")</f>
        <v>No Match</v>
      </c>
      <c r="F308" t="str" cm="1">
        <f t="array" ref="F308">_xlfn.IFNA(_xlfn.XLOOKUP(1,([1]!readmissions[Facility ID] = clean[[#This Row],[Facility ID]]) * ([1]!readmissions[Measure ID] = "Hybrid_HWR"), [1]!readmissions[Score]), "No Match")</f>
        <v>No Match</v>
      </c>
    </row>
    <row r="309" spans="1:6" x14ac:dyDescent="0.2">
      <c r="A309" t="str">
        <f>[1]!hospitalinfo[[#This Row],[Facility ID]]</f>
        <v>034022</v>
      </c>
      <c r="B309" t="str">
        <f>[1]!hospitalinfo[[#This Row],[State]]</f>
        <v>AZ</v>
      </c>
      <c r="C309" t="str">
        <f>[1]!hospitalinfo[[#This Row],[Hospital Type]]</f>
        <v>Psychiatric</v>
      </c>
      <c r="D309" t="str">
        <f>[1]!hospitalinfo[[#This Row],[Hospital Ownership]]</f>
        <v>Proprietary</v>
      </c>
      <c r="E309" t="str" cm="1">
        <f t="array" ref="E309">_xlfn.IFNA(_xlfn.XLOOKUP(1,([1]!hcahps[Facility ID] = clean[[#This Row],[Facility ID]]) * ([1]!hcahps[HCAHPS Measure ID] = "H_HSP_RATING_LINEAR_SCORE"), [1]!hcahps[HCAHPS Linear Mean Value]), "No Match")</f>
        <v>No Match</v>
      </c>
      <c r="F309" t="str" cm="1">
        <f t="array" ref="F309">_xlfn.IFNA(_xlfn.XLOOKUP(1,([1]!readmissions[Facility ID] = clean[[#This Row],[Facility ID]]) * ([1]!readmissions[Measure ID] = "Hybrid_HWR"), [1]!readmissions[Score]), "No Match")</f>
        <v>No Match</v>
      </c>
    </row>
    <row r="310" spans="1:6" x14ac:dyDescent="0.2">
      <c r="A310" t="str">
        <f>[1]!hospitalinfo[[#This Row],[Facility ID]]</f>
        <v>034023</v>
      </c>
      <c r="B310" t="str">
        <f>[1]!hospitalinfo[[#This Row],[State]]</f>
        <v>AZ</v>
      </c>
      <c r="C310" t="str">
        <f>[1]!hospitalinfo[[#This Row],[Hospital Type]]</f>
        <v>Psychiatric</v>
      </c>
      <c r="D310" t="str">
        <f>[1]!hospitalinfo[[#This Row],[Hospital Ownership]]</f>
        <v>Voluntary non-profit - Private</v>
      </c>
      <c r="E310" t="str" cm="1">
        <f t="array" ref="E310">_xlfn.IFNA(_xlfn.XLOOKUP(1,([1]!hcahps[Facility ID] = clean[[#This Row],[Facility ID]]) * ([1]!hcahps[HCAHPS Measure ID] = "H_HSP_RATING_LINEAR_SCORE"), [1]!hcahps[HCAHPS Linear Mean Value]), "No Match")</f>
        <v>No Match</v>
      </c>
      <c r="F310" t="str" cm="1">
        <f t="array" ref="F310">_xlfn.IFNA(_xlfn.XLOOKUP(1,([1]!readmissions[Facility ID] = clean[[#This Row],[Facility ID]]) * ([1]!readmissions[Measure ID] = "Hybrid_HWR"), [1]!readmissions[Score]), "No Match")</f>
        <v>No Match</v>
      </c>
    </row>
    <row r="311" spans="1:6" x14ac:dyDescent="0.2">
      <c r="A311" t="str">
        <f>[1]!hospitalinfo[[#This Row],[Facility ID]]</f>
        <v>034024</v>
      </c>
      <c r="B311" t="str">
        <f>[1]!hospitalinfo[[#This Row],[State]]</f>
        <v>AZ</v>
      </c>
      <c r="C311" t="str">
        <f>[1]!hospitalinfo[[#This Row],[Hospital Type]]</f>
        <v>Psychiatric</v>
      </c>
      <c r="D311" t="str">
        <f>[1]!hospitalinfo[[#This Row],[Hospital Ownership]]</f>
        <v>Proprietary</v>
      </c>
      <c r="E311" t="str" cm="1">
        <f t="array" ref="E311">_xlfn.IFNA(_xlfn.XLOOKUP(1,([1]!hcahps[Facility ID] = clean[[#This Row],[Facility ID]]) * ([1]!hcahps[HCAHPS Measure ID] = "H_HSP_RATING_LINEAR_SCORE"), [1]!hcahps[HCAHPS Linear Mean Value]), "No Match")</f>
        <v>No Match</v>
      </c>
      <c r="F311" t="str" cm="1">
        <f t="array" ref="F311">_xlfn.IFNA(_xlfn.XLOOKUP(1,([1]!readmissions[Facility ID] = clean[[#This Row],[Facility ID]]) * ([1]!readmissions[Measure ID] = "Hybrid_HWR"), [1]!readmissions[Score]), "No Match")</f>
        <v>No Match</v>
      </c>
    </row>
    <row r="312" spans="1:6" x14ac:dyDescent="0.2">
      <c r="A312" t="str">
        <f>[1]!hospitalinfo[[#This Row],[Facility ID]]</f>
        <v>034025</v>
      </c>
      <c r="B312" t="str">
        <f>[1]!hospitalinfo[[#This Row],[State]]</f>
        <v>AZ</v>
      </c>
      <c r="C312" t="str">
        <f>[1]!hospitalinfo[[#This Row],[Hospital Type]]</f>
        <v>Psychiatric</v>
      </c>
      <c r="D312" t="str">
        <f>[1]!hospitalinfo[[#This Row],[Hospital Ownership]]</f>
        <v>Proprietary</v>
      </c>
      <c r="E312" t="str" cm="1">
        <f t="array" ref="E312">_xlfn.IFNA(_xlfn.XLOOKUP(1,([1]!hcahps[Facility ID] = clean[[#This Row],[Facility ID]]) * ([1]!hcahps[HCAHPS Measure ID] = "H_HSP_RATING_LINEAR_SCORE"), [1]!hcahps[HCAHPS Linear Mean Value]), "No Match")</f>
        <v>No Match</v>
      </c>
      <c r="F312" t="str" cm="1">
        <f t="array" ref="F312">_xlfn.IFNA(_xlfn.XLOOKUP(1,([1]!readmissions[Facility ID] = clean[[#This Row],[Facility ID]]) * ([1]!readmissions[Measure ID] = "Hybrid_HWR"), [1]!readmissions[Score]), "No Match")</f>
        <v>No Match</v>
      </c>
    </row>
    <row r="313" spans="1:6" x14ac:dyDescent="0.2">
      <c r="A313" t="str">
        <f>[1]!hospitalinfo[[#This Row],[Facility ID]]</f>
        <v>034026</v>
      </c>
      <c r="B313" t="str">
        <f>[1]!hospitalinfo[[#This Row],[State]]</f>
        <v>AZ</v>
      </c>
      <c r="C313" t="str">
        <f>[1]!hospitalinfo[[#This Row],[Hospital Type]]</f>
        <v>Psychiatric</v>
      </c>
      <c r="D313" t="str">
        <f>[1]!hospitalinfo[[#This Row],[Hospital Ownership]]</f>
        <v>Proprietary</v>
      </c>
      <c r="E313" t="str" cm="1">
        <f t="array" ref="E313">_xlfn.IFNA(_xlfn.XLOOKUP(1,([1]!hcahps[Facility ID] = clean[[#This Row],[Facility ID]]) * ([1]!hcahps[HCAHPS Measure ID] = "H_HSP_RATING_LINEAR_SCORE"), [1]!hcahps[HCAHPS Linear Mean Value]), "No Match")</f>
        <v>No Match</v>
      </c>
      <c r="F313" t="str" cm="1">
        <f t="array" ref="F313">_xlfn.IFNA(_xlfn.XLOOKUP(1,([1]!readmissions[Facility ID] = clean[[#This Row],[Facility ID]]) * ([1]!readmissions[Measure ID] = "Hybrid_HWR"), [1]!readmissions[Score]), "No Match")</f>
        <v>No Match</v>
      </c>
    </row>
    <row r="314" spans="1:6" x14ac:dyDescent="0.2">
      <c r="A314" t="str">
        <f>[1]!hospitalinfo[[#This Row],[Facility ID]]</f>
        <v>034027</v>
      </c>
      <c r="B314" t="str">
        <f>[1]!hospitalinfo[[#This Row],[State]]</f>
        <v>AZ</v>
      </c>
      <c r="C314" t="str">
        <f>[1]!hospitalinfo[[#This Row],[Hospital Type]]</f>
        <v>Psychiatric</v>
      </c>
      <c r="D314" t="str">
        <f>[1]!hospitalinfo[[#This Row],[Hospital Ownership]]</f>
        <v>Voluntary non-profit - Private</v>
      </c>
      <c r="E314" t="str" cm="1">
        <f t="array" ref="E314">_xlfn.IFNA(_xlfn.XLOOKUP(1,([1]!hcahps[Facility ID] = clean[[#This Row],[Facility ID]]) * ([1]!hcahps[HCAHPS Measure ID] = "H_HSP_RATING_LINEAR_SCORE"), [1]!hcahps[HCAHPS Linear Mean Value]), "No Match")</f>
        <v>No Match</v>
      </c>
      <c r="F314" t="str" cm="1">
        <f t="array" ref="F314">_xlfn.IFNA(_xlfn.XLOOKUP(1,([1]!readmissions[Facility ID] = clean[[#This Row],[Facility ID]]) * ([1]!readmissions[Measure ID] = "Hybrid_HWR"), [1]!readmissions[Score]), "No Match")</f>
        <v>No Match</v>
      </c>
    </row>
    <row r="315" spans="1:6" x14ac:dyDescent="0.2">
      <c r="A315" t="str">
        <f>[1]!hospitalinfo[[#This Row],[Facility ID]]</f>
        <v>034028</v>
      </c>
      <c r="B315" t="str">
        <f>[1]!hospitalinfo[[#This Row],[State]]</f>
        <v>AZ</v>
      </c>
      <c r="C315" t="str">
        <f>[1]!hospitalinfo[[#This Row],[Hospital Type]]</f>
        <v>Psychiatric</v>
      </c>
      <c r="D315" t="str">
        <f>[1]!hospitalinfo[[#This Row],[Hospital Ownership]]</f>
        <v>Proprietary</v>
      </c>
      <c r="E315" t="str" cm="1">
        <f t="array" ref="E315">_xlfn.IFNA(_xlfn.XLOOKUP(1,([1]!hcahps[Facility ID] = clean[[#This Row],[Facility ID]]) * ([1]!hcahps[HCAHPS Measure ID] = "H_HSP_RATING_LINEAR_SCORE"), [1]!hcahps[HCAHPS Linear Mean Value]), "No Match")</f>
        <v>No Match</v>
      </c>
      <c r="F315" t="str" cm="1">
        <f t="array" ref="F315">_xlfn.IFNA(_xlfn.XLOOKUP(1,([1]!readmissions[Facility ID] = clean[[#This Row],[Facility ID]]) * ([1]!readmissions[Measure ID] = "Hybrid_HWR"), [1]!readmissions[Score]), "No Match")</f>
        <v>No Match</v>
      </c>
    </row>
    <row r="316" spans="1:6" x14ac:dyDescent="0.2">
      <c r="A316" t="str">
        <f>[1]!hospitalinfo[[#This Row],[Facility ID]]</f>
        <v>034029</v>
      </c>
      <c r="B316" t="str">
        <f>[1]!hospitalinfo[[#This Row],[State]]</f>
        <v>AZ</v>
      </c>
      <c r="C316" t="str">
        <f>[1]!hospitalinfo[[#This Row],[Hospital Type]]</f>
        <v>Psychiatric</v>
      </c>
      <c r="D316" t="str">
        <f>[1]!hospitalinfo[[#This Row],[Hospital Ownership]]</f>
        <v>Proprietary</v>
      </c>
      <c r="E316" t="str" cm="1">
        <f t="array" ref="E316">_xlfn.IFNA(_xlfn.XLOOKUP(1,([1]!hcahps[Facility ID] = clean[[#This Row],[Facility ID]]) * ([1]!hcahps[HCAHPS Measure ID] = "H_HSP_RATING_LINEAR_SCORE"), [1]!hcahps[HCAHPS Linear Mean Value]), "No Match")</f>
        <v>No Match</v>
      </c>
      <c r="F316" t="str" cm="1">
        <f t="array" ref="F316">_xlfn.IFNA(_xlfn.XLOOKUP(1,([1]!readmissions[Facility ID] = clean[[#This Row],[Facility ID]]) * ([1]!readmissions[Measure ID] = "Hybrid_HWR"), [1]!readmissions[Score]), "No Match")</f>
        <v>No Match</v>
      </c>
    </row>
    <row r="317" spans="1:6" x14ac:dyDescent="0.2">
      <c r="A317" t="str">
        <f>[1]!hospitalinfo[[#This Row],[Facility ID]]</f>
        <v>034030</v>
      </c>
      <c r="B317" t="str">
        <f>[1]!hospitalinfo[[#This Row],[State]]</f>
        <v>AZ</v>
      </c>
      <c r="C317" t="str">
        <f>[1]!hospitalinfo[[#This Row],[Hospital Type]]</f>
        <v>Psychiatric</v>
      </c>
      <c r="D317" t="str">
        <f>[1]!hospitalinfo[[#This Row],[Hospital Ownership]]</f>
        <v>Voluntary non-profit - Private</v>
      </c>
      <c r="E317" t="str" cm="1">
        <f t="array" ref="E317">_xlfn.IFNA(_xlfn.XLOOKUP(1,([1]!hcahps[Facility ID] = clean[[#This Row],[Facility ID]]) * ([1]!hcahps[HCAHPS Measure ID] = "H_HSP_RATING_LINEAR_SCORE"), [1]!hcahps[HCAHPS Linear Mean Value]), "No Match")</f>
        <v>No Match</v>
      </c>
      <c r="F317" t="str" cm="1">
        <f t="array" ref="F317">_xlfn.IFNA(_xlfn.XLOOKUP(1,([1]!readmissions[Facility ID] = clean[[#This Row],[Facility ID]]) * ([1]!readmissions[Measure ID] = "Hybrid_HWR"), [1]!readmissions[Score]), "No Match")</f>
        <v>No Match</v>
      </c>
    </row>
    <row r="318" spans="1:6" x14ac:dyDescent="0.2">
      <c r="A318" t="str">
        <f>[1]!hospitalinfo[[#This Row],[Facility ID]]</f>
        <v>034031</v>
      </c>
      <c r="B318" t="str">
        <f>[1]!hospitalinfo[[#This Row],[State]]</f>
        <v>AZ</v>
      </c>
      <c r="C318" t="str">
        <f>[1]!hospitalinfo[[#This Row],[Hospital Type]]</f>
        <v>Psychiatric</v>
      </c>
      <c r="D318" t="str">
        <f>[1]!hospitalinfo[[#This Row],[Hospital Ownership]]</f>
        <v>Voluntary non-profit - Other</v>
      </c>
      <c r="E318" t="str" cm="1">
        <f t="array" ref="E318">_xlfn.IFNA(_xlfn.XLOOKUP(1,([1]!hcahps[Facility ID] = clean[[#This Row],[Facility ID]]) * ([1]!hcahps[HCAHPS Measure ID] = "H_HSP_RATING_LINEAR_SCORE"), [1]!hcahps[HCAHPS Linear Mean Value]), "No Match")</f>
        <v>No Match</v>
      </c>
      <c r="F318" t="str" cm="1">
        <f t="array" ref="F318">_xlfn.IFNA(_xlfn.XLOOKUP(1,([1]!readmissions[Facility ID] = clean[[#This Row],[Facility ID]]) * ([1]!readmissions[Measure ID] = "Hybrid_HWR"), [1]!readmissions[Score]), "No Match")</f>
        <v>No Match</v>
      </c>
    </row>
    <row r="319" spans="1:6" x14ac:dyDescent="0.2">
      <c r="A319" t="str">
        <f>[1]!hospitalinfo[[#This Row],[Facility ID]]</f>
        <v>034032</v>
      </c>
      <c r="B319" t="str">
        <f>[1]!hospitalinfo[[#This Row],[State]]</f>
        <v>AZ</v>
      </c>
      <c r="C319" t="str">
        <f>[1]!hospitalinfo[[#This Row],[Hospital Type]]</f>
        <v>Psychiatric</v>
      </c>
      <c r="D319" t="str">
        <f>[1]!hospitalinfo[[#This Row],[Hospital Ownership]]</f>
        <v>Proprietary</v>
      </c>
      <c r="E319" t="str" cm="1">
        <f t="array" ref="E319">_xlfn.IFNA(_xlfn.XLOOKUP(1,([1]!hcahps[Facility ID] = clean[[#This Row],[Facility ID]]) * ([1]!hcahps[HCAHPS Measure ID] = "H_HSP_RATING_LINEAR_SCORE"), [1]!hcahps[HCAHPS Linear Mean Value]), "No Match")</f>
        <v>No Match</v>
      </c>
      <c r="F319" t="str" cm="1">
        <f t="array" ref="F319">_xlfn.IFNA(_xlfn.XLOOKUP(1,([1]!readmissions[Facility ID] = clean[[#This Row],[Facility ID]]) * ([1]!readmissions[Measure ID] = "Hybrid_HWR"), [1]!readmissions[Score]), "No Match")</f>
        <v>No Match</v>
      </c>
    </row>
    <row r="320" spans="1:6" x14ac:dyDescent="0.2">
      <c r="A320" t="str">
        <f>[1]!hospitalinfo[[#This Row],[Facility ID]]</f>
        <v>034033</v>
      </c>
      <c r="B320" t="str">
        <f>[1]!hospitalinfo[[#This Row],[State]]</f>
        <v>AZ</v>
      </c>
      <c r="C320" t="str">
        <f>[1]!hospitalinfo[[#This Row],[Hospital Type]]</f>
        <v>Psychiatric</v>
      </c>
      <c r="D320" t="str">
        <f>[1]!hospitalinfo[[#This Row],[Hospital Ownership]]</f>
        <v>Proprietary</v>
      </c>
      <c r="E320" t="str" cm="1">
        <f t="array" ref="E320">_xlfn.IFNA(_xlfn.XLOOKUP(1,([1]!hcahps[Facility ID] = clean[[#This Row],[Facility ID]]) * ([1]!hcahps[HCAHPS Measure ID] = "H_HSP_RATING_LINEAR_SCORE"), [1]!hcahps[HCAHPS Linear Mean Value]), "No Match")</f>
        <v>No Match</v>
      </c>
      <c r="F320" t="str" cm="1">
        <f t="array" ref="F320">_xlfn.IFNA(_xlfn.XLOOKUP(1,([1]!readmissions[Facility ID] = clean[[#This Row],[Facility ID]]) * ([1]!readmissions[Measure ID] = "Hybrid_HWR"), [1]!readmissions[Score]), "No Match")</f>
        <v>No Match</v>
      </c>
    </row>
    <row r="321" spans="1:6" x14ac:dyDescent="0.2">
      <c r="A321" t="str">
        <f>[1]!hospitalinfo[[#This Row],[Facility ID]]</f>
        <v>034034</v>
      </c>
      <c r="B321" t="str">
        <f>[1]!hospitalinfo[[#This Row],[State]]</f>
        <v>AZ</v>
      </c>
      <c r="C321" t="str">
        <f>[1]!hospitalinfo[[#This Row],[Hospital Type]]</f>
        <v>Psychiatric</v>
      </c>
      <c r="D321" t="str">
        <f>[1]!hospitalinfo[[#This Row],[Hospital Ownership]]</f>
        <v>Physician</v>
      </c>
      <c r="E321" t="str" cm="1">
        <f t="array" ref="E321">_xlfn.IFNA(_xlfn.XLOOKUP(1,([1]!hcahps[Facility ID] = clean[[#This Row],[Facility ID]]) * ([1]!hcahps[HCAHPS Measure ID] = "H_HSP_RATING_LINEAR_SCORE"), [1]!hcahps[HCAHPS Linear Mean Value]), "No Match")</f>
        <v>No Match</v>
      </c>
      <c r="F321" t="str" cm="1">
        <f t="array" ref="F321">_xlfn.IFNA(_xlfn.XLOOKUP(1,([1]!readmissions[Facility ID] = clean[[#This Row],[Facility ID]]) * ([1]!readmissions[Measure ID] = "Hybrid_HWR"), [1]!readmissions[Score]), "No Match")</f>
        <v>No Match</v>
      </c>
    </row>
    <row r="322" spans="1:6" x14ac:dyDescent="0.2">
      <c r="A322" t="str">
        <f>[1]!hospitalinfo[[#This Row],[Facility ID]]</f>
        <v>034035</v>
      </c>
      <c r="B322" t="str">
        <f>[1]!hospitalinfo[[#This Row],[State]]</f>
        <v>AZ</v>
      </c>
      <c r="C322" t="str">
        <f>[1]!hospitalinfo[[#This Row],[Hospital Type]]</f>
        <v>Psychiatric</v>
      </c>
      <c r="D322" t="str">
        <f>[1]!hospitalinfo[[#This Row],[Hospital Ownership]]</f>
        <v>Proprietary</v>
      </c>
      <c r="E322" t="str" cm="1">
        <f t="array" ref="E322">_xlfn.IFNA(_xlfn.XLOOKUP(1,([1]!hcahps[Facility ID] = clean[[#This Row],[Facility ID]]) * ([1]!hcahps[HCAHPS Measure ID] = "H_HSP_RATING_LINEAR_SCORE"), [1]!hcahps[HCAHPS Linear Mean Value]), "No Match")</f>
        <v>No Match</v>
      </c>
      <c r="F322" t="str" cm="1">
        <f t="array" ref="F322">_xlfn.IFNA(_xlfn.XLOOKUP(1,([1]!readmissions[Facility ID] = clean[[#This Row],[Facility ID]]) * ([1]!readmissions[Measure ID] = "Hybrid_HWR"), [1]!readmissions[Score]), "No Match")</f>
        <v>No Match</v>
      </c>
    </row>
    <row r="323" spans="1:6" x14ac:dyDescent="0.2">
      <c r="A323" t="str">
        <f>[1]!hospitalinfo[[#This Row],[Facility ID]]</f>
        <v>034038</v>
      </c>
      <c r="B323" t="str">
        <f>[1]!hospitalinfo[[#This Row],[State]]</f>
        <v>AZ</v>
      </c>
      <c r="C323" t="str">
        <f>[1]!hospitalinfo[[#This Row],[Hospital Type]]</f>
        <v>Psychiatric</v>
      </c>
      <c r="D323" t="str">
        <f>[1]!hospitalinfo[[#This Row],[Hospital Ownership]]</f>
        <v>Proprietary</v>
      </c>
      <c r="E323" t="str" cm="1">
        <f t="array" ref="E323">_xlfn.IFNA(_xlfn.XLOOKUP(1,([1]!hcahps[Facility ID] = clean[[#This Row],[Facility ID]]) * ([1]!hcahps[HCAHPS Measure ID] = "H_HSP_RATING_LINEAR_SCORE"), [1]!hcahps[HCAHPS Linear Mean Value]), "No Match")</f>
        <v>No Match</v>
      </c>
      <c r="F323" t="str" cm="1">
        <f t="array" ref="F323">_xlfn.IFNA(_xlfn.XLOOKUP(1,([1]!readmissions[Facility ID] = clean[[#This Row],[Facility ID]]) * ([1]!readmissions[Measure ID] = "Hybrid_HWR"), [1]!readmissions[Score]), "No Match")</f>
        <v>No Match</v>
      </c>
    </row>
    <row r="324" spans="1:6" x14ac:dyDescent="0.2">
      <c r="A324" t="str">
        <f>[1]!hospitalinfo[[#This Row],[Facility ID]]</f>
        <v>034040</v>
      </c>
      <c r="B324" t="str">
        <f>[1]!hospitalinfo[[#This Row],[State]]</f>
        <v>AZ</v>
      </c>
      <c r="C324" t="str">
        <f>[1]!hospitalinfo[[#This Row],[Hospital Type]]</f>
        <v>Psychiatric</v>
      </c>
      <c r="D324" t="str">
        <f>[1]!hospitalinfo[[#This Row],[Hospital Ownership]]</f>
        <v>Proprietary</v>
      </c>
      <c r="E324" t="str" cm="1">
        <f t="array" ref="E324">_xlfn.IFNA(_xlfn.XLOOKUP(1,([1]!hcahps[Facility ID] = clean[[#This Row],[Facility ID]]) * ([1]!hcahps[HCAHPS Measure ID] = "H_HSP_RATING_LINEAR_SCORE"), [1]!hcahps[HCAHPS Linear Mean Value]), "No Match")</f>
        <v>No Match</v>
      </c>
      <c r="F324" t="str" cm="1">
        <f t="array" ref="F324">_xlfn.IFNA(_xlfn.XLOOKUP(1,([1]!readmissions[Facility ID] = clean[[#This Row],[Facility ID]]) * ([1]!readmissions[Measure ID] = "Hybrid_HWR"), [1]!readmissions[Score]), "No Match")</f>
        <v>No Match</v>
      </c>
    </row>
    <row r="325" spans="1:6" x14ac:dyDescent="0.2">
      <c r="A325" t="str">
        <f>[1]!hospitalinfo[[#This Row],[Facility ID]]</f>
        <v>034041</v>
      </c>
      <c r="B325" t="str">
        <f>[1]!hospitalinfo[[#This Row],[State]]</f>
        <v>AZ</v>
      </c>
      <c r="C325" t="str">
        <f>[1]!hospitalinfo[[#This Row],[Hospital Type]]</f>
        <v>Psychiatric</v>
      </c>
      <c r="D325" t="str">
        <f>[1]!hospitalinfo[[#This Row],[Hospital Ownership]]</f>
        <v>Proprietary</v>
      </c>
      <c r="E325" t="str" cm="1">
        <f t="array" ref="E325">_xlfn.IFNA(_xlfn.XLOOKUP(1,([1]!hcahps[Facility ID] = clean[[#This Row],[Facility ID]]) * ([1]!hcahps[HCAHPS Measure ID] = "H_HSP_RATING_LINEAR_SCORE"), [1]!hcahps[HCAHPS Linear Mean Value]), "No Match")</f>
        <v>No Match</v>
      </c>
      <c r="F325" t="str" cm="1">
        <f t="array" ref="F325">_xlfn.IFNA(_xlfn.XLOOKUP(1,([1]!readmissions[Facility ID] = clean[[#This Row],[Facility ID]]) * ([1]!readmissions[Measure ID] = "Hybrid_HWR"), [1]!readmissions[Score]), "No Match")</f>
        <v>No Match</v>
      </c>
    </row>
    <row r="326" spans="1:6" x14ac:dyDescent="0.2">
      <c r="A326" t="str">
        <f>[1]!hospitalinfo[[#This Row],[Facility ID]]</f>
        <v>050002</v>
      </c>
      <c r="B326" t="str">
        <f>[1]!hospitalinfo[[#This Row],[State]]</f>
        <v>CA</v>
      </c>
      <c r="C326" t="str">
        <f>[1]!hospitalinfo[[#This Row],[Hospital Type]]</f>
        <v>Acute Care Hospitals</v>
      </c>
      <c r="D326" t="str">
        <f>[1]!hospitalinfo[[#This Row],[Hospital Ownership]]</f>
        <v>Voluntary non-profit - Church</v>
      </c>
      <c r="E326" cm="1">
        <f t="array" ref="E326">_xlfn.IFNA(_xlfn.XLOOKUP(1,([1]!hcahps[Facility ID] = clean[[#This Row],[Facility ID]]) * ([1]!hcahps[HCAHPS Measure ID] = "H_HSP_RATING_LINEAR_SCORE"), [1]!hcahps[HCAHPS Linear Mean Value]), "No Match")</f>
        <v>86</v>
      </c>
      <c r="F326" cm="1">
        <f t="array" ref="F326">_xlfn.IFNA(_xlfn.XLOOKUP(1,([1]!readmissions[Facility ID] = clean[[#This Row],[Facility ID]]) * ([1]!readmissions[Measure ID] = "Hybrid_HWR"), [1]!readmissions[Score]), "No Match")</f>
        <v>16.5</v>
      </c>
    </row>
    <row r="327" spans="1:6" x14ac:dyDescent="0.2">
      <c r="A327" t="str">
        <f>[1]!hospitalinfo[[#This Row],[Facility ID]]</f>
        <v>050006</v>
      </c>
      <c r="B327" t="str">
        <f>[1]!hospitalinfo[[#This Row],[State]]</f>
        <v>CA</v>
      </c>
      <c r="C327" t="str">
        <f>[1]!hospitalinfo[[#This Row],[Hospital Type]]</f>
        <v>Acute Care Hospitals</v>
      </c>
      <c r="D327" t="str">
        <f>[1]!hospitalinfo[[#This Row],[Hospital Ownership]]</f>
        <v>Voluntary non-profit - Private</v>
      </c>
      <c r="E327" cm="1">
        <f t="array" ref="E327">_xlfn.IFNA(_xlfn.XLOOKUP(1,([1]!hcahps[Facility ID] = clean[[#This Row],[Facility ID]]) * ([1]!hcahps[HCAHPS Measure ID] = "H_HSP_RATING_LINEAR_SCORE"), [1]!hcahps[HCAHPS Linear Mean Value]), "No Match")</f>
        <v>85</v>
      </c>
      <c r="F327" cm="1">
        <f t="array" ref="F327">_xlfn.IFNA(_xlfn.XLOOKUP(1,([1]!readmissions[Facility ID] = clean[[#This Row],[Facility ID]]) * ([1]!readmissions[Measure ID] = "Hybrid_HWR"), [1]!readmissions[Score]), "No Match")</f>
        <v>12.5</v>
      </c>
    </row>
    <row r="328" spans="1:6" x14ac:dyDescent="0.2">
      <c r="A328" t="str">
        <f>[1]!hospitalinfo[[#This Row],[Facility ID]]</f>
        <v>050007</v>
      </c>
      <c r="B328" t="str">
        <f>[1]!hospitalinfo[[#This Row],[State]]</f>
        <v>CA</v>
      </c>
      <c r="C328" t="str">
        <f>[1]!hospitalinfo[[#This Row],[Hospital Type]]</f>
        <v>Acute Care Hospitals</v>
      </c>
      <c r="D328" t="str">
        <f>[1]!hospitalinfo[[#This Row],[Hospital Ownership]]</f>
        <v>Voluntary non-profit - Private</v>
      </c>
      <c r="E328" cm="1">
        <f t="array" ref="E328">_xlfn.IFNA(_xlfn.XLOOKUP(1,([1]!hcahps[Facility ID] = clean[[#This Row],[Facility ID]]) * ([1]!hcahps[HCAHPS Measure ID] = "H_HSP_RATING_LINEAR_SCORE"), [1]!hcahps[HCAHPS Linear Mean Value]), "No Match")</f>
        <v>91</v>
      </c>
      <c r="F328" cm="1">
        <f t="array" ref="F328">_xlfn.IFNA(_xlfn.XLOOKUP(1,([1]!readmissions[Facility ID] = clean[[#This Row],[Facility ID]]) * ([1]!readmissions[Measure ID] = "Hybrid_HWR"), [1]!readmissions[Score]), "No Match")</f>
        <v>14.1</v>
      </c>
    </row>
    <row r="329" spans="1:6" x14ac:dyDescent="0.2">
      <c r="A329" t="str">
        <f>[1]!hospitalinfo[[#This Row],[Facility ID]]</f>
        <v>050008</v>
      </c>
      <c r="B329" t="str">
        <f>[1]!hospitalinfo[[#This Row],[State]]</f>
        <v>CA</v>
      </c>
      <c r="C329" t="str">
        <f>[1]!hospitalinfo[[#This Row],[Hospital Type]]</f>
        <v>Acute Care Hospitals</v>
      </c>
      <c r="D329" t="str">
        <f>[1]!hospitalinfo[[#This Row],[Hospital Ownership]]</f>
        <v>Voluntary non-profit - Other</v>
      </c>
      <c r="E329" cm="1">
        <f t="array" ref="E329">_xlfn.IFNA(_xlfn.XLOOKUP(1,([1]!hcahps[Facility ID] = clean[[#This Row],[Facility ID]]) * ([1]!hcahps[HCAHPS Measure ID] = "H_HSP_RATING_LINEAR_SCORE"), [1]!hcahps[HCAHPS Linear Mean Value]), "No Match")</f>
        <v>88</v>
      </c>
      <c r="F329" cm="1">
        <f t="array" ref="F329">_xlfn.IFNA(_xlfn.XLOOKUP(1,([1]!readmissions[Facility ID] = clean[[#This Row],[Facility ID]]) * ([1]!readmissions[Measure ID] = "Hybrid_HWR"), [1]!readmissions[Score]), "No Match")</f>
        <v>15.2</v>
      </c>
    </row>
    <row r="330" spans="1:6" x14ac:dyDescent="0.2">
      <c r="A330" t="str">
        <f>[1]!hospitalinfo[[#This Row],[Facility ID]]</f>
        <v>050009</v>
      </c>
      <c r="B330" t="str">
        <f>[1]!hospitalinfo[[#This Row],[State]]</f>
        <v>CA</v>
      </c>
      <c r="C330" t="str">
        <f>[1]!hospitalinfo[[#This Row],[Hospital Type]]</f>
        <v>Acute Care Hospitals</v>
      </c>
      <c r="D330" t="str">
        <f>[1]!hospitalinfo[[#This Row],[Hospital Ownership]]</f>
        <v>Voluntary non-profit - Private</v>
      </c>
      <c r="E330" cm="1">
        <f t="array" ref="E330">_xlfn.IFNA(_xlfn.XLOOKUP(1,([1]!hcahps[Facility ID] = clean[[#This Row],[Facility ID]]) * ([1]!hcahps[HCAHPS Measure ID] = "H_HSP_RATING_LINEAR_SCORE"), [1]!hcahps[HCAHPS Linear Mean Value]), "No Match")</f>
        <v>87</v>
      </c>
      <c r="F330" cm="1">
        <f t="array" ref="F330">_xlfn.IFNA(_xlfn.XLOOKUP(1,([1]!readmissions[Facility ID] = clean[[#This Row],[Facility ID]]) * ([1]!readmissions[Measure ID] = "Hybrid_HWR"), [1]!readmissions[Score]), "No Match")</f>
        <v>14.5</v>
      </c>
    </row>
    <row r="331" spans="1:6" x14ac:dyDescent="0.2">
      <c r="A331" t="str">
        <f>[1]!hospitalinfo[[#This Row],[Facility ID]]</f>
        <v>050013</v>
      </c>
      <c r="B331" t="str">
        <f>[1]!hospitalinfo[[#This Row],[State]]</f>
        <v>CA</v>
      </c>
      <c r="C331" t="str">
        <f>[1]!hospitalinfo[[#This Row],[Hospital Type]]</f>
        <v>Acute Care Hospitals</v>
      </c>
      <c r="D331" t="str">
        <f>[1]!hospitalinfo[[#This Row],[Hospital Ownership]]</f>
        <v>Voluntary non-profit - Private</v>
      </c>
      <c r="E331" cm="1">
        <f t="array" ref="E331">_xlfn.IFNA(_xlfn.XLOOKUP(1,([1]!hcahps[Facility ID] = clean[[#This Row],[Facility ID]]) * ([1]!hcahps[HCAHPS Measure ID] = "H_HSP_RATING_LINEAR_SCORE"), [1]!hcahps[HCAHPS Linear Mean Value]), "No Match")</f>
        <v>88</v>
      </c>
      <c r="F331" cm="1">
        <f t="array" ref="F331">_xlfn.IFNA(_xlfn.XLOOKUP(1,([1]!readmissions[Facility ID] = clean[[#This Row],[Facility ID]]) * ([1]!readmissions[Measure ID] = "Hybrid_HWR"), [1]!readmissions[Score]), "No Match")</f>
        <v>15.1</v>
      </c>
    </row>
    <row r="332" spans="1:6" x14ac:dyDescent="0.2">
      <c r="A332" t="str">
        <f>[1]!hospitalinfo[[#This Row],[Facility ID]]</f>
        <v>050014</v>
      </c>
      <c r="B332" t="str">
        <f>[1]!hospitalinfo[[#This Row],[State]]</f>
        <v>CA</v>
      </c>
      <c r="C332" t="str">
        <f>[1]!hospitalinfo[[#This Row],[Hospital Type]]</f>
        <v>Acute Care Hospitals</v>
      </c>
      <c r="D332" t="str">
        <f>[1]!hospitalinfo[[#This Row],[Hospital Ownership]]</f>
        <v>Voluntary non-profit - Private</v>
      </c>
      <c r="E332" cm="1">
        <f t="array" ref="E332">_xlfn.IFNA(_xlfn.XLOOKUP(1,([1]!hcahps[Facility ID] = clean[[#This Row],[Facility ID]]) * ([1]!hcahps[HCAHPS Measure ID] = "H_HSP_RATING_LINEAR_SCORE"), [1]!hcahps[HCAHPS Linear Mean Value]), "No Match")</f>
        <v>92</v>
      </c>
      <c r="F332" cm="1">
        <f t="array" ref="F332">_xlfn.IFNA(_xlfn.XLOOKUP(1,([1]!readmissions[Facility ID] = clean[[#This Row],[Facility ID]]) * ([1]!readmissions[Measure ID] = "Hybrid_HWR"), [1]!readmissions[Score]), "No Match")</f>
        <v>14</v>
      </c>
    </row>
    <row r="333" spans="1:6" x14ac:dyDescent="0.2">
      <c r="A333" t="str">
        <f>[1]!hospitalinfo[[#This Row],[Facility ID]]</f>
        <v>050017</v>
      </c>
      <c r="B333" t="str">
        <f>[1]!hospitalinfo[[#This Row],[State]]</f>
        <v>CA</v>
      </c>
      <c r="C333" t="str">
        <f>[1]!hospitalinfo[[#This Row],[Hospital Type]]</f>
        <v>Acute Care Hospitals</v>
      </c>
      <c r="D333" t="str">
        <f>[1]!hospitalinfo[[#This Row],[Hospital Ownership]]</f>
        <v>Voluntary non-profit - Private</v>
      </c>
      <c r="E333" cm="1">
        <f t="array" ref="E333">_xlfn.IFNA(_xlfn.XLOOKUP(1,([1]!hcahps[Facility ID] = clean[[#This Row],[Facility ID]]) * ([1]!hcahps[HCAHPS Measure ID] = "H_HSP_RATING_LINEAR_SCORE"), [1]!hcahps[HCAHPS Linear Mean Value]), "No Match")</f>
        <v>92</v>
      </c>
      <c r="F333" cm="1">
        <f t="array" ref="F333">_xlfn.IFNA(_xlfn.XLOOKUP(1,([1]!readmissions[Facility ID] = clean[[#This Row],[Facility ID]]) * ([1]!readmissions[Measure ID] = "Hybrid_HWR"), [1]!readmissions[Score]), "No Match")</f>
        <v>14.7</v>
      </c>
    </row>
    <row r="334" spans="1:6" x14ac:dyDescent="0.2">
      <c r="A334" t="str">
        <f>[1]!hospitalinfo[[#This Row],[Facility ID]]</f>
        <v>050022</v>
      </c>
      <c r="B334" t="str">
        <f>[1]!hospitalinfo[[#This Row],[State]]</f>
        <v>CA</v>
      </c>
      <c r="C334" t="str">
        <f>[1]!hospitalinfo[[#This Row],[Hospital Type]]</f>
        <v>Acute Care Hospitals</v>
      </c>
      <c r="D334" t="str">
        <f>[1]!hospitalinfo[[#This Row],[Hospital Ownership]]</f>
        <v>Proprietary</v>
      </c>
      <c r="E334" cm="1">
        <f t="array" ref="E334">_xlfn.IFNA(_xlfn.XLOOKUP(1,([1]!hcahps[Facility ID] = clean[[#This Row],[Facility ID]]) * ([1]!hcahps[HCAHPS Measure ID] = "H_HSP_RATING_LINEAR_SCORE"), [1]!hcahps[HCAHPS Linear Mean Value]), "No Match")</f>
        <v>84</v>
      </c>
      <c r="F334" cm="1">
        <f t="array" ref="F334">_xlfn.IFNA(_xlfn.XLOOKUP(1,([1]!readmissions[Facility ID] = clean[[#This Row],[Facility ID]]) * ([1]!readmissions[Measure ID] = "Hybrid_HWR"), [1]!readmissions[Score]), "No Match")</f>
        <v>16.7</v>
      </c>
    </row>
    <row r="335" spans="1:6" x14ac:dyDescent="0.2">
      <c r="A335" t="str">
        <f>[1]!hospitalinfo[[#This Row],[Facility ID]]</f>
        <v>050024</v>
      </c>
      <c r="B335" t="str">
        <f>[1]!hospitalinfo[[#This Row],[State]]</f>
        <v>CA</v>
      </c>
      <c r="C335" t="str">
        <f>[1]!hospitalinfo[[#This Row],[Hospital Type]]</f>
        <v>Acute Care Hospitals</v>
      </c>
      <c r="D335" t="str">
        <f>[1]!hospitalinfo[[#This Row],[Hospital Ownership]]</f>
        <v>Proprietary</v>
      </c>
      <c r="E335" cm="1">
        <f t="array" ref="E335">_xlfn.IFNA(_xlfn.XLOOKUP(1,([1]!hcahps[Facility ID] = clean[[#This Row],[Facility ID]]) * ([1]!hcahps[HCAHPS Measure ID] = "H_HSP_RATING_LINEAR_SCORE"), [1]!hcahps[HCAHPS Linear Mean Value]), "No Match")</f>
        <v>85</v>
      </c>
      <c r="F335" cm="1">
        <f t="array" ref="F335">_xlfn.IFNA(_xlfn.XLOOKUP(1,([1]!readmissions[Facility ID] = clean[[#This Row],[Facility ID]]) * ([1]!readmissions[Measure ID] = "Hybrid_HWR"), [1]!readmissions[Score]), "No Match")</f>
        <v>16</v>
      </c>
    </row>
    <row r="336" spans="1:6" x14ac:dyDescent="0.2">
      <c r="A336" t="str">
        <f>[1]!hospitalinfo[[#This Row],[Facility ID]]</f>
        <v>050025</v>
      </c>
      <c r="B336" t="str">
        <f>[1]!hospitalinfo[[#This Row],[State]]</f>
        <v>CA</v>
      </c>
      <c r="C336" t="str">
        <f>[1]!hospitalinfo[[#This Row],[Hospital Type]]</f>
        <v>Acute Care Hospitals</v>
      </c>
      <c r="D336" t="str">
        <f>[1]!hospitalinfo[[#This Row],[Hospital Ownership]]</f>
        <v>Voluntary non-profit - Other</v>
      </c>
      <c r="E336" cm="1">
        <f t="array" ref="E336">_xlfn.IFNA(_xlfn.XLOOKUP(1,([1]!hcahps[Facility ID] = clean[[#This Row],[Facility ID]]) * ([1]!hcahps[HCAHPS Measure ID] = "H_HSP_RATING_LINEAR_SCORE"), [1]!hcahps[HCAHPS Linear Mean Value]), "No Match")</f>
        <v>88</v>
      </c>
      <c r="F336" cm="1">
        <f t="array" ref="F336">_xlfn.IFNA(_xlfn.XLOOKUP(1,([1]!readmissions[Facility ID] = clean[[#This Row],[Facility ID]]) * ([1]!readmissions[Measure ID] = "Hybrid_HWR"), [1]!readmissions[Score]), "No Match")</f>
        <v>14.3</v>
      </c>
    </row>
    <row r="337" spans="1:6" x14ac:dyDescent="0.2">
      <c r="A337" t="str">
        <f>[1]!hospitalinfo[[#This Row],[Facility ID]]</f>
        <v>050026</v>
      </c>
      <c r="B337" t="str">
        <f>[1]!hospitalinfo[[#This Row],[State]]</f>
        <v>CA</v>
      </c>
      <c r="C337" t="str">
        <f>[1]!hospitalinfo[[#This Row],[Hospital Type]]</f>
        <v>Acute Care Hospitals</v>
      </c>
      <c r="D337" t="str">
        <f>[1]!hospitalinfo[[#This Row],[Hospital Ownership]]</f>
        <v>Government - Hospital District or Authority</v>
      </c>
      <c r="E337" cm="1">
        <f t="array" ref="E337">_xlfn.IFNA(_xlfn.XLOOKUP(1,([1]!hcahps[Facility ID] = clean[[#This Row],[Facility ID]]) * ([1]!hcahps[HCAHPS Measure ID] = "H_HSP_RATING_LINEAR_SCORE"), [1]!hcahps[HCAHPS Linear Mean Value]), "No Match")</f>
        <v>88</v>
      </c>
      <c r="F337" cm="1">
        <f t="array" ref="F337">_xlfn.IFNA(_xlfn.XLOOKUP(1,([1]!readmissions[Facility ID] = clean[[#This Row],[Facility ID]]) * ([1]!readmissions[Measure ID] = "Hybrid_HWR"), [1]!readmissions[Score]), "No Match")</f>
        <v>14.6</v>
      </c>
    </row>
    <row r="338" spans="1:6" x14ac:dyDescent="0.2">
      <c r="A338" t="str">
        <f>[1]!hospitalinfo[[#This Row],[Facility ID]]</f>
        <v>050028</v>
      </c>
      <c r="B338" t="str">
        <f>[1]!hospitalinfo[[#This Row],[State]]</f>
        <v>CA</v>
      </c>
      <c r="C338" t="str">
        <f>[1]!hospitalinfo[[#This Row],[Hospital Type]]</f>
        <v>Acute Care Hospitals</v>
      </c>
      <c r="D338" t="str">
        <f>[1]!hospitalinfo[[#This Row],[Hospital Ownership]]</f>
        <v>Proprietary</v>
      </c>
      <c r="E338" cm="1">
        <f t="array" ref="E338">_xlfn.IFNA(_xlfn.XLOOKUP(1,([1]!hcahps[Facility ID] = clean[[#This Row],[Facility ID]]) * ([1]!hcahps[HCAHPS Measure ID] = "H_HSP_RATING_LINEAR_SCORE"), [1]!hcahps[HCAHPS Linear Mean Value]), "No Match")</f>
        <v>88</v>
      </c>
      <c r="F338" cm="1">
        <f t="array" ref="F338">_xlfn.IFNA(_xlfn.XLOOKUP(1,([1]!readmissions[Facility ID] = clean[[#This Row],[Facility ID]]) * ([1]!readmissions[Measure ID] = "Hybrid_HWR"), [1]!readmissions[Score]), "No Match")</f>
        <v>14.9</v>
      </c>
    </row>
    <row r="339" spans="1:6" x14ac:dyDescent="0.2">
      <c r="A339" t="str">
        <f>[1]!hospitalinfo[[#This Row],[Facility ID]]</f>
        <v>050030</v>
      </c>
      <c r="B339" t="str">
        <f>[1]!hospitalinfo[[#This Row],[State]]</f>
        <v>CA</v>
      </c>
      <c r="C339" t="str">
        <f>[1]!hospitalinfo[[#This Row],[Hospital Type]]</f>
        <v>Acute Care Hospitals</v>
      </c>
      <c r="D339" t="str">
        <f>[1]!hospitalinfo[[#This Row],[Hospital Ownership]]</f>
        <v>Voluntary non-profit - Private</v>
      </c>
      <c r="E339" cm="1">
        <f t="array" ref="E339">_xlfn.IFNA(_xlfn.XLOOKUP(1,([1]!hcahps[Facility ID] = clean[[#This Row],[Facility ID]]) * ([1]!hcahps[HCAHPS Measure ID] = "H_HSP_RATING_LINEAR_SCORE"), [1]!hcahps[HCAHPS Linear Mean Value]), "No Match")</f>
        <v>73</v>
      </c>
      <c r="F339" cm="1">
        <f t="array" ref="F339">_xlfn.IFNA(_xlfn.XLOOKUP(1,([1]!readmissions[Facility ID] = clean[[#This Row],[Facility ID]]) * ([1]!readmissions[Measure ID] = "Hybrid_HWR"), [1]!readmissions[Score]), "No Match")</f>
        <v>19.3</v>
      </c>
    </row>
    <row r="340" spans="1:6" x14ac:dyDescent="0.2">
      <c r="A340" t="str">
        <f>[1]!hospitalinfo[[#This Row],[Facility ID]]</f>
        <v>050036</v>
      </c>
      <c r="B340" t="str">
        <f>[1]!hospitalinfo[[#This Row],[State]]</f>
        <v>CA</v>
      </c>
      <c r="C340" t="str">
        <f>[1]!hospitalinfo[[#This Row],[Hospital Type]]</f>
        <v>Acute Care Hospitals</v>
      </c>
      <c r="D340" t="str">
        <f>[1]!hospitalinfo[[#This Row],[Hospital Ownership]]</f>
        <v>Voluntary non-profit - Private</v>
      </c>
      <c r="E340" cm="1">
        <f t="array" ref="E340">_xlfn.IFNA(_xlfn.XLOOKUP(1,([1]!hcahps[Facility ID] = clean[[#This Row],[Facility ID]]) * ([1]!hcahps[HCAHPS Measure ID] = "H_HSP_RATING_LINEAR_SCORE"), [1]!hcahps[HCAHPS Linear Mean Value]), "No Match")</f>
        <v>89</v>
      </c>
      <c r="F340" cm="1">
        <f t="array" ref="F340">_xlfn.IFNA(_xlfn.XLOOKUP(1,([1]!readmissions[Facility ID] = clean[[#This Row],[Facility ID]]) * ([1]!readmissions[Measure ID] = "Hybrid_HWR"), [1]!readmissions[Score]), "No Match")</f>
        <v>15.2</v>
      </c>
    </row>
    <row r="341" spans="1:6" x14ac:dyDescent="0.2">
      <c r="A341" t="str">
        <f>[1]!hospitalinfo[[#This Row],[Facility ID]]</f>
        <v>050038</v>
      </c>
      <c r="B341" t="str">
        <f>[1]!hospitalinfo[[#This Row],[State]]</f>
        <v>CA</v>
      </c>
      <c r="C341" t="str">
        <f>[1]!hospitalinfo[[#This Row],[Hospital Type]]</f>
        <v>Acute Care Hospitals</v>
      </c>
      <c r="D341" t="str">
        <f>[1]!hospitalinfo[[#This Row],[Hospital Ownership]]</f>
        <v>Government - Local</v>
      </c>
      <c r="E341" cm="1">
        <f t="array" ref="E341">_xlfn.IFNA(_xlfn.XLOOKUP(1,([1]!hcahps[Facility ID] = clean[[#This Row],[Facility ID]]) * ([1]!hcahps[HCAHPS Measure ID] = "H_HSP_RATING_LINEAR_SCORE"), [1]!hcahps[HCAHPS Linear Mean Value]), "No Match")</f>
        <v>88</v>
      </c>
      <c r="F341" cm="1">
        <f t="array" ref="F341">_xlfn.IFNA(_xlfn.XLOOKUP(1,([1]!readmissions[Facility ID] = clean[[#This Row],[Facility ID]]) * ([1]!readmissions[Measure ID] = "Hybrid_HWR"), [1]!readmissions[Score]), "No Match")</f>
        <v>14.9</v>
      </c>
    </row>
    <row r="342" spans="1:6" x14ac:dyDescent="0.2">
      <c r="A342" t="str">
        <f>[1]!hospitalinfo[[#This Row],[Facility ID]]</f>
        <v>050039</v>
      </c>
      <c r="B342" t="str">
        <f>[1]!hospitalinfo[[#This Row],[State]]</f>
        <v>CA</v>
      </c>
      <c r="C342" t="str">
        <f>[1]!hospitalinfo[[#This Row],[Hospital Type]]</f>
        <v>Acute Care Hospitals</v>
      </c>
      <c r="D342" t="str">
        <f>[1]!hospitalinfo[[#This Row],[Hospital Ownership]]</f>
        <v>Voluntary non-profit - Private</v>
      </c>
      <c r="E342" cm="1">
        <f t="array" ref="E342">_xlfn.IFNA(_xlfn.XLOOKUP(1,([1]!hcahps[Facility ID] = clean[[#This Row],[Facility ID]]) * ([1]!hcahps[HCAHPS Measure ID] = "H_HSP_RATING_LINEAR_SCORE"), [1]!hcahps[HCAHPS Linear Mean Value]), "No Match")</f>
        <v>89</v>
      </c>
      <c r="F342" cm="1">
        <f t="array" ref="F342">_xlfn.IFNA(_xlfn.XLOOKUP(1,([1]!readmissions[Facility ID] = clean[[#This Row],[Facility ID]]) * ([1]!readmissions[Measure ID] = "Hybrid_HWR"), [1]!readmissions[Score]), "No Match")</f>
        <v>15.4</v>
      </c>
    </row>
    <row r="343" spans="1:6" x14ac:dyDescent="0.2">
      <c r="A343" t="str">
        <f>[1]!hospitalinfo[[#This Row],[Facility ID]]</f>
        <v>050040</v>
      </c>
      <c r="B343" t="str">
        <f>[1]!hospitalinfo[[#This Row],[State]]</f>
        <v>CA</v>
      </c>
      <c r="C343" t="str">
        <f>[1]!hospitalinfo[[#This Row],[Hospital Type]]</f>
        <v>Acute Care Hospitals</v>
      </c>
      <c r="D343" t="str">
        <f>[1]!hospitalinfo[[#This Row],[Hospital Ownership]]</f>
        <v>Voluntary non-profit - Other</v>
      </c>
      <c r="E343" cm="1">
        <f t="array" ref="E343">_xlfn.IFNA(_xlfn.XLOOKUP(1,([1]!hcahps[Facility ID] = clean[[#This Row],[Facility ID]]) * ([1]!hcahps[HCAHPS Measure ID] = "H_HSP_RATING_LINEAR_SCORE"), [1]!hcahps[HCAHPS Linear Mean Value]), "No Match")</f>
        <v>89</v>
      </c>
      <c r="F343" cm="1">
        <f t="array" ref="F343">_xlfn.IFNA(_xlfn.XLOOKUP(1,([1]!readmissions[Facility ID] = clean[[#This Row],[Facility ID]]) * ([1]!readmissions[Measure ID] = "Hybrid_HWR"), [1]!readmissions[Score]), "No Match")</f>
        <v>15.3</v>
      </c>
    </row>
    <row r="344" spans="1:6" x14ac:dyDescent="0.2">
      <c r="A344" t="str">
        <f>[1]!hospitalinfo[[#This Row],[Facility ID]]</f>
        <v>050042</v>
      </c>
      <c r="B344" t="str">
        <f>[1]!hospitalinfo[[#This Row],[State]]</f>
        <v>CA</v>
      </c>
      <c r="C344" t="str">
        <f>[1]!hospitalinfo[[#This Row],[Hospital Type]]</f>
        <v>Acute Care Hospitals</v>
      </c>
      <c r="D344" t="str">
        <f>[1]!hospitalinfo[[#This Row],[Hospital Ownership]]</f>
        <v>Voluntary non-profit - Church</v>
      </c>
      <c r="E344" cm="1">
        <f t="array" ref="E344">_xlfn.IFNA(_xlfn.XLOOKUP(1,([1]!hcahps[Facility ID] = clean[[#This Row],[Facility ID]]) * ([1]!hcahps[HCAHPS Measure ID] = "H_HSP_RATING_LINEAR_SCORE"), [1]!hcahps[HCAHPS Linear Mean Value]), "No Match")</f>
        <v>89</v>
      </c>
      <c r="F344" cm="1">
        <f t="array" ref="F344">_xlfn.IFNA(_xlfn.XLOOKUP(1,([1]!readmissions[Facility ID] = clean[[#This Row],[Facility ID]]) * ([1]!readmissions[Measure ID] = "Hybrid_HWR"), [1]!readmissions[Score]), "No Match")</f>
        <v>15.1</v>
      </c>
    </row>
    <row r="345" spans="1:6" x14ac:dyDescent="0.2">
      <c r="A345" t="str">
        <f>[1]!hospitalinfo[[#This Row],[Facility ID]]</f>
        <v>050043</v>
      </c>
      <c r="B345" t="str">
        <f>[1]!hospitalinfo[[#This Row],[State]]</f>
        <v>CA</v>
      </c>
      <c r="C345" t="str">
        <f>[1]!hospitalinfo[[#This Row],[Hospital Type]]</f>
        <v>Acute Care Hospitals</v>
      </c>
      <c r="D345" t="str">
        <f>[1]!hospitalinfo[[#This Row],[Hospital Ownership]]</f>
        <v>Voluntary non-profit - Private</v>
      </c>
      <c r="E345" cm="1">
        <f t="array" ref="E345">_xlfn.IFNA(_xlfn.XLOOKUP(1,([1]!hcahps[Facility ID] = clean[[#This Row],[Facility ID]]) * ([1]!hcahps[HCAHPS Measure ID] = "H_HSP_RATING_LINEAR_SCORE"), [1]!hcahps[HCAHPS Linear Mean Value]), "No Match")</f>
        <v>90</v>
      </c>
      <c r="F345" cm="1">
        <f t="array" ref="F345">_xlfn.IFNA(_xlfn.XLOOKUP(1,([1]!readmissions[Facility ID] = clean[[#This Row],[Facility ID]]) * ([1]!readmissions[Measure ID] = "Hybrid_HWR"), [1]!readmissions[Score]), "No Match")</f>
        <v>13.4</v>
      </c>
    </row>
    <row r="346" spans="1:6" x14ac:dyDescent="0.2">
      <c r="A346" t="str">
        <f>[1]!hospitalinfo[[#This Row],[Facility ID]]</f>
        <v>050045</v>
      </c>
      <c r="B346" t="str">
        <f>[1]!hospitalinfo[[#This Row],[State]]</f>
        <v>CA</v>
      </c>
      <c r="C346" t="str">
        <f>[1]!hospitalinfo[[#This Row],[Hospital Type]]</f>
        <v>Acute Care Hospitals</v>
      </c>
      <c r="D346" t="str">
        <f>[1]!hospitalinfo[[#This Row],[Hospital Ownership]]</f>
        <v>Government - Local</v>
      </c>
      <c r="E346" cm="1">
        <f t="array" ref="E346">_xlfn.IFNA(_xlfn.XLOOKUP(1,([1]!hcahps[Facility ID] = clean[[#This Row],[Facility ID]]) * ([1]!hcahps[HCAHPS Measure ID] = "H_HSP_RATING_LINEAR_SCORE"), [1]!hcahps[HCAHPS Linear Mean Value]), "No Match")</f>
        <v>80</v>
      </c>
      <c r="F346" cm="1">
        <f t="array" ref="F346">_xlfn.IFNA(_xlfn.XLOOKUP(1,([1]!readmissions[Facility ID] = clean[[#This Row],[Facility ID]]) * ([1]!readmissions[Measure ID] = "Hybrid_HWR"), [1]!readmissions[Score]), "No Match")</f>
        <v>15.3</v>
      </c>
    </row>
    <row r="347" spans="1:6" x14ac:dyDescent="0.2">
      <c r="A347" t="str">
        <f>[1]!hospitalinfo[[#This Row],[Facility ID]]</f>
        <v>050047</v>
      </c>
      <c r="B347" t="str">
        <f>[1]!hospitalinfo[[#This Row],[State]]</f>
        <v>CA</v>
      </c>
      <c r="C347" t="str">
        <f>[1]!hospitalinfo[[#This Row],[Hospital Type]]</f>
        <v>Acute Care Hospitals</v>
      </c>
      <c r="D347" t="str">
        <f>[1]!hospitalinfo[[#This Row],[Hospital Ownership]]</f>
        <v>Voluntary non-profit - Private</v>
      </c>
      <c r="E347" cm="1">
        <f t="array" ref="E347">_xlfn.IFNA(_xlfn.XLOOKUP(1,([1]!hcahps[Facility ID] = clean[[#This Row],[Facility ID]]) * ([1]!hcahps[HCAHPS Measure ID] = "H_HSP_RATING_LINEAR_SCORE"), [1]!hcahps[HCAHPS Linear Mean Value]), "No Match")</f>
        <v>90</v>
      </c>
      <c r="F347" cm="1">
        <f t="array" ref="F347">_xlfn.IFNA(_xlfn.XLOOKUP(1,([1]!readmissions[Facility ID] = clean[[#This Row],[Facility ID]]) * ([1]!readmissions[Measure ID] = "Hybrid_HWR"), [1]!readmissions[Score]), "No Match")</f>
        <v>15</v>
      </c>
    </row>
    <row r="348" spans="1:6" x14ac:dyDescent="0.2">
      <c r="A348" t="str">
        <f>[1]!hospitalinfo[[#This Row],[Facility ID]]</f>
        <v>050054</v>
      </c>
      <c r="B348" t="str">
        <f>[1]!hospitalinfo[[#This Row],[State]]</f>
        <v>CA</v>
      </c>
      <c r="C348" t="str">
        <f>[1]!hospitalinfo[[#This Row],[Hospital Type]]</f>
        <v>Acute Care Hospitals</v>
      </c>
      <c r="D348" t="str">
        <f>[1]!hospitalinfo[[#This Row],[Hospital Ownership]]</f>
        <v>Government - Hospital District or Authority</v>
      </c>
      <c r="E348" cm="1">
        <f t="array" ref="E348">_xlfn.IFNA(_xlfn.XLOOKUP(1,([1]!hcahps[Facility ID] = clean[[#This Row],[Facility ID]]) * ([1]!hcahps[HCAHPS Measure ID] = "H_HSP_RATING_LINEAR_SCORE"), [1]!hcahps[HCAHPS Linear Mean Value]), "No Match")</f>
        <v>86</v>
      </c>
      <c r="F348" cm="1">
        <f t="array" ref="F348">_xlfn.IFNA(_xlfn.XLOOKUP(1,([1]!readmissions[Facility ID] = clean[[#This Row],[Facility ID]]) * ([1]!readmissions[Measure ID] = "Hybrid_HWR"), [1]!readmissions[Score]), "No Match")</f>
        <v>14.6</v>
      </c>
    </row>
    <row r="349" spans="1:6" x14ac:dyDescent="0.2">
      <c r="A349" t="str">
        <f>[1]!hospitalinfo[[#This Row],[Facility ID]]</f>
        <v>050055</v>
      </c>
      <c r="B349" t="str">
        <f>[1]!hospitalinfo[[#This Row],[State]]</f>
        <v>CA</v>
      </c>
      <c r="C349" t="str">
        <f>[1]!hospitalinfo[[#This Row],[Hospital Type]]</f>
        <v>Acute Care Hospitals</v>
      </c>
      <c r="D349" t="str">
        <f>[1]!hospitalinfo[[#This Row],[Hospital Ownership]]</f>
        <v>Voluntary non-profit - Church</v>
      </c>
      <c r="E349" cm="1">
        <f t="array" ref="E349">_xlfn.IFNA(_xlfn.XLOOKUP(1,([1]!hcahps[Facility ID] = clean[[#This Row],[Facility ID]]) * ([1]!hcahps[HCAHPS Measure ID] = "H_HSP_RATING_LINEAR_SCORE"), [1]!hcahps[HCAHPS Linear Mean Value]), "No Match")</f>
        <v>90</v>
      </c>
      <c r="F349" cm="1">
        <f t="array" ref="F349">_xlfn.IFNA(_xlfn.XLOOKUP(1,([1]!readmissions[Facility ID] = clean[[#This Row],[Facility ID]]) * ([1]!readmissions[Measure ID] = "Hybrid_HWR"), [1]!readmissions[Score]), "No Match")</f>
        <v>15.7</v>
      </c>
    </row>
    <row r="350" spans="1:6" x14ac:dyDescent="0.2">
      <c r="A350" t="str">
        <f>[1]!hospitalinfo[[#This Row],[Facility ID]]</f>
        <v>050056</v>
      </c>
      <c r="B350" t="str">
        <f>[1]!hospitalinfo[[#This Row],[State]]</f>
        <v>CA</v>
      </c>
      <c r="C350" t="str">
        <f>[1]!hospitalinfo[[#This Row],[Hospital Type]]</f>
        <v>Acute Care Hospitals</v>
      </c>
      <c r="D350" t="str">
        <f>[1]!hospitalinfo[[#This Row],[Hospital Ownership]]</f>
        <v>Government - Hospital District or Authority</v>
      </c>
      <c r="E350" cm="1">
        <f t="array" ref="E350">_xlfn.IFNA(_xlfn.XLOOKUP(1,([1]!hcahps[Facility ID] = clean[[#This Row],[Facility ID]]) * ([1]!hcahps[HCAHPS Measure ID] = "H_HSP_RATING_LINEAR_SCORE"), [1]!hcahps[HCAHPS Linear Mean Value]), "No Match")</f>
        <v>80</v>
      </c>
      <c r="F350" cm="1">
        <f t="array" ref="F350">_xlfn.IFNA(_xlfn.XLOOKUP(1,([1]!readmissions[Facility ID] = clean[[#This Row],[Facility ID]]) * ([1]!readmissions[Measure ID] = "Hybrid_HWR"), [1]!readmissions[Score]), "No Match")</f>
        <v>15.4</v>
      </c>
    </row>
    <row r="351" spans="1:6" x14ac:dyDescent="0.2">
      <c r="A351" t="str">
        <f>[1]!hospitalinfo[[#This Row],[Facility ID]]</f>
        <v>050057</v>
      </c>
      <c r="B351" t="str">
        <f>[1]!hospitalinfo[[#This Row],[State]]</f>
        <v>CA</v>
      </c>
      <c r="C351" t="str">
        <f>[1]!hospitalinfo[[#This Row],[Hospital Type]]</f>
        <v>Acute Care Hospitals</v>
      </c>
      <c r="D351" t="str">
        <f>[1]!hospitalinfo[[#This Row],[Hospital Ownership]]</f>
        <v>Government - Hospital District or Authority</v>
      </c>
      <c r="E351" cm="1">
        <f t="array" ref="E351">_xlfn.IFNA(_xlfn.XLOOKUP(1,([1]!hcahps[Facility ID] = clean[[#This Row],[Facility ID]]) * ([1]!hcahps[HCAHPS Measure ID] = "H_HSP_RATING_LINEAR_SCORE"), [1]!hcahps[HCAHPS Linear Mean Value]), "No Match")</f>
        <v>88</v>
      </c>
      <c r="F351" cm="1">
        <f t="array" ref="F351">_xlfn.IFNA(_xlfn.XLOOKUP(1,([1]!readmissions[Facility ID] = clean[[#This Row],[Facility ID]]) * ([1]!readmissions[Measure ID] = "Hybrid_HWR"), [1]!readmissions[Score]), "No Match")</f>
        <v>14.4</v>
      </c>
    </row>
    <row r="352" spans="1:6" x14ac:dyDescent="0.2">
      <c r="A352" t="str">
        <f>[1]!hospitalinfo[[#This Row],[Facility ID]]</f>
        <v>050058</v>
      </c>
      <c r="B352" t="str">
        <f>[1]!hospitalinfo[[#This Row],[State]]</f>
        <v>CA</v>
      </c>
      <c r="C352" t="str">
        <f>[1]!hospitalinfo[[#This Row],[Hospital Type]]</f>
        <v>Acute Care Hospitals</v>
      </c>
      <c r="D352" t="str">
        <f>[1]!hospitalinfo[[#This Row],[Hospital Ownership]]</f>
        <v>Voluntary non-profit - Private</v>
      </c>
      <c r="E352" cm="1">
        <f t="array" ref="E352">_xlfn.IFNA(_xlfn.XLOOKUP(1,([1]!hcahps[Facility ID] = clean[[#This Row],[Facility ID]]) * ([1]!hcahps[HCAHPS Measure ID] = "H_HSP_RATING_LINEAR_SCORE"), [1]!hcahps[HCAHPS Linear Mean Value]), "No Match")</f>
        <v>86</v>
      </c>
      <c r="F352" cm="1">
        <f t="array" ref="F352">_xlfn.IFNA(_xlfn.XLOOKUP(1,([1]!readmissions[Facility ID] = clean[[#This Row],[Facility ID]]) * ([1]!readmissions[Measure ID] = "Hybrid_HWR"), [1]!readmissions[Score]), "No Match")</f>
        <v>16</v>
      </c>
    </row>
    <row r="353" spans="1:6" x14ac:dyDescent="0.2">
      <c r="A353" t="str">
        <f>[1]!hospitalinfo[[#This Row],[Facility ID]]</f>
        <v>050060</v>
      </c>
      <c r="B353" t="str">
        <f>[1]!hospitalinfo[[#This Row],[State]]</f>
        <v>CA</v>
      </c>
      <c r="C353" t="str">
        <f>[1]!hospitalinfo[[#This Row],[Hospital Type]]</f>
        <v>Acute Care Hospitals</v>
      </c>
      <c r="D353" t="str">
        <f>[1]!hospitalinfo[[#This Row],[Hospital Ownership]]</f>
        <v>Voluntary non-profit - Private</v>
      </c>
      <c r="E353" cm="1">
        <f t="array" ref="E353">_xlfn.IFNA(_xlfn.XLOOKUP(1,([1]!hcahps[Facility ID] = clean[[#This Row],[Facility ID]]) * ([1]!hcahps[HCAHPS Measure ID] = "H_HSP_RATING_LINEAR_SCORE"), [1]!hcahps[HCAHPS Linear Mean Value]), "No Match")</f>
        <v>87</v>
      </c>
      <c r="F353" cm="1">
        <f t="array" ref="F353">_xlfn.IFNA(_xlfn.XLOOKUP(1,([1]!readmissions[Facility ID] = clean[[#This Row],[Facility ID]]) * ([1]!readmissions[Measure ID] = "Hybrid_HWR"), [1]!readmissions[Score]), "No Match")</f>
        <v>15.9</v>
      </c>
    </row>
    <row r="354" spans="1:6" x14ac:dyDescent="0.2">
      <c r="A354" t="str">
        <f>[1]!hospitalinfo[[#This Row],[Facility ID]]</f>
        <v>050063</v>
      </c>
      <c r="B354" t="str">
        <f>[1]!hospitalinfo[[#This Row],[State]]</f>
        <v>CA</v>
      </c>
      <c r="C354" t="str">
        <f>[1]!hospitalinfo[[#This Row],[Hospital Type]]</f>
        <v>Acute Care Hospitals</v>
      </c>
      <c r="D354" t="str">
        <f>[1]!hospitalinfo[[#This Row],[Hospital Ownership]]</f>
        <v>Proprietary</v>
      </c>
      <c r="E354" cm="1">
        <f t="array" ref="E354">_xlfn.IFNA(_xlfn.XLOOKUP(1,([1]!hcahps[Facility ID] = clean[[#This Row],[Facility ID]]) * ([1]!hcahps[HCAHPS Measure ID] = "H_HSP_RATING_LINEAR_SCORE"), [1]!hcahps[HCAHPS Linear Mean Value]), "No Match")</f>
        <v>84</v>
      </c>
      <c r="F354" cm="1">
        <f t="array" ref="F354">_xlfn.IFNA(_xlfn.XLOOKUP(1,([1]!readmissions[Facility ID] = clean[[#This Row],[Facility ID]]) * ([1]!readmissions[Measure ID] = "Hybrid_HWR"), [1]!readmissions[Score]), "No Match")</f>
        <v>16.100000000000001</v>
      </c>
    </row>
    <row r="355" spans="1:6" x14ac:dyDescent="0.2">
      <c r="A355" t="str">
        <f>[1]!hospitalinfo[[#This Row],[Facility ID]]</f>
        <v>050067</v>
      </c>
      <c r="B355" t="str">
        <f>[1]!hospitalinfo[[#This Row],[State]]</f>
        <v>CA</v>
      </c>
      <c r="C355" t="str">
        <f>[1]!hospitalinfo[[#This Row],[Hospital Type]]</f>
        <v>Acute Care Hospitals</v>
      </c>
      <c r="D355" t="str">
        <f>[1]!hospitalinfo[[#This Row],[Hospital Ownership]]</f>
        <v>Government - Hospital District or Authority</v>
      </c>
      <c r="E355" t="str" cm="1">
        <f t="array" ref="E355">_xlfn.IFNA(_xlfn.XLOOKUP(1,([1]!hcahps[Facility ID] = clean[[#This Row],[Facility ID]]) * ([1]!hcahps[HCAHPS Measure ID] = "H_HSP_RATING_LINEAR_SCORE"), [1]!hcahps[HCAHPS Linear Mean Value]), "No Match")</f>
        <v>Not Available</v>
      </c>
      <c r="F355" cm="1">
        <f t="array" ref="F355">_xlfn.IFNA(_xlfn.XLOOKUP(1,([1]!readmissions[Facility ID] = clean[[#This Row],[Facility ID]]) * ([1]!readmissions[Measure ID] = "Hybrid_HWR"), [1]!readmissions[Score]), "No Match")</f>
        <v>15.9</v>
      </c>
    </row>
    <row r="356" spans="1:6" x14ac:dyDescent="0.2">
      <c r="A356" t="str">
        <f>[1]!hospitalinfo[[#This Row],[Facility ID]]</f>
        <v>050069</v>
      </c>
      <c r="B356" t="str">
        <f>[1]!hospitalinfo[[#This Row],[State]]</f>
        <v>CA</v>
      </c>
      <c r="C356" t="str">
        <f>[1]!hospitalinfo[[#This Row],[Hospital Type]]</f>
        <v>Acute Care Hospitals</v>
      </c>
      <c r="D356" t="str">
        <f>[1]!hospitalinfo[[#This Row],[Hospital Ownership]]</f>
        <v>Voluntary non-profit - Church</v>
      </c>
      <c r="E356" cm="1">
        <f t="array" ref="E356">_xlfn.IFNA(_xlfn.XLOOKUP(1,([1]!hcahps[Facility ID] = clean[[#This Row],[Facility ID]]) * ([1]!hcahps[HCAHPS Measure ID] = "H_HSP_RATING_LINEAR_SCORE"), [1]!hcahps[HCAHPS Linear Mean Value]), "No Match")</f>
        <v>87</v>
      </c>
      <c r="F356" cm="1">
        <f t="array" ref="F356">_xlfn.IFNA(_xlfn.XLOOKUP(1,([1]!readmissions[Facility ID] = clean[[#This Row],[Facility ID]]) * ([1]!readmissions[Measure ID] = "Hybrid_HWR"), [1]!readmissions[Score]), "No Match")</f>
        <v>14.8</v>
      </c>
    </row>
    <row r="357" spans="1:6" x14ac:dyDescent="0.2">
      <c r="A357" t="str">
        <f>[1]!hospitalinfo[[#This Row],[Facility ID]]</f>
        <v>050070</v>
      </c>
      <c r="B357" t="str">
        <f>[1]!hospitalinfo[[#This Row],[State]]</f>
        <v>CA</v>
      </c>
      <c r="C357" t="str">
        <f>[1]!hospitalinfo[[#This Row],[Hospital Type]]</f>
        <v>Acute Care Hospitals</v>
      </c>
      <c r="D357" t="str">
        <f>[1]!hospitalinfo[[#This Row],[Hospital Ownership]]</f>
        <v>Voluntary non-profit - Private</v>
      </c>
      <c r="E357" cm="1">
        <f t="array" ref="E357">_xlfn.IFNA(_xlfn.XLOOKUP(1,([1]!hcahps[Facility ID] = clean[[#This Row],[Facility ID]]) * ([1]!hcahps[HCAHPS Measure ID] = "H_HSP_RATING_LINEAR_SCORE"), [1]!hcahps[HCAHPS Linear Mean Value]), "No Match")</f>
        <v>88</v>
      </c>
      <c r="F357" cm="1">
        <f t="array" ref="F357">_xlfn.IFNA(_xlfn.XLOOKUP(1,([1]!readmissions[Facility ID] = clean[[#This Row],[Facility ID]]) * ([1]!readmissions[Measure ID] = "Hybrid_HWR"), [1]!readmissions[Score]), "No Match")</f>
        <v>14.9</v>
      </c>
    </row>
    <row r="358" spans="1:6" x14ac:dyDescent="0.2">
      <c r="A358" t="str">
        <f>[1]!hospitalinfo[[#This Row],[Facility ID]]</f>
        <v>050071</v>
      </c>
      <c r="B358" t="str">
        <f>[1]!hospitalinfo[[#This Row],[State]]</f>
        <v>CA</v>
      </c>
      <c r="C358" t="str">
        <f>[1]!hospitalinfo[[#This Row],[Hospital Type]]</f>
        <v>Acute Care Hospitals</v>
      </c>
      <c r="D358" t="str">
        <f>[1]!hospitalinfo[[#This Row],[Hospital Ownership]]</f>
        <v>Voluntary non-profit - Private</v>
      </c>
      <c r="E358" cm="1">
        <f t="array" ref="E358">_xlfn.IFNA(_xlfn.XLOOKUP(1,([1]!hcahps[Facility ID] = clean[[#This Row],[Facility ID]]) * ([1]!hcahps[HCAHPS Measure ID] = "H_HSP_RATING_LINEAR_SCORE"), [1]!hcahps[HCAHPS Linear Mean Value]), "No Match")</f>
        <v>88</v>
      </c>
      <c r="F358" cm="1">
        <f t="array" ref="F358">_xlfn.IFNA(_xlfn.XLOOKUP(1,([1]!readmissions[Facility ID] = clean[[#This Row],[Facility ID]]) * ([1]!readmissions[Measure ID] = "Hybrid_HWR"), [1]!readmissions[Score]), "No Match")</f>
        <v>14.9</v>
      </c>
    </row>
    <row r="359" spans="1:6" x14ac:dyDescent="0.2">
      <c r="A359" t="str">
        <f>[1]!hospitalinfo[[#This Row],[Facility ID]]</f>
        <v>050072</v>
      </c>
      <c r="B359" t="str">
        <f>[1]!hospitalinfo[[#This Row],[State]]</f>
        <v>CA</v>
      </c>
      <c r="C359" t="str">
        <f>[1]!hospitalinfo[[#This Row],[Hospital Type]]</f>
        <v>Acute Care Hospitals</v>
      </c>
      <c r="D359" t="str">
        <f>[1]!hospitalinfo[[#This Row],[Hospital Ownership]]</f>
        <v>Voluntary non-profit - Private</v>
      </c>
      <c r="E359" cm="1">
        <f t="array" ref="E359">_xlfn.IFNA(_xlfn.XLOOKUP(1,([1]!hcahps[Facility ID] = clean[[#This Row],[Facility ID]]) * ([1]!hcahps[HCAHPS Measure ID] = "H_HSP_RATING_LINEAR_SCORE"), [1]!hcahps[HCAHPS Linear Mean Value]), "No Match")</f>
        <v>86</v>
      </c>
      <c r="F359" cm="1">
        <f t="array" ref="F359">_xlfn.IFNA(_xlfn.XLOOKUP(1,([1]!readmissions[Facility ID] = clean[[#This Row],[Facility ID]]) * ([1]!readmissions[Measure ID] = "Hybrid_HWR"), [1]!readmissions[Score]), "No Match")</f>
        <v>15.2</v>
      </c>
    </row>
    <row r="360" spans="1:6" x14ac:dyDescent="0.2">
      <c r="A360" t="str">
        <f>[1]!hospitalinfo[[#This Row],[Facility ID]]</f>
        <v>050073</v>
      </c>
      <c r="B360" t="str">
        <f>[1]!hospitalinfo[[#This Row],[State]]</f>
        <v>CA</v>
      </c>
      <c r="C360" t="str">
        <f>[1]!hospitalinfo[[#This Row],[Hospital Type]]</f>
        <v>Acute Care Hospitals</v>
      </c>
      <c r="D360" t="str">
        <f>[1]!hospitalinfo[[#This Row],[Hospital Ownership]]</f>
        <v>Voluntary non-profit - Private</v>
      </c>
      <c r="E360" cm="1">
        <f t="array" ref="E360">_xlfn.IFNA(_xlfn.XLOOKUP(1,([1]!hcahps[Facility ID] = clean[[#This Row],[Facility ID]]) * ([1]!hcahps[HCAHPS Measure ID] = "H_HSP_RATING_LINEAR_SCORE"), [1]!hcahps[HCAHPS Linear Mean Value]), "No Match")</f>
        <v>89</v>
      </c>
      <c r="F360" cm="1">
        <f t="array" ref="F360">_xlfn.IFNA(_xlfn.XLOOKUP(1,([1]!readmissions[Facility ID] = clean[[#This Row],[Facility ID]]) * ([1]!readmissions[Measure ID] = "Hybrid_HWR"), [1]!readmissions[Score]), "No Match")</f>
        <v>14.6</v>
      </c>
    </row>
    <row r="361" spans="1:6" x14ac:dyDescent="0.2">
      <c r="A361" t="str">
        <f>[1]!hospitalinfo[[#This Row],[Facility ID]]</f>
        <v>050075</v>
      </c>
      <c r="B361" t="str">
        <f>[1]!hospitalinfo[[#This Row],[State]]</f>
        <v>CA</v>
      </c>
      <c r="C361" t="str">
        <f>[1]!hospitalinfo[[#This Row],[Hospital Type]]</f>
        <v>Acute Care Hospitals</v>
      </c>
      <c r="D361" t="str">
        <f>[1]!hospitalinfo[[#This Row],[Hospital Ownership]]</f>
        <v>Voluntary non-profit - Private</v>
      </c>
      <c r="E361" cm="1">
        <f t="array" ref="E361">_xlfn.IFNA(_xlfn.XLOOKUP(1,([1]!hcahps[Facility ID] = clean[[#This Row],[Facility ID]]) * ([1]!hcahps[HCAHPS Measure ID] = "H_HSP_RATING_LINEAR_SCORE"), [1]!hcahps[HCAHPS Linear Mean Value]), "No Match")</f>
        <v>87</v>
      </c>
      <c r="F361" cm="1">
        <f t="array" ref="F361">_xlfn.IFNA(_xlfn.XLOOKUP(1,([1]!readmissions[Facility ID] = clean[[#This Row],[Facility ID]]) * ([1]!readmissions[Measure ID] = "Hybrid_HWR"), [1]!readmissions[Score]), "No Match")</f>
        <v>16</v>
      </c>
    </row>
    <row r="362" spans="1:6" x14ac:dyDescent="0.2">
      <c r="A362" t="str">
        <f>[1]!hospitalinfo[[#This Row],[Facility ID]]</f>
        <v>050076</v>
      </c>
      <c r="B362" t="str">
        <f>[1]!hospitalinfo[[#This Row],[State]]</f>
        <v>CA</v>
      </c>
      <c r="C362" t="str">
        <f>[1]!hospitalinfo[[#This Row],[Hospital Type]]</f>
        <v>Acute Care Hospitals</v>
      </c>
      <c r="D362" t="str">
        <f>[1]!hospitalinfo[[#This Row],[Hospital Ownership]]</f>
        <v>Voluntary non-profit - Private</v>
      </c>
      <c r="E362" cm="1">
        <f t="array" ref="E362">_xlfn.IFNA(_xlfn.XLOOKUP(1,([1]!hcahps[Facility ID] = clean[[#This Row],[Facility ID]]) * ([1]!hcahps[HCAHPS Measure ID] = "H_HSP_RATING_LINEAR_SCORE"), [1]!hcahps[HCAHPS Linear Mean Value]), "No Match")</f>
        <v>88</v>
      </c>
      <c r="F362" cm="1">
        <f t="array" ref="F362">_xlfn.IFNA(_xlfn.XLOOKUP(1,([1]!readmissions[Facility ID] = clean[[#This Row],[Facility ID]]) * ([1]!readmissions[Measure ID] = "Hybrid_HWR"), [1]!readmissions[Score]), "No Match")</f>
        <v>14.7</v>
      </c>
    </row>
    <row r="363" spans="1:6" x14ac:dyDescent="0.2">
      <c r="A363" t="str">
        <f>[1]!hospitalinfo[[#This Row],[Facility ID]]</f>
        <v>050077</v>
      </c>
      <c r="B363" t="str">
        <f>[1]!hospitalinfo[[#This Row],[State]]</f>
        <v>CA</v>
      </c>
      <c r="C363" t="str">
        <f>[1]!hospitalinfo[[#This Row],[Hospital Type]]</f>
        <v>Acute Care Hospitals</v>
      </c>
      <c r="D363" t="str">
        <f>[1]!hospitalinfo[[#This Row],[Hospital Ownership]]</f>
        <v>Voluntary non-profit - Private</v>
      </c>
      <c r="E363" cm="1">
        <f t="array" ref="E363">_xlfn.IFNA(_xlfn.XLOOKUP(1,([1]!hcahps[Facility ID] = clean[[#This Row],[Facility ID]]) * ([1]!hcahps[HCAHPS Measure ID] = "H_HSP_RATING_LINEAR_SCORE"), [1]!hcahps[HCAHPS Linear Mean Value]), "No Match")</f>
        <v>87</v>
      </c>
      <c r="F363" cm="1">
        <f t="array" ref="F363">_xlfn.IFNA(_xlfn.XLOOKUP(1,([1]!readmissions[Facility ID] = clean[[#This Row],[Facility ID]]) * ([1]!readmissions[Measure ID] = "Hybrid_HWR"), [1]!readmissions[Score]), "No Match")</f>
        <v>15.3</v>
      </c>
    </row>
    <row r="364" spans="1:6" x14ac:dyDescent="0.2">
      <c r="A364" t="str">
        <f>[1]!hospitalinfo[[#This Row],[Facility ID]]</f>
        <v>050078</v>
      </c>
      <c r="B364" t="str">
        <f>[1]!hospitalinfo[[#This Row],[State]]</f>
        <v>CA</v>
      </c>
      <c r="C364" t="str">
        <f>[1]!hospitalinfo[[#This Row],[Hospital Type]]</f>
        <v>Acute Care Hospitals</v>
      </c>
      <c r="D364" t="str">
        <f>[1]!hospitalinfo[[#This Row],[Hospital Ownership]]</f>
        <v>Voluntary non-profit - Private</v>
      </c>
      <c r="E364" cm="1">
        <f t="array" ref="E364">_xlfn.IFNA(_xlfn.XLOOKUP(1,([1]!hcahps[Facility ID] = clean[[#This Row],[Facility ID]]) * ([1]!hcahps[HCAHPS Measure ID] = "H_HSP_RATING_LINEAR_SCORE"), [1]!hcahps[HCAHPS Linear Mean Value]), "No Match")</f>
        <v>91</v>
      </c>
      <c r="F364" cm="1">
        <f t="array" ref="F364">_xlfn.IFNA(_xlfn.XLOOKUP(1,([1]!readmissions[Facility ID] = clean[[#This Row],[Facility ID]]) * ([1]!readmissions[Measure ID] = "Hybrid_HWR"), [1]!readmissions[Score]), "No Match")</f>
        <v>15.3</v>
      </c>
    </row>
    <row r="365" spans="1:6" x14ac:dyDescent="0.2">
      <c r="A365" t="str">
        <f>[1]!hospitalinfo[[#This Row],[Facility ID]]</f>
        <v>050082</v>
      </c>
      <c r="B365" t="str">
        <f>[1]!hospitalinfo[[#This Row],[State]]</f>
        <v>CA</v>
      </c>
      <c r="C365" t="str">
        <f>[1]!hospitalinfo[[#This Row],[Hospital Type]]</f>
        <v>Acute Care Hospitals</v>
      </c>
      <c r="D365" t="str">
        <f>[1]!hospitalinfo[[#This Row],[Hospital Ownership]]</f>
        <v>Voluntary non-profit - Private</v>
      </c>
      <c r="E365" cm="1">
        <f t="array" ref="E365">_xlfn.IFNA(_xlfn.XLOOKUP(1,([1]!hcahps[Facility ID] = clean[[#This Row],[Facility ID]]) * ([1]!hcahps[HCAHPS Measure ID] = "H_HSP_RATING_LINEAR_SCORE"), [1]!hcahps[HCAHPS Linear Mean Value]), "No Match")</f>
        <v>87</v>
      </c>
      <c r="F365" cm="1">
        <f t="array" ref="F365">_xlfn.IFNA(_xlfn.XLOOKUP(1,([1]!readmissions[Facility ID] = clean[[#This Row],[Facility ID]]) * ([1]!readmissions[Measure ID] = "Hybrid_HWR"), [1]!readmissions[Score]), "No Match")</f>
        <v>13.9</v>
      </c>
    </row>
    <row r="366" spans="1:6" x14ac:dyDescent="0.2">
      <c r="A366" t="str">
        <f>[1]!hospitalinfo[[#This Row],[Facility ID]]</f>
        <v>050084</v>
      </c>
      <c r="B366" t="str">
        <f>[1]!hospitalinfo[[#This Row],[State]]</f>
        <v>CA</v>
      </c>
      <c r="C366" t="str">
        <f>[1]!hospitalinfo[[#This Row],[Hospital Type]]</f>
        <v>Acute Care Hospitals</v>
      </c>
      <c r="D366" t="str">
        <f>[1]!hospitalinfo[[#This Row],[Hospital Ownership]]</f>
        <v>Voluntary non-profit - Private</v>
      </c>
      <c r="E366" cm="1">
        <f t="array" ref="E366">_xlfn.IFNA(_xlfn.XLOOKUP(1,([1]!hcahps[Facility ID] = clean[[#This Row],[Facility ID]]) * ([1]!hcahps[HCAHPS Measure ID] = "H_HSP_RATING_LINEAR_SCORE"), [1]!hcahps[HCAHPS Linear Mean Value]), "No Match")</f>
        <v>87</v>
      </c>
      <c r="F366" cm="1">
        <f t="array" ref="F366">_xlfn.IFNA(_xlfn.XLOOKUP(1,([1]!readmissions[Facility ID] = clean[[#This Row],[Facility ID]]) * ([1]!readmissions[Measure ID] = "Hybrid_HWR"), [1]!readmissions[Score]), "No Match")</f>
        <v>13.9</v>
      </c>
    </row>
    <row r="367" spans="1:6" x14ac:dyDescent="0.2">
      <c r="A367" t="str">
        <f>[1]!hospitalinfo[[#This Row],[Facility ID]]</f>
        <v>050089</v>
      </c>
      <c r="B367" t="str">
        <f>[1]!hospitalinfo[[#This Row],[State]]</f>
        <v>CA</v>
      </c>
      <c r="C367" t="str">
        <f>[1]!hospitalinfo[[#This Row],[Hospital Type]]</f>
        <v>Acute Care Hospitals</v>
      </c>
      <c r="D367" t="str">
        <f>[1]!hospitalinfo[[#This Row],[Hospital Ownership]]</f>
        <v>Voluntary non-profit - Private</v>
      </c>
      <c r="E367" cm="1">
        <f t="array" ref="E367">_xlfn.IFNA(_xlfn.XLOOKUP(1,([1]!hcahps[Facility ID] = clean[[#This Row],[Facility ID]]) * ([1]!hcahps[HCAHPS Measure ID] = "H_HSP_RATING_LINEAR_SCORE"), [1]!hcahps[HCAHPS Linear Mean Value]), "No Match")</f>
        <v>87</v>
      </c>
      <c r="F367" cm="1">
        <f t="array" ref="F367">_xlfn.IFNA(_xlfn.XLOOKUP(1,([1]!readmissions[Facility ID] = clean[[#This Row],[Facility ID]]) * ([1]!readmissions[Measure ID] = "Hybrid_HWR"), [1]!readmissions[Score]), "No Match")</f>
        <v>16.100000000000001</v>
      </c>
    </row>
    <row r="368" spans="1:6" x14ac:dyDescent="0.2">
      <c r="A368" t="str">
        <f>[1]!hospitalinfo[[#This Row],[Facility ID]]</f>
        <v>050090</v>
      </c>
      <c r="B368" t="str">
        <f>[1]!hospitalinfo[[#This Row],[State]]</f>
        <v>CA</v>
      </c>
      <c r="C368" t="str">
        <f>[1]!hospitalinfo[[#This Row],[Hospital Type]]</f>
        <v>Acute Care Hospitals</v>
      </c>
      <c r="D368" t="str">
        <f>[1]!hospitalinfo[[#This Row],[Hospital Ownership]]</f>
        <v>Government - Hospital District or Authority</v>
      </c>
      <c r="E368" cm="1">
        <f t="array" ref="E368">_xlfn.IFNA(_xlfn.XLOOKUP(1,([1]!hcahps[Facility ID] = clean[[#This Row],[Facility ID]]) * ([1]!hcahps[HCAHPS Measure ID] = "H_HSP_RATING_LINEAR_SCORE"), [1]!hcahps[HCAHPS Linear Mean Value]), "No Match")</f>
        <v>90</v>
      </c>
      <c r="F368" cm="1">
        <f t="array" ref="F368">_xlfn.IFNA(_xlfn.XLOOKUP(1,([1]!readmissions[Facility ID] = clean[[#This Row],[Facility ID]]) * ([1]!readmissions[Measure ID] = "Hybrid_HWR"), [1]!readmissions[Score]), "No Match")</f>
        <v>15</v>
      </c>
    </row>
    <row r="369" spans="1:6" x14ac:dyDescent="0.2">
      <c r="A369" t="str">
        <f>[1]!hospitalinfo[[#This Row],[Facility ID]]</f>
        <v>050091</v>
      </c>
      <c r="B369" t="str">
        <f>[1]!hospitalinfo[[#This Row],[State]]</f>
        <v>CA</v>
      </c>
      <c r="C369" t="str">
        <f>[1]!hospitalinfo[[#This Row],[Hospital Type]]</f>
        <v>Acute Care Hospitals</v>
      </c>
      <c r="D369" t="str">
        <f>[1]!hospitalinfo[[#This Row],[Hospital Ownership]]</f>
        <v>Proprietary</v>
      </c>
      <c r="E369" cm="1">
        <f t="array" ref="E369">_xlfn.IFNA(_xlfn.XLOOKUP(1,([1]!hcahps[Facility ID] = clean[[#This Row],[Facility ID]]) * ([1]!hcahps[HCAHPS Measure ID] = "H_HSP_RATING_LINEAR_SCORE"), [1]!hcahps[HCAHPS Linear Mean Value]), "No Match")</f>
        <v>82</v>
      </c>
      <c r="F369" cm="1">
        <f t="array" ref="F369">_xlfn.IFNA(_xlfn.XLOOKUP(1,([1]!readmissions[Facility ID] = clean[[#This Row],[Facility ID]]) * ([1]!readmissions[Measure ID] = "Hybrid_HWR"), [1]!readmissions[Score]), "No Match")</f>
        <v>15.8</v>
      </c>
    </row>
    <row r="370" spans="1:6" x14ac:dyDescent="0.2">
      <c r="A370" t="str">
        <f>[1]!hospitalinfo[[#This Row],[Facility ID]]</f>
        <v>050093</v>
      </c>
      <c r="B370" t="str">
        <f>[1]!hospitalinfo[[#This Row],[State]]</f>
        <v>CA</v>
      </c>
      <c r="C370" t="str">
        <f>[1]!hospitalinfo[[#This Row],[Hospital Type]]</f>
        <v>Acute Care Hospitals</v>
      </c>
      <c r="D370" t="str">
        <f>[1]!hospitalinfo[[#This Row],[Hospital Ownership]]</f>
        <v>Voluntary non-profit - Church</v>
      </c>
      <c r="E370" cm="1">
        <f t="array" ref="E370">_xlfn.IFNA(_xlfn.XLOOKUP(1,([1]!hcahps[Facility ID] = clean[[#This Row],[Facility ID]]) * ([1]!hcahps[HCAHPS Measure ID] = "H_HSP_RATING_LINEAR_SCORE"), [1]!hcahps[HCAHPS Linear Mean Value]), "No Match")</f>
        <v>88</v>
      </c>
      <c r="F370" cm="1">
        <f t="array" ref="F370">_xlfn.IFNA(_xlfn.XLOOKUP(1,([1]!readmissions[Facility ID] = clean[[#This Row],[Facility ID]]) * ([1]!readmissions[Measure ID] = "Hybrid_HWR"), [1]!readmissions[Score]), "No Match")</f>
        <v>15.9</v>
      </c>
    </row>
    <row r="371" spans="1:6" x14ac:dyDescent="0.2">
      <c r="A371" t="str">
        <f>[1]!hospitalinfo[[#This Row],[Facility ID]]</f>
        <v>050099</v>
      </c>
      <c r="B371" t="str">
        <f>[1]!hospitalinfo[[#This Row],[State]]</f>
        <v>CA</v>
      </c>
      <c r="C371" t="str">
        <f>[1]!hospitalinfo[[#This Row],[Hospital Type]]</f>
        <v>Acute Care Hospitals</v>
      </c>
      <c r="D371" t="str">
        <f>[1]!hospitalinfo[[#This Row],[Hospital Ownership]]</f>
        <v>Voluntary non-profit - Other</v>
      </c>
      <c r="E371" cm="1">
        <f t="array" ref="E371">_xlfn.IFNA(_xlfn.XLOOKUP(1,([1]!hcahps[Facility ID] = clean[[#This Row],[Facility ID]]) * ([1]!hcahps[HCAHPS Measure ID] = "H_HSP_RATING_LINEAR_SCORE"), [1]!hcahps[HCAHPS Linear Mean Value]), "No Match")</f>
        <v>87</v>
      </c>
      <c r="F371" cm="1">
        <f t="array" ref="F371">_xlfn.IFNA(_xlfn.XLOOKUP(1,([1]!readmissions[Facility ID] = clean[[#This Row],[Facility ID]]) * ([1]!readmissions[Measure ID] = "Hybrid_HWR"), [1]!readmissions[Score]), "No Match")</f>
        <v>15.5</v>
      </c>
    </row>
    <row r="372" spans="1:6" x14ac:dyDescent="0.2">
      <c r="A372" t="str">
        <f>[1]!hospitalinfo[[#This Row],[Facility ID]]</f>
        <v>050100</v>
      </c>
      <c r="B372" t="str">
        <f>[1]!hospitalinfo[[#This Row],[State]]</f>
        <v>CA</v>
      </c>
      <c r="C372" t="str">
        <f>[1]!hospitalinfo[[#This Row],[Hospital Type]]</f>
        <v>Acute Care Hospitals</v>
      </c>
      <c r="D372" t="str">
        <f>[1]!hospitalinfo[[#This Row],[Hospital Ownership]]</f>
        <v>Voluntary non-profit - Private</v>
      </c>
      <c r="E372" cm="1">
        <f t="array" ref="E372">_xlfn.IFNA(_xlfn.XLOOKUP(1,([1]!hcahps[Facility ID] = clean[[#This Row],[Facility ID]]) * ([1]!hcahps[HCAHPS Measure ID] = "H_HSP_RATING_LINEAR_SCORE"), [1]!hcahps[HCAHPS Linear Mean Value]), "No Match")</f>
        <v>91</v>
      </c>
      <c r="F372" cm="1">
        <f t="array" ref="F372">_xlfn.IFNA(_xlfn.XLOOKUP(1,([1]!readmissions[Facility ID] = clean[[#This Row],[Facility ID]]) * ([1]!readmissions[Measure ID] = "Hybrid_HWR"), [1]!readmissions[Score]), "No Match")</f>
        <v>15.4</v>
      </c>
    </row>
    <row r="373" spans="1:6" x14ac:dyDescent="0.2">
      <c r="A373" t="str">
        <f>[1]!hospitalinfo[[#This Row],[Facility ID]]</f>
        <v>050101</v>
      </c>
      <c r="B373" t="str">
        <f>[1]!hospitalinfo[[#This Row],[State]]</f>
        <v>CA</v>
      </c>
      <c r="C373" t="str">
        <f>[1]!hospitalinfo[[#This Row],[Hospital Type]]</f>
        <v>Acute Care Hospitals</v>
      </c>
      <c r="D373" t="str">
        <f>[1]!hospitalinfo[[#This Row],[Hospital Ownership]]</f>
        <v>Voluntary non-profit - Private</v>
      </c>
      <c r="E373" cm="1">
        <f t="array" ref="E373">_xlfn.IFNA(_xlfn.XLOOKUP(1,([1]!hcahps[Facility ID] = clean[[#This Row],[Facility ID]]) * ([1]!hcahps[HCAHPS Measure ID] = "H_HSP_RATING_LINEAR_SCORE"), [1]!hcahps[HCAHPS Linear Mean Value]), "No Match")</f>
        <v>85</v>
      </c>
      <c r="F373" cm="1">
        <f t="array" ref="F373">_xlfn.IFNA(_xlfn.XLOOKUP(1,([1]!readmissions[Facility ID] = clean[[#This Row],[Facility ID]]) * ([1]!readmissions[Measure ID] = "Hybrid_HWR"), [1]!readmissions[Score]), "No Match")</f>
        <v>14.3</v>
      </c>
    </row>
    <row r="374" spans="1:6" x14ac:dyDescent="0.2">
      <c r="A374" t="str">
        <f>[1]!hospitalinfo[[#This Row],[Facility ID]]</f>
        <v>050102</v>
      </c>
      <c r="B374" t="str">
        <f>[1]!hospitalinfo[[#This Row],[State]]</f>
        <v>CA</v>
      </c>
      <c r="C374" t="str">
        <f>[1]!hospitalinfo[[#This Row],[Hospital Type]]</f>
        <v>Acute Care Hospitals</v>
      </c>
      <c r="D374" t="str">
        <f>[1]!hospitalinfo[[#This Row],[Hospital Ownership]]</f>
        <v>Proprietary</v>
      </c>
      <c r="E374" cm="1">
        <f t="array" ref="E374">_xlfn.IFNA(_xlfn.XLOOKUP(1,([1]!hcahps[Facility ID] = clean[[#This Row],[Facility ID]]) * ([1]!hcahps[HCAHPS Measure ID] = "H_HSP_RATING_LINEAR_SCORE"), [1]!hcahps[HCAHPS Linear Mean Value]), "No Match")</f>
        <v>85</v>
      </c>
      <c r="F374" cm="1">
        <f t="array" ref="F374">_xlfn.IFNA(_xlfn.XLOOKUP(1,([1]!readmissions[Facility ID] = clean[[#This Row],[Facility ID]]) * ([1]!readmissions[Measure ID] = "Hybrid_HWR"), [1]!readmissions[Score]), "No Match")</f>
        <v>15.2</v>
      </c>
    </row>
    <row r="375" spans="1:6" x14ac:dyDescent="0.2">
      <c r="A375" t="str">
        <f>[1]!hospitalinfo[[#This Row],[Facility ID]]</f>
        <v>050103</v>
      </c>
      <c r="B375" t="str">
        <f>[1]!hospitalinfo[[#This Row],[State]]</f>
        <v>CA</v>
      </c>
      <c r="C375" t="str">
        <f>[1]!hospitalinfo[[#This Row],[Hospital Type]]</f>
        <v>Acute Care Hospitals</v>
      </c>
      <c r="D375" t="str">
        <f>[1]!hospitalinfo[[#This Row],[Hospital Ownership]]</f>
        <v>Voluntary non-profit - Church</v>
      </c>
      <c r="E375" cm="1">
        <f t="array" ref="E375">_xlfn.IFNA(_xlfn.XLOOKUP(1,([1]!hcahps[Facility ID] = clean[[#This Row],[Facility ID]]) * ([1]!hcahps[HCAHPS Measure ID] = "H_HSP_RATING_LINEAR_SCORE"), [1]!hcahps[HCAHPS Linear Mean Value]), "No Match")</f>
        <v>85</v>
      </c>
      <c r="F375" cm="1">
        <f t="array" ref="F375">_xlfn.IFNA(_xlfn.XLOOKUP(1,([1]!readmissions[Facility ID] = clean[[#This Row],[Facility ID]]) * ([1]!readmissions[Measure ID] = "Hybrid_HWR"), [1]!readmissions[Score]), "No Match")</f>
        <v>14.8</v>
      </c>
    </row>
    <row r="376" spans="1:6" x14ac:dyDescent="0.2">
      <c r="A376" t="str">
        <f>[1]!hospitalinfo[[#This Row],[Facility ID]]</f>
        <v>050104</v>
      </c>
      <c r="B376" t="str">
        <f>[1]!hospitalinfo[[#This Row],[State]]</f>
        <v>CA</v>
      </c>
      <c r="C376" t="str">
        <f>[1]!hospitalinfo[[#This Row],[Hospital Type]]</f>
        <v>Acute Care Hospitals</v>
      </c>
      <c r="D376" t="str">
        <f>[1]!hospitalinfo[[#This Row],[Hospital Ownership]]</f>
        <v>Voluntary non-profit - Church</v>
      </c>
      <c r="E376" cm="1">
        <f t="array" ref="E376">_xlfn.IFNA(_xlfn.XLOOKUP(1,([1]!hcahps[Facility ID] = clean[[#This Row],[Facility ID]]) * ([1]!hcahps[HCAHPS Measure ID] = "H_HSP_RATING_LINEAR_SCORE"), [1]!hcahps[HCAHPS Linear Mean Value]), "No Match")</f>
        <v>87</v>
      </c>
      <c r="F376" cm="1">
        <f t="array" ref="F376">_xlfn.IFNA(_xlfn.XLOOKUP(1,([1]!readmissions[Facility ID] = clean[[#This Row],[Facility ID]]) * ([1]!readmissions[Measure ID] = "Hybrid_HWR"), [1]!readmissions[Score]), "No Match")</f>
        <v>14.9</v>
      </c>
    </row>
    <row r="377" spans="1:6" x14ac:dyDescent="0.2">
      <c r="A377" t="str">
        <f>[1]!hospitalinfo[[#This Row],[Facility ID]]</f>
        <v>050107</v>
      </c>
      <c r="B377" t="str">
        <f>[1]!hospitalinfo[[#This Row],[State]]</f>
        <v>CA</v>
      </c>
      <c r="C377" t="str">
        <f>[1]!hospitalinfo[[#This Row],[Hospital Type]]</f>
        <v>Acute Care Hospitals</v>
      </c>
      <c r="D377" t="str">
        <f>[1]!hospitalinfo[[#This Row],[Hospital Ownership]]</f>
        <v>Voluntary non-profit - Church</v>
      </c>
      <c r="E377" cm="1">
        <f t="array" ref="E377">_xlfn.IFNA(_xlfn.XLOOKUP(1,([1]!hcahps[Facility ID] = clean[[#This Row],[Facility ID]]) * ([1]!hcahps[HCAHPS Measure ID] = "H_HSP_RATING_LINEAR_SCORE"), [1]!hcahps[HCAHPS Linear Mean Value]), "No Match")</f>
        <v>88</v>
      </c>
      <c r="F377" cm="1">
        <f t="array" ref="F377">_xlfn.IFNA(_xlfn.XLOOKUP(1,([1]!readmissions[Facility ID] = clean[[#This Row],[Facility ID]]) * ([1]!readmissions[Measure ID] = "Hybrid_HWR"), [1]!readmissions[Score]), "No Match")</f>
        <v>13.7</v>
      </c>
    </row>
    <row r="378" spans="1:6" x14ac:dyDescent="0.2">
      <c r="A378" t="str">
        <f>[1]!hospitalinfo[[#This Row],[Facility ID]]</f>
        <v>050108</v>
      </c>
      <c r="B378" t="str">
        <f>[1]!hospitalinfo[[#This Row],[State]]</f>
        <v>CA</v>
      </c>
      <c r="C378" t="str">
        <f>[1]!hospitalinfo[[#This Row],[Hospital Type]]</f>
        <v>Acute Care Hospitals</v>
      </c>
      <c r="D378" t="str">
        <f>[1]!hospitalinfo[[#This Row],[Hospital Ownership]]</f>
        <v>Voluntary non-profit - Private</v>
      </c>
      <c r="E378" cm="1">
        <f t="array" ref="E378">_xlfn.IFNA(_xlfn.XLOOKUP(1,([1]!hcahps[Facility ID] = clean[[#This Row],[Facility ID]]) * ([1]!hcahps[HCAHPS Measure ID] = "H_HSP_RATING_LINEAR_SCORE"), [1]!hcahps[HCAHPS Linear Mean Value]), "No Match")</f>
        <v>90</v>
      </c>
      <c r="F378" cm="1">
        <f t="array" ref="F378">_xlfn.IFNA(_xlfn.XLOOKUP(1,([1]!readmissions[Facility ID] = clean[[#This Row],[Facility ID]]) * ([1]!readmissions[Measure ID] = "Hybrid_HWR"), [1]!readmissions[Score]), "No Match")</f>
        <v>14.9</v>
      </c>
    </row>
    <row r="379" spans="1:6" x14ac:dyDescent="0.2">
      <c r="A379" t="str">
        <f>[1]!hospitalinfo[[#This Row],[Facility ID]]</f>
        <v>050110</v>
      </c>
      <c r="B379" t="str">
        <f>[1]!hospitalinfo[[#This Row],[State]]</f>
        <v>CA</v>
      </c>
      <c r="C379" t="str">
        <f>[1]!hospitalinfo[[#This Row],[Hospital Type]]</f>
        <v>Acute Care Hospitals</v>
      </c>
      <c r="D379" t="str">
        <f>[1]!hospitalinfo[[#This Row],[Hospital Ownership]]</f>
        <v>Government - Hospital District or Authority</v>
      </c>
      <c r="E379" cm="1">
        <f t="array" ref="E379">_xlfn.IFNA(_xlfn.XLOOKUP(1,([1]!hcahps[Facility ID] = clean[[#This Row],[Facility ID]]) * ([1]!hcahps[HCAHPS Measure ID] = "H_HSP_RATING_LINEAR_SCORE"), [1]!hcahps[HCAHPS Linear Mean Value]), "No Match")</f>
        <v>81</v>
      </c>
      <c r="F379" cm="1">
        <f t="array" ref="F379">_xlfn.IFNA(_xlfn.XLOOKUP(1,([1]!readmissions[Facility ID] = clean[[#This Row],[Facility ID]]) * ([1]!readmissions[Measure ID] = "Hybrid_HWR"), [1]!readmissions[Score]), "No Match")</f>
        <v>15.9</v>
      </c>
    </row>
    <row r="380" spans="1:6" x14ac:dyDescent="0.2">
      <c r="A380" t="str">
        <f>[1]!hospitalinfo[[#This Row],[Facility ID]]</f>
        <v>050112</v>
      </c>
      <c r="B380" t="str">
        <f>[1]!hospitalinfo[[#This Row],[State]]</f>
        <v>CA</v>
      </c>
      <c r="C380" t="str">
        <f>[1]!hospitalinfo[[#This Row],[Hospital Type]]</f>
        <v>Acute Care Hospitals</v>
      </c>
      <c r="D380" t="str">
        <f>[1]!hospitalinfo[[#This Row],[Hospital Ownership]]</f>
        <v>Voluntary non-profit - Private</v>
      </c>
      <c r="E380" cm="1">
        <f t="array" ref="E380">_xlfn.IFNA(_xlfn.XLOOKUP(1,([1]!hcahps[Facility ID] = clean[[#This Row],[Facility ID]]) * ([1]!hcahps[HCAHPS Measure ID] = "H_HSP_RATING_LINEAR_SCORE"), [1]!hcahps[HCAHPS Linear Mean Value]), "No Match")</f>
        <v>88</v>
      </c>
      <c r="F380" cm="1">
        <f t="array" ref="F380">_xlfn.IFNA(_xlfn.XLOOKUP(1,([1]!readmissions[Facility ID] = clean[[#This Row],[Facility ID]]) * ([1]!readmissions[Measure ID] = "Hybrid_HWR"), [1]!readmissions[Score]), "No Match")</f>
        <v>14.3</v>
      </c>
    </row>
    <row r="381" spans="1:6" x14ac:dyDescent="0.2">
      <c r="A381" t="str">
        <f>[1]!hospitalinfo[[#This Row],[Facility ID]]</f>
        <v>050113</v>
      </c>
      <c r="B381" t="str">
        <f>[1]!hospitalinfo[[#This Row],[State]]</f>
        <v>CA</v>
      </c>
      <c r="C381" t="str">
        <f>[1]!hospitalinfo[[#This Row],[Hospital Type]]</f>
        <v>Acute Care Hospitals</v>
      </c>
      <c r="D381" t="str">
        <f>[1]!hospitalinfo[[#This Row],[Hospital Ownership]]</f>
        <v>Government - Local</v>
      </c>
      <c r="E381" cm="1">
        <f t="array" ref="E381">_xlfn.IFNA(_xlfn.XLOOKUP(1,([1]!hcahps[Facility ID] = clean[[#This Row],[Facility ID]]) * ([1]!hcahps[HCAHPS Measure ID] = "H_HSP_RATING_LINEAR_SCORE"), [1]!hcahps[HCAHPS Linear Mean Value]), "No Match")</f>
        <v>87</v>
      </c>
      <c r="F381" cm="1">
        <f t="array" ref="F381">_xlfn.IFNA(_xlfn.XLOOKUP(1,([1]!readmissions[Facility ID] = clean[[#This Row],[Facility ID]]) * ([1]!readmissions[Measure ID] = "Hybrid_HWR"), [1]!readmissions[Score]), "No Match")</f>
        <v>14.4</v>
      </c>
    </row>
    <row r="382" spans="1:6" x14ac:dyDescent="0.2">
      <c r="A382" t="str">
        <f>[1]!hospitalinfo[[#This Row],[Facility ID]]</f>
        <v>050115</v>
      </c>
      <c r="B382" t="str">
        <f>[1]!hospitalinfo[[#This Row],[State]]</f>
        <v>CA</v>
      </c>
      <c r="C382" t="str">
        <f>[1]!hospitalinfo[[#This Row],[Hospital Type]]</f>
        <v>Acute Care Hospitals</v>
      </c>
      <c r="D382" t="str">
        <f>[1]!hospitalinfo[[#This Row],[Hospital Ownership]]</f>
        <v>Government - Hospital District or Authority</v>
      </c>
      <c r="E382" cm="1">
        <f t="array" ref="E382">_xlfn.IFNA(_xlfn.XLOOKUP(1,([1]!hcahps[Facility ID] = clean[[#This Row],[Facility ID]]) * ([1]!hcahps[HCAHPS Measure ID] = "H_HSP_RATING_LINEAR_SCORE"), [1]!hcahps[HCAHPS Linear Mean Value]), "No Match")</f>
        <v>86</v>
      </c>
      <c r="F382" cm="1">
        <f t="array" ref="F382">_xlfn.IFNA(_xlfn.XLOOKUP(1,([1]!readmissions[Facility ID] = clean[[#This Row],[Facility ID]]) * ([1]!readmissions[Measure ID] = "Hybrid_HWR"), [1]!readmissions[Score]), "No Match")</f>
        <v>14</v>
      </c>
    </row>
    <row r="383" spans="1:6" x14ac:dyDescent="0.2">
      <c r="A383" t="str">
        <f>[1]!hospitalinfo[[#This Row],[Facility ID]]</f>
        <v>050116</v>
      </c>
      <c r="B383" t="str">
        <f>[1]!hospitalinfo[[#This Row],[State]]</f>
        <v>CA</v>
      </c>
      <c r="C383" t="str">
        <f>[1]!hospitalinfo[[#This Row],[Hospital Type]]</f>
        <v>Acute Care Hospitals</v>
      </c>
      <c r="D383" t="str">
        <f>[1]!hospitalinfo[[#This Row],[Hospital Ownership]]</f>
        <v>Voluntary non-profit - Private</v>
      </c>
      <c r="E383" cm="1">
        <f t="array" ref="E383">_xlfn.IFNA(_xlfn.XLOOKUP(1,([1]!hcahps[Facility ID] = clean[[#This Row],[Facility ID]]) * ([1]!hcahps[HCAHPS Measure ID] = "H_HSP_RATING_LINEAR_SCORE"), [1]!hcahps[HCAHPS Linear Mean Value]), "No Match")</f>
        <v>86</v>
      </c>
      <c r="F383" cm="1">
        <f t="array" ref="F383">_xlfn.IFNA(_xlfn.XLOOKUP(1,([1]!readmissions[Facility ID] = clean[[#This Row],[Facility ID]]) * ([1]!readmissions[Measure ID] = "Hybrid_HWR"), [1]!readmissions[Score]), "No Match")</f>
        <v>15.6</v>
      </c>
    </row>
    <row r="384" spans="1:6" x14ac:dyDescent="0.2">
      <c r="A384" t="str">
        <f>[1]!hospitalinfo[[#This Row],[Facility ID]]</f>
        <v>050118</v>
      </c>
      <c r="B384" t="str">
        <f>[1]!hospitalinfo[[#This Row],[State]]</f>
        <v>CA</v>
      </c>
      <c r="C384" t="str">
        <f>[1]!hospitalinfo[[#This Row],[Hospital Type]]</f>
        <v>Acute Care Hospitals</v>
      </c>
      <c r="D384" t="str">
        <f>[1]!hospitalinfo[[#This Row],[Hospital Ownership]]</f>
        <v>Voluntary non-profit - Other</v>
      </c>
      <c r="E384" cm="1">
        <f t="array" ref="E384">_xlfn.IFNA(_xlfn.XLOOKUP(1,([1]!hcahps[Facility ID] = clean[[#This Row],[Facility ID]]) * ([1]!hcahps[HCAHPS Measure ID] = "H_HSP_RATING_LINEAR_SCORE"), [1]!hcahps[HCAHPS Linear Mean Value]), "No Match")</f>
        <v>82</v>
      </c>
      <c r="F384" cm="1">
        <f t="array" ref="F384">_xlfn.IFNA(_xlfn.XLOOKUP(1,([1]!readmissions[Facility ID] = clean[[#This Row],[Facility ID]]) * ([1]!readmissions[Measure ID] = "Hybrid_HWR"), [1]!readmissions[Score]), "No Match")</f>
        <v>16.100000000000001</v>
      </c>
    </row>
    <row r="385" spans="1:6" x14ac:dyDescent="0.2">
      <c r="A385" t="str">
        <f>[1]!hospitalinfo[[#This Row],[Facility ID]]</f>
        <v>050121</v>
      </c>
      <c r="B385" t="str">
        <f>[1]!hospitalinfo[[#This Row],[State]]</f>
        <v>CA</v>
      </c>
      <c r="C385" t="str">
        <f>[1]!hospitalinfo[[#This Row],[Hospital Type]]</f>
        <v>Acute Care Hospitals</v>
      </c>
      <c r="D385" t="str">
        <f>[1]!hospitalinfo[[#This Row],[Hospital Ownership]]</f>
        <v>Voluntary non-profit - Church</v>
      </c>
      <c r="E385" cm="1">
        <f t="array" ref="E385">_xlfn.IFNA(_xlfn.XLOOKUP(1,([1]!hcahps[Facility ID] = clean[[#This Row],[Facility ID]]) * ([1]!hcahps[HCAHPS Measure ID] = "H_HSP_RATING_LINEAR_SCORE"), [1]!hcahps[HCAHPS Linear Mean Value]), "No Match")</f>
        <v>86</v>
      </c>
      <c r="F385" cm="1">
        <f t="array" ref="F385">_xlfn.IFNA(_xlfn.XLOOKUP(1,([1]!readmissions[Facility ID] = clean[[#This Row],[Facility ID]]) * ([1]!readmissions[Measure ID] = "Hybrid_HWR"), [1]!readmissions[Score]), "No Match")</f>
        <v>15.1</v>
      </c>
    </row>
    <row r="386" spans="1:6" x14ac:dyDescent="0.2">
      <c r="A386" t="str">
        <f>[1]!hospitalinfo[[#This Row],[Facility ID]]</f>
        <v>050122</v>
      </c>
      <c r="B386" t="str">
        <f>[1]!hospitalinfo[[#This Row],[State]]</f>
        <v>CA</v>
      </c>
      <c r="C386" t="str">
        <f>[1]!hospitalinfo[[#This Row],[Hospital Type]]</f>
        <v>Acute Care Hospitals</v>
      </c>
      <c r="D386" t="str">
        <f>[1]!hospitalinfo[[#This Row],[Hospital Ownership]]</f>
        <v>Voluntary non-profit - Other</v>
      </c>
      <c r="E386" cm="1">
        <f t="array" ref="E386">_xlfn.IFNA(_xlfn.XLOOKUP(1,([1]!hcahps[Facility ID] = clean[[#This Row],[Facility ID]]) * ([1]!hcahps[HCAHPS Measure ID] = "H_HSP_RATING_LINEAR_SCORE"), [1]!hcahps[HCAHPS Linear Mean Value]), "No Match")</f>
        <v>81</v>
      </c>
      <c r="F386" cm="1">
        <f t="array" ref="F386">_xlfn.IFNA(_xlfn.XLOOKUP(1,([1]!readmissions[Facility ID] = clean[[#This Row],[Facility ID]]) * ([1]!readmissions[Measure ID] = "Hybrid_HWR"), [1]!readmissions[Score]), "No Match")</f>
        <v>14.8</v>
      </c>
    </row>
    <row r="387" spans="1:6" x14ac:dyDescent="0.2">
      <c r="A387" t="str">
        <f>[1]!hospitalinfo[[#This Row],[Facility ID]]</f>
        <v>050124</v>
      </c>
      <c r="B387" t="str">
        <f>[1]!hospitalinfo[[#This Row],[State]]</f>
        <v>CA</v>
      </c>
      <c r="C387" t="str">
        <f>[1]!hospitalinfo[[#This Row],[Hospital Type]]</f>
        <v>Acute Care Hospitals</v>
      </c>
      <c r="D387" t="str">
        <f>[1]!hospitalinfo[[#This Row],[Hospital Ownership]]</f>
        <v>Voluntary non-profit - Private</v>
      </c>
      <c r="E387" cm="1">
        <f t="array" ref="E387">_xlfn.IFNA(_xlfn.XLOOKUP(1,([1]!hcahps[Facility ID] = clean[[#This Row],[Facility ID]]) * ([1]!hcahps[HCAHPS Measure ID] = "H_HSP_RATING_LINEAR_SCORE"), [1]!hcahps[HCAHPS Linear Mean Value]), "No Match")</f>
        <v>87</v>
      </c>
      <c r="F387" cm="1">
        <f t="array" ref="F387">_xlfn.IFNA(_xlfn.XLOOKUP(1,([1]!readmissions[Facility ID] = clean[[#This Row],[Facility ID]]) * ([1]!readmissions[Measure ID] = "Hybrid_HWR"), [1]!readmissions[Score]), "No Match")</f>
        <v>15.8</v>
      </c>
    </row>
    <row r="388" spans="1:6" x14ac:dyDescent="0.2">
      <c r="A388" t="str">
        <f>[1]!hospitalinfo[[#This Row],[Facility ID]]</f>
        <v>050125</v>
      </c>
      <c r="B388" t="str">
        <f>[1]!hospitalinfo[[#This Row],[State]]</f>
        <v>CA</v>
      </c>
      <c r="C388" t="str">
        <f>[1]!hospitalinfo[[#This Row],[Hospital Type]]</f>
        <v>Acute Care Hospitals</v>
      </c>
      <c r="D388" t="str">
        <f>[1]!hospitalinfo[[#This Row],[Hospital Ownership]]</f>
        <v>Government - Federal</v>
      </c>
      <c r="E388" t="str" cm="1">
        <f t="array" ref="E388">_xlfn.IFNA(_xlfn.XLOOKUP(1,([1]!hcahps[Facility ID] = clean[[#This Row],[Facility ID]]) * ([1]!hcahps[HCAHPS Measure ID] = "H_HSP_RATING_LINEAR_SCORE"), [1]!hcahps[HCAHPS Linear Mean Value]), "No Match")</f>
        <v>Not Available</v>
      </c>
      <c r="F388" cm="1">
        <f t="array" ref="F388">_xlfn.IFNA(_xlfn.XLOOKUP(1,([1]!readmissions[Facility ID] = clean[[#This Row],[Facility ID]]) * ([1]!readmissions[Measure ID] = "Hybrid_HWR"), [1]!readmissions[Score]), "No Match")</f>
        <v>15.4</v>
      </c>
    </row>
    <row r="389" spans="1:6" x14ac:dyDescent="0.2">
      <c r="A389" t="str">
        <f>[1]!hospitalinfo[[#This Row],[Facility ID]]</f>
        <v>050126</v>
      </c>
      <c r="B389" t="str">
        <f>[1]!hospitalinfo[[#This Row],[State]]</f>
        <v>CA</v>
      </c>
      <c r="C389" t="str">
        <f>[1]!hospitalinfo[[#This Row],[Hospital Type]]</f>
        <v>Acute Care Hospitals</v>
      </c>
      <c r="D389" t="str">
        <f>[1]!hospitalinfo[[#This Row],[Hospital Ownership]]</f>
        <v>Voluntary non-profit - Other</v>
      </c>
      <c r="E389" cm="1">
        <f t="array" ref="E389">_xlfn.IFNA(_xlfn.XLOOKUP(1,([1]!hcahps[Facility ID] = clean[[#This Row],[Facility ID]]) * ([1]!hcahps[HCAHPS Measure ID] = "H_HSP_RATING_LINEAR_SCORE"), [1]!hcahps[HCAHPS Linear Mean Value]), "No Match")</f>
        <v>84</v>
      </c>
      <c r="F389" cm="1">
        <f t="array" ref="F389">_xlfn.IFNA(_xlfn.XLOOKUP(1,([1]!readmissions[Facility ID] = clean[[#This Row],[Facility ID]]) * ([1]!readmissions[Measure ID] = "Hybrid_HWR"), [1]!readmissions[Score]), "No Match")</f>
        <v>15.7</v>
      </c>
    </row>
    <row r="390" spans="1:6" x14ac:dyDescent="0.2">
      <c r="A390" t="str">
        <f>[1]!hospitalinfo[[#This Row],[Facility ID]]</f>
        <v>050127</v>
      </c>
      <c r="B390" t="str">
        <f>[1]!hospitalinfo[[#This Row],[State]]</f>
        <v>CA</v>
      </c>
      <c r="C390" t="str">
        <f>[1]!hospitalinfo[[#This Row],[Hospital Type]]</f>
        <v>Acute Care Hospitals</v>
      </c>
      <c r="D390" t="str">
        <f>[1]!hospitalinfo[[#This Row],[Hospital Ownership]]</f>
        <v>Voluntary non-profit - Other</v>
      </c>
      <c r="E390" cm="1">
        <f t="array" ref="E390">_xlfn.IFNA(_xlfn.XLOOKUP(1,([1]!hcahps[Facility ID] = clean[[#This Row],[Facility ID]]) * ([1]!hcahps[HCAHPS Measure ID] = "H_HSP_RATING_LINEAR_SCORE"), [1]!hcahps[HCAHPS Linear Mean Value]), "No Match")</f>
        <v>89</v>
      </c>
      <c r="F390" cm="1">
        <f t="array" ref="F390">_xlfn.IFNA(_xlfn.XLOOKUP(1,([1]!readmissions[Facility ID] = clean[[#This Row],[Facility ID]]) * ([1]!readmissions[Measure ID] = "Hybrid_HWR"), [1]!readmissions[Score]), "No Match")</f>
        <v>14.8</v>
      </c>
    </row>
    <row r="391" spans="1:6" x14ac:dyDescent="0.2">
      <c r="A391" t="str">
        <f>[1]!hospitalinfo[[#This Row],[Facility ID]]</f>
        <v>050128</v>
      </c>
      <c r="B391" t="str">
        <f>[1]!hospitalinfo[[#This Row],[State]]</f>
        <v>CA</v>
      </c>
      <c r="C391" t="str">
        <f>[1]!hospitalinfo[[#This Row],[Hospital Type]]</f>
        <v>Acute Care Hospitals</v>
      </c>
      <c r="D391" t="str">
        <f>[1]!hospitalinfo[[#This Row],[Hospital Ownership]]</f>
        <v>Government - Hospital District or Authority</v>
      </c>
      <c r="E391" cm="1">
        <f t="array" ref="E391">_xlfn.IFNA(_xlfn.XLOOKUP(1,([1]!hcahps[Facility ID] = clean[[#This Row],[Facility ID]]) * ([1]!hcahps[HCAHPS Measure ID] = "H_HSP_RATING_LINEAR_SCORE"), [1]!hcahps[HCAHPS Linear Mean Value]), "No Match")</f>
        <v>82</v>
      </c>
      <c r="F391" cm="1">
        <f t="array" ref="F391">_xlfn.IFNA(_xlfn.XLOOKUP(1,([1]!readmissions[Facility ID] = clean[[#This Row],[Facility ID]]) * ([1]!readmissions[Measure ID] = "Hybrid_HWR"), [1]!readmissions[Score]), "No Match")</f>
        <v>15.3</v>
      </c>
    </row>
    <row r="392" spans="1:6" x14ac:dyDescent="0.2">
      <c r="A392" t="str">
        <f>[1]!hospitalinfo[[#This Row],[Facility ID]]</f>
        <v>050129</v>
      </c>
      <c r="B392" t="str">
        <f>[1]!hospitalinfo[[#This Row],[State]]</f>
        <v>CA</v>
      </c>
      <c r="C392" t="str">
        <f>[1]!hospitalinfo[[#This Row],[Hospital Type]]</f>
        <v>Acute Care Hospitals</v>
      </c>
      <c r="D392" t="str">
        <f>[1]!hospitalinfo[[#This Row],[Hospital Ownership]]</f>
        <v>Voluntary non-profit - Private</v>
      </c>
      <c r="E392" cm="1">
        <f t="array" ref="E392">_xlfn.IFNA(_xlfn.XLOOKUP(1,([1]!hcahps[Facility ID] = clean[[#This Row],[Facility ID]]) * ([1]!hcahps[HCAHPS Measure ID] = "H_HSP_RATING_LINEAR_SCORE"), [1]!hcahps[HCAHPS Linear Mean Value]), "No Match")</f>
        <v>87</v>
      </c>
      <c r="F392" cm="1">
        <f t="array" ref="F392">_xlfn.IFNA(_xlfn.XLOOKUP(1,([1]!readmissions[Facility ID] = clean[[#This Row],[Facility ID]]) * ([1]!readmissions[Measure ID] = "Hybrid_HWR"), [1]!readmissions[Score]), "No Match")</f>
        <v>15.7</v>
      </c>
    </row>
    <row r="393" spans="1:6" x14ac:dyDescent="0.2">
      <c r="A393" t="str">
        <f>[1]!hospitalinfo[[#This Row],[Facility ID]]</f>
        <v>050131</v>
      </c>
      <c r="B393" t="str">
        <f>[1]!hospitalinfo[[#This Row],[State]]</f>
        <v>CA</v>
      </c>
      <c r="C393" t="str">
        <f>[1]!hospitalinfo[[#This Row],[Hospital Type]]</f>
        <v>Acute Care Hospitals</v>
      </c>
      <c r="D393" t="str">
        <f>[1]!hospitalinfo[[#This Row],[Hospital Ownership]]</f>
        <v>Voluntary non-profit - Private</v>
      </c>
      <c r="E393" cm="1">
        <f t="array" ref="E393">_xlfn.IFNA(_xlfn.XLOOKUP(1,([1]!hcahps[Facility ID] = clean[[#This Row],[Facility ID]]) * ([1]!hcahps[HCAHPS Measure ID] = "H_HSP_RATING_LINEAR_SCORE"), [1]!hcahps[HCAHPS Linear Mean Value]), "No Match")</f>
        <v>92</v>
      </c>
      <c r="F393" cm="1">
        <f t="array" ref="F393">_xlfn.IFNA(_xlfn.XLOOKUP(1,([1]!readmissions[Facility ID] = clean[[#This Row],[Facility ID]]) * ([1]!readmissions[Measure ID] = "Hybrid_HWR"), [1]!readmissions[Score]), "No Match")</f>
        <v>14.4</v>
      </c>
    </row>
    <row r="394" spans="1:6" x14ac:dyDescent="0.2">
      <c r="A394" t="str">
        <f>[1]!hospitalinfo[[#This Row],[Facility ID]]</f>
        <v>050132</v>
      </c>
      <c r="B394" t="str">
        <f>[1]!hospitalinfo[[#This Row],[State]]</f>
        <v>CA</v>
      </c>
      <c r="C394" t="str">
        <f>[1]!hospitalinfo[[#This Row],[Hospital Type]]</f>
        <v>Acute Care Hospitals</v>
      </c>
      <c r="D394" t="str">
        <f>[1]!hospitalinfo[[#This Row],[Hospital Ownership]]</f>
        <v>Proprietary</v>
      </c>
      <c r="E394" cm="1">
        <f t="array" ref="E394">_xlfn.IFNA(_xlfn.XLOOKUP(1,([1]!hcahps[Facility ID] = clean[[#This Row],[Facility ID]]) * ([1]!hcahps[HCAHPS Measure ID] = "H_HSP_RATING_LINEAR_SCORE"), [1]!hcahps[HCAHPS Linear Mean Value]), "No Match")</f>
        <v>85</v>
      </c>
      <c r="F394" cm="1">
        <f t="array" ref="F394">_xlfn.IFNA(_xlfn.XLOOKUP(1,([1]!readmissions[Facility ID] = clean[[#This Row],[Facility ID]]) * ([1]!readmissions[Measure ID] = "Hybrid_HWR"), [1]!readmissions[Score]), "No Match")</f>
        <v>14.8</v>
      </c>
    </row>
    <row r="395" spans="1:6" x14ac:dyDescent="0.2">
      <c r="A395" t="str">
        <f>[1]!hospitalinfo[[#This Row],[Facility ID]]</f>
        <v>050133</v>
      </c>
      <c r="B395" t="str">
        <f>[1]!hospitalinfo[[#This Row],[State]]</f>
        <v>CA</v>
      </c>
      <c r="C395" t="str">
        <f>[1]!hospitalinfo[[#This Row],[Hospital Type]]</f>
        <v>Acute Care Hospitals</v>
      </c>
      <c r="D395" t="str">
        <f>[1]!hospitalinfo[[#This Row],[Hospital Ownership]]</f>
        <v>Government - Federal</v>
      </c>
      <c r="E395" cm="1">
        <f t="array" ref="E395">_xlfn.IFNA(_xlfn.XLOOKUP(1,([1]!hcahps[Facility ID] = clean[[#This Row],[Facility ID]]) * ([1]!hcahps[HCAHPS Measure ID] = "H_HSP_RATING_LINEAR_SCORE"), [1]!hcahps[HCAHPS Linear Mean Value]), "No Match")</f>
        <v>82</v>
      </c>
      <c r="F395" cm="1">
        <f t="array" ref="F395">_xlfn.IFNA(_xlfn.XLOOKUP(1,([1]!readmissions[Facility ID] = clean[[#This Row],[Facility ID]]) * ([1]!readmissions[Measure ID] = "Hybrid_HWR"), [1]!readmissions[Score]), "No Match")</f>
        <v>15</v>
      </c>
    </row>
    <row r="396" spans="1:6" x14ac:dyDescent="0.2">
      <c r="A396" t="str">
        <f>[1]!hospitalinfo[[#This Row],[Facility ID]]</f>
        <v>050135</v>
      </c>
      <c r="B396" t="str">
        <f>[1]!hospitalinfo[[#This Row],[State]]</f>
        <v>CA</v>
      </c>
      <c r="C396" t="str">
        <f>[1]!hospitalinfo[[#This Row],[Hospital Type]]</f>
        <v>Acute Care Hospitals</v>
      </c>
      <c r="D396" t="str">
        <f>[1]!hospitalinfo[[#This Row],[Hospital Ownership]]</f>
        <v>Proprietary</v>
      </c>
      <c r="E396" cm="1">
        <f t="array" ref="E396">_xlfn.IFNA(_xlfn.XLOOKUP(1,([1]!hcahps[Facility ID] = clean[[#This Row],[Facility ID]]) * ([1]!hcahps[HCAHPS Measure ID] = "H_HSP_RATING_LINEAR_SCORE"), [1]!hcahps[HCAHPS Linear Mean Value]), "No Match")</f>
        <v>72</v>
      </c>
      <c r="F396" cm="1">
        <f t="array" ref="F396">_xlfn.IFNA(_xlfn.XLOOKUP(1,([1]!readmissions[Facility ID] = clean[[#This Row],[Facility ID]]) * ([1]!readmissions[Measure ID] = "Hybrid_HWR"), [1]!readmissions[Score]), "No Match")</f>
        <v>14.5</v>
      </c>
    </row>
    <row r="397" spans="1:6" x14ac:dyDescent="0.2">
      <c r="A397" t="str">
        <f>[1]!hospitalinfo[[#This Row],[Facility ID]]</f>
        <v>050136</v>
      </c>
      <c r="B397" t="str">
        <f>[1]!hospitalinfo[[#This Row],[State]]</f>
        <v>CA</v>
      </c>
      <c r="C397" t="str">
        <f>[1]!hospitalinfo[[#This Row],[Hospital Type]]</f>
        <v>Acute Care Hospitals</v>
      </c>
      <c r="D397" t="str">
        <f>[1]!hospitalinfo[[#This Row],[Hospital Ownership]]</f>
        <v>Voluntary non-profit - Other</v>
      </c>
      <c r="E397" cm="1">
        <f t="array" ref="E397">_xlfn.IFNA(_xlfn.XLOOKUP(1,([1]!hcahps[Facility ID] = clean[[#This Row],[Facility ID]]) * ([1]!hcahps[HCAHPS Measure ID] = "H_HSP_RATING_LINEAR_SCORE"), [1]!hcahps[HCAHPS Linear Mean Value]), "No Match")</f>
        <v>86</v>
      </c>
      <c r="F397" cm="1">
        <f t="array" ref="F397">_xlfn.IFNA(_xlfn.XLOOKUP(1,([1]!readmissions[Facility ID] = clean[[#This Row],[Facility ID]]) * ([1]!readmissions[Measure ID] = "Hybrid_HWR"), [1]!readmissions[Score]), "No Match")</f>
        <v>14.5</v>
      </c>
    </row>
    <row r="398" spans="1:6" x14ac:dyDescent="0.2">
      <c r="A398" t="str">
        <f>[1]!hospitalinfo[[#This Row],[Facility ID]]</f>
        <v>050137</v>
      </c>
      <c r="B398" t="str">
        <f>[1]!hospitalinfo[[#This Row],[State]]</f>
        <v>CA</v>
      </c>
      <c r="C398" t="str">
        <f>[1]!hospitalinfo[[#This Row],[Hospital Type]]</f>
        <v>Acute Care Hospitals</v>
      </c>
      <c r="D398" t="str">
        <f>[1]!hospitalinfo[[#This Row],[Hospital Ownership]]</f>
        <v>Voluntary non-profit - Private</v>
      </c>
      <c r="E398" cm="1">
        <f t="array" ref="E398">_xlfn.IFNA(_xlfn.XLOOKUP(1,([1]!hcahps[Facility ID] = clean[[#This Row],[Facility ID]]) * ([1]!hcahps[HCAHPS Measure ID] = "H_HSP_RATING_LINEAR_SCORE"), [1]!hcahps[HCAHPS Linear Mean Value]), "No Match")</f>
        <v>89</v>
      </c>
      <c r="F398" cm="1">
        <f t="array" ref="F398">_xlfn.IFNA(_xlfn.XLOOKUP(1,([1]!readmissions[Facility ID] = clean[[#This Row],[Facility ID]]) * ([1]!readmissions[Measure ID] = "Hybrid_HWR"), [1]!readmissions[Score]), "No Match")</f>
        <v>14.9</v>
      </c>
    </row>
    <row r="399" spans="1:6" x14ac:dyDescent="0.2">
      <c r="A399" t="str">
        <f>[1]!hospitalinfo[[#This Row],[Facility ID]]</f>
        <v>050138</v>
      </c>
      <c r="B399" t="str">
        <f>[1]!hospitalinfo[[#This Row],[State]]</f>
        <v>CA</v>
      </c>
      <c r="C399" t="str">
        <f>[1]!hospitalinfo[[#This Row],[Hospital Type]]</f>
        <v>Acute Care Hospitals</v>
      </c>
      <c r="D399" t="str">
        <f>[1]!hospitalinfo[[#This Row],[Hospital Ownership]]</f>
        <v>Voluntary non-profit - Other</v>
      </c>
      <c r="E399" cm="1">
        <f t="array" ref="E399">_xlfn.IFNA(_xlfn.XLOOKUP(1,([1]!hcahps[Facility ID] = clean[[#This Row],[Facility ID]]) * ([1]!hcahps[HCAHPS Measure ID] = "H_HSP_RATING_LINEAR_SCORE"), [1]!hcahps[HCAHPS Linear Mean Value]), "No Match")</f>
        <v>90</v>
      </c>
      <c r="F399" cm="1">
        <f t="array" ref="F399">_xlfn.IFNA(_xlfn.XLOOKUP(1,([1]!readmissions[Facility ID] = clean[[#This Row],[Facility ID]]) * ([1]!readmissions[Measure ID] = "Hybrid_HWR"), [1]!readmissions[Score]), "No Match")</f>
        <v>15.2</v>
      </c>
    </row>
    <row r="400" spans="1:6" x14ac:dyDescent="0.2">
      <c r="A400" t="str">
        <f>[1]!hospitalinfo[[#This Row],[Facility ID]]</f>
        <v>050139</v>
      </c>
      <c r="B400" t="str">
        <f>[1]!hospitalinfo[[#This Row],[State]]</f>
        <v>CA</v>
      </c>
      <c r="C400" t="str">
        <f>[1]!hospitalinfo[[#This Row],[Hospital Type]]</f>
        <v>Acute Care Hospitals</v>
      </c>
      <c r="D400" t="str">
        <f>[1]!hospitalinfo[[#This Row],[Hospital Ownership]]</f>
        <v>Voluntary non-profit - Other</v>
      </c>
      <c r="E400" cm="1">
        <f t="array" ref="E400">_xlfn.IFNA(_xlfn.XLOOKUP(1,([1]!hcahps[Facility ID] = clean[[#This Row],[Facility ID]]) * ([1]!hcahps[HCAHPS Measure ID] = "H_HSP_RATING_LINEAR_SCORE"), [1]!hcahps[HCAHPS Linear Mean Value]), "No Match")</f>
        <v>89</v>
      </c>
      <c r="F400" cm="1">
        <f t="array" ref="F400">_xlfn.IFNA(_xlfn.XLOOKUP(1,([1]!readmissions[Facility ID] = clean[[#This Row],[Facility ID]]) * ([1]!readmissions[Measure ID] = "Hybrid_HWR"), [1]!readmissions[Score]), "No Match")</f>
        <v>15.2</v>
      </c>
    </row>
    <row r="401" spans="1:6" x14ac:dyDescent="0.2">
      <c r="A401" t="str">
        <f>[1]!hospitalinfo[[#This Row],[Facility ID]]</f>
        <v>050140</v>
      </c>
      <c r="B401" t="str">
        <f>[1]!hospitalinfo[[#This Row],[State]]</f>
        <v>CA</v>
      </c>
      <c r="C401" t="str">
        <f>[1]!hospitalinfo[[#This Row],[Hospital Type]]</f>
        <v>Acute Care Hospitals</v>
      </c>
      <c r="D401" t="str">
        <f>[1]!hospitalinfo[[#This Row],[Hospital Ownership]]</f>
        <v>Voluntary non-profit - Private</v>
      </c>
      <c r="E401" cm="1">
        <f t="array" ref="E401">_xlfn.IFNA(_xlfn.XLOOKUP(1,([1]!hcahps[Facility ID] = clean[[#This Row],[Facility ID]]) * ([1]!hcahps[HCAHPS Measure ID] = "H_HSP_RATING_LINEAR_SCORE"), [1]!hcahps[HCAHPS Linear Mean Value]), "No Match")</f>
        <v>92</v>
      </c>
      <c r="F401" cm="1">
        <f t="array" ref="F401">_xlfn.IFNA(_xlfn.XLOOKUP(1,([1]!readmissions[Facility ID] = clean[[#This Row],[Facility ID]]) * ([1]!readmissions[Measure ID] = "Hybrid_HWR"), [1]!readmissions[Score]), "No Match")</f>
        <v>15.5</v>
      </c>
    </row>
    <row r="402" spans="1:6" x14ac:dyDescent="0.2">
      <c r="A402" t="str">
        <f>[1]!hospitalinfo[[#This Row],[Facility ID]]</f>
        <v>050145</v>
      </c>
      <c r="B402" t="str">
        <f>[1]!hospitalinfo[[#This Row],[State]]</f>
        <v>CA</v>
      </c>
      <c r="C402" t="str">
        <f>[1]!hospitalinfo[[#This Row],[Hospital Type]]</f>
        <v>Acute Care Hospitals</v>
      </c>
      <c r="D402" t="str">
        <f>[1]!hospitalinfo[[#This Row],[Hospital Ownership]]</f>
        <v>Voluntary non-profit - Private</v>
      </c>
      <c r="E402" cm="1">
        <f t="array" ref="E402">_xlfn.IFNA(_xlfn.XLOOKUP(1,([1]!hcahps[Facility ID] = clean[[#This Row],[Facility ID]]) * ([1]!hcahps[HCAHPS Measure ID] = "H_HSP_RATING_LINEAR_SCORE"), [1]!hcahps[HCAHPS Linear Mean Value]), "No Match")</f>
        <v>92</v>
      </c>
      <c r="F402" cm="1">
        <f t="array" ref="F402">_xlfn.IFNA(_xlfn.XLOOKUP(1,([1]!readmissions[Facility ID] = clean[[#This Row],[Facility ID]]) * ([1]!readmissions[Measure ID] = "Hybrid_HWR"), [1]!readmissions[Score]), "No Match")</f>
        <v>14.1</v>
      </c>
    </row>
    <row r="403" spans="1:6" x14ac:dyDescent="0.2">
      <c r="A403" t="str">
        <f>[1]!hospitalinfo[[#This Row],[Facility ID]]</f>
        <v>050149</v>
      </c>
      <c r="B403" t="str">
        <f>[1]!hospitalinfo[[#This Row],[State]]</f>
        <v>CA</v>
      </c>
      <c r="C403" t="str">
        <f>[1]!hospitalinfo[[#This Row],[Hospital Type]]</f>
        <v>Acute Care Hospitals</v>
      </c>
      <c r="D403" t="str">
        <f>[1]!hospitalinfo[[#This Row],[Hospital Ownership]]</f>
        <v>Voluntary non-profit - Other</v>
      </c>
      <c r="E403" cm="1">
        <f t="array" ref="E403">_xlfn.IFNA(_xlfn.XLOOKUP(1,([1]!hcahps[Facility ID] = clean[[#This Row],[Facility ID]]) * ([1]!hcahps[HCAHPS Measure ID] = "H_HSP_RATING_LINEAR_SCORE"), [1]!hcahps[HCAHPS Linear Mean Value]), "No Match")</f>
        <v>86</v>
      </c>
      <c r="F403" cm="1">
        <f t="array" ref="F403">_xlfn.IFNA(_xlfn.XLOOKUP(1,([1]!readmissions[Facility ID] = clean[[#This Row],[Facility ID]]) * ([1]!readmissions[Measure ID] = "Hybrid_HWR"), [1]!readmissions[Score]), "No Match")</f>
        <v>15.4</v>
      </c>
    </row>
    <row r="404" spans="1:6" x14ac:dyDescent="0.2">
      <c r="A404" t="str">
        <f>[1]!hospitalinfo[[#This Row],[Facility ID]]</f>
        <v>050150</v>
      </c>
      <c r="B404" t="str">
        <f>[1]!hospitalinfo[[#This Row],[State]]</f>
        <v>CA</v>
      </c>
      <c r="C404" t="str">
        <f>[1]!hospitalinfo[[#This Row],[Hospital Type]]</f>
        <v>Acute Care Hospitals</v>
      </c>
      <c r="D404" t="str">
        <f>[1]!hospitalinfo[[#This Row],[Hospital Ownership]]</f>
        <v>Voluntary non-profit - Other</v>
      </c>
      <c r="E404" cm="1">
        <f t="array" ref="E404">_xlfn.IFNA(_xlfn.XLOOKUP(1,([1]!hcahps[Facility ID] = clean[[#This Row],[Facility ID]]) * ([1]!hcahps[HCAHPS Measure ID] = "H_HSP_RATING_LINEAR_SCORE"), [1]!hcahps[HCAHPS Linear Mean Value]), "No Match")</f>
        <v>88</v>
      </c>
      <c r="F404" cm="1">
        <f t="array" ref="F404">_xlfn.IFNA(_xlfn.XLOOKUP(1,([1]!readmissions[Facility ID] = clean[[#This Row],[Facility ID]]) * ([1]!readmissions[Measure ID] = "Hybrid_HWR"), [1]!readmissions[Score]), "No Match")</f>
        <v>14.3</v>
      </c>
    </row>
    <row r="405" spans="1:6" x14ac:dyDescent="0.2">
      <c r="A405" t="str">
        <f>[1]!hospitalinfo[[#This Row],[Facility ID]]</f>
        <v>050152</v>
      </c>
      <c r="B405" t="str">
        <f>[1]!hospitalinfo[[#This Row],[State]]</f>
        <v>CA</v>
      </c>
      <c r="C405" t="str">
        <f>[1]!hospitalinfo[[#This Row],[Hospital Type]]</f>
        <v>Acute Care Hospitals</v>
      </c>
      <c r="D405" t="str">
        <f>[1]!hospitalinfo[[#This Row],[Hospital Ownership]]</f>
        <v>Voluntary non-profit - Private</v>
      </c>
      <c r="E405" cm="1">
        <f t="array" ref="E405">_xlfn.IFNA(_xlfn.XLOOKUP(1,([1]!hcahps[Facility ID] = clean[[#This Row],[Facility ID]]) * ([1]!hcahps[HCAHPS Measure ID] = "H_HSP_RATING_LINEAR_SCORE"), [1]!hcahps[HCAHPS Linear Mean Value]), "No Match")</f>
        <v>85</v>
      </c>
      <c r="F405" cm="1">
        <f t="array" ref="F405">_xlfn.IFNA(_xlfn.XLOOKUP(1,([1]!readmissions[Facility ID] = clean[[#This Row],[Facility ID]]) * ([1]!readmissions[Measure ID] = "Hybrid_HWR"), [1]!readmissions[Score]), "No Match")</f>
        <v>14.7</v>
      </c>
    </row>
    <row r="406" spans="1:6" x14ac:dyDescent="0.2">
      <c r="A406" t="str">
        <f>[1]!hospitalinfo[[#This Row],[Facility ID]]</f>
        <v>050158</v>
      </c>
      <c r="B406" t="str">
        <f>[1]!hospitalinfo[[#This Row],[State]]</f>
        <v>CA</v>
      </c>
      <c r="C406" t="str">
        <f>[1]!hospitalinfo[[#This Row],[Hospital Type]]</f>
        <v>Acute Care Hospitals</v>
      </c>
      <c r="D406" t="str">
        <f>[1]!hospitalinfo[[#This Row],[Hospital Ownership]]</f>
        <v>Proprietary</v>
      </c>
      <c r="E406" cm="1">
        <f t="array" ref="E406">_xlfn.IFNA(_xlfn.XLOOKUP(1,([1]!hcahps[Facility ID] = clean[[#This Row],[Facility ID]]) * ([1]!hcahps[HCAHPS Measure ID] = "H_HSP_RATING_LINEAR_SCORE"), [1]!hcahps[HCAHPS Linear Mean Value]), "No Match")</f>
        <v>82</v>
      </c>
      <c r="F406" cm="1">
        <f t="array" ref="F406">_xlfn.IFNA(_xlfn.XLOOKUP(1,([1]!readmissions[Facility ID] = clean[[#This Row],[Facility ID]]) * ([1]!readmissions[Measure ID] = "Hybrid_HWR"), [1]!readmissions[Score]), "No Match")</f>
        <v>15.6</v>
      </c>
    </row>
    <row r="407" spans="1:6" x14ac:dyDescent="0.2">
      <c r="A407" t="str">
        <f>[1]!hospitalinfo[[#This Row],[Facility ID]]</f>
        <v>050159</v>
      </c>
      <c r="B407" t="str">
        <f>[1]!hospitalinfo[[#This Row],[State]]</f>
        <v>CA</v>
      </c>
      <c r="C407" t="str">
        <f>[1]!hospitalinfo[[#This Row],[Hospital Type]]</f>
        <v>Acute Care Hospitals</v>
      </c>
      <c r="D407" t="str">
        <f>[1]!hospitalinfo[[#This Row],[Hospital Ownership]]</f>
        <v>Government - Local</v>
      </c>
      <c r="E407" cm="1">
        <f t="array" ref="E407">_xlfn.IFNA(_xlfn.XLOOKUP(1,([1]!hcahps[Facility ID] = clean[[#This Row],[Facility ID]]) * ([1]!hcahps[HCAHPS Measure ID] = "H_HSP_RATING_LINEAR_SCORE"), [1]!hcahps[HCAHPS Linear Mean Value]), "No Match")</f>
        <v>88</v>
      </c>
      <c r="F407" cm="1">
        <f t="array" ref="F407">_xlfn.IFNA(_xlfn.XLOOKUP(1,([1]!readmissions[Facility ID] = clean[[#This Row],[Facility ID]]) * ([1]!readmissions[Measure ID] = "Hybrid_HWR"), [1]!readmissions[Score]), "No Match")</f>
        <v>16.7</v>
      </c>
    </row>
    <row r="408" spans="1:6" x14ac:dyDescent="0.2">
      <c r="A408" t="str">
        <f>[1]!hospitalinfo[[#This Row],[Facility ID]]</f>
        <v>05015F</v>
      </c>
      <c r="B408" t="str">
        <f>[1]!hospitalinfo[[#This Row],[State]]</f>
        <v>CA</v>
      </c>
      <c r="C408" t="str">
        <f>[1]!hospitalinfo[[#This Row],[Hospital Type]]</f>
        <v>Acute Care - Department of Defense</v>
      </c>
      <c r="D408" t="str">
        <f>[1]!hospitalinfo[[#This Row],[Hospital Ownership]]</f>
        <v>Department of Defense</v>
      </c>
      <c r="E408" cm="1">
        <f t="array" ref="E408">_xlfn.IFNA(_xlfn.XLOOKUP(1,([1]!hcahps[Facility ID] = clean[[#This Row],[Facility ID]]) * ([1]!hcahps[HCAHPS Measure ID] = "H_HSP_RATING_LINEAR_SCORE"), [1]!hcahps[HCAHPS Linear Mean Value]), "No Match")</f>
        <v>93</v>
      </c>
      <c r="F408" t="str" cm="1">
        <f t="array" ref="F408">_xlfn.IFNA(_xlfn.XLOOKUP(1,([1]!readmissions[Facility ID] = clean[[#This Row],[Facility ID]]) * ([1]!readmissions[Measure ID] = "Hybrid_HWR"), [1]!readmissions[Score]), "No Match")</f>
        <v>Not Available</v>
      </c>
    </row>
    <row r="409" spans="1:6" x14ac:dyDescent="0.2">
      <c r="A409" t="str">
        <f>[1]!hospitalinfo[[#This Row],[Facility ID]]</f>
        <v>050167</v>
      </c>
      <c r="B409" t="str">
        <f>[1]!hospitalinfo[[#This Row],[State]]</f>
        <v>CA</v>
      </c>
      <c r="C409" t="str">
        <f>[1]!hospitalinfo[[#This Row],[Hospital Type]]</f>
        <v>Acute Care Hospitals</v>
      </c>
      <c r="D409" t="str">
        <f>[1]!hospitalinfo[[#This Row],[Hospital Ownership]]</f>
        <v>Government - Local</v>
      </c>
      <c r="E409" cm="1">
        <f t="array" ref="E409">_xlfn.IFNA(_xlfn.XLOOKUP(1,([1]!hcahps[Facility ID] = clean[[#This Row],[Facility ID]]) * ([1]!hcahps[HCAHPS Measure ID] = "H_HSP_RATING_LINEAR_SCORE"), [1]!hcahps[HCAHPS Linear Mean Value]), "No Match")</f>
        <v>84</v>
      </c>
      <c r="F409" cm="1">
        <f t="array" ref="F409">_xlfn.IFNA(_xlfn.XLOOKUP(1,([1]!readmissions[Facility ID] = clean[[#This Row],[Facility ID]]) * ([1]!readmissions[Measure ID] = "Hybrid_HWR"), [1]!readmissions[Score]), "No Match")</f>
        <v>15.2</v>
      </c>
    </row>
    <row r="410" spans="1:6" x14ac:dyDescent="0.2">
      <c r="A410" t="str">
        <f>[1]!hospitalinfo[[#This Row],[Facility ID]]</f>
        <v>050168</v>
      </c>
      <c r="B410" t="str">
        <f>[1]!hospitalinfo[[#This Row],[State]]</f>
        <v>CA</v>
      </c>
      <c r="C410" t="str">
        <f>[1]!hospitalinfo[[#This Row],[Hospital Type]]</f>
        <v>Acute Care Hospitals</v>
      </c>
      <c r="D410" t="str">
        <f>[1]!hospitalinfo[[#This Row],[Hospital Ownership]]</f>
        <v>Voluntary non-profit - Church</v>
      </c>
      <c r="E410" cm="1">
        <f t="array" ref="E410">_xlfn.IFNA(_xlfn.XLOOKUP(1,([1]!hcahps[Facility ID] = clean[[#This Row],[Facility ID]]) * ([1]!hcahps[HCAHPS Measure ID] = "H_HSP_RATING_LINEAR_SCORE"), [1]!hcahps[HCAHPS Linear Mean Value]), "No Match")</f>
        <v>90</v>
      </c>
      <c r="F410" cm="1">
        <f t="array" ref="F410">_xlfn.IFNA(_xlfn.XLOOKUP(1,([1]!readmissions[Facility ID] = clean[[#This Row],[Facility ID]]) * ([1]!readmissions[Measure ID] = "Hybrid_HWR"), [1]!readmissions[Score]), "No Match")</f>
        <v>14.1</v>
      </c>
    </row>
    <row r="411" spans="1:6" x14ac:dyDescent="0.2">
      <c r="A411" t="str">
        <f>[1]!hospitalinfo[[#This Row],[Facility ID]]</f>
        <v>050169</v>
      </c>
      <c r="B411" t="str">
        <f>[1]!hospitalinfo[[#This Row],[State]]</f>
        <v>CA</v>
      </c>
      <c r="C411" t="str">
        <f>[1]!hospitalinfo[[#This Row],[Hospital Type]]</f>
        <v>Acute Care Hospitals</v>
      </c>
      <c r="D411" t="str">
        <f>[1]!hospitalinfo[[#This Row],[Hospital Ownership]]</f>
        <v>Voluntary non-profit - Private</v>
      </c>
      <c r="E411" cm="1">
        <f t="array" ref="E411">_xlfn.IFNA(_xlfn.XLOOKUP(1,([1]!hcahps[Facility ID] = clean[[#This Row],[Facility ID]]) * ([1]!hcahps[HCAHPS Measure ID] = "H_HSP_RATING_LINEAR_SCORE"), [1]!hcahps[HCAHPS Linear Mean Value]), "No Match")</f>
        <v>91</v>
      </c>
      <c r="F411" cm="1">
        <f t="array" ref="F411">_xlfn.IFNA(_xlfn.XLOOKUP(1,([1]!readmissions[Facility ID] = clean[[#This Row],[Facility ID]]) * ([1]!readmissions[Measure ID] = "Hybrid_HWR"), [1]!readmissions[Score]), "No Match")</f>
        <v>16.3</v>
      </c>
    </row>
    <row r="412" spans="1:6" x14ac:dyDescent="0.2">
      <c r="A412" t="str">
        <f>[1]!hospitalinfo[[#This Row],[Facility ID]]</f>
        <v>050174</v>
      </c>
      <c r="B412" t="str">
        <f>[1]!hospitalinfo[[#This Row],[State]]</f>
        <v>CA</v>
      </c>
      <c r="C412" t="str">
        <f>[1]!hospitalinfo[[#This Row],[Hospital Type]]</f>
        <v>Acute Care Hospitals</v>
      </c>
      <c r="D412" t="str">
        <f>[1]!hospitalinfo[[#This Row],[Hospital Ownership]]</f>
        <v>Voluntary non-profit - Private</v>
      </c>
      <c r="E412" cm="1">
        <f t="array" ref="E412">_xlfn.IFNA(_xlfn.XLOOKUP(1,([1]!hcahps[Facility ID] = clean[[#This Row],[Facility ID]]) * ([1]!hcahps[HCAHPS Measure ID] = "H_HSP_RATING_LINEAR_SCORE"), [1]!hcahps[HCAHPS Linear Mean Value]), "No Match")</f>
        <v>86</v>
      </c>
      <c r="F412" cm="1">
        <f t="array" ref="F412">_xlfn.IFNA(_xlfn.XLOOKUP(1,([1]!readmissions[Facility ID] = clean[[#This Row],[Facility ID]]) * ([1]!readmissions[Measure ID] = "Hybrid_HWR"), [1]!readmissions[Score]), "No Match")</f>
        <v>13.5</v>
      </c>
    </row>
    <row r="413" spans="1:6" x14ac:dyDescent="0.2">
      <c r="A413" t="str">
        <f>[1]!hospitalinfo[[#This Row],[Facility ID]]</f>
        <v>050179</v>
      </c>
      <c r="B413" t="str">
        <f>[1]!hospitalinfo[[#This Row],[State]]</f>
        <v>CA</v>
      </c>
      <c r="C413" t="str">
        <f>[1]!hospitalinfo[[#This Row],[Hospital Type]]</f>
        <v>Acute Care Hospitals</v>
      </c>
      <c r="D413" t="str">
        <f>[1]!hospitalinfo[[#This Row],[Hospital Ownership]]</f>
        <v>Proprietary</v>
      </c>
      <c r="E413" cm="1">
        <f t="array" ref="E413">_xlfn.IFNA(_xlfn.XLOOKUP(1,([1]!hcahps[Facility ID] = clean[[#This Row],[Facility ID]]) * ([1]!hcahps[HCAHPS Measure ID] = "H_HSP_RATING_LINEAR_SCORE"), [1]!hcahps[HCAHPS Linear Mean Value]), "No Match")</f>
        <v>83</v>
      </c>
      <c r="F413" cm="1">
        <f t="array" ref="F413">_xlfn.IFNA(_xlfn.XLOOKUP(1,([1]!readmissions[Facility ID] = clean[[#This Row],[Facility ID]]) * ([1]!readmissions[Measure ID] = "Hybrid_HWR"), [1]!readmissions[Score]), "No Match")</f>
        <v>15.4</v>
      </c>
    </row>
    <row r="414" spans="1:6" x14ac:dyDescent="0.2">
      <c r="A414" t="str">
        <f>[1]!hospitalinfo[[#This Row],[Facility ID]]</f>
        <v>050180</v>
      </c>
      <c r="B414" t="str">
        <f>[1]!hospitalinfo[[#This Row],[State]]</f>
        <v>CA</v>
      </c>
      <c r="C414" t="str">
        <f>[1]!hospitalinfo[[#This Row],[Hospital Type]]</f>
        <v>Acute Care Hospitals</v>
      </c>
      <c r="D414" t="str">
        <f>[1]!hospitalinfo[[#This Row],[Hospital Ownership]]</f>
        <v>Voluntary non-profit - Other</v>
      </c>
      <c r="E414" cm="1">
        <f t="array" ref="E414">_xlfn.IFNA(_xlfn.XLOOKUP(1,([1]!hcahps[Facility ID] = clean[[#This Row],[Facility ID]]) * ([1]!hcahps[HCAHPS Measure ID] = "H_HSP_RATING_LINEAR_SCORE"), [1]!hcahps[HCAHPS Linear Mean Value]), "No Match")</f>
        <v>88</v>
      </c>
      <c r="F414" cm="1">
        <f t="array" ref="F414">_xlfn.IFNA(_xlfn.XLOOKUP(1,([1]!readmissions[Facility ID] = clean[[#This Row],[Facility ID]]) * ([1]!readmissions[Measure ID] = "Hybrid_HWR"), [1]!readmissions[Score]), "No Match")</f>
        <v>13</v>
      </c>
    </row>
    <row r="415" spans="1:6" x14ac:dyDescent="0.2">
      <c r="A415" t="str">
        <f>[1]!hospitalinfo[[#This Row],[Facility ID]]</f>
        <v>050191</v>
      </c>
      <c r="B415" t="str">
        <f>[1]!hospitalinfo[[#This Row],[State]]</f>
        <v>CA</v>
      </c>
      <c r="C415" t="str">
        <f>[1]!hospitalinfo[[#This Row],[Hospital Type]]</f>
        <v>Acute Care Hospitals</v>
      </c>
      <c r="D415" t="str">
        <f>[1]!hospitalinfo[[#This Row],[Hospital Ownership]]</f>
        <v>Voluntary non-profit - Church</v>
      </c>
      <c r="E415" cm="1">
        <f t="array" ref="E415">_xlfn.IFNA(_xlfn.XLOOKUP(1,([1]!hcahps[Facility ID] = clean[[#This Row],[Facility ID]]) * ([1]!hcahps[HCAHPS Measure ID] = "H_HSP_RATING_LINEAR_SCORE"), [1]!hcahps[HCAHPS Linear Mean Value]), "No Match")</f>
        <v>85</v>
      </c>
      <c r="F415" cm="1">
        <f t="array" ref="F415">_xlfn.IFNA(_xlfn.XLOOKUP(1,([1]!readmissions[Facility ID] = clean[[#This Row],[Facility ID]]) * ([1]!readmissions[Measure ID] = "Hybrid_HWR"), [1]!readmissions[Score]), "No Match")</f>
        <v>14</v>
      </c>
    </row>
    <row r="416" spans="1:6" x14ac:dyDescent="0.2">
      <c r="A416" t="str">
        <f>[1]!hospitalinfo[[#This Row],[Facility ID]]</f>
        <v>050192</v>
      </c>
      <c r="B416" t="str">
        <f>[1]!hospitalinfo[[#This Row],[State]]</f>
        <v>CA</v>
      </c>
      <c r="C416" t="str">
        <f>[1]!hospitalinfo[[#This Row],[Hospital Type]]</f>
        <v>Acute Care Hospitals</v>
      </c>
      <c r="D416" t="str">
        <f>[1]!hospitalinfo[[#This Row],[Hospital Ownership]]</f>
        <v>Voluntary non-profit - Private</v>
      </c>
      <c r="E416" cm="1">
        <f t="array" ref="E416">_xlfn.IFNA(_xlfn.XLOOKUP(1,([1]!hcahps[Facility ID] = clean[[#This Row],[Facility ID]]) * ([1]!hcahps[HCAHPS Measure ID] = "H_HSP_RATING_LINEAR_SCORE"), [1]!hcahps[HCAHPS Linear Mean Value]), "No Match")</f>
        <v>87</v>
      </c>
      <c r="F416" cm="1">
        <f t="array" ref="F416">_xlfn.IFNA(_xlfn.XLOOKUP(1,([1]!readmissions[Facility ID] = clean[[#This Row],[Facility ID]]) * ([1]!readmissions[Measure ID] = "Hybrid_HWR"), [1]!readmissions[Score]), "No Match")</f>
        <v>14.7</v>
      </c>
    </row>
    <row r="417" spans="1:6" x14ac:dyDescent="0.2">
      <c r="A417" t="str">
        <f>[1]!hospitalinfo[[#This Row],[Facility ID]]</f>
        <v>050194</v>
      </c>
      <c r="B417" t="str">
        <f>[1]!hospitalinfo[[#This Row],[State]]</f>
        <v>CA</v>
      </c>
      <c r="C417" t="str">
        <f>[1]!hospitalinfo[[#This Row],[Hospital Type]]</f>
        <v>Acute Care Hospitals</v>
      </c>
      <c r="D417" t="str">
        <f>[1]!hospitalinfo[[#This Row],[Hospital Ownership]]</f>
        <v>Proprietary</v>
      </c>
      <c r="E417" cm="1">
        <f t="array" ref="E417">_xlfn.IFNA(_xlfn.XLOOKUP(1,([1]!hcahps[Facility ID] = clean[[#This Row],[Facility ID]]) * ([1]!hcahps[HCAHPS Measure ID] = "H_HSP_RATING_LINEAR_SCORE"), [1]!hcahps[HCAHPS Linear Mean Value]), "No Match")</f>
        <v>87</v>
      </c>
      <c r="F417" cm="1">
        <f t="array" ref="F417">_xlfn.IFNA(_xlfn.XLOOKUP(1,([1]!readmissions[Facility ID] = clean[[#This Row],[Facility ID]]) * ([1]!readmissions[Measure ID] = "Hybrid_HWR"), [1]!readmissions[Score]), "No Match")</f>
        <v>15.6</v>
      </c>
    </row>
    <row r="418" spans="1:6" x14ac:dyDescent="0.2">
      <c r="A418" t="str">
        <f>[1]!hospitalinfo[[#This Row],[Facility ID]]</f>
        <v>050195</v>
      </c>
      <c r="B418" t="str">
        <f>[1]!hospitalinfo[[#This Row],[State]]</f>
        <v>CA</v>
      </c>
      <c r="C418" t="str">
        <f>[1]!hospitalinfo[[#This Row],[Hospital Type]]</f>
        <v>Acute Care Hospitals</v>
      </c>
      <c r="D418" t="str">
        <f>[1]!hospitalinfo[[#This Row],[Hospital Ownership]]</f>
        <v>Government - Hospital District or Authority</v>
      </c>
      <c r="E418" cm="1">
        <f t="array" ref="E418">_xlfn.IFNA(_xlfn.XLOOKUP(1,([1]!hcahps[Facility ID] = clean[[#This Row],[Facility ID]]) * ([1]!hcahps[HCAHPS Measure ID] = "H_HSP_RATING_LINEAR_SCORE"), [1]!hcahps[HCAHPS Linear Mean Value]), "No Match")</f>
        <v>87</v>
      </c>
      <c r="F418" cm="1">
        <f t="array" ref="F418">_xlfn.IFNA(_xlfn.XLOOKUP(1,([1]!readmissions[Facility ID] = clean[[#This Row],[Facility ID]]) * ([1]!readmissions[Measure ID] = "Hybrid_HWR"), [1]!readmissions[Score]), "No Match")</f>
        <v>16.2</v>
      </c>
    </row>
    <row r="419" spans="1:6" x14ac:dyDescent="0.2">
      <c r="A419" t="str">
        <f>[1]!hospitalinfo[[#This Row],[Facility ID]]</f>
        <v>050197</v>
      </c>
      <c r="B419" t="str">
        <f>[1]!hospitalinfo[[#This Row],[State]]</f>
        <v>CA</v>
      </c>
      <c r="C419" t="str">
        <f>[1]!hospitalinfo[[#This Row],[Hospital Type]]</f>
        <v>Acute Care Hospitals</v>
      </c>
      <c r="D419" t="str">
        <f>[1]!hospitalinfo[[#This Row],[Hospital Ownership]]</f>
        <v>Voluntary non-profit - Private</v>
      </c>
      <c r="E419" cm="1">
        <f t="array" ref="E419">_xlfn.IFNA(_xlfn.XLOOKUP(1,([1]!hcahps[Facility ID] = clean[[#This Row],[Facility ID]]) * ([1]!hcahps[HCAHPS Measure ID] = "H_HSP_RATING_LINEAR_SCORE"), [1]!hcahps[HCAHPS Linear Mean Value]), "No Match")</f>
        <v>90</v>
      </c>
      <c r="F419" cm="1">
        <f t="array" ref="F419">_xlfn.IFNA(_xlfn.XLOOKUP(1,([1]!readmissions[Facility ID] = clean[[#This Row],[Facility ID]]) * ([1]!readmissions[Measure ID] = "Hybrid_HWR"), [1]!readmissions[Score]), "No Match")</f>
        <v>14.7</v>
      </c>
    </row>
    <row r="420" spans="1:6" x14ac:dyDescent="0.2">
      <c r="A420" t="str">
        <f>[1]!hospitalinfo[[#This Row],[Facility ID]]</f>
        <v>050204</v>
      </c>
      <c r="B420" t="str">
        <f>[1]!hospitalinfo[[#This Row],[State]]</f>
        <v>CA</v>
      </c>
      <c r="C420" t="str">
        <f>[1]!hospitalinfo[[#This Row],[Hospital Type]]</f>
        <v>Acute Care Hospitals</v>
      </c>
      <c r="D420" t="str">
        <f>[1]!hospitalinfo[[#This Row],[Hospital Ownership]]</f>
        <v>Proprietary</v>
      </c>
      <c r="E420" cm="1">
        <f t="array" ref="E420">_xlfn.IFNA(_xlfn.XLOOKUP(1,([1]!hcahps[Facility ID] = clean[[#This Row],[Facility ID]]) * ([1]!hcahps[HCAHPS Measure ID] = "H_HSP_RATING_LINEAR_SCORE"), [1]!hcahps[HCAHPS Linear Mean Value]), "No Match")</f>
        <v>86</v>
      </c>
      <c r="F420" cm="1">
        <f t="array" ref="F420">_xlfn.IFNA(_xlfn.XLOOKUP(1,([1]!readmissions[Facility ID] = clean[[#This Row],[Facility ID]]) * ([1]!readmissions[Measure ID] = "Hybrid_HWR"), [1]!readmissions[Score]), "No Match")</f>
        <v>15</v>
      </c>
    </row>
    <row r="421" spans="1:6" x14ac:dyDescent="0.2">
      <c r="A421" t="str">
        <f>[1]!hospitalinfo[[#This Row],[Facility ID]]</f>
        <v>05020F</v>
      </c>
      <c r="B421" t="str">
        <f>[1]!hospitalinfo[[#This Row],[State]]</f>
        <v>CA</v>
      </c>
      <c r="C421" t="str">
        <f>[1]!hospitalinfo[[#This Row],[Hospital Type]]</f>
        <v>Acute Care - Department of Defense</v>
      </c>
      <c r="D421" t="str">
        <f>[1]!hospitalinfo[[#This Row],[Hospital Ownership]]</f>
        <v>Department of Defense</v>
      </c>
      <c r="E421" cm="1">
        <f t="array" ref="E421">_xlfn.IFNA(_xlfn.XLOOKUP(1,([1]!hcahps[Facility ID] = clean[[#This Row],[Facility ID]]) * ([1]!hcahps[HCAHPS Measure ID] = "H_HSP_RATING_LINEAR_SCORE"), [1]!hcahps[HCAHPS Linear Mean Value]), "No Match")</f>
        <v>89</v>
      </c>
      <c r="F421" t="str" cm="1">
        <f t="array" ref="F421">_xlfn.IFNA(_xlfn.XLOOKUP(1,([1]!readmissions[Facility ID] = clean[[#This Row],[Facility ID]]) * ([1]!readmissions[Measure ID] = "Hybrid_HWR"), [1]!readmissions[Score]), "No Match")</f>
        <v>Not Available</v>
      </c>
    </row>
    <row r="422" spans="1:6" x14ac:dyDescent="0.2">
      <c r="A422" t="str">
        <f>[1]!hospitalinfo[[#This Row],[Facility ID]]</f>
        <v>050211</v>
      </c>
      <c r="B422" t="str">
        <f>[1]!hospitalinfo[[#This Row],[State]]</f>
        <v>CA</v>
      </c>
      <c r="C422" t="str">
        <f>[1]!hospitalinfo[[#This Row],[Hospital Type]]</f>
        <v>Acute Care Hospitals</v>
      </c>
      <c r="D422" t="str">
        <f>[1]!hospitalinfo[[#This Row],[Hospital Ownership]]</f>
        <v>Government - Hospital District or Authority</v>
      </c>
      <c r="E422" cm="1">
        <f t="array" ref="E422">_xlfn.IFNA(_xlfn.XLOOKUP(1,([1]!hcahps[Facility ID] = clean[[#This Row],[Facility ID]]) * ([1]!hcahps[HCAHPS Measure ID] = "H_HSP_RATING_LINEAR_SCORE"), [1]!hcahps[HCAHPS Linear Mean Value]), "No Match")</f>
        <v>87</v>
      </c>
      <c r="F422" cm="1">
        <f t="array" ref="F422">_xlfn.IFNA(_xlfn.XLOOKUP(1,([1]!readmissions[Facility ID] = clean[[#This Row],[Facility ID]]) * ([1]!readmissions[Measure ID] = "Hybrid_HWR"), [1]!readmissions[Score]), "No Match")</f>
        <v>14.8</v>
      </c>
    </row>
    <row r="423" spans="1:6" x14ac:dyDescent="0.2">
      <c r="A423" t="str">
        <f>[1]!hospitalinfo[[#This Row],[Facility ID]]</f>
        <v>050222</v>
      </c>
      <c r="B423" t="str">
        <f>[1]!hospitalinfo[[#This Row],[State]]</f>
        <v>CA</v>
      </c>
      <c r="C423" t="str">
        <f>[1]!hospitalinfo[[#This Row],[Hospital Type]]</f>
        <v>Acute Care Hospitals</v>
      </c>
      <c r="D423" t="str">
        <f>[1]!hospitalinfo[[#This Row],[Hospital Ownership]]</f>
        <v>Proprietary</v>
      </c>
      <c r="E423" cm="1">
        <f t="array" ref="E423">_xlfn.IFNA(_xlfn.XLOOKUP(1,([1]!hcahps[Facility ID] = clean[[#This Row],[Facility ID]]) * ([1]!hcahps[HCAHPS Measure ID] = "H_HSP_RATING_LINEAR_SCORE"), [1]!hcahps[HCAHPS Linear Mean Value]), "No Match")</f>
        <v>88</v>
      </c>
      <c r="F423" cm="1">
        <f t="array" ref="F423">_xlfn.IFNA(_xlfn.XLOOKUP(1,([1]!readmissions[Facility ID] = clean[[#This Row],[Facility ID]]) * ([1]!readmissions[Measure ID] = "Hybrid_HWR"), [1]!readmissions[Score]), "No Match")</f>
        <v>14.3</v>
      </c>
    </row>
    <row r="424" spans="1:6" x14ac:dyDescent="0.2">
      <c r="A424" t="str">
        <f>[1]!hospitalinfo[[#This Row],[Facility ID]]</f>
        <v>050224</v>
      </c>
      <c r="B424" t="str">
        <f>[1]!hospitalinfo[[#This Row],[State]]</f>
        <v>CA</v>
      </c>
      <c r="C424" t="str">
        <f>[1]!hospitalinfo[[#This Row],[Hospital Type]]</f>
        <v>Acute Care Hospitals</v>
      </c>
      <c r="D424" t="str">
        <f>[1]!hospitalinfo[[#This Row],[Hospital Ownership]]</f>
        <v>Voluntary non-profit - Private</v>
      </c>
      <c r="E424" cm="1">
        <f t="array" ref="E424">_xlfn.IFNA(_xlfn.XLOOKUP(1,([1]!hcahps[Facility ID] = clean[[#This Row],[Facility ID]]) * ([1]!hcahps[HCAHPS Measure ID] = "H_HSP_RATING_LINEAR_SCORE"), [1]!hcahps[HCAHPS Linear Mean Value]), "No Match")</f>
        <v>93</v>
      </c>
      <c r="F424" cm="1">
        <f t="array" ref="F424">_xlfn.IFNA(_xlfn.XLOOKUP(1,([1]!readmissions[Facility ID] = clean[[#This Row],[Facility ID]]) * ([1]!readmissions[Measure ID] = "Hybrid_HWR"), [1]!readmissions[Score]), "No Match")</f>
        <v>14.9</v>
      </c>
    </row>
    <row r="425" spans="1:6" x14ac:dyDescent="0.2">
      <c r="A425" t="str">
        <f>[1]!hospitalinfo[[#This Row],[Facility ID]]</f>
        <v>050226</v>
      </c>
      <c r="B425" t="str">
        <f>[1]!hospitalinfo[[#This Row],[State]]</f>
        <v>CA</v>
      </c>
      <c r="C425" t="str">
        <f>[1]!hospitalinfo[[#This Row],[Hospital Type]]</f>
        <v>Acute Care Hospitals</v>
      </c>
      <c r="D425" t="str">
        <f>[1]!hospitalinfo[[#This Row],[Hospital Ownership]]</f>
        <v>Voluntary non-profit - Private</v>
      </c>
      <c r="E425" cm="1">
        <f t="array" ref="E425">_xlfn.IFNA(_xlfn.XLOOKUP(1,([1]!hcahps[Facility ID] = clean[[#This Row],[Facility ID]]) * ([1]!hcahps[HCAHPS Measure ID] = "H_HSP_RATING_LINEAR_SCORE"), [1]!hcahps[HCAHPS Linear Mean Value]), "No Match")</f>
        <v>84</v>
      </c>
      <c r="F425" cm="1">
        <f t="array" ref="F425">_xlfn.IFNA(_xlfn.XLOOKUP(1,([1]!readmissions[Facility ID] = clean[[#This Row],[Facility ID]]) * ([1]!readmissions[Measure ID] = "Hybrid_HWR"), [1]!readmissions[Score]), "No Match")</f>
        <v>14.9</v>
      </c>
    </row>
    <row r="426" spans="1:6" x14ac:dyDescent="0.2">
      <c r="A426" t="str">
        <f>[1]!hospitalinfo[[#This Row],[Facility ID]]</f>
        <v>050228</v>
      </c>
      <c r="B426" t="str">
        <f>[1]!hospitalinfo[[#This Row],[State]]</f>
        <v>CA</v>
      </c>
      <c r="C426" t="str">
        <f>[1]!hospitalinfo[[#This Row],[Hospital Type]]</f>
        <v>Acute Care Hospitals</v>
      </c>
      <c r="D426" t="str">
        <f>[1]!hospitalinfo[[#This Row],[Hospital Ownership]]</f>
        <v>Government - Local</v>
      </c>
      <c r="E426" cm="1">
        <f t="array" ref="E426">_xlfn.IFNA(_xlfn.XLOOKUP(1,([1]!hcahps[Facility ID] = clean[[#This Row],[Facility ID]]) * ([1]!hcahps[HCAHPS Measure ID] = "H_HSP_RATING_LINEAR_SCORE"), [1]!hcahps[HCAHPS Linear Mean Value]), "No Match")</f>
        <v>88</v>
      </c>
      <c r="F426" cm="1">
        <f t="array" ref="F426">_xlfn.IFNA(_xlfn.XLOOKUP(1,([1]!readmissions[Facility ID] = clean[[#This Row],[Facility ID]]) * ([1]!readmissions[Measure ID] = "Hybrid_HWR"), [1]!readmissions[Score]), "No Match")</f>
        <v>15.2</v>
      </c>
    </row>
    <row r="427" spans="1:6" x14ac:dyDescent="0.2">
      <c r="A427" t="str">
        <f>[1]!hospitalinfo[[#This Row],[Facility ID]]</f>
        <v>05022F</v>
      </c>
      <c r="B427" t="str">
        <f>[1]!hospitalinfo[[#This Row],[State]]</f>
        <v>CA</v>
      </c>
      <c r="C427" t="str">
        <f>[1]!hospitalinfo[[#This Row],[Hospital Type]]</f>
        <v>Acute Care - Department of Defense</v>
      </c>
      <c r="D427" t="str">
        <f>[1]!hospitalinfo[[#This Row],[Hospital Ownership]]</f>
        <v>Department of Defense</v>
      </c>
      <c r="E427" cm="1">
        <f t="array" ref="E427">_xlfn.IFNA(_xlfn.XLOOKUP(1,([1]!hcahps[Facility ID] = clean[[#This Row],[Facility ID]]) * ([1]!hcahps[HCAHPS Measure ID] = "H_HSP_RATING_LINEAR_SCORE"), [1]!hcahps[HCAHPS Linear Mean Value]), "No Match")</f>
        <v>91</v>
      </c>
      <c r="F427" t="str" cm="1">
        <f t="array" ref="F427">_xlfn.IFNA(_xlfn.XLOOKUP(1,([1]!readmissions[Facility ID] = clean[[#This Row],[Facility ID]]) * ([1]!readmissions[Measure ID] = "Hybrid_HWR"), [1]!readmissions[Score]), "No Match")</f>
        <v>Not Available</v>
      </c>
    </row>
    <row r="428" spans="1:6" x14ac:dyDescent="0.2">
      <c r="A428" t="str">
        <f>[1]!hospitalinfo[[#This Row],[Facility ID]]</f>
        <v>050230</v>
      </c>
      <c r="B428" t="str">
        <f>[1]!hospitalinfo[[#This Row],[State]]</f>
        <v>CA</v>
      </c>
      <c r="C428" t="str">
        <f>[1]!hospitalinfo[[#This Row],[Hospital Type]]</f>
        <v>Acute Care Hospitals</v>
      </c>
      <c r="D428" t="str">
        <f>[1]!hospitalinfo[[#This Row],[Hospital Ownership]]</f>
        <v>Proprietary</v>
      </c>
      <c r="E428" cm="1">
        <f t="array" ref="E428">_xlfn.IFNA(_xlfn.XLOOKUP(1,([1]!hcahps[Facility ID] = clean[[#This Row],[Facility ID]]) * ([1]!hcahps[HCAHPS Measure ID] = "H_HSP_RATING_LINEAR_SCORE"), [1]!hcahps[HCAHPS Linear Mean Value]), "No Match")</f>
        <v>84</v>
      </c>
      <c r="F428" cm="1">
        <f t="array" ref="F428">_xlfn.IFNA(_xlfn.XLOOKUP(1,([1]!readmissions[Facility ID] = clean[[#This Row],[Facility ID]]) * ([1]!readmissions[Measure ID] = "Hybrid_HWR"), [1]!readmissions[Score]), "No Match")</f>
        <v>16.600000000000001</v>
      </c>
    </row>
    <row r="429" spans="1:6" x14ac:dyDescent="0.2">
      <c r="A429" t="str">
        <f>[1]!hospitalinfo[[#This Row],[Facility ID]]</f>
        <v>050231</v>
      </c>
      <c r="B429" t="str">
        <f>[1]!hospitalinfo[[#This Row],[State]]</f>
        <v>CA</v>
      </c>
      <c r="C429" t="str">
        <f>[1]!hospitalinfo[[#This Row],[Hospital Type]]</f>
        <v>Acute Care Hospitals</v>
      </c>
      <c r="D429" t="str">
        <f>[1]!hospitalinfo[[#This Row],[Hospital Ownership]]</f>
        <v>Voluntary non-profit - Private</v>
      </c>
      <c r="E429" cm="1">
        <f t="array" ref="E429">_xlfn.IFNA(_xlfn.XLOOKUP(1,([1]!hcahps[Facility ID] = clean[[#This Row],[Facility ID]]) * ([1]!hcahps[HCAHPS Measure ID] = "H_HSP_RATING_LINEAR_SCORE"), [1]!hcahps[HCAHPS Linear Mean Value]), "No Match")</f>
        <v>87</v>
      </c>
      <c r="F429" cm="1">
        <f t="array" ref="F429">_xlfn.IFNA(_xlfn.XLOOKUP(1,([1]!readmissions[Facility ID] = clean[[#This Row],[Facility ID]]) * ([1]!readmissions[Measure ID] = "Hybrid_HWR"), [1]!readmissions[Score]), "No Match")</f>
        <v>14.7</v>
      </c>
    </row>
    <row r="430" spans="1:6" x14ac:dyDescent="0.2">
      <c r="A430" t="str">
        <f>[1]!hospitalinfo[[#This Row],[Facility ID]]</f>
        <v>050232</v>
      </c>
      <c r="B430" t="str">
        <f>[1]!hospitalinfo[[#This Row],[State]]</f>
        <v>CA</v>
      </c>
      <c r="C430" t="str">
        <f>[1]!hospitalinfo[[#This Row],[Hospital Type]]</f>
        <v>Acute Care Hospitals</v>
      </c>
      <c r="D430" t="str">
        <f>[1]!hospitalinfo[[#This Row],[Hospital Ownership]]</f>
        <v>Voluntary non-profit - Private</v>
      </c>
      <c r="E430" cm="1">
        <f t="array" ref="E430">_xlfn.IFNA(_xlfn.XLOOKUP(1,([1]!hcahps[Facility ID] = clean[[#This Row],[Facility ID]]) * ([1]!hcahps[HCAHPS Measure ID] = "H_HSP_RATING_LINEAR_SCORE"), [1]!hcahps[HCAHPS Linear Mean Value]), "No Match")</f>
        <v>88</v>
      </c>
      <c r="F430" cm="1">
        <f t="array" ref="F430">_xlfn.IFNA(_xlfn.XLOOKUP(1,([1]!readmissions[Facility ID] = clean[[#This Row],[Facility ID]]) * ([1]!readmissions[Measure ID] = "Hybrid_HWR"), [1]!readmissions[Score]), "No Match")</f>
        <v>13.3</v>
      </c>
    </row>
    <row r="431" spans="1:6" x14ac:dyDescent="0.2">
      <c r="A431" t="str">
        <f>[1]!hospitalinfo[[#This Row],[Facility ID]]</f>
        <v>050234</v>
      </c>
      <c r="B431" t="str">
        <f>[1]!hospitalinfo[[#This Row],[State]]</f>
        <v>CA</v>
      </c>
      <c r="C431" t="str">
        <f>[1]!hospitalinfo[[#This Row],[Hospital Type]]</f>
        <v>Acute Care Hospitals</v>
      </c>
      <c r="D431" t="str">
        <f>[1]!hospitalinfo[[#This Row],[Hospital Ownership]]</f>
        <v>Proprietary</v>
      </c>
      <c r="E431" cm="1">
        <f t="array" ref="E431">_xlfn.IFNA(_xlfn.XLOOKUP(1,([1]!hcahps[Facility ID] = clean[[#This Row],[Facility ID]]) * ([1]!hcahps[HCAHPS Measure ID] = "H_HSP_RATING_LINEAR_SCORE"), [1]!hcahps[HCAHPS Linear Mean Value]), "No Match")</f>
        <v>92</v>
      </c>
      <c r="F431" cm="1">
        <f t="array" ref="F431">_xlfn.IFNA(_xlfn.XLOOKUP(1,([1]!readmissions[Facility ID] = clean[[#This Row],[Facility ID]]) * ([1]!readmissions[Measure ID] = "Hybrid_HWR"), [1]!readmissions[Score]), "No Match")</f>
        <v>14.2</v>
      </c>
    </row>
    <row r="432" spans="1:6" x14ac:dyDescent="0.2">
      <c r="A432" t="str">
        <f>[1]!hospitalinfo[[#This Row],[Facility ID]]</f>
        <v>050235</v>
      </c>
      <c r="B432" t="str">
        <f>[1]!hospitalinfo[[#This Row],[State]]</f>
        <v>CA</v>
      </c>
      <c r="C432" t="str">
        <f>[1]!hospitalinfo[[#This Row],[Hospital Type]]</f>
        <v>Acute Care Hospitals</v>
      </c>
      <c r="D432" t="str">
        <f>[1]!hospitalinfo[[#This Row],[Hospital Ownership]]</f>
        <v>Voluntary non-profit - Church</v>
      </c>
      <c r="E432" cm="1">
        <f t="array" ref="E432">_xlfn.IFNA(_xlfn.XLOOKUP(1,([1]!hcahps[Facility ID] = clean[[#This Row],[Facility ID]]) * ([1]!hcahps[HCAHPS Measure ID] = "H_HSP_RATING_LINEAR_SCORE"), [1]!hcahps[HCAHPS Linear Mean Value]), "No Match")</f>
        <v>89</v>
      </c>
      <c r="F432" cm="1">
        <f t="array" ref="F432">_xlfn.IFNA(_xlfn.XLOOKUP(1,([1]!readmissions[Facility ID] = clean[[#This Row],[Facility ID]]) * ([1]!readmissions[Measure ID] = "Hybrid_HWR"), [1]!readmissions[Score]), "No Match")</f>
        <v>16.5</v>
      </c>
    </row>
    <row r="433" spans="1:6" x14ac:dyDescent="0.2">
      <c r="A433" t="str">
        <f>[1]!hospitalinfo[[#This Row],[Facility ID]]</f>
        <v>050236</v>
      </c>
      <c r="B433" t="str">
        <f>[1]!hospitalinfo[[#This Row],[State]]</f>
        <v>CA</v>
      </c>
      <c r="C433" t="str">
        <f>[1]!hospitalinfo[[#This Row],[Hospital Type]]</f>
        <v>Acute Care Hospitals</v>
      </c>
      <c r="D433" t="str">
        <f>[1]!hospitalinfo[[#This Row],[Hospital Ownership]]</f>
        <v>Voluntary non-profit - Private</v>
      </c>
      <c r="E433" cm="1">
        <f t="array" ref="E433">_xlfn.IFNA(_xlfn.XLOOKUP(1,([1]!hcahps[Facility ID] = clean[[#This Row],[Facility ID]]) * ([1]!hcahps[HCAHPS Measure ID] = "H_HSP_RATING_LINEAR_SCORE"), [1]!hcahps[HCAHPS Linear Mean Value]), "No Match")</f>
        <v>86</v>
      </c>
      <c r="F433" cm="1">
        <f t="array" ref="F433">_xlfn.IFNA(_xlfn.XLOOKUP(1,([1]!readmissions[Facility ID] = clean[[#This Row],[Facility ID]]) * ([1]!readmissions[Measure ID] = "Hybrid_HWR"), [1]!readmissions[Score]), "No Match")</f>
        <v>14.9</v>
      </c>
    </row>
    <row r="434" spans="1:6" x14ac:dyDescent="0.2">
      <c r="A434" t="str">
        <f>[1]!hospitalinfo[[#This Row],[Facility ID]]</f>
        <v>050238</v>
      </c>
      <c r="B434" t="str">
        <f>[1]!hospitalinfo[[#This Row],[State]]</f>
        <v>CA</v>
      </c>
      <c r="C434" t="str">
        <f>[1]!hospitalinfo[[#This Row],[Hospital Type]]</f>
        <v>Acute Care Hospitals</v>
      </c>
      <c r="D434" t="str">
        <f>[1]!hospitalinfo[[#This Row],[Hospital Ownership]]</f>
        <v>Voluntary non-profit - Private</v>
      </c>
      <c r="E434" cm="1">
        <f t="array" ref="E434">_xlfn.IFNA(_xlfn.XLOOKUP(1,([1]!hcahps[Facility ID] = clean[[#This Row],[Facility ID]]) * ([1]!hcahps[HCAHPS Measure ID] = "H_HSP_RATING_LINEAR_SCORE"), [1]!hcahps[HCAHPS Linear Mean Value]), "No Match")</f>
        <v>83</v>
      </c>
      <c r="F434" cm="1">
        <f t="array" ref="F434">_xlfn.IFNA(_xlfn.XLOOKUP(1,([1]!readmissions[Facility ID] = clean[[#This Row],[Facility ID]]) * ([1]!readmissions[Measure ID] = "Hybrid_HWR"), [1]!readmissions[Score]), "No Match")</f>
        <v>14</v>
      </c>
    </row>
    <row r="435" spans="1:6" x14ac:dyDescent="0.2">
      <c r="A435" t="str">
        <f>[1]!hospitalinfo[[#This Row],[Facility ID]]</f>
        <v>050239</v>
      </c>
      <c r="B435" t="str">
        <f>[1]!hospitalinfo[[#This Row],[State]]</f>
        <v>CA</v>
      </c>
      <c r="C435" t="str">
        <f>[1]!hospitalinfo[[#This Row],[Hospital Type]]</f>
        <v>Acute Care Hospitals</v>
      </c>
      <c r="D435" t="str">
        <f>[1]!hospitalinfo[[#This Row],[Hospital Ownership]]</f>
        <v>Voluntary non-profit - Private</v>
      </c>
      <c r="E435" cm="1">
        <f t="array" ref="E435">_xlfn.IFNA(_xlfn.XLOOKUP(1,([1]!hcahps[Facility ID] = clean[[#This Row],[Facility ID]]) * ([1]!hcahps[HCAHPS Measure ID] = "H_HSP_RATING_LINEAR_SCORE"), [1]!hcahps[HCAHPS Linear Mean Value]), "No Match")</f>
        <v>87</v>
      </c>
      <c r="F435" cm="1">
        <f t="array" ref="F435">_xlfn.IFNA(_xlfn.XLOOKUP(1,([1]!readmissions[Facility ID] = clean[[#This Row],[Facility ID]]) * ([1]!readmissions[Measure ID] = "Hybrid_HWR"), [1]!readmissions[Score]), "No Match")</f>
        <v>15.7</v>
      </c>
    </row>
    <row r="436" spans="1:6" x14ac:dyDescent="0.2">
      <c r="A436" t="str">
        <f>[1]!hospitalinfo[[#This Row],[Facility ID]]</f>
        <v>050242</v>
      </c>
      <c r="B436" t="str">
        <f>[1]!hospitalinfo[[#This Row],[State]]</f>
        <v>CA</v>
      </c>
      <c r="C436" t="str">
        <f>[1]!hospitalinfo[[#This Row],[Hospital Type]]</f>
        <v>Acute Care Hospitals</v>
      </c>
      <c r="D436" t="str">
        <f>[1]!hospitalinfo[[#This Row],[Hospital Ownership]]</f>
        <v>Voluntary non-profit - Private</v>
      </c>
      <c r="E436" cm="1">
        <f t="array" ref="E436">_xlfn.IFNA(_xlfn.XLOOKUP(1,([1]!hcahps[Facility ID] = clean[[#This Row],[Facility ID]]) * ([1]!hcahps[HCAHPS Measure ID] = "H_HSP_RATING_LINEAR_SCORE"), [1]!hcahps[HCAHPS Linear Mean Value]), "No Match")</f>
        <v>86</v>
      </c>
      <c r="F436" cm="1">
        <f t="array" ref="F436">_xlfn.IFNA(_xlfn.XLOOKUP(1,([1]!readmissions[Facility ID] = clean[[#This Row],[Facility ID]]) * ([1]!readmissions[Measure ID] = "Hybrid_HWR"), [1]!readmissions[Score]), "No Match")</f>
        <v>14.2</v>
      </c>
    </row>
    <row r="437" spans="1:6" x14ac:dyDescent="0.2">
      <c r="A437" t="str">
        <f>[1]!hospitalinfo[[#This Row],[Facility ID]]</f>
        <v>050243</v>
      </c>
      <c r="B437" t="str">
        <f>[1]!hospitalinfo[[#This Row],[State]]</f>
        <v>CA</v>
      </c>
      <c r="C437" t="str">
        <f>[1]!hospitalinfo[[#This Row],[Hospital Type]]</f>
        <v>Acute Care Hospitals</v>
      </c>
      <c r="D437" t="str">
        <f>[1]!hospitalinfo[[#This Row],[Hospital Ownership]]</f>
        <v>Proprietary</v>
      </c>
      <c r="E437" cm="1">
        <f t="array" ref="E437">_xlfn.IFNA(_xlfn.XLOOKUP(1,([1]!hcahps[Facility ID] = clean[[#This Row],[Facility ID]]) * ([1]!hcahps[HCAHPS Measure ID] = "H_HSP_RATING_LINEAR_SCORE"), [1]!hcahps[HCAHPS Linear Mean Value]), "No Match")</f>
        <v>84</v>
      </c>
      <c r="F437" cm="1">
        <f t="array" ref="F437">_xlfn.IFNA(_xlfn.XLOOKUP(1,([1]!readmissions[Facility ID] = clean[[#This Row],[Facility ID]]) * ([1]!readmissions[Measure ID] = "Hybrid_HWR"), [1]!readmissions[Score]), "No Match")</f>
        <v>15.8</v>
      </c>
    </row>
    <row r="438" spans="1:6" x14ac:dyDescent="0.2">
      <c r="A438" t="str">
        <f>[1]!hospitalinfo[[#This Row],[Facility ID]]</f>
        <v>050245</v>
      </c>
      <c r="B438" t="str">
        <f>[1]!hospitalinfo[[#This Row],[State]]</f>
        <v>CA</v>
      </c>
      <c r="C438" t="str">
        <f>[1]!hospitalinfo[[#This Row],[Hospital Type]]</f>
        <v>Acute Care Hospitals</v>
      </c>
      <c r="D438" t="str">
        <f>[1]!hospitalinfo[[#This Row],[Hospital Ownership]]</f>
        <v>Government - Local</v>
      </c>
      <c r="E438" cm="1">
        <f t="array" ref="E438">_xlfn.IFNA(_xlfn.XLOOKUP(1,([1]!hcahps[Facility ID] = clean[[#This Row],[Facility ID]]) * ([1]!hcahps[HCAHPS Measure ID] = "H_HSP_RATING_LINEAR_SCORE"), [1]!hcahps[HCAHPS Linear Mean Value]), "No Match")</f>
        <v>89</v>
      </c>
      <c r="F438" cm="1">
        <f t="array" ref="F438">_xlfn.IFNA(_xlfn.XLOOKUP(1,([1]!readmissions[Facility ID] = clean[[#This Row],[Facility ID]]) * ([1]!readmissions[Measure ID] = "Hybrid_HWR"), [1]!readmissions[Score]), "No Match")</f>
        <v>16.2</v>
      </c>
    </row>
    <row r="439" spans="1:6" x14ac:dyDescent="0.2">
      <c r="A439" t="str">
        <f>[1]!hospitalinfo[[#This Row],[Facility ID]]</f>
        <v>050248</v>
      </c>
      <c r="B439" t="str">
        <f>[1]!hospitalinfo[[#This Row],[State]]</f>
        <v>CA</v>
      </c>
      <c r="C439" t="str">
        <f>[1]!hospitalinfo[[#This Row],[Hospital Type]]</f>
        <v>Acute Care Hospitals</v>
      </c>
      <c r="D439" t="str">
        <f>[1]!hospitalinfo[[#This Row],[Hospital Ownership]]</f>
        <v>Government - Local</v>
      </c>
      <c r="E439" cm="1">
        <f t="array" ref="E439">_xlfn.IFNA(_xlfn.XLOOKUP(1,([1]!hcahps[Facility ID] = clean[[#This Row],[Facility ID]]) * ([1]!hcahps[HCAHPS Measure ID] = "H_HSP_RATING_LINEAR_SCORE"), [1]!hcahps[HCAHPS Linear Mean Value]), "No Match")</f>
        <v>89</v>
      </c>
      <c r="F439" cm="1">
        <f t="array" ref="F439">_xlfn.IFNA(_xlfn.XLOOKUP(1,([1]!readmissions[Facility ID] = clean[[#This Row],[Facility ID]]) * ([1]!readmissions[Measure ID] = "Hybrid_HWR"), [1]!readmissions[Score]), "No Match")</f>
        <v>15.7</v>
      </c>
    </row>
    <row r="440" spans="1:6" x14ac:dyDescent="0.2">
      <c r="A440" t="str">
        <f>[1]!hospitalinfo[[#This Row],[Facility ID]]</f>
        <v>050254</v>
      </c>
      <c r="B440" t="str">
        <f>[1]!hospitalinfo[[#This Row],[State]]</f>
        <v>CA</v>
      </c>
      <c r="C440" t="str">
        <f>[1]!hospitalinfo[[#This Row],[Hospital Type]]</f>
        <v>Acute Care Hospitals</v>
      </c>
      <c r="D440" t="str">
        <f>[1]!hospitalinfo[[#This Row],[Hospital Ownership]]</f>
        <v>Voluntary non-profit - Private</v>
      </c>
      <c r="E440" cm="1">
        <f t="array" ref="E440">_xlfn.IFNA(_xlfn.XLOOKUP(1,([1]!hcahps[Facility ID] = clean[[#This Row],[Facility ID]]) * ([1]!hcahps[HCAHPS Measure ID] = "H_HSP_RATING_LINEAR_SCORE"), [1]!hcahps[HCAHPS Linear Mean Value]), "No Match")</f>
        <v>88</v>
      </c>
      <c r="F440" cm="1">
        <f t="array" ref="F440">_xlfn.IFNA(_xlfn.XLOOKUP(1,([1]!readmissions[Facility ID] = clean[[#This Row],[Facility ID]]) * ([1]!readmissions[Measure ID] = "Hybrid_HWR"), [1]!readmissions[Score]), "No Match")</f>
        <v>13.7</v>
      </c>
    </row>
    <row r="441" spans="1:6" x14ac:dyDescent="0.2">
      <c r="A441" t="str">
        <f>[1]!hospitalinfo[[#This Row],[Facility ID]]</f>
        <v>050257</v>
      </c>
      <c r="B441" t="str">
        <f>[1]!hospitalinfo[[#This Row],[State]]</f>
        <v>CA</v>
      </c>
      <c r="C441" t="str">
        <f>[1]!hospitalinfo[[#This Row],[Hospital Type]]</f>
        <v>Acute Care Hospitals</v>
      </c>
      <c r="D441" t="str">
        <f>[1]!hospitalinfo[[#This Row],[Hospital Ownership]]</f>
        <v>Proprietary</v>
      </c>
      <c r="E441" t="str" cm="1">
        <f t="array" ref="E441">_xlfn.IFNA(_xlfn.XLOOKUP(1,([1]!hcahps[Facility ID] = clean[[#This Row],[Facility ID]]) * ([1]!hcahps[HCAHPS Measure ID] = "H_HSP_RATING_LINEAR_SCORE"), [1]!hcahps[HCAHPS Linear Mean Value]), "No Match")</f>
        <v>Not Available</v>
      </c>
      <c r="F441" cm="1">
        <f t="array" ref="F441">_xlfn.IFNA(_xlfn.XLOOKUP(1,([1]!readmissions[Facility ID] = clean[[#This Row],[Facility ID]]) * ([1]!readmissions[Measure ID] = "Hybrid_HWR"), [1]!readmissions[Score]), "No Match")</f>
        <v>14.3</v>
      </c>
    </row>
    <row r="442" spans="1:6" x14ac:dyDescent="0.2">
      <c r="A442" t="str">
        <f>[1]!hospitalinfo[[#This Row],[Facility ID]]</f>
        <v>05025F</v>
      </c>
      <c r="B442" t="str">
        <f>[1]!hospitalinfo[[#This Row],[State]]</f>
        <v>CA</v>
      </c>
      <c r="C442" t="str">
        <f>[1]!hospitalinfo[[#This Row],[Hospital Type]]</f>
        <v>Acute Care - Veterans Administration</v>
      </c>
      <c r="D442" t="str">
        <f>[1]!hospitalinfo[[#This Row],[Hospital Ownership]]</f>
        <v>Veterans Health Administration</v>
      </c>
      <c r="E442" cm="1">
        <f t="array" ref="E442">_xlfn.IFNA(_xlfn.XLOOKUP(1,([1]!hcahps[Facility ID] = clean[[#This Row],[Facility ID]]) * ([1]!hcahps[HCAHPS Measure ID] = "H_HSP_RATING_LINEAR_SCORE"), [1]!hcahps[HCAHPS Linear Mean Value]), "No Match")</f>
        <v>88</v>
      </c>
      <c r="F442" cm="1">
        <f t="array" ref="F442">_xlfn.IFNA(_xlfn.XLOOKUP(1,([1]!readmissions[Facility ID] = clean[[#This Row],[Facility ID]]) * ([1]!readmissions[Measure ID] = "Hybrid_HWR"), [1]!readmissions[Score]), "No Match")</f>
        <v>14.8</v>
      </c>
    </row>
    <row r="443" spans="1:6" x14ac:dyDescent="0.2">
      <c r="A443" t="str">
        <f>[1]!hospitalinfo[[#This Row],[Facility ID]]</f>
        <v>050261</v>
      </c>
      <c r="B443" t="str">
        <f>[1]!hospitalinfo[[#This Row],[State]]</f>
        <v>CA</v>
      </c>
      <c r="C443" t="str">
        <f>[1]!hospitalinfo[[#This Row],[Hospital Type]]</f>
        <v>Acute Care Hospitals</v>
      </c>
      <c r="D443" t="str">
        <f>[1]!hospitalinfo[[#This Row],[Hospital Ownership]]</f>
        <v>Voluntary non-profit - Private</v>
      </c>
      <c r="E443" cm="1">
        <f t="array" ref="E443">_xlfn.IFNA(_xlfn.XLOOKUP(1,([1]!hcahps[Facility ID] = clean[[#This Row],[Facility ID]]) * ([1]!hcahps[HCAHPS Measure ID] = "H_HSP_RATING_LINEAR_SCORE"), [1]!hcahps[HCAHPS Linear Mean Value]), "No Match")</f>
        <v>84</v>
      </c>
      <c r="F443" cm="1">
        <f t="array" ref="F443">_xlfn.IFNA(_xlfn.XLOOKUP(1,([1]!readmissions[Facility ID] = clean[[#This Row],[Facility ID]]) * ([1]!readmissions[Measure ID] = "Hybrid_HWR"), [1]!readmissions[Score]), "No Match")</f>
        <v>14.9</v>
      </c>
    </row>
    <row r="444" spans="1:6" x14ac:dyDescent="0.2">
      <c r="A444" t="str">
        <f>[1]!hospitalinfo[[#This Row],[Facility ID]]</f>
        <v>050262</v>
      </c>
      <c r="B444" t="str">
        <f>[1]!hospitalinfo[[#This Row],[State]]</f>
        <v>CA</v>
      </c>
      <c r="C444" t="str">
        <f>[1]!hospitalinfo[[#This Row],[Hospital Type]]</f>
        <v>Acute Care Hospitals</v>
      </c>
      <c r="D444" t="str">
        <f>[1]!hospitalinfo[[#This Row],[Hospital Ownership]]</f>
        <v>Government - State</v>
      </c>
      <c r="E444" cm="1">
        <f t="array" ref="E444">_xlfn.IFNA(_xlfn.XLOOKUP(1,([1]!hcahps[Facility ID] = clean[[#This Row],[Facility ID]]) * ([1]!hcahps[HCAHPS Measure ID] = "H_HSP_RATING_LINEAR_SCORE"), [1]!hcahps[HCAHPS Linear Mean Value]), "No Match")</f>
        <v>89</v>
      </c>
      <c r="F444" cm="1">
        <f t="array" ref="F444">_xlfn.IFNA(_xlfn.XLOOKUP(1,([1]!readmissions[Facility ID] = clean[[#This Row],[Facility ID]]) * ([1]!readmissions[Measure ID] = "Hybrid_HWR"), [1]!readmissions[Score]), "No Match")</f>
        <v>14.5</v>
      </c>
    </row>
    <row r="445" spans="1:6" x14ac:dyDescent="0.2">
      <c r="A445" t="str">
        <f>[1]!hospitalinfo[[#This Row],[Facility ID]]</f>
        <v>050272</v>
      </c>
      <c r="B445" t="str">
        <f>[1]!hospitalinfo[[#This Row],[State]]</f>
        <v>CA</v>
      </c>
      <c r="C445" t="str">
        <f>[1]!hospitalinfo[[#This Row],[Hospital Type]]</f>
        <v>Acute Care Hospitals</v>
      </c>
      <c r="D445" t="str">
        <f>[1]!hospitalinfo[[#This Row],[Hospital Ownership]]</f>
        <v>Voluntary non-profit - Private</v>
      </c>
      <c r="E445" cm="1">
        <f t="array" ref="E445">_xlfn.IFNA(_xlfn.XLOOKUP(1,([1]!hcahps[Facility ID] = clean[[#This Row],[Facility ID]]) * ([1]!hcahps[HCAHPS Measure ID] = "H_HSP_RATING_LINEAR_SCORE"), [1]!hcahps[HCAHPS Linear Mean Value]), "No Match")</f>
        <v>89</v>
      </c>
      <c r="F445" cm="1">
        <f t="array" ref="F445">_xlfn.IFNA(_xlfn.XLOOKUP(1,([1]!readmissions[Facility ID] = clean[[#This Row],[Facility ID]]) * ([1]!readmissions[Measure ID] = "Hybrid_HWR"), [1]!readmissions[Score]), "No Match")</f>
        <v>14.3</v>
      </c>
    </row>
    <row r="446" spans="1:6" x14ac:dyDescent="0.2">
      <c r="A446" t="str">
        <f>[1]!hospitalinfo[[#This Row],[Facility ID]]</f>
        <v>050276</v>
      </c>
      <c r="B446" t="str">
        <f>[1]!hospitalinfo[[#This Row],[State]]</f>
        <v>CA</v>
      </c>
      <c r="C446" t="str">
        <f>[1]!hospitalinfo[[#This Row],[Hospital Type]]</f>
        <v>Acute Care Hospitals</v>
      </c>
      <c r="D446" t="str">
        <f>[1]!hospitalinfo[[#This Row],[Hospital Ownership]]</f>
        <v>Government - Local</v>
      </c>
      <c r="E446" cm="1">
        <f t="array" ref="E446">_xlfn.IFNA(_xlfn.XLOOKUP(1,([1]!hcahps[Facility ID] = clean[[#This Row],[Facility ID]]) * ([1]!hcahps[HCAHPS Measure ID] = "H_HSP_RATING_LINEAR_SCORE"), [1]!hcahps[HCAHPS Linear Mean Value]), "No Match")</f>
        <v>89</v>
      </c>
      <c r="F446" cm="1">
        <f t="array" ref="F446">_xlfn.IFNA(_xlfn.XLOOKUP(1,([1]!readmissions[Facility ID] = clean[[#This Row],[Facility ID]]) * ([1]!readmissions[Measure ID] = "Hybrid_HWR"), [1]!readmissions[Score]), "No Match")</f>
        <v>14.2</v>
      </c>
    </row>
    <row r="447" spans="1:6" x14ac:dyDescent="0.2">
      <c r="A447" t="str">
        <f>[1]!hospitalinfo[[#This Row],[Facility ID]]</f>
        <v>050278</v>
      </c>
      <c r="B447" t="str">
        <f>[1]!hospitalinfo[[#This Row],[State]]</f>
        <v>CA</v>
      </c>
      <c r="C447" t="str">
        <f>[1]!hospitalinfo[[#This Row],[Hospital Type]]</f>
        <v>Acute Care Hospitals</v>
      </c>
      <c r="D447" t="str">
        <f>[1]!hospitalinfo[[#This Row],[Hospital Ownership]]</f>
        <v>Voluntary non-profit - Church</v>
      </c>
      <c r="E447" cm="1">
        <f t="array" ref="E447">_xlfn.IFNA(_xlfn.XLOOKUP(1,([1]!hcahps[Facility ID] = clean[[#This Row],[Facility ID]]) * ([1]!hcahps[HCAHPS Measure ID] = "H_HSP_RATING_LINEAR_SCORE"), [1]!hcahps[HCAHPS Linear Mean Value]), "No Match")</f>
        <v>90</v>
      </c>
      <c r="F447" cm="1">
        <f t="array" ref="F447">_xlfn.IFNA(_xlfn.XLOOKUP(1,([1]!readmissions[Facility ID] = clean[[#This Row],[Facility ID]]) * ([1]!readmissions[Measure ID] = "Hybrid_HWR"), [1]!readmissions[Score]), "No Match")</f>
        <v>15.2</v>
      </c>
    </row>
    <row r="448" spans="1:6" x14ac:dyDescent="0.2">
      <c r="A448" t="str">
        <f>[1]!hospitalinfo[[#This Row],[Facility ID]]</f>
        <v>050279</v>
      </c>
      <c r="B448" t="str">
        <f>[1]!hospitalinfo[[#This Row],[State]]</f>
        <v>CA</v>
      </c>
      <c r="C448" t="str">
        <f>[1]!hospitalinfo[[#This Row],[Hospital Type]]</f>
        <v>Acute Care Hospitals</v>
      </c>
      <c r="D448" t="str">
        <f>[1]!hospitalinfo[[#This Row],[Hospital Ownership]]</f>
        <v>Government - Hospital District or Authority</v>
      </c>
      <c r="E448" cm="1">
        <f t="array" ref="E448">_xlfn.IFNA(_xlfn.XLOOKUP(1,([1]!hcahps[Facility ID] = clean[[#This Row],[Facility ID]]) * ([1]!hcahps[HCAHPS Measure ID] = "H_HSP_RATING_LINEAR_SCORE"), [1]!hcahps[HCAHPS Linear Mean Value]), "No Match")</f>
        <v>80</v>
      </c>
      <c r="F448" cm="1">
        <f t="array" ref="F448">_xlfn.IFNA(_xlfn.XLOOKUP(1,([1]!readmissions[Facility ID] = clean[[#This Row],[Facility ID]]) * ([1]!readmissions[Measure ID] = "Hybrid_HWR"), [1]!readmissions[Score]), "No Match")</f>
        <v>15.2</v>
      </c>
    </row>
    <row r="449" spans="1:6" x14ac:dyDescent="0.2">
      <c r="A449" t="str">
        <f>[1]!hospitalinfo[[#This Row],[Facility ID]]</f>
        <v>05027F</v>
      </c>
      <c r="B449" t="str">
        <f>[1]!hospitalinfo[[#This Row],[State]]</f>
        <v>CA</v>
      </c>
      <c r="C449" t="str">
        <f>[1]!hospitalinfo[[#This Row],[Hospital Type]]</f>
        <v>Acute Care - Veterans Administration</v>
      </c>
      <c r="D449" t="str">
        <f>[1]!hospitalinfo[[#This Row],[Hospital Ownership]]</f>
        <v>Veterans Health Administration</v>
      </c>
      <c r="E449" cm="1">
        <f t="array" ref="E449">_xlfn.IFNA(_xlfn.XLOOKUP(1,([1]!hcahps[Facility ID] = clean[[#This Row],[Facility ID]]) * ([1]!hcahps[HCAHPS Measure ID] = "H_HSP_RATING_LINEAR_SCORE"), [1]!hcahps[HCAHPS Linear Mean Value]), "No Match")</f>
        <v>89</v>
      </c>
      <c r="F449" cm="1">
        <f t="array" ref="F449">_xlfn.IFNA(_xlfn.XLOOKUP(1,([1]!readmissions[Facility ID] = clean[[#This Row],[Facility ID]]) * ([1]!readmissions[Measure ID] = "Hybrid_HWR"), [1]!readmissions[Score]), "No Match")</f>
        <v>15.4</v>
      </c>
    </row>
    <row r="450" spans="1:6" x14ac:dyDescent="0.2">
      <c r="A450" t="str">
        <f>[1]!hospitalinfo[[#This Row],[Facility ID]]</f>
        <v>050280</v>
      </c>
      <c r="B450" t="str">
        <f>[1]!hospitalinfo[[#This Row],[State]]</f>
        <v>CA</v>
      </c>
      <c r="C450" t="str">
        <f>[1]!hospitalinfo[[#This Row],[Hospital Type]]</f>
        <v>Acute Care Hospitals</v>
      </c>
      <c r="D450" t="str">
        <f>[1]!hospitalinfo[[#This Row],[Hospital Ownership]]</f>
        <v>Voluntary non-profit - Private</v>
      </c>
      <c r="E450" cm="1">
        <f t="array" ref="E450">_xlfn.IFNA(_xlfn.XLOOKUP(1,([1]!hcahps[Facility ID] = clean[[#This Row],[Facility ID]]) * ([1]!hcahps[HCAHPS Measure ID] = "H_HSP_RATING_LINEAR_SCORE"), [1]!hcahps[HCAHPS Linear Mean Value]), "No Match")</f>
        <v>87</v>
      </c>
      <c r="F450" cm="1">
        <f t="array" ref="F450">_xlfn.IFNA(_xlfn.XLOOKUP(1,([1]!readmissions[Facility ID] = clean[[#This Row],[Facility ID]]) * ([1]!readmissions[Measure ID] = "Hybrid_HWR"), [1]!readmissions[Score]), "No Match")</f>
        <v>13.5</v>
      </c>
    </row>
    <row r="451" spans="1:6" x14ac:dyDescent="0.2">
      <c r="A451" t="str">
        <f>[1]!hospitalinfo[[#This Row],[Facility ID]]</f>
        <v>050281</v>
      </c>
      <c r="B451" t="str">
        <f>[1]!hospitalinfo[[#This Row],[State]]</f>
        <v>CA</v>
      </c>
      <c r="C451" t="str">
        <f>[1]!hospitalinfo[[#This Row],[Hospital Type]]</f>
        <v>Acute Care Hospitals</v>
      </c>
      <c r="D451" t="str">
        <f>[1]!hospitalinfo[[#This Row],[Hospital Ownership]]</f>
        <v>Proprietary</v>
      </c>
      <c r="E451" cm="1">
        <f t="array" ref="E451">_xlfn.IFNA(_xlfn.XLOOKUP(1,([1]!hcahps[Facility ID] = clean[[#This Row],[Facility ID]]) * ([1]!hcahps[HCAHPS Measure ID] = "H_HSP_RATING_LINEAR_SCORE"), [1]!hcahps[HCAHPS Linear Mean Value]), "No Match")</f>
        <v>89</v>
      </c>
      <c r="F451" cm="1">
        <f t="array" ref="F451">_xlfn.IFNA(_xlfn.XLOOKUP(1,([1]!readmissions[Facility ID] = clean[[#This Row],[Facility ID]]) * ([1]!readmissions[Measure ID] = "Hybrid_HWR"), [1]!readmissions[Score]), "No Match")</f>
        <v>14.7</v>
      </c>
    </row>
    <row r="452" spans="1:6" x14ac:dyDescent="0.2">
      <c r="A452" t="str">
        <f>[1]!hospitalinfo[[#This Row],[Facility ID]]</f>
        <v>050283</v>
      </c>
      <c r="B452" t="str">
        <f>[1]!hospitalinfo[[#This Row],[State]]</f>
        <v>CA</v>
      </c>
      <c r="C452" t="str">
        <f>[1]!hospitalinfo[[#This Row],[Hospital Type]]</f>
        <v>Acute Care Hospitals</v>
      </c>
      <c r="D452" t="str">
        <f>[1]!hospitalinfo[[#This Row],[Hospital Ownership]]</f>
        <v>Voluntary non-profit - Private</v>
      </c>
      <c r="E452" cm="1">
        <f t="array" ref="E452">_xlfn.IFNA(_xlfn.XLOOKUP(1,([1]!hcahps[Facility ID] = clean[[#This Row],[Facility ID]]) * ([1]!hcahps[HCAHPS Measure ID] = "H_HSP_RATING_LINEAR_SCORE"), [1]!hcahps[HCAHPS Linear Mean Value]), "No Match")</f>
        <v>88</v>
      </c>
      <c r="F452" cm="1">
        <f t="array" ref="F452">_xlfn.IFNA(_xlfn.XLOOKUP(1,([1]!readmissions[Facility ID] = clean[[#This Row],[Facility ID]]) * ([1]!readmissions[Measure ID] = "Hybrid_HWR"), [1]!readmissions[Score]), "No Match")</f>
        <v>14</v>
      </c>
    </row>
    <row r="453" spans="1:6" x14ac:dyDescent="0.2">
      <c r="A453" t="str">
        <f>[1]!hospitalinfo[[#This Row],[Facility ID]]</f>
        <v>050289</v>
      </c>
      <c r="B453" t="str">
        <f>[1]!hospitalinfo[[#This Row],[State]]</f>
        <v>CA</v>
      </c>
      <c r="C453" t="str">
        <f>[1]!hospitalinfo[[#This Row],[Hospital Type]]</f>
        <v>Acute Care Hospitals</v>
      </c>
      <c r="D453" t="str">
        <f>[1]!hospitalinfo[[#This Row],[Hospital Ownership]]</f>
        <v>Voluntary non-profit - Church</v>
      </c>
      <c r="E453" cm="1">
        <f t="array" ref="E453">_xlfn.IFNA(_xlfn.XLOOKUP(1,([1]!hcahps[Facility ID] = clean[[#This Row],[Facility ID]]) * ([1]!hcahps[HCAHPS Measure ID] = "H_HSP_RATING_LINEAR_SCORE"), [1]!hcahps[HCAHPS Linear Mean Value]), "No Match")</f>
        <v>83</v>
      </c>
      <c r="F453" cm="1">
        <f t="array" ref="F453">_xlfn.IFNA(_xlfn.XLOOKUP(1,([1]!readmissions[Facility ID] = clean[[#This Row],[Facility ID]]) * ([1]!readmissions[Measure ID] = "Hybrid_HWR"), [1]!readmissions[Score]), "No Match")</f>
        <v>15.8</v>
      </c>
    </row>
    <row r="454" spans="1:6" x14ac:dyDescent="0.2">
      <c r="A454" t="str">
        <f>[1]!hospitalinfo[[#This Row],[Facility ID]]</f>
        <v>050290</v>
      </c>
      <c r="B454" t="str">
        <f>[1]!hospitalinfo[[#This Row],[State]]</f>
        <v>CA</v>
      </c>
      <c r="C454" t="str">
        <f>[1]!hospitalinfo[[#This Row],[Hospital Type]]</f>
        <v>Acute Care Hospitals</v>
      </c>
      <c r="D454" t="str">
        <f>[1]!hospitalinfo[[#This Row],[Hospital Ownership]]</f>
        <v>Voluntary non-profit - Private</v>
      </c>
      <c r="E454" cm="1">
        <f t="array" ref="E454">_xlfn.IFNA(_xlfn.XLOOKUP(1,([1]!hcahps[Facility ID] = clean[[#This Row],[Facility ID]]) * ([1]!hcahps[HCAHPS Measure ID] = "H_HSP_RATING_LINEAR_SCORE"), [1]!hcahps[HCAHPS Linear Mean Value]), "No Match")</f>
        <v>87</v>
      </c>
      <c r="F454" cm="1">
        <f t="array" ref="F454">_xlfn.IFNA(_xlfn.XLOOKUP(1,([1]!readmissions[Facility ID] = clean[[#This Row],[Facility ID]]) * ([1]!readmissions[Measure ID] = "Hybrid_HWR"), [1]!readmissions[Score]), "No Match")</f>
        <v>15.1</v>
      </c>
    </row>
    <row r="455" spans="1:6" x14ac:dyDescent="0.2">
      <c r="A455" t="str">
        <f>[1]!hospitalinfo[[#This Row],[Facility ID]]</f>
        <v>050291</v>
      </c>
      <c r="B455" t="str">
        <f>[1]!hospitalinfo[[#This Row],[State]]</f>
        <v>CA</v>
      </c>
      <c r="C455" t="str">
        <f>[1]!hospitalinfo[[#This Row],[Hospital Type]]</f>
        <v>Acute Care Hospitals</v>
      </c>
      <c r="D455" t="str">
        <f>[1]!hospitalinfo[[#This Row],[Hospital Ownership]]</f>
        <v>Voluntary non-profit - Other</v>
      </c>
      <c r="E455" cm="1">
        <f t="array" ref="E455">_xlfn.IFNA(_xlfn.XLOOKUP(1,([1]!hcahps[Facility ID] = clean[[#This Row],[Facility ID]]) * ([1]!hcahps[HCAHPS Measure ID] = "H_HSP_RATING_LINEAR_SCORE"), [1]!hcahps[HCAHPS Linear Mean Value]), "No Match")</f>
        <v>90</v>
      </c>
      <c r="F455" cm="1">
        <f t="array" ref="F455">_xlfn.IFNA(_xlfn.XLOOKUP(1,([1]!readmissions[Facility ID] = clean[[#This Row],[Facility ID]]) * ([1]!readmissions[Measure ID] = "Hybrid_HWR"), [1]!readmissions[Score]), "No Match")</f>
        <v>14.4</v>
      </c>
    </row>
    <row r="456" spans="1:6" x14ac:dyDescent="0.2">
      <c r="A456" t="str">
        <f>[1]!hospitalinfo[[#This Row],[Facility ID]]</f>
        <v>050292</v>
      </c>
      <c r="B456" t="str">
        <f>[1]!hospitalinfo[[#This Row],[State]]</f>
        <v>CA</v>
      </c>
      <c r="C456" t="str">
        <f>[1]!hospitalinfo[[#This Row],[Hospital Type]]</f>
        <v>Acute Care Hospitals</v>
      </c>
      <c r="D456" t="str">
        <f>[1]!hospitalinfo[[#This Row],[Hospital Ownership]]</f>
        <v>Government - Local</v>
      </c>
      <c r="E456" cm="1">
        <f t="array" ref="E456">_xlfn.IFNA(_xlfn.XLOOKUP(1,([1]!hcahps[Facility ID] = clean[[#This Row],[Facility ID]]) * ([1]!hcahps[HCAHPS Measure ID] = "H_HSP_RATING_LINEAR_SCORE"), [1]!hcahps[HCAHPS Linear Mean Value]), "No Match")</f>
        <v>86</v>
      </c>
      <c r="F456" cm="1">
        <f t="array" ref="F456">_xlfn.IFNA(_xlfn.XLOOKUP(1,([1]!readmissions[Facility ID] = clean[[#This Row],[Facility ID]]) * ([1]!readmissions[Measure ID] = "Hybrid_HWR"), [1]!readmissions[Score]), "No Match")</f>
        <v>15.3</v>
      </c>
    </row>
    <row r="457" spans="1:6" x14ac:dyDescent="0.2">
      <c r="A457" t="str">
        <f>[1]!hospitalinfo[[#This Row],[Facility ID]]</f>
        <v>050295</v>
      </c>
      <c r="B457" t="str">
        <f>[1]!hospitalinfo[[#This Row],[State]]</f>
        <v>CA</v>
      </c>
      <c r="C457" t="str">
        <f>[1]!hospitalinfo[[#This Row],[Hospital Type]]</f>
        <v>Acute Care Hospitals</v>
      </c>
      <c r="D457" t="str">
        <f>[1]!hospitalinfo[[#This Row],[Hospital Ownership]]</f>
        <v>Voluntary non-profit - Other</v>
      </c>
      <c r="E457" cm="1">
        <f t="array" ref="E457">_xlfn.IFNA(_xlfn.XLOOKUP(1,([1]!hcahps[Facility ID] = clean[[#This Row],[Facility ID]]) * ([1]!hcahps[HCAHPS Measure ID] = "H_HSP_RATING_LINEAR_SCORE"), [1]!hcahps[HCAHPS Linear Mean Value]), "No Match")</f>
        <v>85</v>
      </c>
      <c r="F457" cm="1">
        <f t="array" ref="F457">_xlfn.IFNA(_xlfn.XLOOKUP(1,([1]!readmissions[Facility ID] = clean[[#This Row],[Facility ID]]) * ([1]!readmissions[Measure ID] = "Hybrid_HWR"), [1]!readmissions[Score]), "No Match")</f>
        <v>15.3</v>
      </c>
    </row>
    <row r="458" spans="1:6" x14ac:dyDescent="0.2">
      <c r="A458" t="str">
        <f>[1]!hospitalinfo[[#This Row],[Facility ID]]</f>
        <v>050298</v>
      </c>
      <c r="B458" t="str">
        <f>[1]!hospitalinfo[[#This Row],[State]]</f>
        <v>CA</v>
      </c>
      <c r="C458" t="str">
        <f>[1]!hospitalinfo[[#This Row],[Hospital Type]]</f>
        <v>Acute Care Hospitals</v>
      </c>
      <c r="D458" t="str">
        <f>[1]!hospitalinfo[[#This Row],[Hospital Ownership]]</f>
        <v>Proprietary</v>
      </c>
      <c r="E458" cm="1">
        <f t="array" ref="E458">_xlfn.IFNA(_xlfn.XLOOKUP(1,([1]!hcahps[Facility ID] = clean[[#This Row],[Facility ID]]) * ([1]!hcahps[HCAHPS Measure ID] = "H_HSP_RATING_LINEAR_SCORE"), [1]!hcahps[HCAHPS Linear Mean Value]), "No Match")</f>
        <v>87</v>
      </c>
      <c r="F458" cm="1">
        <f t="array" ref="F458">_xlfn.IFNA(_xlfn.XLOOKUP(1,([1]!readmissions[Facility ID] = clean[[#This Row],[Facility ID]]) * ([1]!readmissions[Measure ID] = "Hybrid_HWR"), [1]!readmissions[Score]), "No Match")</f>
        <v>14.6</v>
      </c>
    </row>
    <row r="459" spans="1:6" x14ac:dyDescent="0.2">
      <c r="A459" t="str">
        <f>[1]!hospitalinfo[[#This Row],[Facility ID]]</f>
        <v>050300</v>
      </c>
      <c r="B459" t="str">
        <f>[1]!hospitalinfo[[#This Row],[State]]</f>
        <v>CA</v>
      </c>
      <c r="C459" t="str">
        <f>[1]!hospitalinfo[[#This Row],[Hospital Type]]</f>
        <v>Acute Care Hospitals</v>
      </c>
      <c r="D459" t="str">
        <f>[1]!hospitalinfo[[#This Row],[Hospital Ownership]]</f>
        <v>Voluntary non-profit - Private</v>
      </c>
      <c r="E459" cm="1">
        <f t="array" ref="E459">_xlfn.IFNA(_xlfn.XLOOKUP(1,([1]!hcahps[Facility ID] = clean[[#This Row],[Facility ID]]) * ([1]!hcahps[HCAHPS Measure ID] = "H_HSP_RATING_LINEAR_SCORE"), [1]!hcahps[HCAHPS Linear Mean Value]), "No Match")</f>
        <v>80</v>
      </c>
      <c r="F459" cm="1">
        <f t="array" ref="F459">_xlfn.IFNA(_xlfn.XLOOKUP(1,([1]!readmissions[Facility ID] = clean[[#This Row],[Facility ID]]) * ([1]!readmissions[Measure ID] = "Hybrid_HWR"), [1]!readmissions[Score]), "No Match")</f>
        <v>14.2</v>
      </c>
    </row>
    <row r="460" spans="1:6" x14ac:dyDescent="0.2">
      <c r="A460" t="str">
        <f>[1]!hospitalinfo[[#This Row],[Facility ID]]</f>
        <v>050301</v>
      </c>
      <c r="B460" t="str">
        <f>[1]!hospitalinfo[[#This Row],[State]]</f>
        <v>CA</v>
      </c>
      <c r="C460" t="str">
        <f>[1]!hospitalinfo[[#This Row],[Hospital Type]]</f>
        <v>Acute Care Hospitals</v>
      </c>
      <c r="D460" t="str">
        <f>[1]!hospitalinfo[[#This Row],[Hospital Ownership]]</f>
        <v>Voluntary non-profit - Private</v>
      </c>
      <c r="E460" cm="1">
        <f t="array" ref="E460">_xlfn.IFNA(_xlfn.XLOOKUP(1,([1]!hcahps[Facility ID] = clean[[#This Row],[Facility ID]]) * ([1]!hcahps[HCAHPS Measure ID] = "H_HSP_RATING_LINEAR_SCORE"), [1]!hcahps[HCAHPS Linear Mean Value]), "No Match")</f>
        <v>87</v>
      </c>
      <c r="F460" cm="1">
        <f t="array" ref="F460">_xlfn.IFNA(_xlfn.XLOOKUP(1,([1]!readmissions[Facility ID] = clean[[#This Row],[Facility ID]]) * ([1]!readmissions[Measure ID] = "Hybrid_HWR"), [1]!readmissions[Score]), "No Match")</f>
        <v>14.4</v>
      </c>
    </row>
    <row r="461" spans="1:6" x14ac:dyDescent="0.2">
      <c r="A461" t="str">
        <f>[1]!hospitalinfo[[#This Row],[Facility ID]]</f>
        <v>050305</v>
      </c>
      <c r="B461" t="str">
        <f>[1]!hospitalinfo[[#This Row],[State]]</f>
        <v>CA</v>
      </c>
      <c r="C461" t="str">
        <f>[1]!hospitalinfo[[#This Row],[Hospital Type]]</f>
        <v>Acute Care Hospitals</v>
      </c>
      <c r="D461" t="str">
        <f>[1]!hospitalinfo[[#This Row],[Hospital Ownership]]</f>
        <v>Voluntary non-profit - Private</v>
      </c>
      <c r="E461" cm="1">
        <f t="array" ref="E461">_xlfn.IFNA(_xlfn.XLOOKUP(1,([1]!hcahps[Facility ID] = clean[[#This Row],[Facility ID]]) * ([1]!hcahps[HCAHPS Measure ID] = "H_HSP_RATING_LINEAR_SCORE"), [1]!hcahps[HCAHPS Linear Mean Value]), "No Match")</f>
        <v>84</v>
      </c>
      <c r="F461" cm="1">
        <f t="array" ref="F461">_xlfn.IFNA(_xlfn.XLOOKUP(1,([1]!readmissions[Facility ID] = clean[[#This Row],[Facility ID]]) * ([1]!readmissions[Measure ID] = "Hybrid_HWR"), [1]!readmissions[Score]), "No Match")</f>
        <v>13</v>
      </c>
    </row>
    <row r="462" spans="1:6" x14ac:dyDescent="0.2">
      <c r="A462" t="str">
        <f>[1]!hospitalinfo[[#This Row],[Facility ID]]</f>
        <v>050308</v>
      </c>
      <c r="B462" t="str">
        <f>[1]!hospitalinfo[[#This Row],[State]]</f>
        <v>CA</v>
      </c>
      <c r="C462" t="str">
        <f>[1]!hospitalinfo[[#This Row],[Hospital Type]]</f>
        <v>Acute Care Hospitals</v>
      </c>
      <c r="D462" t="str">
        <f>[1]!hospitalinfo[[#This Row],[Hospital Ownership]]</f>
        <v>Government - Hospital District or Authority</v>
      </c>
      <c r="E462" cm="1">
        <f t="array" ref="E462">_xlfn.IFNA(_xlfn.XLOOKUP(1,([1]!hcahps[Facility ID] = clean[[#This Row],[Facility ID]]) * ([1]!hcahps[HCAHPS Measure ID] = "H_HSP_RATING_LINEAR_SCORE"), [1]!hcahps[HCAHPS Linear Mean Value]), "No Match")</f>
        <v>90</v>
      </c>
      <c r="F462" cm="1">
        <f t="array" ref="F462">_xlfn.IFNA(_xlfn.XLOOKUP(1,([1]!readmissions[Facility ID] = clean[[#This Row],[Facility ID]]) * ([1]!readmissions[Measure ID] = "Hybrid_HWR"), [1]!readmissions[Score]), "No Match")</f>
        <v>14.5</v>
      </c>
    </row>
    <row r="463" spans="1:6" x14ac:dyDescent="0.2">
      <c r="A463" t="str">
        <f>[1]!hospitalinfo[[#This Row],[Facility ID]]</f>
        <v>050309</v>
      </c>
      <c r="B463" t="str">
        <f>[1]!hospitalinfo[[#This Row],[State]]</f>
        <v>CA</v>
      </c>
      <c r="C463" t="str">
        <f>[1]!hospitalinfo[[#This Row],[Hospital Type]]</f>
        <v>Acute Care Hospitals</v>
      </c>
      <c r="D463" t="str">
        <f>[1]!hospitalinfo[[#This Row],[Hospital Ownership]]</f>
        <v>Voluntary non-profit - Private</v>
      </c>
      <c r="E463" cm="1">
        <f t="array" ref="E463">_xlfn.IFNA(_xlfn.XLOOKUP(1,([1]!hcahps[Facility ID] = clean[[#This Row],[Facility ID]]) * ([1]!hcahps[HCAHPS Measure ID] = "H_HSP_RATING_LINEAR_SCORE"), [1]!hcahps[HCAHPS Linear Mean Value]), "No Match")</f>
        <v>91</v>
      </c>
      <c r="F463" cm="1">
        <f t="array" ref="F463">_xlfn.IFNA(_xlfn.XLOOKUP(1,([1]!readmissions[Facility ID] = clean[[#This Row],[Facility ID]]) * ([1]!readmissions[Measure ID] = "Hybrid_HWR"), [1]!readmissions[Score]), "No Match")</f>
        <v>14.6</v>
      </c>
    </row>
    <row r="464" spans="1:6" x14ac:dyDescent="0.2">
      <c r="A464" t="str">
        <f>[1]!hospitalinfo[[#This Row],[Facility ID]]</f>
        <v>05030F</v>
      </c>
      <c r="B464" t="str">
        <f>[1]!hospitalinfo[[#This Row],[State]]</f>
        <v>CA</v>
      </c>
      <c r="C464" t="str">
        <f>[1]!hospitalinfo[[#This Row],[Hospital Type]]</f>
        <v>Acute Care - Veterans Administration</v>
      </c>
      <c r="D464" t="str">
        <f>[1]!hospitalinfo[[#This Row],[Hospital Ownership]]</f>
        <v>Veterans Health Administration</v>
      </c>
      <c r="E464" cm="1">
        <f t="array" ref="E464">_xlfn.IFNA(_xlfn.XLOOKUP(1,([1]!hcahps[Facility ID] = clean[[#This Row],[Facility ID]]) * ([1]!hcahps[HCAHPS Measure ID] = "H_HSP_RATING_LINEAR_SCORE"), [1]!hcahps[HCAHPS Linear Mean Value]), "No Match")</f>
        <v>88</v>
      </c>
      <c r="F464" cm="1">
        <f t="array" ref="F464">_xlfn.IFNA(_xlfn.XLOOKUP(1,([1]!readmissions[Facility ID] = clean[[#This Row],[Facility ID]]) * ([1]!readmissions[Measure ID] = "Hybrid_HWR"), [1]!readmissions[Score]), "No Match")</f>
        <v>14.7</v>
      </c>
    </row>
    <row r="465" spans="1:6" x14ac:dyDescent="0.2">
      <c r="A465" t="str">
        <f>[1]!hospitalinfo[[#This Row],[Facility ID]]</f>
        <v>050313</v>
      </c>
      <c r="B465" t="str">
        <f>[1]!hospitalinfo[[#This Row],[State]]</f>
        <v>CA</v>
      </c>
      <c r="C465" t="str">
        <f>[1]!hospitalinfo[[#This Row],[Hospital Type]]</f>
        <v>Acute Care Hospitals</v>
      </c>
      <c r="D465" t="str">
        <f>[1]!hospitalinfo[[#This Row],[Hospital Ownership]]</f>
        <v>Proprietary</v>
      </c>
      <c r="E465" cm="1">
        <f t="array" ref="E465">_xlfn.IFNA(_xlfn.XLOOKUP(1,([1]!hcahps[Facility ID] = clean[[#This Row],[Facility ID]]) * ([1]!hcahps[HCAHPS Measure ID] = "H_HSP_RATING_LINEAR_SCORE"), [1]!hcahps[HCAHPS Linear Mean Value]), "No Match")</f>
        <v>87</v>
      </c>
      <c r="F465" cm="1">
        <f t="array" ref="F465">_xlfn.IFNA(_xlfn.XLOOKUP(1,([1]!readmissions[Facility ID] = clean[[#This Row],[Facility ID]]) * ([1]!readmissions[Measure ID] = "Hybrid_HWR"), [1]!readmissions[Score]), "No Match")</f>
        <v>13.9</v>
      </c>
    </row>
    <row r="466" spans="1:6" x14ac:dyDescent="0.2">
      <c r="A466" t="str">
        <f>[1]!hospitalinfo[[#This Row],[Facility ID]]</f>
        <v>050315</v>
      </c>
      <c r="B466" t="str">
        <f>[1]!hospitalinfo[[#This Row],[State]]</f>
        <v>CA</v>
      </c>
      <c r="C466" t="str">
        <f>[1]!hospitalinfo[[#This Row],[Hospital Type]]</f>
        <v>Acute Care Hospitals</v>
      </c>
      <c r="D466" t="str">
        <f>[1]!hospitalinfo[[#This Row],[Hospital Ownership]]</f>
        <v>Government - Hospital District or Authority</v>
      </c>
      <c r="E466" cm="1">
        <f t="array" ref="E466">_xlfn.IFNA(_xlfn.XLOOKUP(1,([1]!hcahps[Facility ID] = clean[[#This Row],[Facility ID]]) * ([1]!hcahps[HCAHPS Measure ID] = "H_HSP_RATING_LINEAR_SCORE"), [1]!hcahps[HCAHPS Linear Mean Value]), "No Match")</f>
        <v>83</v>
      </c>
      <c r="F466" cm="1">
        <f t="array" ref="F466">_xlfn.IFNA(_xlfn.XLOOKUP(1,([1]!readmissions[Facility ID] = clean[[#This Row],[Facility ID]]) * ([1]!readmissions[Measure ID] = "Hybrid_HWR"), [1]!readmissions[Score]), "No Match")</f>
        <v>15.3</v>
      </c>
    </row>
    <row r="467" spans="1:6" x14ac:dyDescent="0.2">
      <c r="A467" t="str">
        <f>[1]!hospitalinfo[[#This Row],[Facility ID]]</f>
        <v>05031F</v>
      </c>
      <c r="B467" t="str">
        <f>[1]!hospitalinfo[[#This Row],[State]]</f>
        <v>CA</v>
      </c>
      <c r="C467" t="str">
        <f>[1]!hospitalinfo[[#This Row],[Hospital Type]]</f>
        <v>Acute Care - Veterans Administration</v>
      </c>
      <c r="D467" t="str">
        <f>[1]!hospitalinfo[[#This Row],[Hospital Ownership]]</f>
        <v>Veterans Health Administration</v>
      </c>
      <c r="E467" cm="1">
        <f t="array" ref="E467">_xlfn.IFNA(_xlfn.XLOOKUP(1,([1]!hcahps[Facility ID] = clean[[#This Row],[Facility ID]]) * ([1]!hcahps[HCAHPS Measure ID] = "H_HSP_RATING_LINEAR_SCORE"), [1]!hcahps[HCAHPS Linear Mean Value]), "No Match")</f>
        <v>92</v>
      </c>
      <c r="F467" cm="1">
        <f t="array" ref="F467">_xlfn.IFNA(_xlfn.XLOOKUP(1,([1]!readmissions[Facility ID] = clean[[#This Row],[Facility ID]]) * ([1]!readmissions[Measure ID] = "Hybrid_HWR"), [1]!readmissions[Score]), "No Match")</f>
        <v>14.6</v>
      </c>
    </row>
    <row r="468" spans="1:6" x14ac:dyDescent="0.2">
      <c r="A468" t="str">
        <f>[1]!hospitalinfo[[#This Row],[Facility ID]]</f>
        <v>050320</v>
      </c>
      <c r="B468" t="str">
        <f>[1]!hospitalinfo[[#This Row],[State]]</f>
        <v>CA</v>
      </c>
      <c r="C468" t="str">
        <f>[1]!hospitalinfo[[#This Row],[Hospital Type]]</f>
        <v>Acute Care Hospitals</v>
      </c>
      <c r="D468" t="str">
        <f>[1]!hospitalinfo[[#This Row],[Hospital Ownership]]</f>
        <v>Government - Hospital District or Authority</v>
      </c>
      <c r="E468" cm="1">
        <f t="array" ref="E468">_xlfn.IFNA(_xlfn.XLOOKUP(1,([1]!hcahps[Facility ID] = clean[[#This Row],[Facility ID]]) * ([1]!hcahps[HCAHPS Measure ID] = "H_HSP_RATING_LINEAR_SCORE"), [1]!hcahps[HCAHPS Linear Mean Value]), "No Match")</f>
        <v>88</v>
      </c>
      <c r="F468" cm="1">
        <f t="array" ref="F468">_xlfn.IFNA(_xlfn.XLOOKUP(1,([1]!readmissions[Facility ID] = clean[[#This Row],[Facility ID]]) * ([1]!readmissions[Measure ID] = "Hybrid_HWR"), [1]!readmissions[Score]), "No Match")</f>
        <v>14.5</v>
      </c>
    </row>
    <row r="469" spans="1:6" x14ac:dyDescent="0.2">
      <c r="A469" t="str">
        <f>[1]!hospitalinfo[[#This Row],[Facility ID]]</f>
        <v>050324</v>
      </c>
      <c r="B469" t="str">
        <f>[1]!hospitalinfo[[#This Row],[State]]</f>
        <v>CA</v>
      </c>
      <c r="C469" t="str">
        <f>[1]!hospitalinfo[[#This Row],[Hospital Type]]</f>
        <v>Acute Care Hospitals</v>
      </c>
      <c r="D469" t="str">
        <f>[1]!hospitalinfo[[#This Row],[Hospital Ownership]]</f>
        <v>Physician</v>
      </c>
      <c r="E469" cm="1">
        <f t="array" ref="E469">_xlfn.IFNA(_xlfn.XLOOKUP(1,([1]!hcahps[Facility ID] = clean[[#This Row],[Facility ID]]) * ([1]!hcahps[HCAHPS Measure ID] = "H_HSP_RATING_LINEAR_SCORE"), [1]!hcahps[HCAHPS Linear Mean Value]), "No Match")</f>
        <v>91</v>
      </c>
      <c r="F469" cm="1">
        <f t="array" ref="F469">_xlfn.IFNA(_xlfn.XLOOKUP(1,([1]!readmissions[Facility ID] = clean[[#This Row],[Facility ID]]) * ([1]!readmissions[Measure ID] = "Hybrid_HWR"), [1]!readmissions[Score]), "No Match")</f>
        <v>13.8</v>
      </c>
    </row>
    <row r="470" spans="1:6" x14ac:dyDescent="0.2">
      <c r="A470" t="str">
        <f>[1]!hospitalinfo[[#This Row],[Facility ID]]</f>
        <v>050327</v>
      </c>
      <c r="B470" t="str">
        <f>[1]!hospitalinfo[[#This Row],[State]]</f>
        <v>CA</v>
      </c>
      <c r="C470" t="str">
        <f>[1]!hospitalinfo[[#This Row],[Hospital Type]]</f>
        <v>Acute Care Hospitals</v>
      </c>
      <c r="D470" t="str">
        <f>[1]!hospitalinfo[[#This Row],[Hospital Ownership]]</f>
        <v>Voluntary non-profit - Private</v>
      </c>
      <c r="E470" cm="1">
        <f t="array" ref="E470">_xlfn.IFNA(_xlfn.XLOOKUP(1,([1]!hcahps[Facility ID] = clean[[#This Row],[Facility ID]]) * ([1]!hcahps[HCAHPS Measure ID] = "H_HSP_RATING_LINEAR_SCORE"), [1]!hcahps[HCAHPS Linear Mean Value]), "No Match")</f>
        <v>91</v>
      </c>
      <c r="F470" cm="1">
        <f t="array" ref="F470">_xlfn.IFNA(_xlfn.XLOOKUP(1,([1]!readmissions[Facility ID] = clean[[#This Row],[Facility ID]]) * ([1]!readmissions[Measure ID] = "Hybrid_HWR"), [1]!readmissions[Score]), "No Match")</f>
        <v>14.9</v>
      </c>
    </row>
    <row r="471" spans="1:6" x14ac:dyDescent="0.2">
      <c r="A471" t="str">
        <f>[1]!hospitalinfo[[#This Row],[Facility ID]]</f>
        <v>050329</v>
      </c>
      <c r="B471" t="str">
        <f>[1]!hospitalinfo[[#This Row],[State]]</f>
        <v>CA</v>
      </c>
      <c r="C471" t="str">
        <f>[1]!hospitalinfo[[#This Row],[Hospital Type]]</f>
        <v>Acute Care Hospitals</v>
      </c>
      <c r="D471" t="str">
        <f>[1]!hospitalinfo[[#This Row],[Hospital Ownership]]</f>
        <v>Proprietary</v>
      </c>
      <c r="E471" cm="1">
        <f t="array" ref="E471">_xlfn.IFNA(_xlfn.XLOOKUP(1,([1]!hcahps[Facility ID] = clean[[#This Row],[Facility ID]]) * ([1]!hcahps[HCAHPS Measure ID] = "H_HSP_RATING_LINEAR_SCORE"), [1]!hcahps[HCAHPS Linear Mean Value]), "No Match")</f>
        <v>81</v>
      </c>
      <c r="F471" cm="1">
        <f t="array" ref="F471">_xlfn.IFNA(_xlfn.XLOOKUP(1,([1]!readmissions[Facility ID] = clean[[#This Row],[Facility ID]]) * ([1]!readmissions[Measure ID] = "Hybrid_HWR"), [1]!readmissions[Score]), "No Match")</f>
        <v>14.8</v>
      </c>
    </row>
    <row r="472" spans="1:6" x14ac:dyDescent="0.2">
      <c r="A472" t="str">
        <f>[1]!hospitalinfo[[#This Row],[Facility ID]]</f>
        <v>050334</v>
      </c>
      <c r="B472" t="str">
        <f>[1]!hospitalinfo[[#This Row],[State]]</f>
        <v>CA</v>
      </c>
      <c r="C472" t="str">
        <f>[1]!hospitalinfo[[#This Row],[Hospital Type]]</f>
        <v>Acute Care Hospitals</v>
      </c>
      <c r="D472" t="str">
        <f>[1]!hospitalinfo[[#This Row],[Hospital Ownership]]</f>
        <v>Voluntary non-profit - Other</v>
      </c>
      <c r="E472" cm="1">
        <f t="array" ref="E472">_xlfn.IFNA(_xlfn.XLOOKUP(1,([1]!hcahps[Facility ID] = clean[[#This Row],[Facility ID]]) * ([1]!hcahps[HCAHPS Measure ID] = "H_HSP_RATING_LINEAR_SCORE"), [1]!hcahps[HCAHPS Linear Mean Value]), "No Match")</f>
        <v>89</v>
      </c>
      <c r="F472" cm="1">
        <f t="array" ref="F472">_xlfn.IFNA(_xlfn.XLOOKUP(1,([1]!readmissions[Facility ID] = clean[[#This Row],[Facility ID]]) * ([1]!readmissions[Measure ID] = "Hybrid_HWR"), [1]!readmissions[Score]), "No Match")</f>
        <v>15.9</v>
      </c>
    </row>
    <row r="473" spans="1:6" x14ac:dyDescent="0.2">
      <c r="A473" t="str">
        <f>[1]!hospitalinfo[[#This Row],[Facility ID]]</f>
        <v>050335</v>
      </c>
      <c r="B473" t="str">
        <f>[1]!hospitalinfo[[#This Row],[State]]</f>
        <v>CA</v>
      </c>
      <c r="C473" t="str">
        <f>[1]!hospitalinfo[[#This Row],[Hospital Type]]</f>
        <v>Acute Care Hospitals</v>
      </c>
      <c r="D473" t="str">
        <f>[1]!hospitalinfo[[#This Row],[Hospital Ownership]]</f>
        <v>Voluntary non-profit - Church</v>
      </c>
      <c r="E473" cm="1">
        <f t="array" ref="E473">_xlfn.IFNA(_xlfn.XLOOKUP(1,([1]!hcahps[Facility ID] = clean[[#This Row],[Facility ID]]) * ([1]!hcahps[HCAHPS Measure ID] = "H_HSP_RATING_LINEAR_SCORE"), [1]!hcahps[HCAHPS Linear Mean Value]), "No Match")</f>
        <v>87</v>
      </c>
      <c r="F473" cm="1">
        <f t="array" ref="F473">_xlfn.IFNA(_xlfn.XLOOKUP(1,([1]!readmissions[Facility ID] = clean[[#This Row],[Facility ID]]) * ([1]!readmissions[Measure ID] = "Hybrid_HWR"), [1]!readmissions[Score]), "No Match")</f>
        <v>15</v>
      </c>
    </row>
    <row r="474" spans="1:6" x14ac:dyDescent="0.2">
      <c r="A474" t="str">
        <f>[1]!hospitalinfo[[#This Row],[Facility ID]]</f>
        <v>050336</v>
      </c>
      <c r="B474" t="str">
        <f>[1]!hospitalinfo[[#This Row],[State]]</f>
        <v>CA</v>
      </c>
      <c r="C474" t="str">
        <f>[1]!hospitalinfo[[#This Row],[Hospital Type]]</f>
        <v>Acute Care Hospitals</v>
      </c>
      <c r="D474" t="str">
        <f>[1]!hospitalinfo[[#This Row],[Hospital Ownership]]</f>
        <v>Voluntary non-profit - Other</v>
      </c>
      <c r="E474" cm="1">
        <f t="array" ref="E474">_xlfn.IFNA(_xlfn.XLOOKUP(1,([1]!hcahps[Facility ID] = clean[[#This Row],[Facility ID]]) * ([1]!hcahps[HCAHPS Measure ID] = "H_HSP_RATING_LINEAR_SCORE"), [1]!hcahps[HCAHPS Linear Mean Value]), "No Match")</f>
        <v>88</v>
      </c>
      <c r="F474" cm="1">
        <f t="array" ref="F474">_xlfn.IFNA(_xlfn.XLOOKUP(1,([1]!readmissions[Facility ID] = clean[[#This Row],[Facility ID]]) * ([1]!readmissions[Measure ID] = "Hybrid_HWR"), [1]!readmissions[Score]), "No Match")</f>
        <v>15</v>
      </c>
    </row>
    <row r="475" spans="1:6" x14ac:dyDescent="0.2">
      <c r="A475" t="str">
        <f>[1]!hospitalinfo[[#This Row],[Facility ID]]</f>
        <v>050342</v>
      </c>
      <c r="B475" t="str">
        <f>[1]!hospitalinfo[[#This Row],[State]]</f>
        <v>CA</v>
      </c>
      <c r="C475" t="str">
        <f>[1]!hospitalinfo[[#This Row],[Hospital Type]]</f>
        <v>Acute Care Hospitals</v>
      </c>
      <c r="D475" t="str">
        <f>[1]!hospitalinfo[[#This Row],[Hospital Ownership]]</f>
        <v>Government - Hospital District or Authority</v>
      </c>
      <c r="E475" cm="1">
        <f t="array" ref="E475">_xlfn.IFNA(_xlfn.XLOOKUP(1,([1]!hcahps[Facility ID] = clean[[#This Row],[Facility ID]]) * ([1]!hcahps[HCAHPS Measure ID] = "H_HSP_RATING_LINEAR_SCORE"), [1]!hcahps[HCAHPS Linear Mean Value]), "No Match")</f>
        <v>84</v>
      </c>
      <c r="F475" cm="1">
        <f t="array" ref="F475">_xlfn.IFNA(_xlfn.XLOOKUP(1,([1]!readmissions[Facility ID] = clean[[#This Row],[Facility ID]]) * ([1]!readmissions[Measure ID] = "Hybrid_HWR"), [1]!readmissions[Score]), "No Match")</f>
        <v>15</v>
      </c>
    </row>
    <row r="476" spans="1:6" x14ac:dyDescent="0.2">
      <c r="A476" t="str">
        <f>[1]!hospitalinfo[[#This Row],[Facility ID]]</f>
        <v>050348</v>
      </c>
      <c r="B476" t="str">
        <f>[1]!hospitalinfo[[#This Row],[State]]</f>
        <v>CA</v>
      </c>
      <c r="C476" t="str">
        <f>[1]!hospitalinfo[[#This Row],[Hospital Type]]</f>
        <v>Acute Care Hospitals</v>
      </c>
      <c r="D476" t="str">
        <f>[1]!hospitalinfo[[#This Row],[Hospital Ownership]]</f>
        <v>Government - Local</v>
      </c>
      <c r="E476" cm="1">
        <f t="array" ref="E476">_xlfn.IFNA(_xlfn.XLOOKUP(1,([1]!hcahps[Facility ID] = clean[[#This Row],[Facility ID]]) * ([1]!hcahps[HCAHPS Measure ID] = "H_HSP_RATING_LINEAR_SCORE"), [1]!hcahps[HCAHPS Linear Mean Value]), "No Match")</f>
        <v>86</v>
      </c>
      <c r="F476" cm="1">
        <f t="array" ref="F476">_xlfn.IFNA(_xlfn.XLOOKUP(1,([1]!readmissions[Facility ID] = clean[[#This Row],[Facility ID]]) * ([1]!readmissions[Measure ID] = "Hybrid_HWR"), [1]!readmissions[Score]), "No Match")</f>
        <v>14.7</v>
      </c>
    </row>
    <row r="477" spans="1:6" x14ac:dyDescent="0.2">
      <c r="A477" t="str">
        <f>[1]!hospitalinfo[[#This Row],[Facility ID]]</f>
        <v>050350</v>
      </c>
      <c r="B477" t="str">
        <f>[1]!hospitalinfo[[#This Row],[State]]</f>
        <v>CA</v>
      </c>
      <c r="C477" t="str">
        <f>[1]!hospitalinfo[[#This Row],[Hospital Type]]</f>
        <v>Acute Care Hospitals</v>
      </c>
      <c r="D477" t="str">
        <f>[1]!hospitalinfo[[#This Row],[Hospital Ownership]]</f>
        <v>Voluntary non-profit - Private</v>
      </c>
      <c r="E477" t="str" cm="1">
        <f t="array" ref="E477">_xlfn.IFNA(_xlfn.XLOOKUP(1,([1]!hcahps[Facility ID] = clean[[#This Row],[Facility ID]]) * ([1]!hcahps[HCAHPS Measure ID] = "H_HSP_RATING_LINEAR_SCORE"), [1]!hcahps[HCAHPS Linear Mean Value]), "No Match")</f>
        <v>Not Available</v>
      </c>
      <c r="F477" cm="1">
        <f t="array" ref="F477">_xlfn.IFNA(_xlfn.XLOOKUP(1,([1]!readmissions[Facility ID] = clean[[#This Row],[Facility ID]]) * ([1]!readmissions[Measure ID] = "Hybrid_HWR"), [1]!readmissions[Score]), "No Match")</f>
        <v>15.7</v>
      </c>
    </row>
    <row r="478" spans="1:6" x14ac:dyDescent="0.2">
      <c r="A478" t="str">
        <f>[1]!hospitalinfo[[#This Row],[Facility ID]]</f>
        <v>050351</v>
      </c>
      <c r="B478" t="str">
        <f>[1]!hospitalinfo[[#This Row],[State]]</f>
        <v>CA</v>
      </c>
      <c r="C478" t="str">
        <f>[1]!hospitalinfo[[#This Row],[Hospital Type]]</f>
        <v>Acute Care Hospitals</v>
      </c>
      <c r="D478" t="str">
        <f>[1]!hospitalinfo[[#This Row],[Hospital Ownership]]</f>
        <v>Voluntary non-profit - Other</v>
      </c>
      <c r="E478" cm="1">
        <f t="array" ref="E478">_xlfn.IFNA(_xlfn.XLOOKUP(1,([1]!hcahps[Facility ID] = clean[[#This Row],[Facility ID]]) * ([1]!hcahps[HCAHPS Measure ID] = "H_HSP_RATING_LINEAR_SCORE"), [1]!hcahps[HCAHPS Linear Mean Value]), "No Match")</f>
        <v>91</v>
      </c>
      <c r="F478" cm="1">
        <f t="array" ref="F478">_xlfn.IFNA(_xlfn.XLOOKUP(1,([1]!readmissions[Facility ID] = clean[[#This Row],[Facility ID]]) * ([1]!readmissions[Measure ID] = "Hybrid_HWR"), [1]!readmissions[Score]), "No Match")</f>
        <v>14.7</v>
      </c>
    </row>
    <row r="479" spans="1:6" x14ac:dyDescent="0.2">
      <c r="A479" t="str">
        <f>[1]!hospitalinfo[[#This Row],[Facility ID]]</f>
        <v>050352</v>
      </c>
      <c r="B479" t="str">
        <f>[1]!hospitalinfo[[#This Row],[State]]</f>
        <v>CA</v>
      </c>
      <c r="C479" t="str">
        <f>[1]!hospitalinfo[[#This Row],[Hospital Type]]</f>
        <v>Acute Care Hospitals</v>
      </c>
      <c r="D479" t="str">
        <f>[1]!hospitalinfo[[#This Row],[Hospital Ownership]]</f>
        <v>Voluntary non-profit - Private</v>
      </c>
      <c r="E479" cm="1">
        <f t="array" ref="E479">_xlfn.IFNA(_xlfn.XLOOKUP(1,([1]!hcahps[Facility ID] = clean[[#This Row],[Facility ID]]) * ([1]!hcahps[HCAHPS Measure ID] = "H_HSP_RATING_LINEAR_SCORE"), [1]!hcahps[HCAHPS Linear Mean Value]), "No Match")</f>
        <v>90</v>
      </c>
      <c r="F479" cm="1">
        <f t="array" ref="F479">_xlfn.IFNA(_xlfn.XLOOKUP(1,([1]!readmissions[Facility ID] = clean[[#This Row],[Facility ID]]) * ([1]!readmissions[Measure ID] = "Hybrid_HWR"), [1]!readmissions[Score]), "No Match")</f>
        <v>15</v>
      </c>
    </row>
    <row r="480" spans="1:6" x14ac:dyDescent="0.2">
      <c r="A480" t="str">
        <f>[1]!hospitalinfo[[#This Row],[Facility ID]]</f>
        <v>050353</v>
      </c>
      <c r="B480" t="str">
        <f>[1]!hospitalinfo[[#This Row],[State]]</f>
        <v>CA</v>
      </c>
      <c r="C480" t="str">
        <f>[1]!hospitalinfo[[#This Row],[Hospital Type]]</f>
        <v>Acute Care Hospitals</v>
      </c>
      <c r="D480" t="str">
        <f>[1]!hospitalinfo[[#This Row],[Hospital Ownership]]</f>
        <v>Voluntary non-profit - Church</v>
      </c>
      <c r="E480" cm="1">
        <f t="array" ref="E480">_xlfn.IFNA(_xlfn.XLOOKUP(1,([1]!hcahps[Facility ID] = clean[[#This Row],[Facility ID]]) * ([1]!hcahps[HCAHPS Measure ID] = "H_HSP_RATING_LINEAR_SCORE"), [1]!hcahps[HCAHPS Linear Mean Value]), "No Match")</f>
        <v>88</v>
      </c>
      <c r="F480" cm="1">
        <f t="array" ref="F480">_xlfn.IFNA(_xlfn.XLOOKUP(1,([1]!readmissions[Facility ID] = clean[[#This Row],[Facility ID]]) * ([1]!readmissions[Measure ID] = "Hybrid_HWR"), [1]!readmissions[Score]), "No Match")</f>
        <v>15.1</v>
      </c>
    </row>
    <row r="481" spans="1:6" x14ac:dyDescent="0.2">
      <c r="A481" t="str">
        <f>[1]!hospitalinfo[[#This Row],[Facility ID]]</f>
        <v>050357</v>
      </c>
      <c r="B481" t="str">
        <f>[1]!hospitalinfo[[#This Row],[State]]</f>
        <v>CA</v>
      </c>
      <c r="C481" t="str">
        <f>[1]!hospitalinfo[[#This Row],[Hospital Type]]</f>
        <v>Acute Care Hospitals</v>
      </c>
      <c r="D481" t="str">
        <f>[1]!hospitalinfo[[#This Row],[Hospital Ownership]]</f>
        <v>Voluntary non-profit - Other</v>
      </c>
      <c r="E481" cm="1">
        <f t="array" ref="E481">_xlfn.IFNA(_xlfn.XLOOKUP(1,([1]!hcahps[Facility ID] = clean[[#This Row],[Facility ID]]) * ([1]!hcahps[HCAHPS Measure ID] = "H_HSP_RATING_LINEAR_SCORE"), [1]!hcahps[HCAHPS Linear Mean Value]), "No Match")</f>
        <v>93</v>
      </c>
      <c r="F481" cm="1">
        <f t="array" ref="F481">_xlfn.IFNA(_xlfn.XLOOKUP(1,([1]!readmissions[Facility ID] = clean[[#This Row],[Facility ID]]) * ([1]!readmissions[Measure ID] = "Hybrid_HWR"), [1]!readmissions[Score]), "No Match")</f>
        <v>14.4</v>
      </c>
    </row>
    <row r="482" spans="1:6" x14ac:dyDescent="0.2">
      <c r="A482" t="str">
        <f>[1]!hospitalinfo[[#This Row],[Facility ID]]</f>
        <v>050360</v>
      </c>
      <c r="B482" t="str">
        <f>[1]!hospitalinfo[[#This Row],[State]]</f>
        <v>CA</v>
      </c>
      <c r="C482" t="str">
        <f>[1]!hospitalinfo[[#This Row],[Hospital Type]]</f>
        <v>Acute Care Hospitals</v>
      </c>
      <c r="D482" t="str">
        <f>[1]!hospitalinfo[[#This Row],[Hospital Ownership]]</f>
        <v>Government - Hospital District or Authority</v>
      </c>
      <c r="E482" cm="1">
        <f t="array" ref="E482">_xlfn.IFNA(_xlfn.XLOOKUP(1,([1]!hcahps[Facility ID] = clean[[#This Row],[Facility ID]]) * ([1]!hcahps[HCAHPS Measure ID] = "H_HSP_RATING_LINEAR_SCORE"), [1]!hcahps[HCAHPS Linear Mean Value]), "No Match")</f>
        <v>90</v>
      </c>
      <c r="F482" cm="1">
        <f t="array" ref="F482">_xlfn.IFNA(_xlfn.XLOOKUP(1,([1]!readmissions[Facility ID] = clean[[#This Row],[Facility ID]]) * ([1]!readmissions[Measure ID] = "Hybrid_HWR"), [1]!readmissions[Score]), "No Match")</f>
        <v>13.7</v>
      </c>
    </row>
    <row r="483" spans="1:6" x14ac:dyDescent="0.2">
      <c r="A483" t="str">
        <f>[1]!hospitalinfo[[#This Row],[Facility ID]]</f>
        <v>050367</v>
      </c>
      <c r="B483" t="str">
        <f>[1]!hospitalinfo[[#This Row],[State]]</f>
        <v>CA</v>
      </c>
      <c r="C483" t="str">
        <f>[1]!hospitalinfo[[#This Row],[Hospital Type]]</f>
        <v>Acute Care Hospitals</v>
      </c>
      <c r="D483" t="str">
        <f>[1]!hospitalinfo[[#This Row],[Hospital Ownership]]</f>
        <v>Voluntary non-profit - Private</v>
      </c>
      <c r="E483" cm="1">
        <f t="array" ref="E483">_xlfn.IFNA(_xlfn.XLOOKUP(1,([1]!hcahps[Facility ID] = clean[[#This Row],[Facility ID]]) * ([1]!hcahps[HCAHPS Measure ID] = "H_HSP_RATING_LINEAR_SCORE"), [1]!hcahps[HCAHPS Linear Mean Value]), "No Match")</f>
        <v>87</v>
      </c>
      <c r="F483" cm="1">
        <f t="array" ref="F483">_xlfn.IFNA(_xlfn.XLOOKUP(1,([1]!readmissions[Facility ID] = clean[[#This Row],[Facility ID]]) * ([1]!readmissions[Measure ID] = "Hybrid_HWR"), [1]!readmissions[Score]), "No Match")</f>
        <v>15.5</v>
      </c>
    </row>
    <row r="484" spans="1:6" x14ac:dyDescent="0.2">
      <c r="A484" t="str">
        <f>[1]!hospitalinfo[[#This Row],[Facility ID]]</f>
        <v>050373</v>
      </c>
      <c r="B484" t="str">
        <f>[1]!hospitalinfo[[#This Row],[State]]</f>
        <v>CA</v>
      </c>
      <c r="C484" t="str">
        <f>[1]!hospitalinfo[[#This Row],[Hospital Type]]</f>
        <v>Acute Care Hospitals</v>
      </c>
      <c r="D484" t="str">
        <f>[1]!hospitalinfo[[#This Row],[Hospital Ownership]]</f>
        <v>Government - Local</v>
      </c>
      <c r="E484" cm="1">
        <f t="array" ref="E484">_xlfn.IFNA(_xlfn.XLOOKUP(1,([1]!hcahps[Facility ID] = clean[[#This Row],[Facility ID]]) * ([1]!hcahps[HCAHPS Measure ID] = "H_HSP_RATING_LINEAR_SCORE"), [1]!hcahps[HCAHPS Linear Mean Value]), "No Match")</f>
        <v>88</v>
      </c>
      <c r="F484" cm="1">
        <f t="array" ref="F484">_xlfn.IFNA(_xlfn.XLOOKUP(1,([1]!readmissions[Facility ID] = clean[[#This Row],[Facility ID]]) * ([1]!readmissions[Measure ID] = "Hybrid_HWR"), [1]!readmissions[Score]), "No Match")</f>
        <v>16.5</v>
      </c>
    </row>
    <row r="485" spans="1:6" x14ac:dyDescent="0.2">
      <c r="A485" t="str">
        <f>[1]!hospitalinfo[[#This Row],[Facility ID]]</f>
        <v>050376</v>
      </c>
      <c r="B485" t="str">
        <f>[1]!hospitalinfo[[#This Row],[State]]</f>
        <v>CA</v>
      </c>
      <c r="C485" t="str">
        <f>[1]!hospitalinfo[[#This Row],[Hospital Type]]</f>
        <v>Acute Care Hospitals</v>
      </c>
      <c r="D485" t="str">
        <f>[1]!hospitalinfo[[#This Row],[Hospital Ownership]]</f>
        <v>Government - Local</v>
      </c>
      <c r="E485" cm="1">
        <f t="array" ref="E485">_xlfn.IFNA(_xlfn.XLOOKUP(1,([1]!hcahps[Facility ID] = clean[[#This Row],[Facility ID]]) * ([1]!hcahps[HCAHPS Measure ID] = "H_HSP_RATING_LINEAR_SCORE"), [1]!hcahps[HCAHPS Linear Mean Value]), "No Match")</f>
        <v>84</v>
      </c>
      <c r="F485" cm="1">
        <f t="array" ref="F485">_xlfn.IFNA(_xlfn.XLOOKUP(1,([1]!readmissions[Facility ID] = clean[[#This Row],[Facility ID]]) * ([1]!readmissions[Measure ID] = "Hybrid_HWR"), [1]!readmissions[Score]), "No Match")</f>
        <v>16.3</v>
      </c>
    </row>
    <row r="486" spans="1:6" x14ac:dyDescent="0.2">
      <c r="A486" t="str">
        <f>[1]!hospitalinfo[[#This Row],[Facility ID]]</f>
        <v>050378</v>
      </c>
      <c r="B486" t="str">
        <f>[1]!hospitalinfo[[#This Row],[State]]</f>
        <v>CA</v>
      </c>
      <c r="C486" t="str">
        <f>[1]!hospitalinfo[[#This Row],[Hospital Type]]</f>
        <v>Acute Care Hospitals</v>
      </c>
      <c r="D486" t="str">
        <f>[1]!hospitalinfo[[#This Row],[Hospital Ownership]]</f>
        <v>Proprietary</v>
      </c>
      <c r="E486" t="str" cm="1">
        <f t="array" ref="E486">_xlfn.IFNA(_xlfn.XLOOKUP(1,([1]!hcahps[Facility ID] = clean[[#This Row],[Facility ID]]) * ([1]!hcahps[HCAHPS Measure ID] = "H_HSP_RATING_LINEAR_SCORE"), [1]!hcahps[HCAHPS Linear Mean Value]), "No Match")</f>
        <v>Not Available</v>
      </c>
      <c r="F486" cm="1">
        <f t="array" ref="F486">_xlfn.IFNA(_xlfn.XLOOKUP(1,([1]!readmissions[Facility ID] = clean[[#This Row],[Facility ID]]) * ([1]!readmissions[Measure ID] = "Hybrid_HWR"), [1]!readmissions[Score]), "No Match")</f>
        <v>15.3</v>
      </c>
    </row>
    <row r="487" spans="1:6" x14ac:dyDescent="0.2">
      <c r="A487" t="str">
        <f>[1]!hospitalinfo[[#This Row],[Facility ID]]</f>
        <v>050380</v>
      </c>
      <c r="B487" t="str">
        <f>[1]!hospitalinfo[[#This Row],[State]]</f>
        <v>CA</v>
      </c>
      <c r="C487" t="str">
        <f>[1]!hospitalinfo[[#This Row],[Hospital Type]]</f>
        <v>Acute Care Hospitals</v>
      </c>
      <c r="D487" t="str">
        <f>[1]!hospitalinfo[[#This Row],[Hospital Ownership]]</f>
        <v>Proprietary</v>
      </c>
      <c r="E487" cm="1">
        <f t="array" ref="E487">_xlfn.IFNA(_xlfn.XLOOKUP(1,([1]!hcahps[Facility ID] = clean[[#This Row],[Facility ID]]) * ([1]!hcahps[HCAHPS Measure ID] = "H_HSP_RATING_LINEAR_SCORE"), [1]!hcahps[HCAHPS Linear Mean Value]), "No Match")</f>
        <v>84</v>
      </c>
      <c r="F487" cm="1">
        <f t="array" ref="F487">_xlfn.IFNA(_xlfn.XLOOKUP(1,([1]!readmissions[Facility ID] = clean[[#This Row],[Facility ID]]) * ([1]!readmissions[Measure ID] = "Hybrid_HWR"), [1]!readmissions[Score]), "No Match")</f>
        <v>15.6</v>
      </c>
    </row>
    <row r="488" spans="1:6" x14ac:dyDescent="0.2">
      <c r="A488" t="str">
        <f>[1]!hospitalinfo[[#This Row],[Facility ID]]</f>
        <v>050382</v>
      </c>
      <c r="B488" t="str">
        <f>[1]!hospitalinfo[[#This Row],[State]]</f>
        <v>CA</v>
      </c>
      <c r="C488" t="str">
        <f>[1]!hospitalinfo[[#This Row],[Hospital Type]]</f>
        <v>Acute Care Hospitals</v>
      </c>
      <c r="D488" t="str">
        <f>[1]!hospitalinfo[[#This Row],[Hospital Ownership]]</f>
        <v>Proprietary</v>
      </c>
      <c r="E488" cm="1">
        <f t="array" ref="E488">_xlfn.IFNA(_xlfn.XLOOKUP(1,([1]!hcahps[Facility ID] = clean[[#This Row],[Facility ID]]) * ([1]!hcahps[HCAHPS Measure ID] = "H_HSP_RATING_LINEAR_SCORE"), [1]!hcahps[HCAHPS Linear Mean Value]), "No Match")</f>
        <v>84</v>
      </c>
      <c r="F488" cm="1">
        <f t="array" ref="F488">_xlfn.IFNA(_xlfn.XLOOKUP(1,([1]!readmissions[Facility ID] = clean[[#This Row],[Facility ID]]) * ([1]!readmissions[Measure ID] = "Hybrid_HWR"), [1]!readmissions[Score]), "No Match")</f>
        <v>15.8</v>
      </c>
    </row>
    <row r="489" spans="1:6" x14ac:dyDescent="0.2">
      <c r="A489" t="str">
        <f>[1]!hospitalinfo[[#This Row],[Facility ID]]</f>
        <v>050390</v>
      </c>
      <c r="B489" t="str">
        <f>[1]!hospitalinfo[[#This Row],[State]]</f>
        <v>CA</v>
      </c>
      <c r="C489" t="str">
        <f>[1]!hospitalinfo[[#This Row],[Hospital Type]]</f>
        <v>Acute Care Hospitals</v>
      </c>
      <c r="D489" t="str">
        <f>[1]!hospitalinfo[[#This Row],[Hospital Ownership]]</f>
        <v>Proprietary</v>
      </c>
      <c r="E489" cm="1">
        <f t="array" ref="E489">_xlfn.IFNA(_xlfn.XLOOKUP(1,([1]!hcahps[Facility ID] = clean[[#This Row],[Facility ID]]) * ([1]!hcahps[HCAHPS Measure ID] = "H_HSP_RATING_LINEAR_SCORE"), [1]!hcahps[HCAHPS Linear Mean Value]), "No Match")</f>
        <v>73</v>
      </c>
      <c r="F489" cm="1">
        <f t="array" ref="F489">_xlfn.IFNA(_xlfn.XLOOKUP(1,([1]!readmissions[Facility ID] = clean[[#This Row],[Facility ID]]) * ([1]!readmissions[Measure ID] = "Hybrid_HWR"), [1]!readmissions[Score]), "No Match")</f>
        <v>14.6</v>
      </c>
    </row>
    <row r="490" spans="1:6" x14ac:dyDescent="0.2">
      <c r="A490" t="str">
        <f>[1]!hospitalinfo[[#This Row],[Facility ID]]</f>
        <v>050393</v>
      </c>
      <c r="B490" t="str">
        <f>[1]!hospitalinfo[[#This Row],[State]]</f>
        <v>CA</v>
      </c>
      <c r="C490" t="str">
        <f>[1]!hospitalinfo[[#This Row],[Hospital Type]]</f>
        <v>Acute Care Hospitals</v>
      </c>
      <c r="D490" t="str">
        <f>[1]!hospitalinfo[[#This Row],[Hospital Ownership]]</f>
        <v>Voluntary non-profit - Private</v>
      </c>
      <c r="E490" cm="1">
        <f t="array" ref="E490">_xlfn.IFNA(_xlfn.XLOOKUP(1,([1]!hcahps[Facility ID] = clean[[#This Row],[Facility ID]]) * ([1]!hcahps[HCAHPS Measure ID] = "H_HSP_RATING_LINEAR_SCORE"), [1]!hcahps[HCAHPS Linear Mean Value]), "No Match")</f>
        <v>88</v>
      </c>
      <c r="F490" cm="1">
        <f t="array" ref="F490">_xlfn.IFNA(_xlfn.XLOOKUP(1,([1]!readmissions[Facility ID] = clean[[#This Row],[Facility ID]]) * ([1]!readmissions[Measure ID] = "Hybrid_HWR"), [1]!readmissions[Score]), "No Match")</f>
        <v>16.5</v>
      </c>
    </row>
    <row r="491" spans="1:6" x14ac:dyDescent="0.2">
      <c r="A491" t="str">
        <f>[1]!hospitalinfo[[#This Row],[Facility ID]]</f>
        <v>050394</v>
      </c>
      <c r="B491" t="str">
        <f>[1]!hospitalinfo[[#This Row],[State]]</f>
        <v>CA</v>
      </c>
      <c r="C491" t="str">
        <f>[1]!hospitalinfo[[#This Row],[Hospital Type]]</f>
        <v>Acute Care Hospitals</v>
      </c>
      <c r="D491" t="str">
        <f>[1]!hospitalinfo[[#This Row],[Hospital Ownership]]</f>
        <v>Voluntary non-profit - Private</v>
      </c>
      <c r="E491" cm="1">
        <f t="array" ref="E491">_xlfn.IFNA(_xlfn.XLOOKUP(1,([1]!hcahps[Facility ID] = clean[[#This Row],[Facility ID]]) * ([1]!hcahps[HCAHPS Measure ID] = "H_HSP_RATING_LINEAR_SCORE"), [1]!hcahps[HCAHPS Linear Mean Value]), "No Match")</f>
        <v>91</v>
      </c>
      <c r="F491" cm="1">
        <f t="array" ref="F491">_xlfn.IFNA(_xlfn.XLOOKUP(1,([1]!readmissions[Facility ID] = clean[[#This Row],[Facility ID]]) * ([1]!readmissions[Measure ID] = "Hybrid_HWR"), [1]!readmissions[Score]), "No Match")</f>
        <v>15.2</v>
      </c>
    </row>
    <row r="492" spans="1:6" x14ac:dyDescent="0.2">
      <c r="A492" t="str">
        <f>[1]!hospitalinfo[[#This Row],[Facility ID]]</f>
        <v>050396</v>
      </c>
      <c r="B492" t="str">
        <f>[1]!hospitalinfo[[#This Row],[State]]</f>
        <v>CA</v>
      </c>
      <c r="C492" t="str">
        <f>[1]!hospitalinfo[[#This Row],[Hospital Type]]</f>
        <v>Acute Care Hospitals</v>
      </c>
      <c r="D492" t="str">
        <f>[1]!hospitalinfo[[#This Row],[Hospital Ownership]]</f>
        <v>Voluntary non-profit - Private</v>
      </c>
      <c r="E492" cm="1">
        <f t="array" ref="E492">_xlfn.IFNA(_xlfn.XLOOKUP(1,([1]!hcahps[Facility ID] = clean[[#This Row],[Facility ID]]) * ([1]!hcahps[HCAHPS Measure ID] = "H_HSP_RATING_LINEAR_SCORE"), [1]!hcahps[HCAHPS Linear Mean Value]), "No Match")</f>
        <v>92</v>
      </c>
      <c r="F492" cm="1">
        <f t="array" ref="F492">_xlfn.IFNA(_xlfn.XLOOKUP(1,([1]!readmissions[Facility ID] = clean[[#This Row],[Facility ID]]) * ([1]!readmissions[Measure ID] = "Hybrid_HWR"), [1]!readmissions[Score]), "No Match")</f>
        <v>14.2</v>
      </c>
    </row>
    <row r="493" spans="1:6" x14ac:dyDescent="0.2">
      <c r="A493" t="str">
        <f>[1]!hospitalinfo[[#This Row],[Facility ID]]</f>
        <v>05039F</v>
      </c>
      <c r="B493" t="str">
        <f>[1]!hospitalinfo[[#This Row],[State]]</f>
        <v>CA</v>
      </c>
      <c r="C493" t="str">
        <f>[1]!hospitalinfo[[#This Row],[Hospital Type]]</f>
        <v>Acute Care - Department of Defense</v>
      </c>
      <c r="D493" t="str">
        <f>[1]!hospitalinfo[[#This Row],[Hospital Ownership]]</f>
        <v>Department of Defense</v>
      </c>
      <c r="E493" t="str" cm="1">
        <f t="array" ref="E493">_xlfn.IFNA(_xlfn.XLOOKUP(1,([1]!hcahps[Facility ID] = clean[[#This Row],[Facility ID]]) * ([1]!hcahps[HCAHPS Measure ID] = "H_HSP_RATING_LINEAR_SCORE"), [1]!hcahps[HCAHPS Linear Mean Value]), "No Match")</f>
        <v>Not Available</v>
      </c>
      <c r="F493" t="str" cm="1">
        <f t="array" ref="F493">_xlfn.IFNA(_xlfn.XLOOKUP(1,([1]!readmissions[Facility ID] = clean[[#This Row],[Facility ID]]) * ([1]!readmissions[Measure ID] = "Hybrid_HWR"), [1]!readmissions[Score]), "No Match")</f>
        <v>Not Available</v>
      </c>
    </row>
    <row r="494" spans="1:6" x14ac:dyDescent="0.2">
      <c r="A494" t="str">
        <f>[1]!hospitalinfo[[#This Row],[Facility ID]]</f>
        <v>050407</v>
      </c>
      <c r="B494" t="str">
        <f>[1]!hospitalinfo[[#This Row],[State]]</f>
        <v>CA</v>
      </c>
      <c r="C494" t="str">
        <f>[1]!hospitalinfo[[#This Row],[Hospital Type]]</f>
        <v>Acute Care Hospitals</v>
      </c>
      <c r="D494" t="str">
        <f>[1]!hospitalinfo[[#This Row],[Hospital Ownership]]</f>
        <v>Voluntary non-profit - Private</v>
      </c>
      <c r="E494" cm="1">
        <f t="array" ref="E494">_xlfn.IFNA(_xlfn.XLOOKUP(1,([1]!hcahps[Facility ID] = clean[[#This Row],[Facility ID]]) * ([1]!hcahps[HCAHPS Measure ID] = "H_HSP_RATING_LINEAR_SCORE"), [1]!hcahps[HCAHPS Linear Mean Value]), "No Match")</f>
        <v>85</v>
      </c>
      <c r="F494" cm="1">
        <f t="array" ref="F494">_xlfn.IFNA(_xlfn.XLOOKUP(1,([1]!readmissions[Facility ID] = clean[[#This Row],[Facility ID]]) * ([1]!readmissions[Measure ID] = "Hybrid_HWR"), [1]!readmissions[Score]), "No Match")</f>
        <v>14.7</v>
      </c>
    </row>
    <row r="495" spans="1:6" x14ac:dyDescent="0.2">
      <c r="A495" t="str">
        <f>[1]!hospitalinfo[[#This Row],[Facility ID]]</f>
        <v>050411</v>
      </c>
      <c r="B495" t="str">
        <f>[1]!hospitalinfo[[#This Row],[State]]</f>
        <v>CA</v>
      </c>
      <c r="C495" t="str">
        <f>[1]!hospitalinfo[[#This Row],[Hospital Type]]</f>
        <v>Acute Care Hospitals</v>
      </c>
      <c r="D495" t="str">
        <f>[1]!hospitalinfo[[#This Row],[Hospital Ownership]]</f>
        <v>Voluntary non-profit - Other</v>
      </c>
      <c r="E495" cm="1">
        <f t="array" ref="E495">_xlfn.IFNA(_xlfn.XLOOKUP(1,([1]!hcahps[Facility ID] = clean[[#This Row],[Facility ID]]) * ([1]!hcahps[HCAHPS Measure ID] = "H_HSP_RATING_LINEAR_SCORE"), [1]!hcahps[HCAHPS Linear Mean Value]), "No Match")</f>
        <v>88</v>
      </c>
      <c r="F495" cm="1">
        <f t="array" ref="F495">_xlfn.IFNA(_xlfn.XLOOKUP(1,([1]!readmissions[Facility ID] = clean[[#This Row],[Facility ID]]) * ([1]!readmissions[Measure ID] = "Hybrid_HWR"), [1]!readmissions[Score]), "No Match")</f>
        <v>15.3</v>
      </c>
    </row>
    <row r="496" spans="1:6" x14ac:dyDescent="0.2">
      <c r="A496" t="str">
        <f>[1]!hospitalinfo[[#This Row],[Facility ID]]</f>
        <v>050414</v>
      </c>
      <c r="B496" t="str">
        <f>[1]!hospitalinfo[[#This Row],[State]]</f>
        <v>CA</v>
      </c>
      <c r="C496" t="str">
        <f>[1]!hospitalinfo[[#This Row],[Hospital Type]]</f>
        <v>Acute Care Hospitals</v>
      </c>
      <c r="D496" t="str">
        <f>[1]!hospitalinfo[[#This Row],[Hospital Ownership]]</f>
        <v>Voluntary non-profit - Private</v>
      </c>
      <c r="E496" cm="1">
        <f t="array" ref="E496">_xlfn.IFNA(_xlfn.XLOOKUP(1,([1]!hcahps[Facility ID] = clean[[#This Row],[Facility ID]]) * ([1]!hcahps[HCAHPS Measure ID] = "H_HSP_RATING_LINEAR_SCORE"), [1]!hcahps[HCAHPS Linear Mean Value]), "No Match")</f>
        <v>89</v>
      </c>
      <c r="F496" cm="1">
        <f t="array" ref="F496">_xlfn.IFNA(_xlfn.XLOOKUP(1,([1]!readmissions[Facility ID] = clean[[#This Row],[Facility ID]]) * ([1]!readmissions[Measure ID] = "Hybrid_HWR"), [1]!readmissions[Score]), "No Match")</f>
        <v>14.9</v>
      </c>
    </row>
    <row r="497" spans="1:6" x14ac:dyDescent="0.2">
      <c r="A497" t="str">
        <f>[1]!hospitalinfo[[#This Row],[Facility ID]]</f>
        <v>050417</v>
      </c>
      <c r="B497" t="str">
        <f>[1]!hospitalinfo[[#This Row],[State]]</f>
        <v>CA</v>
      </c>
      <c r="C497" t="str">
        <f>[1]!hospitalinfo[[#This Row],[Hospital Type]]</f>
        <v>Acute Care Hospitals</v>
      </c>
      <c r="D497" t="str">
        <f>[1]!hospitalinfo[[#This Row],[Hospital Ownership]]</f>
        <v>Government - Hospital District or Authority</v>
      </c>
      <c r="E497" cm="1">
        <f t="array" ref="E497">_xlfn.IFNA(_xlfn.XLOOKUP(1,([1]!hcahps[Facility ID] = clean[[#This Row],[Facility ID]]) * ([1]!hcahps[HCAHPS Measure ID] = "H_HSP_RATING_LINEAR_SCORE"), [1]!hcahps[HCAHPS Linear Mean Value]), "No Match")</f>
        <v>87</v>
      </c>
      <c r="F497" cm="1">
        <f t="array" ref="F497">_xlfn.IFNA(_xlfn.XLOOKUP(1,([1]!readmissions[Facility ID] = clean[[#This Row],[Facility ID]]) * ([1]!readmissions[Measure ID] = "Hybrid_HWR"), [1]!readmissions[Score]), "No Match")</f>
        <v>13.9</v>
      </c>
    </row>
    <row r="498" spans="1:6" x14ac:dyDescent="0.2">
      <c r="A498" t="str">
        <f>[1]!hospitalinfo[[#This Row],[Facility ID]]</f>
        <v>05041F</v>
      </c>
      <c r="B498" t="str">
        <f>[1]!hospitalinfo[[#This Row],[State]]</f>
        <v>CA</v>
      </c>
      <c r="C498" t="str">
        <f>[1]!hospitalinfo[[#This Row],[Hospital Type]]</f>
        <v>Acute Care - Department of Defense</v>
      </c>
      <c r="D498" t="str">
        <f>[1]!hospitalinfo[[#This Row],[Hospital Ownership]]</f>
        <v>Department of Defense</v>
      </c>
      <c r="E498" t="str" cm="1">
        <f t="array" ref="E498">_xlfn.IFNA(_xlfn.XLOOKUP(1,([1]!hcahps[Facility ID] = clean[[#This Row],[Facility ID]]) * ([1]!hcahps[HCAHPS Measure ID] = "H_HSP_RATING_LINEAR_SCORE"), [1]!hcahps[HCAHPS Linear Mean Value]), "No Match")</f>
        <v>Not Available</v>
      </c>
      <c r="F498" t="str" cm="1">
        <f t="array" ref="F498">_xlfn.IFNA(_xlfn.XLOOKUP(1,([1]!readmissions[Facility ID] = clean[[#This Row],[Facility ID]]) * ([1]!readmissions[Measure ID] = "Hybrid_HWR"), [1]!readmissions[Score]), "No Match")</f>
        <v>Not Available</v>
      </c>
    </row>
    <row r="499" spans="1:6" x14ac:dyDescent="0.2">
      <c r="A499" t="str">
        <f>[1]!hospitalinfo[[#This Row],[Facility ID]]</f>
        <v>050424</v>
      </c>
      <c r="B499" t="str">
        <f>[1]!hospitalinfo[[#This Row],[State]]</f>
        <v>CA</v>
      </c>
      <c r="C499" t="str">
        <f>[1]!hospitalinfo[[#This Row],[Hospital Type]]</f>
        <v>Acute Care Hospitals</v>
      </c>
      <c r="D499" t="str">
        <f>[1]!hospitalinfo[[#This Row],[Hospital Ownership]]</f>
        <v>Voluntary non-profit - Other</v>
      </c>
      <c r="E499" cm="1">
        <f t="array" ref="E499">_xlfn.IFNA(_xlfn.XLOOKUP(1,([1]!hcahps[Facility ID] = clean[[#This Row],[Facility ID]]) * ([1]!hcahps[HCAHPS Measure ID] = "H_HSP_RATING_LINEAR_SCORE"), [1]!hcahps[HCAHPS Linear Mean Value]), "No Match")</f>
        <v>93</v>
      </c>
      <c r="F499" cm="1">
        <f t="array" ref="F499">_xlfn.IFNA(_xlfn.XLOOKUP(1,([1]!readmissions[Facility ID] = clean[[#This Row],[Facility ID]]) * ([1]!readmissions[Measure ID] = "Hybrid_HWR"), [1]!readmissions[Score]), "No Match")</f>
        <v>13.9</v>
      </c>
    </row>
    <row r="500" spans="1:6" x14ac:dyDescent="0.2">
      <c r="A500" t="str">
        <f>[1]!hospitalinfo[[#This Row],[Facility ID]]</f>
        <v>050425</v>
      </c>
      <c r="B500" t="str">
        <f>[1]!hospitalinfo[[#This Row],[State]]</f>
        <v>CA</v>
      </c>
      <c r="C500" t="str">
        <f>[1]!hospitalinfo[[#This Row],[Hospital Type]]</f>
        <v>Acute Care Hospitals</v>
      </c>
      <c r="D500" t="str">
        <f>[1]!hospitalinfo[[#This Row],[Hospital Ownership]]</f>
        <v>Voluntary non-profit - Private</v>
      </c>
      <c r="E500" cm="1">
        <f t="array" ref="E500">_xlfn.IFNA(_xlfn.XLOOKUP(1,([1]!hcahps[Facility ID] = clean[[#This Row],[Facility ID]]) * ([1]!hcahps[HCAHPS Measure ID] = "H_HSP_RATING_LINEAR_SCORE"), [1]!hcahps[HCAHPS Linear Mean Value]), "No Match")</f>
        <v>84</v>
      </c>
      <c r="F500" cm="1">
        <f t="array" ref="F500">_xlfn.IFNA(_xlfn.XLOOKUP(1,([1]!readmissions[Facility ID] = clean[[#This Row],[Facility ID]]) * ([1]!readmissions[Measure ID] = "Hybrid_HWR"), [1]!readmissions[Score]), "No Match")</f>
        <v>15.8</v>
      </c>
    </row>
    <row r="501" spans="1:6" x14ac:dyDescent="0.2">
      <c r="A501" t="str">
        <f>[1]!hospitalinfo[[#This Row],[Facility ID]]</f>
        <v>050426</v>
      </c>
      <c r="B501" t="str">
        <f>[1]!hospitalinfo[[#This Row],[State]]</f>
        <v>CA</v>
      </c>
      <c r="C501" t="str">
        <f>[1]!hospitalinfo[[#This Row],[Hospital Type]]</f>
        <v>Acute Care Hospitals</v>
      </c>
      <c r="D501" t="str">
        <f>[1]!hospitalinfo[[#This Row],[Hospital Ownership]]</f>
        <v>Proprietary</v>
      </c>
      <c r="E501" cm="1">
        <f t="array" ref="E501">_xlfn.IFNA(_xlfn.XLOOKUP(1,([1]!hcahps[Facility ID] = clean[[#This Row],[Facility ID]]) * ([1]!hcahps[HCAHPS Measure ID] = "H_HSP_RATING_LINEAR_SCORE"), [1]!hcahps[HCAHPS Linear Mean Value]), "No Match")</f>
        <v>85</v>
      </c>
      <c r="F501" cm="1">
        <f t="array" ref="F501">_xlfn.IFNA(_xlfn.XLOOKUP(1,([1]!readmissions[Facility ID] = clean[[#This Row],[Facility ID]]) * ([1]!readmissions[Measure ID] = "Hybrid_HWR"), [1]!readmissions[Score]), "No Match")</f>
        <v>16.600000000000001</v>
      </c>
    </row>
    <row r="502" spans="1:6" x14ac:dyDescent="0.2">
      <c r="A502" t="str">
        <f>[1]!hospitalinfo[[#This Row],[Facility ID]]</f>
        <v>050438</v>
      </c>
      <c r="B502" t="str">
        <f>[1]!hospitalinfo[[#This Row],[State]]</f>
        <v>CA</v>
      </c>
      <c r="C502" t="str">
        <f>[1]!hospitalinfo[[#This Row],[Hospital Type]]</f>
        <v>Acute Care Hospitals</v>
      </c>
      <c r="D502" t="str">
        <f>[1]!hospitalinfo[[#This Row],[Hospital Ownership]]</f>
        <v>Voluntary non-profit - Other</v>
      </c>
      <c r="E502" cm="1">
        <f t="array" ref="E502">_xlfn.IFNA(_xlfn.XLOOKUP(1,([1]!hcahps[Facility ID] = clean[[#This Row],[Facility ID]]) * ([1]!hcahps[HCAHPS Measure ID] = "H_HSP_RATING_LINEAR_SCORE"), [1]!hcahps[HCAHPS Linear Mean Value]), "No Match")</f>
        <v>88</v>
      </c>
      <c r="F502" cm="1">
        <f t="array" ref="F502">_xlfn.IFNA(_xlfn.XLOOKUP(1,([1]!readmissions[Facility ID] = clean[[#This Row],[Facility ID]]) * ([1]!readmissions[Measure ID] = "Hybrid_HWR"), [1]!readmissions[Score]), "No Match")</f>
        <v>15.9</v>
      </c>
    </row>
    <row r="503" spans="1:6" x14ac:dyDescent="0.2">
      <c r="A503" t="str">
        <f>[1]!hospitalinfo[[#This Row],[Facility ID]]</f>
        <v>050441</v>
      </c>
      <c r="B503" t="str">
        <f>[1]!hospitalinfo[[#This Row],[State]]</f>
        <v>CA</v>
      </c>
      <c r="C503" t="str">
        <f>[1]!hospitalinfo[[#This Row],[Hospital Type]]</f>
        <v>Acute Care Hospitals</v>
      </c>
      <c r="D503" t="str">
        <f>[1]!hospitalinfo[[#This Row],[Hospital Ownership]]</f>
        <v>Voluntary non-profit - Private</v>
      </c>
      <c r="E503" cm="1">
        <f t="array" ref="E503">_xlfn.IFNA(_xlfn.XLOOKUP(1,([1]!hcahps[Facility ID] = clean[[#This Row],[Facility ID]]) * ([1]!hcahps[HCAHPS Measure ID] = "H_HSP_RATING_LINEAR_SCORE"), [1]!hcahps[HCAHPS Linear Mean Value]), "No Match")</f>
        <v>91</v>
      </c>
      <c r="F503" cm="1">
        <f t="array" ref="F503">_xlfn.IFNA(_xlfn.XLOOKUP(1,([1]!readmissions[Facility ID] = clean[[#This Row],[Facility ID]]) * ([1]!readmissions[Measure ID] = "Hybrid_HWR"), [1]!readmissions[Score]), "No Match")</f>
        <v>14.7</v>
      </c>
    </row>
    <row r="504" spans="1:6" x14ac:dyDescent="0.2">
      <c r="A504" t="str">
        <f>[1]!hospitalinfo[[#This Row],[Facility ID]]</f>
        <v>050444</v>
      </c>
      <c r="B504" t="str">
        <f>[1]!hospitalinfo[[#This Row],[State]]</f>
        <v>CA</v>
      </c>
      <c r="C504" t="str">
        <f>[1]!hospitalinfo[[#This Row],[Hospital Type]]</f>
        <v>Acute Care Hospitals</v>
      </c>
      <c r="D504" t="str">
        <f>[1]!hospitalinfo[[#This Row],[Hospital Ownership]]</f>
        <v>Voluntary non-profit - Private</v>
      </c>
      <c r="E504" cm="1">
        <f t="array" ref="E504">_xlfn.IFNA(_xlfn.XLOOKUP(1,([1]!hcahps[Facility ID] = clean[[#This Row],[Facility ID]]) * ([1]!hcahps[HCAHPS Measure ID] = "H_HSP_RATING_LINEAR_SCORE"), [1]!hcahps[HCAHPS Linear Mean Value]), "No Match")</f>
        <v>86</v>
      </c>
      <c r="F504" cm="1">
        <f t="array" ref="F504">_xlfn.IFNA(_xlfn.XLOOKUP(1,([1]!readmissions[Facility ID] = clean[[#This Row],[Facility ID]]) * ([1]!readmissions[Measure ID] = "Hybrid_HWR"), [1]!readmissions[Score]), "No Match")</f>
        <v>15.1</v>
      </c>
    </row>
    <row r="505" spans="1:6" x14ac:dyDescent="0.2">
      <c r="A505" t="str">
        <f>[1]!hospitalinfo[[#This Row],[Facility ID]]</f>
        <v>050454</v>
      </c>
      <c r="B505" t="str">
        <f>[1]!hospitalinfo[[#This Row],[State]]</f>
        <v>CA</v>
      </c>
      <c r="C505" t="str">
        <f>[1]!hospitalinfo[[#This Row],[Hospital Type]]</f>
        <v>Acute Care Hospitals</v>
      </c>
      <c r="D505" t="str">
        <f>[1]!hospitalinfo[[#This Row],[Hospital Ownership]]</f>
        <v>Voluntary non-profit - Other</v>
      </c>
      <c r="E505" cm="1">
        <f t="array" ref="E505">_xlfn.IFNA(_xlfn.XLOOKUP(1,([1]!hcahps[Facility ID] = clean[[#This Row],[Facility ID]]) * ([1]!hcahps[HCAHPS Measure ID] = "H_HSP_RATING_LINEAR_SCORE"), [1]!hcahps[HCAHPS Linear Mean Value]), "No Match")</f>
        <v>91</v>
      </c>
      <c r="F505" cm="1">
        <f t="array" ref="F505">_xlfn.IFNA(_xlfn.XLOOKUP(1,([1]!readmissions[Facility ID] = clean[[#This Row],[Facility ID]]) * ([1]!readmissions[Measure ID] = "Hybrid_HWR"), [1]!readmissions[Score]), "No Match")</f>
        <v>14</v>
      </c>
    </row>
    <row r="506" spans="1:6" x14ac:dyDescent="0.2">
      <c r="A506" t="str">
        <f>[1]!hospitalinfo[[#This Row],[Facility ID]]</f>
        <v>050455</v>
      </c>
      <c r="B506" t="str">
        <f>[1]!hospitalinfo[[#This Row],[State]]</f>
        <v>CA</v>
      </c>
      <c r="C506" t="str">
        <f>[1]!hospitalinfo[[#This Row],[Hospital Type]]</f>
        <v>Acute Care Hospitals</v>
      </c>
      <c r="D506" t="str">
        <f>[1]!hospitalinfo[[#This Row],[Hospital Ownership]]</f>
        <v>Voluntary non-profit - Private</v>
      </c>
      <c r="E506" cm="1">
        <f t="array" ref="E506">_xlfn.IFNA(_xlfn.XLOOKUP(1,([1]!hcahps[Facility ID] = clean[[#This Row],[Facility ID]]) * ([1]!hcahps[HCAHPS Measure ID] = "H_HSP_RATING_LINEAR_SCORE"), [1]!hcahps[HCAHPS Linear Mean Value]), "No Match")</f>
        <v>87</v>
      </c>
      <c r="F506" cm="1">
        <f t="array" ref="F506">_xlfn.IFNA(_xlfn.XLOOKUP(1,([1]!readmissions[Facility ID] = clean[[#This Row],[Facility ID]]) * ([1]!readmissions[Measure ID] = "Hybrid_HWR"), [1]!readmissions[Score]), "No Match")</f>
        <v>15.4</v>
      </c>
    </row>
    <row r="507" spans="1:6" x14ac:dyDescent="0.2">
      <c r="A507" t="str">
        <f>[1]!hospitalinfo[[#This Row],[Facility ID]]</f>
        <v>050457</v>
      </c>
      <c r="B507" t="str">
        <f>[1]!hospitalinfo[[#This Row],[State]]</f>
        <v>CA</v>
      </c>
      <c r="C507" t="str">
        <f>[1]!hospitalinfo[[#This Row],[Hospital Type]]</f>
        <v>Acute Care Hospitals</v>
      </c>
      <c r="D507" t="str">
        <f>[1]!hospitalinfo[[#This Row],[Hospital Ownership]]</f>
        <v>Voluntary non-profit - Private</v>
      </c>
      <c r="E507" cm="1">
        <f t="array" ref="E507">_xlfn.IFNA(_xlfn.XLOOKUP(1,([1]!hcahps[Facility ID] = clean[[#This Row],[Facility ID]]) * ([1]!hcahps[HCAHPS Measure ID] = "H_HSP_RATING_LINEAR_SCORE"), [1]!hcahps[HCAHPS Linear Mean Value]), "No Match")</f>
        <v>84</v>
      </c>
      <c r="F507" cm="1">
        <f t="array" ref="F507">_xlfn.IFNA(_xlfn.XLOOKUP(1,([1]!readmissions[Facility ID] = clean[[#This Row],[Facility ID]]) * ([1]!readmissions[Measure ID] = "Hybrid_HWR"), [1]!readmissions[Score]), "No Match")</f>
        <v>15.2</v>
      </c>
    </row>
    <row r="508" spans="1:6" x14ac:dyDescent="0.2">
      <c r="A508" t="str">
        <f>[1]!hospitalinfo[[#This Row],[Facility ID]]</f>
        <v>050464</v>
      </c>
      <c r="B508" t="str">
        <f>[1]!hospitalinfo[[#This Row],[State]]</f>
        <v>CA</v>
      </c>
      <c r="C508" t="str">
        <f>[1]!hospitalinfo[[#This Row],[Hospital Type]]</f>
        <v>Acute Care Hospitals</v>
      </c>
      <c r="D508" t="str">
        <f>[1]!hospitalinfo[[#This Row],[Hospital Ownership]]</f>
        <v>Proprietary</v>
      </c>
      <c r="E508" cm="1">
        <f t="array" ref="E508">_xlfn.IFNA(_xlfn.XLOOKUP(1,([1]!hcahps[Facility ID] = clean[[#This Row],[Facility ID]]) * ([1]!hcahps[HCAHPS Measure ID] = "H_HSP_RATING_LINEAR_SCORE"), [1]!hcahps[HCAHPS Linear Mean Value]), "No Match")</f>
        <v>82</v>
      </c>
      <c r="F508" cm="1">
        <f t="array" ref="F508">_xlfn.IFNA(_xlfn.XLOOKUP(1,([1]!readmissions[Facility ID] = clean[[#This Row],[Facility ID]]) * ([1]!readmissions[Measure ID] = "Hybrid_HWR"), [1]!readmissions[Score]), "No Match")</f>
        <v>16</v>
      </c>
    </row>
    <row r="509" spans="1:6" x14ac:dyDescent="0.2">
      <c r="A509" t="str">
        <f>[1]!hospitalinfo[[#This Row],[Facility ID]]</f>
        <v>050468</v>
      </c>
      <c r="B509" t="str">
        <f>[1]!hospitalinfo[[#This Row],[State]]</f>
        <v>CA</v>
      </c>
      <c r="C509" t="str">
        <f>[1]!hospitalinfo[[#This Row],[Hospital Type]]</f>
        <v>Acute Care Hospitals</v>
      </c>
      <c r="D509" t="str">
        <f>[1]!hospitalinfo[[#This Row],[Hospital Ownership]]</f>
        <v>Proprietary</v>
      </c>
      <c r="E509" cm="1">
        <f t="array" ref="E509">_xlfn.IFNA(_xlfn.XLOOKUP(1,([1]!hcahps[Facility ID] = clean[[#This Row],[Facility ID]]) * ([1]!hcahps[HCAHPS Measure ID] = "H_HSP_RATING_LINEAR_SCORE"), [1]!hcahps[HCAHPS Linear Mean Value]), "No Match")</f>
        <v>74</v>
      </c>
      <c r="F509" cm="1">
        <f t="array" ref="F509">_xlfn.IFNA(_xlfn.XLOOKUP(1,([1]!readmissions[Facility ID] = clean[[#This Row],[Facility ID]]) * ([1]!readmissions[Measure ID] = "Hybrid_HWR"), [1]!readmissions[Score]), "No Match")</f>
        <v>16.3</v>
      </c>
    </row>
    <row r="510" spans="1:6" x14ac:dyDescent="0.2">
      <c r="A510" t="str">
        <f>[1]!hospitalinfo[[#This Row],[Facility ID]]</f>
        <v>050471</v>
      </c>
      <c r="B510" t="str">
        <f>[1]!hospitalinfo[[#This Row],[State]]</f>
        <v>CA</v>
      </c>
      <c r="C510" t="str">
        <f>[1]!hospitalinfo[[#This Row],[Hospital Type]]</f>
        <v>Acute Care Hospitals</v>
      </c>
      <c r="D510" t="str">
        <f>[1]!hospitalinfo[[#This Row],[Hospital Ownership]]</f>
        <v>Proprietary</v>
      </c>
      <c r="E510" cm="1">
        <f t="array" ref="E510">_xlfn.IFNA(_xlfn.XLOOKUP(1,([1]!hcahps[Facility ID] = clean[[#This Row],[Facility ID]]) * ([1]!hcahps[HCAHPS Measure ID] = "H_HSP_RATING_LINEAR_SCORE"), [1]!hcahps[HCAHPS Linear Mean Value]), "No Match")</f>
        <v>87</v>
      </c>
      <c r="F510" cm="1">
        <f t="array" ref="F510">_xlfn.IFNA(_xlfn.XLOOKUP(1,([1]!readmissions[Facility ID] = clean[[#This Row],[Facility ID]]) * ([1]!readmissions[Measure ID] = "Hybrid_HWR"), [1]!readmissions[Score]), "No Match")</f>
        <v>15.9</v>
      </c>
    </row>
    <row r="511" spans="1:6" x14ac:dyDescent="0.2">
      <c r="A511" t="str">
        <f>[1]!hospitalinfo[[#This Row],[Facility ID]]</f>
        <v>050481</v>
      </c>
      <c r="B511" t="str">
        <f>[1]!hospitalinfo[[#This Row],[State]]</f>
        <v>CA</v>
      </c>
      <c r="C511" t="str">
        <f>[1]!hospitalinfo[[#This Row],[Hospital Type]]</f>
        <v>Acute Care Hospitals</v>
      </c>
      <c r="D511" t="str">
        <f>[1]!hospitalinfo[[#This Row],[Hospital Ownership]]</f>
        <v>Proprietary</v>
      </c>
      <c r="E511" cm="1">
        <f t="array" ref="E511">_xlfn.IFNA(_xlfn.XLOOKUP(1,([1]!hcahps[Facility ID] = clean[[#This Row],[Facility ID]]) * ([1]!hcahps[HCAHPS Measure ID] = "H_HSP_RATING_LINEAR_SCORE"), [1]!hcahps[HCAHPS Linear Mean Value]), "No Match")</f>
        <v>78</v>
      </c>
      <c r="F511" cm="1">
        <f t="array" ref="F511">_xlfn.IFNA(_xlfn.XLOOKUP(1,([1]!readmissions[Facility ID] = clean[[#This Row],[Facility ID]]) * ([1]!readmissions[Measure ID] = "Hybrid_HWR"), [1]!readmissions[Score]), "No Match")</f>
        <v>16</v>
      </c>
    </row>
    <row r="512" spans="1:6" x14ac:dyDescent="0.2">
      <c r="A512" t="str">
        <f>[1]!hospitalinfo[[#This Row],[Facility ID]]</f>
        <v>050485</v>
      </c>
      <c r="B512" t="str">
        <f>[1]!hospitalinfo[[#This Row],[State]]</f>
        <v>CA</v>
      </c>
      <c r="C512" t="str">
        <f>[1]!hospitalinfo[[#This Row],[Hospital Type]]</f>
        <v>Acute Care Hospitals</v>
      </c>
      <c r="D512" t="str">
        <f>[1]!hospitalinfo[[#This Row],[Hospital Ownership]]</f>
        <v>Voluntary non-profit - Other</v>
      </c>
      <c r="E512" cm="1">
        <f t="array" ref="E512">_xlfn.IFNA(_xlfn.XLOOKUP(1,([1]!hcahps[Facility ID] = clean[[#This Row],[Facility ID]]) * ([1]!hcahps[HCAHPS Measure ID] = "H_HSP_RATING_LINEAR_SCORE"), [1]!hcahps[HCAHPS Linear Mean Value]), "No Match")</f>
        <v>87</v>
      </c>
      <c r="F512" cm="1">
        <f t="array" ref="F512">_xlfn.IFNA(_xlfn.XLOOKUP(1,([1]!readmissions[Facility ID] = clean[[#This Row],[Facility ID]]) * ([1]!readmissions[Measure ID] = "Hybrid_HWR"), [1]!readmissions[Score]), "No Match")</f>
        <v>15.3</v>
      </c>
    </row>
    <row r="513" spans="1:6" x14ac:dyDescent="0.2">
      <c r="A513" t="str">
        <f>[1]!hospitalinfo[[#This Row],[Facility ID]]</f>
        <v>050488</v>
      </c>
      <c r="B513" t="str">
        <f>[1]!hospitalinfo[[#This Row],[State]]</f>
        <v>CA</v>
      </c>
      <c r="C513" t="str">
        <f>[1]!hospitalinfo[[#This Row],[Hospital Type]]</f>
        <v>Acute Care Hospitals</v>
      </c>
      <c r="D513" t="str">
        <f>[1]!hospitalinfo[[#This Row],[Hospital Ownership]]</f>
        <v>Voluntary non-profit - Other</v>
      </c>
      <c r="E513" cm="1">
        <f t="array" ref="E513">_xlfn.IFNA(_xlfn.XLOOKUP(1,([1]!hcahps[Facility ID] = clean[[#This Row],[Facility ID]]) * ([1]!hcahps[HCAHPS Measure ID] = "H_HSP_RATING_LINEAR_SCORE"), [1]!hcahps[HCAHPS Linear Mean Value]), "No Match")</f>
        <v>87</v>
      </c>
      <c r="F513" cm="1">
        <f t="array" ref="F513">_xlfn.IFNA(_xlfn.XLOOKUP(1,([1]!readmissions[Facility ID] = clean[[#This Row],[Facility ID]]) * ([1]!readmissions[Measure ID] = "Hybrid_HWR"), [1]!readmissions[Score]), "No Match")</f>
        <v>14.9</v>
      </c>
    </row>
    <row r="514" spans="1:6" x14ac:dyDescent="0.2">
      <c r="A514" t="str">
        <f>[1]!hospitalinfo[[#This Row],[Facility ID]]</f>
        <v>050492</v>
      </c>
      <c r="B514" t="str">
        <f>[1]!hospitalinfo[[#This Row],[State]]</f>
        <v>CA</v>
      </c>
      <c r="C514" t="str">
        <f>[1]!hospitalinfo[[#This Row],[Hospital Type]]</f>
        <v>Acute Care Hospitals</v>
      </c>
      <c r="D514" t="str">
        <f>[1]!hospitalinfo[[#This Row],[Hospital Ownership]]</f>
        <v>Voluntary non-profit - Private</v>
      </c>
      <c r="E514" cm="1">
        <f t="array" ref="E514">_xlfn.IFNA(_xlfn.XLOOKUP(1,([1]!hcahps[Facility ID] = clean[[#This Row],[Facility ID]]) * ([1]!hcahps[HCAHPS Measure ID] = "H_HSP_RATING_LINEAR_SCORE"), [1]!hcahps[HCAHPS Linear Mean Value]), "No Match")</f>
        <v>89</v>
      </c>
      <c r="F514" cm="1">
        <f t="array" ref="F514">_xlfn.IFNA(_xlfn.XLOOKUP(1,([1]!readmissions[Facility ID] = clean[[#This Row],[Facility ID]]) * ([1]!readmissions[Measure ID] = "Hybrid_HWR"), [1]!readmissions[Score]), "No Match")</f>
        <v>15.4</v>
      </c>
    </row>
    <row r="515" spans="1:6" x14ac:dyDescent="0.2">
      <c r="A515" t="str">
        <f>[1]!hospitalinfo[[#This Row],[Facility ID]]</f>
        <v>050496</v>
      </c>
      <c r="B515" t="str">
        <f>[1]!hospitalinfo[[#This Row],[State]]</f>
        <v>CA</v>
      </c>
      <c r="C515" t="str">
        <f>[1]!hospitalinfo[[#This Row],[Hospital Type]]</f>
        <v>Acute Care Hospitals</v>
      </c>
      <c r="D515" t="str">
        <f>[1]!hospitalinfo[[#This Row],[Hospital Ownership]]</f>
        <v>Voluntary non-profit - Private</v>
      </c>
      <c r="E515" cm="1">
        <f t="array" ref="E515">_xlfn.IFNA(_xlfn.XLOOKUP(1,([1]!hcahps[Facility ID] = clean[[#This Row],[Facility ID]]) * ([1]!hcahps[HCAHPS Measure ID] = "H_HSP_RATING_LINEAR_SCORE"), [1]!hcahps[HCAHPS Linear Mean Value]), "No Match")</f>
        <v>89</v>
      </c>
      <c r="F515" cm="1">
        <f t="array" ref="F515">_xlfn.IFNA(_xlfn.XLOOKUP(1,([1]!readmissions[Facility ID] = clean[[#This Row],[Facility ID]]) * ([1]!readmissions[Measure ID] = "Hybrid_HWR"), [1]!readmissions[Score]), "No Match")</f>
        <v>14</v>
      </c>
    </row>
    <row r="516" spans="1:6" x14ac:dyDescent="0.2">
      <c r="A516" t="str">
        <f>[1]!hospitalinfo[[#This Row],[Facility ID]]</f>
        <v>050498</v>
      </c>
      <c r="B516" t="str">
        <f>[1]!hospitalinfo[[#This Row],[State]]</f>
        <v>CA</v>
      </c>
      <c r="C516" t="str">
        <f>[1]!hospitalinfo[[#This Row],[Hospital Type]]</f>
        <v>Acute Care Hospitals</v>
      </c>
      <c r="D516" t="str">
        <f>[1]!hospitalinfo[[#This Row],[Hospital Ownership]]</f>
        <v>Voluntary non-profit - Private</v>
      </c>
      <c r="E516" cm="1">
        <f t="array" ref="E516">_xlfn.IFNA(_xlfn.XLOOKUP(1,([1]!hcahps[Facility ID] = clean[[#This Row],[Facility ID]]) * ([1]!hcahps[HCAHPS Measure ID] = "H_HSP_RATING_LINEAR_SCORE"), [1]!hcahps[HCAHPS Linear Mean Value]), "No Match")</f>
        <v>90</v>
      </c>
      <c r="F516" cm="1">
        <f t="array" ref="F516">_xlfn.IFNA(_xlfn.XLOOKUP(1,([1]!readmissions[Facility ID] = clean[[#This Row],[Facility ID]]) * ([1]!readmissions[Measure ID] = "Hybrid_HWR"), [1]!readmissions[Score]), "No Match")</f>
        <v>13.3</v>
      </c>
    </row>
    <row r="517" spans="1:6" x14ac:dyDescent="0.2">
      <c r="A517" t="str">
        <f>[1]!hospitalinfo[[#This Row],[Facility ID]]</f>
        <v>050503</v>
      </c>
      <c r="B517" t="str">
        <f>[1]!hospitalinfo[[#This Row],[State]]</f>
        <v>CA</v>
      </c>
      <c r="C517" t="str">
        <f>[1]!hospitalinfo[[#This Row],[Hospital Type]]</f>
        <v>Acute Care Hospitals</v>
      </c>
      <c r="D517" t="str">
        <f>[1]!hospitalinfo[[#This Row],[Hospital Ownership]]</f>
        <v>Voluntary non-profit - Private</v>
      </c>
      <c r="E517" cm="1">
        <f t="array" ref="E517">_xlfn.IFNA(_xlfn.XLOOKUP(1,([1]!hcahps[Facility ID] = clean[[#This Row],[Facility ID]]) * ([1]!hcahps[HCAHPS Measure ID] = "H_HSP_RATING_LINEAR_SCORE"), [1]!hcahps[HCAHPS Linear Mean Value]), "No Match")</f>
        <v>90</v>
      </c>
      <c r="F517" cm="1">
        <f t="array" ref="F517">_xlfn.IFNA(_xlfn.XLOOKUP(1,([1]!readmissions[Facility ID] = clean[[#This Row],[Facility ID]]) * ([1]!readmissions[Measure ID] = "Hybrid_HWR"), [1]!readmissions[Score]), "No Match")</f>
        <v>14.5</v>
      </c>
    </row>
    <row r="518" spans="1:6" x14ac:dyDescent="0.2">
      <c r="A518" t="str">
        <f>[1]!hospitalinfo[[#This Row],[Facility ID]]</f>
        <v>050506</v>
      </c>
      <c r="B518" t="str">
        <f>[1]!hospitalinfo[[#This Row],[State]]</f>
        <v>CA</v>
      </c>
      <c r="C518" t="str">
        <f>[1]!hospitalinfo[[#This Row],[Hospital Type]]</f>
        <v>Acute Care Hospitals</v>
      </c>
      <c r="D518" t="str">
        <f>[1]!hospitalinfo[[#This Row],[Hospital Ownership]]</f>
        <v>Proprietary</v>
      </c>
      <c r="E518" cm="1">
        <f t="array" ref="E518">_xlfn.IFNA(_xlfn.XLOOKUP(1,([1]!hcahps[Facility ID] = clean[[#This Row],[Facility ID]]) * ([1]!hcahps[HCAHPS Measure ID] = "H_HSP_RATING_LINEAR_SCORE"), [1]!hcahps[HCAHPS Linear Mean Value]), "No Match")</f>
        <v>82</v>
      </c>
      <c r="F518" cm="1">
        <f t="array" ref="F518">_xlfn.IFNA(_xlfn.XLOOKUP(1,([1]!readmissions[Facility ID] = clean[[#This Row],[Facility ID]]) * ([1]!readmissions[Measure ID] = "Hybrid_HWR"), [1]!readmissions[Score]), "No Match")</f>
        <v>14.4</v>
      </c>
    </row>
    <row r="519" spans="1:6" x14ac:dyDescent="0.2">
      <c r="A519" t="str">
        <f>[1]!hospitalinfo[[#This Row],[Facility ID]]</f>
        <v>050510</v>
      </c>
      <c r="B519" t="str">
        <f>[1]!hospitalinfo[[#This Row],[State]]</f>
        <v>CA</v>
      </c>
      <c r="C519" t="str">
        <f>[1]!hospitalinfo[[#This Row],[Hospital Type]]</f>
        <v>Acute Care Hospitals</v>
      </c>
      <c r="D519" t="str">
        <f>[1]!hospitalinfo[[#This Row],[Hospital Ownership]]</f>
        <v>Voluntary non-profit - Private</v>
      </c>
      <c r="E519" cm="1">
        <f t="array" ref="E519">_xlfn.IFNA(_xlfn.XLOOKUP(1,([1]!hcahps[Facility ID] = clean[[#This Row],[Facility ID]]) * ([1]!hcahps[HCAHPS Measure ID] = "H_HSP_RATING_LINEAR_SCORE"), [1]!hcahps[HCAHPS Linear Mean Value]), "No Match")</f>
        <v>87</v>
      </c>
      <c r="F519" cm="1">
        <f t="array" ref="F519">_xlfn.IFNA(_xlfn.XLOOKUP(1,([1]!readmissions[Facility ID] = clean[[#This Row],[Facility ID]]) * ([1]!readmissions[Measure ID] = "Hybrid_HWR"), [1]!readmissions[Score]), "No Match")</f>
        <v>14.6</v>
      </c>
    </row>
    <row r="520" spans="1:6" x14ac:dyDescent="0.2">
      <c r="A520" t="str">
        <f>[1]!hospitalinfo[[#This Row],[Facility ID]]</f>
        <v>050512</v>
      </c>
      <c r="B520" t="str">
        <f>[1]!hospitalinfo[[#This Row],[State]]</f>
        <v>CA</v>
      </c>
      <c r="C520" t="str">
        <f>[1]!hospitalinfo[[#This Row],[Hospital Type]]</f>
        <v>Acute Care Hospitals</v>
      </c>
      <c r="D520" t="str">
        <f>[1]!hospitalinfo[[#This Row],[Hospital Ownership]]</f>
        <v>Voluntary non-profit - Private</v>
      </c>
      <c r="E520" cm="1">
        <f t="array" ref="E520">_xlfn.IFNA(_xlfn.XLOOKUP(1,([1]!hcahps[Facility ID] = clean[[#This Row],[Facility ID]]) * ([1]!hcahps[HCAHPS Measure ID] = "H_HSP_RATING_LINEAR_SCORE"), [1]!hcahps[HCAHPS Linear Mean Value]), "No Match")</f>
        <v>87</v>
      </c>
      <c r="F520" cm="1">
        <f t="array" ref="F520">_xlfn.IFNA(_xlfn.XLOOKUP(1,([1]!readmissions[Facility ID] = clean[[#This Row],[Facility ID]]) * ([1]!readmissions[Measure ID] = "Hybrid_HWR"), [1]!readmissions[Score]), "No Match")</f>
        <v>14.4</v>
      </c>
    </row>
    <row r="521" spans="1:6" x14ac:dyDescent="0.2">
      <c r="A521" t="str">
        <f>[1]!hospitalinfo[[#This Row],[Facility ID]]</f>
        <v>050515</v>
      </c>
      <c r="B521" t="str">
        <f>[1]!hospitalinfo[[#This Row],[State]]</f>
        <v>CA</v>
      </c>
      <c r="C521" t="str">
        <f>[1]!hospitalinfo[[#This Row],[Hospital Type]]</f>
        <v>Acute Care Hospitals</v>
      </c>
      <c r="D521" t="str">
        <f>[1]!hospitalinfo[[#This Row],[Hospital Ownership]]</f>
        <v>Voluntary non-profit - Private</v>
      </c>
      <c r="E521" cm="1">
        <f t="array" ref="E521">_xlfn.IFNA(_xlfn.XLOOKUP(1,([1]!hcahps[Facility ID] = clean[[#This Row],[Facility ID]]) * ([1]!hcahps[HCAHPS Measure ID] = "H_HSP_RATING_LINEAR_SCORE"), [1]!hcahps[HCAHPS Linear Mean Value]), "No Match")</f>
        <v>90</v>
      </c>
      <c r="F521" cm="1">
        <f t="array" ref="F521">_xlfn.IFNA(_xlfn.XLOOKUP(1,([1]!readmissions[Facility ID] = clean[[#This Row],[Facility ID]]) * ([1]!readmissions[Measure ID] = "Hybrid_HWR"), [1]!readmissions[Score]), "No Match")</f>
        <v>13.7</v>
      </c>
    </row>
    <row r="522" spans="1:6" x14ac:dyDescent="0.2">
      <c r="A522" t="str">
        <f>[1]!hospitalinfo[[#This Row],[Facility ID]]</f>
        <v>050516</v>
      </c>
      <c r="B522" t="str">
        <f>[1]!hospitalinfo[[#This Row],[State]]</f>
        <v>CA</v>
      </c>
      <c r="C522" t="str">
        <f>[1]!hospitalinfo[[#This Row],[Hospital Type]]</f>
        <v>Acute Care Hospitals</v>
      </c>
      <c r="D522" t="str">
        <f>[1]!hospitalinfo[[#This Row],[Hospital Ownership]]</f>
        <v>Voluntary non-profit - Private</v>
      </c>
      <c r="E522" cm="1">
        <f t="array" ref="E522">_xlfn.IFNA(_xlfn.XLOOKUP(1,([1]!hcahps[Facility ID] = clean[[#This Row],[Facility ID]]) * ([1]!hcahps[HCAHPS Measure ID] = "H_HSP_RATING_LINEAR_SCORE"), [1]!hcahps[HCAHPS Linear Mean Value]), "No Match")</f>
        <v>86</v>
      </c>
      <c r="F522" cm="1">
        <f t="array" ref="F522">_xlfn.IFNA(_xlfn.XLOOKUP(1,([1]!readmissions[Facility ID] = clean[[#This Row],[Facility ID]]) * ([1]!readmissions[Measure ID] = "Hybrid_HWR"), [1]!readmissions[Score]), "No Match")</f>
        <v>14.8</v>
      </c>
    </row>
    <row r="523" spans="1:6" x14ac:dyDescent="0.2">
      <c r="A523" t="str">
        <f>[1]!hospitalinfo[[#This Row],[Facility ID]]</f>
        <v>050517</v>
      </c>
      <c r="B523" t="str">
        <f>[1]!hospitalinfo[[#This Row],[State]]</f>
        <v>CA</v>
      </c>
      <c r="C523" t="str">
        <f>[1]!hospitalinfo[[#This Row],[Hospital Type]]</f>
        <v>Acute Care Hospitals</v>
      </c>
      <c r="D523" t="str">
        <f>[1]!hospitalinfo[[#This Row],[Hospital Ownership]]</f>
        <v>Voluntary non-profit - Private</v>
      </c>
      <c r="E523" cm="1">
        <f t="array" ref="E523">_xlfn.IFNA(_xlfn.XLOOKUP(1,([1]!hcahps[Facility ID] = clean[[#This Row],[Facility ID]]) * ([1]!hcahps[HCAHPS Measure ID] = "H_HSP_RATING_LINEAR_SCORE"), [1]!hcahps[HCAHPS Linear Mean Value]), "No Match")</f>
        <v>77</v>
      </c>
      <c r="F523" cm="1">
        <f t="array" ref="F523">_xlfn.IFNA(_xlfn.XLOOKUP(1,([1]!readmissions[Facility ID] = clean[[#This Row],[Facility ID]]) * ([1]!readmissions[Measure ID] = "Hybrid_HWR"), [1]!readmissions[Score]), "No Match")</f>
        <v>16.3</v>
      </c>
    </row>
    <row r="524" spans="1:6" x14ac:dyDescent="0.2">
      <c r="A524" t="str">
        <f>[1]!hospitalinfo[[#This Row],[Facility ID]]</f>
        <v>050523</v>
      </c>
      <c r="B524" t="str">
        <f>[1]!hospitalinfo[[#This Row],[State]]</f>
        <v>CA</v>
      </c>
      <c r="C524" t="str">
        <f>[1]!hospitalinfo[[#This Row],[Hospital Type]]</f>
        <v>Acute Care Hospitals</v>
      </c>
      <c r="D524" t="str">
        <f>[1]!hospitalinfo[[#This Row],[Hospital Ownership]]</f>
        <v>Voluntary non-profit - Private</v>
      </c>
      <c r="E524" cm="1">
        <f t="array" ref="E524">_xlfn.IFNA(_xlfn.XLOOKUP(1,([1]!hcahps[Facility ID] = clean[[#This Row],[Facility ID]]) * ([1]!hcahps[HCAHPS Measure ID] = "H_HSP_RATING_LINEAR_SCORE"), [1]!hcahps[HCAHPS Linear Mean Value]), "No Match")</f>
        <v>82</v>
      </c>
      <c r="F524" cm="1">
        <f t="array" ref="F524">_xlfn.IFNA(_xlfn.XLOOKUP(1,([1]!readmissions[Facility ID] = clean[[#This Row],[Facility ID]]) * ([1]!readmissions[Measure ID] = "Hybrid_HWR"), [1]!readmissions[Score]), "No Match")</f>
        <v>14.1</v>
      </c>
    </row>
    <row r="525" spans="1:6" x14ac:dyDescent="0.2">
      <c r="A525" t="str">
        <f>[1]!hospitalinfo[[#This Row],[Facility ID]]</f>
        <v>050526</v>
      </c>
      <c r="B525" t="str">
        <f>[1]!hospitalinfo[[#This Row],[State]]</f>
        <v>CA</v>
      </c>
      <c r="C525" t="str">
        <f>[1]!hospitalinfo[[#This Row],[Hospital Type]]</f>
        <v>Acute Care Hospitals</v>
      </c>
      <c r="D525" t="str">
        <f>[1]!hospitalinfo[[#This Row],[Hospital Ownership]]</f>
        <v>Proprietary</v>
      </c>
      <c r="E525" cm="1">
        <f t="array" ref="E525">_xlfn.IFNA(_xlfn.XLOOKUP(1,([1]!hcahps[Facility ID] = clean[[#This Row],[Facility ID]]) * ([1]!hcahps[HCAHPS Measure ID] = "H_HSP_RATING_LINEAR_SCORE"), [1]!hcahps[HCAHPS Linear Mean Value]), "No Match")</f>
        <v>78</v>
      </c>
      <c r="F525" cm="1">
        <f t="array" ref="F525">_xlfn.IFNA(_xlfn.XLOOKUP(1,([1]!readmissions[Facility ID] = clean[[#This Row],[Facility ID]]) * ([1]!readmissions[Measure ID] = "Hybrid_HWR"), [1]!readmissions[Score]), "No Match")</f>
        <v>14.8</v>
      </c>
    </row>
    <row r="526" spans="1:6" x14ac:dyDescent="0.2">
      <c r="A526" t="str">
        <f>[1]!hospitalinfo[[#This Row],[Facility ID]]</f>
        <v>050528</v>
      </c>
      <c r="B526" t="str">
        <f>[1]!hospitalinfo[[#This Row],[State]]</f>
        <v>CA</v>
      </c>
      <c r="C526" t="str">
        <f>[1]!hospitalinfo[[#This Row],[Hospital Type]]</f>
        <v>Acute Care Hospitals</v>
      </c>
      <c r="D526" t="str">
        <f>[1]!hospitalinfo[[#This Row],[Hospital Ownership]]</f>
        <v>Voluntary non-profit - Private</v>
      </c>
      <c r="E526" cm="1">
        <f t="array" ref="E526">_xlfn.IFNA(_xlfn.XLOOKUP(1,([1]!hcahps[Facility ID] = clean[[#This Row],[Facility ID]]) * ([1]!hcahps[HCAHPS Measure ID] = "H_HSP_RATING_LINEAR_SCORE"), [1]!hcahps[HCAHPS Linear Mean Value]), "No Match")</f>
        <v>88</v>
      </c>
      <c r="F526" cm="1">
        <f t="array" ref="F526">_xlfn.IFNA(_xlfn.XLOOKUP(1,([1]!readmissions[Facility ID] = clean[[#This Row],[Facility ID]]) * ([1]!readmissions[Measure ID] = "Hybrid_HWR"), [1]!readmissions[Score]), "No Match")</f>
        <v>15.3</v>
      </c>
    </row>
    <row r="527" spans="1:6" x14ac:dyDescent="0.2">
      <c r="A527" t="str">
        <f>[1]!hospitalinfo[[#This Row],[Facility ID]]</f>
        <v>050534</v>
      </c>
      <c r="B527" t="str">
        <f>[1]!hospitalinfo[[#This Row],[State]]</f>
        <v>CA</v>
      </c>
      <c r="C527" t="str">
        <f>[1]!hospitalinfo[[#This Row],[Hospital Type]]</f>
        <v>Acute Care Hospitals</v>
      </c>
      <c r="D527" t="str">
        <f>[1]!hospitalinfo[[#This Row],[Hospital Ownership]]</f>
        <v>Proprietary</v>
      </c>
      <c r="E527" cm="1">
        <f t="array" ref="E527">_xlfn.IFNA(_xlfn.XLOOKUP(1,([1]!hcahps[Facility ID] = clean[[#This Row],[Facility ID]]) * ([1]!hcahps[HCAHPS Measure ID] = "H_HSP_RATING_LINEAR_SCORE"), [1]!hcahps[HCAHPS Linear Mean Value]), "No Match")</f>
        <v>80</v>
      </c>
      <c r="F527" cm="1">
        <f t="array" ref="F527">_xlfn.IFNA(_xlfn.XLOOKUP(1,([1]!readmissions[Facility ID] = clean[[#This Row],[Facility ID]]) * ([1]!readmissions[Measure ID] = "Hybrid_HWR"), [1]!readmissions[Score]), "No Match")</f>
        <v>15.9</v>
      </c>
    </row>
    <row r="528" spans="1:6" x14ac:dyDescent="0.2">
      <c r="A528" t="str">
        <f>[1]!hospitalinfo[[#This Row],[Facility ID]]</f>
        <v>050537</v>
      </c>
      <c r="B528" t="str">
        <f>[1]!hospitalinfo[[#This Row],[State]]</f>
        <v>CA</v>
      </c>
      <c r="C528" t="str">
        <f>[1]!hospitalinfo[[#This Row],[Hospital Type]]</f>
        <v>Acute Care Hospitals</v>
      </c>
      <c r="D528" t="str">
        <f>[1]!hospitalinfo[[#This Row],[Hospital Ownership]]</f>
        <v>Voluntary non-profit - Private</v>
      </c>
      <c r="E528" cm="1">
        <f t="array" ref="E528">_xlfn.IFNA(_xlfn.XLOOKUP(1,([1]!hcahps[Facility ID] = clean[[#This Row],[Facility ID]]) * ([1]!hcahps[HCAHPS Measure ID] = "H_HSP_RATING_LINEAR_SCORE"), [1]!hcahps[HCAHPS Linear Mean Value]), "No Match")</f>
        <v>90</v>
      </c>
      <c r="F528" cm="1">
        <f t="array" ref="F528">_xlfn.IFNA(_xlfn.XLOOKUP(1,([1]!readmissions[Facility ID] = clean[[#This Row],[Facility ID]]) * ([1]!readmissions[Measure ID] = "Hybrid_HWR"), [1]!readmissions[Score]), "No Match")</f>
        <v>13.9</v>
      </c>
    </row>
    <row r="529" spans="1:6" x14ac:dyDescent="0.2">
      <c r="A529" t="str">
        <f>[1]!hospitalinfo[[#This Row],[Facility ID]]</f>
        <v>050541</v>
      </c>
      <c r="B529" t="str">
        <f>[1]!hospitalinfo[[#This Row],[State]]</f>
        <v>CA</v>
      </c>
      <c r="C529" t="str">
        <f>[1]!hospitalinfo[[#This Row],[Hospital Type]]</f>
        <v>Acute Care Hospitals</v>
      </c>
      <c r="D529" t="str">
        <f>[1]!hospitalinfo[[#This Row],[Hospital Ownership]]</f>
        <v>Voluntary non-profit - Private</v>
      </c>
      <c r="E529" cm="1">
        <f t="array" ref="E529">_xlfn.IFNA(_xlfn.XLOOKUP(1,([1]!hcahps[Facility ID] = clean[[#This Row],[Facility ID]]) * ([1]!hcahps[HCAHPS Measure ID] = "H_HSP_RATING_LINEAR_SCORE"), [1]!hcahps[HCAHPS Linear Mean Value]), "No Match")</f>
        <v>91</v>
      </c>
      <c r="F529" cm="1">
        <f t="array" ref="F529">_xlfn.IFNA(_xlfn.XLOOKUP(1,([1]!readmissions[Facility ID] = clean[[#This Row],[Facility ID]]) * ([1]!readmissions[Measure ID] = "Hybrid_HWR"), [1]!readmissions[Score]), "No Match")</f>
        <v>14.8</v>
      </c>
    </row>
    <row r="530" spans="1:6" x14ac:dyDescent="0.2">
      <c r="A530" t="str">
        <f>[1]!hospitalinfo[[#This Row],[Facility ID]]</f>
        <v>050543</v>
      </c>
      <c r="B530" t="str">
        <f>[1]!hospitalinfo[[#This Row],[State]]</f>
        <v>CA</v>
      </c>
      <c r="C530" t="str">
        <f>[1]!hospitalinfo[[#This Row],[Hospital Type]]</f>
        <v>Acute Care Hospitals</v>
      </c>
      <c r="D530" t="str">
        <f>[1]!hospitalinfo[[#This Row],[Hospital Ownership]]</f>
        <v>Proprietary</v>
      </c>
      <c r="E530" t="str" cm="1">
        <f t="array" ref="E530">_xlfn.IFNA(_xlfn.XLOOKUP(1,([1]!hcahps[Facility ID] = clean[[#This Row],[Facility ID]]) * ([1]!hcahps[HCAHPS Measure ID] = "H_HSP_RATING_LINEAR_SCORE"), [1]!hcahps[HCAHPS Linear Mean Value]), "No Match")</f>
        <v>Not Available</v>
      </c>
      <c r="F530" t="str" cm="1">
        <f t="array" ref="F530">_xlfn.IFNA(_xlfn.XLOOKUP(1,([1]!readmissions[Facility ID] = clean[[#This Row],[Facility ID]]) * ([1]!readmissions[Measure ID] = "Hybrid_HWR"), [1]!readmissions[Score]), "No Match")</f>
        <v>Not Available</v>
      </c>
    </row>
    <row r="531" spans="1:6" x14ac:dyDescent="0.2">
      <c r="A531" t="str">
        <f>[1]!hospitalinfo[[#This Row],[Facility ID]]</f>
        <v>050546</v>
      </c>
      <c r="B531" t="str">
        <f>[1]!hospitalinfo[[#This Row],[State]]</f>
        <v>CA</v>
      </c>
      <c r="C531" t="str">
        <f>[1]!hospitalinfo[[#This Row],[Hospital Type]]</f>
        <v>Acute Care Hospitals</v>
      </c>
      <c r="D531" t="str">
        <f>[1]!hospitalinfo[[#This Row],[Hospital Ownership]]</f>
        <v>Government - State</v>
      </c>
      <c r="E531" t="str" cm="1">
        <f t="array" ref="E531">_xlfn.IFNA(_xlfn.XLOOKUP(1,([1]!hcahps[Facility ID] = clean[[#This Row],[Facility ID]]) * ([1]!hcahps[HCAHPS Measure ID] = "H_HSP_RATING_LINEAR_SCORE"), [1]!hcahps[HCAHPS Linear Mean Value]), "No Match")</f>
        <v>Not Available</v>
      </c>
      <c r="F531" t="str" cm="1">
        <f t="array" ref="F531">_xlfn.IFNA(_xlfn.XLOOKUP(1,([1]!readmissions[Facility ID] = clean[[#This Row],[Facility ID]]) * ([1]!readmissions[Measure ID] = "Hybrid_HWR"), [1]!readmissions[Score]), "No Match")</f>
        <v>Not Available</v>
      </c>
    </row>
    <row r="532" spans="1:6" x14ac:dyDescent="0.2">
      <c r="A532" t="str">
        <f>[1]!hospitalinfo[[#This Row],[Facility ID]]</f>
        <v>050549</v>
      </c>
      <c r="B532" t="str">
        <f>[1]!hospitalinfo[[#This Row],[State]]</f>
        <v>CA</v>
      </c>
      <c r="C532" t="str">
        <f>[1]!hospitalinfo[[#This Row],[Hospital Type]]</f>
        <v>Acute Care Hospitals</v>
      </c>
      <c r="D532" t="str">
        <f>[1]!hospitalinfo[[#This Row],[Hospital Ownership]]</f>
        <v>Proprietary</v>
      </c>
      <c r="E532" cm="1">
        <f t="array" ref="E532">_xlfn.IFNA(_xlfn.XLOOKUP(1,([1]!hcahps[Facility ID] = clean[[#This Row],[Facility ID]]) * ([1]!hcahps[HCAHPS Measure ID] = "H_HSP_RATING_LINEAR_SCORE"), [1]!hcahps[HCAHPS Linear Mean Value]), "No Match")</f>
        <v>85</v>
      </c>
      <c r="F532" cm="1">
        <f t="array" ref="F532">_xlfn.IFNA(_xlfn.XLOOKUP(1,([1]!readmissions[Facility ID] = clean[[#This Row],[Facility ID]]) * ([1]!readmissions[Measure ID] = "Hybrid_HWR"), [1]!readmissions[Score]), "No Match")</f>
        <v>15.4</v>
      </c>
    </row>
    <row r="533" spans="1:6" x14ac:dyDescent="0.2">
      <c r="A533" t="str">
        <f>[1]!hospitalinfo[[#This Row],[Facility ID]]</f>
        <v>050551</v>
      </c>
      <c r="B533" t="str">
        <f>[1]!hospitalinfo[[#This Row],[State]]</f>
        <v>CA</v>
      </c>
      <c r="C533" t="str">
        <f>[1]!hospitalinfo[[#This Row],[Hospital Type]]</f>
        <v>Acute Care Hospitals</v>
      </c>
      <c r="D533" t="str">
        <f>[1]!hospitalinfo[[#This Row],[Hospital Ownership]]</f>
        <v>Proprietary</v>
      </c>
      <c r="E533" cm="1">
        <f t="array" ref="E533">_xlfn.IFNA(_xlfn.XLOOKUP(1,([1]!hcahps[Facility ID] = clean[[#This Row],[Facility ID]]) * ([1]!hcahps[HCAHPS Measure ID] = "H_HSP_RATING_LINEAR_SCORE"), [1]!hcahps[HCAHPS Linear Mean Value]), "No Match")</f>
        <v>82</v>
      </c>
      <c r="F533" cm="1">
        <f t="array" ref="F533">_xlfn.IFNA(_xlfn.XLOOKUP(1,([1]!readmissions[Facility ID] = clean[[#This Row],[Facility ID]]) * ([1]!readmissions[Measure ID] = "Hybrid_HWR"), [1]!readmissions[Score]), "No Match")</f>
        <v>15.4</v>
      </c>
    </row>
    <row r="534" spans="1:6" x14ac:dyDescent="0.2">
      <c r="A534" t="str">
        <f>[1]!hospitalinfo[[#This Row],[Facility ID]]</f>
        <v>050557</v>
      </c>
      <c r="B534" t="str">
        <f>[1]!hospitalinfo[[#This Row],[State]]</f>
        <v>CA</v>
      </c>
      <c r="C534" t="str">
        <f>[1]!hospitalinfo[[#This Row],[Hospital Type]]</f>
        <v>Acute Care Hospitals</v>
      </c>
      <c r="D534" t="str">
        <f>[1]!hospitalinfo[[#This Row],[Hospital Ownership]]</f>
        <v>Voluntary non-profit - Private</v>
      </c>
      <c r="E534" cm="1">
        <f t="array" ref="E534">_xlfn.IFNA(_xlfn.XLOOKUP(1,([1]!hcahps[Facility ID] = clean[[#This Row],[Facility ID]]) * ([1]!hcahps[HCAHPS Measure ID] = "H_HSP_RATING_LINEAR_SCORE"), [1]!hcahps[HCAHPS Linear Mean Value]), "No Match")</f>
        <v>88</v>
      </c>
      <c r="F534" cm="1">
        <f t="array" ref="F534">_xlfn.IFNA(_xlfn.XLOOKUP(1,([1]!readmissions[Facility ID] = clean[[#This Row],[Facility ID]]) * ([1]!readmissions[Measure ID] = "Hybrid_HWR"), [1]!readmissions[Score]), "No Match")</f>
        <v>14.7</v>
      </c>
    </row>
    <row r="535" spans="1:6" x14ac:dyDescent="0.2">
      <c r="A535" t="str">
        <f>[1]!hospitalinfo[[#This Row],[Facility ID]]</f>
        <v>050561</v>
      </c>
      <c r="B535" t="str">
        <f>[1]!hospitalinfo[[#This Row],[State]]</f>
        <v>CA</v>
      </c>
      <c r="C535" t="str">
        <f>[1]!hospitalinfo[[#This Row],[Hospital Type]]</f>
        <v>Acute Care Hospitals</v>
      </c>
      <c r="D535" t="str">
        <f>[1]!hospitalinfo[[#This Row],[Hospital Ownership]]</f>
        <v>Voluntary non-profit - Private</v>
      </c>
      <c r="E535" cm="1">
        <f t="array" ref="E535">_xlfn.IFNA(_xlfn.XLOOKUP(1,([1]!hcahps[Facility ID] = clean[[#This Row],[Facility ID]]) * ([1]!hcahps[HCAHPS Measure ID] = "H_HSP_RATING_LINEAR_SCORE"), [1]!hcahps[HCAHPS Linear Mean Value]), "No Match")</f>
        <v>89</v>
      </c>
      <c r="F535" cm="1">
        <f t="array" ref="F535">_xlfn.IFNA(_xlfn.XLOOKUP(1,([1]!readmissions[Facility ID] = clean[[#This Row],[Facility ID]]) * ([1]!readmissions[Measure ID] = "Hybrid_HWR"), [1]!readmissions[Score]), "No Match")</f>
        <v>15.6</v>
      </c>
    </row>
    <row r="536" spans="1:6" x14ac:dyDescent="0.2">
      <c r="A536" t="str">
        <f>[1]!hospitalinfo[[#This Row],[Facility ID]]</f>
        <v>050567</v>
      </c>
      <c r="B536" t="str">
        <f>[1]!hospitalinfo[[#This Row],[State]]</f>
        <v>CA</v>
      </c>
      <c r="C536" t="str">
        <f>[1]!hospitalinfo[[#This Row],[Hospital Type]]</f>
        <v>Acute Care Hospitals</v>
      </c>
      <c r="D536" t="str">
        <f>[1]!hospitalinfo[[#This Row],[Hospital Ownership]]</f>
        <v>Voluntary non-profit - Private</v>
      </c>
      <c r="E536" cm="1">
        <f t="array" ref="E536">_xlfn.IFNA(_xlfn.XLOOKUP(1,([1]!hcahps[Facility ID] = clean[[#This Row],[Facility ID]]) * ([1]!hcahps[HCAHPS Measure ID] = "H_HSP_RATING_LINEAR_SCORE"), [1]!hcahps[HCAHPS Linear Mean Value]), "No Match")</f>
        <v>89</v>
      </c>
      <c r="F536" cm="1">
        <f t="array" ref="F536">_xlfn.IFNA(_xlfn.XLOOKUP(1,([1]!readmissions[Facility ID] = clean[[#This Row],[Facility ID]]) * ([1]!readmissions[Measure ID] = "Hybrid_HWR"), [1]!readmissions[Score]), "No Match")</f>
        <v>14</v>
      </c>
    </row>
    <row r="537" spans="1:6" x14ac:dyDescent="0.2">
      <c r="A537" t="str">
        <f>[1]!hospitalinfo[[#This Row],[Facility ID]]</f>
        <v>050570</v>
      </c>
      <c r="B537" t="str">
        <f>[1]!hospitalinfo[[#This Row],[State]]</f>
        <v>CA</v>
      </c>
      <c r="C537" t="str">
        <f>[1]!hospitalinfo[[#This Row],[Hospital Type]]</f>
        <v>Acute Care Hospitals</v>
      </c>
      <c r="D537" t="str">
        <f>[1]!hospitalinfo[[#This Row],[Hospital Ownership]]</f>
        <v>Proprietary</v>
      </c>
      <c r="E537" t="str" cm="1">
        <f t="array" ref="E537">_xlfn.IFNA(_xlfn.XLOOKUP(1,([1]!hcahps[Facility ID] = clean[[#This Row],[Facility ID]]) * ([1]!hcahps[HCAHPS Measure ID] = "H_HSP_RATING_LINEAR_SCORE"), [1]!hcahps[HCAHPS Linear Mean Value]), "No Match")</f>
        <v>Not Available</v>
      </c>
      <c r="F537" cm="1">
        <f t="array" ref="F537">_xlfn.IFNA(_xlfn.XLOOKUP(1,([1]!readmissions[Facility ID] = clean[[#This Row],[Facility ID]]) * ([1]!readmissions[Measure ID] = "Hybrid_HWR"), [1]!readmissions[Score]), "No Match")</f>
        <v>15.7</v>
      </c>
    </row>
    <row r="538" spans="1:6" x14ac:dyDescent="0.2">
      <c r="A538" t="str">
        <f>[1]!hospitalinfo[[#This Row],[Facility ID]]</f>
        <v>050573</v>
      </c>
      <c r="B538" t="str">
        <f>[1]!hospitalinfo[[#This Row],[State]]</f>
        <v>CA</v>
      </c>
      <c r="C538" t="str">
        <f>[1]!hospitalinfo[[#This Row],[Hospital Type]]</f>
        <v>Acute Care Hospitals</v>
      </c>
      <c r="D538" t="str">
        <f>[1]!hospitalinfo[[#This Row],[Hospital Ownership]]</f>
        <v>Proprietary</v>
      </c>
      <c r="E538" cm="1">
        <f t="array" ref="E538">_xlfn.IFNA(_xlfn.XLOOKUP(1,([1]!hcahps[Facility ID] = clean[[#This Row],[Facility ID]]) * ([1]!hcahps[HCAHPS Measure ID] = "H_HSP_RATING_LINEAR_SCORE"), [1]!hcahps[HCAHPS Linear Mean Value]), "No Match")</f>
        <v>89</v>
      </c>
      <c r="F538" cm="1">
        <f t="array" ref="F538">_xlfn.IFNA(_xlfn.XLOOKUP(1,([1]!readmissions[Facility ID] = clean[[#This Row],[Facility ID]]) * ([1]!readmissions[Measure ID] = "Hybrid_HWR"), [1]!readmissions[Score]), "No Match")</f>
        <v>14.8</v>
      </c>
    </row>
    <row r="539" spans="1:6" x14ac:dyDescent="0.2">
      <c r="A539" t="str">
        <f>[1]!hospitalinfo[[#This Row],[Facility ID]]</f>
        <v>050580</v>
      </c>
      <c r="B539" t="str">
        <f>[1]!hospitalinfo[[#This Row],[State]]</f>
        <v>CA</v>
      </c>
      <c r="C539" t="str">
        <f>[1]!hospitalinfo[[#This Row],[Hospital Type]]</f>
        <v>Acute Care Hospitals</v>
      </c>
      <c r="D539" t="str">
        <f>[1]!hospitalinfo[[#This Row],[Hospital Ownership]]</f>
        <v>Proprietary</v>
      </c>
      <c r="E539" cm="1">
        <f t="array" ref="E539">_xlfn.IFNA(_xlfn.XLOOKUP(1,([1]!hcahps[Facility ID] = clean[[#This Row],[Facility ID]]) * ([1]!hcahps[HCAHPS Measure ID] = "H_HSP_RATING_LINEAR_SCORE"), [1]!hcahps[HCAHPS Linear Mean Value]), "No Match")</f>
        <v>84</v>
      </c>
      <c r="F539" cm="1">
        <f t="array" ref="F539">_xlfn.IFNA(_xlfn.XLOOKUP(1,([1]!readmissions[Facility ID] = clean[[#This Row],[Facility ID]]) * ([1]!readmissions[Measure ID] = "Hybrid_HWR"), [1]!readmissions[Score]), "No Match")</f>
        <v>16.5</v>
      </c>
    </row>
    <row r="540" spans="1:6" x14ac:dyDescent="0.2">
      <c r="A540" t="str">
        <f>[1]!hospitalinfo[[#This Row],[Facility ID]]</f>
        <v>050581</v>
      </c>
      <c r="B540" t="str">
        <f>[1]!hospitalinfo[[#This Row],[State]]</f>
        <v>CA</v>
      </c>
      <c r="C540" t="str">
        <f>[1]!hospitalinfo[[#This Row],[Hospital Type]]</f>
        <v>Acute Care Hospitals</v>
      </c>
      <c r="D540" t="str">
        <f>[1]!hospitalinfo[[#This Row],[Hospital Ownership]]</f>
        <v>Proprietary</v>
      </c>
      <c r="E540" cm="1">
        <f t="array" ref="E540">_xlfn.IFNA(_xlfn.XLOOKUP(1,([1]!hcahps[Facility ID] = clean[[#This Row],[Facility ID]]) * ([1]!hcahps[HCAHPS Measure ID] = "H_HSP_RATING_LINEAR_SCORE"), [1]!hcahps[HCAHPS Linear Mean Value]), "No Match")</f>
        <v>76</v>
      </c>
      <c r="F540" cm="1">
        <f t="array" ref="F540">_xlfn.IFNA(_xlfn.XLOOKUP(1,([1]!readmissions[Facility ID] = clean[[#This Row],[Facility ID]]) * ([1]!readmissions[Measure ID] = "Hybrid_HWR"), [1]!readmissions[Score]), "No Match")</f>
        <v>15.6</v>
      </c>
    </row>
    <row r="541" spans="1:6" x14ac:dyDescent="0.2">
      <c r="A541" t="str">
        <f>[1]!hospitalinfo[[#This Row],[Facility ID]]</f>
        <v>050586</v>
      </c>
      <c r="B541" t="str">
        <f>[1]!hospitalinfo[[#This Row],[State]]</f>
        <v>CA</v>
      </c>
      <c r="C541" t="str">
        <f>[1]!hospitalinfo[[#This Row],[Hospital Type]]</f>
        <v>Acute Care Hospitals</v>
      </c>
      <c r="D541" t="str">
        <f>[1]!hospitalinfo[[#This Row],[Hospital Ownership]]</f>
        <v>Proprietary</v>
      </c>
      <c r="E541" cm="1">
        <f t="array" ref="E541">_xlfn.IFNA(_xlfn.XLOOKUP(1,([1]!hcahps[Facility ID] = clean[[#This Row],[Facility ID]]) * ([1]!hcahps[HCAHPS Measure ID] = "H_HSP_RATING_LINEAR_SCORE"), [1]!hcahps[HCAHPS Linear Mean Value]), "No Match")</f>
        <v>85</v>
      </c>
      <c r="F541" cm="1">
        <f t="array" ref="F541">_xlfn.IFNA(_xlfn.XLOOKUP(1,([1]!readmissions[Facility ID] = clean[[#This Row],[Facility ID]]) * ([1]!readmissions[Measure ID] = "Hybrid_HWR"), [1]!readmissions[Score]), "No Match")</f>
        <v>16.100000000000001</v>
      </c>
    </row>
    <row r="542" spans="1:6" x14ac:dyDescent="0.2">
      <c r="A542" t="str">
        <f>[1]!hospitalinfo[[#This Row],[Facility ID]]</f>
        <v>050588</v>
      </c>
      <c r="B542" t="str">
        <f>[1]!hospitalinfo[[#This Row],[State]]</f>
        <v>CA</v>
      </c>
      <c r="C542" t="str">
        <f>[1]!hospitalinfo[[#This Row],[Hospital Type]]</f>
        <v>Acute Care Hospitals</v>
      </c>
      <c r="D542" t="str">
        <f>[1]!hospitalinfo[[#This Row],[Hospital Ownership]]</f>
        <v>Proprietary</v>
      </c>
      <c r="E542" cm="1">
        <f t="array" ref="E542">_xlfn.IFNA(_xlfn.XLOOKUP(1,([1]!hcahps[Facility ID] = clean[[#This Row],[Facility ID]]) * ([1]!hcahps[HCAHPS Measure ID] = "H_HSP_RATING_LINEAR_SCORE"), [1]!hcahps[HCAHPS Linear Mean Value]), "No Match")</f>
        <v>82</v>
      </c>
      <c r="F542" cm="1">
        <f t="array" ref="F542">_xlfn.IFNA(_xlfn.XLOOKUP(1,([1]!readmissions[Facility ID] = clean[[#This Row],[Facility ID]]) * ([1]!readmissions[Measure ID] = "Hybrid_HWR"), [1]!readmissions[Score]), "No Match")</f>
        <v>15.5</v>
      </c>
    </row>
    <row r="543" spans="1:6" x14ac:dyDescent="0.2">
      <c r="A543" t="str">
        <f>[1]!hospitalinfo[[#This Row],[Facility ID]]</f>
        <v>050590</v>
      </c>
      <c r="B543" t="str">
        <f>[1]!hospitalinfo[[#This Row],[State]]</f>
        <v>CA</v>
      </c>
      <c r="C543" t="str">
        <f>[1]!hospitalinfo[[#This Row],[Hospital Type]]</f>
        <v>Acute Care Hospitals</v>
      </c>
      <c r="D543" t="str">
        <f>[1]!hospitalinfo[[#This Row],[Hospital Ownership]]</f>
        <v>Voluntary non-profit - Private</v>
      </c>
      <c r="E543" cm="1">
        <f t="array" ref="E543">_xlfn.IFNA(_xlfn.XLOOKUP(1,([1]!hcahps[Facility ID] = clean[[#This Row],[Facility ID]]) * ([1]!hcahps[HCAHPS Measure ID] = "H_HSP_RATING_LINEAR_SCORE"), [1]!hcahps[HCAHPS Linear Mean Value]), "No Match")</f>
        <v>87</v>
      </c>
      <c r="F543" cm="1">
        <f t="array" ref="F543">_xlfn.IFNA(_xlfn.XLOOKUP(1,([1]!readmissions[Facility ID] = clean[[#This Row],[Facility ID]]) * ([1]!readmissions[Measure ID] = "Hybrid_HWR"), [1]!readmissions[Score]), "No Match")</f>
        <v>15.2</v>
      </c>
    </row>
    <row r="544" spans="1:6" x14ac:dyDescent="0.2">
      <c r="A544" t="str">
        <f>[1]!hospitalinfo[[#This Row],[Facility ID]]</f>
        <v>050597</v>
      </c>
      <c r="B544" t="str">
        <f>[1]!hospitalinfo[[#This Row],[State]]</f>
        <v>CA</v>
      </c>
      <c r="C544" t="str">
        <f>[1]!hospitalinfo[[#This Row],[Hospital Type]]</f>
        <v>Acute Care Hospitals</v>
      </c>
      <c r="D544" t="str">
        <f>[1]!hospitalinfo[[#This Row],[Hospital Ownership]]</f>
        <v>Voluntary non-profit - Private</v>
      </c>
      <c r="E544" cm="1">
        <f t="array" ref="E544">_xlfn.IFNA(_xlfn.XLOOKUP(1,([1]!hcahps[Facility ID] = clean[[#This Row],[Facility ID]]) * ([1]!hcahps[HCAHPS Measure ID] = "H_HSP_RATING_LINEAR_SCORE"), [1]!hcahps[HCAHPS Linear Mean Value]), "No Match")</f>
        <v>85</v>
      </c>
      <c r="F544" cm="1">
        <f t="array" ref="F544">_xlfn.IFNA(_xlfn.XLOOKUP(1,([1]!readmissions[Facility ID] = clean[[#This Row],[Facility ID]]) * ([1]!readmissions[Measure ID] = "Hybrid_HWR"), [1]!readmissions[Score]), "No Match")</f>
        <v>15.2</v>
      </c>
    </row>
    <row r="545" spans="1:6" x14ac:dyDescent="0.2">
      <c r="A545" t="str">
        <f>[1]!hospitalinfo[[#This Row],[Facility ID]]</f>
        <v>050599</v>
      </c>
      <c r="B545" t="str">
        <f>[1]!hospitalinfo[[#This Row],[State]]</f>
        <v>CA</v>
      </c>
      <c r="C545" t="str">
        <f>[1]!hospitalinfo[[#This Row],[Hospital Type]]</f>
        <v>Acute Care Hospitals</v>
      </c>
      <c r="D545" t="str">
        <f>[1]!hospitalinfo[[#This Row],[Hospital Ownership]]</f>
        <v>Government - Hospital District or Authority</v>
      </c>
      <c r="E545" cm="1">
        <f t="array" ref="E545">_xlfn.IFNA(_xlfn.XLOOKUP(1,([1]!hcahps[Facility ID] = clean[[#This Row],[Facility ID]]) * ([1]!hcahps[HCAHPS Measure ID] = "H_HSP_RATING_LINEAR_SCORE"), [1]!hcahps[HCAHPS Linear Mean Value]), "No Match")</f>
        <v>87</v>
      </c>
      <c r="F545" cm="1">
        <f t="array" ref="F545">_xlfn.IFNA(_xlfn.XLOOKUP(1,([1]!readmissions[Facility ID] = clean[[#This Row],[Facility ID]]) * ([1]!readmissions[Measure ID] = "Hybrid_HWR"), [1]!readmissions[Score]), "No Match")</f>
        <v>15.2</v>
      </c>
    </row>
    <row r="546" spans="1:6" x14ac:dyDescent="0.2">
      <c r="A546" t="str">
        <f>[1]!hospitalinfo[[#This Row],[Facility ID]]</f>
        <v>050603</v>
      </c>
      <c r="B546" t="str">
        <f>[1]!hospitalinfo[[#This Row],[State]]</f>
        <v>CA</v>
      </c>
      <c r="C546" t="str">
        <f>[1]!hospitalinfo[[#This Row],[Hospital Type]]</f>
        <v>Acute Care Hospitals</v>
      </c>
      <c r="D546" t="str">
        <f>[1]!hospitalinfo[[#This Row],[Hospital Ownership]]</f>
        <v>Voluntary non-profit - Private</v>
      </c>
      <c r="E546" cm="1">
        <f t="array" ref="E546">_xlfn.IFNA(_xlfn.XLOOKUP(1,([1]!hcahps[Facility ID] = clean[[#This Row],[Facility ID]]) * ([1]!hcahps[HCAHPS Measure ID] = "H_HSP_RATING_LINEAR_SCORE"), [1]!hcahps[HCAHPS Linear Mean Value]), "No Match")</f>
        <v>89</v>
      </c>
      <c r="F546" cm="1">
        <f t="array" ref="F546">_xlfn.IFNA(_xlfn.XLOOKUP(1,([1]!readmissions[Facility ID] = clean[[#This Row],[Facility ID]]) * ([1]!readmissions[Measure ID] = "Hybrid_HWR"), [1]!readmissions[Score]), "No Match")</f>
        <v>13.6</v>
      </c>
    </row>
    <row r="547" spans="1:6" x14ac:dyDescent="0.2">
      <c r="A547" t="str">
        <f>[1]!hospitalinfo[[#This Row],[Facility ID]]</f>
        <v>050604</v>
      </c>
      <c r="B547" t="str">
        <f>[1]!hospitalinfo[[#This Row],[State]]</f>
        <v>CA</v>
      </c>
      <c r="C547" t="str">
        <f>[1]!hospitalinfo[[#This Row],[Hospital Type]]</f>
        <v>Acute Care Hospitals</v>
      </c>
      <c r="D547" t="str">
        <f>[1]!hospitalinfo[[#This Row],[Hospital Ownership]]</f>
        <v>Voluntary non-profit - Private</v>
      </c>
      <c r="E547" cm="1">
        <f t="array" ref="E547">_xlfn.IFNA(_xlfn.XLOOKUP(1,([1]!hcahps[Facility ID] = clean[[#This Row],[Facility ID]]) * ([1]!hcahps[HCAHPS Measure ID] = "H_HSP_RATING_LINEAR_SCORE"), [1]!hcahps[HCAHPS Linear Mean Value]), "No Match")</f>
        <v>85</v>
      </c>
      <c r="F547" cm="1">
        <f t="array" ref="F547">_xlfn.IFNA(_xlfn.XLOOKUP(1,([1]!readmissions[Facility ID] = clean[[#This Row],[Facility ID]]) * ([1]!readmissions[Measure ID] = "Hybrid_HWR"), [1]!readmissions[Score]), "No Match")</f>
        <v>14.8</v>
      </c>
    </row>
    <row r="548" spans="1:6" x14ac:dyDescent="0.2">
      <c r="A548" t="str">
        <f>[1]!hospitalinfo[[#This Row],[Facility ID]]</f>
        <v>050608</v>
      </c>
      <c r="B548" t="str">
        <f>[1]!hospitalinfo[[#This Row],[State]]</f>
        <v>CA</v>
      </c>
      <c r="C548" t="str">
        <f>[1]!hospitalinfo[[#This Row],[Hospital Type]]</f>
        <v>Acute Care Hospitals</v>
      </c>
      <c r="D548" t="str">
        <f>[1]!hospitalinfo[[#This Row],[Hospital Ownership]]</f>
        <v>Proprietary</v>
      </c>
      <c r="E548" cm="1">
        <f t="array" ref="E548">_xlfn.IFNA(_xlfn.XLOOKUP(1,([1]!hcahps[Facility ID] = clean[[#This Row],[Facility ID]]) * ([1]!hcahps[HCAHPS Measure ID] = "H_HSP_RATING_LINEAR_SCORE"), [1]!hcahps[HCAHPS Linear Mean Value]), "No Match")</f>
        <v>84</v>
      </c>
      <c r="F548" cm="1">
        <f t="array" ref="F548">_xlfn.IFNA(_xlfn.XLOOKUP(1,([1]!readmissions[Facility ID] = clean[[#This Row],[Facility ID]]) * ([1]!readmissions[Measure ID] = "Hybrid_HWR"), [1]!readmissions[Score]), "No Match")</f>
        <v>15</v>
      </c>
    </row>
    <row r="549" spans="1:6" x14ac:dyDescent="0.2">
      <c r="A549" t="str">
        <f>[1]!hospitalinfo[[#This Row],[Facility ID]]</f>
        <v>050609</v>
      </c>
      <c r="B549" t="str">
        <f>[1]!hospitalinfo[[#This Row],[State]]</f>
        <v>CA</v>
      </c>
      <c r="C549" t="str">
        <f>[1]!hospitalinfo[[#This Row],[Hospital Type]]</f>
        <v>Acute Care Hospitals</v>
      </c>
      <c r="D549" t="str">
        <f>[1]!hospitalinfo[[#This Row],[Hospital Ownership]]</f>
        <v>Voluntary non-profit - Private</v>
      </c>
      <c r="E549" cm="1">
        <f t="array" ref="E549">_xlfn.IFNA(_xlfn.XLOOKUP(1,([1]!hcahps[Facility ID] = clean[[#This Row],[Facility ID]]) * ([1]!hcahps[HCAHPS Measure ID] = "H_HSP_RATING_LINEAR_SCORE"), [1]!hcahps[HCAHPS Linear Mean Value]), "No Match")</f>
        <v>92</v>
      </c>
      <c r="F549" cm="1">
        <f t="array" ref="F549">_xlfn.IFNA(_xlfn.XLOOKUP(1,([1]!readmissions[Facility ID] = clean[[#This Row],[Facility ID]]) * ([1]!readmissions[Measure ID] = "Hybrid_HWR"), [1]!readmissions[Score]), "No Match")</f>
        <v>15.2</v>
      </c>
    </row>
    <row r="550" spans="1:6" x14ac:dyDescent="0.2">
      <c r="A550" t="str">
        <f>[1]!hospitalinfo[[#This Row],[Facility ID]]</f>
        <v>050624</v>
      </c>
      <c r="B550" t="str">
        <f>[1]!hospitalinfo[[#This Row],[State]]</f>
        <v>CA</v>
      </c>
      <c r="C550" t="str">
        <f>[1]!hospitalinfo[[#This Row],[Hospital Type]]</f>
        <v>Acute Care Hospitals</v>
      </c>
      <c r="D550" t="str">
        <f>[1]!hospitalinfo[[#This Row],[Hospital Ownership]]</f>
        <v>Voluntary non-profit - Private</v>
      </c>
      <c r="E550" cm="1">
        <f t="array" ref="E550">_xlfn.IFNA(_xlfn.XLOOKUP(1,([1]!hcahps[Facility ID] = clean[[#This Row],[Facility ID]]) * ([1]!hcahps[HCAHPS Measure ID] = "H_HSP_RATING_LINEAR_SCORE"), [1]!hcahps[HCAHPS Linear Mean Value]), "No Match")</f>
        <v>87</v>
      </c>
      <c r="F550" cm="1">
        <f t="array" ref="F550">_xlfn.IFNA(_xlfn.XLOOKUP(1,([1]!readmissions[Facility ID] = clean[[#This Row],[Facility ID]]) * ([1]!readmissions[Measure ID] = "Hybrid_HWR"), [1]!readmissions[Score]), "No Match")</f>
        <v>15.1</v>
      </c>
    </row>
    <row r="551" spans="1:6" x14ac:dyDescent="0.2">
      <c r="A551" t="str">
        <f>[1]!hospitalinfo[[#This Row],[Facility ID]]</f>
        <v>050625</v>
      </c>
      <c r="B551" t="str">
        <f>[1]!hospitalinfo[[#This Row],[State]]</f>
        <v>CA</v>
      </c>
      <c r="C551" t="str">
        <f>[1]!hospitalinfo[[#This Row],[Hospital Type]]</f>
        <v>Acute Care Hospitals</v>
      </c>
      <c r="D551" t="str">
        <f>[1]!hospitalinfo[[#This Row],[Hospital Ownership]]</f>
        <v>Voluntary non-profit - Other</v>
      </c>
      <c r="E551" cm="1">
        <f t="array" ref="E551">_xlfn.IFNA(_xlfn.XLOOKUP(1,([1]!hcahps[Facility ID] = clean[[#This Row],[Facility ID]]) * ([1]!hcahps[HCAHPS Measure ID] = "H_HSP_RATING_LINEAR_SCORE"), [1]!hcahps[HCAHPS Linear Mean Value]), "No Match")</f>
        <v>89</v>
      </c>
      <c r="F551" cm="1">
        <f t="array" ref="F551">_xlfn.IFNA(_xlfn.XLOOKUP(1,([1]!readmissions[Facility ID] = clean[[#This Row],[Facility ID]]) * ([1]!readmissions[Measure ID] = "Hybrid_HWR"), [1]!readmissions[Score]), "No Match")</f>
        <v>14.3</v>
      </c>
    </row>
    <row r="552" spans="1:6" x14ac:dyDescent="0.2">
      <c r="A552" t="str">
        <f>[1]!hospitalinfo[[#This Row],[Facility ID]]</f>
        <v>050633</v>
      </c>
      <c r="B552" t="str">
        <f>[1]!hospitalinfo[[#This Row],[State]]</f>
        <v>CA</v>
      </c>
      <c r="C552" t="str">
        <f>[1]!hospitalinfo[[#This Row],[Hospital Type]]</f>
        <v>Acute Care Hospitals</v>
      </c>
      <c r="D552" t="str">
        <f>[1]!hospitalinfo[[#This Row],[Hospital Ownership]]</f>
        <v>Proprietary</v>
      </c>
      <c r="E552" cm="1">
        <f t="array" ref="E552">_xlfn.IFNA(_xlfn.XLOOKUP(1,([1]!hcahps[Facility ID] = clean[[#This Row],[Facility ID]]) * ([1]!hcahps[HCAHPS Measure ID] = "H_HSP_RATING_LINEAR_SCORE"), [1]!hcahps[HCAHPS Linear Mean Value]), "No Match")</f>
        <v>84</v>
      </c>
      <c r="F552" cm="1">
        <f t="array" ref="F552">_xlfn.IFNA(_xlfn.XLOOKUP(1,([1]!readmissions[Facility ID] = clean[[#This Row],[Facility ID]]) * ([1]!readmissions[Measure ID] = "Hybrid_HWR"), [1]!readmissions[Score]), "No Match")</f>
        <v>15.4</v>
      </c>
    </row>
    <row r="553" spans="1:6" x14ac:dyDescent="0.2">
      <c r="A553" t="str">
        <f>[1]!hospitalinfo[[#This Row],[Facility ID]]</f>
        <v>050636</v>
      </c>
      <c r="B553" t="str">
        <f>[1]!hospitalinfo[[#This Row],[State]]</f>
        <v>CA</v>
      </c>
      <c r="C553" t="str">
        <f>[1]!hospitalinfo[[#This Row],[Hospital Type]]</f>
        <v>Acute Care Hospitals</v>
      </c>
      <c r="D553" t="str">
        <f>[1]!hospitalinfo[[#This Row],[Hospital Ownership]]</f>
        <v>Government - Hospital District or Authority</v>
      </c>
      <c r="E553" cm="1">
        <f t="array" ref="E553">_xlfn.IFNA(_xlfn.XLOOKUP(1,([1]!hcahps[Facility ID] = clean[[#This Row],[Facility ID]]) * ([1]!hcahps[HCAHPS Measure ID] = "H_HSP_RATING_LINEAR_SCORE"), [1]!hcahps[HCAHPS Linear Mean Value]), "No Match")</f>
        <v>84</v>
      </c>
      <c r="F553" cm="1">
        <f t="array" ref="F553">_xlfn.IFNA(_xlfn.XLOOKUP(1,([1]!readmissions[Facility ID] = clean[[#This Row],[Facility ID]]) * ([1]!readmissions[Measure ID] = "Hybrid_HWR"), [1]!readmissions[Score]), "No Match")</f>
        <v>15.2</v>
      </c>
    </row>
    <row r="554" spans="1:6" x14ac:dyDescent="0.2">
      <c r="A554" t="str">
        <f>[1]!hospitalinfo[[#This Row],[Facility ID]]</f>
        <v>050641</v>
      </c>
      <c r="B554" t="str">
        <f>[1]!hospitalinfo[[#This Row],[State]]</f>
        <v>CA</v>
      </c>
      <c r="C554" t="str">
        <f>[1]!hospitalinfo[[#This Row],[Hospital Type]]</f>
        <v>Acute Care Hospitals</v>
      </c>
      <c r="D554" t="str">
        <f>[1]!hospitalinfo[[#This Row],[Hospital Ownership]]</f>
        <v>Proprietary</v>
      </c>
      <c r="E554" cm="1">
        <f t="array" ref="E554">_xlfn.IFNA(_xlfn.XLOOKUP(1,([1]!hcahps[Facility ID] = clean[[#This Row],[Facility ID]]) * ([1]!hcahps[HCAHPS Measure ID] = "H_HSP_RATING_LINEAR_SCORE"), [1]!hcahps[HCAHPS Linear Mean Value]), "No Match")</f>
        <v>74</v>
      </c>
      <c r="F554" cm="1">
        <f t="array" ref="F554">_xlfn.IFNA(_xlfn.XLOOKUP(1,([1]!readmissions[Facility ID] = clean[[#This Row],[Facility ID]]) * ([1]!readmissions[Measure ID] = "Hybrid_HWR"), [1]!readmissions[Score]), "No Match")</f>
        <v>14.9</v>
      </c>
    </row>
    <row r="555" spans="1:6" x14ac:dyDescent="0.2">
      <c r="A555" t="str">
        <f>[1]!hospitalinfo[[#This Row],[Facility ID]]</f>
        <v>050663</v>
      </c>
      <c r="B555" t="str">
        <f>[1]!hospitalinfo[[#This Row],[State]]</f>
        <v>CA</v>
      </c>
      <c r="C555" t="str">
        <f>[1]!hospitalinfo[[#This Row],[Hospital Type]]</f>
        <v>Acute Care Hospitals</v>
      </c>
      <c r="D555" t="str">
        <f>[1]!hospitalinfo[[#This Row],[Hospital Ownership]]</f>
        <v>Proprietary</v>
      </c>
      <c r="E555" cm="1">
        <f t="array" ref="E555">_xlfn.IFNA(_xlfn.XLOOKUP(1,([1]!hcahps[Facility ID] = clean[[#This Row],[Facility ID]]) * ([1]!hcahps[HCAHPS Measure ID] = "H_HSP_RATING_LINEAR_SCORE"), [1]!hcahps[HCAHPS Linear Mean Value]), "No Match")</f>
        <v>70</v>
      </c>
      <c r="F555" cm="1">
        <f t="array" ref="F555">_xlfn.IFNA(_xlfn.XLOOKUP(1,([1]!readmissions[Facility ID] = clean[[#This Row],[Facility ID]]) * ([1]!readmissions[Measure ID] = "Hybrid_HWR"), [1]!readmissions[Score]), "No Match")</f>
        <v>13.7</v>
      </c>
    </row>
    <row r="556" spans="1:6" x14ac:dyDescent="0.2">
      <c r="A556" t="str">
        <f>[1]!hospitalinfo[[#This Row],[Facility ID]]</f>
        <v>050668</v>
      </c>
      <c r="B556" t="str">
        <f>[1]!hospitalinfo[[#This Row],[State]]</f>
        <v>CA</v>
      </c>
      <c r="C556" t="str">
        <f>[1]!hospitalinfo[[#This Row],[Hospital Type]]</f>
        <v>Acute Care Hospitals</v>
      </c>
      <c r="D556" t="str">
        <f>[1]!hospitalinfo[[#This Row],[Hospital Ownership]]</f>
        <v>Government - Local</v>
      </c>
      <c r="E556" t="str" cm="1">
        <f t="array" ref="E556">_xlfn.IFNA(_xlfn.XLOOKUP(1,([1]!hcahps[Facility ID] = clean[[#This Row],[Facility ID]]) * ([1]!hcahps[HCAHPS Measure ID] = "H_HSP_RATING_LINEAR_SCORE"), [1]!hcahps[HCAHPS Linear Mean Value]), "No Match")</f>
        <v>Not Available</v>
      </c>
      <c r="F556" cm="1">
        <f t="array" ref="F556">_xlfn.IFNA(_xlfn.XLOOKUP(1,([1]!readmissions[Facility ID] = clean[[#This Row],[Facility ID]]) * ([1]!readmissions[Measure ID] = "Hybrid_HWR"), [1]!readmissions[Score]), "No Match")</f>
        <v>15.4</v>
      </c>
    </row>
    <row r="557" spans="1:6" x14ac:dyDescent="0.2">
      <c r="A557" t="str">
        <f>[1]!hospitalinfo[[#This Row],[Facility ID]]</f>
        <v>050674</v>
      </c>
      <c r="B557" t="str">
        <f>[1]!hospitalinfo[[#This Row],[State]]</f>
        <v>CA</v>
      </c>
      <c r="C557" t="str">
        <f>[1]!hospitalinfo[[#This Row],[Hospital Type]]</f>
        <v>Acute Care Hospitals</v>
      </c>
      <c r="D557" t="str">
        <f>[1]!hospitalinfo[[#This Row],[Hospital Ownership]]</f>
        <v>Voluntary non-profit - Private</v>
      </c>
      <c r="E557" cm="1">
        <f t="array" ref="E557">_xlfn.IFNA(_xlfn.XLOOKUP(1,([1]!hcahps[Facility ID] = clean[[#This Row],[Facility ID]]) * ([1]!hcahps[HCAHPS Measure ID] = "H_HSP_RATING_LINEAR_SCORE"), [1]!hcahps[HCAHPS Linear Mean Value]), "No Match")</f>
        <v>88</v>
      </c>
      <c r="F557" cm="1">
        <f t="array" ref="F557">_xlfn.IFNA(_xlfn.XLOOKUP(1,([1]!readmissions[Facility ID] = clean[[#This Row],[Facility ID]]) * ([1]!readmissions[Measure ID] = "Hybrid_HWR"), [1]!readmissions[Score]), "No Match")</f>
        <v>15.8</v>
      </c>
    </row>
    <row r="558" spans="1:6" x14ac:dyDescent="0.2">
      <c r="A558" t="str">
        <f>[1]!hospitalinfo[[#This Row],[Facility ID]]</f>
        <v>050677</v>
      </c>
      <c r="B558" t="str">
        <f>[1]!hospitalinfo[[#This Row],[State]]</f>
        <v>CA</v>
      </c>
      <c r="C558" t="str">
        <f>[1]!hospitalinfo[[#This Row],[Hospital Type]]</f>
        <v>Acute Care Hospitals</v>
      </c>
      <c r="D558" t="str">
        <f>[1]!hospitalinfo[[#This Row],[Hospital Ownership]]</f>
        <v>Voluntary non-profit - Private</v>
      </c>
      <c r="E558" cm="1">
        <f t="array" ref="E558">_xlfn.IFNA(_xlfn.XLOOKUP(1,([1]!hcahps[Facility ID] = clean[[#This Row],[Facility ID]]) * ([1]!hcahps[HCAHPS Measure ID] = "H_HSP_RATING_LINEAR_SCORE"), [1]!hcahps[HCAHPS Linear Mean Value]), "No Match")</f>
        <v>88</v>
      </c>
      <c r="F558" cm="1">
        <f t="array" ref="F558">_xlfn.IFNA(_xlfn.XLOOKUP(1,([1]!readmissions[Facility ID] = clean[[#This Row],[Facility ID]]) * ([1]!readmissions[Measure ID] = "Hybrid_HWR"), [1]!readmissions[Score]), "No Match")</f>
        <v>14.9</v>
      </c>
    </row>
    <row r="559" spans="1:6" x14ac:dyDescent="0.2">
      <c r="A559" t="str">
        <f>[1]!hospitalinfo[[#This Row],[Facility ID]]</f>
        <v>050678</v>
      </c>
      <c r="B559" t="str">
        <f>[1]!hospitalinfo[[#This Row],[State]]</f>
        <v>CA</v>
      </c>
      <c r="C559" t="str">
        <f>[1]!hospitalinfo[[#This Row],[Hospital Type]]</f>
        <v>Acute Care Hospitals</v>
      </c>
      <c r="D559" t="str">
        <f>[1]!hospitalinfo[[#This Row],[Hospital Ownership]]</f>
        <v>Proprietary</v>
      </c>
      <c r="E559" cm="1">
        <f t="array" ref="E559">_xlfn.IFNA(_xlfn.XLOOKUP(1,([1]!hcahps[Facility ID] = clean[[#This Row],[Facility ID]]) * ([1]!hcahps[HCAHPS Measure ID] = "H_HSP_RATING_LINEAR_SCORE"), [1]!hcahps[HCAHPS Linear Mean Value]), "No Match")</f>
        <v>88</v>
      </c>
      <c r="F559" cm="1">
        <f t="array" ref="F559">_xlfn.IFNA(_xlfn.XLOOKUP(1,([1]!readmissions[Facility ID] = clean[[#This Row],[Facility ID]]) * ([1]!readmissions[Measure ID] = "Hybrid_HWR"), [1]!readmissions[Score]), "No Match")</f>
        <v>14.8</v>
      </c>
    </row>
    <row r="560" spans="1:6" x14ac:dyDescent="0.2">
      <c r="A560" t="str">
        <f>[1]!hospitalinfo[[#This Row],[Facility ID]]</f>
        <v>050684</v>
      </c>
      <c r="B560" t="str">
        <f>[1]!hospitalinfo[[#This Row],[State]]</f>
        <v>CA</v>
      </c>
      <c r="C560" t="str">
        <f>[1]!hospitalinfo[[#This Row],[Hospital Type]]</f>
        <v>Acute Care Hospitals</v>
      </c>
      <c r="D560" t="str">
        <f>[1]!hospitalinfo[[#This Row],[Hospital Ownership]]</f>
        <v>Proprietary</v>
      </c>
      <c r="E560" cm="1">
        <f t="array" ref="E560">_xlfn.IFNA(_xlfn.XLOOKUP(1,([1]!hcahps[Facility ID] = clean[[#This Row],[Facility ID]]) * ([1]!hcahps[HCAHPS Measure ID] = "H_HSP_RATING_LINEAR_SCORE"), [1]!hcahps[HCAHPS Linear Mean Value]), "No Match")</f>
        <v>79</v>
      </c>
      <c r="F560" cm="1">
        <f t="array" ref="F560">_xlfn.IFNA(_xlfn.XLOOKUP(1,([1]!readmissions[Facility ID] = clean[[#This Row],[Facility ID]]) * ([1]!readmissions[Measure ID] = "Hybrid_HWR"), [1]!readmissions[Score]), "No Match")</f>
        <v>16.2</v>
      </c>
    </row>
    <row r="561" spans="1:6" x14ac:dyDescent="0.2">
      <c r="A561" t="str">
        <f>[1]!hospitalinfo[[#This Row],[Facility ID]]</f>
        <v>050686</v>
      </c>
      <c r="B561" t="str">
        <f>[1]!hospitalinfo[[#This Row],[State]]</f>
        <v>CA</v>
      </c>
      <c r="C561" t="str">
        <f>[1]!hospitalinfo[[#This Row],[Hospital Type]]</f>
        <v>Acute Care Hospitals</v>
      </c>
      <c r="D561" t="str">
        <f>[1]!hospitalinfo[[#This Row],[Hospital Ownership]]</f>
        <v>Voluntary non-profit - Private</v>
      </c>
      <c r="E561" cm="1">
        <f t="array" ref="E561">_xlfn.IFNA(_xlfn.XLOOKUP(1,([1]!hcahps[Facility ID] = clean[[#This Row],[Facility ID]]) * ([1]!hcahps[HCAHPS Measure ID] = "H_HSP_RATING_LINEAR_SCORE"), [1]!hcahps[HCAHPS Linear Mean Value]), "No Match")</f>
        <v>89</v>
      </c>
      <c r="F561" cm="1">
        <f t="array" ref="F561">_xlfn.IFNA(_xlfn.XLOOKUP(1,([1]!readmissions[Facility ID] = clean[[#This Row],[Facility ID]]) * ([1]!readmissions[Measure ID] = "Hybrid_HWR"), [1]!readmissions[Score]), "No Match")</f>
        <v>14.7</v>
      </c>
    </row>
    <row r="562" spans="1:6" x14ac:dyDescent="0.2">
      <c r="A562" t="str">
        <f>[1]!hospitalinfo[[#This Row],[Facility ID]]</f>
        <v>050689</v>
      </c>
      <c r="B562" t="str">
        <f>[1]!hospitalinfo[[#This Row],[State]]</f>
        <v>CA</v>
      </c>
      <c r="C562" t="str">
        <f>[1]!hospitalinfo[[#This Row],[Hospital Type]]</f>
        <v>Acute Care Hospitals</v>
      </c>
      <c r="D562" t="str">
        <f>[1]!hospitalinfo[[#This Row],[Hospital Ownership]]</f>
        <v>Proprietary</v>
      </c>
      <c r="E562" cm="1">
        <f t="array" ref="E562">_xlfn.IFNA(_xlfn.XLOOKUP(1,([1]!hcahps[Facility ID] = clean[[#This Row],[Facility ID]]) * ([1]!hcahps[HCAHPS Measure ID] = "H_HSP_RATING_LINEAR_SCORE"), [1]!hcahps[HCAHPS Linear Mean Value]), "No Match")</f>
        <v>84</v>
      </c>
      <c r="F562" cm="1">
        <f t="array" ref="F562">_xlfn.IFNA(_xlfn.XLOOKUP(1,([1]!readmissions[Facility ID] = clean[[#This Row],[Facility ID]]) * ([1]!readmissions[Measure ID] = "Hybrid_HWR"), [1]!readmissions[Score]), "No Match")</f>
        <v>14.7</v>
      </c>
    </row>
    <row r="563" spans="1:6" x14ac:dyDescent="0.2">
      <c r="A563" t="str">
        <f>[1]!hospitalinfo[[#This Row],[Facility ID]]</f>
        <v>050690</v>
      </c>
      <c r="B563" t="str">
        <f>[1]!hospitalinfo[[#This Row],[State]]</f>
        <v>CA</v>
      </c>
      <c r="C563" t="str">
        <f>[1]!hospitalinfo[[#This Row],[Hospital Type]]</f>
        <v>Acute Care Hospitals</v>
      </c>
      <c r="D563" t="str">
        <f>[1]!hospitalinfo[[#This Row],[Hospital Ownership]]</f>
        <v>Voluntary non-profit - Private</v>
      </c>
      <c r="E563" cm="1">
        <f t="array" ref="E563">_xlfn.IFNA(_xlfn.XLOOKUP(1,([1]!hcahps[Facility ID] = clean[[#This Row],[Facility ID]]) * ([1]!hcahps[HCAHPS Measure ID] = "H_HSP_RATING_LINEAR_SCORE"), [1]!hcahps[HCAHPS Linear Mean Value]), "No Match")</f>
        <v>88</v>
      </c>
      <c r="F563" cm="1">
        <f t="array" ref="F563">_xlfn.IFNA(_xlfn.XLOOKUP(1,([1]!readmissions[Facility ID] = clean[[#This Row],[Facility ID]]) * ([1]!readmissions[Measure ID] = "Hybrid_HWR"), [1]!readmissions[Score]), "No Match")</f>
        <v>15.1</v>
      </c>
    </row>
    <row r="564" spans="1:6" x14ac:dyDescent="0.2">
      <c r="A564" t="str">
        <f>[1]!hospitalinfo[[#This Row],[Facility ID]]</f>
        <v>050696</v>
      </c>
      <c r="B564" t="str">
        <f>[1]!hospitalinfo[[#This Row],[State]]</f>
        <v>CA</v>
      </c>
      <c r="C564" t="str">
        <f>[1]!hospitalinfo[[#This Row],[Hospital Type]]</f>
        <v>Acute Care Hospitals</v>
      </c>
      <c r="D564" t="str">
        <f>[1]!hospitalinfo[[#This Row],[Hospital Ownership]]</f>
        <v>Voluntary non-profit - Other</v>
      </c>
      <c r="E564" cm="1">
        <f t="array" ref="E564">_xlfn.IFNA(_xlfn.XLOOKUP(1,([1]!hcahps[Facility ID] = clean[[#This Row],[Facility ID]]) * ([1]!hcahps[HCAHPS Measure ID] = "H_HSP_RATING_LINEAR_SCORE"), [1]!hcahps[HCAHPS Linear Mean Value]), "No Match")</f>
        <v>92</v>
      </c>
      <c r="F564" cm="1">
        <f t="array" ref="F564">_xlfn.IFNA(_xlfn.XLOOKUP(1,([1]!readmissions[Facility ID] = clean[[#This Row],[Facility ID]]) * ([1]!readmissions[Measure ID] = "Hybrid_HWR"), [1]!readmissions[Score]), "No Match")</f>
        <v>15.8</v>
      </c>
    </row>
    <row r="565" spans="1:6" x14ac:dyDescent="0.2">
      <c r="A565" t="str">
        <f>[1]!hospitalinfo[[#This Row],[Facility ID]]</f>
        <v>050697</v>
      </c>
      <c r="B565" t="str">
        <f>[1]!hospitalinfo[[#This Row],[State]]</f>
        <v>CA</v>
      </c>
      <c r="C565" t="str">
        <f>[1]!hospitalinfo[[#This Row],[Hospital Type]]</f>
        <v>Acute Care Hospitals</v>
      </c>
      <c r="D565" t="str">
        <f>[1]!hospitalinfo[[#This Row],[Hospital Ownership]]</f>
        <v>Proprietary</v>
      </c>
      <c r="E565" t="str" cm="1">
        <f t="array" ref="E565">_xlfn.IFNA(_xlfn.XLOOKUP(1,([1]!hcahps[Facility ID] = clean[[#This Row],[Facility ID]]) * ([1]!hcahps[HCAHPS Measure ID] = "H_HSP_RATING_LINEAR_SCORE"), [1]!hcahps[HCAHPS Linear Mean Value]), "No Match")</f>
        <v>Not Available</v>
      </c>
      <c r="F565" cm="1">
        <f t="array" ref="F565">_xlfn.IFNA(_xlfn.XLOOKUP(1,([1]!readmissions[Facility ID] = clean[[#This Row],[Facility ID]]) * ([1]!readmissions[Measure ID] = "Hybrid_HWR"), [1]!readmissions[Score]), "No Match")</f>
        <v>14.9</v>
      </c>
    </row>
    <row r="566" spans="1:6" x14ac:dyDescent="0.2">
      <c r="A566" t="str">
        <f>[1]!hospitalinfo[[#This Row],[Facility ID]]</f>
        <v>050701</v>
      </c>
      <c r="B566" t="str">
        <f>[1]!hospitalinfo[[#This Row],[State]]</f>
        <v>CA</v>
      </c>
      <c r="C566" t="str">
        <f>[1]!hospitalinfo[[#This Row],[Hospital Type]]</f>
        <v>Acute Care Hospitals</v>
      </c>
      <c r="D566" t="str">
        <f>[1]!hospitalinfo[[#This Row],[Hospital Ownership]]</f>
        <v>Proprietary</v>
      </c>
      <c r="E566" cm="1">
        <f t="array" ref="E566">_xlfn.IFNA(_xlfn.XLOOKUP(1,([1]!hcahps[Facility ID] = clean[[#This Row],[Facility ID]]) * ([1]!hcahps[HCAHPS Measure ID] = "H_HSP_RATING_LINEAR_SCORE"), [1]!hcahps[HCAHPS Linear Mean Value]), "No Match")</f>
        <v>86</v>
      </c>
      <c r="F566" cm="1">
        <f t="array" ref="F566">_xlfn.IFNA(_xlfn.XLOOKUP(1,([1]!readmissions[Facility ID] = clean[[#This Row],[Facility ID]]) * ([1]!readmissions[Measure ID] = "Hybrid_HWR"), [1]!readmissions[Score]), "No Match")</f>
        <v>14.8</v>
      </c>
    </row>
    <row r="567" spans="1:6" x14ac:dyDescent="0.2">
      <c r="A567" t="str">
        <f>[1]!hospitalinfo[[#This Row],[Facility ID]]</f>
        <v>050704</v>
      </c>
      <c r="B567" t="str">
        <f>[1]!hospitalinfo[[#This Row],[State]]</f>
        <v>CA</v>
      </c>
      <c r="C567" t="str">
        <f>[1]!hospitalinfo[[#This Row],[Hospital Type]]</f>
        <v>Acute Care Hospitals</v>
      </c>
      <c r="D567" t="str">
        <f>[1]!hospitalinfo[[#This Row],[Hospital Ownership]]</f>
        <v>Voluntary non-profit - Private</v>
      </c>
      <c r="E567" cm="1">
        <f t="array" ref="E567">_xlfn.IFNA(_xlfn.XLOOKUP(1,([1]!hcahps[Facility ID] = clean[[#This Row],[Facility ID]]) * ([1]!hcahps[HCAHPS Measure ID] = "H_HSP_RATING_LINEAR_SCORE"), [1]!hcahps[HCAHPS Linear Mean Value]), "No Match")</f>
        <v>80</v>
      </c>
      <c r="F567" cm="1">
        <f t="array" ref="F567">_xlfn.IFNA(_xlfn.XLOOKUP(1,([1]!readmissions[Facility ID] = clean[[#This Row],[Facility ID]]) * ([1]!readmissions[Measure ID] = "Hybrid_HWR"), [1]!readmissions[Score]), "No Match")</f>
        <v>15.1</v>
      </c>
    </row>
    <row r="568" spans="1:6" x14ac:dyDescent="0.2">
      <c r="A568" t="str">
        <f>[1]!hospitalinfo[[#This Row],[Facility ID]]</f>
        <v>050708</v>
      </c>
      <c r="B568" t="str">
        <f>[1]!hospitalinfo[[#This Row],[State]]</f>
        <v>CA</v>
      </c>
      <c r="C568" t="str">
        <f>[1]!hospitalinfo[[#This Row],[Hospital Type]]</f>
        <v>Acute Care Hospitals</v>
      </c>
      <c r="D568" t="str">
        <f>[1]!hospitalinfo[[#This Row],[Hospital Ownership]]</f>
        <v>Proprietary</v>
      </c>
      <c r="E568" cm="1">
        <f t="array" ref="E568">_xlfn.IFNA(_xlfn.XLOOKUP(1,([1]!hcahps[Facility ID] = clean[[#This Row],[Facility ID]]) * ([1]!hcahps[HCAHPS Measure ID] = "H_HSP_RATING_LINEAR_SCORE"), [1]!hcahps[HCAHPS Linear Mean Value]), "No Match")</f>
        <v>93</v>
      </c>
      <c r="F568" cm="1">
        <f t="array" ref="F568">_xlfn.IFNA(_xlfn.XLOOKUP(1,([1]!readmissions[Facility ID] = clean[[#This Row],[Facility ID]]) * ([1]!readmissions[Measure ID] = "Hybrid_HWR"), [1]!readmissions[Score]), "No Match")</f>
        <v>14.4</v>
      </c>
    </row>
    <row r="569" spans="1:6" x14ac:dyDescent="0.2">
      <c r="A569" t="str">
        <f>[1]!hospitalinfo[[#This Row],[Facility ID]]</f>
        <v>050709</v>
      </c>
      <c r="B569" t="str">
        <f>[1]!hospitalinfo[[#This Row],[State]]</f>
        <v>CA</v>
      </c>
      <c r="C569" t="str">
        <f>[1]!hospitalinfo[[#This Row],[Hospital Type]]</f>
        <v>Acute Care Hospitals</v>
      </c>
      <c r="D569" t="str">
        <f>[1]!hospitalinfo[[#This Row],[Hospital Ownership]]</f>
        <v>Proprietary</v>
      </c>
      <c r="E569" cm="1">
        <f t="array" ref="E569">_xlfn.IFNA(_xlfn.XLOOKUP(1,([1]!hcahps[Facility ID] = clean[[#This Row],[Facility ID]]) * ([1]!hcahps[HCAHPS Measure ID] = "H_HSP_RATING_LINEAR_SCORE"), [1]!hcahps[HCAHPS Linear Mean Value]), "No Match")</f>
        <v>84</v>
      </c>
      <c r="F569" cm="1">
        <f t="array" ref="F569">_xlfn.IFNA(_xlfn.XLOOKUP(1,([1]!readmissions[Facility ID] = clean[[#This Row],[Facility ID]]) * ([1]!readmissions[Measure ID] = "Hybrid_HWR"), [1]!readmissions[Score]), "No Match")</f>
        <v>15.8</v>
      </c>
    </row>
    <row r="570" spans="1:6" x14ac:dyDescent="0.2">
      <c r="A570" t="str">
        <f>[1]!hospitalinfo[[#This Row],[Facility ID]]</f>
        <v>050710</v>
      </c>
      <c r="B570" t="str">
        <f>[1]!hospitalinfo[[#This Row],[State]]</f>
        <v>CA</v>
      </c>
      <c r="C570" t="str">
        <f>[1]!hospitalinfo[[#This Row],[Hospital Type]]</f>
        <v>Acute Care Hospitals</v>
      </c>
      <c r="D570" t="str">
        <f>[1]!hospitalinfo[[#This Row],[Hospital Ownership]]</f>
        <v>Voluntary non-profit - Private</v>
      </c>
      <c r="E570" cm="1">
        <f t="array" ref="E570">_xlfn.IFNA(_xlfn.XLOOKUP(1,([1]!hcahps[Facility ID] = clean[[#This Row],[Facility ID]]) * ([1]!hcahps[HCAHPS Measure ID] = "H_HSP_RATING_LINEAR_SCORE"), [1]!hcahps[HCAHPS Linear Mean Value]), "No Match")</f>
        <v>89</v>
      </c>
      <c r="F570" cm="1">
        <f t="array" ref="F570">_xlfn.IFNA(_xlfn.XLOOKUP(1,([1]!readmissions[Facility ID] = clean[[#This Row],[Facility ID]]) * ([1]!readmissions[Measure ID] = "Hybrid_HWR"), [1]!readmissions[Score]), "No Match")</f>
        <v>14.6</v>
      </c>
    </row>
    <row r="571" spans="1:6" x14ac:dyDescent="0.2">
      <c r="A571" t="str">
        <f>[1]!hospitalinfo[[#This Row],[Facility ID]]</f>
        <v>050714</v>
      </c>
      <c r="B571" t="str">
        <f>[1]!hospitalinfo[[#This Row],[State]]</f>
        <v>CA</v>
      </c>
      <c r="C571" t="str">
        <f>[1]!hospitalinfo[[#This Row],[Hospital Type]]</f>
        <v>Acute Care Hospitals</v>
      </c>
      <c r="D571" t="str">
        <f>[1]!hospitalinfo[[#This Row],[Hospital Ownership]]</f>
        <v>Voluntary non-profit - Private</v>
      </c>
      <c r="E571" cm="1">
        <f t="array" ref="E571">_xlfn.IFNA(_xlfn.XLOOKUP(1,([1]!hcahps[Facility ID] = clean[[#This Row],[Facility ID]]) * ([1]!hcahps[HCAHPS Measure ID] = "H_HSP_RATING_LINEAR_SCORE"), [1]!hcahps[HCAHPS Linear Mean Value]), "No Match")</f>
        <v>93</v>
      </c>
      <c r="F571" cm="1">
        <f t="array" ref="F571">_xlfn.IFNA(_xlfn.XLOOKUP(1,([1]!readmissions[Facility ID] = clean[[#This Row],[Facility ID]]) * ([1]!readmissions[Measure ID] = "Hybrid_HWR"), [1]!readmissions[Score]), "No Match")</f>
        <v>14.3</v>
      </c>
    </row>
    <row r="572" spans="1:6" x14ac:dyDescent="0.2">
      <c r="A572" t="str">
        <f>[1]!hospitalinfo[[#This Row],[Facility ID]]</f>
        <v>050717</v>
      </c>
      <c r="B572" t="str">
        <f>[1]!hospitalinfo[[#This Row],[State]]</f>
        <v>CA</v>
      </c>
      <c r="C572" t="str">
        <f>[1]!hospitalinfo[[#This Row],[Hospital Type]]</f>
        <v>Acute Care Hospitals</v>
      </c>
      <c r="D572" t="str">
        <f>[1]!hospitalinfo[[#This Row],[Hospital Ownership]]</f>
        <v>Government - Local</v>
      </c>
      <c r="E572" cm="1">
        <f t="array" ref="E572">_xlfn.IFNA(_xlfn.XLOOKUP(1,([1]!hcahps[Facility ID] = clean[[#This Row],[Facility ID]]) * ([1]!hcahps[HCAHPS Measure ID] = "H_HSP_RATING_LINEAR_SCORE"), [1]!hcahps[HCAHPS Linear Mean Value]), "No Match")</f>
        <v>92</v>
      </c>
      <c r="F572" cm="1">
        <f t="array" ref="F572">_xlfn.IFNA(_xlfn.XLOOKUP(1,([1]!readmissions[Facility ID] = clean[[#This Row],[Facility ID]]) * ([1]!readmissions[Measure ID] = "Hybrid_HWR"), [1]!readmissions[Score]), "No Match")</f>
        <v>14.9</v>
      </c>
    </row>
    <row r="573" spans="1:6" x14ac:dyDescent="0.2">
      <c r="A573" t="str">
        <f>[1]!hospitalinfo[[#This Row],[Facility ID]]</f>
        <v>050723</v>
      </c>
      <c r="B573" t="str">
        <f>[1]!hospitalinfo[[#This Row],[State]]</f>
        <v>CA</v>
      </c>
      <c r="C573" t="str">
        <f>[1]!hospitalinfo[[#This Row],[Hospital Type]]</f>
        <v>Acute Care Hospitals</v>
      </c>
      <c r="D573" t="str">
        <f>[1]!hospitalinfo[[#This Row],[Hospital Ownership]]</f>
        <v>Voluntary non-profit - Other</v>
      </c>
      <c r="E573" cm="1">
        <f t="array" ref="E573">_xlfn.IFNA(_xlfn.XLOOKUP(1,([1]!hcahps[Facility ID] = clean[[#This Row],[Facility ID]]) * ([1]!hcahps[HCAHPS Measure ID] = "H_HSP_RATING_LINEAR_SCORE"), [1]!hcahps[HCAHPS Linear Mean Value]), "No Match")</f>
        <v>89</v>
      </c>
      <c r="F573" cm="1">
        <f t="array" ref="F573">_xlfn.IFNA(_xlfn.XLOOKUP(1,([1]!readmissions[Facility ID] = clean[[#This Row],[Facility ID]]) * ([1]!readmissions[Measure ID] = "Hybrid_HWR"), [1]!readmissions[Score]), "No Match")</f>
        <v>14.6</v>
      </c>
    </row>
    <row r="574" spans="1:6" x14ac:dyDescent="0.2">
      <c r="A574" t="str">
        <f>[1]!hospitalinfo[[#This Row],[Facility ID]]</f>
        <v>050726</v>
      </c>
      <c r="B574" t="str">
        <f>[1]!hospitalinfo[[#This Row],[State]]</f>
        <v>CA</v>
      </c>
      <c r="C574" t="str">
        <f>[1]!hospitalinfo[[#This Row],[Hospital Type]]</f>
        <v>Acute Care Hospitals</v>
      </c>
      <c r="D574" t="str">
        <f>[1]!hospitalinfo[[#This Row],[Hospital Ownership]]</f>
        <v>Voluntary non-profit - Private</v>
      </c>
      <c r="E574" t="str" cm="1">
        <f t="array" ref="E574">_xlfn.IFNA(_xlfn.XLOOKUP(1,([1]!hcahps[Facility ID] = clean[[#This Row],[Facility ID]]) * ([1]!hcahps[HCAHPS Measure ID] = "H_HSP_RATING_LINEAR_SCORE"), [1]!hcahps[HCAHPS Linear Mean Value]), "No Match")</f>
        <v>Not Available</v>
      </c>
      <c r="F574" t="str" cm="1">
        <f t="array" ref="F574">_xlfn.IFNA(_xlfn.XLOOKUP(1,([1]!readmissions[Facility ID] = clean[[#This Row],[Facility ID]]) * ([1]!readmissions[Measure ID] = "Hybrid_HWR"), [1]!readmissions[Score]), "No Match")</f>
        <v>Not Available</v>
      </c>
    </row>
    <row r="575" spans="1:6" x14ac:dyDescent="0.2">
      <c r="A575" t="str">
        <f>[1]!hospitalinfo[[#This Row],[Facility ID]]</f>
        <v>050735</v>
      </c>
      <c r="B575" t="str">
        <f>[1]!hospitalinfo[[#This Row],[State]]</f>
        <v>CA</v>
      </c>
      <c r="C575" t="str">
        <f>[1]!hospitalinfo[[#This Row],[Hospital Type]]</f>
        <v>Acute Care Hospitals</v>
      </c>
      <c r="D575" t="str">
        <f>[1]!hospitalinfo[[#This Row],[Hospital Ownership]]</f>
        <v>Proprietary</v>
      </c>
      <c r="E575" cm="1">
        <f t="array" ref="E575">_xlfn.IFNA(_xlfn.XLOOKUP(1,([1]!hcahps[Facility ID] = clean[[#This Row],[Facility ID]]) * ([1]!hcahps[HCAHPS Measure ID] = "H_HSP_RATING_LINEAR_SCORE"), [1]!hcahps[HCAHPS Linear Mean Value]), "No Match")</f>
        <v>84</v>
      </c>
      <c r="F575" cm="1">
        <f t="array" ref="F575">_xlfn.IFNA(_xlfn.XLOOKUP(1,([1]!readmissions[Facility ID] = clean[[#This Row],[Facility ID]]) * ([1]!readmissions[Measure ID] = "Hybrid_HWR"), [1]!readmissions[Score]), "No Match")</f>
        <v>15.4</v>
      </c>
    </row>
    <row r="576" spans="1:6" x14ac:dyDescent="0.2">
      <c r="A576" t="str">
        <f>[1]!hospitalinfo[[#This Row],[Facility ID]]</f>
        <v>050736</v>
      </c>
      <c r="B576" t="str">
        <f>[1]!hospitalinfo[[#This Row],[State]]</f>
        <v>CA</v>
      </c>
      <c r="C576" t="str">
        <f>[1]!hospitalinfo[[#This Row],[Hospital Type]]</f>
        <v>Acute Care Hospitals</v>
      </c>
      <c r="D576" t="str">
        <f>[1]!hospitalinfo[[#This Row],[Hospital Ownership]]</f>
        <v>Proprietary</v>
      </c>
      <c r="E576" cm="1">
        <f t="array" ref="E576">_xlfn.IFNA(_xlfn.XLOOKUP(1,([1]!hcahps[Facility ID] = clean[[#This Row],[Facility ID]]) * ([1]!hcahps[HCAHPS Measure ID] = "H_HSP_RATING_LINEAR_SCORE"), [1]!hcahps[HCAHPS Linear Mean Value]), "No Match")</f>
        <v>82</v>
      </c>
      <c r="F576" cm="1">
        <f t="array" ref="F576">_xlfn.IFNA(_xlfn.XLOOKUP(1,([1]!readmissions[Facility ID] = clean[[#This Row],[Facility ID]]) * ([1]!readmissions[Measure ID] = "Hybrid_HWR"), [1]!readmissions[Score]), "No Match")</f>
        <v>15.9</v>
      </c>
    </row>
    <row r="577" spans="1:6" x14ac:dyDescent="0.2">
      <c r="A577" t="str">
        <f>[1]!hospitalinfo[[#This Row],[Facility ID]]</f>
        <v>050737</v>
      </c>
      <c r="B577" t="str">
        <f>[1]!hospitalinfo[[#This Row],[State]]</f>
        <v>CA</v>
      </c>
      <c r="C577" t="str">
        <f>[1]!hospitalinfo[[#This Row],[Hospital Type]]</f>
        <v>Acute Care Hospitals</v>
      </c>
      <c r="D577" t="str">
        <f>[1]!hospitalinfo[[#This Row],[Hospital Ownership]]</f>
        <v>Proprietary</v>
      </c>
      <c r="E577" cm="1">
        <f t="array" ref="E577">_xlfn.IFNA(_xlfn.XLOOKUP(1,([1]!hcahps[Facility ID] = clean[[#This Row],[Facility ID]]) * ([1]!hcahps[HCAHPS Measure ID] = "H_HSP_RATING_LINEAR_SCORE"), [1]!hcahps[HCAHPS Linear Mean Value]), "No Match")</f>
        <v>87</v>
      </c>
      <c r="F577" cm="1">
        <f t="array" ref="F577">_xlfn.IFNA(_xlfn.XLOOKUP(1,([1]!readmissions[Facility ID] = clean[[#This Row],[Facility ID]]) * ([1]!readmissions[Measure ID] = "Hybrid_HWR"), [1]!readmissions[Score]), "No Match")</f>
        <v>16</v>
      </c>
    </row>
    <row r="578" spans="1:6" x14ac:dyDescent="0.2">
      <c r="A578" t="str">
        <f>[1]!hospitalinfo[[#This Row],[Facility ID]]</f>
        <v>050738</v>
      </c>
      <c r="B578" t="str">
        <f>[1]!hospitalinfo[[#This Row],[State]]</f>
        <v>CA</v>
      </c>
      <c r="C578" t="str">
        <f>[1]!hospitalinfo[[#This Row],[Hospital Type]]</f>
        <v>Acute Care Hospitals</v>
      </c>
      <c r="D578" t="str">
        <f>[1]!hospitalinfo[[#This Row],[Hospital Ownership]]</f>
        <v>Voluntary non-profit - Private</v>
      </c>
      <c r="E578" cm="1">
        <f t="array" ref="E578">_xlfn.IFNA(_xlfn.XLOOKUP(1,([1]!hcahps[Facility ID] = clean[[#This Row],[Facility ID]]) * ([1]!hcahps[HCAHPS Measure ID] = "H_HSP_RATING_LINEAR_SCORE"), [1]!hcahps[HCAHPS Linear Mean Value]), "No Match")</f>
        <v>87</v>
      </c>
      <c r="F578" cm="1">
        <f t="array" ref="F578">_xlfn.IFNA(_xlfn.XLOOKUP(1,([1]!readmissions[Facility ID] = clean[[#This Row],[Facility ID]]) * ([1]!readmissions[Measure ID] = "Hybrid_HWR"), [1]!readmissions[Score]), "No Match")</f>
        <v>15.3</v>
      </c>
    </row>
    <row r="579" spans="1:6" x14ac:dyDescent="0.2">
      <c r="A579" t="str">
        <f>[1]!hospitalinfo[[#This Row],[Facility ID]]</f>
        <v>050739</v>
      </c>
      <c r="B579" t="str">
        <f>[1]!hospitalinfo[[#This Row],[State]]</f>
        <v>CA</v>
      </c>
      <c r="C579" t="str">
        <f>[1]!hospitalinfo[[#This Row],[Hospital Type]]</f>
        <v>Acute Care Hospitals</v>
      </c>
      <c r="D579" t="str">
        <f>[1]!hospitalinfo[[#This Row],[Hospital Ownership]]</f>
        <v>Proprietary</v>
      </c>
      <c r="E579" cm="1">
        <f t="array" ref="E579">_xlfn.IFNA(_xlfn.XLOOKUP(1,([1]!hcahps[Facility ID] = clean[[#This Row],[Facility ID]]) * ([1]!hcahps[HCAHPS Measure ID] = "H_HSP_RATING_LINEAR_SCORE"), [1]!hcahps[HCAHPS Linear Mean Value]), "No Match")</f>
        <v>80</v>
      </c>
      <c r="F579" cm="1">
        <f t="array" ref="F579">_xlfn.IFNA(_xlfn.XLOOKUP(1,([1]!readmissions[Facility ID] = clean[[#This Row],[Facility ID]]) * ([1]!readmissions[Measure ID] = "Hybrid_HWR"), [1]!readmissions[Score]), "No Match")</f>
        <v>17.3</v>
      </c>
    </row>
    <row r="580" spans="1:6" x14ac:dyDescent="0.2">
      <c r="A580" t="str">
        <f>[1]!hospitalinfo[[#This Row],[Facility ID]]</f>
        <v>050740</v>
      </c>
      <c r="B580" t="str">
        <f>[1]!hospitalinfo[[#This Row],[State]]</f>
        <v>CA</v>
      </c>
      <c r="C580" t="str">
        <f>[1]!hospitalinfo[[#This Row],[Hospital Type]]</f>
        <v>Acute Care Hospitals</v>
      </c>
      <c r="D580" t="str">
        <f>[1]!hospitalinfo[[#This Row],[Hospital Ownership]]</f>
        <v>Proprietary</v>
      </c>
      <c r="E580" cm="1">
        <f t="array" ref="E580">_xlfn.IFNA(_xlfn.XLOOKUP(1,([1]!hcahps[Facility ID] = clean[[#This Row],[Facility ID]]) * ([1]!hcahps[HCAHPS Measure ID] = "H_HSP_RATING_LINEAR_SCORE"), [1]!hcahps[HCAHPS Linear Mean Value]), "No Match")</f>
        <v>82</v>
      </c>
      <c r="F580" cm="1">
        <f t="array" ref="F580">_xlfn.IFNA(_xlfn.XLOOKUP(1,([1]!readmissions[Facility ID] = clean[[#This Row],[Facility ID]]) * ([1]!readmissions[Measure ID] = "Hybrid_HWR"), [1]!readmissions[Score]), "No Match")</f>
        <v>15.1</v>
      </c>
    </row>
    <row r="581" spans="1:6" x14ac:dyDescent="0.2">
      <c r="A581" t="str">
        <f>[1]!hospitalinfo[[#This Row],[Facility ID]]</f>
        <v>050744</v>
      </c>
      <c r="B581" t="str">
        <f>[1]!hospitalinfo[[#This Row],[State]]</f>
        <v>CA</v>
      </c>
      <c r="C581" t="str">
        <f>[1]!hospitalinfo[[#This Row],[Hospital Type]]</f>
        <v>Acute Care Hospitals</v>
      </c>
      <c r="D581" t="str">
        <f>[1]!hospitalinfo[[#This Row],[Hospital Ownership]]</f>
        <v>Proprietary</v>
      </c>
      <c r="E581" t="str" cm="1">
        <f t="array" ref="E581">_xlfn.IFNA(_xlfn.XLOOKUP(1,([1]!hcahps[Facility ID] = clean[[#This Row],[Facility ID]]) * ([1]!hcahps[HCAHPS Measure ID] = "H_HSP_RATING_LINEAR_SCORE"), [1]!hcahps[HCAHPS Linear Mean Value]), "No Match")</f>
        <v>Not Available</v>
      </c>
      <c r="F581" cm="1">
        <f t="array" ref="F581">_xlfn.IFNA(_xlfn.XLOOKUP(1,([1]!readmissions[Facility ID] = clean[[#This Row],[Facility ID]]) * ([1]!readmissions[Measure ID] = "Hybrid_HWR"), [1]!readmissions[Score]), "No Match")</f>
        <v>14.7</v>
      </c>
    </row>
    <row r="582" spans="1:6" x14ac:dyDescent="0.2">
      <c r="A582" t="str">
        <f>[1]!hospitalinfo[[#This Row],[Facility ID]]</f>
        <v>050745</v>
      </c>
      <c r="B582" t="str">
        <f>[1]!hospitalinfo[[#This Row],[State]]</f>
        <v>CA</v>
      </c>
      <c r="C582" t="str">
        <f>[1]!hospitalinfo[[#This Row],[Hospital Type]]</f>
        <v>Acute Care Hospitals</v>
      </c>
      <c r="D582" t="str">
        <f>[1]!hospitalinfo[[#This Row],[Hospital Ownership]]</f>
        <v>Proprietary</v>
      </c>
      <c r="E582" t="str" cm="1">
        <f t="array" ref="E582">_xlfn.IFNA(_xlfn.XLOOKUP(1,([1]!hcahps[Facility ID] = clean[[#This Row],[Facility ID]]) * ([1]!hcahps[HCAHPS Measure ID] = "H_HSP_RATING_LINEAR_SCORE"), [1]!hcahps[HCAHPS Linear Mean Value]), "No Match")</f>
        <v>Not Available</v>
      </c>
      <c r="F582" cm="1">
        <f t="array" ref="F582">_xlfn.IFNA(_xlfn.XLOOKUP(1,([1]!readmissions[Facility ID] = clean[[#This Row],[Facility ID]]) * ([1]!readmissions[Measure ID] = "Hybrid_HWR"), [1]!readmissions[Score]), "No Match")</f>
        <v>15.2</v>
      </c>
    </row>
    <row r="583" spans="1:6" x14ac:dyDescent="0.2">
      <c r="A583" t="str">
        <f>[1]!hospitalinfo[[#This Row],[Facility ID]]</f>
        <v>050746</v>
      </c>
      <c r="B583" t="str">
        <f>[1]!hospitalinfo[[#This Row],[State]]</f>
        <v>CA</v>
      </c>
      <c r="C583" t="str">
        <f>[1]!hospitalinfo[[#This Row],[Hospital Type]]</f>
        <v>Acute Care Hospitals</v>
      </c>
      <c r="D583" t="str">
        <f>[1]!hospitalinfo[[#This Row],[Hospital Ownership]]</f>
        <v>Proprietary</v>
      </c>
      <c r="E583" cm="1">
        <f t="array" ref="E583">_xlfn.IFNA(_xlfn.XLOOKUP(1,([1]!hcahps[Facility ID] = clean[[#This Row],[Facility ID]]) * ([1]!hcahps[HCAHPS Measure ID] = "H_HSP_RATING_LINEAR_SCORE"), [1]!hcahps[HCAHPS Linear Mean Value]), "No Match")</f>
        <v>75</v>
      </c>
      <c r="F583" cm="1">
        <f t="array" ref="F583">_xlfn.IFNA(_xlfn.XLOOKUP(1,([1]!readmissions[Facility ID] = clean[[#This Row],[Facility ID]]) * ([1]!readmissions[Measure ID] = "Hybrid_HWR"), [1]!readmissions[Score]), "No Match")</f>
        <v>14.5</v>
      </c>
    </row>
    <row r="584" spans="1:6" x14ac:dyDescent="0.2">
      <c r="A584" t="str">
        <f>[1]!hospitalinfo[[#This Row],[Facility ID]]</f>
        <v>050747</v>
      </c>
      <c r="B584" t="str">
        <f>[1]!hospitalinfo[[#This Row],[State]]</f>
        <v>CA</v>
      </c>
      <c r="C584" t="str">
        <f>[1]!hospitalinfo[[#This Row],[Hospital Type]]</f>
        <v>Acute Care Hospitals</v>
      </c>
      <c r="D584" t="str">
        <f>[1]!hospitalinfo[[#This Row],[Hospital Ownership]]</f>
        <v>Proprietary</v>
      </c>
      <c r="E584" t="str" cm="1">
        <f t="array" ref="E584">_xlfn.IFNA(_xlfn.XLOOKUP(1,([1]!hcahps[Facility ID] = clean[[#This Row],[Facility ID]]) * ([1]!hcahps[HCAHPS Measure ID] = "H_HSP_RATING_LINEAR_SCORE"), [1]!hcahps[HCAHPS Linear Mean Value]), "No Match")</f>
        <v>Not Available</v>
      </c>
      <c r="F584" cm="1">
        <f t="array" ref="F584">_xlfn.IFNA(_xlfn.XLOOKUP(1,([1]!readmissions[Facility ID] = clean[[#This Row],[Facility ID]]) * ([1]!readmissions[Measure ID] = "Hybrid_HWR"), [1]!readmissions[Score]), "No Match")</f>
        <v>16.100000000000001</v>
      </c>
    </row>
    <row r="585" spans="1:6" x14ac:dyDescent="0.2">
      <c r="A585" t="str">
        <f>[1]!hospitalinfo[[#This Row],[Facility ID]]</f>
        <v>050748</v>
      </c>
      <c r="B585" t="str">
        <f>[1]!hospitalinfo[[#This Row],[State]]</f>
        <v>CA</v>
      </c>
      <c r="C585" t="str">
        <f>[1]!hospitalinfo[[#This Row],[Hospital Type]]</f>
        <v>Acute Care Hospitals</v>
      </c>
      <c r="D585" t="str">
        <f>[1]!hospitalinfo[[#This Row],[Hospital Ownership]]</f>
        <v>Voluntary non-profit - Private</v>
      </c>
      <c r="E585" cm="1">
        <f t="array" ref="E585">_xlfn.IFNA(_xlfn.XLOOKUP(1,([1]!hcahps[Facility ID] = clean[[#This Row],[Facility ID]]) * ([1]!hcahps[HCAHPS Measure ID] = "H_HSP_RATING_LINEAR_SCORE"), [1]!hcahps[HCAHPS Linear Mean Value]), "No Match")</f>
        <v>89</v>
      </c>
      <c r="F585" cm="1">
        <f t="array" ref="F585">_xlfn.IFNA(_xlfn.XLOOKUP(1,([1]!readmissions[Facility ID] = clean[[#This Row],[Facility ID]]) * ([1]!readmissions[Measure ID] = "Hybrid_HWR"), [1]!readmissions[Score]), "No Match")</f>
        <v>14.4</v>
      </c>
    </row>
    <row r="586" spans="1:6" x14ac:dyDescent="0.2">
      <c r="A586" t="str">
        <f>[1]!hospitalinfo[[#This Row],[Facility ID]]</f>
        <v>050755</v>
      </c>
      <c r="B586" t="str">
        <f>[1]!hospitalinfo[[#This Row],[State]]</f>
        <v>CA</v>
      </c>
      <c r="C586" t="str">
        <f>[1]!hospitalinfo[[#This Row],[Hospital Type]]</f>
        <v>Acute Care Hospitals</v>
      </c>
      <c r="D586" t="str">
        <f>[1]!hospitalinfo[[#This Row],[Hospital Ownership]]</f>
        <v>Voluntary non-profit - Private</v>
      </c>
      <c r="E586" cm="1">
        <f t="array" ref="E586">_xlfn.IFNA(_xlfn.XLOOKUP(1,([1]!hcahps[Facility ID] = clean[[#This Row],[Facility ID]]) * ([1]!hcahps[HCAHPS Measure ID] = "H_HSP_RATING_LINEAR_SCORE"), [1]!hcahps[HCAHPS Linear Mean Value]), "No Match")</f>
        <v>80</v>
      </c>
      <c r="F586" cm="1">
        <f t="array" ref="F586">_xlfn.IFNA(_xlfn.XLOOKUP(1,([1]!readmissions[Facility ID] = clean[[#This Row],[Facility ID]]) * ([1]!readmissions[Measure ID] = "Hybrid_HWR"), [1]!readmissions[Score]), "No Match")</f>
        <v>15.8</v>
      </c>
    </row>
    <row r="587" spans="1:6" x14ac:dyDescent="0.2">
      <c r="A587" t="str">
        <f>[1]!hospitalinfo[[#This Row],[Facility ID]]</f>
        <v>050758</v>
      </c>
      <c r="B587" t="str">
        <f>[1]!hospitalinfo[[#This Row],[State]]</f>
        <v>CA</v>
      </c>
      <c r="C587" t="str">
        <f>[1]!hospitalinfo[[#This Row],[Hospital Type]]</f>
        <v>Acute Care Hospitals</v>
      </c>
      <c r="D587" t="str">
        <f>[1]!hospitalinfo[[#This Row],[Hospital Ownership]]</f>
        <v>Voluntary non-profit - Private</v>
      </c>
      <c r="E587" cm="1">
        <f t="array" ref="E587">_xlfn.IFNA(_xlfn.XLOOKUP(1,([1]!hcahps[Facility ID] = clean[[#This Row],[Facility ID]]) * ([1]!hcahps[HCAHPS Measure ID] = "H_HSP_RATING_LINEAR_SCORE"), [1]!hcahps[HCAHPS Linear Mean Value]), "No Match")</f>
        <v>83</v>
      </c>
      <c r="F587" cm="1">
        <f t="array" ref="F587">_xlfn.IFNA(_xlfn.XLOOKUP(1,([1]!readmissions[Facility ID] = clean[[#This Row],[Facility ID]]) * ([1]!readmissions[Measure ID] = "Hybrid_HWR"), [1]!readmissions[Score]), "No Match")</f>
        <v>15.3</v>
      </c>
    </row>
    <row r="588" spans="1:6" x14ac:dyDescent="0.2">
      <c r="A588" t="str">
        <f>[1]!hospitalinfo[[#This Row],[Facility ID]]</f>
        <v>050760</v>
      </c>
      <c r="B588" t="str">
        <f>[1]!hospitalinfo[[#This Row],[State]]</f>
        <v>CA</v>
      </c>
      <c r="C588" t="str">
        <f>[1]!hospitalinfo[[#This Row],[Hospital Type]]</f>
        <v>Acute Care Hospitals</v>
      </c>
      <c r="D588" t="str">
        <f>[1]!hospitalinfo[[#This Row],[Hospital Ownership]]</f>
        <v>Voluntary non-profit - Private</v>
      </c>
      <c r="E588" cm="1">
        <f t="array" ref="E588">_xlfn.IFNA(_xlfn.XLOOKUP(1,([1]!hcahps[Facility ID] = clean[[#This Row],[Facility ID]]) * ([1]!hcahps[HCAHPS Measure ID] = "H_HSP_RATING_LINEAR_SCORE"), [1]!hcahps[HCAHPS Linear Mean Value]), "No Match")</f>
        <v>88</v>
      </c>
      <c r="F588" cm="1">
        <f t="array" ref="F588">_xlfn.IFNA(_xlfn.XLOOKUP(1,([1]!readmissions[Facility ID] = clean[[#This Row],[Facility ID]]) * ([1]!readmissions[Measure ID] = "Hybrid_HWR"), [1]!readmissions[Score]), "No Match")</f>
        <v>15.5</v>
      </c>
    </row>
    <row r="589" spans="1:6" x14ac:dyDescent="0.2">
      <c r="A589" t="str">
        <f>[1]!hospitalinfo[[#This Row],[Facility ID]]</f>
        <v>050761</v>
      </c>
      <c r="B589" t="str">
        <f>[1]!hospitalinfo[[#This Row],[State]]</f>
        <v>CA</v>
      </c>
      <c r="C589" t="str">
        <f>[1]!hospitalinfo[[#This Row],[Hospital Type]]</f>
        <v>Acute Care Hospitals</v>
      </c>
      <c r="D589" t="str">
        <f>[1]!hospitalinfo[[#This Row],[Hospital Ownership]]</f>
        <v>Voluntary non-profit - Private</v>
      </c>
      <c r="E589" cm="1">
        <f t="array" ref="E589">_xlfn.IFNA(_xlfn.XLOOKUP(1,([1]!hcahps[Facility ID] = clean[[#This Row],[Facility ID]]) * ([1]!hcahps[HCAHPS Measure ID] = "H_HSP_RATING_LINEAR_SCORE"), [1]!hcahps[HCAHPS Linear Mean Value]), "No Match")</f>
        <v>89</v>
      </c>
      <c r="F589" cm="1">
        <f t="array" ref="F589">_xlfn.IFNA(_xlfn.XLOOKUP(1,([1]!readmissions[Facility ID] = clean[[#This Row],[Facility ID]]) * ([1]!readmissions[Measure ID] = "Hybrid_HWR"), [1]!readmissions[Score]), "No Match")</f>
        <v>15.7</v>
      </c>
    </row>
    <row r="590" spans="1:6" x14ac:dyDescent="0.2">
      <c r="A590" t="str">
        <f>[1]!hospitalinfo[[#This Row],[Facility ID]]</f>
        <v>050763</v>
      </c>
      <c r="B590" t="str">
        <f>[1]!hospitalinfo[[#This Row],[State]]</f>
        <v>CA</v>
      </c>
      <c r="C590" t="str">
        <f>[1]!hospitalinfo[[#This Row],[Hospital Type]]</f>
        <v>Acute Care Hospitals</v>
      </c>
      <c r="D590" t="str">
        <f>[1]!hospitalinfo[[#This Row],[Hospital Ownership]]</f>
        <v>Proprietary</v>
      </c>
      <c r="E590" t="str" cm="1">
        <f t="array" ref="E590">_xlfn.IFNA(_xlfn.XLOOKUP(1,([1]!hcahps[Facility ID] = clean[[#This Row],[Facility ID]]) * ([1]!hcahps[HCAHPS Measure ID] = "H_HSP_RATING_LINEAR_SCORE"), [1]!hcahps[HCAHPS Linear Mean Value]), "No Match")</f>
        <v>Not Available</v>
      </c>
      <c r="F590" cm="1">
        <f t="array" ref="F590">_xlfn.IFNA(_xlfn.XLOOKUP(1,([1]!readmissions[Facility ID] = clean[[#This Row],[Facility ID]]) * ([1]!readmissions[Measure ID] = "Hybrid_HWR"), [1]!readmissions[Score]), "No Match")</f>
        <v>19.100000000000001</v>
      </c>
    </row>
    <row r="591" spans="1:6" x14ac:dyDescent="0.2">
      <c r="A591" t="str">
        <f>[1]!hospitalinfo[[#This Row],[Facility ID]]</f>
        <v>050764</v>
      </c>
      <c r="B591" t="str">
        <f>[1]!hospitalinfo[[#This Row],[State]]</f>
        <v>CA</v>
      </c>
      <c r="C591" t="str">
        <f>[1]!hospitalinfo[[#This Row],[Hospital Type]]</f>
        <v>Acute Care Hospitals</v>
      </c>
      <c r="D591" t="str">
        <f>[1]!hospitalinfo[[#This Row],[Hospital Ownership]]</f>
        <v>Proprietary</v>
      </c>
      <c r="E591" cm="1">
        <f t="array" ref="E591">_xlfn.IFNA(_xlfn.XLOOKUP(1,([1]!hcahps[Facility ID] = clean[[#This Row],[Facility ID]]) * ([1]!hcahps[HCAHPS Measure ID] = "H_HSP_RATING_LINEAR_SCORE"), [1]!hcahps[HCAHPS Linear Mean Value]), "No Match")</f>
        <v>82</v>
      </c>
      <c r="F591" cm="1">
        <f t="array" ref="F591">_xlfn.IFNA(_xlfn.XLOOKUP(1,([1]!readmissions[Facility ID] = clean[[#This Row],[Facility ID]]) * ([1]!readmissions[Measure ID] = "Hybrid_HWR"), [1]!readmissions[Score]), "No Match")</f>
        <v>15.9</v>
      </c>
    </row>
    <row r="592" spans="1:6" x14ac:dyDescent="0.2">
      <c r="A592" t="str">
        <f>[1]!hospitalinfo[[#This Row],[Facility ID]]</f>
        <v>050765</v>
      </c>
      <c r="B592" t="str">
        <f>[1]!hospitalinfo[[#This Row],[State]]</f>
        <v>CA</v>
      </c>
      <c r="C592" t="str">
        <f>[1]!hospitalinfo[[#This Row],[Hospital Type]]</f>
        <v>Acute Care Hospitals</v>
      </c>
      <c r="D592" t="str">
        <f>[1]!hospitalinfo[[#This Row],[Hospital Ownership]]</f>
        <v>Voluntary non-profit - Private</v>
      </c>
      <c r="E592" cm="1">
        <f t="array" ref="E592">_xlfn.IFNA(_xlfn.XLOOKUP(1,([1]!hcahps[Facility ID] = clean[[#This Row],[Facility ID]]) * ([1]!hcahps[HCAHPS Measure ID] = "H_HSP_RATING_LINEAR_SCORE"), [1]!hcahps[HCAHPS Linear Mean Value]), "No Match")</f>
        <v>88</v>
      </c>
      <c r="F592" cm="1">
        <f t="array" ref="F592">_xlfn.IFNA(_xlfn.XLOOKUP(1,([1]!readmissions[Facility ID] = clean[[#This Row],[Facility ID]]) * ([1]!readmissions[Measure ID] = "Hybrid_HWR"), [1]!readmissions[Score]), "No Match")</f>
        <v>14.9</v>
      </c>
    </row>
    <row r="593" spans="1:6" x14ac:dyDescent="0.2">
      <c r="A593" t="str">
        <f>[1]!hospitalinfo[[#This Row],[Facility ID]]</f>
        <v>050766</v>
      </c>
      <c r="B593" t="str">
        <f>[1]!hospitalinfo[[#This Row],[State]]</f>
        <v>CA</v>
      </c>
      <c r="C593" t="str">
        <f>[1]!hospitalinfo[[#This Row],[Hospital Type]]</f>
        <v>Acute Care Hospitals</v>
      </c>
      <c r="D593" t="str">
        <f>[1]!hospitalinfo[[#This Row],[Hospital Ownership]]</f>
        <v>Physician</v>
      </c>
      <c r="E593" t="str" cm="1">
        <f t="array" ref="E593">_xlfn.IFNA(_xlfn.XLOOKUP(1,([1]!hcahps[Facility ID] = clean[[#This Row],[Facility ID]]) * ([1]!hcahps[HCAHPS Measure ID] = "H_HSP_RATING_LINEAR_SCORE"), [1]!hcahps[HCAHPS Linear Mean Value]), "No Match")</f>
        <v>Not Available</v>
      </c>
      <c r="F593" cm="1">
        <f t="array" ref="F593">_xlfn.IFNA(_xlfn.XLOOKUP(1,([1]!readmissions[Facility ID] = clean[[#This Row],[Facility ID]]) * ([1]!readmissions[Measure ID] = "Hybrid_HWR"), [1]!readmissions[Score]), "No Match")</f>
        <v>14.6</v>
      </c>
    </row>
    <row r="594" spans="1:6" x14ac:dyDescent="0.2">
      <c r="A594" t="str">
        <f>[1]!hospitalinfo[[#This Row],[Facility ID]]</f>
        <v>050767</v>
      </c>
      <c r="B594" t="str">
        <f>[1]!hospitalinfo[[#This Row],[State]]</f>
        <v>CA</v>
      </c>
      <c r="C594" t="str">
        <f>[1]!hospitalinfo[[#This Row],[Hospital Type]]</f>
        <v>Acute Care Hospitals</v>
      </c>
      <c r="D594" t="str">
        <f>[1]!hospitalinfo[[#This Row],[Hospital Ownership]]</f>
        <v>Voluntary non-profit - Private</v>
      </c>
      <c r="E594" cm="1">
        <f t="array" ref="E594">_xlfn.IFNA(_xlfn.XLOOKUP(1,([1]!hcahps[Facility ID] = clean[[#This Row],[Facility ID]]) * ([1]!hcahps[HCAHPS Measure ID] = "H_HSP_RATING_LINEAR_SCORE"), [1]!hcahps[HCAHPS Linear Mean Value]), "No Match")</f>
        <v>89</v>
      </c>
      <c r="F594" cm="1">
        <f t="array" ref="F594">_xlfn.IFNA(_xlfn.XLOOKUP(1,([1]!readmissions[Facility ID] = clean[[#This Row],[Facility ID]]) * ([1]!readmissions[Measure ID] = "Hybrid_HWR"), [1]!readmissions[Score]), "No Match")</f>
        <v>15</v>
      </c>
    </row>
    <row r="595" spans="1:6" x14ac:dyDescent="0.2">
      <c r="A595" t="str">
        <f>[1]!hospitalinfo[[#This Row],[Facility ID]]</f>
        <v>050769</v>
      </c>
      <c r="B595" t="str">
        <f>[1]!hospitalinfo[[#This Row],[State]]</f>
        <v>CA</v>
      </c>
      <c r="C595" t="str">
        <f>[1]!hospitalinfo[[#This Row],[Hospital Type]]</f>
        <v>Acute Care Hospitals</v>
      </c>
      <c r="D595" t="str">
        <f>[1]!hospitalinfo[[#This Row],[Hospital Ownership]]</f>
        <v>Proprietary</v>
      </c>
      <c r="E595" cm="1">
        <f t="array" ref="E595">_xlfn.IFNA(_xlfn.XLOOKUP(1,([1]!hcahps[Facility ID] = clean[[#This Row],[Facility ID]]) * ([1]!hcahps[HCAHPS Measure ID] = "H_HSP_RATING_LINEAR_SCORE"), [1]!hcahps[HCAHPS Linear Mean Value]), "No Match")</f>
        <v>93</v>
      </c>
      <c r="F595" cm="1">
        <f t="array" ref="F595">_xlfn.IFNA(_xlfn.XLOOKUP(1,([1]!readmissions[Facility ID] = clean[[#This Row],[Facility ID]]) * ([1]!readmissions[Measure ID] = "Hybrid_HWR"), [1]!readmissions[Score]), "No Match")</f>
        <v>12.8</v>
      </c>
    </row>
    <row r="596" spans="1:6" x14ac:dyDescent="0.2">
      <c r="A596" t="str">
        <f>[1]!hospitalinfo[[#This Row],[Facility ID]]</f>
        <v>050770</v>
      </c>
      <c r="B596" t="str">
        <f>[1]!hospitalinfo[[#This Row],[State]]</f>
        <v>CA</v>
      </c>
      <c r="C596" t="str">
        <f>[1]!hospitalinfo[[#This Row],[Hospital Type]]</f>
        <v>Acute Care Hospitals</v>
      </c>
      <c r="D596" t="str">
        <f>[1]!hospitalinfo[[#This Row],[Hospital Ownership]]</f>
        <v>Voluntary non-profit - Private</v>
      </c>
      <c r="E596" cm="1">
        <f t="array" ref="E596">_xlfn.IFNA(_xlfn.XLOOKUP(1,([1]!hcahps[Facility ID] = clean[[#This Row],[Facility ID]]) * ([1]!hcahps[HCAHPS Measure ID] = "H_HSP_RATING_LINEAR_SCORE"), [1]!hcahps[HCAHPS Linear Mean Value]), "No Match")</f>
        <v>85</v>
      </c>
      <c r="F596" cm="1">
        <f t="array" ref="F596">_xlfn.IFNA(_xlfn.XLOOKUP(1,([1]!readmissions[Facility ID] = clean[[#This Row],[Facility ID]]) * ([1]!readmissions[Measure ID] = "Hybrid_HWR"), [1]!readmissions[Score]), "No Match")</f>
        <v>16.399999999999999</v>
      </c>
    </row>
    <row r="597" spans="1:6" x14ac:dyDescent="0.2">
      <c r="A597" t="str">
        <f>[1]!hospitalinfo[[#This Row],[Facility ID]]</f>
        <v>050771</v>
      </c>
      <c r="B597" t="str">
        <f>[1]!hospitalinfo[[#This Row],[State]]</f>
        <v>CA</v>
      </c>
      <c r="C597" t="str">
        <f>[1]!hospitalinfo[[#This Row],[Hospital Type]]</f>
        <v>Acute Care Hospitals</v>
      </c>
      <c r="D597" t="str">
        <f>[1]!hospitalinfo[[#This Row],[Hospital Ownership]]</f>
        <v>Proprietary</v>
      </c>
      <c r="E597" cm="1">
        <f t="array" ref="E597">_xlfn.IFNA(_xlfn.XLOOKUP(1,([1]!hcahps[Facility ID] = clean[[#This Row],[Facility ID]]) * ([1]!hcahps[HCAHPS Measure ID] = "H_HSP_RATING_LINEAR_SCORE"), [1]!hcahps[HCAHPS Linear Mean Value]), "No Match")</f>
        <v>66</v>
      </c>
      <c r="F597" cm="1">
        <f t="array" ref="F597">_xlfn.IFNA(_xlfn.XLOOKUP(1,([1]!readmissions[Facility ID] = clean[[#This Row],[Facility ID]]) * ([1]!readmissions[Measure ID] = "Hybrid_HWR"), [1]!readmissions[Score]), "No Match")</f>
        <v>15.2</v>
      </c>
    </row>
    <row r="598" spans="1:6" x14ac:dyDescent="0.2">
      <c r="A598" t="str">
        <f>[1]!hospitalinfo[[#This Row],[Facility ID]]</f>
        <v>050772</v>
      </c>
      <c r="B598" t="str">
        <f>[1]!hospitalinfo[[#This Row],[State]]</f>
        <v>CA</v>
      </c>
      <c r="C598" t="str">
        <f>[1]!hospitalinfo[[#This Row],[Hospital Type]]</f>
        <v>Acute Care Hospitals</v>
      </c>
      <c r="D598" t="str">
        <f>[1]!hospitalinfo[[#This Row],[Hospital Ownership]]</f>
        <v>Voluntary non-profit - Private</v>
      </c>
      <c r="E598" cm="1">
        <f t="array" ref="E598">_xlfn.IFNA(_xlfn.XLOOKUP(1,([1]!hcahps[Facility ID] = clean[[#This Row],[Facility ID]]) * ([1]!hcahps[HCAHPS Measure ID] = "H_HSP_RATING_LINEAR_SCORE"), [1]!hcahps[HCAHPS Linear Mean Value]), "No Match")</f>
        <v>86</v>
      </c>
      <c r="F598" cm="1">
        <f t="array" ref="F598">_xlfn.IFNA(_xlfn.XLOOKUP(1,([1]!readmissions[Facility ID] = clean[[#This Row],[Facility ID]]) * ([1]!readmissions[Measure ID] = "Hybrid_HWR"), [1]!readmissions[Score]), "No Match")</f>
        <v>14.7</v>
      </c>
    </row>
    <row r="599" spans="1:6" x14ac:dyDescent="0.2">
      <c r="A599" t="str">
        <f>[1]!hospitalinfo[[#This Row],[Facility ID]]</f>
        <v>050775</v>
      </c>
      <c r="B599" t="str">
        <f>[1]!hospitalinfo[[#This Row],[State]]</f>
        <v>CA</v>
      </c>
      <c r="C599" t="str">
        <f>[1]!hospitalinfo[[#This Row],[Hospital Type]]</f>
        <v>Acute Care Hospitals</v>
      </c>
      <c r="D599" t="str">
        <f>[1]!hospitalinfo[[#This Row],[Hospital Ownership]]</f>
        <v>Proprietary</v>
      </c>
      <c r="E599" cm="1">
        <f t="array" ref="E599">_xlfn.IFNA(_xlfn.XLOOKUP(1,([1]!hcahps[Facility ID] = clean[[#This Row],[Facility ID]]) * ([1]!hcahps[HCAHPS Measure ID] = "H_HSP_RATING_LINEAR_SCORE"), [1]!hcahps[HCAHPS Linear Mean Value]), "No Match")</f>
        <v>88</v>
      </c>
      <c r="F599" cm="1">
        <f t="array" ref="F599">_xlfn.IFNA(_xlfn.XLOOKUP(1,([1]!readmissions[Facility ID] = clean[[#This Row],[Facility ID]]) * ([1]!readmissions[Measure ID] = "Hybrid_HWR"), [1]!readmissions[Score]), "No Match")</f>
        <v>15.3</v>
      </c>
    </row>
    <row r="600" spans="1:6" x14ac:dyDescent="0.2">
      <c r="A600" t="str">
        <f>[1]!hospitalinfo[[#This Row],[Facility ID]]</f>
        <v>050776</v>
      </c>
      <c r="B600" t="str">
        <f>[1]!hospitalinfo[[#This Row],[State]]</f>
        <v>CA</v>
      </c>
      <c r="C600" t="str">
        <f>[1]!hospitalinfo[[#This Row],[Hospital Type]]</f>
        <v>Acute Care Hospitals</v>
      </c>
      <c r="D600" t="str">
        <f>[1]!hospitalinfo[[#This Row],[Hospital Ownership]]</f>
        <v>Proprietary</v>
      </c>
      <c r="E600" t="str" cm="1">
        <f t="array" ref="E600">_xlfn.IFNA(_xlfn.XLOOKUP(1,([1]!hcahps[Facility ID] = clean[[#This Row],[Facility ID]]) * ([1]!hcahps[HCAHPS Measure ID] = "H_HSP_RATING_LINEAR_SCORE"), [1]!hcahps[HCAHPS Linear Mean Value]), "No Match")</f>
        <v>Not Available</v>
      </c>
      <c r="F600" cm="1">
        <f t="array" ref="F600">_xlfn.IFNA(_xlfn.XLOOKUP(1,([1]!readmissions[Facility ID] = clean[[#This Row],[Facility ID]]) * ([1]!readmissions[Measure ID] = "Hybrid_HWR"), [1]!readmissions[Score]), "No Match")</f>
        <v>15.2</v>
      </c>
    </row>
    <row r="601" spans="1:6" x14ac:dyDescent="0.2">
      <c r="A601" t="str">
        <f>[1]!hospitalinfo[[#This Row],[Facility ID]]</f>
        <v>050777</v>
      </c>
      <c r="B601" t="str">
        <f>[1]!hospitalinfo[[#This Row],[State]]</f>
        <v>CA</v>
      </c>
      <c r="C601" t="str">
        <f>[1]!hospitalinfo[[#This Row],[Hospital Type]]</f>
        <v>Acute Care Hospitals</v>
      </c>
      <c r="D601" t="str">
        <f>[1]!hospitalinfo[[#This Row],[Hospital Ownership]]</f>
        <v>Voluntary non-profit - Private</v>
      </c>
      <c r="E601" cm="1">
        <f t="array" ref="E601">_xlfn.IFNA(_xlfn.XLOOKUP(1,([1]!hcahps[Facility ID] = clean[[#This Row],[Facility ID]]) * ([1]!hcahps[HCAHPS Measure ID] = "H_HSP_RATING_LINEAR_SCORE"), [1]!hcahps[HCAHPS Linear Mean Value]), "No Match")</f>
        <v>89</v>
      </c>
      <c r="F601" cm="1">
        <f t="array" ref="F601">_xlfn.IFNA(_xlfn.XLOOKUP(1,([1]!readmissions[Facility ID] = clean[[#This Row],[Facility ID]]) * ([1]!readmissions[Measure ID] = "Hybrid_HWR"), [1]!readmissions[Score]), "No Match")</f>
        <v>15.3</v>
      </c>
    </row>
    <row r="602" spans="1:6" x14ac:dyDescent="0.2">
      <c r="A602" t="str">
        <f>[1]!hospitalinfo[[#This Row],[Facility ID]]</f>
        <v>050778</v>
      </c>
      <c r="B602" t="str">
        <f>[1]!hospitalinfo[[#This Row],[State]]</f>
        <v>CA</v>
      </c>
      <c r="C602" t="str">
        <f>[1]!hospitalinfo[[#This Row],[Hospital Type]]</f>
        <v>Acute Care Hospitals</v>
      </c>
      <c r="D602" t="str">
        <f>[1]!hospitalinfo[[#This Row],[Hospital Ownership]]</f>
        <v>Voluntary non-profit - Church</v>
      </c>
      <c r="E602" cm="1">
        <f t="array" ref="E602">_xlfn.IFNA(_xlfn.XLOOKUP(1,([1]!hcahps[Facility ID] = clean[[#This Row],[Facility ID]]) * ([1]!hcahps[HCAHPS Measure ID] = "H_HSP_RATING_LINEAR_SCORE"), [1]!hcahps[HCAHPS Linear Mean Value]), "No Match")</f>
        <v>91</v>
      </c>
      <c r="F602" t="str" cm="1">
        <f t="array" ref="F602">_xlfn.IFNA(_xlfn.XLOOKUP(1,([1]!readmissions[Facility ID] = clean[[#This Row],[Facility ID]]) * ([1]!readmissions[Measure ID] = "Hybrid_HWR"), [1]!readmissions[Score]), "No Match")</f>
        <v>Not Available</v>
      </c>
    </row>
    <row r="603" spans="1:6" x14ac:dyDescent="0.2">
      <c r="A603" t="str">
        <f>[1]!hospitalinfo[[#This Row],[Facility ID]]</f>
        <v>050779</v>
      </c>
      <c r="B603" t="str">
        <f>[1]!hospitalinfo[[#This Row],[State]]</f>
        <v>CA</v>
      </c>
      <c r="C603" t="str">
        <f>[1]!hospitalinfo[[#This Row],[Hospital Type]]</f>
        <v>Acute Care Hospitals</v>
      </c>
      <c r="D603" t="str">
        <f>[1]!hospitalinfo[[#This Row],[Hospital Ownership]]</f>
        <v>Voluntary non-profit - Private</v>
      </c>
      <c r="E603" cm="1">
        <f t="array" ref="E603">_xlfn.IFNA(_xlfn.XLOOKUP(1,([1]!hcahps[Facility ID] = clean[[#This Row],[Facility ID]]) * ([1]!hcahps[HCAHPS Measure ID] = "H_HSP_RATING_LINEAR_SCORE"), [1]!hcahps[HCAHPS Linear Mean Value]), "No Match")</f>
        <v>86</v>
      </c>
      <c r="F603" cm="1">
        <f t="array" ref="F603">_xlfn.IFNA(_xlfn.XLOOKUP(1,([1]!readmissions[Facility ID] = clean[[#This Row],[Facility ID]]) * ([1]!readmissions[Measure ID] = "Hybrid_HWR"), [1]!readmissions[Score]), "No Match")</f>
        <v>14.9</v>
      </c>
    </row>
    <row r="604" spans="1:6" x14ac:dyDescent="0.2">
      <c r="A604" t="str">
        <f>[1]!hospitalinfo[[#This Row],[Facility ID]]</f>
        <v>050780</v>
      </c>
      <c r="B604" t="str">
        <f>[1]!hospitalinfo[[#This Row],[State]]</f>
        <v>CA</v>
      </c>
      <c r="C604" t="str">
        <f>[1]!hospitalinfo[[#This Row],[Hospital Type]]</f>
        <v>Acute Care Hospitals</v>
      </c>
      <c r="D604" t="str">
        <f>[1]!hospitalinfo[[#This Row],[Hospital Ownership]]</f>
        <v>Proprietary</v>
      </c>
      <c r="E604" cm="1">
        <f t="array" ref="E604">_xlfn.IFNA(_xlfn.XLOOKUP(1,([1]!hcahps[Facility ID] = clean[[#This Row],[Facility ID]]) * ([1]!hcahps[HCAHPS Measure ID] = "H_HSP_RATING_LINEAR_SCORE"), [1]!hcahps[HCAHPS Linear Mean Value]), "No Match")</f>
        <v>78</v>
      </c>
      <c r="F604" cm="1">
        <f t="array" ref="F604">_xlfn.IFNA(_xlfn.XLOOKUP(1,([1]!readmissions[Facility ID] = clean[[#This Row],[Facility ID]]) * ([1]!readmissions[Measure ID] = "Hybrid_HWR"), [1]!readmissions[Score]), "No Match")</f>
        <v>14.9</v>
      </c>
    </row>
    <row r="605" spans="1:6" x14ac:dyDescent="0.2">
      <c r="A605" t="str">
        <f>[1]!hospitalinfo[[#This Row],[Facility ID]]</f>
        <v>050782</v>
      </c>
      <c r="B605" t="str">
        <f>[1]!hospitalinfo[[#This Row],[State]]</f>
        <v>CA</v>
      </c>
      <c r="C605" t="str">
        <f>[1]!hospitalinfo[[#This Row],[Hospital Type]]</f>
        <v>Acute Care Hospitals</v>
      </c>
      <c r="D605" t="str">
        <f>[1]!hospitalinfo[[#This Row],[Hospital Ownership]]</f>
        <v>Voluntary non-profit - Private</v>
      </c>
      <c r="E605" t="str" cm="1">
        <f t="array" ref="E605">_xlfn.IFNA(_xlfn.XLOOKUP(1,([1]!hcahps[Facility ID] = clean[[#This Row],[Facility ID]]) * ([1]!hcahps[HCAHPS Measure ID] = "H_HSP_RATING_LINEAR_SCORE"), [1]!hcahps[HCAHPS Linear Mean Value]), "No Match")</f>
        <v>Not Available</v>
      </c>
      <c r="F605" cm="1">
        <f t="array" ref="F605">_xlfn.IFNA(_xlfn.XLOOKUP(1,([1]!readmissions[Facility ID] = clean[[#This Row],[Facility ID]]) * ([1]!readmissions[Measure ID] = "Hybrid_HWR"), [1]!readmissions[Score]), "No Match")</f>
        <v>15</v>
      </c>
    </row>
    <row r="606" spans="1:6" x14ac:dyDescent="0.2">
      <c r="A606" t="str">
        <f>[1]!hospitalinfo[[#This Row],[Facility ID]]</f>
        <v>050783</v>
      </c>
      <c r="B606" t="str">
        <f>[1]!hospitalinfo[[#This Row],[State]]</f>
        <v>CA</v>
      </c>
      <c r="C606" t="str">
        <f>[1]!hospitalinfo[[#This Row],[Hospital Type]]</f>
        <v>Acute Care Hospitals</v>
      </c>
      <c r="D606" t="str">
        <f>[1]!hospitalinfo[[#This Row],[Hospital Ownership]]</f>
        <v>Proprietary</v>
      </c>
      <c r="E606" t="str" cm="1">
        <f t="array" ref="E606">_xlfn.IFNA(_xlfn.XLOOKUP(1,([1]!hcahps[Facility ID] = clean[[#This Row],[Facility ID]]) * ([1]!hcahps[HCAHPS Measure ID] = "H_HSP_RATING_LINEAR_SCORE"), [1]!hcahps[HCAHPS Linear Mean Value]), "No Match")</f>
        <v>Not Available</v>
      </c>
      <c r="F606" cm="1">
        <f t="array" ref="F606">_xlfn.IFNA(_xlfn.XLOOKUP(1,([1]!readmissions[Facility ID] = clean[[#This Row],[Facility ID]]) * ([1]!readmissions[Measure ID] = "Hybrid_HWR"), [1]!readmissions[Score]), "No Match")</f>
        <v>14</v>
      </c>
    </row>
    <row r="607" spans="1:6" x14ac:dyDescent="0.2">
      <c r="A607" t="str">
        <f>[1]!hospitalinfo[[#This Row],[Facility ID]]</f>
        <v>050784</v>
      </c>
      <c r="B607" t="str">
        <f>[1]!hospitalinfo[[#This Row],[State]]</f>
        <v>CA</v>
      </c>
      <c r="C607" t="str">
        <f>[1]!hospitalinfo[[#This Row],[Hospital Type]]</f>
        <v>Acute Care Hospitals</v>
      </c>
      <c r="D607" t="str">
        <f>[1]!hospitalinfo[[#This Row],[Hospital Ownership]]</f>
        <v>Voluntary non-profit - Private</v>
      </c>
      <c r="E607" cm="1">
        <f t="array" ref="E607">_xlfn.IFNA(_xlfn.XLOOKUP(1,([1]!hcahps[Facility ID] = clean[[#This Row],[Facility ID]]) * ([1]!hcahps[HCAHPS Measure ID] = "H_HSP_RATING_LINEAR_SCORE"), [1]!hcahps[HCAHPS Linear Mean Value]), "No Match")</f>
        <v>85</v>
      </c>
      <c r="F607" cm="1">
        <f t="array" ref="F607">_xlfn.IFNA(_xlfn.XLOOKUP(1,([1]!readmissions[Facility ID] = clean[[#This Row],[Facility ID]]) * ([1]!readmissions[Measure ID] = "Hybrid_HWR"), [1]!readmissions[Score]), "No Match")</f>
        <v>15</v>
      </c>
    </row>
    <row r="608" spans="1:6" x14ac:dyDescent="0.2">
      <c r="A608" t="str">
        <f>[1]!hospitalinfo[[#This Row],[Facility ID]]</f>
        <v>050785</v>
      </c>
      <c r="B608" t="str">
        <f>[1]!hospitalinfo[[#This Row],[State]]</f>
        <v>CA</v>
      </c>
      <c r="C608" t="str">
        <f>[1]!hospitalinfo[[#This Row],[Hospital Type]]</f>
        <v>Acute Care Hospitals</v>
      </c>
      <c r="D608" t="str">
        <f>[1]!hospitalinfo[[#This Row],[Hospital Ownership]]</f>
        <v>Physician</v>
      </c>
      <c r="E608" t="str" cm="1">
        <f t="array" ref="E608">_xlfn.IFNA(_xlfn.XLOOKUP(1,([1]!hcahps[Facility ID] = clean[[#This Row],[Facility ID]]) * ([1]!hcahps[HCAHPS Measure ID] = "H_HSP_RATING_LINEAR_SCORE"), [1]!hcahps[HCAHPS Linear Mean Value]), "No Match")</f>
        <v>Not Available</v>
      </c>
      <c r="F608" cm="1">
        <f t="array" ref="F608">_xlfn.IFNA(_xlfn.XLOOKUP(1,([1]!readmissions[Facility ID] = clean[[#This Row],[Facility ID]]) * ([1]!readmissions[Measure ID] = "Hybrid_HWR"), [1]!readmissions[Score]), "No Match")</f>
        <v>14.5</v>
      </c>
    </row>
    <row r="609" spans="1:6" x14ac:dyDescent="0.2">
      <c r="A609" t="str">
        <f>[1]!hospitalinfo[[#This Row],[Facility ID]]</f>
        <v>050854</v>
      </c>
      <c r="B609" t="str">
        <f>[1]!hospitalinfo[[#This Row],[State]]</f>
        <v>CA</v>
      </c>
      <c r="C609" t="str">
        <f>[1]!hospitalinfo[[#This Row],[Hospital Type]]</f>
        <v>Acute Care Hospitals</v>
      </c>
      <c r="D609" t="str">
        <f>[1]!hospitalinfo[[#This Row],[Hospital Ownership]]</f>
        <v>Proprietary</v>
      </c>
      <c r="E609" t="str" cm="1">
        <f t="array" ref="E609">_xlfn.IFNA(_xlfn.XLOOKUP(1,([1]!hcahps[Facility ID] = clean[[#This Row],[Facility ID]]) * ([1]!hcahps[HCAHPS Measure ID] = "H_HSP_RATING_LINEAR_SCORE"), [1]!hcahps[HCAHPS Linear Mean Value]), "No Match")</f>
        <v>Not Available</v>
      </c>
      <c r="F609" t="str" cm="1">
        <f t="array" ref="F609">_xlfn.IFNA(_xlfn.XLOOKUP(1,([1]!readmissions[Facility ID] = clean[[#This Row],[Facility ID]]) * ([1]!readmissions[Measure ID] = "Hybrid_HWR"), [1]!readmissions[Score]), "No Match")</f>
        <v>Not Available</v>
      </c>
    </row>
    <row r="610" spans="1:6" x14ac:dyDescent="0.2">
      <c r="A610" t="str">
        <f>[1]!hospitalinfo[[#This Row],[Facility ID]]</f>
        <v>050855</v>
      </c>
      <c r="B610" t="str">
        <f>[1]!hospitalinfo[[#This Row],[State]]</f>
        <v>CA</v>
      </c>
      <c r="C610" t="str">
        <f>[1]!hospitalinfo[[#This Row],[Hospital Type]]</f>
        <v>Acute Care Hospitals</v>
      </c>
      <c r="D610" t="str">
        <f>[1]!hospitalinfo[[#This Row],[Hospital Ownership]]</f>
        <v>Voluntary non-profit - Private</v>
      </c>
      <c r="E610" cm="1">
        <f t="array" ref="E610">_xlfn.IFNA(_xlfn.XLOOKUP(1,([1]!hcahps[Facility ID] = clean[[#This Row],[Facility ID]]) * ([1]!hcahps[HCAHPS Measure ID] = "H_HSP_RATING_LINEAR_SCORE"), [1]!hcahps[HCAHPS Linear Mean Value]), "No Match")</f>
        <v>94</v>
      </c>
      <c r="F610" cm="1">
        <f t="array" ref="F610">_xlfn.IFNA(_xlfn.XLOOKUP(1,([1]!readmissions[Facility ID] = clean[[#This Row],[Facility ID]]) * ([1]!readmissions[Measure ID] = "Hybrid_HWR"), [1]!readmissions[Score]), "No Match")</f>
        <v>15.2</v>
      </c>
    </row>
    <row r="611" spans="1:6" x14ac:dyDescent="0.2">
      <c r="A611" t="str">
        <f>[1]!hospitalinfo[[#This Row],[Facility ID]]</f>
        <v>050856</v>
      </c>
      <c r="B611" t="str">
        <f>[1]!hospitalinfo[[#This Row],[State]]</f>
        <v>CA</v>
      </c>
      <c r="C611" t="str">
        <f>[1]!hospitalinfo[[#This Row],[Hospital Type]]</f>
        <v>Acute Care Hospitals</v>
      </c>
      <c r="D611" t="str">
        <f>[1]!hospitalinfo[[#This Row],[Hospital Ownership]]</f>
        <v>Voluntary non-profit - Private</v>
      </c>
      <c r="E611" t="str" cm="1">
        <f t="array" ref="E611">_xlfn.IFNA(_xlfn.XLOOKUP(1,([1]!hcahps[Facility ID] = clean[[#This Row],[Facility ID]]) * ([1]!hcahps[HCAHPS Measure ID] = "H_HSP_RATING_LINEAR_SCORE"), [1]!hcahps[HCAHPS Linear Mean Value]), "No Match")</f>
        <v>Not Available</v>
      </c>
      <c r="F611" t="str" cm="1">
        <f t="array" ref="F611">_xlfn.IFNA(_xlfn.XLOOKUP(1,([1]!readmissions[Facility ID] = clean[[#This Row],[Facility ID]]) * ([1]!readmissions[Measure ID] = "Hybrid_HWR"), [1]!readmissions[Score]), "No Match")</f>
        <v>Not Available</v>
      </c>
    </row>
    <row r="612" spans="1:6" x14ac:dyDescent="0.2">
      <c r="A612" t="str">
        <f>[1]!hospitalinfo[[#This Row],[Facility ID]]</f>
        <v>05114F</v>
      </c>
      <c r="B612" t="str">
        <f>[1]!hospitalinfo[[#This Row],[State]]</f>
        <v>CA</v>
      </c>
      <c r="C612" t="str">
        <f>[1]!hospitalinfo[[#This Row],[Hospital Type]]</f>
        <v>Acute Care - Veterans Administration</v>
      </c>
      <c r="D612" t="str">
        <f>[1]!hospitalinfo[[#This Row],[Hospital Ownership]]</f>
        <v>Veterans Health Administration</v>
      </c>
      <c r="E612" cm="1">
        <f t="array" ref="E612">_xlfn.IFNA(_xlfn.XLOOKUP(1,([1]!hcahps[Facility ID] = clean[[#This Row],[Facility ID]]) * ([1]!hcahps[HCAHPS Measure ID] = "H_HSP_RATING_LINEAR_SCORE"), [1]!hcahps[HCAHPS Linear Mean Value]), "No Match")</f>
        <v>89</v>
      </c>
      <c r="F612" cm="1">
        <f t="array" ref="F612">_xlfn.IFNA(_xlfn.XLOOKUP(1,([1]!readmissions[Facility ID] = clean[[#This Row],[Facility ID]]) * ([1]!readmissions[Measure ID] = "Hybrid_HWR"), [1]!readmissions[Score]), "No Match")</f>
        <v>14.8</v>
      </c>
    </row>
    <row r="613" spans="1:6" x14ac:dyDescent="0.2">
      <c r="A613" t="str">
        <f>[1]!hospitalinfo[[#This Row],[Facility ID]]</f>
        <v>05127F</v>
      </c>
      <c r="B613" t="str">
        <f>[1]!hospitalinfo[[#This Row],[State]]</f>
        <v>CA</v>
      </c>
      <c r="C613" t="str">
        <f>[1]!hospitalinfo[[#This Row],[Hospital Type]]</f>
        <v>Acute Care - Veterans Administration</v>
      </c>
      <c r="D613" t="str">
        <f>[1]!hospitalinfo[[#This Row],[Hospital Ownership]]</f>
        <v>Veterans Health Administration</v>
      </c>
      <c r="E613" cm="1">
        <f t="array" ref="E613">_xlfn.IFNA(_xlfn.XLOOKUP(1,([1]!hcahps[Facility ID] = clean[[#This Row],[Facility ID]]) * ([1]!hcahps[HCAHPS Measure ID] = "H_HSP_RATING_LINEAR_SCORE"), [1]!hcahps[HCAHPS Linear Mean Value]), "No Match")</f>
        <v>90</v>
      </c>
      <c r="F613" cm="1">
        <f t="array" ref="F613">_xlfn.IFNA(_xlfn.XLOOKUP(1,([1]!readmissions[Facility ID] = clean[[#This Row],[Facility ID]]) * ([1]!readmissions[Measure ID] = "Hybrid_HWR"), [1]!readmissions[Score]), "No Match")</f>
        <v>14.7</v>
      </c>
    </row>
    <row r="614" spans="1:6" x14ac:dyDescent="0.2">
      <c r="A614" t="str">
        <f>[1]!hospitalinfo[[#This Row],[Facility ID]]</f>
        <v>05128F</v>
      </c>
      <c r="B614" t="str">
        <f>[1]!hospitalinfo[[#This Row],[State]]</f>
        <v>CA</v>
      </c>
      <c r="C614" t="str">
        <f>[1]!hospitalinfo[[#This Row],[Hospital Type]]</f>
        <v>Acute Care - Veterans Administration</v>
      </c>
      <c r="D614" t="str">
        <f>[1]!hospitalinfo[[#This Row],[Hospital Ownership]]</f>
        <v>Veterans Health Administration</v>
      </c>
      <c r="E614" cm="1">
        <f t="array" ref="E614">_xlfn.IFNA(_xlfn.XLOOKUP(1,([1]!hcahps[Facility ID] = clean[[#This Row],[Facility ID]]) * ([1]!hcahps[HCAHPS Measure ID] = "H_HSP_RATING_LINEAR_SCORE"), [1]!hcahps[HCAHPS Linear Mean Value]), "No Match")</f>
        <v>88</v>
      </c>
      <c r="F614" cm="1">
        <f t="array" ref="F614">_xlfn.IFNA(_xlfn.XLOOKUP(1,([1]!readmissions[Facility ID] = clean[[#This Row],[Facility ID]]) * ([1]!readmissions[Measure ID] = "Hybrid_HWR"), [1]!readmissions[Score]), "No Match")</f>
        <v>16</v>
      </c>
    </row>
    <row r="615" spans="1:6" x14ac:dyDescent="0.2">
      <c r="A615" t="str">
        <f>[1]!hospitalinfo[[#This Row],[Facility ID]]</f>
        <v>051300</v>
      </c>
      <c r="B615" t="str">
        <f>[1]!hospitalinfo[[#This Row],[State]]</f>
        <v>CA</v>
      </c>
      <c r="C615" t="str">
        <f>[1]!hospitalinfo[[#This Row],[Hospital Type]]</f>
        <v>Critical Access Hospitals</v>
      </c>
      <c r="D615" t="str">
        <f>[1]!hospitalinfo[[#This Row],[Hospital Ownership]]</f>
        <v>Government - Hospital District or Authority</v>
      </c>
      <c r="E615" t="str" cm="1">
        <f t="array" ref="E615">_xlfn.IFNA(_xlfn.XLOOKUP(1,([1]!hcahps[Facility ID] = clean[[#This Row],[Facility ID]]) * ([1]!hcahps[HCAHPS Measure ID] = "H_HSP_RATING_LINEAR_SCORE"), [1]!hcahps[HCAHPS Linear Mean Value]), "No Match")</f>
        <v>Not Available</v>
      </c>
      <c r="F615" t="str" cm="1">
        <f t="array" ref="F615">_xlfn.IFNA(_xlfn.XLOOKUP(1,([1]!readmissions[Facility ID] = clean[[#This Row],[Facility ID]]) * ([1]!readmissions[Measure ID] = "Hybrid_HWR"), [1]!readmissions[Score]), "No Match")</f>
        <v>Not Available</v>
      </c>
    </row>
    <row r="616" spans="1:6" x14ac:dyDescent="0.2">
      <c r="A616" t="str">
        <f>[1]!hospitalinfo[[#This Row],[Facility ID]]</f>
        <v>051301</v>
      </c>
      <c r="B616" t="str">
        <f>[1]!hospitalinfo[[#This Row],[State]]</f>
        <v>CA</v>
      </c>
      <c r="C616" t="str">
        <f>[1]!hospitalinfo[[#This Row],[Hospital Type]]</f>
        <v>Critical Access Hospitals</v>
      </c>
      <c r="D616" t="str">
        <f>[1]!hospitalinfo[[#This Row],[Hospital Ownership]]</f>
        <v>Voluntary non-profit - Private</v>
      </c>
      <c r="E616" cm="1">
        <f t="array" ref="E616">_xlfn.IFNA(_xlfn.XLOOKUP(1,([1]!hcahps[Facility ID] = clean[[#This Row],[Facility ID]]) * ([1]!hcahps[HCAHPS Measure ID] = "H_HSP_RATING_LINEAR_SCORE"), [1]!hcahps[HCAHPS Linear Mean Value]), "No Match")</f>
        <v>93</v>
      </c>
      <c r="F616" cm="1">
        <f t="array" ref="F616">_xlfn.IFNA(_xlfn.XLOOKUP(1,([1]!readmissions[Facility ID] = clean[[#This Row],[Facility ID]]) * ([1]!readmissions[Measure ID] = "Hybrid_HWR"), [1]!readmissions[Score]), "No Match")</f>
        <v>15.6</v>
      </c>
    </row>
    <row r="617" spans="1:6" x14ac:dyDescent="0.2">
      <c r="A617" t="str">
        <f>[1]!hospitalinfo[[#This Row],[Facility ID]]</f>
        <v>051302</v>
      </c>
      <c r="B617" t="str">
        <f>[1]!hospitalinfo[[#This Row],[State]]</f>
        <v>CA</v>
      </c>
      <c r="C617" t="str">
        <f>[1]!hospitalinfo[[#This Row],[Hospital Type]]</f>
        <v>Critical Access Hospitals</v>
      </c>
      <c r="D617" t="str">
        <f>[1]!hospitalinfo[[#This Row],[Hospital Ownership]]</f>
        <v>Government - Hospital District or Authority</v>
      </c>
      <c r="E617" t="str" cm="1">
        <f t="array" ref="E617">_xlfn.IFNA(_xlfn.XLOOKUP(1,([1]!hcahps[Facility ID] = clean[[#This Row],[Facility ID]]) * ([1]!hcahps[HCAHPS Measure ID] = "H_HSP_RATING_LINEAR_SCORE"), [1]!hcahps[HCAHPS Linear Mean Value]), "No Match")</f>
        <v>Not Available</v>
      </c>
      <c r="F617" cm="1">
        <f t="array" ref="F617">_xlfn.IFNA(_xlfn.XLOOKUP(1,([1]!readmissions[Facility ID] = clean[[#This Row],[Facility ID]]) * ([1]!readmissions[Measure ID] = "Hybrid_HWR"), [1]!readmissions[Score]), "No Match")</f>
        <v>14.9</v>
      </c>
    </row>
    <row r="618" spans="1:6" x14ac:dyDescent="0.2">
      <c r="A618" t="str">
        <f>[1]!hospitalinfo[[#This Row],[Facility ID]]</f>
        <v>051303</v>
      </c>
      <c r="B618" t="str">
        <f>[1]!hospitalinfo[[#This Row],[State]]</f>
        <v>CA</v>
      </c>
      <c r="C618" t="str">
        <f>[1]!hospitalinfo[[#This Row],[Hospital Type]]</f>
        <v>Critical Access Hospitals</v>
      </c>
      <c r="D618" t="str">
        <f>[1]!hospitalinfo[[#This Row],[Hospital Ownership]]</f>
        <v>Government - Hospital District or Authority</v>
      </c>
      <c r="E618" cm="1">
        <f t="array" ref="E618">_xlfn.IFNA(_xlfn.XLOOKUP(1,([1]!hcahps[Facility ID] = clean[[#This Row],[Facility ID]]) * ([1]!hcahps[HCAHPS Measure ID] = "H_HSP_RATING_LINEAR_SCORE"), [1]!hcahps[HCAHPS Linear Mean Value]), "No Match")</f>
        <v>94</v>
      </c>
      <c r="F618" cm="1">
        <f t="array" ref="F618">_xlfn.IFNA(_xlfn.XLOOKUP(1,([1]!readmissions[Facility ID] = clean[[#This Row],[Facility ID]]) * ([1]!readmissions[Measure ID] = "Hybrid_HWR"), [1]!readmissions[Score]), "No Match")</f>
        <v>15.1</v>
      </c>
    </row>
    <row r="619" spans="1:6" x14ac:dyDescent="0.2">
      <c r="A619" t="str">
        <f>[1]!hospitalinfo[[#This Row],[Facility ID]]</f>
        <v>051304</v>
      </c>
      <c r="B619" t="str">
        <f>[1]!hospitalinfo[[#This Row],[State]]</f>
        <v>CA</v>
      </c>
      <c r="C619" t="str">
        <f>[1]!hospitalinfo[[#This Row],[Hospital Type]]</f>
        <v>Critical Access Hospitals</v>
      </c>
      <c r="D619" t="str">
        <f>[1]!hospitalinfo[[#This Row],[Hospital Ownership]]</f>
        <v>Government - Hospital District or Authority</v>
      </c>
      <c r="E619" t="str" cm="1">
        <f t="array" ref="E619">_xlfn.IFNA(_xlfn.XLOOKUP(1,([1]!hcahps[Facility ID] = clean[[#This Row],[Facility ID]]) * ([1]!hcahps[HCAHPS Measure ID] = "H_HSP_RATING_LINEAR_SCORE"), [1]!hcahps[HCAHPS Linear Mean Value]), "No Match")</f>
        <v>Not Available</v>
      </c>
      <c r="F619" cm="1">
        <f t="array" ref="F619">_xlfn.IFNA(_xlfn.XLOOKUP(1,([1]!readmissions[Facility ID] = clean[[#This Row],[Facility ID]]) * ([1]!readmissions[Measure ID] = "Hybrid_HWR"), [1]!readmissions[Score]), "No Match")</f>
        <v>15.2</v>
      </c>
    </row>
    <row r="620" spans="1:6" x14ac:dyDescent="0.2">
      <c r="A620" t="str">
        <f>[1]!hospitalinfo[[#This Row],[Facility ID]]</f>
        <v>051305</v>
      </c>
      <c r="B620" t="str">
        <f>[1]!hospitalinfo[[#This Row],[State]]</f>
        <v>CA</v>
      </c>
      <c r="C620" t="str">
        <f>[1]!hospitalinfo[[#This Row],[Hospital Type]]</f>
        <v>Critical Access Hospitals</v>
      </c>
      <c r="D620" t="str">
        <f>[1]!hospitalinfo[[#This Row],[Hospital Ownership]]</f>
        <v>Government - Hospital District or Authority</v>
      </c>
      <c r="E620" t="str" cm="1">
        <f t="array" ref="E620">_xlfn.IFNA(_xlfn.XLOOKUP(1,([1]!hcahps[Facility ID] = clean[[#This Row],[Facility ID]]) * ([1]!hcahps[HCAHPS Measure ID] = "H_HSP_RATING_LINEAR_SCORE"), [1]!hcahps[HCAHPS Linear Mean Value]), "No Match")</f>
        <v>Not Available</v>
      </c>
      <c r="F620" cm="1">
        <f t="array" ref="F620">_xlfn.IFNA(_xlfn.XLOOKUP(1,([1]!readmissions[Facility ID] = clean[[#This Row],[Facility ID]]) * ([1]!readmissions[Measure ID] = "Hybrid_HWR"), [1]!readmissions[Score]), "No Match")</f>
        <v>14.9</v>
      </c>
    </row>
    <row r="621" spans="1:6" x14ac:dyDescent="0.2">
      <c r="A621" t="str">
        <f>[1]!hospitalinfo[[#This Row],[Facility ID]]</f>
        <v>051306</v>
      </c>
      <c r="B621" t="str">
        <f>[1]!hospitalinfo[[#This Row],[State]]</f>
        <v>CA</v>
      </c>
      <c r="C621" t="str">
        <f>[1]!hospitalinfo[[#This Row],[Hospital Type]]</f>
        <v>Critical Access Hospitals</v>
      </c>
      <c r="D621" t="str">
        <f>[1]!hospitalinfo[[#This Row],[Hospital Ownership]]</f>
        <v>Proprietary</v>
      </c>
      <c r="E621" t="str" cm="1">
        <f t="array" ref="E621">_xlfn.IFNA(_xlfn.XLOOKUP(1,([1]!hcahps[Facility ID] = clean[[#This Row],[Facility ID]]) * ([1]!hcahps[HCAHPS Measure ID] = "H_HSP_RATING_LINEAR_SCORE"), [1]!hcahps[HCAHPS Linear Mean Value]), "No Match")</f>
        <v>Not Available</v>
      </c>
      <c r="F621" cm="1">
        <f t="array" ref="F621">_xlfn.IFNA(_xlfn.XLOOKUP(1,([1]!readmissions[Facility ID] = clean[[#This Row],[Facility ID]]) * ([1]!readmissions[Measure ID] = "Hybrid_HWR"), [1]!readmissions[Score]), "No Match")</f>
        <v>15.4</v>
      </c>
    </row>
    <row r="622" spans="1:6" x14ac:dyDescent="0.2">
      <c r="A622" t="str">
        <f>[1]!hospitalinfo[[#This Row],[Facility ID]]</f>
        <v>051307</v>
      </c>
      <c r="B622" t="str">
        <f>[1]!hospitalinfo[[#This Row],[State]]</f>
        <v>CA</v>
      </c>
      <c r="C622" t="str">
        <f>[1]!hospitalinfo[[#This Row],[Hospital Type]]</f>
        <v>Critical Access Hospitals</v>
      </c>
      <c r="D622" t="str">
        <f>[1]!hospitalinfo[[#This Row],[Hospital Ownership]]</f>
        <v>Voluntary non-profit - Private</v>
      </c>
      <c r="E622" t="str" cm="1">
        <f t="array" ref="E622">_xlfn.IFNA(_xlfn.XLOOKUP(1,([1]!hcahps[Facility ID] = clean[[#This Row],[Facility ID]]) * ([1]!hcahps[HCAHPS Measure ID] = "H_HSP_RATING_LINEAR_SCORE"), [1]!hcahps[HCAHPS Linear Mean Value]), "No Match")</f>
        <v>Not Available</v>
      </c>
      <c r="F622" t="str" cm="1">
        <f t="array" ref="F622">_xlfn.IFNA(_xlfn.XLOOKUP(1,([1]!readmissions[Facility ID] = clean[[#This Row],[Facility ID]]) * ([1]!readmissions[Measure ID] = "Hybrid_HWR"), [1]!readmissions[Score]), "No Match")</f>
        <v>Not Available</v>
      </c>
    </row>
    <row r="623" spans="1:6" x14ac:dyDescent="0.2">
      <c r="A623" t="str">
        <f>[1]!hospitalinfo[[#This Row],[Facility ID]]</f>
        <v>051308</v>
      </c>
      <c r="B623" t="str">
        <f>[1]!hospitalinfo[[#This Row],[State]]</f>
        <v>CA</v>
      </c>
      <c r="C623" t="str">
        <f>[1]!hospitalinfo[[#This Row],[Hospital Type]]</f>
        <v>Critical Access Hospitals</v>
      </c>
      <c r="D623" t="str">
        <f>[1]!hospitalinfo[[#This Row],[Hospital Ownership]]</f>
        <v>Government - Hospital District or Authority</v>
      </c>
      <c r="E623" t="str" cm="1">
        <f t="array" ref="E623">_xlfn.IFNA(_xlfn.XLOOKUP(1,([1]!hcahps[Facility ID] = clean[[#This Row],[Facility ID]]) * ([1]!hcahps[HCAHPS Measure ID] = "H_HSP_RATING_LINEAR_SCORE"), [1]!hcahps[HCAHPS Linear Mean Value]), "No Match")</f>
        <v>Not Available</v>
      </c>
      <c r="F623" t="str" cm="1">
        <f t="array" ref="F623">_xlfn.IFNA(_xlfn.XLOOKUP(1,([1]!readmissions[Facility ID] = clean[[#This Row],[Facility ID]]) * ([1]!readmissions[Measure ID] = "Hybrid_HWR"), [1]!readmissions[Score]), "No Match")</f>
        <v>Not Available</v>
      </c>
    </row>
    <row r="624" spans="1:6" x14ac:dyDescent="0.2">
      <c r="A624" t="str">
        <f>[1]!hospitalinfo[[#This Row],[Facility ID]]</f>
        <v>051309</v>
      </c>
      <c r="B624" t="str">
        <f>[1]!hospitalinfo[[#This Row],[State]]</f>
        <v>CA</v>
      </c>
      <c r="C624" t="str">
        <f>[1]!hospitalinfo[[#This Row],[Hospital Type]]</f>
        <v>Critical Access Hospitals</v>
      </c>
      <c r="D624" t="str">
        <f>[1]!hospitalinfo[[#This Row],[Hospital Ownership]]</f>
        <v>Government - Hospital District or Authority</v>
      </c>
      <c r="E624" t="str" cm="1">
        <f t="array" ref="E624">_xlfn.IFNA(_xlfn.XLOOKUP(1,([1]!hcahps[Facility ID] = clean[[#This Row],[Facility ID]]) * ([1]!hcahps[HCAHPS Measure ID] = "H_HSP_RATING_LINEAR_SCORE"), [1]!hcahps[HCAHPS Linear Mean Value]), "No Match")</f>
        <v>Not Available</v>
      </c>
      <c r="F624" t="str" cm="1">
        <f t="array" ref="F624">_xlfn.IFNA(_xlfn.XLOOKUP(1,([1]!readmissions[Facility ID] = clean[[#This Row],[Facility ID]]) * ([1]!readmissions[Measure ID] = "Hybrid_HWR"), [1]!readmissions[Score]), "No Match")</f>
        <v>Not Available</v>
      </c>
    </row>
    <row r="625" spans="1:6" x14ac:dyDescent="0.2">
      <c r="A625" t="str">
        <f>[1]!hospitalinfo[[#This Row],[Facility ID]]</f>
        <v>05130F</v>
      </c>
      <c r="B625" t="str">
        <f>[1]!hospitalinfo[[#This Row],[State]]</f>
        <v>CA</v>
      </c>
      <c r="C625" t="str">
        <f>[1]!hospitalinfo[[#This Row],[Hospital Type]]</f>
        <v>Acute Care - Veterans Administration</v>
      </c>
      <c r="D625" t="str">
        <f>[1]!hospitalinfo[[#This Row],[Hospital Ownership]]</f>
        <v>Veterans Health Administration</v>
      </c>
      <c r="E625" cm="1">
        <f t="array" ref="E625">_xlfn.IFNA(_xlfn.XLOOKUP(1,([1]!hcahps[Facility ID] = clean[[#This Row],[Facility ID]]) * ([1]!hcahps[HCAHPS Measure ID] = "H_HSP_RATING_LINEAR_SCORE"), [1]!hcahps[HCAHPS Linear Mean Value]), "No Match")</f>
        <v>90</v>
      </c>
      <c r="F625" cm="1">
        <f t="array" ref="F625">_xlfn.IFNA(_xlfn.XLOOKUP(1,([1]!readmissions[Facility ID] = clean[[#This Row],[Facility ID]]) * ([1]!readmissions[Measure ID] = "Hybrid_HWR"), [1]!readmissions[Score]), "No Match")</f>
        <v>14.4</v>
      </c>
    </row>
    <row r="626" spans="1:6" x14ac:dyDescent="0.2">
      <c r="A626" t="str">
        <f>[1]!hospitalinfo[[#This Row],[Facility ID]]</f>
        <v>051310</v>
      </c>
      <c r="B626" t="str">
        <f>[1]!hospitalinfo[[#This Row],[State]]</f>
        <v>CA</v>
      </c>
      <c r="C626" t="str">
        <f>[1]!hospitalinfo[[#This Row],[Hospital Type]]</f>
        <v>Critical Access Hospitals</v>
      </c>
      <c r="D626" t="str">
        <f>[1]!hospitalinfo[[#This Row],[Hospital Ownership]]</f>
        <v>Voluntary non-profit - Private</v>
      </c>
      <c r="E626" cm="1">
        <f t="array" ref="E626">_xlfn.IFNA(_xlfn.XLOOKUP(1,([1]!hcahps[Facility ID] = clean[[#This Row],[Facility ID]]) * ([1]!hcahps[HCAHPS Measure ID] = "H_HSP_RATING_LINEAR_SCORE"), [1]!hcahps[HCAHPS Linear Mean Value]), "No Match")</f>
        <v>92</v>
      </c>
      <c r="F626" cm="1">
        <f t="array" ref="F626">_xlfn.IFNA(_xlfn.XLOOKUP(1,([1]!readmissions[Facility ID] = clean[[#This Row],[Facility ID]]) * ([1]!readmissions[Measure ID] = "Hybrid_HWR"), [1]!readmissions[Score]), "No Match")</f>
        <v>14.5</v>
      </c>
    </row>
    <row r="627" spans="1:6" x14ac:dyDescent="0.2">
      <c r="A627" t="str">
        <f>[1]!hospitalinfo[[#This Row],[Facility ID]]</f>
        <v>051311</v>
      </c>
      <c r="B627" t="str">
        <f>[1]!hospitalinfo[[#This Row],[State]]</f>
        <v>CA</v>
      </c>
      <c r="C627" t="str">
        <f>[1]!hospitalinfo[[#This Row],[Hospital Type]]</f>
        <v>Critical Access Hospitals</v>
      </c>
      <c r="D627" t="str">
        <f>[1]!hospitalinfo[[#This Row],[Hospital Ownership]]</f>
        <v>Voluntary non-profit - Private</v>
      </c>
      <c r="E627" t="str" cm="1">
        <f t="array" ref="E627">_xlfn.IFNA(_xlfn.XLOOKUP(1,([1]!hcahps[Facility ID] = clean[[#This Row],[Facility ID]]) * ([1]!hcahps[HCAHPS Measure ID] = "H_HSP_RATING_LINEAR_SCORE"), [1]!hcahps[HCAHPS Linear Mean Value]), "No Match")</f>
        <v>Not Available</v>
      </c>
      <c r="F627" cm="1">
        <f t="array" ref="F627">_xlfn.IFNA(_xlfn.XLOOKUP(1,([1]!readmissions[Facility ID] = clean[[#This Row],[Facility ID]]) * ([1]!readmissions[Measure ID] = "Hybrid_HWR"), [1]!readmissions[Score]), "No Match")</f>
        <v>14.9</v>
      </c>
    </row>
    <row r="628" spans="1:6" x14ac:dyDescent="0.2">
      <c r="A628" t="str">
        <f>[1]!hospitalinfo[[#This Row],[Facility ID]]</f>
        <v>051312</v>
      </c>
      <c r="B628" t="str">
        <f>[1]!hospitalinfo[[#This Row],[State]]</f>
        <v>CA</v>
      </c>
      <c r="C628" t="str">
        <f>[1]!hospitalinfo[[#This Row],[Hospital Type]]</f>
        <v>Critical Access Hospitals</v>
      </c>
      <c r="D628" t="str">
        <f>[1]!hospitalinfo[[#This Row],[Hospital Ownership]]</f>
        <v>Government - Hospital District or Authority</v>
      </c>
      <c r="E628" t="str" cm="1">
        <f t="array" ref="E628">_xlfn.IFNA(_xlfn.XLOOKUP(1,([1]!hcahps[Facility ID] = clean[[#This Row],[Facility ID]]) * ([1]!hcahps[HCAHPS Measure ID] = "H_HSP_RATING_LINEAR_SCORE"), [1]!hcahps[HCAHPS Linear Mean Value]), "No Match")</f>
        <v>Not Available</v>
      </c>
      <c r="F628" cm="1">
        <f t="array" ref="F628">_xlfn.IFNA(_xlfn.XLOOKUP(1,([1]!readmissions[Facility ID] = clean[[#This Row],[Facility ID]]) * ([1]!readmissions[Measure ID] = "Hybrid_HWR"), [1]!readmissions[Score]), "No Match")</f>
        <v>15.3</v>
      </c>
    </row>
    <row r="629" spans="1:6" x14ac:dyDescent="0.2">
      <c r="A629" t="str">
        <f>[1]!hospitalinfo[[#This Row],[Facility ID]]</f>
        <v>051314</v>
      </c>
      <c r="B629" t="str">
        <f>[1]!hospitalinfo[[#This Row],[State]]</f>
        <v>CA</v>
      </c>
      <c r="C629" t="str">
        <f>[1]!hospitalinfo[[#This Row],[Hospital Type]]</f>
        <v>Critical Access Hospitals</v>
      </c>
      <c r="D629" t="str">
        <f>[1]!hospitalinfo[[#This Row],[Hospital Ownership]]</f>
        <v>Government - Hospital District or Authority</v>
      </c>
      <c r="E629" t="str" cm="1">
        <f t="array" ref="E629">_xlfn.IFNA(_xlfn.XLOOKUP(1,([1]!hcahps[Facility ID] = clean[[#This Row],[Facility ID]]) * ([1]!hcahps[HCAHPS Measure ID] = "H_HSP_RATING_LINEAR_SCORE"), [1]!hcahps[HCAHPS Linear Mean Value]), "No Match")</f>
        <v>Not Available</v>
      </c>
      <c r="F629" cm="1">
        <f t="array" ref="F629">_xlfn.IFNA(_xlfn.XLOOKUP(1,([1]!readmissions[Facility ID] = clean[[#This Row],[Facility ID]]) * ([1]!readmissions[Measure ID] = "Hybrid_HWR"), [1]!readmissions[Score]), "No Match")</f>
        <v>14.8</v>
      </c>
    </row>
    <row r="630" spans="1:6" x14ac:dyDescent="0.2">
      <c r="A630" t="str">
        <f>[1]!hospitalinfo[[#This Row],[Facility ID]]</f>
        <v>051315</v>
      </c>
      <c r="B630" t="str">
        <f>[1]!hospitalinfo[[#This Row],[State]]</f>
        <v>CA</v>
      </c>
      <c r="C630" t="str">
        <f>[1]!hospitalinfo[[#This Row],[Hospital Type]]</f>
        <v>Critical Access Hospitals</v>
      </c>
      <c r="D630" t="str">
        <f>[1]!hospitalinfo[[#This Row],[Hospital Ownership]]</f>
        <v>Government - Hospital District or Authority</v>
      </c>
      <c r="E630" t="str" cm="1">
        <f t="array" ref="E630">_xlfn.IFNA(_xlfn.XLOOKUP(1,([1]!hcahps[Facility ID] = clean[[#This Row],[Facility ID]]) * ([1]!hcahps[HCAHPS Measure ID] = "H_HSP_RATING_LINEAR_SCORE"), [1]!hcahps[HCAHPS Linear Mean Value]), "No Match")</f>
        <v>Not Available</v>
      </c>
      <c r="F630" cm="1">
        <f t="array" ref="F630">_xlfn.IFNA(_xlfn.XLOOKUP(1,([1]!readmissions[Facility ID] = clean[[#This Row],[Facility ID]]) * ([1]!readmissions[Measure ID] = "Hybrid_HWR"), [1]!readmissions[Score]), "No Match")</f>
        <v>14.5</v>
      </c>
    </row>
    <row r="631" spans="1:6" x14ac:dyDescent="0.2">
      <c r="A631" t="str">
        <f>[1]!hospitalinfo[[#This Row],[Facility ID]]</f>
        <v>051316</v>
      </c>
      <c r="B631" t="str">
        <f>[1]!hospitalinfo[[#This Row],[State]]</f>
        <v>CA</v>
      </c>
      <c r="C631" t="str">
        <f>[1]!hospitalinfo[[#This Row],[Hospital Type]]</f>
        <v>Critical Access Hospitals</v>
      </c>
      <c r="D631" t="str">
        <f>[1]!hospitalinfo[[#This Row],[Hospital Ownership]]</f>
        <v>Voluntary non-profit - Other</v>
      </c>
      <c r="E631" cm="1">
        <f t="array" ref="E631">_xlfn.IFNA(_xlfn.XLOOKUP(1,([1]!hcahps[Facility ID] = clean[[#This Row],[Facility ID]]) * ([1]!hcahps[HCAHPS Measure ID] = "H_HSP_RATING_LINEAR_SCORE"), [1]!hcahps[HCAHPS Linear Mean Value]), "No Match")</f>
        <v>89</v>
      </c>
      <c r="F631" cm="1">
        <f t="array" ref="F631">_xlfn.IFNA(_xlfn.XLOOKUP(1,([1]!readmissions[Facility ID] = clean[[#This Row],[Facility ID]]) * ([1]!readmissions[Measure ID] = "Hybrid_HWR"), [1]!readmissions[Score]), "No Match")</f>
        <v>15.4</v>
      </c>
    </row>
    <row r="632" spans="1:6" x14ac:dyDescent="0.2">
      <c r="A632" t="str">
        <f>[1]!hospitalinfo[[#This Row],[Facility ID]]</f>
        <v>051317</v>
      </c>
      <c r="B632" t="str">
        <f>[1]!hospitalinfo[[#This Row],[State]]</f>
        <v>CA</v>
      </c>
      <c r="C632" t="str">
        <f>[1]!hospitalinfo[[#This Row],[Hospital Type]]</f>
        <v>Critical Access Hospitals</v>
      </c>
      <c r="D632" t="str">
        <f>[1]!hospitalinfo[[#This Row],[Hospital Ownership]]</f>
        <v>Voluntary non-profit - Private</v>
      </c>
      <c r="E632" cm="1">
        <f t="array" ref="E632">_xlfn.IFNA(_xlfn.XLOOKUP(1,([1]!hcahps[Facility ID] = clean[[#This Row],[Facility ID]]) * ([1]!hcahps[HCAHPS Measure ID] = "H_HSP_RATING_LINEAR_SCORE"), [1]!hcahps[HCAHPS Linear Mean Value]), "No Match")</f>
        <v>85</v>
      </c>
      <c r="F632" cm="1">
        <f t="array" ref="F632">_xlfn.IFNA(_xlfn.XLOOKUP(1,([1]!readmissions[Facility ID] = clean[[#This Row],[Facility ID]]) * ([1]!readmissions[Measure ID] = "Hybrid_HWR"), [1]!readmissions[Score]), "No Match")</f>
        <v>14.7</v>
      </c>
    </row>
    <row r="633" spans="1:6" x14ac:dyDescent="0.2">
      <c r="A633" t="str">
        <f>[1]!hospitalinfo[[#This Row],[Facility ID]]</f>
        <v>051318</v>
      </c>
      <c r="B633" t="str">
        <f>[1]!hospitalinfo[[#This Row],[State]]</f>
        <v>CA</v>
      </c>
      <c r="C633" t="str">
        <f>[1]!hospitalinfo[[#This Row],[Hospital Type]]</f>
        <v>Critical Access Hospitals</v>
      </c>
      <c r="D633" t="str">
        <f>[1]!hospitalinfo[[#This Row],[Hospital Ownership]]</f>
        <v>Voluntary non-profit - Private</v>
      </c>
      <c r="E633" cm="1">
        <f t="array" ref="E633">_xlfn.IFNA(_xlfn.XLOOKUP(1,([1]!hcahps[Facility ID] = clean[[#This Row],[Facility ID]]) * ([1]!hcahps[HCAHPS Measure ID] = "H_HSP_RATING_LINEAR_SCORE"), [1]!hcahps[HCAHPS Linear Mean Value]), "No Match")</f>
        <v>90</v>
      </c>
      <c r="F633" cm="1">
        <f t="array" ref="F633">_xlfn.IFNA(_xlfn.XLOOKUP(1,([1]!readmissions[Facility ID] = clean[[#This Row],[Facility ID]]) * ([1]!readmissions[Measure ID] = "Hybrid_HWR"), [1]!readmissions[Score]), "No Match")</f>
        <v>14.4</v>
      </c>
    </row>
    <row r="634" spans="1:6" x14ac:dyDescent="0.2">
      <c r="A634" t="str">
        <f>[1]!hospitalinfo[[#This Row],[Facility ID]]</f>
        <v>051319</v>
      </c>
      <c r="B634" t="str">
        <f>[1]!hospitalinfo[[#This Row],[State]]</f>
        <v>CA</v>
      </c>
      <c r="C634" t="str">
        <f>[1]!hospitalinfo[[#This Row],[Hospital Type]]</f>
        <v>Critical Access Hospitals</v>
      </c>
      <c r="D634" t="str">
        <f>[1]!hospitalinfo[[#This Row],[Hospital Ownership]]</f>
        <v>Voluntary non-profit - Other</v>
      </c>
      <c r="E634" cm="1">
        <f t="array" ref="E634">_xlfn.IFNA(_xlfn.XLOOKUP(1,([1]!hcahps[Facility ID] = clean[[#This Row],[Facility ID]]) * ([1]!hcahps[HCAHPS Measure ID] = "H_HSP_RATING_LINEAR_SCORE"), [1]!hcahps[HCAHPS Linear Mean Value]), "No Match")</f>
        <v>93</v>
      </c>
      <c r="F634" cm="1">
        <f t="array" ref="F634">_xlfn.IFNA(_xlfn.XLOOKUP(1,([1]!readmissions[Facility ID] = clean[[#This Row],[Facility ID]]) * ([1]!readmissions[Measure ID] = "Hybrid_HWR"), [1]!readmissions[Score]), "No Match")</f>
        <v>14.7</v>
      </c>
    </row>
    <row r="635" spans="1:6" x14ac:dyDescent="0.2">
      <c r="A635" t="str">
        <f>[1]!hospitalinfo[[#This Row],[Facility ID]]</f>
        <v>051320</v>
      </c>
      <c r="B635" t="str">
        <f>[1]!hospitalinfo[[#This Row],[State]]</f>
        <v>CA</v>
      </c>
      <c r="C635" t="str">
        <f>[1]!hospitalinfo[[#This Row],[Hospital Type]]</f>
        <v>Critical Access Hospitals</v>
      </c>
      <c r="D635" t="str">
        <f>[1]!hospitalinfo[[#This Row],[Hospital Ownership]]</f>
        <v>Voluntary non-profit - Private</v>
      </c>
      <c r="E635" t="str" cm="1">
        <f t="array" ref="E635">_xlfn.IFNA(_xlfn.XLOOKUP(1,([1]!hcahps[Facility ID] = clean[[#This Row],[Facility ID]]) * ([1]!hcahps[HCAHPS Measure ID] = "H_HSP_RATING_LINEAR_SCORE"), [1]!hcahps[HCAHPS Linear Mean Value]), "No Match")</f>
        <v>Not Available</v>
      </c>
      <c r="F635" cm="1">
        <f t="array" ref="F635">_xlfn.IFNA(_xlfn.XLOOKUP(1,([1]!readmissions[Facility ID] = clean[[#This Row],[Facility ID]]) * ([1]!readmissions[Measure ID] = "Hybrid_HWR"), [1]!readmissions[Score]), "No Match")</f>
        <v>14.5</v>
      </c>
    </row>
    <row r="636" spans="1:6" x14ac:dyDescent="0.2">
      <c r="A636" t="str">
        <f>[1]!hospitalinfo[[#This Row],[Facility ID]]</f>
        <v>051321</v>
      </c>
      <c r="B636" t="str">
        <f>[1]!hospitalinfo[[#This Row],[State]]</f>
        <v>CA</v>
      </c>
      <c r="C636" t="str">
        <f>[1]!hospitalinfo[[#This Row],[Hospital Type]]</f>
        <v>Critical Access Hospitals</v>
      </c>
      <c r="D636" t="str">
        <f>[1]!hospitalinfo[[#This Row],[Hospital Ownership]]</f>
        <v>Voluntary non-profit - Private</v>
      </c>
      <c r="E636" t="str" cm="1">
        <f t="array" ref="E636">_xlfn.IFNA(_xlfn.XLOOKUP(1,([1]!hcahps[Facility ID] = clean[[#This Row],[Facility ID]]) * ([1]!hcahps[HCAHPS Measure ID] = "H_HSP_RATING_LINEAR_SCORE"), [1]!hcahps[HCAHPS Linear Mean Value]), "No Match")</f>
        <v>Not Available</v>
      </c>
      <c r="F636" cm="1">
        <f t="array" ref="F636">_xlfn.IFNA(_xlfn.XLOOKUP(1,([1]!readmissions[Facility ID] = clean[[#This Row],[Facility ID]]) * ([1]!readmissions[Measure ID] = "Hybrid_HWR"), [1]!readmissions[Score]), "No Match")</f>
        <v>15.1</v>
      </c>
    </row>
    <row r="637" spans="1:6" x14ac:dyDescent="0.2">
      <c r="A637" t="str">
        <f>[1]!hospitalinfo[[#This Row],[Facility ID]]</f>
        <v>051323</v>
      </c>
      <c r="B637" t="str">
        <f>[1]!hospitalinfo[[#This Row],[State]]</f>
        <v>CA</v>
      </c>
      <c r="C637" t="str">
        <f>[1]!hospitalinfo[[#This Row],[Hospital Type]]</f>
        <v>Critical Access Hospitals</v>
      </c>
      <c r="D637" t="str">
        <f>[1]!hospitalinfo[[#This Row],[Hospital Ownership]]</f>
        <v>Voluntary non-profit - Private</v>
      </c>
      <c r="E637" t="str" cm="1">
        <f t="array" ref="E637">_xlfn.IFNA(_xlfn.XLOOKUP(1,([1]!hcahps[Facility ID] = clean[[#This Row],[Facility ID]]) * ([1]!hcahps[HCAHPS Measure ID] = "H_HSP_RATING_LINEAR_SCORE"), [1]!hcahps[HCAHPS Linear Mean Value]), "No Match")</f>
        <v>Not Available</v>
      </c>
      <c r="F637" cm="1">
        <f t="array" ref="F637">_xlfn.IFNA(_xlfn.XLOOKUP(1,([1]!readmissions[Facility ID] = clean[[#This Row],[Facility ID]]) * ([1]!readmissions[Measure ID] = "Hybrid_HWR"), [1]!readmissions[Score]), "No Match")</f>
        <v>15</v>
      </c>
    </row>
    <row r="638" spans="1:6" x14ac:dyDescent="0.2">
      <c r="A638" t="str">
        <f>[1]!hospitalinfo[[#This Row],[Facility ID]]</f>
        <v>051324</v>
      </c>
      <c r="B638" t="str">
        <f>[1]!hospitalinfo[[#This Row],[State]]</f>
        <v>CA</v>
      </c>
      <c r="C638" t="str">
        <f>[1]!hospitalinfo[[#This Row],[Hospital Type]]</f>
        <v>Critical Access Hospitals</v>
      </c>
      <c r="D638" t="str">
        <f>[1]!hospitalinfo[[#This Row],[Hospital Ownership]]</f>
        <v>Government - Hospital District or Authority</v>
      </c>
      <c r="E638" cm="1">
        <f t="array" ref="E638">_xlfn.IFNA(_xlfn.XLOOKUP(1,([1]!hcahps[Facility ID] = clean[[#This Row],[Facility ID]]) * ([1]!hcahps[HCAHPS Measure ID] = "H_HSP_RATING_LINEAR_SCORE"), [1]!hcahps[HCAHPS Linear Mean Value]), "No Match")</f>
        <v>92</v>
      </c>
      <c r="F638" cm="1">
        <f t="array" ref="F638">_xlfn.IFNA(_xlfn.XLOOKUP(1,([1]!readmissions[Facility ID] = clean[[#This Row],[Facility ID]]) * ([1]!readmissions[Measure ID] = "Hybrid_HWR"), [1]!readmissions[Score]), "No Match")</f>
        <v>15</v>
      </c>
    </row>
    <row r="639" spans="1:6" x14ac:dyDescent="0.2">
      <c r="A639" t="str">
        <f>[1]!hospitalinfo[[#This Row],[Facility ID]]</f>
        <v>051325</v>
      </c>
      <c r="B639" t="str">
        <f>[1]!hospitalinfo[[#This Row],[State]]</f>
        <v>CA</v>
      </c>
      <c r="C639" t="str">
        <f>[1]!hospitalinfo[[#This Row],[Hospital Type]]</f>
        <v>Critical Access Hospitals</v>
      </c>
      <c r="D639" t="str">
        <f>[1]!hospitalinfo[[#This Row],[Hospital Ownership]]</f>
        <v>Voluntary non-profit - Private</v>
      </c>
      <c r="E639" cm="1">
        <f t="array" ref="E639">_xlfn.IFNA(_xlfn.XLOOKUP(1,([1]!hcahps[Facility ID] = clean[[#This Row],[Facility ID]]) * ([1]!hcahps[HCAHPS Measure ID] = "H_HSP_RATING_LINEAR_SCORE"), [1]!hcahps[HCAHPS Linear Mean Value]), "No Match")</f>
        <v>92</v>
      </c>
      <c r="F639" cm="1">
        <f t="array" ref="F639">_xlfn.IFNA(_xlfn.XLOOKUP(1,([1]!readmissions[Facility ID] = clean[[#This Row],[Facility ID]]) * ([1]!readmissions[Measure ID] = "Hybrid_HWR"), [1]!readmissions[Score]), "No Match")</f>
        <v>14.5</v>
      </c>
    </row>
    <row r="640" spans="1:6" x14ac:dyDescent="0.2">
      <c r="A640" t="str">
        <f>[1]!hospitalinfo[[#This Row],[Facility ID]]</f>
        <v>051326</v>
      </c>
      <c r="B640" t="str">
        <f>[1]!hospitalinfo[[#This Row],[State]]</f>
        <v>CA</v>
      </c>
      <c r="C640" t="str">
        <f>[1]!hospitalinfo[[#This Row],[Hospital Type]]</f>
        <v>Critical Access Hospitals</v>
      </c>
      <c r="D640" t="str">
        <f>[1]!hospitalinfo[[#This Row],[Hospital Ownership]]</f>
        <v>Government - Hospital District or Authority</v>
      </c>
      <c r="E640" t="str" cm="1">
        <f t="array" ref="E640">_xlfn.IFNA(_xlfn.XLOOKUP(1,([1]!hcahps[Facility ID] = clean[[#This Row],[Facility ID]]) * ([1]!hcahps[HCAHPS Measure ID] = "H_HSP_RATING_LINEAR_SCORE"), [1]!hcahps[HCAHPS Linear Mean Value]), "No Match")</f>
        <v>Not Available</v>
      </c>
      <c r="F640" cm="1">
        <f t="array" ref="F640">_xlfn.IFNA(_xlfn.XLOOKUP(1,([1]!readmissions[Facility ID] = clean[[#This Row],[Facility ID]]) * ([1]!readmissions[Measure ID] = "Hybrid_HWR"), [1]!readmissions[Score]), "No Match")</f>
        <v>15.1</v>
      </c>
    </row>
    <row r="641" spans="1:6" x14ac:dyDescent="0.2">
      <c r="A641" t="str">
        <f>[1]!hospitalinfo[[#This Row],[Facility ID]]</f>
        <v>051327</v>
      </c>
      <c r="B641" t="str">
        <f>[1]!hospitalinfo[[#This Row],[State]]</f>
        <v>CA</v>
      </c>
      <c r="C641" t="str">
        <f>[1]!hospitalinfo[[#This Row],[Hospital Type]]</f>
        <v>Critical Access Hospitals</v>
      </c>
      <c r="D641" t="str">
        <f>[1]!hospitalinfo[[#This Row],[Hospital Ownership]]</f>
        <v>Government - Hospital District or Authority</v>
      </c>
      <c r="E641" t="str" cm="1">
        <f t="array" ref="E641">_xlfn.IFNA(_xlfn.XLOOKUP(1,([1]!hcahps[Facility ID] = clean[[#This Row],[Facility ID]]) * ([1]!hcahps[HCAHPS Measure ID] = "H_HSP_RATING_LINEAR_SCORE"), [1]!hcahps[HCAHPS Linear Mean Value]), "No Match")</f>
        <v>Not Available</v>
      </c>
      <c r="F641" t="str" cm="1">
        <f t="array" ref="F641">_xlfn.IFNA(_xlfn.XLOOKUP(1,([1]!readmissions[Facility ID] = clean[[#This Row],[Facility ID]]) * ([1]!readmissions[Measure ID] = "Hybrid_HWR"), [1]!readmissions[Score]), "No Match")</f>
        <v>Not Available</v>
      </c>
    </row>
    <row r="642" spans="1:6" x14ac:dyDescent="0.2">
      <c r="A642" t="str">
        <f>[1]!hospitalinfo[[#This Row],[Facility ID]]</f>
        <v>051328</v>
      </c>
      <c r="B642" t="str">
        <f>[1]!hospitalinfo[[#This Row],[State]]</f>
        <v>CA</v>
      </c>
      <c r="C642" t="str">
        <f>[1]!hospitalinfo[[#This Row],[Hospital Type]]</f>
        <v>Critical Access Hospitals</v>
      </c>
      <c r="D642" t="str">
        <f>[1]!hospitalinfo[[#This Row],[Hospital Ownership]]</f>
        <v>Government - Hospital District or Authority</v>
      </c>
      <c r="E642" cm="1">
        <f t="array" ref="E642">_xlfn.IFNA(_xlfn.XLOOKUP(1,([1]!hcahps[Facility ID] = clean[[#This Row],[Facility ID]]) * ([1]!hcahps[HCAHPS Measure ID] = "H_HSP_RATING_LINEAR_SCORE"), [1]!hcahps[HCAHPS Linear Mean Value]), "No Match")</f>
        <v>95</v>
      </c>
      <c r="F642" cm="1">
        <f t="array" ref="F642">_xlfn.IFNA(_xlfn.XLOOKUP(1,([1]!readmissions[Facility ID] = clean[[#This Row],[Facility ID]]) * ([1]!readmissions[Measure ID] = "Hybrid_HWR"), [1]!readmissions[Score]), "No Match")</f>
        <v>14.9</v>
      </c>
    </row>
    <row r="643" spans="1:6" x14ac:dyDescent="0.2">
      <c r="A643" t="str">
        <f>[1]!hospitalinfo[[#This Row],[Facility ID]]</f>
        <v>051329</v>
      </c>
      <c r="B643" t="str">
        <f>[1]!hospitalinfo[[#This Row],[State]]</f>
        <v>CA</v>
      </c>
      <c r="C643" t="str">
        <f>[1]!hospitalinfo[[#This Row],[Hospital Type]]</f>
        <v>Critical Access Hospitals</v>
      </c>
      <c r="D643" t="str">
        <f>[1]!hospitalinfo[[#This Row],[Hospital Ownership]]</f>
        <v>Voluntary non-profit - Private</v>
      </c>
      <c r="E643" cm="1">
        <f t="array" ref="E643">_xlfn.IFNA(_xlfn.XLOOKUP(1,([1]!hcahps[Facility ID] = clean[[#This Row],[Facility ID]]) * ([1]!hcahps[HCAHPS Measure ID] = "H_HSP_RATING_LINEAR_SCORE"), [1]!hcahps[HCAHPS Linear Mean Value]), "No Match")</f>
        <v>90</v>
      </c>
      <c r="F643" cm="1">
        <f t="array" ref="F643">_xlfn.IFNA(_xlfn.XLOOKUP(1,([1]!readmissions[Facility ID] = clean[[#This Row],[Facility ID]]) * ([1]!readmissions[Measure ID] = "Hybrid_HWR"), [1]!readmissions[Score]), "No Match")</f>
        <v>13.8</v>
      </c>
    </row>
    <row r="644" spans="1:6" x14ac:dyDescent="0.2">
      <c r="A644" t="str">
        <f>[1]!hospitalinfo[[#This Row],[Facility ID]]</f>
        <v>051330</v>
      </c>
      <c r="B644" t="str">
        <f>[1]!hospitalinfo[[#This Row],[State]]</f>
        <v>CA</v>
      </c>
      <c r="C644" t="str">
        <f>[1]!hospitalinfo[[#This Row],[Hospital Type]]</f>
        <v>Critical Access Hospitals</v>
      </c>
      <c r="D644" t="str">
        <f>[1]!hospitalinfo[[#This Row],[Hospital Ownership]]</f>
        <v>Government - Hospital District or Authority</v>
      </c>
      <c r="E644" t="str" cm="1">
        <f t="array" ref="E644">_xlfn.IFNA(_xlfn.XLOOKUP(1,([1]!hcahps[Facility ID] = clean[[#This Row],[Facility ID]]) * ([1]!hcahps[HCAHPS Measure ID] = "H_HSP_RATING_LINEAR_SCORE"), [1]!hcahps[HCAHPS Linear Mean Value]), "No Match")</f>
        <v>Not Available</v>
      </c>
      <c r="F644" cm="1">
        <f t="array" ref="F644">_xlfn.IFNA(_xlfn.XLOOKUP(1,([1]!readmissions[Facility ID] = clean[[#This Row],[Facility ID]]) * ([1]!readmissions[Measure ID] = "Hybrid_HWR"), [1]!readmissions[Score]), "No Match")</f>
        <v>15</v>
      </c>
    </row>
    <row r="645" spans="1:6" x14ac:dyDescent="0.2">
      <c r="A645" t="str">
        <f>[1]!hospitalinfo[[#This Row],[Facility ID]]</f>
        <v>051331</v>
      </c>
      <c r="B645" t="str">
        <f>[1]!hospitalinfo[[#This Row],[State]]</f>
        <v>CA</v>
      </c>
      <c r="C645" t="str">
        <f>[1]!hospitalinfo[[#This Row],[Hospital Type]]</f>
        <v>Critical Access Hospitals</v>
      </c>
      <c r="D645" t="str">
        <f>[1]!hospitalinfo[[#This Row],[Hospital Ownership]]</f>
        <v>Voluntary non-profit - Private</v>
      </c>
      <c r="E645" t="str" cm="1">
        <f t="array" ref="E645">_xlfn.IFNA(_xlfn.XLOOKUP(1,([1]!hcahps[Facility ID] = clean[[#This Row],[Facility ID]]) * ([1]!hcahps[HCAHPS Measure ID] = "H_HSP_RATING_LINEAR_SCORE"), [1]!hcahps[HCAHPS Linear Mean Value]), "No Match")</f>
        <v>Not Available</v>
      </c>
      <c r="F645" cm="1">
        <f t="array" ref="F645">_xlfn.IFNA(_xlfn.XLOOKUP(1,([1]!readmissions[Facility ID] = clean[[#This Row],[Facility ID]]) * ([1]!readmissions[Measure ID] = "Hybrid_HWR"), [1]!readmissions[Score]), "No Match")</f>
        <v>15.4</v>
      </c>
    </row>
    <row r="646" spans="1:6" x14ac:dyDescent="0.2">
      <c r="A646" t="str">
        <f>[1]!hospitalinfo[[#This Row],[Facility ID]]</f>
        <v>051332</v>
      </c>
      <c r="B646" t="str">
        <f>[1]!hospitalinfo[[#This Row],[State]]</f>
        <v>CA</v>
      </c>
      <c r="C646" t="str">
        <f>[1]!hospitalinfo[[#This Row],[Hospital Type]]</f>
        <v>Critical Access Hospitals</v>
      </c>
      <c r="D646" t="str">
        <f>[1]!hospitalinfo[[#This Row],[Hospital Ownership]]</f>
        <v>Voluntary non-profit - Other</v>
      </c>
      <c r="E646" cm="1">
        <f t="array" ref="E646">_xlfn.IFNA(_xlfn.XLOOKUP(1,([1]!hcahps[Facility ID] = clean[[#This Row],[Facility ID]]) * ([1]!hcahps[HCAHPS Measure ID] = "H_HSP_RATING_LINEAR_SCORE"), [1]!hcahps[HCAHPS Linear Mean Value]), "No Match")</f>
        <v>92</v>
      </c>
      <c r="F646" cm="1">
        <f t="array" ref="F646">_xlfn.IFNA(_xlfn.XLOOKUP(1,([1]!readmissions[Facility ID] = clean[[#This Row],[Facility ID]]) * ([1]!readmissions[Measure ID] = "Hybrid_HWR"), [1]!readmissions[Score]), "No Match")</f>
        <v>15.2</v>
      </c>
    </row>
    <row r="647" spans="1:6" x14ac:dyDescent="0.2">
      <c r="A647" t="str">
        <f>[1]!hospitalinfo[[#This Row],[Facility ID]]</f>
        <v>051333</v>
      </c>
      <c r="B647" t="str">
        <f>[1]!hospitalinfo[[#This Row],[State]]</f>
        <v>CA</v>
      </c>
      <c r="C647" t="str">
        <f>[1]!hospitalinfo[[#This Row],[Hospital Type]]</f>
        <v>Critical Access Hospitals</v>
      </c>
      <c r="D647" t="str">
        <f>[1]!hospitalinfo[[#This Row],[Hospital Ownership]]</f>
        <v>Voluntary non-profit - Private</v>
      </c>
      <c r="E647" t="str" cm="1">
        <f t="array" ref="E647">_xlfn.IFNA(_xlfn.XLOOKUP(1,([1]!hcahps[Facility ID] = clean[[#This Row],[Facility ID]]) * ([1]!hcahps[HCAHPS Measure ID] = "H_HSP_RATING_LINEAR_SCORE"), [1]!hcahps[HCAHPS Linear Mean Value]), "No Match")</f>
        <v>Not Available</v>
      </c>
      <c r="F647" t="str" cm="1">
        <f t="array" ref="F647">_xlfn.IFNA(_xlfn.XLOOKUP(1,([1]!readmissions[Facility ID] = clean[[#This Row],[Facility ID]]) * ([1]!readmissions[Measure ID] = "Hybrid_HWR"), [1]!readmissions[Score]), "No Match")</f>
        <v>Not Available</v>
      </c>
    </row>
    <row r="648" spans="1:6" x14ac:dyDescent="0.2">
      <c r="A648" t="str">
        <f>[1]!hospitalinfo[[#This Row],[Facility ID]]</f>
        <v>051334</v>
      </c>
      <c r="B648" t="str">
        <f>[1]!hospitalinfo[[#This Row],[State]]</f>
        <v>CA</v>
      </c>
      <c r="C648" t="str">
        <f>[1]!hospitalinfo[[#This Row],[Hospital Type]]</f>
        <v>Critical Access Hospitals</v>
      </c>
      <c r="D648" t="str">
        <f>[1]!hospitalinfo[[#This Row],[Hospital Ownership]]</f>
        <v>Voluntary non-profit - Private</v>
      </c>
      <c r="E648" t="str" cm="1">
        <f t="array" ref="E648">_xlfn.IFNA(_xlfn.XLOOKUP(1,([1]!hcahps[Facility ID] = clean[[#This Row],[Facility ID]]) * ([1]!hcahps[HCAHPS Measure ID] = "H_HSP_RATING_LINEAR_SCORE"), [1]!hcahps[HCAHPS Linear Mean Value]), "No Match")</f>
        <v>Not Available</v>
      </c>
      <c r="F648" cm="1">
        <f t="array" ref="F648">_xlfn.IFNA(_xlfn.XLOOKUP(1,([1]!readmissions[Facility ID] = clean[[#This Row],[Facility ID]]) * ([1]!readmissions[Measure ID] = "Hybrid_HWR"), [1]!readmissions[Score]), "No Match")</f>
        <v>15</v>
      </c>
    </row>
    <row r="649" spans="1:6" x14ac:dyDescent="0.2">
      <c r="A649" t="str">
        <f>[1]!hospitalinfo[[#This Row],[Facility ID]]</f>
        <v>051335</v>
      </c>
      <c r="B649" t="str">
        <f>[1]!hospitalinfo[[#This Row],[State]]</f>
        <v>CA</v>
      </c>
      <c r="C649" t="str">
        <f>[1]!hospitalinfo[[#This Row],[Hospital Type]]</f>
        <v>Critical Access Hospitals</v>
      </c>
      <c r="D649" t="str">
        <f>[1]!hospitalinfo[[#This Row],[Hospital Ownership]]</f>
        <v>Government - Hospital District or Authority</v>
      </c>
      <c r="E649" t="str" cm="1">
        <f t="array" ref="E649">_xlfn.IFNA(_xlfn.XLOOKUP(1,([1]!hcahps[Facility ID] = clean[[#This Row],[Facility ID]]) * ([1]!hcahps[HCAHPS Measure ID] = "H_HSP_RATING_LINEAR_SCORE"), [1]!hcahps[HCAHPS Linear Mean Value]), "No Match")</f>
        <v>Not Available</v>
      </c>
      <c r="F649" t="str" cm="1">
        <f t="array" ref="F649">_xlfn.IFNA(_xlfn.XLOOKUP(1,([1]!readmissions[Facility ID] = clean[[#This Row],[Facility ID]]) * ([1]!readmissions[Measure ID] = "Hybrid_HWR"), [1]!readmissions[Score]), "No Match")</f>
        <v>Not Available</v>
      </c>
    </row>
    <row r="650" spans="1:6" x14ac:dyDescent="0.2">
      <c r="A650" t="str">
        <f>[1]!hospitalinfo[[#This Row],[Facility ID]]</f>
        <v>051336</v>
      </c>
      <c r="B650" t="str">
        <f>[1]!hospitalinfo[[#This Row],[State]]</f>
        <v>CA</v>
      </c>
      <c r="C650" t="str">
        <f>[1]!hospitalinfo[[#This Row],[Hospital Type]]</f>
        <v>Critical Access Hospitals</v>
      </c>
      <c r="D650" t="str">
        <f>[1]!hospitalinfo[[#This Row],[Hospital Ownership]]</f>
        <v>Voluntary non-profit - Other</v>
      </c>
      <c r="E650" t="str" cm="1">
        <f t="array" ref="E650">_xlfn.IFNA(_xlfn.XLOOKUP(1,([1]!hcahps[Facility ID] = clean[[#This Row],[Facility ID]]) * ([1]!hcahps[HCAHPS Measure ID] = "H_HSP_RATING_LINEAR_SCORE"), [1]!hcahps[HCAHPS Linear Mean Value]), "No Match")</f>
        <v>Not Available</v>
      </c>
      <c r="F650" cm="1">
        <f t="array" ref="F650">_xlfn.IFNA(_xlfn.XLOOKUP(1,([1]!readmissions[Facility ID] = clean[[#This Row],[Facility ID]]) * ([1]!readmissions[Measure ID] = "Hybrid_HWR"), [1]!readmissions[Score]), "No Match")</f>
        <v>15.1</v>
      </c>
    </row>
    <row r="651" spans="1:6" x14ac:dyDescent="0.2">
      <c r="A651" t="str">
        <f>[1]!hospitalinfo[[#This Row],[Facility ID]]</f>
        <v>051337</v>
      </c>
      <c r="B651" t="str">
        <f>[1]!hospitalinfo[[#This Row],[State]]</f>
        <v>CA</v>
      </c>
      <c r="C651" t="str">
        <f>[1]!hospitalinfo[[#This Row],[Hospital Type]]</f>
        <v>Critical Access Hospitals</v>
      </c>
      <c r="D651" t="str">
        <f>[1]!hospitalinfo[[#This Row],[Hospital Ownership]]</f>
        <v>Government - Hospital District or Authority</v>
      </c>
      <c r="E651" t="str" cm="1">
        <f t="array" ref="E651">_xlfn.IFNA(_xlfn.XLOOKUP(1,([1]!hcahps[Facility ID] = clean[[#This Row],[Facility ID]]) * ([1]!hcahps[HCAHPS Measure ID] = "H_HSP_RATING_LINEAR_SCORE"), [1]!hcahps[HCAHPS Linear Mean Value]), "No Match")</f>
        <v>Not Available</v>
      </c>
      <c r="F651" t="str" cm="1">
        <f t="array" ref="F651">_xlfn.IFNA(_xlfn.XLOOKUP(1,([1]!readmissions[Facility ID] = clean[[#This Row],[Facility ID]]) * ([1]!readmissions[Measure ID] = "Hybrid_HWR"), [1]!readmissions[Score]), "No Match")</f>
        <v>Not Available</v>
      </c>
    </row>
    <row r="652" spans="1:6" x14ac:dyDescent="0.2">
      <c r="A652" t="str">
        <f>[1]!hospitalinfo[[#This Row],[Facility ID]]</f>
        <v>051338</v>
      </c>
      <c r="B652" t="str">
        <f>[1]!hospitalinfo[[#This Row],[State]]</f>
        <v>CA</v>
      </c>
      <c r="C652" t="str">
        <f>[1]!hospitalinfo[[#This Row],[Hospital Type]]</f>
        <v>Critical Access Hospitals</v>
      </c>
      <c r="D652" t="str">
        <f>[1]!hospitalinfo[[#This Row],[Hospital Ownership]]</f>
        <v>Government - Hospital District or Authority</v>
      </c>
      <c r="E652" t="str" cm="1">
        <f t="array" ref="E652">_xlfn.IFNA(_xlfn.XLOOKUP(1,([1]!hcahps[Facility ID] = clean[[#This Row],[Facility ID]]) * ([1]!hcahps[HCAHPS Measure ID] = "H_HSP_RATING_LINEAR_SCORE"), [1]!hcahps[HCAHPS Linear Mean Value]), "No Match")</f>
        <v>Not Available</v>
      </c>
      <c r="F652" t="str" cm="1">
        <f t="array" ref="F652">_xlfn.IFNA(_xlfn.XLOOKUP(1,([1]!readmissions[Facility ID] = clean[[#This Row],[Facility ID]]) * ([1]!readmissions[Measure ID] = "Hybrid_HWR"), [1]!readmissions[Score]), "No Match")</f>
        <v>Not Available</v>
      </c>
    </row>
    <row r="653" spans="1:6" x14ac:dyDescent="0.2">
      <c r="A653" t="str">
        <f>[1]!hospitalinfo[[#This Row],[Facility ID]]</f>
        <v>051339</v>
      </c>
      <c r="B653" t="str">
        <f>[1]!hospitalinfo[[#This Row],[State]]</f>
        <v>CA</v>
      </c>
      <c r="C653" t="str">
        <f>[1]!hospitalinfo[[#This Row],[Hospital Type]]</f>
        <v>Critical Access Hospitals</v>
      </c>
      <c r="D653" t="str">
        <f>[1]!hospitalinfo[[#This Row],[Hospital Ownership]]</f>
        <v>Government - Hospital District or Authority</v>
      </c>
      <c r="E653" t="str" cm="1">
        <f t="array" ref="E653">_xlfn.IFNA(_xlfn.XLOOKUP(1,([1]!hcahps[Facility ID] = clean[[#This Row],[Facility ID]]) * ([1]!hcahps[HCAHPS Measure ID] = "H_HSP_RATING_LINEAR_SCORE"), [1]!hcahps[HCAHPS Linear Mean Value]), "No Match")</f>
        <v>Not Available</v>
      </c>
      <c r="F653" t="str" cm="1">
        <f t="array" ref="F653">_xlfn.IFNA(_xlfn.XLOOKUP(1,([1]!readmissions[Facility ID] = clean[[#This Row],[Facility ID]]) * ([1]!readmissions[Measure ID] = "Hybrid_HWR"), [1]!readmissions[Score]), "No Match")</f>
        <v>Not Available</v>
      </c>
    </row>
    <row r="654" spans="1:6" x14ac:dyDescent="0.2">
      <c r="A654" t="str">
        <f>[1]!hospitalinfo[[#This Row],[Facility ID]]</f>
        <v>053300</v>
      </c>
      <c r="B654" t="str">
        <f>[1]!hospitalinfo[[#This Row],[State]]</f>
        <v>CA</v>
      </c>
      <c r="C654" t="str">
        <f>[1]!hospitalinfo[[#This Row],[Hospital Type]]</f>
        <v>Childrens</v>
      </c>
      <c r="D654" t="str">
        <f>[1]!hospitalinfo[[#This Row],[Hospital Ownership]]</f>
        <v>Voluntary non-profit - Private</v>
      </c>
      <c r="E654" t="str" cm="1">
        <f t="array" ref="E654">_xlfn.IFNA(_xlfn.XLOOKUP(1,([1]!hcahps[Facility ID] = clean[[#This Row],[Facility ID]]) * ([1]!hcahps[HCAHPS Measure ID] = "H_HSP_RATING_LINEAR_SCORE"), [1]!hcahps[HCAHPS Linear Mean Value]), "No Match")</f>
        <v>Not Available</v>
      </c>
      <c r="F654" t="str" cm="1">
        <f t="array" ref="F654">_xlfn.IFNA(_xlfn.XLOOKUP(1,([1]!readmissions[Facility ID] = clean[[#This Row],[Facility ID]]) * ([1]!readmissions[Measure ID] = "Hybrid_HWR"), [1]!readmissions[Score]), "No Match")</f>
        <v>Not Available</v>
      </c>
    </row>
    <row r="655" spans="1:6" x14ac:dyDescent="0.2">
      <c r="A655" t="str">
        <f>[1]!hospitalinfo[[#This Row],[Facility ID]]</f>
        <v>053301</v>
      </c>
      <c r="B655" t="str">
        <f>[1]!hospitalinfo[[#This Row],[State]]</f>
        <v>CA</v>
      </c>
      <c r="C655" t="str">
        <f>[1]!hospitalinfo[[#This Row],[Hospital Type]]</f>
        <v>Childrens</v>
      </c>
      <c r="D655" t="str">
        <f>[1]!hospitalinfo[[#This Row],[Hospital Ownership]]</f>
        <v>Voluntary non-profit - Private</v>
      </c>
      <c r="E655" t="str" cm="1">
        <f t="array" ref="E655">_xlfn.IFNA(_xlfn.XLOOKUP(1,([1]!hcahps[Facility ID] = clean[[#This Row],[Facility ID]]) * ([1]!hcahps[HCAHPS Measure ID] = "H_HSP_RATING_LINEAR_SCORE"), [1]!hcahps[HCAHPS Linear Mean Value]), "No Match")</f>
        <v>Not Available</v>
      </c>
      <c r="F655" t="str" cm="1">
        <f t="array" ref="F655">_xlfn.IFNA(_xlfn.XLOOKUP(1,([1]!readmissions[Facility ID] = clean[[#This Row],[Facility ID]]) * ([1]!readmissions[Measure ID] = "Hybrid_HWR"), [1]!readmissions[Score]), "No Match")</f>
        <v>Not Available</v>
      </c>
    </row>
    <row r="656" spans="1:6" x14ac:dyDescent="0.2">
      <c r="A656" t="str">
        <f>[1]!hospitalinfo[[#This Row],[Facility ID]]</f>
        <v>053302</v>
      </c>
      <c r="B656" t="str">
        <f>[1]!hospitalinfo[[#This Row],[State]]</f>
        <v>CA</v>
      </c>
      <c r="C656" t="str">
        <f>[1]!hospitalinfo[[#This Row],[Hospital Type]]</f>
        <v>Childrens</v>
      </c>
      <c r="D656" t="str">
        <f>[1]!hospitalinfo[[#This Row],[Hospital Ownership]]</f>
        <v>Voluntary non-profit - Private</v>
      </c>
      <c r="E656" t="str" cm="1">
        <f t="array" ref="E656">_xlfn.IFNA(_xlfn.XLOOKUP(1,([1]!hcahps[Facility ID] = clean[[#This Row],[Facility ID]]) * ([1]!hcahps[HCAHPS Measure ID] = "H_HSP_RATING_LINEAR_SCORE"), [1]!hcahps[HCAHPS Linear Mean Value]), "No Match")</f>
        <v>Not Available</v>
      </c>
      <c r="F656" t="str" cm="1">
        <f t="array" ref="F656">_xlfn.IFNA(_xlfn.XLOOKUP(1,([1]!readmissions[Facility ID] = clean[[#This Row],[Facility ID]]) * ([1]!readmissions[Measure ID] = "Hybrid_HWR"), [1]!readmissions[Score]), "No Match")</f>
        <v>Not Available</v>
      </c>
    </row>
    <row r="657" spans="1:6" x14ac:dyDescent="0.2">
      <c r="A657" t="str">
        <f>[1]!hospitalinfo[[#This Row],[Facility ID]]</f>
        <v>053303</v>
      </c>
      <c r="B657" t="str">
        <f>[1]!hospitalinfo[[#This Row],[State]]</f>
        <v>CA</v>
      </c>
      <c r="C657" t="str">
        <f>[1]!hospitalinfo[[#This Row],[Hospital Type]]</f>
        <v>Childrens</v>
      </c>
      <c r="D657" t="str">
        <f>[1]!hospitalinfo[[#This Row],[Hospital Ownership]]</f>
        <v>Voluntary non-profit - Other</v>
      </c>
      <c r="E657" t="str" cm="1">
        <f t="array" ref="E657">_xlfn.IFNA(_xlfn.XLOOKUP(1,([1]!hcahps[Facility ID] = clean[[#This Row],[Facility ID]]) * ([1]!hcahps[HCAHPS Measure ID] = "H_HSP_RATING_LINEAR_SCORE"), [1]!hcahps[HCAHPS Linear Mean Value]), "No Match")</f>
        <v>Not Available</v>
      </c>
      <c r="F657" t="str" cm="1">
        <f t="array" ref="F657">_xlfn.IFNA(_xlfn.XLOOKUP(1,([1]!readmissions[Facility ID] = clean[[#This Row],[Facility ID]]) * ([1]!readmissions[Measure ID] = "Hybrid_HWR"), [1]!readmissions[Score]), "No Match")</f>
        <v>Not Available</v>
      </c>
    </row>
    <row r="658" spans="1:6" x14ac:dyDescent="0.2">
      <c r="A658" t="str">
        <f>[1]!hospitalinfo[[#This Row],[Facility ID]]</f>
        <v>053304</v>
      </c>
      <c r="B658" t="str">
        <f>[1]!hospitalinfo[[#This Row],[State]]</f>
        <v>CA</v>
      </c>
      <c r="C658" t="str">
        <f>[1]!hospitalinfo[[#This Row],[Hospital Type]]</f>
        <v>Childrens</v>
      </c>
      <c r="D658" t="str">
        <f>[1]!hospitalinfo[[#This Row],[Hospital Ownership]]</f>
        <v>Voluntary non-profit - Other</v>
      </c>
      <c r="E658" t="str" cm="1">
        <f t="array" ref="E658">_xlfn.IFNA(_xlfn.XLOOKUP(1,([1]!hcahps[Facility ID] = clean[[#This Row],[Facility ID]]) * ([1]!hcahps[HCAHPS Measure ID] = "H_HSP_RATING_LINEAR_SCORE"), [1]!hcahps[HCAHPS Linear Mean Value]), "No Match")</f>
        <v>Not Available</v>
      </c>
      <c r="F658" t="str" cm="1">
        <f t="array" ref="F658">_xlfn.IFNA(_xlfn.XLOOKUP(1,([1]!readmissions[Facility ID] = clean[[#This Row],[Facility ID]]) * ([1]!readmissions[Measure ID] = "Hybrid_HWR"), [1]!readmissions[Score]), "No Match")</f>
        <v>Not Available</v>
      </c>
    </row>
    <row r="659" spans="1:6" x14ac:dyDescent="0.2">
      <c r="A659" t="str">
        <f>[1]!hospitalinfo[[#This Row],[Facility ID]]</f>
        <v>053305</v>
      </c>
      <c r="B659" t="str">
        <f>[1]!hospitalinfo[[#This Row],[State]]</f>
        <v>CA</v>
      </c>
      <c r="C659" t="str">
        <f>[1]!hospitalinfo[[#This Row],[Hospital Type]]</f>
        <v>Childrens</v>
      </c>
      <c r="D659" t="str">
        <f>[1]!hospitalinfo[[#This Row],[Hospital Ownership]]</f>
        <v>Voluntary non-profit - Private</v>
      </c>
      <c r="E659" t="str" cm="1">
        <f t="array" ref="E659">_xlfn.IFNA(_xlfn.XLOOKUP(1,([1]!hcahps[Facility ID] = clean[[#This Row],[Facility ID]]) * ([1]!hcahps[HCAHPS Measure ID] = "H_HSP_RATING_LINEAR_SCORE"), [1]!hcahps[HCAHPS Linear Mean Value]), "No Match")</f>
        <v>Not Available</v>
      </c>
      <c r="F659" t="str" cm="1">
        <f t="array" ref="F659">_xlfn.IFNA(_xlfn.XLOOKUP(1,([1]!readmissions[Facility ID] = clean[[#This Row],[Facility ID]]) * ([1]!readmissions[Measure ID] = "Hybrid_HWR"), [1]!readmissions[Score]), "No Match")</f>
        <v>Not Available</v>
      </c>
    </row>
    <row r="660" spans="1:6" x14ac:dyDescent="0.2">
      <c r="A660" t="str">
        <f>[1]!hospitalinfo[[#This Row],[Facility ID]]</f>
        <v>053306</v>
      </c>
      <c r="B660" t="str">
        <f>[1]!hospitalinfo[[#This Row],[State]]</f>
        <v>CA</v>
      </c>
      <c r="C660" t="str">
        <f>[1]!hospitalinfo[[#This Row],[Hospital Type]]</f>
        <v>Childrens</v>
      </c>
      <c r="D660" t="str">
        <f>[1]!hospitalinfo[[#This Row],[Hospital Ownership]]</f>
        <v>Voluntary non-profit - Private</v>
      </c>
      <c r="E660" t="str" cm="1">
        <f t="array" ref="E660">_xlfn.IFNA(_xlfn.XLOOKUP(1,([1]!hcahps[Facility ID] = clean[[#This Row],[Facility ID]]) * ([1]!hcahps[HCAHPS Measure ID] = "H_HSP_RATING_LINEAR_SCORE"), [1]!hcahps[HCAHPS Linear Mean Value]), "No Match")</f>
        <v>Not Available</v>
      </c>
      <c r="F660" t="str" cm="1">
        <f t="array" ref="F660">_xlfn.IFNA(_xlfn.XLOOKUP(1,([1]!readmissions[Facility ID] = clean[[#This Row],[Facility ID]]) * ([1]!readmissions[Measure ID] = "Hybrid_HWR"), [1]!readmissions[Score]), "No Match")</f>
        <v>Not Available</v>
      </c>
    </row>
    <row r="661" spans="1:6" x14ac:dyDescent="0.2">
      <c r="A661" t="str">
        <f>[1]!hospitalinfo[[#This Row],[Facility ID]]</f>
        <v>053308</v>
      </c>
      <c r="B661" t="str">
        <f>[1]!hospitalinfo[[#This Row],[State]]</f>
        <v>CA</v>
      </c>
      <c r="C661" t="str">
        <f>[1]!hospitalinfo[[#This Row],[Hospital Type]]</f>
        <v>Childrens</v>
      </c>
      <c r="D661" t="str">
        <f>[1]!hospitalinfo[[#This Row],[Hospital Ownership]]</f>
        <v>Proprietary</v>
      </c>
      <c r="E661" t="str" cm="1">
        <f t="array" ref="E661">_xlfn.IFNA(_xlfn.XLOOKUP(1,([1]!hcahps[Facility ID] = clean[[#This Row],[Facility ID]]) * ([1]!hcahps[HCAHPS Measure ID] = "H_HSP_RATING_LINEAR_SCORE"), [1]!hcahps[HCAHPS Linear Mean Value]), "No Match")</f>
        <v>Not Available</v>
      </c>
      <c r="F661" t="str" cm="1">
        <f t="array" ref="F661">_xlfn.IFNA(_xlfn.XLOOKUP(1,([1]!readmissions[Facility ID] = clean[[#This Row],[Facility ID]]) * ([1]!readmissions[Measure ID] = "Hybrid_HWR"), [1]!readmissions[Score]), "No Match")</f>
        <v>Not Available</v>
      </c>
    </row>
    <row r="662" spans="1:6" x14ac:dyDescent="0.2">
      <c r="A662" t="str">
        <f>[1]!hospitalinfo[[#This Row],[Facility ID]]</f>
        <v>053309</v>
      </c>
      <c r="B662" t="str">
        <f>[1]!hospitalinfo[[#This Row],[State]]</f>
        <v>CA</v>
      </c>
      <c r="C662" t="str">
        <f>[1]!hospitalinfo[[#This Row],[Hospital Type]]</f>
        <v>Childrens</v>
      </c>
      <c r="D662" t="str">
        <f>[1]!hospitalinfo[[#This Row],[Hospital Ownership]]</f>
        <v>Voluntary non-profit - Other</v>
      </c>
      <c r="E662" t="str" cm="1">
        <f t="array" ref="E662">_xlfn.IFNA(_xlfn.XLOOKUP(1,([1]!hcahps[Facility ID] = clean[[#This Row],[Facility ID]]) * ([1]!hcahps[HCAHPS Measure ID] = "H_HSP_RATING_LINEAR_SCORE"), [1]!hcahps[HCAHPS Linear Mean Value]), "No Match")</f>
        <v>Not Available</v>
      </c>
      <c r="F662" t="str" cm="1">
        <f t="array" ref="F662">_xlfn.IFNA(_xlfn.XLOOKUP(1,([1]!readmissions[Facility ID] = clean[[#This Row],[Facility ID]]) * ([1]!readmissions[Measure ID] = "Hybrid_HWR"), [1]!readmissions[Score]), "No Match")</f>
        <v>Not Available</v>
      </c>
    </row>
    <row r="663" spans="1:6" x14ac:dyDescent="0.2">
      <c r="A663" t="str">
        <f>[1]!hospitalinfo[[#This Row],[Facility ID]]</f>
        <v>053311</v>
      </c>
      <c r="B663" t="str">
        <f>[1]!hospitalinfo[[#This Row],[State]]</f>
        <v>CA</v>
      </c>
      <c r="C663" t="str">
        <f>[1]!hospitalinfo[[#This Row],[Hospital Type]]</f>
        <v>Childrens</v>
      </c>
      <c r="D663" t="str">
        <f>[1]!hospitalinfo[[#This Row],[Hospital Ownership]]</f>
        <v>Voluntary non-profit - Private</v>
      </c>
      <c r="E663" t="str" cm="1">
        <f t="array" ref="E663">_xlfn.IFNA(_xlfn.XLOOKUP(1,([1]!hcahps[Facility ID] = clean[[#This Row],[Facility ID]]) * ([1]!hcahps[HCAHPS Measure ID] = "H_HSP_RATING_LINEAR_SCORE"), [1]!hcahps[HCAHPS Linear Mean Value]), "No Match")</f>
        <v>Not Available</v>
      </c>
      <c r="F663" t="str" cm="1">
        <f t="array" ref="F663">_xlfn.IFNA(_xlfn.XLOOKUP(1,([1]!readmissions[Facility ID] = clean[[#This Row],[Facility ID]]) * ([1]!readmissions[Measure ID] = "Hybrid_HWR"), [1]!readmissions[Score]), "No Match")</f>
        <v>Not Available</v>
      </c>
    </row>
    <row r="664" spans="1:6" x14ac:dyDescent="0.2">
      <c r="A664" t="str">
        <f>[1]!hospitalinfo[[#This Row],[Facility ID]]</f>
        <v>054009</v>
      </c>
      <c r="B664" t="str">
        <f>[1]!hospitalinfo[[#This Row],[State]]</f>
        <v>CA</v>
      </c>
      <c r="C664" t="str">
        <f>[1]!hospitalinfo[[#This Row],[Hospital Type]]</f>
        <v>Psychiatric</v>
      </c>
      <c r="D664" t="str">
        <f>[1]!hospitalinfo[[#This Row],[Hospital Ownership]]</f>
        <v>Government - State</v>
      </c>
      <c r="E664" t="str" cm="1">
        <f t="array" ref="E664">_xlfn.IFNA(_xlfn.XLOOKUP(1,([1]!hcahps[Facility ID] = clean[[#This Row],[Facility ID]]) * ([1]!hcahps[HCAHPS Measure ID] = "H_HSP_RATING_LINEAR_SCORE"), [1]!hcahps[HCAHPS Linear Mean Value]), "No Match")</f>
        <v>No Match</v>
      </c>
      <c r="F664" t="str" cm="1">
        <f t="array" ref="F664">_xlfn.IFNA(_xlfn.XLOOKUP(1,([1]!readmissions[Facility ID] = clean[[#This Row],[Facility ID]]) * ([1]!readmissions[Measure ID] = "Hybrid_HWR"), [1]!readmissions[Score]), "No Match")</f>
        <v>No Match</v>
      </c>
    </row>
    <row r="665" spans="1:6" x14ac:dyDescent="0.2">
      <c r="A665" t="str">
        <f>[1]!hospitalinfo[[#This Row],[Facility ID]]</f>
        <v>054028</v>
      </c>
      <c r="B665" t="str">
        <f>[1]!hospitalinfo[[#This Row],[State]]</f>
        <v>CA</v>
      </c>
      <c r="C665" t="str">
        <f>[1]!hospitalinfo[[#This Row],[Hospital Type]]</f>
        <v>Psychiatric</v>
      </c>
      <c r="D665" t="str">
        <f>[1]!hospitalinfo[[#This Row],[Hospital Ownership]]</f>
        <v>Proprietary</v>
      </c>
      <c r="E665" t="str" cm="1">
        <f t="array" ref="E665">_xlfn.IFNA(_xlfn.XLOOKUP(1,([1]!hcahps[Facility ID] = clean[[#This Row],[Facility ID]]) * ([1]!hcahps[HCAHPS Measure ID] = "H_HSP_RATING_LINEAR_SCORE"), [1]!hcahps[HCAHPS Linear Mean Value]), "No Match")</f>
        <v>No Match</v>
      </c>
      <c r="F665" t="str" cm="1">
        <f t="array" ref="F665">_xlfn.IFNA(_xlfn.XLOOKUP(1,([1]!readmissions[Facility ID] = clean[[#This Row],[Facility ID]]) * ([1]!readmissions[Measure ID] = "Hybrid_HWR"), [1]!readmissions[Score]), "No Match")</f>
        <v>No Match</v>
      </c>
    </row>
    <row r="666" spans="1:6" x14ac:dyDescent="0.2">
      <c r="A666" t="str">
        <f>[1]!hospitalinfo[[#This Row],[Facility ID]]</f>
        <v>054032</v>
      </c>
      <c r="B666" t="str">
        <f>[1]!hospitalinfo[[#This Row],[State]]</f>
        <v>CA</v>
      </c>
      <c r="C666" t="str">
        <f>[1]!hospitalinfo[[#This Row],[Hospital Type]]</f>
        <v>Psychiatric</v>
      </c>
      <c r="D666" t="str">
        <f>[1]!hospitalinfo[[#This Row],[Hospital Ownership]]</f>
        <v>Proprietary</v>
      </c>
      <c r="E666" t="str" cm="1">
        <f t="array" ref="E666">_xlfn.IFNA(_xlfn.XLOOKUP(1,([1]!hcahps[Facility ID] = clean[[#This Row],[Facility ID]]) * ([1]!hcahps[HCAHPS Measure ID] = "H_HSP_RATING_LINEAR_SCORE"), [1]!hcahps[HCAHPS Linear Mean Value]), "No Match")</f>
        <v>No Match</v>
      </c>
      <c r="F666" t="str" cm="1">
        <f t="array" ref="F666">_xlfn.IFNA(_xlfn.XLOOKUP(1,([1]!readmissions[Facility ID] = clean[[#This Row],[Facility ID]]) * ([1]!readmissions[Measure ID] = "Hybrid_HWR"), [1]!readmissions[Score]), "No Match")</f>
        <v>No Match</v>
      </c>
    </row>
    <row r="667" spans="1:6" x14ac:dyDescent="0.2">
      <c r="A667" t="str">
        <f>[1]!hospitalinfo[[#This Row],[Facility ID]]</f>
        <v>054053</v>
      </c>
      <c r="B667" t="str">
        <f>[1]!hospitalinfo[[#This Row],[State]]</f>
        <v>CA</v>
      </c>
      <c r="C667" t="str">
        <f>[1]!hospitalinfo[[#This Row],[Hospital Type]]</f>
        <v>Psychiatric</v>
      </c>
      <c r="D667" t="str">
        <f>[1]!hospitalinfo[[#This Row],[Hospital Ownership]]</f>
        <v>Proprietary</v>
      </c>
      <c r="E667" t="str" cm="1">
        <f t="array" ref="E667">_xlfn.IFNA(_xlfn.XLOOKUP(1,([1]!hcahps[Facility ID] = clean[[#This Row],[Facility ID]]) * ([1]!hcahps[HCAHPS Measure ID] = "H_HSP_RATING_LINEAR_SCORE"), [1]!hcahps[HCAHPS Linear Mean Value]), "No Match")</f>
        <v>No Match</v>
      </c>
      <c r="F667" t="str" cm="1">
        <f t="array" ref="F667">_xlfn.IFNA(_xlfn.XLOOKUP(1,([1]!readmissions[Facility ID] = clean[[#This Row],[Facility ID]]) * ([1]!readmissions[Measure ID] = "Hybrid_HWR"), [1]!readmissions[Score]), "No Match")</f>
        <v>No Match</v>
      </c>
    </row>
    <row r="668" spans="1:6" x14ac:dyDescent="0.2">
      <c r="A668" t="str">
        <f>[1]!hospitalinfo[[#This Row],[Facility ID]]</f>
        <v>054055</v>
      </c>
      <c r="B668" t="str">
        <f>[1]!hospitalinfo[[#This Row],[State]]</f>
        <v>CA</v>
      </c>
      <c r="C668" t="str">
        <f>[1]!hospitalinfo[[#This Row],[Hospital Type]]</f>
        <v>Psychiatric</v>
      </c>
      <c r="D668" t="str">
        <f>[1]!hospitalinfo[[#This Row],[Hospital Ownership]]</f>
        <v>Proprietary</v>
      </c>
      <c r="E668" t="str" cm="1">
        <f t="array" ref="E668">_xlfn.IFNA(_xlfn.XLOOKUP(1,([1]!hcahps[Facility ID] = clean[[#This Row],[Facility ID]]) * ([1]!hcahps[HCAHPS Measure ID] = "H_HSP_RATING_LINEAR_SCORE"), [1]!hcahps[HCAHPS Linear Mean Value]), "No Match")</f>
        <v>No Match</v>
      </c>
      <c r="F668" t="str" cm="1">
        <f t="array" ref="F668">_xlfn.IFNA(_xlfn.XLOOKUP(1,([1]!readmissions[Facility ID] = clean[[#This Row],[Facility ID]]) * ([1]!readmissions[Measure ID] = "Hybrid_HWR"), [1]!readmissions[Score]), "No Match")</f>
        <v>No Match</v>
      </c>
    </row>
    <row r="669" spans="1:6" x14ac:dyDescent="0.2">
      <c r="A669" t="str">
        <f>[1]!hospitalinfo[[#This Row],[Facility ID]]</f>
        <v>054069</v>
      </c>
      <c r="B669" t="str">
        <f>[1]!hospitalinfo[[#This Row],[State]]</f>
        <v>CA</v>
      </c>
      <c r="C669" t="str">
        <f>[1]!hospitalinfo[[#This Row],[Hospital Type]]</f>
        <v>Psychiatric</v>
      </c>
      <c r="D669" t="str">
        <f>[1]!hospitalinfo[[#This Row],[Hospital Ownership]]</f>
        <v>Voluntary non-profit - Church</v>
      </c>
      <c r="E669" t="str" cm="1">
        <f t="array" ref="E669">_xlfn.IFNA(_xlfn.XLOOKUP(1,([1]!hcahps[Facility ID] = clean[[#This Row],[Facility ID]]) * ([1]!hcahps[HCAHPS Measure ID] = "H_HSP_RATING_LINEAR_SCORE"), [1]!hcahps[HCAHPS Linear Mean Value]), "No Match")</f>
        <v>No Match</v>
      </c>
      <c r="F669" t="str" cm="1">
        <f t="array" ref="F669">_xlfn.IFNA(_xlfn.XLOOKUP(1,([1]!readmissions[Facility ID] = clean[[#This Row],[Facility ID]]) * ([1]!readmissions[Measure ID] = "Hybrid_HWR"), [1]!readmissions[Score]), "No Match")</f>
        <v>No Match</v>
      </c>
    </row>
    <row r="670" spans="1:6" x14ac:dyDescent="0.2">
      <c r="A670" t="str">
        <f>[1]!hospitalinfo[[#This Row],[Facility ID]]</f>
        <v>054074</v>
      </c>
      <c r="B670" t="str">
        <f>[1]!hospitalinfo[[#This Row],[State]]</f>
        <v>CA</v>
      </c>
      <c r="C670" t="str">
        <f>[1]!hospitalinfo[[#This Row],[Hospital Type]]</f>
        <v>Psychiatric</v>
      </c>
      <c r="D670" t="str">
        <f>[1]!hospitalinfo[[#This Row],[Hospital Ownership]]</f>
        <v>Voluntary non-profit - Private</v>
      </c>
      <c r="E670" t="str" cm="1">
        <f t="array" ref="E670">_xlfn.IFNA(_xlfn.XLOOKUP(1,([1]!hcahps[Facility ID] = clean[[#This Row],[Facility ID]]) * ([1]!hcahps[HCAHPS Measure ID] = "H_HSP_RATING_LINEAR_SCORE"), [1]!hcahps[HCAHPS Linear Mean Value]), "No Match")</f>
        <v>No Match</v>
      </c>
      <c r="F670" t="str" cm="1">
        <f t="array" ref="F670">_xlfn.IFNA(_xlfn.XLOOKUP(1,([1]!readmissions[Facility ID] = clean[[#This Row],[Facility ID]]) * ([1]!readmissions[Measure ID] = "Hybrid_HWR"), [1]!readmissions[Score]), "No Match")</f>
        <v>No Match</v>
      </c>
    </row>
    <row r="671" spans="1:6" x14ac:dyDescent="0.2">
      <c r="A671" t="str">
        <f>[1]!hospitalinfo[[#This Row],[Facility ID]]</f>
        <v>054075</v>
      </c>
      <c r="B671" t="str">
        <f>[1]!hospitalinfo[[#This Row],[State]]</f>
        <v>CA</v>
      </c>
      <c r="C671" t="str">
        <f>[1]!hospitalinfo[[#This Row],[Hospital Type]]</f>
        <v>Psychiatric</v>
      </c>
      <c r="D671" t="str">
        <f>[1]!hospitalinfo[[#This Row],[Hospital Ownership]]</f>
        <v>Voluntary non-profit - Private</v>
      </c>
      <c r="E671" t="str" cm="1">
        <f t="array" ref="E671">_xlfn.IFNA(_xlfn.XLOOKUP(1,([1]!hcahps[Facility ID] = clean[[#This Row],[Facility ID]]) * ([1]!hcahps[HCAHPS Measure ID] = "H_HSP_RATING_LINEAR_SCORE"), [1]!hcahps[HCAHPS Linear Mean Value]), "No Match")</f>
        <v>No Match</v>
      </c>
      <c r="F671" t="str" cm="1">
        <f t="array" ref="F671">_xlfn.IFNA(_xlfn.XLOOKUP(1,([1]!readmissions[Facility ID] = clean[[#This Row],[Facility ID]]) * ([1]!readmissions[Measure ID] = "Hybrid_HWR"), [1]!readmissions[Score]), "No Match")</f>
        <v>No Match</v>
      </c>
    </row>
    <row r="672" spans="1:6" x14ac:dyDescent="0.2">
      <c r="A672" t="str">
        <f>[1]!hospitalinfo[[#This Row],[Facility ID]]</f>
        <v>054077</v>
      </c>
      <c r="B672" t="str">
        <f>[1]!hospitalinfo[[#This Row],[State]]</f>
        <v>CA</v>
      </c>
      <c r="C672" t="str">
        <f>[1]!hospitalinfo[[#This Row],[Hospital Type]]</f>
        <v>Psychiatric</v>
      </c>
      <c r="D672" t="str">
        <f>[1]!hospitalinfo[[#This Row],[Hospital Ownership]]</f>
        <v>Proprietary</v>
      </c>
      <c r="E672" t="str" cm="1">
        <f t="array" ref="E672">_xlfn.IFNA(_xlfn.XLOOKUP(1,([1]!hcahps[Facility ID] = clean[[#This Row],[Facility ID]]) * ([1]!hcahps[HCAHPS Measure ID] = "H_HSP_RATING_LINEAR_SCORE"), [1]!hcahps[HCAHPS Linear Mean Value]), "No Match")</f>
        <v>No Match</v>
      </c>
      <c r="F672" t="str" cm="1">
        <f t="array" ref="F672">_xlfn.IFNA(_xlfn.XLOOKUP(1,([1]!readmissions[Facility ID] = clean[[#This Row],[Facility ID]]) * ([1]!readmissions[Measure ID] = "Hybrid_HWR"), [1]!readmissions[Score]), "No Match")</f>
        <v>No Match</v>
      </c>
    </row>
    <row r="673" spans="1:6" x14ac:dyDescent="0.2">
      <c r="A673" t="str">
        <f>[1]!hospitalinfo[[#This Row],[Facility ID]]</f>
        <v>054078</v>
      </c>
      <c r="B673" t="str">
        <f>[1]!hospitalinfo[[#This Row],[State]]</f>
        <v>CA</v>
      </c>
      <c r="C673" t="str">
        <f>[1]!hospitalinfo[[#This Row],[Hospital Type]]</f>
        <v>Psychiatric</v>
      </c>
      <c r="D673" t="str">
        <f>[1]!hospitalinfo[[#This Row],[Hospital Ownership]]</f>
        <v>Proprietary</v>
      </c>
      <c r="E673" t="str" cm="1">
        <f t="array" ref="E673">_xlfn.IFNA(_xlfn.XLOOKUP(1,([1]!hcahps[Facility ID] = clean[[#This Row],[Facility ID]]) * ([1]!hcahps[HCAHPS Measure ID] = "H_HSP_RATING_LINEAR_SCORE"), [1]!hcahps[HCAHPS Linear Mean Value]), "No Match")</f>
        <v>No Match</v>
      </c>
      <c r="F673" t="str" cm="1">
        <f t="array" ref="F673">_xlfn.IFNA(_xlfn.XLOOKUP(1,([1]!readmissions[Facility ID] = clean[[#This Row],[Facility ID]]) * ([1]!readmissions[Measure ID] = "Hybrid_HWR"), [1]!readmissions[Score]), "No Match")</f>
        <v>No Match</v>
      </c>
    </row>
    <row r="674" spans="1:6" x14ac:dyDescent="0.2">
      <c r="A674" t="str">
        <f>[1]!hospitalinfo[[#This Row],[Facility ID]]</f>
        <v>054087</v>
      </c>
      <c r="B674" t="str">
        <f>[1]!hospitalinfo[[#This Row],[State]]</f>
        <v>CA</v>
      </c>
      <c r="C674" t="str">
        <f>[1]!hospitalinfo[[#This Row],[Hospital Type]]</f>
        <v>Psychiatric</v>
      </c>
      <c r="D674" t="str">
        <f>[1]!hospitalinfo[[#This Row],[Hospital Ownership]]</f>
        <v>Proprietary</v>
      </c>
      <c r="E674" t="str" cm="1">
        <f t="array" ref="E674">_xlfn.IFNA(_xlfn.XLOOKUP(1,([1]!hcahps[Facility ID] = clean[[#This Row],[Facility ID]]) * ([1]!hcahps[HCAHPS Measure ID] = "H_HSP_RATING_LINEAR_SCORE"), [1]!hcahps[HCAHPS Linear Mean Value]), "No Match")</f>
        <v>No Match</v>
      </c>
      <c r="F674" t="str" cm="1">
        <f t="array" ref="F674">_xlfn.IFNA(_xlfn.XLOOKUP(1,([1]!readmissions[Facility ID] = clean[[#This Row],[Facility ID]]) * ([1]!readmissions[Measure ID] = "Hybrid_HWR"), [1]!readmissions[Score]), "No Match")</f>
        <v>No Match</v>
      </c>
    </row>
    <row r="675" spans="1:6" x14ac:dyDescent="0.2">
      <c r="A675" t="str">
        <f>[1]!hospitalinfo[[#This Row],[Facility ID]]</f>
        <v>054089</v>
      </c>
      <c r="B675" t="str">
        <f>[1]!hospitalinfo[[#This Row],[State]]</f>
        <v>CA</v>
      </c>
      <c r="C675" t="str">
        <f>[1]!hospitalinfo[[#This Row],[Hospital Type]]</f>
        <v>Psychiatric</v>
      </c>
      <c r="D675" t="str">
        <f>[1]!hospitalinfo[[#This Row],[Hospital Ownership]]</f>
        <v>Voluntary non-profit - Private</v>
      </c>
      <c r="E675" t="str" cm="1">
        <f t="array" ref="E675">_xlfn.IFNA(_xlfn.XLOOKUP(1,([1]!hcahps[Facility ID] = clean[[#This Row],[Facility ID]]) * ([1]!hcahps[HCAHPS Measure ID] = "H_HSP_RATING_LINEAR_SCORE"), [1]!hcahps[HCAHPS Linear Mean Value]), "No Match")</f>
        <v>No Match</v>
      </c>
      <c r="F675" t="str" cm="1">
        <f t="array" ref="F675">_xlfn.IFNA(_xlfn.XLOOKUP(1,([1]!readmissions[Facility ID] = clean[[#This Row],[Facility ID]]) * ([1]!readmissions[Measure ID] = "Hybrid_HWR"), [1]!readmissions[Score]), "No Match")</f>
        <v>No Match</v>
      </c>
    </row>
    <row r="676" spans="1:6" x14ac:dyDescent="0.2">
      <c r="A676" t="str">
        <f>[1]!hospitalinfo[[#This Row],[Facility ID]]</f>
        <v>054095</v>
      </c>
      <c r="B676" t="str">
        <f>[1]!hospitalinfo[[#This Row],[State]]</f>
        <v>CA</v>
      </c>
      <c r="C676" t="str">
        <f>[1]!hospitalinfo[[#This Row],[Hospital Type]]</f>
        <v>Psychiatric</v>
      </c>
      <c r="D676" t="str">
        <f>[1]!hospitalinfo[[#This Row],[Hospital Ownership]]</f>
        <v>Proprietary</v>
      </c>
      <c r="E676" t="str" cm="1">
        <f t="array" ref="E676">_xlfn.IFNA(_xlfn.XLOOKUP(1,([1]!hcahps[Facility ID] = clean[[#This Row],[Facility ID]]) * ([1]!hcahps[HCAHPS Measure ID] = "H_HSP_RATING_LINEAR_SCORE"), [1]!hcahps[HCAHPS Linear Mean Value]), "No Match")</f>
        <v>No Match</v>
      </c>
      <c r="F676" t="str" cm="1">
        <f t="array" ref="F676">_xlfn.IFNA(_xlfn.XLOOKUP(1,([1]!readmissions[Facility ID] = clean[[#This Row],[Facility ID]]) * ([1]!readmissions[Measure ID] = "Hybrid_HWR"), [1]!readmissions[Score]), "No Match")</f>
        <v>No Match</v>
      </c>
    </row>
    <row r="677" spans="1:6" x14ac:dyDescent="0.2">
      <c r="A677" t="str">
        <f>[1]!hospitalinfo[[#This Row],[Facility ID]]</f>
        <v>054096</v>
      </c>
      <c r="B677" t="str">
        <f>[1]!hospitalinfo[[#This Row],[State]]</f>
        <v>CA</v>
      </c>
      <c r="C677" t="str">
        <f>[1]!hospitalinfo[[#This Row],[Hospital Type]]</f>
        <v>Psychiatric</v>
      </c>
      <c r="D677" t="str">
        <f>[1]!hospitalinfo[[#This Row],[Hospital Ownership]]</f>
        <v>Voluntary non-profit - Private</v>
      </c>
      <c r="E677" t="str" cm="1">
        <f t="array" ref="E677">_xlfn.IFNA(_xlfn.XLOOKUP(1,([1]!hcahps[Facility ID] = clean[[#This Row],[Facility ID]]) * ([1]!hcahps[HCAHPS Measure ID] = "H_HSP_RATING_LINEAR_SCORE"), [1]!hcahps[HCAHPS Linear Mean Value]), "No Match")</f>
        <v>No Match</v>
      </c>
      <c r="F677" t="str" cm="1">
        <f t="array" ref="F677">_xlfn.IFNA(_xlfn.XLOOKUP(1,([1]!readmissions[Facility ID] = clean[[#This Row],[Facility ID]]) * ([1]!readmissions[Measure ID] = "Hybrid_HWR"), [1]!readmissions[Score]), "No Match")</f>
        <v>No Match</v>
      </c>
    </row>
    <row r="678" spans="1:6" x14ac:dyDescent="0.2">
      <c r="A678" t="str">
        <f>[1]!hospitalinfo[[#This Row],[Facility ID]]</f>
        <v>054104</v>
      </c>
      <c r="B678" t="str">
        <f>[1]!hospitalinfo[[#This Row],[State]]</f>
        <v>CA</v>
      </c>
      <c r="C678" t="str">
        <f>[1]!hospitalinfo[[#This Row],[Hospital Type]]</f>
        <v>Psychiatric</v>
      </c>
      <c r="D678" t="str">
        <f>[1]!hospitalinfo[[#This Row],[Hospital Ownership]]</f>
        <v>Proprietary</v>
      </c>
      <c r="E678" t="str" cm="1">
        <f t="array" ref="E678">_xlfn.IFNA(_xlfn.XLOOKUP(1,([1]!hcahps[Facility ID] = clean[[#This Row],[Facility ID]]) * ([1]!hcahps[HCAHPS Measure ID] = "H_HSP_RATING_LINEAR_SCORE"), [1]!hcahps[HCAHPS Linear Mean Value]), "No Match")</f>
        <v>No Match</v>
      </c>
      <c r="F678" t="str" cm="1">
        <f t="array" ref="F678">_xlfn.IFNA(_xlfn.XLOOKUP(1,([1]!readmissions[Facility ID] = clean[[#This Row],[Facility ID]]) * ([1]!readmissions[Measure ID] = "Hybrid_HWR"), [1]!readmissions[Score]), "No Match")</f>
        <v>No Match</v>
      </c>
    </row>
    <row r="679" spans="1:6" x14ac:dyDescent="0.2">
      <c r="A679" t="str">
        <f>[1]!hospitalinfo[[#This Row],[Facility ID]]</f>
        <v>054110</v>
      </c>
      <c r="B679" t="str">
        <f>[1]!hospitalinfo[[#This Row],[State]]</f>
        <v>CA</v>
      </c>
      <c r="C679" t="str">
        <f>[1]!hospitalinfo[[#This Row],[Hospital Type]]</f>
        <v>Psychiatric</v>
      </c>
      <c r="D679" t="str">
        <f>[1]!hospitalinfo[[#This Row],[Hospital Ownership]]</f>
        <v>Proprietary</v>
      </c>
      <c r="E679" t="str" cm="1">
        <f t="array" ref="E679">_xlfn.IFNA(_xlfn.XLOOKUP(1,([1]!hcahps[Facility ID] = clean[[#This Row],[Facility ID]]) * ([1]!hcahps[HCAHPS Measure ID] = "H_HSP_RATING_LINEAR_SCORE"), [1]!hcahps[HCAHPS Linear Mean Value]), "No Match")</f>
        <v>No Match</v>
      </c>
      <c r="F679" t="str" cm="1">
        <f t="array" ref="F679">_xlfn.IFNA(_xlfn.XLOOKUP(1,([1]!readmissions[Facility ID] = clean[[#This Row],[Facility ID]]) * ([1]!readmissions[Measure ID] = "Hybrid_HWR"), [1]!readmissions[Score]), "No Match")</f>
        <v>No Match</v>
      </c>
    </row>
    <row r="680" spans="1:6" x14ac:dyDescent="0.2">
      <c r="A680" t="str">
        <f>[1]!hospitalinfo[[#This Row],[Facility ID]]</f>
        <v>054111</v>
      </c>
      <c r="B680" t="str">
        <f>[1]!hospitalinfo[[#This Row],[State]]</f>
        <v>CA</v>
      </c>
      <c r="C680" t="str">
        <f>[1]!hospitalinfo[[#This Row],[Hospital Type]]</f>
        <v>Psychiatric</v>
      </c>
      <c r="D680" t="str">
        <f>[1]!hospitalinfo[[#This Row],[Hospital Ownership]]</f>
        <v>Proprietary</v>
      </c>
      <c r="E680" t="str" cm="1">
        <f t="array" ref="E680">_xlfn.IFNA(_xlfn.XLOOKUP(1,([1]!hcahps[Facility ID] = clean[[#This Row],[Facility ID]]) * ([1]!hcahps[HCAHPS Measure ID] = "H_HSP_RATING_LINEAR_SCORE"), [1]!hcahps[HCAHPS Linear Mean Value]), "No Match")</f>
        <v>No Match</v>
      </c>
      <c r="F680" t="str" cm="1">
        <f t="array" ref="F680">_xlfn.IFNA(_xlfn.XLOOKUP(1,([1]!readmissions[Facility ID] = clean[[#This Row],[Facility ID]]) * ([1]!readmissions[Measure ID] = "Hybrid_HWR"), [1]!readmissions[Score]), "No Match")</f>
        <v>No Match</v>
      </c>
    </row>
    <row r="681" spans="1:6" x14ac:dyDescent="0.2">
      <c r="A681" t="str">
        <f>[1]!hospitalinfo[[#This Row],[Facility ID]]</f>
        <v>054122</v>
      </c>
      <c r="B681" t="str">
        <f>[1]!hospitalinfo[[#This Row],[State]]</f>
        <v>CA</v>
      </c>
      <c r="C681" t="str">
        <f>[1]!hospitalinfo[[#This Row],[Hospital Type]]</f>
        <v>Psychiatric</v>
      </c>
      <c r="D681" t="str">
        <f>[1]!hospitalinfo[[#This Row],[Hospital Ownership]]</f>
        <v>Government - State</v>
      </c>
      <c r="E681" t="str" cm="1">
        <f t="array" ref="E681">_xlfn.IFNA(_xlfn.XLOOKUP(1,([1]!hcahps[Facility ID] = clean[[#This Row],[Facility ID]]) * ([1]!hcahps[HCAHPS Measure ID] = "H_HSP_RATING_LINEAR_SCORE"), [1]!hcahps[HCAHPS Linear Mean Value]), "No Match")</f>
        <v>No Match</v>
      </c>
      <c r="F681" t="str" cm="1">
        <f t="array" ref="F681">_xlfn.IFNA(_xlfn.XLOOKUP(1,([1]!readmissions[Facility ID] = clean[[#This Row],[Facility ID]]) * ([1]!readmissions[Measure ID] = "Hybrid_HWR"), [1]!readmissions[Score]), "No Match")</f>
        <v>No Match</v>
      </c>
    </row>
    <row r="682" spans="1:6" x14ac:dyDescent="0.2">
      <c r="A682" t="str">
        <f>[1]!hospitalinfo[[#This Row],[Facility ID]]</f>
        <v>054123</v>
      </c>
      <c r="B682" t="str">
        <f>[1]!hospitalinfo[[#This Row],[State]]</f>
        <v>CA</v>
      </c>
      <c r="C682" t="str">
        <f>[1]!hospitalinfo[[#This Row],[Hospital Type]]</f>
        <v>Psychiatric</v>
      </c>
      <c r="D682" t="str">
        <f>[1]!hospitalinfo[[#This Row],[Hospital Ownership]]</f>
        <v>Voluntary non-profit - Private</v>
      </c>
      <c r="E682" t="str" cm="1">
        <f t="array" ref="E682">_xlfn.IFNA(_xlfn.XLOOKUP(1,([1]!hcahps[Facility ID] = clean[[#This Row],[Facility ID]]) * ([1]!hcahps[HCAHPS Measure ID] = "H_HSP_RATING_LINEAR_SCORE"), [1]!hcahps[HCAHPS Linear Mean Value]), "No Match")</f>
        <v>No Match</v>
      </c>
      <c r="F682" t="str" cm="1">
        <f t="array" ref="F682">_xlfn.IFNA(_xlfn.XLOOKUP(1,([1]!readmissions[Facility ID] = clean[[#This Row],[Facility ID]]) * ([1]!readmissions[Measure ID] = "Hybrid_HWR"), [1]!readmissions[Score]), "No Match")</f>
        <v>No Match</v>
      </c>
    </row>
    <row r="683" spans="1:6" x14ac:dyDescent="0.2">
      <c r="A683" t="str">
        <f>[1]!hospitalinfo[[#This Row],[Facility ID]]</f>
        <v>054124</v>
      </c>
      <c r="B683" t="str">
        <f>[1]!hospitalinfo[[#This Row],[State]]</f>
        <v>CA</v>
      </c>
      <c r="C683" t="str">
        <f>[1]!hospitalinfo[[#This Row],[Hospital Type]]</f>
        <v>Psychiatric</v>
      </c>
      <c r="D683" t="str">
        <f>[1]!hospitalinfo[[#This Row],[Hospital Ownership]]</f>
        <v>Government - Local</v>
      </c>
      <c r="E683" t="str" cm="1">
        <f t="array" ref="E683">_xlfn.IFNA(_xlfn.XLOOKUP(1,([1]!hcahps[Facility ID] = clean[[#This Row],[Facility ID]]) * ([1]!hcahps[HCAHPS Measure ID] = "H_HSP_RATING_LINEAR_SCORE"), [1]!hcahps[HCAHPS Linear Mean Value]), "No Match")</f>
        <v>No Match</v>
      </c>
      <c r="F683" t="str" cm="1">
        <f t="array" ref="F683">_xlfn.IFNA(_xlfn.XLOOKUP(1,([1]!readmissions[Facility ID] = clean[[#This Row],[Facility ID]]) * ([1]!readmissions[Measure ID] = "Hybrid_HWR"), [1]!readmissions[Score]), "No Match")</f>
        <v>No Match</v>
      </c>
    </row>
    <row r="684" spans="1:6" x14ac:dyDescent="0.2">
      <c r="A684" t="str">
        <f>[1]!hospitalinfo[[#This Row],[Facility ID]]</f>
        <v>054125</v>
      </c>
      <c r="B684" t="str">
        <f>[1]!hospitalinfo[[#This Row],[State]]</f>
        <v>CA</v>
      </c>
      <c r="C684" t="str">
        <f>[1]!hospitalinfo[[#This Row],[Hospital Type]]</f>
        <v>Psychiatric</v>
      </c>
      <c r="D684" t="str">
        <f>[1]!hospitalinfo[[#This Row],[Hospital Ownership]]</f>
        <v>Government - Local</v>
      </c>
      <c r="E684" t="str" cm="1">
        <f t="array" ref="E684">_xlfn.IFNA(_xlfn.XLOOKUP(1,([1]!hcahps[Facility ID] = clean[[#This Row],[Facility ID]]) * ([1]!hcahps[HCAHPS Measure ID] = "H_HSP_RATING_LINEAR_SCORE"), [1]!hcahps[HCAHPS Linear Mean Value]), "No Match")</f>
        <v>No Match</v>
      </c>
      <c r="F684" t="str" cm="1">
        <f t="array" ref="F684">_xlfn.IFNA(_xlfn.XLOOKUP(1,([1]!readmissions[Facility ID] = clean[[#This Row],[Facility ID]]) * ([1]!readmissions[Measure ID] = "Hybrid_HWR"), [1]!readmissions[Score]), "No Match")</f>
        <v>No Match</v>
      </c>
    </row>
    <row r="685" spans="1:6" x14ac:dyDescent="0.2">
      <c r="A685" t="str">
        <f>[1]!hospitalinfo[[#This Row],[Facility ID]]</f>
        <v>054130</v>
      </c>
      <c r="B685" t="str">
        <f>[1]!hospitalinfo[[#This Row],[State]]</f>
        <v>CA</v>
      </c>
      <c r="C685" t="str">
        <f>[1]!hospitalinfo[[#This Row],[Hospital Type]]</f>
        <v>Psychiatric</v>
      </c>
      <c r="D685" t="str">
        <f>[1]!hospitalinfo[[#This Row],[Hospital Ownership]]</f>
        <v>Proprietary</v>
      </c>
      <c r="E685" t="str" cm="1">
        <f t="array" ref="E685">_xlfn.IFNA(_xlfn.XLOOKUP(1,([1]!hcahps[Facility ID] = clean[[#This Row],[Facility ID]]) * ([1]!hcahps[HCAHPS Measure ID] = "H_HSP_RATING_LINEAR_SCORE"), [1]!hcahps[HCAHPS Linear Mean Value]), "No Match")</f>
        <v>No Match</v>
      </c>
      <c r="F685" t="str" cm="1">
        <f t="array" ref="F685">_xlfn.IFNA(_xlfn.XLOOKUP(1,([1]!readmissions[Facility ID] = clean[[#This Row],[Facility ID]]) * ([1]!readmissions[Measure ID] = "Hybrid_HWR"), [1]!readmissions[Score]), "No Match")</f>
        <v>No Match</v>
      </c>
    </row>
    <row r="686" spans="1:6" x14ac:dyDescent="0.2">
      <c r="A686" t="str">
        <f>[1]!hospitalinfo[[#This Row],[Facility ID]]</f>
        <v>054131</v>
      </c>
      <c r="B686" t="str">
        <f>[1]!hospitalinfo[[#This Row],[State]]</f>
        <v>CA</v>
      </c>
      <c r="C686" t="str">
        <f>[1]!hospitalinfo[[#This Row],[Hospital Type]]</f>
        <v>Psychiatric</v>
      </c>
      <c r="D686" t="str">
        <f>[1]!hospitalinfo[[#This Row],[Hospital Ownership]]</f>
        <v>Voluntary non-profit - Private</v>
      </c>
      <c r="E686" t="str" cm="1">
        <f t="array" ref="E686">_xlfn.IFNA(_xlfn.XLOOKUP(1,([1]!hcahps[Facility ID] = clean[[#This Row],[Facility ID]]) * ([1]!hcahps[HCAHPS Measure ID] = "H_HSP_RATING_LINEAR_SCORE"), [1]!hcahps[HCAHPS Linear Mean Value]), "No Match")</f>
        <v>No Match</v>
      </c>
      <c r="F686" t="str" cm="1">
        <f t="array" ref="F686">_xlfn.IFNA(_xlfn.XLOOKUP(1,([1]!readmissions[Facility ID] = clean[[#This Row],[Facility ID]]) * ([1]!readmissions[Measure ID] = "Hybrid_HWR"), [1]!readmissions[Score]), "No Match")</f>
        <v>No Match</v>
      </c>
    </row>
    <row r="687" spans="1:6" x14ac:dyDescent="0.2">
      <c r="A687" t="str">
        <f>[1]!hospitalinfo[[#This Row],[Facility ID]]</f>
        <v>054133</v>
      </c>
      <c r="B687" t="str">
        <f>[1]!hospitalinfo[[#This Row],[State]]</f>
        <v>CA</v>
      </c>
      <c r="C687" t="str">
        <f>[1]!hospitalinfo[[#This Row],[Hospital Type]]</f>
        <v>Psychiatric</v>
      </c>
      <c r="D687" t="str">
        <f>[1]!hospitalinfo[[#This Row],[Hospital Ownership]]</f>
        <v>Government - State</v>
      </c>
      <c r="E687" t="str" cm="1">
        <f t="array" ref="E687">_xlfn.IFNA(_xlfn.XLOOKUP(1,([1]!hcahps[Facility ID] = clean[[#This Row],[Facility ID]]) * ([1]!hcahps[HCAHPS Measure ID] = "H_HSP_RATING_LINEAR_SCORE"), [1]!hcahps[HCAHPS Linear Mean Value]), "No Match")</f>
        <v>No Match</v>
      </c>
      <c r="F687" t="str" cm="1">
        <f t="array" ref="F687">_xlfn.IFNA(_xlfn.XLOOKUP(1,([1]!readmissions[Facility ID] = clean[[#This Row],[Facility ID]]) * ([1]!readmissions[Measure ID] = "Hybrid_HWR"), [1]!readmissions[Score]), "No Match")</f>
        <v>No Match</v>
      </c>
    </row>
    <row r="688" spans="1:6" x14ac:dyDescent="0.2">
      <c r="A688" t="str">
        <f>[1]!hospitalinfo[[#This Row],[Facility ID]]</f>
        <v>054144</v>
      </c>
      <c r="B688" t="str">
        <f>[1]!hospitalinfo[[#This Row],[State]]</f>
        <v>CA</v>
      </c>
      <c r="C688" t="str">
        <f>[1]!hospitalinfo[[#This Row],[Hospital Type]]</f>
        <v>Psychiatric</v>
      </c>
      <c r="D688" t="str">
        <f>[1]!hospitalinfo[[#This Row],[Hospital Ownership]]</f>
        <v>Government - State</v>
      </c>
      <c r="E688" t="str" cm="1">
        <f t="array" ref="E688">_xlfn.IFNA(_xlfn.XLOOKUP(1,([1]!hcahps[Facility ID] = clean[[#This Row],[Facility ID]]) * ([1]!hcahps[HCAHPS Measure ID] = "H_HSP_RATING_LINEAR_SCORE"), [1]!hcahps[HCAHPS Linear Mean Value]), "No Match")</f>
        <v>No Match</v>
      </c>
      <c r="F688" t="str" cm="1">
        <f t="array" ref="F688">_xlfn.IFNA(_xlfn.XLOOKUP(1,([1]!readmissions[Facility ID] = clean[[#This Row],[Facility ID]]) * ([1]!readmissions[Measure ID] = "Hybrid_HWR"), [1]!readmissions[Score]), "No Match")</f>
        <v>No Match</v>
      </c>
    </row>
    <row r="689" spans="1:6" x14ac:dyDescent="0.2">
      <c r="A689" t="str">
        <f>[1]!hospitalinfo[[#This Row],[Facility ID]]</f>
        <v>054145</v>
      </c>
      <c r="B689" t="str">
        <f>[1]!hospitalinfo[[#This Row],[State]]</f>
        <v>CA</v>
      </c>
      <c r="C689" t="str">
        <f>[1]!hospitalinfo[[#This Row],[Hospital Type]]</f>
        <v>Psychiatric</v>
      </c>
      <c r="D689" t="str">
        <f>[1]!hospitalinfo[[#This Row],[Hospital Ownership]]</f>
        <v>Voluntary non-profit - Private</v>
      </c>
      <c r="E689" t="str" cm="1">
        <f t="array" ref="E689">_xlfn.IFNA(_xlfn.XLOOKUP(1,([1]!hcahps[Facility ID] = clean[[#This Row],[Facility ID]]) * ([1]!hcahps[HCAHPS Measure ID] = "H_HSP_RATING_LINEAR_SCORE"), [1]!hcahps[HCAHPS Linear Mean Value]), "No Match")</f>
        <v>No Match</v>
      </c>
      <c r="F689" t="str" cm="1">
        <f t="array" ref="F689">_xlfn.IFNA(_xlfn.XLOOKUP(1,([1]!readmissions[Facility ID] = clean[[#This Row],[Facility ID]]) * ([1]!readmissions[Measure ID] = "Hybrid_HWR"), [1]!readmissions[Score]), "No Match")</f>
        <v>No Match</v>
      </c>
    </row>
    <row r="690" spans="1:6" x14ac:dyDescent="0.2">
      <c r="A690" t="str">
        <f>[1]!hospitalinfo[[#This Row],[Facility ID]]</f>
        <v>054146</v>
      </c>
      <c r="B690" t="str">
        <f>[1]!hospitalinfo[[#This Row],[State]]</f>
        <v>CA</v>
      </c>
      <c r="C690" t="str">
        <f>[1]!hospitalinfo[[#This Row],[Hospital Type]]</f>
        <v>Psychiatric</v>
      </c>
      <c r="D690" t="str">
        <f>[1]!hospitalinfo[[#This Row],[Hospital Ownership]]</f>
        <v>Proprietary</v>
      </c>
      <c r="E690" t="str" cm="1">
        <f t="array" ref="E690">_xlfn.IFNA(_xlfn.XLOOKUP(1,([1]!hcahps[Facility ID] = clean[[#This Row],[Facility ID]]) * ([1]!hcahps[HCAHPS Measure ID] = "H_HSP_RATING_LINEAR_SCORE"), [1]!hcahps[HCAHPS Linear Mean Value]), "No Match")</f>
        <v>No Match</v>
      </c>
      <c r="F690" t="str" cm="1">
        <f t="array" ref="F690">_xlfn.IFNA(_xlfn.XLOOKUP(1,([1]!readmissions[Facility ID] = clean[[#This Row],[Facility ID]]) * ([1]!readmissions[Measure ID] = "Hybrid_HWR"), [1]!readmissions[Score]), "No Match")</f>
        <v>No Match</v>
      </c>
    </row>
    <row r="691" spans="1:6" x14ac:dyDescent="0.2">
      <c r="A691" t="str">
        <f>[1]!hospitalinfo[[#This Row],[Facility ID]]</f>
        <v>054147</v>
      </c>
      <c r="B691" t="str">
        <f>[1]!hospitalinfo[[#This Row],[State]]</f>
        <v>CA</v>
      </c>
      <c r="C691" t="str">
        <f>[1]!hospitalinfo[[#This Row],[Hospital Type]]</f>
        <v>Psychiatric</v>
      </c>
      <c r="D691" t="str">
        <f>[1]!hospitalinfo[[#This Row],[Hospital Ownership]]</f>
        <v>Voluntary non-profit - Private</v>
      </c>
      <c r="E691" t="str" cm="1">
        <f t="array" ref="E691">_xlfn.IFNA(_xlfn.XLOOKUP(1,([1]!hcahps[Facility ID] = clean[[#This Row],[Facility ID]]) * ([1]!hcahps[HCAHPS Measure ID] = "H_HSP_RATING_LINEAR_SCORE"), [1]!hcahps[HCAHPS Linear Mean Value]), "No Match")</f>
        <v>No Match</v>
      </c>
      <c r="F691" t="str" cm="1">
        <f t="array" ref="F691">_xlfn.IFNA(_xlfn.XLOOKUP(1,([1]!readmissions[Facility ID] = clean[[#This Row],[Facility ID]]) * ([1]!readmissions[Measure ID] = "Hybrid_HWR"), [1]!readmissions[Score]), "No Match")</f>
        <v>No Match</v>
      </c>
    </row>
    <row r="692" spans="1:6" x14ac:dyDescent="0.2">
      <c r="A692" t="str">
        <f>[1]!hospitalinfo[[#This Row],[Facility ID]]</f>
        <v>054148</v>
      </c>
      <c r="B692" t="str">
        <f>[1]!hospitalinfo[[#This Row],[State]]</f>
        <v>CA</v>
      </c>
      <c r="C692" t="str">
        <f>[1]!hospitalinfo[[#This Row],[Hospital Type]]</f>
        <v>Psychiatric</v>
      </c>
      <c r="D692" t="str">
        <f>[1]!hospitalinfo[[#This Row],[Hospital Ownership]]</f>
        <v>Voluntary non-profit - Private</v>
      </c>
      <c r="E692" t="str" cm="1">
        <f t="array" ref="E692">_xlfn.IFNA(_xlfn.XLOOKUP(1,([1]!hcahps[Facility ID] = clean[[#This Row],[Facility ID]]) * ([1]!hcahps[HCAHPS Measure ID] = "H_HSP_RATING_LINEAR_SCORE"), [1]!hcahps[HCAHPS Linear Mean Value]), "No Match")</f>
        <v>No Match</v>
      </c>
      <c r="F692" t="str" cm="1">
        <f t="array" ref="F692">_xlfn.IFNA(_xlfn.XLOOKUP(1,([1]!readmissions[Facility ID] = clean[[#This Row],[Facility ID]]) * ([1]!readmissions[Measure ID] = "Hybrid_HWR"), [1]!readmissions[Score]), "No Match")</f>
        <v>No Match</v>
      </c>
    </row>
    <row r="693" spans="1:6" x14ac:dyDescent="0.2">
      <c r="A693" t="str">
        <f>[1]!hospitalinfo[[#This Row],[Facility ID]]</f>
        <v>054149</v>
      </c>
      <c r="B693" t="str">
        <f>[1]!hospitalinfo[[#This Row],[State]]</f>
        <v>CA</v>
      </c>
      <c r="C693" t="str">
        <f>[1]!hospitalinfo[[#This Row],[Hospital Type]]</f>
        <v>Psychiatric</v>
      </c>
      <c r="D693" t="str">
        <f>[1]!hospitalinfo[[#This Row],[Hospital Ownership]]</f>
        <v>Proprietary</v>
      </c>
      <c r="E693" t="str" cm="1">
        <f t="array" ref="E693">_xlfn.IFNA(_xlfn.XLOOKUP(1,([1]!hcahps[Facility ID] = clean[[#This Row],[Facility ID]]) * ([1]!hcahps[HCAHPS Measure ID] = "H_HSP_RATING_LINEAR_SCORE"), [1]!hcahps[HCAHPS Linear Mean Value]), "No Match")</f>
        <v>No Match</v>
      </c>
      <c r="F693" t="str" cm="1">
        <f t="array" ref="F693">_xlfn.IFNA(_xlfn.XLOOKUP(1,([1]!readmissions[Facility ID] = clean[[#This Row],[Facility ID]]) * ([1]!readmissions[Measure ID] = "Hybrid_HWR"), [1]!readmissions[Score]), "No Match")</f>
        <v>No Match</v>
      </c>
    </row>
    <row r="694" spans="1:6" x14ac:dyDescent="0.2">
      <c r="A694" t="str">
        <f>[1]!hospitalinfo[[#This Row],[Facility ID]]</f>
        <v>054150</v>
      </c>
      <c r="B694" t="str">
        <f>[1]!hospitalinfo[[#This Row],[State]]</f>
        <v>CA</v>
      </c>
      <c r="C694" t="str">
        <f>[1]!hospitalinfo[[#This Row],[Hospital Type]]</f>
        <v>Psychiatric</v>
      </c>
      <c r="D694" t="str">
        <f>[1]!hospitalinfo[[#This Row],[Hospital Ownership]]</f>
        <v>Proprietary</v>
      </c>
      <c r="E694" t="str" cm="1">
        <f t="array" ref="E694">_xlfn.IFNA(_xlfn.XLOOKUP(1,([1]!hcahps[Facility ID] = clean[[#This Row],[Facility ID]]) * ([1]!hcahps[HCAHPS Measure ID] = "H_HSP_RATING_LINEAR_SCORE"), [1]!hcahps[HCAHPS Linear Mean Value]), "No Match")</f>
        <v>No Match</v>
      </c>
      <c r="F694" t="str" cm="1">
        <f t="array" ref="F694">_xlfn.IFNA(_xlfn.XLOOKUP(1,([1]!readmissions[Facility ID] = clean[[#This Row],[Facility ID]]) * ([1]!readmissions[Measure ID] = "Hybrid_HWR"), [1]!readmissions[Score]), "No Match")</f>
        <v>No Match</v>
      </c>
    </row>
    <row r="695" spans="1:6" x14ac:dyDescent="0.2">
      <c r="A695" t="str">
        <f>[1]!hospitalinfo[[#This Row],[Facility ID]]</f>
        <v>054151</v>
      </c>
      <c r="B695" t="str">
        <f>[1]!hospitalinfo[[#This Row],[State]]</f>
        <v>CA</v>
      </c>
      <c r="C695" t="str">
        <f>[1]!hospitalinfo[[#This Row],[Hospital Type]]</f>
        <v>Psychiatric</v>
      </c>
      <c r="D695" t="str">
        <f>[1]!hospitalinfo[[#This Row],[Hospital Ownership]]</f>
        <v>Proprietary</v>
      </c>
      <c r="E695" t="str" cm="1">
        <f t="array" ref="E695">_xlfn.IFNA(_xlfn.XLOOKUP(1,([1]!hcahps[Facility ID] = clean[[#This Row],[Facility ID]]) * ([1]!hcahps[HCAHPS Measure ID] = "H_HSP_RATING_LINEAR_SCORE"), [1]!hcahps[HCAHPS Linear Mean Value]), "No Match")</f>
        <v>No Match</v>
      </c>
      <c r="F695" t="str" cm="1">
        <f t="array" ref="F695">_xlfn.IFNA(_xlfn.XLOOKUP(1,([1]!readmissions[Facility ID] = clean[[#This Row],[Facility ID]]) * ([1]!readmissions[Measure ID] = "Hybrid_HWR"), [1]!readmissions[Score]), "No Match")</f>
        <v>No Match</v>
      </c>
    </row>
    <row r="696" spans="1:6" x14ac:dyDescent="0.2">
      <c r="A696" t="str">
        <f>[1]!hospitalinfo[[#This Row],[Facility ID]]</f>
        <v>054152</v>
      </c>
      <c r="B696" t="str">
        <f>[1]!hospitalinfo[[#This Row],[State]]</f>
        <v>CA</v>
      </c>
      <c r="C696" t="str">
        <f>[1]!hospitalinfo[[#This Row],[Hospital Type]]</f>
        <v>Psychiatric</v>
      </c>
      <c r="D696" t="str">
        <f>[1]!hospitalinfo[[#This Row],[Hospital Ownership]]</f>
        <v>Proprietary</v>
      </c>
      <c r="E696" t="str" cm="1">
        <f t="array" ref="E696">_xlfn.IFNA(_xlfn.XLOOKUP(1,([1]!hcahps[Facility ID] = clean[[#This Row],[Facility ID]]) * ([1]!hcahps[HCAHPS Measure ID] = "H_HSP_RATING_LINEAR_SCORE"), [1]!hcahps[HCAHPS Linear Mean Value]), "No Match")</f>
        <v>No Match</v>
      </c>
      <c r="F696" t="str" cm="1">
        <f t="array" ref="F696">_xlfn.IFNA(_xlfn.XLOOKUP(1,([1]!readmissions[Facility ID] = clean[[#This Row],[Facility ID]]) * ([1]!readmissions[Measure ID] = "Hybrid_HWR"), [1]!readmissions[Score]), "No Match")</f>
        <v>No Match</v>
      </c>
    </row>
    <row r="697" spans="1:6" x14ac:dyDescent="0.2">
      <c r="A697" t="str">
        <f>[1]!hospitalinfo[[#This Row],[Facility ID]]</f>
        <v>054153</v>
      </c>
      <c r="B697" t="str">
        <f>[1]!hospitalinfo[[#This Row],[State]]</f>
        <v>CA</v>
      </c>
      <c r="C697" t="str">
        <f>[1]!hospitalinfo[[#This Row],[Hospital Type]]</f>
        <v>Psychiatric</v>
      </c>
      <c r="D697" t="str">
        <f>[1]!hospitalinfo[[#This Row],[Hospital Ownership]]</f>
        <v>Proprietary</v>
      </c>
      <c r="E697" t="str" cm="1">
        <f t="array" ref="E697">_xlfn.IFNA(_xlfn.XLOOKUP(1,([1]!hcahps[Facility ID] = clean[[#This Row],[Facility ID]]) * ([1]!hcahps[HCAHPS Measure ID] = "H_HSP_RATING_LINEAR_SCORE"), [1]!hcahps[HCAHPS Linear Mean Value]), "No Match")</f>
        <v>No Match</v>
      </c>
      <c r="F697" t="str" cm="1">
        <f t="array" ref="F697">_xlfn.IFNA(_xlfn.XLOOKUP(1,([1]!readmissions[Facility ID] = clean[[#This Row],[Facility ID]]) * ([1]!readmissions[Measure ID] = "Hybrid_HWR"), [1]!readmissions[Score]), "No Match")</f>
        <v>No Match</v>
      </c>
    </row>
    <row r="698" spans="1:6" x14ac:dyDescent="0.2">
      <c r="A698" t="str">
        <f>[1]!hospitalinfo[[#This Row],[Facility ID]]</f>
        <v>054154</v>
      </c>
      <c r="B698" t="str">
        <f>[1]!hospitalinfo[[#This Row],[State]]</f>
        <v>CA</v>
      </c>
      <c r="C698" t="str">
        <f>[1]!hospitalinfo[[#This Row],[Hospital Type]]</f>
        <v>Psychiatric</v>
      </c>
      <c r="D698" t="str">
        <f>[1]!hospitalinfo[[#This Row],[Hospital Ownership]]</f>
        <v>Proprietary</v>
      </c>
      <c r="E698" t="str" cm="1">
        <f t="array" ref="E698">_xlfn.IFNA(_xlfn.XLOOKUP(1,([1]!hcahps[Facility ID] = clean[[#This Row],[Facility ID]]) * ([1]!hcahps[HCAHPS Measure ID] = "H_HSP_RATING_LINEAR_SCORE"), [1]!hcahps[HCAHPS Linear Mean Value]), "No Match")</f>
        <v>No Match</v>
      </c>
      <c r="F698" t="str" cm="1">
        <f t="array" ref="F698">_xlfn.IFNA(_xlfn.XLOOKUP(1,([1]!readmissions[Facility ID] = clean[[#This Row],[Facility ID]]) * ([1]!readmissions[Measure ID] = "Hybrid_HWR"), [1]!readmissions[Score]), "No Match")</f>
        <v>No Match</v>
      </c>
    </row>
    <row r="699" spans="1:6" x14ac:dyDescent="0.2">
      <c r="A699" t="str">
        <f>[1]!hospitalinfo[[#This Row],[Facility ID]]</f>
        <v>054155</v>
      </c>
      <c r="B699" t="str">
        <f>[1]!hospitalinfo[[#This Row],[State]]</f>
        <v>CA</v>
      </c>
      <c r="C699" t="str">
        <f>[1]!hospitalinfo[[#This Row],[Hospital Type]]</f>
        <v>Psychiatric</v>
      </c>
      <c r="D699" t="str">
        <f>[1]!hospitalinfo[[#This Row],[Hospital Ownership]]</f>
        <v>Proprietary</v>
      </c>
      <c r="E699" t="str" cm="1">
        <f t="array" ref="E699">_xlfn.IFNA(_xlfn.XLOOKUP(1,([1]!hcahps[Facility ID] = clean[[#This Row],[Facility ID]]) * ([1]!hcahps[HCAHPS Measure ID] = "H_HSP_RATING_LINEAR_SCORE"), [1]!hcahps[HCAHPS Linear Mean Value]), "No Match")</f>
        <v>No Match</v>
      </c>
      <c r="F699" t="str" cm="1">
        <f t="array" ref="F699">_xlfn.IFNA(_xlfn.XLOOKUP(1,([1]!readmissions[Facility ID] = clean[[#This Row],[Facility ID]]) * ([1]!readmissions[Measure ID] = "Hybrid_HWR"), [1]!readmissions[Score]), "No Match")</f>
        <v>No Match</v>
      </c>
    </row>
    <row r="700" spans="1:6" x14ac:dyDescent="0.2">
      <c r="A700" t="str">
        <f>[1]!hospitalinfo[[#This Row],[Facility ID]]</f>
        <v>054157</v>
      </c>
      <c r="B700" t="str">
        <f>[1]!hospitalinfo[[#This Row],[State]]</f>
        <v>CA</v>
      </c>
      <c r="C700" t="str">
        <f>[1]!hospitalinfo[[#This Row],[Hospital Type]]</f>
        <v>Psychiatric</v>
      </c>
      <c r="D700" t="str">
        <f>[1]!hospitalinfo[[#This Row],[Hospital Ownership]]</f>
        <v>Voluntary non-profit - Private</v>
      </c>
      <c r="E700" t="str" cm="1">
        <f t="array" ref="E700">_xlfn.IFNA(_xlfn.XLOOKUP(1,([1]!hcahps[Facility ID] = clean[[#This Row],[Facility ID]]) * ([1]!hcahps[HCAHPS Measure ID] = "H_HSP_RATING_LINEAR_SCORE"), [1]!hcahps[HCAHPS Linear Mean Value]), "No Match")</f>
        <v>No Match</v>
      </c>
      <c r="F700" t="str" cm="1">
        <f t="array" ref="F700">_xlfn.IFNA(_xlfn.XLOOKUP(1,([1]!readmissions[Facility ID] = clean[[#This Row],[Facility ID]]) * ([1]!readmissions[Measure ID] = "Hybrid_HWR"), [1]!readmissions[Score]), "No Match")</f>
        <v>No Match</v>
      </c>
    </row>
    <row r="701" spans="1:6" x14ac:dyDescent="0.2">
      <c r="A701" t="str">
        <f>[1]!hospitalinfo[[#This Row],[Facility ID]]</f>
        <v>054158</v>
      </c>
      <c r="B701" t="str">
        <f>[1]!hospitalinfo[[#This Row],[State]]</f>
        <v>CA</v>
      </c>
      <c r="C701" t="str">
        <f>[1]!hospitalinfo[[#This Row],[Hospital Type]]</f>
        <v>Psychiatric</v>
      </c>
      <c r="D701" t="str">
        <f>[1]!hospitalinfo[[#This Row],[Hospital Ownership]]</f>
        <v>Proprietary</v>
      </c>
      <c r="E701" t="str" cm="1">
        <f t="array" ref="E701">_xlfn.IFNA(_xlfn.XLOOKUP(1,([1]!hcahps[Facility ID] = clean[[#This Row],[Facility ID]]) * ([1]!hcahps[HCAHPS Measure ID] = "H_HSP_RATING_LINEAR_SCORE"), [1]!hcahps[HCAHPS Linear Mean Value]), "No Match")</f>
        <v>No Match</v>
      </c>
      <c r="F701" t="str" cm="1">
        <f t="array" ref="F701">_xlfn.IFNA(_xlfn.XLOOKUP(1,([1]!readmissions[Facility ID] = clean[[#This Row],[Facility ID]]) * ([1]!readmissions[Measure ID] = "Hybrid_HWR"), [1]!readmissions[Score]), "No Match")</f>
        <v>No Match</v>
      </c>
    </row>
    <row r="702" spans="1:6" x14ac:dyDescent="0.2">
      <c r="A702" t="str">
        <f>[1]!hospitalinfo[[#This Row],[Facility ID]]</f>
        <v>054159</v>
      </c>
      <c r="B702" t="str">
        <f>[1]!hospitalinfo[[#This Row],[State]]</f>
        <v>CA</v>
      </c>
      <c r="C702" t="str">
        <f>[1]!hospitalinfo[[#This Row],[Hospital Type]]</f>
        <v>Psychiatric</v>
      </c>
      <c r="D702" t="str">
        <f>[1]!hospitalinfo[[#This Row],[Hospital Ownership]]</f>
        <v>Proprietary</v>
      </c>
      <c r="E702" t="str" cm="1">
        <f t="array" ref="E702">_xlfn.IFNA(_xlfn.XLOOKUP(1,([1]!hcahps[Facility ID] = clean[[#This Row],[Facility ID]]) * ([1]!hcahps[HCAHPS Measure ID] = "H_HSP_RATING_LINEAR_SCORE"), [1]!hcahps[HCAHPS Linear Mean Value]), "No Match")</f>
        <v>No Match</v>
      </c>
      <c r="F702" t="str" cm="1">
        <f t="array" ref="F702">_xlfn.IFNA(_xlfn.XLOOKUP(1,([1]!readmissions[Facility ID] = clean[[#This Row],[Facility ID]]) * ([1]!readmissions[Measure ID] = "Hybrid_HWR"), [1]!readmissions[Score]), "No Match")</f>
        <v>No Match</v>
      </c>
    </row>
    <row r="703" spans="1:6" x14ac:dyDescent="0.2">
      <c r="A703" t="str">
        <f>[1]!hospitalinfo[[#This Row],[Facility ID]]</f>
        <v>054160</v>
      </c>
      <c r="B703" t="str">
        <f>[1]!hospitalinfo[[#This Row],[State]]</f>
        <v>CA</v>
      </c>
      <c r="C703" t="str">
        <f>[1]!hospitalinfo[[#This Row],[Hospital Type]]</f>
        <v>Psychiatric</v>
      </c>
      <c r="D703" t="str">
        <f>[1]!hospitalinfo[[#This Row],[Hospital Ownership]]</f>
        <v>Proprietary</v>
      </c>
      <c r="E703" t="str" cm="1">
        <f t="array" ref="E703">_xlfn.IFNA(_xlfn.XLOOKUP(1,([1]!hcahps[Facility ID] = clean[[#This Row],[Facility ID]]) * ([1]!hcahps[HCAHPS Measure ID] = "H_HSP_RATING_LINEAR_SCORE"), [1]!hcahps[HCAHPS Linear Mean Value]), "No Match")</f>
        <v>No Match</v>
      </c>
      <c r="F703" t="str" cm="1">
        <f t="array" ref="F703">_xlfn.IFNA(_xlfn.XLOOKUP(1,([1]!readmissions[Facility ID] = clean[[#This Row],[Facility ID]]) * ([1]!readmissions[Measure ID] = "Hybrid_HWR"), [1]!readmissions[Score]), "No Match")</f>
        <v>No Match</v>
      </c>
    </row>
    <row r="704" spans="1:6" x14ac:dyDescent="0.2">
      <c r="A704" t="str">
        <f>[1]!hospitalinfo[[#This Row],[Facility ID]]</f>
        <v>060001</v>
      </c>
      <c r="B704" t="str">
        <f>[1]!hospitalinfo[[#This Row],[State]]</f>
        <v>CO</v>
      </c>
      <c r="C704" t="str">
        <f>[1]!hospitalinfo[[#This Row],[Hospital Type]]</f>
        <v>Acute Care Hospitals</v>
      </c>
      <c r="D704" t="str">
        <f>[1]!hospitalinfo[[#This Row],[Hospital Ownership]]</f>
        <v>Voluntary non-profit - Private</v>
      </c>
      <c r="E704" cm="1">
        <f t="array" ref="E704">_xlfn.IFNA(_xlfn.XLOOKUP(1,([1]!hcahps[Facility ID] = clean[[#This Row],[Facility ID]]) * ([1]!hcahps[HCAHPS Measure ID] = "H_HSP_RATING_LINEAR_SCORE"), [1]!hcahps[HCAHPS Linear Mean Value]), "No Match")</f>
        <v>88</v>
      </c>
      <c r="F704" cm="1">
        <f t="array" ref="F704">_xlfn.IFNA(_xlfn.XLOOKUP(1,([1]!readmissions[Facility ID] = clean[[#This Row],[Facility ID]]) * ([1]!readmissions[Measure ID] = "Hybrid_HWR"), [1]!readmissions[Score]), "No Match")</f>
        <v>14.6</v>
      </c>
    </row>
    <row r="705" spans="1:6" x14ac:dyDescent="0.2">
      <c r="A705" t="str">
        <f>[1]!hospitalinfo[[#This Row],[Facility ID]]</f>
        <v>060003</v>
      </c>
      <c r="B705" t="str">
        <f>[1]!hospitalinfo[[#This Row],[State]]</f>
        <v>CO</v>
      </c>
      <c r="C705" t="str">
        <f>[1]!hospitalinfo[[#This Row],[Hospital Type]]</f>
        <v>Acute Care Hospitals</v>
      </c>
      <c r="D705" t="str">
        <f>[1]!hospitalinfo[[#This Row],[Hospital Ownership]]</f>
        <v>Voluntary non-profit - Private</v>
      </c>
      <c r="E705" cm="1">
        <f t="array" ref="E705">_xlfn.IFNA(_xlfn.XLOOKUP(1,([1]!hcahps[Facility ID] = clean[[#This Row],[Facility ID]]) * ([1]!hcahps[HCAHPS Measure ID] = "H_HSP_RATING_LINEAR_SCORE"), [1]!hcahps[HCAHPS Linear Mean Value]), "No Match")</f>
        <v>87</v>
      </c>
      <c r="F705" cm="1">
        <f t="array" ref="F705">_xlfn.IFNA(_xlfn.XLOOKUP(1,([1]!readmissions[Facility ID] = clean[[#This Row],[Facility ID]]) * ([1]!readmissions[Measure ID] = "Hybrid_HWR"), [1]!readmissions[Score]), "No Match")</f>
        <v>14.3</v>
      </c>
    </row>
    <row r="706" spans="1:6" x14ac:dyDescent="0.2">
      <c r="A706" t="str">
        <f>[1]!hospitalinfo[[#This Row],[Facility ID]]</f>
        <v>060004</v>
      </c>
      <c r="B706" t="str">
        <f>[1]!hospitalinfo[[#This Row],[State]]</f>
        <v>CO</v>
      </c>
      <c r="C706" t="str">
        <f>[1]!hospitalinfo[[#This Row],[Hospital Type]]</f>
        <v>Acute Care Hospitals</v>
      </c>
      <c r="D706" t="str">
        <f>[1]!hospitalinfo[[#This Row],[Hospital Ownership]]</f>
        <v>Voluntary non-profit - Private</v>
      </c>
      <c r="E706" cm="1">
        <f t="array" ref="E706">_xlfn.IFNA(_xlfn.XLOOKUP(1,([1]!hcahps[Facility ID] = clean[[#This Row],[Facility ID]]) * ([1]!hcahps[HCAHPS Measure ID] = "H_HSP_RATING_LINEAR_SCORE"), [1]!hcahps[HCAHPS Linear Mean Value]), "No Match")</f>
        <v>90</v>
      </c>
      <c r="F706" cm="1">
        <f t="array" ref="F706">_xlfn.IFNA(_xlfn.XLOOKUP(1,([1]!readmissions[Facility ID] = clean[[#This Row],[Facility ID]]) * ([1]!readmissions[Measure ID] = "Hybrid_HWR"), [1]!readmissions[Score]), "No Match")</f>
        <v>15</v>
      </c>
    </row>
    <row r="707" spans="1:6" x14ac:dyDescent="0.2">
      <c r="A707" t="str">
        <f>[1]!hospitalinfo[[#This Row],[Facility ID]]</f>
        <v>060006</v>
      </c>
      <c r="B707" t="str">
        <f>[1]!hospitalinfo[[#This Row],[State]]</f>
        <v>CO</v>
      </c>
      <c r="C707" t="str">
        <f>[1]!hospitalinfo[[#This Row],[Hospital Type]]</f>
        <v>Acute Care Hospitals</v>
      </c>
      <c r="D707" t="str">
        <f>[1]!hospitalinfo[[#This Row],[Hospital Ownership]]</f>
        <v>Voluntary non-profit - Private</v>
      </c>
      <c r="E707" cm="1">
        <f t="array" ref="E707">_xlfn.IFNA(_xlfn.XLOOKUP(1,([1]!hcahps[Facility ID] = clean[[#This Row],[Facility ID]]) * ([1]!hcahps[HCAHPS Measure ID] = "H_HSP_RATING_LINEAR_SCORE"), [1]!hcahps[HCAHPS Linear Mean Value]), "No Match")</f>
        <v>91</v>
      </c>
      <c r="F707" cm="1">
        <f t="array" ref="F707">_xlfn.IFNA(_xlfn.XLOOKUP(1,([1]!readmissions[Facility ID] = clean[[#This Row],[Facility ID]]) * ([1]!readmissions[Measure ID] = "Hybrid_HWR"), [1]!readmissions[Score]), "No Match")</f>
        <v>14.7</v>
      </c>
    </row>
    <row r="708" spans="1:6" x14ac:dyDescent="0.2">
      <c r="A708" t="str">
        <f>[1]!hospitalinfo[[#This Row],[Facility ID]]</f>
        <v>060008</v>
      </c>
      <c r="B708" t="str">
        <f>[1]!hospitalinfo[[#This Row],[State]]</f>
        <v>CO</v>
      </c>
      <c r="C708" t="str">
        <f>[1]!hospitalinfo[[#This Row],[Hospital Type]]</f>
        <v>Acute Care Hospitals</v>
      </c>
      <c r="D708" t="str">
        <f>[1]!hospitalinfo[[#This Row],[Hospital Ownership]]</f>
        <v>Voluntary non-profit - Private</v>
      </c>
      <c r="E708" cm="1">
        <f t="array" ref="E708">_xlfn.IFNA(_xlfn.XLOOKUP(1,([1]!hcahps[Facility ID] = clean[[#This Row],[Facility ID]]) * ([1]!hcahps[HCAHPS Measure ID] = "H_HSP_RATING_LINEAR_SCORE"), [1]!hcahps[HCAHPS Linear Mean Value]), "No Match")</f>
        <v>85</v>
      </c>
      <c r="F708" cm="1">
        <f t="array" ref="F708">_xlfn.IFNA(_xlfn.XLOOKUP(1,([1]!readmissions[Facility ID] = clean[[#This Row],[Facility ID]]) * ([1]!readmissions[Measure ID] = "Hybrid_HWR"), [1]!readmissions[Score]), "No Match")</f>
        <v>15.5</v>
      </c>
    </row>
    <row r="709" spans="1:6" x14ac:dyDescent="0.2">
      <c r="A709" t="str">
        <f>[1]!hospitalinfo[[#This Row],[Facility ID]]</f>
        <v>060009</v>
      </c>
      <c r="B709" t="str">
        <f>[1]!hospitalinfo[[#This Row],[State]]</f>
        <v>CO</v>
      </c>
      <c r="C709" t="str">
        <f>[1]!hospitalinfo[[#This Row],[Hospital Type]]</f>
        <v>Acute Care Hospitals</v>
      </c>
      <c r="D709" t="str">
        <f>[1]!hospitalinfo[[#This Row],[Hospital Ownership]]</f>
        <v>Voluntary non-profit - Private</v>
      </c>
      <c r="E709" cm="1">
        <f t="array" ref="E709">_xlfn.IFNA(_xlfn.XLOOKUP(1,([1]!hcahps[Facility ID] = clean[[#This Row],[Facility ID]]) * ([1]!hcahps[HCAHPS Measure ID] = "H_HSP_RATING_LINEAR_SCORE"), [1]!hcahps[HCAHPS Linear Mean Value]), "No Match")</f>
        <v>90</v>
      </c>
      <c r="F709" cm="1">
        <f t="array" ref="F709">_xlfn.IFNA(_xlfn.XLOOKUP(1,([1]!readmissions[Facility ID] = clean[[#This Row],[Facility ID]]) * ([1]!readmissions[Measure ID] = "Hybrid_HWR"), [1]!readmissions[Score]), "No Match")</f>
        <v>13.4</v>
      </c>
    </row>
    <row r="710" spans="1:6" x14ac:dyDescent="0.2">
      <c r="A710" t="str">
        <f>[1]!hospitalinfo[[#This Row],[Facility ID]]</f>
        <v>060010</v>
      </c>
      <c r="B710" t="str">
        <f>[1]!hospitalinfo[[#This Row],[State]]</f>
        <v>CO</v>
      </c>
      <c r="C710" t="str">
        <f>[1]!hospitalinfo[[#This Row],[Hospital Type]]</f>
        <v>Acute Care Hospitals</v>
      </c>
      <c r="D710" t="str">
        <f>[1]!hospitalinfo[[#This Row],[Hospital Ownership]]</f>
        <v>Voluntary non-profit - Private</v>
      </c>
      <c r="E710" cm="1">
        <f t="array" ref="E710">_xlfn.IFNA(_xlfn.XLOOKUP(1,([1]!hcahps[Facility ID] = clean[[#This Row],[Facility ID]]) * ([1]!hcahps[HCAHPS Measure ID] = "H_HSP_RATING_LINEAR_SCORE"), [1]!hcahps[HCAHPS Linear Mean Value]), "No Match")</f>
        <v>90</v>
      </c>
      <c r="F710" cm="1">
        <f t="array" ref="F710">_xlfn.IFNA(_xlfn.XLOOKUP(1,([1]!readmissions[Facility ID] = clean[[#This Row],[Facility ID]]) * ([1]!readmissions[Measure ID] = "Hybrid_HWR"), [1]!readmissions[Score]), "No Match")</f>
        <v>12.8</v>
      </c>
    </row>
    <row r="711" spans="1:6" x14ac:dyDescent="0.2">
      <c r="A711" t="str">
        <f>[1]!hospitalinfo[[#This Row],[Facility ID]]</f>
        <v>060011</v>
      </c>
      <c r="B711" t="str">
        <f>[1]!hospitalinfo[[#This Row],[State]]</f>
        <v>CO</v>
      </c>
      <c r="C711" t="str">
        <f>[1]!hospitalinfo[[#This Row],[Hospital Type]]</f>
        <v>Acute Care Hospitals</v>
      </c>
      <c r="D711" t="str">
        <f>[1]!hospitalinfo[[#This Row],[Hospital Ownership]]</f>
        <v>Government - State</v>
      </c>
      <c r="E711" cm="1">
        <f t="array" ref="E711">_xlfn.IFNA(_xlfn.XLOOKUP(1,([1]!hcahps[Facility ID] = clean[[#This Row],[Facility ID]]) * ([1]!hcahps[HCAHPS Measure ID] = "H_HSP_RATING_LINEAR_SCORE"), [1]!hcahps[HCAHPS Linear Mean Value]), "No Match")</f>
        <v>89</v>
      </c>
      <c r="F711" cm="1">
        <f t="array" ref="F711">_xlfn.IFNA(_xlfn.XLOOKUP(1,([1]!readmissions[Facility ID] = clean[[#This Row],[Facility ID]]) * ([1]!readmissions[Measure ID] = "Hybrid_HWR"), [1]!readmissions[Score]), "No Match")</f>
        <v>14.5</v>
      </c>
    </row>
    <row r="712" spans="1:6" x14ac:dyDescent="0.2">
      <c r="A712" t="str">
        <f>[1]!hospitalinfo[[#This Row],[Facility ID]]</f>
        <v>060012</v>
      </c>
      <c r="B712" t="str">
        <f>[1]!hospitalinfo[[#This Row],[State]]</f>
        <v>CO</v>
      </c>
      <c r="C712" t="str">
        <f>[1]!hospitalinfo[[#This Row],[Hospital Type]]</f>
        <v>Acute Care Hospitals</v>
      </c>
      <c r="D712" t="str">
        <f>[1]!hospitalinfo[[#This Row],[Hospital Ownership]]</f>
        <v>Voluntary non-profit - Church</v>
      </c>
      <c r="E712" cm="1">
        <f t="array" ref="E712">_xlfn.IFNA(_xlfn.XLOOKUP(1,([1]!hcahps[Facility ID] = clean[[#This Row],[Facility ID]]) * ([1]!hcahps[HCAHPS Measure ID] = "H_HSP_RATING_LINEAR_SCORE"), [1]!hcahps[HCAHPS Linear Mean Value]), "No Match")</f>
        <v>91</v>
      </c>
      <c r="F712" cm="1">
        <f t="array" ref="F712">_xlfn.IFNA(_xlfn.XLOOKUP(1,([1]!readmissions[Facility ID] = clean[[#This Row],[Facility ID]]) * ([1]!readmissions[Measure ID] = "Hybrid_HWR"), [1]!readmissions[Score]), "No Match")</f>
        <v>14.8</v>
      </c>
    </row>
    <row r="713" spans="1:6" x14ac:dyDescent="0.2">
      <c r="A713" t="str">
        <f>[1]!hospitalinfo[[#This Row],[Facility ID]]</f>
        <v>060013</v>
      </c>
      <c r="B713" t="str">
        <f>[1]!hospitalinfo[[#This Row],[State]]</f>
        <v>CO</v>
      </c>
      <c r="C713" t="str">
        <f>[1]!hospitalinfo[[#This Row],[Hospital Type]]</f>
        <v>Acute Care Hospitals</v>
      </c>
      <c r="D713" t="str">
        <f>[1]!hospitalinfo[[#This Row],[Hospital Ownership]]</f>
        <v>Voluntary non-profit - Church</v>
      </c>
      <c r="E713" cm="1">
        <f t="array" ref="E713">_xlfn.IFNA(_xlfn.XLOOKUP(1,([1]!hcahps[Facility ID] = clean[[#This Row],[Facility ID]]) * ([1]!hcahps[HCAHPS Measure ID] = "H_HSP_RATING_LINEAR_SCORE"), [1]!hcahps[HCAHPS Linear Mean Value]), "No Match")</f>
        <v>89</v>
      </c>
      <c r="F713" cm="1">
        <f t="array" ref="F713">_xlfn.IFNA(_xlfn.XLOOKUP(1,([1]!readmissions[Facility ID] = clean[[#This Row],[Facility ID]]) * ([1]!readmissions[Measure ID] = "Hybrid_HWR"), [1]!readmissions[Score]), "No Match")</f>
        <v>13.7</v>
      </c>
    </row>
    <row r="714" spans="1:6" x14ac:dyDescent="0.2">
      <c r="A714" t="str">
        <f>[1]!hospitalinfo[[#This Row],[Facility ID]]</f>
        <v>060014</v>
      </c>
      <c r="B714" t="str">
        <f>[1]!hospitalinfo[[#This Row],[State]]</f>
        <v>CO</v>
      </c>
      <c r="C714" t="str">
        <f>[1]!hospitalinfo[[#This Row],[Hospital Type]]</f>
        <v>Acute Care Hospitals</v>
      </c>
      <c r="D714" t="str">
        <f>[1]!hospitalinfo[[#This Row],[Hospital Ownership]]</f>
        <v>Government - State</v>
      </c>
      <c r="E714" cm="1">
        <f t="array" ref="E714">_xlfn.IFNA(_xlfn.XLOOKUP(1,([1]!hcahps[Facility ID] = clean[[#This Row],[Facility ID]]) * ([1]!hcahps[HCAHPS Measure ID] = "H_HSP_RATING_LINEAR_SCORE"), [1]!hcahps[HCAHPS Linear Mean Value]), "No Match")</f>
        <v>89</v>
      </c>
      <c r="F714" cm="1">
        <f t="array" ref="F714">_xlfn.IFNA(_xlfn.XLOOKUP(1,([1]!readmissions[Facility ID] = clean[[#This Row],[Facility ID]]) * ([1]!readmissions[Measure ID] = "Hybrid_HWR"), [1]!readmissions[Score]), "No Match")</f>
        <v>15.4</v>
      </c>
    </row>
    <row r="715" spans="1:6" x14ac:dyDescent="0.2">
      <c r="A715" t="str">
        <f>[1]!hospitalinfo[[#This Row],[Facility ID]]</f>
        <v>060015</v>
      </c>
      <c r="B715" t="str">
        <f>[1]!hospitalinfo[[#This Row],[State]]</f>
        <v>CO</v>
      </c>
      <c r="C715" t="str">
        <f>[1]!hospitalinfo[[#This Row],[Hospital Type]]</f>
        <v>Acute Care Hospitals</v>
      </c>
      <c r="D715" t="str">
        <f>[1]!hospitalinfo[[#This Row],[Hospital Ownership]]</f>
        <v>Voluntary non-profit - Church</v>
      </c>
      <c r="E715" cm="1">
        <f t="array" ref="E715">_xlfn.IFNA(_xlfn.XLOOKUP(1,([1]!hcahps[Facility ID] = clean[[#This Row],[Facility ID]]) * ([1]!hcahps[HCAHPS Measure ID] = "H_HSP_RATING_LINEAR_SCORE"), [1]!hcahps[HCAHPS Linear Mean Value]), "No Match")</f>
        <v>86</v>
      </c>
      <c r="F715" cm="1">
        <f t="array" ref="F715">_xlfn.IFNA(_xlfn.XLOOKUP(1,([1]!readmissions[Facility ID] = clean[[#This Row],[Facility ID]]) * ([1]!readmissions[Measure ID] = "Hybrid_HWR"), [1]!readmissions[Score]), "No Match")</f>
        <v>15</v>
      </c>
    </row>
    <row r="716" spans="1:6" x14ac:dyDescent="0.2">
      <c r="A716" t="str">
        <f>[1]!hospitalinfo[[#This Row],[Facility ID]]</f>
        <v>060020</v>
      </c>
      <c r="B716" t="str">
        <f>[1]!hospitalinfo[[#This Row],[State]]</f>
        <v>CO</v>
      </c>
      <c r="C716" t="str">
        <f>[1]!hospitalinfo[[#This Row],[Hospital Type]]</f>
        <v>Acute Care Hospitals</v>
      </c>
      <c r="D716" t="str">
        <f>[1]!hospitalinfo[[#This Row],[Hospital Ownership]]</f>
        <v>Voluntary non-profit - Private</v>
      </c>
      <c r="E716" cm="1">
        <f t="array" ref="E716">_xlfn.IFNA(_xlfn.XLOOKUP(1,([1]!hcahps[Facility ID] = clean[[#This Row],[Facility ID]]) * ([1]!hcahps[HCAHPS Measure ID] = "H_HSP_RATING_LINEAR_SCORE"), [1]!hcahps[HCAHPS Linear Mean Value]), "No Match")</f>
        <v>84</v>
      </c>
      <c r="F716" cm="1">
        <f t="array" ref="F716">_xlfn.IFNA(_xlfn.XLOOKUP(1,([1]!readmissions[Facility ID] = clean[[#This Row],[Facility ID]]) * ([1]!readmissions[Measure ID] = "Hybrid_HWR"), [1]!readmissions[Score]), "No Match")</f>
        <v>13.8</v>
      </c>
    </row>
    <row r="717" spans="1:6" x14ac:dyDescent="0.2">
      <c r="A717" t="str">
        <f>[1]!hospitalinfo[[#This Row],[Facility ID]]</f>
        <v>060022</v>
      </c>
      <c r="B717" t="str">
        <f>[1]!hospitalinfo[[#This Row],[State]]</f>
        <v>CO</v>
      </c>
      <c r="C717" t="str">
        <f>[1]!hospitalinfo[[#This Row],[Hospital Type]]</f>
        <v>Acute Care Hospitals</v>
      </c>
      <c r="D717" t="str">
        <f>[1]!hospitalinfo[[#This Row],[Hospital Ownership]]</f>
        <v>Government - Local</v>
      </c>
      <c r="E717" cm="1">
        <f t="array" ref="E717">_xlfn.IFNA(_xlfn.XLOOKUP(1,([1]!hcahps[Facility ID] = clean[[#This Row],[Facility ID]]) * ([1]!hcahps[HCAHPS Measure ID] = "H_HSP_RATING_LINEAR_SCORE"), [1]!hcahps[HCAHPS Linear Mean Value]), "No Match")</f>
        <v>88</v>
      </c>
      <c r="F717" cm="1">
        <f t="array" ref="F717">_xlfn.IFNA(_xlfn.XLOOKUP(1,([1]!readmissions[Facility ID] = clean[[#This Row],[Facility ID]]) * ([1]!readmissions[Measure ID] = "Hybrid_HWR"), [1]!readmissions[Score]), "No Match")</f>
        <v>13.7</v>
      </c>
    </row>
    <row r="718" spans="1:6" x14ac:dyDescent="0.2">
      <c r="A718" t="str">
        <f>[1]!hospitalinfo[[#This Row],[Facility ID]]</f>
        <v>060023</v>
      </c>
      <c r="B718" t="str">
        <f>[1]!hospitalinfo[[#This Row],[State]]</f>
        <v>CO</v>
      </c>
      <c r="C718" t="str">
        <f>[1]!hospitalinfo[[#This Row],[Hospital Type]]</f>
        <v>Acute Care Hospitals</v>
      </c>
      <c r="D718" t="str">
        <f>[1]!hospitalinfo[[#This Row],[Hospital Ownership]]</f>
        <v>Voluntary non-profit - Church</v>
      </c>
      <c r="E718" cm="1">
        <f t="array" ref="E718">_xlfn.IFNA(_xlfn.XLOOKUP(1,([1]!hcahps[Facility ID] = clean[[#This Row],[Facility ID]]) * ([1]!hcahps[HCAHPS Measure ID] = "H_HSP_RATING_LINEAR_SCORE"), [1]!hcahps[HCAHPS Linear Mean Value]), "No Match")</f>
        <v>88</v>
      </c>
      <c r="F718" cm="1">
        <f t="array" ref="F718">_xlfn.IFNA(_xlfn.XLOOKUP(1,([1]!readmissions[Facility ID] = clean[[#This Row],[Facility ID]]) * ([1]!readmissions[Measure ID] = "Hybrid_HWR"), [1]!readmissions[Score]), "No Match")</f>
        <v>13.9</v>
      </c>
    </row>
    <row r="719" spans="1:6" x14ac:dyDescent="0.2">
      <c r="A719" t="str">
        <f>[1]!hospitalinfo[[#This Row],[Facility ID]]</f>
        <v>060024</v>
      </c>
      <c r="B719" t="str">
        <f>[1]!hospitalinfo[[#This Row],[State]]</f>
        <v>CO</v>
      </c>
      <c r="C719" t="str">
        <f>[1]!hospitalinfo[[#This Row],[Hospital Type]]</f>
        <v>Acute Care Hospitals</v>
      </c>
      <c r="D719" t="str">
        <f>[1]!hospitalinfo[[#This Row],[Hospital Ownership]]</f>
        <v>Government - Hospital District or Authority</v>
      </c>
      <c r="E719" cm="1">
        <f t="array" ref="E719">_xlfn.IFNA(_xlfn.XLOOKUP(1,([1]!hcahps[Facility ID] = clean[[#This Row],[Facility ID]]) * ([1]!hcahps[HCAHPS Measure ID] = "H_HSP_RATING_LINEAR_SCORE"), [1]!hcahps[HCAHPS Linear Mean Value]), "No Match")</f>
        <v>89</v>
      </c>
      <c r="F719" cm="1">
        <f t="array" ref="F719">_xlfn.IFNA(_xlfn.XLOOKUP(1,([1]!readmissions[Facility ID] = clean[[#This Row],[Facility ID]]) * ([1]!readmissions[Measure ID] = "Hybrid_HWR"), [1]!readmissions[Score]), "No Match")</f>
        <v>14.3</v>
      </c>
    </row>
    <row r="720" spans="1:6" x14ac:dyDescent="0.2">
      <c r="A720" t="str">
        <f>[1]!hospitalinfo[[#This Row],[Facility ID]]</f>
        <v>060027</v>
      </c>
      <c r="B720" t="str">
        <f>[1]!hospitalinfo[[#This Row],[State]]</f>
        <v>CO</v>
      </c>
      <c r="C720" t="str">
        <f>[1]!hospitalinfo[[#This Row],[Hospital Type]]</f>
        <v>Acute Care Hospitals</v>
      </c>
      <c r="D720" t="str">
        <f>[1]!hospitalinfo[[#This Row],[Hospital Ownership]]</f>
        <v>Voluntary non-profit - Private</v>
      </c>
      <c r="E720" cm="1">
        <f t="array" ref="E720">_xlfn.IFNA(_xlfn.XLOOKUP(1,([1]!hcahps[Facility ID] = clean[[#This Row],[Facility ID]]) * ([1]!hcahps[HCAHPS Measure ID] = "H_HSP_RATING_LINEAR_SCORE"), [1]!hcahps[HCAHPS Linear Mean Value]), "No Match")</f>
        <v>91</v>
      </c>
      <c r="F720" cm="1">
        <f t="array" ref="F720">_xlfn.IFNA(_xlfn.XLOOKUP(1,([1]!readmissions[Facility ID] = clean[[#This Row],[Facility ID]]) * ([1]!readmissions[Measure ID] = "Hybrid_HWR"), [1]!readmissions[Score]), "No Match")</f>
        <v>13.6</v>
      </c>
    </row>
    <row r="721" spans="1:6" x14ac:dyDescent="0.2">
      <c r="A721" t="str">
        <f>[1]!hospitalinfo[[#This Row],[Facility ID]]</f>
        <v>060028</v>
      </c>
      <c r="B721" t="str">
        <f>[1]!hospitalinfo[[#This Row],[State]]</f>
        <v>CO</v>
      </c>
      <c r="C721" t="str">
        <f>[1]!hospitalinfo[[#This Row],[Hospital Type]]</f>
        <v>Acute Care Hospitals</v>
      </c>
      <c r="D721" t="str">
        <f>[1]!hospitalinfo[[#This Row],[Hospital Ownership]]</f>
        <v>Voluntary non-profit - Private</v>
      </c>
      <c r="E721" cm="1">
        <f t="array" ref="E721">_xlfn.IFNA(_xlfn.XLOOKUP(1,([1]!hcahps[Facility ID] = clean[[#This Row],[Facility ID]]) * ([1]!hcahps[HCAHPS Measure ID] = "H_HSP_RATING_LINEAR_SCORE"), [1]!hcahps[HCAHPS Linear Mean Value]), "No Match")</f>
        <v>91</v>
      </c>
      <c r="F721" cm="1">
        <f t="array" ref="F721">_xlfn.IFNA(_xlfn.XLOOKUP(1,([1]!readmissions[Facility ID] = clean[[#This Row],[Facility ID]]) * ([1]!readmissions[Measure ID] = "Hybrid_HWR"), [1]!readmissions[Score]), "No Match")</f>
        <v>14.3</v>
      </c>
    </row>
    <row r="722" spans="1:6" x14ac:dyDescent="0.2">
      <c r="A722" t="str">
        <f>[1]!hospitalinfo[[#This Row],[Facility ID]]</f>
        <v>060030</v>
      </c>
      <c r="B722" t="str">
        <f>[1]!hospitalinfo[[#This Row],[State]]</f>
        <v>CO</v>
      </c>
      <c r="C722" t="str">
        <f>[1]!hospitalinfo[[#This Row],[Hospital Type]]</f>
        <v>Acute Care Hospitals</v>
      </c>
      <c r="D722" t="str">
        <f>[1]!hospitalinfo[[#This Row],[Hospital Ownership]]</f>
        <v>Voluntary non-profit - Private</v>
      </c>
      <c r="E722" cm="1">
        <f t="array" ref="E722">_xlfn.IFNA(_xlfn.XLOOKUP(1,([1]!hcahps[Facility ID] = clean[[#This Row],[Facility ID]]) * ([1]!hcahps[HCAHPS Measure ID] = "H_HSP_RATING_LINEAR_SCORE"), [1]!hcahps[HCAHPS Linear Mean Value]), "No Match")</f>
        <v>87</v>
      </c>
      <c r="F722" cm="1">
        <f t="array" ref="F722">_xlfn.IFNA(_xlfn.XLOOKUP(1,([1]!readmissions[Facility ID] = clean[[#This Row],[Facility ID]]) * ([1]!readmissions[Measure ID] = "Hybrid_HWR"), [1]!readmissions[Score]), "No Match")</f>
        <v>14.3</v>
      </c>
    </row>
    <row r="723" spans="1:6" x14ac:dyDescent="0.2">
      <c r="A723" t="str">
        <f>[1]!hospitalinfo[[#This Row],[Facility ID]]</f>
        <v>060031</v>
      </c>
      <c r="B723" t="str">
        <f>[1]!hospitalinfo[[#This Row],[State]]</f>
        <v>CO</v>
      </c>
      <c r="C723" t="str">
        <f>[1]!hospitalinfo[[#This Row],[Hospital Type]]</f>
        <v>Acute Care Hospitals</v>
      </c>
      <c r="D723" t="str">
        <f>[1]!hospitalinfo[[#This Row],[Hospital Ownership]]</f>
        <v>Voluntary non-profit - Private</v>
      </c>
      <c r="E723" cm="1">
        <f t="array" ref="E723">_xlfn.IFNA(_xlfn.XLOOKUP(1,([1]!hcahps[Facility ID] = clean[[#This Row],[Facility ID]]) * ([1]!hcahps[HCAHPS Measure ID] = "H_HSP_RATING_LINEAR_SCORE"), [1]!hcahps[HCAHPS Linear Mean Value]), "No Match")</f>
        <v>86</v>
      </c>
      <c r="F723" cm="1">
        <f t="array" ref="F723">_xlfn.IFNA(_xlfn.XLOOKUP(1,([1]!readmissions[Facility ID] = clean[[#This Row],[Facility ID]]) * ([1]!readmissions[Measure ID] = "Hybrid_HWR"), [1]!readmissions[Score]), "No Match")</f>
        <v>13.8</v>
      </c>
    </row>
    <row r="724" spans="1:6" x14ac:dyDescent="0.2">
      <c r="A724" t="str">
        <f>[1]!hospitalinfo[[#This Row],[Facility ID]]</f>
        <v>060032</v>
      </c>
      <c r="B724" t="str">
        <f>[1]!hospitalinfo[[#This Row],[State]]</f>
        <v>CO</v>
      </c>
      <c r="C724" t="str">
        <f>[1]!hospitalinfo[[#This Row],[Hospital Type]]</f>
        <v>Acute Care Hospitals</v>
      </c>
      <c r="D724" t="str">
        <f>[1]!hospitalinfo[[#This Row],[Hospital Ownership]]</f>
        <v>Proprietary</v>
      </c>
      <c r="E724" cm="1">
        <f t="array" ref="E724">_xlfn.IFNA(_xlfn.XLOOKUP(1,([1]!hcahps[Facility ID] = clean[[#This Row],[Facility ID]]) * ([1]!hcahps[HCAHPS Measure ID] = "H_HSP_RATING_LINEAR_SCORE"), [1]!hcahps[HCAHPS Linear Mean Value]), "No Match")</f>
        <v>90</v>
      </c>
      <c r="F724" cm="1">
        <f t="array" ref="F724">_xlfn.IFNA(_xlfn.XLOOKUP(1,([1]!readmissions[Facility ID] = clean[[#This Row],[Facility ID]]) * ([1]!readmissions[Measure ID] = "Hybrid_HWR"), [1]!readmissions[Score]), "No Match")</f>
        <v>14.6</v>
      </c>
    </row>
    <row r="725" spans="1:6" x14ac:dyDescent="0.2">
      <c r="A725" t="str">
        <f>[1]!hospitalinfo[[#This Row],[Facility ID]]</f>
        <v>060034</v>
      </c>
      <c r="B725" t="str">
        <f>[1]!hospitalinfo[[#This Row],[State]]</f>
        <v>CO</v>
      </c>
      <c r="C725" t="str">
        <f>[1]!hospitalinfo[[#This Row],[Hospital Type]]</f>
        <v>Acute Care Hospitals</v>
      </c>
      <c r="D725" t="str">
        <f>[1]!hospitalinfo[[#This Row],[Hospital Ownership]]</f>
        <v>Proprietary</v>
      </c>
      <c r="E725" cm="1">
        <f t="array" ref="E725">_xlfn.IFNA(_xlfn.XLOOKUP(1,([1]!hcahps[Facility ID] = clean[[#This Row],[Facility ID]]) * ([1]!hcahps[HCAHPS Measure ID] = "H_HSP_RATING_LINEAR_SCORE"), [1]!hcahps[HCAHPS Linear Mean Value]), "No Match")</f>
        <v>83</v>
      </c>
      <c r="F725" cm="1">
        <f t="array" ref="F725">_xlfn.IFNA(_xlfn.XLOOKUP(1,([1]!readmissions[Facility ID] = clean[[#This Row],[Facility ID]]) * ([1]!readmissions[Measure ID] = "Hybrid_HWR"), [1]!readmissions[Score]), "No Match")</f>
        <v>15.4</v>
      </c>
    </row>
    <row r="726" spans="1:6" x14ac:dyDescent="0.2">
      <c r="A726" t="str">
        <f>[1]!hospitalinfo[[#This Row],[Facility ID]]</f>
        <v>06003F</v>
      </c>
      <c r="B726" t="str">
        <f>[1]!hospitalinfo[[#This Row],[State]]</f>
        <v>CO</v>
      </c>
      <c r="C726" t="str">
        <f>[1]!hospitalinfo[[#This Row],[Hospital Type]]</f>
        <v>Acute Care - Department of Defense</v>
      </c>
      <c r="D726" t="str">
        <f>[1]!hospitalinfo[[#This Row],[Hospital Ownership]]</f>
        <v>Department of Defense</v>
      </c>
      <c r="E726" cm="1">
        <f t="array" ref="E726">_xlfn.IFNA(_xlfn.XLOOKUP(1,([1]!hcahps[Facility ID] = clean[[#This Row],[Facility ID]]) * ([1]!hcahps[HCAHPS Measure ID] = "H_HSP_RATING_LINEAR_SCORE"), [1]!hcahps[HCAHPS Linear Mean Value]), "No Match")</f>
        <v>91</v>
      </c>
      <c r="F726" t="str" cm="1">
        <f t="array" ref="F726">_xlfn.IFNA(_xlfn.XLOOKUP(1,([1]!readmissions[Facility ID] = clean[[#This Row],[Facility ID]]) * ([1]!readmissions[Measure ID] = "Hybrid_HWR"), [1]!readmissions[Score]), "No Match")</f>
        <v>Not Available</v>
      </c>
    </row>
    <row r="727" spans="1:6" x14ac:dyDescent="0.2">
      <c r="A727" t="str">
        <f>[1]!hospitalinfo[[#This Row],[Facility ID]]</f>
        <v>060044</v>
      </c>
      <c r="B727" t="str">
        <f>[1]!hospitalinfo[[#This Row],[State]]</f>
        <v>CO</v>
      </c>
      <c r="C727" t="str">
        <f>[1]!hospitalinfo[[#This Row],[Hospital Type]]</f>
        <v>Acute Care Hospitals</v>
      </c>
      <c r="D727" t="str">
        <f>[1]!hospitalinfo[[#This Row],[Hospital Ownership]]</f>
        <v>Voluntary non-profit - Other</v>
      </c>
      <c r="E727" cm="1">
        <f t="array" ref="E727">_xlfn.IFNA(_xlfn.XLOOKUP(1,([1]!hcahps[Facility ID] = clean[[#This Row],[Facility ID]]) * ([1]!hcahps[HCAHPS Measure ID] = "H_HSP_RATING_LINEAR_SCORE"), [1]!hcahps[HCAHPS Linear Mean Value]), "No Match")</f>
        <v>90</v>
      </c>
      <c r="F727" cm="1">
        <f t="array" ref="F727">_xlfn.IFNA(_xlfn.XLOOKUP(1,([1]!readmissions[Facility ID] = clean[[#This Row],[Facility ID]]) * ([1]!readmissions[Measure ID] = "Hybrid_HWR"), [1]!readmissions[Score]), "No Match")</f>
        <v>14.6</v>
      </c>
    </row>
    <row r="728" spans="1:6" x14ac:dyDescent="0.2">
      <c r="A728" t="str">
        <f>[1]!hospitalinfo[[#This Row],[Facility ID]]</f>
        <v>060049</v>
      </c>
      <c r="B728" t="str">
        <f>[1]!hospitalinfo[[#This Row],[State]]</f>
        <v>CO</v>
      </c>
      <c r="C728" t="str">
        <f>[1]!hospitalinfo[[#This Row],[Hospital Type]]</f>
        <v>Acute Care Hospitals</v>
      </c>
      <c r="D728" t="str">
        <f>[1]!hospitalinfo[[#This Row],[Hospital Ownership]]</f>
        <v>Voluntary non-profit - Private</v>
      </c>
      <c r="E728" cm="1">
        <f t="array" ref="E728">_xlfn.IFNA(_xlfn.XLOOKUP(1,([1]!hcahps[Facility ID] = clean[[#This Row],[Facility ID]]) * ([1]!hcahps[HCAHPS Measure ID] = "H_HSP_RATING_LINEAR_SCORE"), [1]!hcahps[HCAHPS Linear Mean Value]), "No Match")</f>
        <v>92</v>
      </c>
      <c r="F728" cm="1">
        <f t="array" ref="F728">_xlfn.IFNA(_xlfn.XLOOKUP(1,([1]!readmissions[Facility ID] = clean[[#This Row],[Facility ID]]) * ([1]!readmissions[Measure ID] = "Hybrid_HWR"), [1]!readmissions[Score]), "No Match")</f>
        <v>14</v>
      </c>
    </row>
    <row r="729" spans="1:6" x14ac:dyDescent="0.2">
      <c r="A729" t="str">
        <f>[1]!hospitalinfo[[#This Row],[Facility ID]]</f>
        <v>060054</v>
      </c>
      <c r="B729" t="str">
        <f>[1]!hospitalinfo[[#This Row],[State]]</f>
        <v>CO</v>
      </c>
      <c r="C729" t="str">
        <f>[1]!hospitalinfo[[#This Row],[Hospital Type]]</f>
        <v>Acute Care Hospitals</v>
      </c>
      <c r="D729" t="str">
        <f>[1]!hospitalinfo[[#This Row],[Hospital Ownership]]</f>
        <v>Voluntary non-profit - Private</v>
      </c>
      <c r="E729" cm="1">
        <f t="array" ref="E729">_xlfn.IFNA(_xlfn.XLOOKUP(1,([1]!hcahps[Facility ID] = clean[[#This Row],[Facility ID]]) * ([1]!hcahps[HCAHPS Measure ID] = "H_HSP_RATING_LINEAR_SCORE"), [1]!hcahps[HCAHPS Linear Mean Value]), "No Match")</f>
        <v>91</v>
      </c>
      <c r="F729" cm="1">
        <f t="array" ref="F729">_xlfn.IFNA(_xlfn.XLOOKUP(1,([1]!readmissions[Facility ID] = clean[[#This Row],[Facility ID]]) * ([1]!readmissions[Measure ID] = "Hybrid_HWR"), [1]!readmissions[Score]), "No Match")</f>
        <v>14</v>
      </c>
    </row>
    <row r="730" spans="1:6" x14ac:dyDescent="0.2">
      <c r="A730" t="str">
        <f>[1]!hospitalinfo[[#This Row],[Facility ID]]</f>
        <v>06005F</v>
      </c>
      <c r="B730" t="str">
        <f>[1]!hospitalinfo[[#This Row],[State]]</f>
        <v>CO</v>
      </c>
      <c r="C730" t="str">
        <f>[1]!hospitalinfo[[#This Row],[Hospital Type]]</f>
        <v>Acute Care - Veterans Administration</v>
      </c>
      <c r="D730" t="str">
        <f>[1]!hospitalinfo[[#This Row],[Hospital Ownership]]</f>
        <v>Veterans Health Administration</v>
      </c>
      <c r="E730" cm="1">
        <f t="array" ref="E730">_xlfn.IFNA(_xlfn.XLOOKUP(1,([1]!hcahps[Facility ID] = clean[[#This Row],[Facility ID]]) * ([1]!hcahps[HCAHPS Measure ID] = "H_HSP_RATING_LINEAR_SCORE"), [1]!hcahps[HCAHPS Linear Mean Value]), "No Match")</f>
        <v>92</v>
      </c>
      <c r="F730" cm="1">
        <f t="array" ref="F730">_xlfn.IFNA(_xlfn.XLOOKUP(1,([1]!readmissions[Facility ID] = clean[[#This Row],[Facility ID]]) * ([1]!readmissions[Measure ID] = "Hybrid_HWR"), [1]!readmissions[Score]), "No Match")</f>
        <v>13.4</v>
      </c>
    </row>
    <row r="731" spans="1:6" x14ac:dyDescent="0.2">
      <c r="A731" t="str">
        <f>[1]!hospitalinfo[[#This Row],[Facility ID]]</f>
        <v>060064</v>
      </c>
      <c r="B731" t="str">
        <f>[1]!hospitalinfo[[#This Row],[State]]</f>
        <v>CO</v>
      </c>
      <c r="C731" t="str">
        <f>[1]!hospitalinfo[[#This Row],[Hospital Type]]</f>
        <v>Acute Care Hospitals</v>
      </c>
      <c r="D731" t="str">
        <f>[1]!hospitalinfo[[#This Row],[Hospital Ownership]]</f>
        <v>Voluntary non-profit - Private</v>
      </c>
      <c r="E731" cm="1">
        <f t="array" ref="E731">_xlfn.IFNA(_xlfn.XLOOKUP(1,([1]!hcahps[Facility ID] = clean[[#This Row],[Facility ID]]) * ([1]!hcahps[HCAHPS Measure ID] = "H_HSP_RATING_LINEAR_SCORE"), [1]!hcahps[HCAHPS Linear Mean Value]), "No Match")</f>
        <v>88</v>
      </c>
      <c r="F731" cm="1">
        <f t="array" ref="F731">_xlfn.IFNA(_xlfn.XLOOKUP(1,([1]!readmissions[Facility ID] = clean[[#This Row],[Facility ID]]) * ([1]!readmissions[Measure ID] = "Hybrid_HWR"), [1]!readmissions[Score]), "No Match")</f>
        <v>14.4</v>
      </c>
    </row>
    <row r="732" spans="1:6" x14ac:dyDescent="0.2">
      <c r="A732" t="str">
        <f>[1]!hospitalinfo[[#This Row],[Facility ID]]</f>
        <v>060065</v>
      </c>
      <c r="B732" t="str">
        <f>[1]!hospitalinfo[[#This Row],[State]]</f>
        <v>CO</v>
      </c>
      <c r="C732" t="str">
        <f>[1]!hospitalinfo[[#This Row],[Hospital Type]]</f>
        <v>Acute Care Hospitals</v>
      </c>
      <c r="D732" t="str">
        <f>[1]!hospitalinfo[[#This Row],[Hospital Ownership]]</f>
        <v>Voluntary non-profit - Private</v>
      </c>
      <c r="E732" cm="1">
        <f t="array" ref="E732">_xlfn.IFNA(_xlfn.XLOOKUP(1,([1]!hcahps[Facility ID] = clean[[#This Row],[Facility ID]]) * ([1]!hcahps[HCAHPS Measure ID] = "H_HSP_RATING_LINEAR_SCORE"), [1]!hcahps[HCAHPS Linear Mean Value]), "No Match")</f>
        <v>79</v>
      </c>
      <c r="F732" cm="1">
        <f t="array" ref="F732">_xlfn.IFNA(_xlfn.XLOOKUP(1,([1]!readmissions[Facility ID] = clean[[#This Row],[Facility ID]]) * ([1]!readmissions[Measure ID] = "Hybrid_HWR"), [1]!readmissions[Score]), "No Match")</f>
        <v>15.1</v>
      </c>
    </row>
    <row r="733" spans="1:6" x14ac:dyDescent="0.2">
      <c r="A733" t="str">
        <f>[1]!hospitalinfo[[#This Row],[Facility ID]]</f>
        <v>060071</v>
      </c>
      <c r="B733" t="str">
        <f>[1]!hospitalinfo[[#This Row],[State]]</f>
        <v>CO</v>
      </c>
      <c r="C733" t="str">
        <f>[1]!hospitalinfo[[#This Row],[Hospital Type]]</f>
        <v>Acute Care Hospitals</v>
      </c>
      <c r="D733" t="str">
        <f>[1]!hospitalinfo[[#This Row],[Hospital Ownership]]</f>
        <v>Government - Local</v>
      </c>
      <c r="E733" cm="1">
        <f t="array" ref="E733">_xlfn.IFNA(_xlfn.XLOOKUP(1,([1]!hcahps[Facility ID] = clean[[#This Row],[Facility ID]]) * ([1]!hcahps[HCAHPS Measure ID] = "H_HSP_RATING_LINEAR_SCORE"), [1]!hcahps[HCAHPS Linear Mean Value]), "No Match")</f>
        <v>89</v>
      </c>
      <c r="F733" cm="1">
        <f t="array" ref="F733">_xlfn.IFNA(_xlfn.XLOOKUP(1,([1]!readmissions[Facility ID] = clean[[#This Row],[Facility ID]]) * ([1]!readmissions[Measure ID] = "Hybrid_HWR"), [1]!readmissions[Score]), "No Match")</f>
        <v>14.8</v>
      </c>
    </row>
    <row r="734" spans="1:6" x14ac:dyDescent="0.2">
      <c r="A734" t="str">
        <f>[1]!hospitalinfo[[#This Row],[Facility ID]]</f>
        <v>060075</v>
      </c>
      <c r="B734" t="str">
        <f>[1]!hospitalinfo[[#This Row],[State]]</f>
        <v>CO</v>
      </c>
      <c r="C734" t="str">
        <f>[1]!hospitalinfo[[#This Row],[Hospital Type]]</f>
        <v>Acute Care Hospitals</v>
      </c>
      <c r="D734" t="str">
        <f>[1]!hospitalinfo[[#This Row],[Hospital Ownership]]</f>
        <v>Voluntary non-profit - Private</v>
      </c>
      <c r="E734" cm="1">
        <f t="array" ref="E734">_xlfn.IFNA(_xlfn.XLOOKUP(1,([1]!hcahps[Facility ID] = clean[[#This Row],[Facility ID]]) * ([1]!hcahps[HCAHPS Measure ID] = "H_HSP_RATING_LINEAR_SCORE"), [1]!hcahps[HCAHPS Linear Mean Value]), "No Match")</f>
        <v>90</v>
      </c>
      <c r="F734" cm="1">
        <f t="array" ref="F734">_xlfn.IFNA(_xlfn.XLOOKUP(1,([1]!readmissions[Facility ID] = clean[[#This Row],[Facility ID]]) * ([1]!readmissions[Measure ID] = "Hybrid_HWR"), [1]!readmissions[Score]), "No Match")</f>
        <v>14.2</v>
      </c>
    </row>
    <row r="735" spans="1:6" x14ac:dyDescent="0.2">
      <c r="A735" t="str">
        <f>[1]!hospitalinfo[[#This Row],[Facility ID]]</f>
        <v>060076</v>
      </c>
      <c r="B735" t="str">
        <f>[1]!hospitalinfo[[#This Row],[State]]</f>
        <v>CO</v>
      </c>
      <c r="C735" t="str">
        <f>[1]!hospitalinfo[[#This Row],[Hospital Type]]</f>
        <v>Acute Care Hospitals</v>
      </c>
      <c r="D735" t="str">
        <f>[1]!hospitalinfo[[#This Row],[Hospital Ownership]]</f>
        <v>Voluntary non-profit - Private</v>
      </c>
      <c r="E735" cm="1">
        <f t="array" ref="E735">_xlfn.IFNA(_xlfn.XLOOKUP(1,([1]!hcahps[Facility ID] = clean[[#This Row],[Facility ID]]) * ([1]!hcahps[HCAHPS Measure ID] = "H_HSP_RATING_LINEAR_SCORE"), [1]!hcahps[HCAHPS Linear Mean Value]), "No Match")</f>
        <v>88</v>
      </c>
      <c r="F735" cm="1">
        <f t="array" ref="F735">_xlfn.IFNA(_xlfn.XLOOKUP(1,([1]!readmissions[Facility ID] = clean[[#This Row],[Facility ID]]) * ([1]!readmissions[Measure ID] = "Hybrid_HWR"), [1]!readmissions[Score]), "No Match")</f>
        <v>15</v>
      </c>
    </row>
    <row r="736" spans="1:6" x14ac:dyDescent="0.2">
      <c r="A736" t="str">
        <f>[1]!hospitalinfo[[#This Row],[Facility ID]]</f>
        <v>06007F</v>
      </c>
      <c r="B736" t="str">
        <f>[1]!hospitalinfo[[#This Row],[State]]</f>
        <v>CO</v>
      </c>
      <c r="C736" t="str">
        <f>[1]!hospitalinfo[[#This Row],[Hospital Type]]</f>
        <v>Acute Care - Veterans Administration</v>
      </c>
      <c r="D736" t="str">
        <f>[1]!hospitalinfo[[#This Row],[Hospital Ownership]]</f>
        <v>Veterans Health Administration</v>
      </c>
      <c r="E736" cm="1">
        <f t="array" ref="E736">_xlfn.IFNA(_xlfn.XLOOKUP(1,([1]!hcahps[Facility ID] = clean[[#This Row],[Facility ID]]) * ([1]!hcahps[HCAHPS Measure ID] = "H_HSP_RATING_LINEAR_SCORE"), [1]!hcahps[HCAHPS Linear Mean Value]), "No Match")</f>
        <v>92</v>
      </c>
      <c r="F736" cm="1">
        <f t="array" ref="F736">_xlfn.IFNA(_xlfn.XLOOKUP(1,([1]!readmissions[Facility ID] = clean[[#This Row],[Facility ID]]) * ([1]!readmissions[Measure ID] = "Hybrid_HWR"), [1]!readmissions[Score]), "No Match")</f>
        <v>14.7</v>
      </c>
    </row>
    <row r="737" spans="1:6" x14ac:dyDescent="0.2">
      <c r="A737" t="str">
        <f>[1]!hospitalinfo[[#This Row],[Facility ID]]</f>
        <v>060096</v>
      </c>
      <c r="B737" t="str">
        <f>[1]!hospitalinfo[[#This Row],[State]]</f>
        <v>CO</v>
      </c>
      <c r="C737" t="str">
        <f>[1]!hospitalinfo[[#This Row],[Hospital Type]]</f>
        <v>Acute Care Hospitals</v>
      </c>
      <c r="D737" t="str">
        <f>[1]!hospitalinfo[[#This Row],[Hospital Ownership]]</f>
        <v>Voluntary non-profit - Other</v>
      </c>
      <c r="E737" cm="1">
        <f t="array" ref="E737">_xlfn.IFNA(_xlfn.XLOOKUP(1,([1]!hcahps[Facility ID] = clean[[#This Row],[Facility ID]]) * ([1]!hcahps[HCAHPS Measure ID] = "H_HSP_RATING_LINEAR_SCORE"), [1]!hcahps[HCAHPS Linear Mean Value]), "No Match")</f>
        <v>93</v>
      </c>
      <c r="F737" cm="1">
        <f t="array" ref="F737">_xlfn.IFNA(_xlfn.XLOOKUP(1,([1]!readmissions[Facility ID] = clean[[#This Row],[Facility ID]]) * ([1]!readmissions[Measure ID] = "Hybrid_HWR"), [1]!readmissions[Score]), "No Match")</f>
        <v>14.2</v>
      </c>
    </row>
    <row r="738" spans="1:6" x14ac:dyDescent="0.2">
      <c r="A738" t="str">
        <f>[1]!hospitalinfo[[#This Row],[Facility ID]]</f>
        <v>060100</v>
      </c>
      <c r="B738" t="str">
        <f>[1]!hospitalinfo[[#This Row],[State]]</f>
        <v>CO</v>
      </c>
      <c r="C738" t="str">
        <f>[1]!hospitalinfo[[#This Row],[Hospital Type]]</f>
        <v>Acute Care Hospitals</v>
      </c>
      <c r="D738" t="str">
        <f>[1]!hospitalinfo[[#This Row],[Hospital Ownership]]</f>
        <v>Proprietary</v>
      </c>
      <c r="E738" cm="1">
        <f t="array" ref="E738">_xlfn.IFNA(_xlfn.XLOOKUP(1,([1]!hcahps[Facility ID] = clean[[#This Row],[Facility ID]]) * ([1]!hcahps[HCAHPS Measure ID] = "H_HSP_RATING_LINEAR_SCORE"), [1]!hcahps[HCAHPS Linear Mean Value]), "No Match")</f>
        <v>82</v>
      </c>
      <c r="F738" cm="1">
        <f t="array" ref="F738">_xlfn.IFNA(_xlfn.XLOOKUP(1,([1]!readmissions[Facility ID] = clean[[#This Row],[Facility ID]]) * ([1]!readmissions[Measure ID] = "Hybrid_HWR"), [1]!readmissions[Score]), "No Match")</f>
        <v>13.5</v>
      </c>
    </row>
    <row r="739" spans="1:6" x14ac:dyDescent="0.2">
      <c r="A739" t="str">
        <f>[1]!hospitalinfo[[#This Row],[Facility ID]]</f>
        <v>060103</v>
      </c>
      <c r="B739" t="str">
        <f>[1]!hospitalinfo[[#This Row],[State]]</f>
        <v>CO</v>
      </c>
      <c r="C739" t="str">
        <f>[1]!hospitalinfo[[#This Row],[Hospital Type]]</f>
        <v>Acute Care Hospitals</v>
      </c>
      <c r="D739" t="str">
        <f>[1]!hospitalinfo[[#This Row],[Hospital Ownership]]</f>
        <v>Voluntary non-profit - Church</v>
      </c>
      <c r="E739" cm="1">
        <f t="array" ref="E739">_xlfn.IFNA(_xlfn.XLOOKUP(1,([1]!hcahps[Facility ID] = clean[[#This Row],[Facility ID]]) * ([1]!hcahps[HCAHPS Measure ID] = "H_HSP_RATING_LINEAR_SCORE"), [1]!hcahps[HCAHPS Linear Mean Value]), "No Match")</f>
        <v>91</v>
      </c>
      <c r="F739" cm="1">
        <f t="array" ref="F739">_xlfn.IFNA(_xlfn.XLOOKUP(1,([1]!readmissions[Facility ID] = clean[[#This Row],[Facility ID]]) * ([1]!readmissions[Measure ID] = "Hybrid_HWR"), [1]!readmissions[Score]), "No Match")</f>
        <v>13.8</v>
      </c>
    </row>
    <row r="740" spans="1:6" x14ac:dyDescent="0.2">
      <c r="A740" t="str">
        <f>[1]!hospitalinfo[[#This Row],[Facility ID]]</f>
        <v>060104</v>
      </c>
      <c r="B740" t="str">
        <f>[1]!hospitalinfo[[#This Row],[State]]</f>
        <v>CO</v>
      </c>
      <c r="C740" t="str">
        <f>[1]!hospitalinfo[[#This Row],[Hospital Type]]</f>
        <v>Acute Care Hospitals</v>
      </c>
      <c r="D740" t="str">
        <f>[1]!hospitalinfo[[#This Row],[Hospital Ownership]]</f>
        <v>Voluntary non-profit - Private</v>
      </c>
      <c r="E740" cm="1">
        <f t="array" ref="E740">_xlfn.IFNA(_xlfn.XLOOKUP(1,([1]!hcahps[Facility ID] = clean[[#This Row],[Facility ID]]) * ([1]!hcahps[HCAHPS Measure ID] = "H_HSP_RATING_LINEAR_SCORE"), [1]!hcahps[HCAHPS Linear Mean Value]), "No Match")</f>
        <v>88</v>
      </c>
      <c r="F740" cm="1">
        <f t="array" ref="F740">_xlfn.IFNA(_xlfn.XLOOKUP(1,([1]!readmissions[Facility ID] = clean[[#This Row],[Facility ID]]) * ([1]!readmissions[Measure ID] = "Hybrid_HWR"), [1]!readmissions[Score]), "No Match")</f>
        <v>15</v>
      </c>
    </row>
    <row r="741" spans="1:6" x14ac:dyDescent="0.2">
      <c r="A741" t="str">
        <f>[1]!hospitalinfo[[#This Row],[Facility ID]]</f>
        <v>060107</v>
      </c>
      <c r="B741" t="str">
        <f>[1]!hospitalinfo[[#This Row],[State]]</f>
        <v>CO</v>
      </c>
      <c r="C741" t="str">
        <f>[1]!hospitalinfo[[#This Row],[Hospital Type]]</f>
        <v>Acute Care Hospitals</v>
      </c>
      <c r="D741" t="str">
        <f>[1]!hospitalinfo[[#This Row],[Hospital Ownership]]</f>
        <v>Voluntary non-profit - Private</v>
      </c>
      <c r="E741" t="str" cm="1">
        <f t="array" ref="E741">_xlfn.IFNA(_xlfn.XLOOKUP(1,([1]!hcahps[Facility ID] = clean[[#This Row],[Facility ID]]) * ([1]!hcahps[HCAHPS Measure ID] = "H_HSP_RATING_LINEAR_SCORE"), [1]!hcahps[HCAHPS Linear Mean Value]), "No Match")</f>
        <v>Not Available</v>
      </c>
      <c r="F741" t="str" cm="1">
        <f t="array" ref="F741">_xlfn.IFNA(_xlfn.XLOOKUP(1,([1]!readmissions[Facility ID] = clean[[#This Row],[Facility ID]]) * ([1]!readmissions[Measure ID] = "Hybrid_HWR"), [1]!readmissions[Score]), "No Match")</f>
        <v>Not Available</v>
      </c>
    </row>
    <row r="742" spans="1:6" x14ac:dyDescent="0.2">
      <c r="A742" t="str">
        <f>[1]!hospitalinfo[[#This Row],[Facility ID]]</f>
        <v>060112</v>
      </c>
      <c r="B742" t="str">
        <f>[1]!hospitalinfo[[#This Row],[State]]</f>
        <v>CO</v>
      </c>
      <c r="C742" t="str">
        <f>[1]!hospitalinfo[[#This Row],[Hospital Type]]</f>
        <v>Acute Care Hospitals</v>
      </c>
      <c r="D742" t="str">
        <f>[1]!hospitalinfo[[#This Row],[Hospital Ownership]]</f>
        <v>Voluntary non-profit - Other</v>
      </c>
      <c r="E742" cm="1">
        <f t="array" ref="E742">_xlfn.IFNA(_xlfn.XLOOKUP(1,([1]!hcahps[Facility ID] = clean[[#This Row],[Facility ID]]) * ([1]!hcahps[HCAHPS Measure ID] = "H_HSP_RATING_LINEAR_SCORE"), [1]!hcahps[HCAHPS Linear Mean Value]), "No Match")</f>
        <v>86</v>
      </c>
      <c r="F742" cm="1">
        <f t="array" ref="F742">_xlfn.IFNA(_xlfn.XLOOKUP(1,([1]!readmissions[Facility ID] = clean[[#This Row],[Facility ID]]) * ([1]!readmissions[Measure ID] = "Hybrid_HWR"), [1]!readmissions[Score]), "No Match")</f>
        <v>15.2</v>
      </c>
    </row>
    <row r="743" spans="1:6" x14ac:dyDescent="0.2">
      <c r="A743" t="str">
        <f>[1]!hospitalinfo[[#This Row],[Facility ID]]</f>
        <v>060113</v>
      </c>
      <c r="B743" t="str">
        <f>[1]!hospitalinfo[[#This Row],[State]]</f>
        <v>CO</v>
      </c>
      <c r="C743" t="str">
        <f>[1]!hospitalinfo[[#This Row],[Hospital Type]]</f>
        <v>Acute Care Hospitals</v>
      </c>
      <c r="D743" t="str">
        <f>[1]!hospitalinfo[[#This Row],[Hospital Ownership]]</f>
        <v>Voluntary non-profit - Church</v>
      </c>
      <c r="E743" cm="1">
        <f t="array" ref="E743">_xlfn.IFNA(_xlfn.XLOOKUP(1,([1]!hcahps[Facility ID] = clean[[#This Row],[Facility ID]]) * ([1]!hcahps[HCAHPS Measure ID] = "H_HSP_RATING_LINEAR_SCORE"), [1]!hcahps[HCAHPS Linear Mean Value]), "No Match")</f>
        <v>90</v>
      </c>
      <c r="F743" cm="1">
        <f t="array" ref="F743">_xlfn.IFNA(_xlfn.XLOOKUP(1,([1]!readmissions[Facility ID] = clean[[#This Row],[Facility ID]]) * ([1]!readmissions[Measure ID] = "Hybrid_HWR"), [1]!readmissions[Score]), "No Match")</f>
        <v>15.1</v>
      </c>
    </row>
    <row r="744" spans="1:6" x14ac:dyDescent="0.2">
      <c r="A744" t="str">
        <f>[1]!hospitalinfo[[#This Row],[Facility ID]]</f>
        <v>060114</v>
      </c>
      <c r="B744" t="str">
        <f>[1]!hospitalinfo[[#This Row],[State]]</f>
        <v>CO</v>
      </c>
      <c r="C744" t="str">
        <f>[1]!hospitalinfo[[#This Row],[Hospital Type]]</f>
        <v>Acute Care Hospitals</v>
      </c>
      <c r="D744" t="str">
        <f>[1]!hospitalinfo[[#This Row],[Hospital Ownership]]</f>
        <v>Voluntary non-profit - Private</v>
      </c>
      <c r="E744" cm="1">
        <f t="array" ref="E744">_xlfn.IFNA(_xlfn.XLOOKUP(1,([1]!hcahps[Facility ID] = clean[[#This Row],[Facility ID]]) * ([1]!hcahps[HCAHPS Measure ID] = "H_HSP_RATING_LINEAR_SCORE"), [1]!hcahps[HCAHPS Linear Mean Value]), "No Match")</f>
        <v>90</v>
      </c>
      <c r="F744" cm="1">
        <f t="array" ref="F744">_xlfn.IFNA(_xlfn.XLOOKUP(1,([1]!readmissions[Facility ID] = clean[[#This Row],[Facility ID]]) * ([1]!readmissions[Measure ID] = "Hybrid_HWR"), [1]!readmissions[Score]), "No Match")</f>
        <v>13.7</v>
      </c>
    </row>
    <row r="745" spans="1:6" x14ac:dyDescent="0.2">
      <c r="A745" t="str">
        <f>[1]!hospitalinfo[[#This Row],[Facility ID]]</f>
        <v>060116</v>
      </c>
      <c r="B745" t="str">
        <f>[1]!hospitalinfo[[#This Row],[State]]</f>
        <v>CO</v>
      </c>
      <c r="C745" t="str">
        <f>[1]!hospitalinfo[[#This Row],[Hospital Type]]</f>
        <v>Acute Care Hospitals</v>
      </c>
      <c r="D745" t="str">
        <f>[1]!hospitalinfo[[#This Row],[Hospital Ownership]]</f>
        <v>Voluntary non-profit - Private</v>
      </c>
      <c r="E745" cm="1">
        <f t="array" ref="E745">_xlfn.IFNA(_xlfn.XLOOKUP(1,([1]!hcahps[Facility ID] = clean[[#This Row],[Facility ID]]) * ([1]!hcahps[HCAHPS Measure ID] = "H_HSP_RATING_LINEAR_SCORE"), [1]!hcahps[HCAHPS Linear Mean Value]), "No Match")</f>
        <v>90</v>
      </c>
      <c r="F745" cm="1">
        <f t="array" ref="F745">_xlfn.IFNA(_xlfn.XLOOKUP(1,([1]!readmissions[Facility ID] = clean[[#This Row],[Facility ID]]) * ([1]!readmissions[Measure ID] = "Hybrid_HWR"), [1]!readmissions[Score]), "No Match")</f>
        <v>14.5</v>
      </c>
    </row>
    <row r="746" spans="1:6" x14ac:dyDescent="0.2">
      <c r="A746" t="str">
        <f>[1]!hospitalinfo[[#This Row],[Facility ID]]</f>
        <v>060117</v>
      </c>
      <c r="B746" t="str">
        <f>[1]!hospitalinfo[[#This Row],[State]]</f>
        <v>CO</v>
      </c>
      <c r="C746" t="str">
        <f>[1]!hospitalinfo[[#This Row],[Hospital Type]]</f>
        <v>Acute Care Hospitals</v>
      </c>
      <c r="D746" t="str">
        <f>[1]!hospitalinfo[[#This Row],[Hospital Ownership]]</f>
        <v>Physician</v>
      </c>
      <c r="E746" cm="1">
        <f t="array" ref="E746">_xlfn.IFNA(_xlfn.XLOOKUP(1,([1]!hcahps[Facility ID] = clean[[#This Row],[Facility ID]]) * ([1]!hcahps[HCAHPS Measure ID] = "H_HSP_RATING_LINEAR_SCORE"), [1]!hcahps[HCAHPS Linear Mean Value]), "No Match")</f>
        <v>95</v>
      </c>
      <c r="F746" cm="1">
        <f t="array" ref="F746">_xlfn.IFNA(_xlfn.XLOOKUP(1,([1]!readmissions[Facility ID] = clean[[#This Row],[Facility ID]]) * ([1]!readmissions[Measure ID] = "Hybrid_HWR"), [1]!readmissions[Score]), "No Match")</f>
        <v>14.5</v>
      </c>
    </row>
    <row r="747" spans="1:6" x14ac:dyDescent="0.2">
      <c r="A747" t="str">
        <f>[1]!hospitalinfo[[#This Row],[Facility ID]]</f>
        <v>060118</v>
      </c>
      <c r="B747" t="str">
        <f>[1]!hospitalinfo[[#This Row],[State]]</f>
        <v>CO</v>
      </c>
      <c r="C747" t="str">
        <f>[1]!hospitalinfo[[#This Row],[Hospital Type]]</f>
        <v>Acute Care Hospitals</v>
      </c>
      <c r="D747" t="str">
        <f>[1]!hospitalinfo[[#This Row],[Hospital Ownership]]</f>
        <v>Voluntary non-profit - Church</v>
      </c>
      <c r="E747" cm="1">
        <f t="array" ref="E747">_xlfn.IFNA(_xlfn.XLOOKUP(1,([1]!hcahps[Facility ID] = clean[[#This Row],[Facility ID]]) * ([1]!hcahps[HCAHPS Measure ID] = "H_HSP_RATING_LINEAR_SCORE"), [1]!hcahps[HCAHPS Linear Mean Value]), "No Match")</f>
        <v>93</v>
      </c>
      <c r="F747" cm="1">
        <f t="array" ref="F747">_xlfn.IFNA(_xlfn.XLOOKUP(1,([1]!readmissions[Facility ID] = clean[[#This Row],[Facility ID]]) * ([1]!readmissions[Measure ID] = "Hybrid_HWR"), [1]!readmissions[Score]), "No Match")</f>
        <v>15</v>
      </c>
    </row>
    <row r="748" spans="1:6" x14ac:dyDescent="0.2">
      <c r="A748" t="str">
        <f>[1]!hospitalinfo[[#This Row],[Facility ID]]</f>
        <v>060119</v>
      </c>
      <c r="B748" t="str">
        <f>[1]!hospitalinfo[[#This Row],[State]]</f>
        <v>CO</v>
      </c>
      <c r="C748" t="str">
        <f>[1]!hospitalinfo[[#This Row],[Hospital Type]]</f>
        <v>Acute Care Hospitals</v>
      </c>
      <c r="D748" t="str">
        <f>[1]!hospitalinfo[[#This Row],[Hospital Ownership]]</f>
        <v>Voluntary non-profit - Private</v>
      </c>
      <c r="E748" cm="1">
        <f t="array" ref="E748">_xlfn.IFNA(_xlfn.XLOOKUP(1,([1]!hcahps[Facility ID] = clean[[#This Row],[Facility ID]]) * ([1]!hcahps[HCAHPS Measure ID] = "H_HSP_RATING_LINEAR_SCORE"), [1]!hcahps[HCAHPS Linear Mean Value]), "No Match")</f>
        <v>92</v>
      </c>
      <c r="F748" cm="1">
        <f t="array" ref="F748">_xlfn.IFNA(_xlfn.XLOOKUP(1,([1]!readmissions[Facility ID] = clean[[#This Row],[Facility ID]]) * ([1]!readmissions[Measure ID] = "Hybrid_HWR"), [1]!readmissions[Score]), "No Match")</f>
        <v>13.1</v>
      </c>
    </row>
    <row r="749" spans="1:6" x14ac:dyDescent="0.2">
      <c r="A749" t="str">
        <f>[1]!hospitalinfo[[#This Row],[Facility ID]]</f>
        <v>060124</v>
      </c>
      <c r="B749" t="str">
        <f>[1]!hospitalinfo[[#This Row],[State]]</f>
        <v>CO</v>
      </c>
      <c r="C749" t="str">
        <f>[1]!hospitalinfo[[#This Row],[Hospital Type]]</f>
        <v>Acute Care Hospitals</v>
      </c>
      <c r="D749" t="str">
        <f>[1]!hospitalinfo[[#This Row],[Hospital Ownership]]</f>
        <v>Proprietary</v>
      </c>
      <c r="E749" cm="1">
        <f t="array" ref="E749">_xlfn.IFNA(_xlfn.XLOOKUP(1,([1]!hcahps[Facility ID] = clean[[#This Row],[Facility ID]]) * ([1]!hcahps[HCAHPS Measure ID] = "H_HSP_RATING_LINEAR_SCORE"), [1]!hcahps[HCAHPS Linear Mean Value]), "No Match")</f>
        <v>91</v>
      </c>
      <c r="F749" cm="1">
        <f t="array" ref="F749">_xlfn.IFNA(_xlfn.XLOOKUP(1,([1]!readmissions[Facility ID] = clean[[#This Row],[Facility ID]]) * ([1]!readmissions[Measure ID] = "Hybrid_HWR"), [1]!readmissions[Score]), "No Match")</f>
        <v>14</v>
      </c>
    </row>
    <row r="750" spans="1:6" x14ac:dyDescent="0.2">
      <c r="A750" t="str">
        <f>[1]!hospitalinfo[[#This Row],[Facility ID]]</f>
        <v>060125</v>
      </c>
      <c r="B750" t="str">
        <f>[1]!hospitalinfo[[#This Row],[State]]</f>
        <v>CO</v>
      </c>
      <c r="C750" t="str">
        <f>[1]!hospitalinfo[[#This Row],[Hospital Type]]</f>
        <v>Acute Care Hospitals</v>
      </c>
      <c r="D750" t="str">
        <f>[1]!hospitalinfo[[#This Row],[Hospital Ownership]]</f>
        <v>Voluntary non-profit - Private</v>
      </c>
      <c r="E750" cm="1">
        <f t="array" ref="E750">_xlfn.IFNA(_xlfn.XLOOKUP(1,([1]!hcahps[Facility ID] = clean[[#This Row],[Facility ID]]) * ([1]!hcahps[HCAHPS Measure ID] = "H_HSP_RATING_LINEAR_SCORE"), [1]!hcahps[HCAHPS Linear Mean Value]), "No Match")</f>
        <v>90</v>
      </c>
      <c r="F750" cm="1">
        <f t="array" ref="F750">_xlfn.IFNA(_xlfn.XLOOKUP(1,([1]!readmissions[Facility ID] = clean[[#This Row],[Facility ID]]) * ([1]!readmissions[Measure ID] = "Hybrid_HWR"), [1]!readmissions[Score]), "No Match")</f>
        <v>14.4</v>
      </c>
    </row>
    <row r="751" spans="1:6" x14ac:dyDescent="0.2">
      <c r="A751" t="str">
        <f>[1]!hospitalinfo[[#This Row],[Facility ID]]</f>
        <v>060126</v>
      </c>
      <c r="B751" t="str">
        <f>[1]!hospitalinfo[[#This Row],[State]]</f>
        <v>CO</v>
      </c>
      <c r="C751" t="str">
        <f>[1]!hospitalinfo[[#This Row],[Hospital Type]]</f>
        <v>Acute Care Hospitals</v>
      </c>
      <c r="D751" t="str">
        <f>[1]!hospitalinfo[[#This Row],[Hospital Ownership]]</f>
        <v>Voluntary non-profit - Other</v>
      </c>
      <c r="E751" cm="1">
        <f t="array" ref="E751">_xlfn.IFNA(_xlfn.XLOOKUP(1,([1]!hcahps[Facility ID] = clean[[#This Row],[Facility ID]]) * ([1]!hcahps[HCAHPS Measure ID] = "H_HSP_RATING_LINEAR_SCORE"), [1]!hcahps[HCAHPS Linear Mean Value]), "No Match")</f>
        <v>91</v>
      </c>
      <c r="F751" cm="1">
        <f t="array" ref="F751">_xlfn.IFNA(_xlfn.XLOOKUP(1,([1]!readmissions[Facility ID] = clean[[#This Row],[Facility ID]]) * ([1]!readmissions[Measure ID] = "Hybrid_HWR"), [1]!readmissions[Score]), "No Match")</f>
        <v>15</v>
      </c>
    </row>
    <row r="752" spans="1:6" x14ac:dyDescent="0.2">
      <c r="A752" t="str">
        <f>[1]!hospitalinfo[[#This Row],[Facility ID]]</f>
        <v>060128</v>
      </c>
      <c r="B752" t="str">
        <f>[1]!hospitalinfo[[#This Row],[State]]</f>
        <v>CO</v>
      </c>
      <c r="C752" t="str">
        <f>[1]!hospitalinfo[[#This Row],[Hospital Type]]</f>
        <v>Acute Care Hospitals</v>
      </c>
      <c r="D752" t="str">
        <f>[1]!hospitalinfo[[#This Row],[Hospital Ownership]]</f>
        <v>Voluntary non-profit - Private</v>
      </c>
      <c r="E752" cm="1">
        <f t="array" ref="E752">_xlfn.IFNA(_xlfn.XLOOKUP(1,([1]!hcahps[Facility ID] = clean[[#This Row],[Facility ID]]) * ([1]!hcahps[HCAHPS Measure ID] = "H_HSP_RATING_LINEAR_SCORE"), [1]!hcahps[HCAHPS Linear Mean Value]), "No Match")</f>
        <v>90</v>
      </c>
      <c r="F752" cm="1">
        <f t="array" ref="F752">_xlfn.IFNA(_xlfn.XLOOKUP(1,([1]!readmissions[Facility ID] = clean[[#This Row],[Facility ID]]) * ([1]!readmissions[Measure ID] = "Hybrid_HWR"), [1]!readmissions[Score]), "No Match")</f>
        <v>13.9</v>
      </c>
    </row>
    <row r="753" spans="1:6" x14ac:dyDescent="0.2">
      <c r="A753" t="str">
        <f>[1]!hospitalinfo[[#This Row],[Facility ID]]</f>
        <v>060129</v>
      </c>
      <c r="B753" t="str">
        <f>[1]!hospitalinfo[[#This Row],[State]]</f>
        <v>CO</v>
      </c>
      <c r="C753" t="str">
        <f>[1]!hospitalinfo[[#This Row],[Hospital Type]]</f>
        <v>Acute Care Hospitals</v>
      </c>
      <c r="D753" t="str">
        <f>[1]!hospitalinfo[[#This Row],[Hospital Ownership]]</f>
        <v>Proprietary</v>
      </c>
      <c r="E753" cm="1">
        <f t="array" ref="E753">_xlfn.IFNA(_xlfn.XLOOKUP(1,([1]!hcahps[Facility ID] = clean[[#This Row],[Facility ID]]) * ([1]!hcahps[HCAHPS Measure ID] = "H_HSP_RATING_LINEAR_SCORE"), [1]!hcahps[HCAHPS Linear Mean Value]), "No Match")</f>
        <v>90</v>
      </c>
      <c r="F753" cm="1">
        <f t="array" ref="F753">_xlfn.IFNA(_xlfn.XLOOKUP(1,([1]!readmissions[Facility ID] = clean[[#This Row],[Facility ID]]) * ([1]!readmissions[Measure ID] = "Hybrid_HWR"), [1]!readmissions[Score]), "No Match")</f>
        <v>14.7</v>
      </c>
    </row>
    <row r="754" spans="1:6" x14ac:dyDescent="0.2">
      <c r="A754" t="str">
        <f>[1]!hospitalinfo[[#This Row],[Facility ID]]</f>
        <v>060130</v>
      </c>
      <c r="B754" t="str">
        <f>[1]!hospitalinfo[[#This Row],[State]]</f>
        <v>CO</v>
      </c>
      <c r="C754" t="str">
        <f>[1]!hospitalinfo[[#This Row],[Hospital Type]]</f>
        <v>Acute Care Hospitals</v>
      </c>
      <c r="D754" t="str">
        <f>[1]!hospitalinfo[[#This Row],[Hospital Ownership]]</f>
        <v>Voluntary non-profit - Private</v>
      </c>
      <c r="E754" t="str" cm="1">
        <f t="array" ref="E754">_xlfn.IFNA(_xlfn.XLOOKUP(1,([1]!hcahps[Facility ID] = clean[[#This Row],[Facility ID]]) * ([1]!hcahps[HCAHPS Measure ID] = "H_HSP_RATING_LINEAR_SCORE"), [1]!hcahps[HCAHPS Linear Mean Value]), "No Match")</f>
        <v>Not Available</v>
      </c>
      <c r="F754" cm="1">
        <f t="array" ref="F754">_xlfn.IFNA(_xlfn.XLOOKUP(1,([1]!readmissions[Facility ID] = clean[[#This Row],[Facility ID]]) * ([1]!readmissions[Measure ID] = "Hybrid_HWR"), [1]!readmissions[Score]), "No Match")</f>
        <v>14.7</v>
      </c>
    </row>
    <row r="755" spans="1:6" x14ac:dyDescent="0.2">
      <c r="A755" t="str">
        <f>[1]!hospitalinfo[[#This Row],[Facility ID]]</f>
        <v>060131</v>
      </c>
      <c r="B755" t="str">
        <f>[1]!hospitalinfo[[#This Row],[State]]</f>
        <v>CO</v>
      </c>
      <c r="C755" t="str">
        <f>[1]!hospitalinfo[[#This Row],[Hospital Type]]</f>
        <v>Acute Care Hospitals</v>
      </c>
      <c r="D755" t="str">
        <f>[1]!hospitalinfo[[#This Row],[Hospital Ownership]]</f>
        <v>Voluntary non-profit - Private</v>
      </c>
      <c r="E755" cm="1">
        <f t="array" ref="E755">_xlfn.IFNA(_xlfn.XLOOKUP(1,([1]!hcahps[Facility ID] = clean[[#This Row],[Facility ID]]) * ([1]!hcahps[HCAHPS Measure ID] = "H_HSP_RATING_LINEAR_SCORE"), [1]!hcahps[HCAHPS Linear Mean Value]), "No Match")</f>
        <v>91</v>
      </c>
      <c r="F755" cm="1">
        <f t="array" ref="F755">_xlfn.IFNA(_xlfn.XLOOKUP(1,([1]!readmissions[Facility ID] = clean[[#This Row],[Facility ID]]) * ([1]!readmissions[Measure ID] = "Hybrid_HWR"), [1]!readmissions[Score]), "No Match")</f>
        <v>14.2</v>
      </c>
    </row>
    <row r="756" spans="1:6" x14ac:dyDescent="0.2">
      <c r="A756" t="str">
        <f>[1]!hospitalinfo[[#This Row],[Facility ID]]</f>
        <v>060132</v>
      </c>
      <c r="B756" t="str">
        <f>[1]!hospitalinfo[[#This Row],[State]]</f>
        <v>CO</v>
      </c>
      <c r="C756" t="str">
        <f>[1]!hospitalinfo[[#This Row],[Hospital Type]]</f>
        <v>Acute Care Hospitals</v>
      </c>
      <c r="D756" t="str">
        <f>[1]!hospitalinfo[[#This Row],[Hospital Ownership]]</f>
        <v>Voluntary non-profit - Private</v>
      </c>
      <c r="E756" cm="1">
        <f t="array" ref="E756">_xlfn.IFNA(_xlfn.XLOOKUP(1,([1]!hcahps[Facility ID] = clean[[#This Row],[Facility ID]]) * ([1]!hcahps[HCAHPS Measure ID] = "H_HSP_RATING_LINEAR_SCORE"), [1]!hcahps[HCAHPS Linear Mean Value]), "No Match")</f>
        <v>91</v>
      </c>
      <c r="F756" cm="1">
        <f t="array" ref="F756">_xlfn.IFNA(_xlfn.XLOOKUP(1,([1]!readmissions[Facility ID] = clean[[#This Row],[Facility ID]]) * ([1]!readmissions[Measure ID] = "Hybrid_HWR"), [1]!readmissions[Score]), "No Match")</f>
        <v>14.2</v>
      </c>
    </row>
    <row r="757" spans="1:6" x14ac:dyDescent="0.2">
      <c r="A757" t="str">
        <f>[1]!hospitalinfo[[#This Row],[Facility ID]]</f>
        <v>060133</v>
      </c>
      <c r="B757" t="str">
        <f>[1]!hospitalinfo[[#This Row],[State]]</f>
        <v>CO</v>
      </c>
      <c r="C757" t="str">
        <f>[1]!hospitalinfo[[#This Row],[Hospital Type]]</f>
        <v>Acute Care Hospitals</v>
      </c>
      <c r="D757" t="str">
        <f>[1]!hospitalinfo[[#This Row],[Hospital Ownership]]</f>
        <v>Voluntary non-profit - Private</v>
      </c>
      <c r="E757" cm="1">
        <f t="array" ref="E757">_xlfn.IFNA(_xlfn.XLOOKUP(1,([1]!hcahps[Facility ID] = clean[[#This Row],[Facility ID]]) * ([1]!hcahps[HCAHPS Measure ID] = "H_HSP_RATING_LINEAR_SCORE"), [1]!hcahps[HCAHPS Linear Mean Value]), "No Match")</f>
        <v>91</v>
      </c>
      <c r="F757" cm="1">
        <f t="array" ref="F757">_xlfn.IFNA(_xlfn.XLOOKUP(1,([1]!readmissions[Facility ID] = clean[[#This Row],[Facility ID]]) * ([1]!readmissions[Measure ID] = "Hybrid_HWR"), [1]!readmissions[Score]), "No Match")</f>
        <v>14.8</v>
      </c>
    </row>
    <row r="758" spans="1:6" x14ac:dyDescent="0.2">
      <c r="A758" t="str">
        <f>[1]!hospitalinfo[[#This Row],[Facility ID]]</f>
        <v>061300</v>
      </c>
      <c r="B758" t="str">
        <f>[1]!hospitalinfo[[#This Row],[State]]</f>
        <v>CO</v>
      </c>
      <c r="C758" t="str">
        <f>[1]!hospitalinfo[[#This Row],[Hospital Type]]</f>
        <v>Critical Access Hospitals</v>
      </c>
      <c r="D758" t="str">
        <f>[1]!hospitalinfo[[#This Row],[Hospital Ownership]]</f>
        <v>Government - Hospital District or Authority</v>
      </c>
      <c r="E758" t="str" cm="1">
        <f t="array" ref="E758">_xlfn.IFNA(_xlfn.XLOOKUP(1,([1]!hcahps[Facility ID] = clean[[#This Row],[Facility ID]]) * ([1]!hcahps[HCAHPS Measure ID] = "H_HSP_RATING_LINEAR_SCORE"), [1]!hcahps[HCAHPS Linear Mean Value]), "No Match")</f>
        <v>Not Available</v>
      </c>
      <c r="F758" t="str" cm="1">
        <f t="array" ref="F758">_xlfn.IFNA(_xlfn.XLOOKUP(1,([1]!readmissions[Facility ID] = clean[[#This Row],[Facility ID]]) * ([1]!readmissions[Measure ID] = "Hybrid_HWR"), [1]!readmissions[Score]), "No Match")</f>
        <v>Not Available</v>
      </c>
    </row>
    <row r="759" spans="1:6" x14ac:dyDescent="0.2">
      <c r="A759" t="str">
        <f>[1]!hospitalinfo[[#This Row],[Facility ID]]</f>
        <v>061301</v>
      </c>
      <c r="B759" t="str">
        <f>[1]!hospitalinfo[[#This Row],[State]]</f>
        <v>CO</v>
      </c>
      <c r="C759" t="str">
        <f>[1]!hospitalinfo[[#This Row],[Hospital Type]]</f>
        <v>Critical Access Hospitals</v>
      </c>
      <c r="D759" t="str">
        <f>[1]!hospitalinfo[[#This Row],[Hospital Ownership]]</f>
        <v>Proprietary</v>
      </c>
      <c r="E759" t="str" cm="1">
        <f t="array" ref="E759">_xlfn.IFNA(_xlfn.XLOOKUP(1,([1]!hcahps[Facility ID] = clean[[#This Row],[Facility ID]]) * ([1]!hcahps[HCAHPS Measure ID] = "H_HSP_RATING_LINEAR_SCORE"), [1]!hcahps[HCAHPS Linear Mean Value]), "No Match")</f>
        <v>Not Available</v>
      </c>
      <c r="F759" cm="1">
        <f t="array" ref="F759">_xlfn.IFNA(_xlfn.XLOOKUP(1,([1]!readmissions[Facility ID] = clean[[#This Row],[Facility ID]]) * ([1]!readmissions[Measure ID] = "Hybrid_HWR"), [1]!readmissions[Score]), "No Match")</f>
        <v>15.4</v>
      </c>
    </row>
    <row r="760" spans="1:6" x14ac:dyDescent="0.2">
      <c r="A760" t="str">
        <f>[1]!hospitalinfo[[#This Row],[Facility ID]]</f>
        <v>061302</v>
      </c>
      <c r="B760" t="str">
        <f>[1]!hospitalinfo[[#This Row],[State]]</f>
        <v>CO</v>
      </c>
      <c r="C760" t="str">
        <f>[1]!hospitalinfo[[#This Row],[Hospital Type]]</f>
        <v>Critical Access Hospitals</v>
      </c>
      <c r="D760" t="str">
        <f>[1]!hospitalinfo[[#This Row],[Hospital Ownership]]</f>
        <v>Voluntary non-profit - Private</v>
      </c>
      <c r="E760" t="str" cm="1">
        <f t="array" ref="E760">_xlfn.IFNA(_xlfn.XLOOKUP(1,([1]!hcahps[Facility ID] = clean[[#This Row],[Facility ID]]) * ([1]!hcahps[HCAHPS Measure ID] = "H_HSP_RATING_LINEAR_SCORE"), [1]!hcahps[HCAHPS Linear Mean Value]), "No Match")</f>
        <v>Not Available</v>
      </c>
      <c r="F760" cm="1">
        <f t="array" ref="F760">_xlfn.IFNA(_xlfn.XLOOKUP(1,([1]!readmissions[Facility ID] = clean[[#This Row],[Facility ID]]) * ([1]!readmissions[Measure ID] = "Hybrid_HWR"), [1]!readmissions[Score]), "No Match")</f>
        <v>15.2</v>
      </c>
    </row>
    <row r="761" spans="1:6" x14ac:dyDescent="0.2">
      <c r="A761" t="str">
        <f>[1]!hospitalinfo[[#This Row],[Facility ID]]</f>
        <v>061303</v>
      </c>
      <c r="B761" t="str">
        <f>[1]!hospitalinfo[[#This Row],[State]]</f>
        <v>CO</v>
      </c>
      <c r="C761" t="str">
        <f>[1]!hospitalinfo[[#This Row],[Hospital Type]]</f>
        <v>Critical Access Hospitals</v>
      </c>
      <c r="D761" t="str">
        <f>[1]!hospitalinfo[[#This Row],[Hospital Ownership]]</f>
        <v>Voluntary non-profit - Private</v>
      </c>
      <c r="E761" t="str" cm="1">
        <f t="array" ref="E761">_xlfn.IFNA(_xlfn.XLOOKUP(1,([1]!hcahps[Facility ID] = clean[[#This Row],[Facility ID]]) * ([1]!hcahps[HCAHPS Measure ID] = "H_HSP_RATING_LINEAR_SCORE"), [1]!hcahps[HCAHPS Linear Mean Value]), "No Match")</f>
        <v>Not Available</v>
      </c>
      <c r="F761" cm="1">
        <f t="array" ref="F761">_xlfn.IFNA(_xlfn.XLOOKUP(1,([1]!readmissions[Facility ID] = clean[[#This Row],[Facility ID]]) * ([1]!readmissions[Measure ID] = "Hybrid_HWR"), [1]!readmissions[Score]), "No Match")</f>
        <v>14.8</v>
      </c>
    </row>
    <row r="762" spans="1:6" x14ac:dyDescent="0.2">
      <c r="A762" t="str">
        <f>[1]!hospitalinfo[[#This Row],[Facility ID]]</f>
        <v>061304</v>
      </c>
      <c r="B762" t="str">
        <f>[1]!hospitalinfo[[#This Row],[State]]</f>
        <v>CO</v>
      </c>
      <c r="C762" t="str">
        <f>[1]!hospitalinfo[[#This Row],[Hospital Type]]</f>
        <v>Critical Access Hospitals</v>
      </c>
      <c r="D762" t="str">
        <f>[1]!hospitalinfo[[#This Row],[Hospital Ownership]]</f>
        <v>Government - Hospital District or Authority</v>
      </c>
      <c r="E762" t="str" cm="1">
        <f t="array" ref="E762">_xlfn.IFNA(_xlfn.XLOOKUP(1,([1]!hcahps[Facility ID] = clean[[#This Row],[Facility ID]]) * ([1]!hcahps[HCAHPS Measure ID] = "H_HSP_RATING_LINEAR_SCORE"), [1]!hcahps[HCAHPS Linear Mean Value]), "No Match")</f>
        <v>Not Available</v>
      </c>
      <c r="F762" cm="1">
        <f t="array" ref="F762">_xlfn.IFNA(_xlfn.XLOOKUP(1,([1]!readmissions[Facility ID] = clean[[#This Row],[Facility ID]]) * ([1]!readmissions[Measure ID] = "Hybrid_HWR"), [1]!readmissions[Score]), "No Match")</f>
        <v>15.1</v>
      </c>
    </row>
    <row r="763" spans="1:6" x14ac:dyDescent="0.2">
      <c r="A763" t="str">
        <f>[1]!hospitalinfo[[#This Row],[Facility ID]]</f>
        <v>061305</v>
      </c>
      <c r="B763" t="str">
        <f>[1]!hospitalinfo[[#This Row],[State]]</f>
        <v>CO</v>
      </c>
      <c r="C763" t="str">
        <f>[1]!hospitalinfo[[#This Row],[Hospital Type]]</f>
        <v>Critical Access Hospitals</v>
      </c>
      <c r="D763" t="str">
        <f>[1]!hospitalinfo[[#This Row],[Hospital Ownership]]</f>
        <v>Government - Hospital District or Authority</v>
      </c>
      <c r="E763" t="str" cm="1">
        <f t="array" ref="E763">_xlfn.IFNA(_xlfn.XLOOKUP(1,([1]!hcahps[Facility ID] = clean[[#This Row],[Facility ID]]) * ([1]!hcahps[HCAHPS Measure ID] = "H_HSP_RATING_LINEAR_SCORE"), [1]!hcahps[HCAHPS Linear Mean Value]), "No Match")</f>
        <v>Not Available</v>
      </c>
      <c r="F763" cm="1">
        <f t="array" ref="F763">_xlfn.IFNA(_xlfn.XLOOKUP(1,([1]!readmissions[Facility ID] = clean[[#This Row],[Facility ID]]) * ([1]!readmissions[Measure ID] = "Hybrid_HWR"), [1]!readmissions[Score]), "No Match")</f>
        <v>15.3</v>
      </c>
    </row>
    <row r="764" spans="1:6" x14ac:dyDescent="0.2">
      <c r="A764" t="str">
        <f>[1]!hospitalinfo[[#This Row],[Facility ID]]</f>
        <v>061306</v>
      </c>
      <c r="B764" t="str">
        <f>[1]!hospitalinfo[[#This Row],[State]]</f>
        <v>CO</v>
      </c>
      <c r="C764" t="str">
        <f>[1]!hospitalinfo[[#This Row],[Hospital Type]]</f>
        <v>Critical Access Hospitals</v>
      </c>
      <c r="D764" t="str">
        <f>[1]!hospitalinfo[[#This Row],[Hospital Ownership]]</f>
        <v>Voluntary non-profit - Other</v>
      </c>
      <c r="E764" t="str" cm="1">
        <f t="array" ref="E764">_xlfn.IFNA(_xlfn.XLOOKUP(1,([1]!hcahps[Facility ID] = clean[[#This Row],[Facility ID]]) * ([1]!hcahps[HCAHPS Measure ID] = "H_HSP_RATING_LINEAR_SCORE"), [1]!hcahps[HCAHPS Linear Mean Value]), "No Match")</f>
        <v>Not Available</v>
      </c>
      <c r="F764" cm="1">
        <f t="array" ref="F764">_xlfn.IFNA(_xlfn.XLOOKUP(1,([1]!readmissions[Facility ID] = clean[[#This Row],[Facility ID]]) * ([1]!readmissions[Measure ID] = "Hybrid_HWR"), [1]!readmissions[Score]), "No Match")</f>
        <v>14.7</v>
      </c>
    </row>
    <row r="765" spans="1:6" x14ac:dyDescent="0.2">
      <c r="A765" t="str">
        <f>[1]!hospitalinfo[[#This Row],[Facility ID]]</f>
        <v>061307</v>
      </c>
      <c r="B765" t="str">
        <f>[1]!hospitalinfo[[#This Row],[State]]</f>
        <v>CO</v>
      </c>
      <c r="C765" t="str">
        <f>[1]!hospitalinfo[[#This Row],[Hospital Type]]</f>
        <v>Critical Access Hospitals</v>
      </c>
      <c r="D765" t="str">
        <f>[1]!hospitalinfo[[#This Row],[Hospital Ownership]]</f>
        <v>Government - Hospital District or Authority</v>
      </c>
      <c r="E765" t="str" cm="1">
        <f t="array" ref="E765">_xlfn.IFNA(_xlfn.XLOOKUP(1,([1]!hcahps[Facility ID] = clean[[#This Row],[Facility ID]]) * ([1]!hcahps[HCAHPS Measure ID] = "H_HSP_RATING_LINEAR_SCORE"), [1]!hcahps[HCAHPS Linear Mean Value]), "No Match")</f>
        <v>Not Available</v>
      </c>
      <c r="F765" t="str" cm="1">
        <f t="array" ref="F765">_xlfn.IFNA(_xlfn.XLOOKUP(1,([1]!readmissions[Facility ID] = clean[[#This Row],[Facility ID]]) * ([1]!readmissions[Measure ID] = "Hybrid_HWR"), [1]!readmissions[Score]), "No Match")</f>
        <v>Not Available</v>
      </c>
    </row>
    <row r="766" spans="1:6" x14ac:dyDescent="0.2">
      <c r="A766" t="str">
        <f>[1]!hospitalinfo[[#This Row],[Facility ID]]</f>
        <v>061308</v>
      </c>
      <c r="B766" t="str">
        <f>[1]!hospitalinfo[[#This Row],[State]]</f>
        <v>CO</v>
      </c>
      <c r="C766" t="str">
        <f>[1]!hospitalinfo[[#This Row],[Hospital Type]]</f>
        <v>Critical Access Hospitals</v>
      </c>
      <c r="D766" t="str">
        <f>[1]!hospitalinfo[[#This Row],[Hospital Ownership]]</f>
        <v>Voluntary non-profit - Private</v>
      </c>
      <c r="E766" t="str" cm="1">
        <f t="array" ref="E766">_xlfn.IFNA(_xlfn.XLOOKUP(1,([1]!hcahps[Facility ID] = clean[[#This Row],[Facility ID]]) * ([1]!hcahps[HCAHPS Measure ID] = "H_HSP_RATING_LINEAR_SCORE"), [1]!hcahps[HCAHPS Linear Mean Value]), "No Match")</f>
        <v>Not Available</v>
      </c>
      <c r="F766" cm="1">
        <f t="array" ref="F766">_xlfn.IFNA(_xlfn.XLOOKUP(1,([1]!readmissions[Facility ID] = clean[[#This Row],[Facility ID]]) * ([1]!readmissions[Measure ID] = "Hybrid_HWR"), [1]!readmissions[Score]), "No Match")</f>
        <v>15.2</v>
      </c>
    </row>
    <row r="767" spans="1:6" x14ac:dyDescent="0.2">
      <c r="A767" t="str">
        <f>[1]!hospitalinfo[[#This Row],[Facility ID]]</f>
        <v>061309</v>
      </c>
      <c r="B767" t="str">
        <f>[1]!hospitalinfo[[#This Row],[State]]</f>
        <v>CO</v>
      </c>
      <c r="C767" t="str">
        <f>[1]!hospitalinfo[[#This Row],[Hospital Type]]</f>
        <v>Critical Access Hospitals</v>
      </c>
      <c r="D767" t="str">
        <f>[1]!hospitalinfo[[#This Row],[Hospital Ownership]]</f>
        <v>Government - Hospital District or Authority</v>
      </c>
      <c r="E767" t="str" cm="1">
        <f t="array" ref="E767">_xlfn.IFNA(_xlfn.XLOOKUP(1,([1]!hcahps[Facility ID] = clean[[#This Row],[Facility ID]]) * ([1]!hcahps[HCAHPS Measure ID] = "H_HSP_RATING_LINEAR_SCORE"), [1]!hcahps[HCAHPS Linear Mean Value]), "No Match")</f>
        <v>Not Available</v>
      </c>
      <c r="F767" cm="1">
        <f t="array" ref="F767">_xlfn.IFNA(_xlfn.XLOOKUP(1,([1]!readmissions[Facility ID] = clean[[#This Row],[Facility ID]]) * ([1]!readmissions[Measure ID] = "Hybrid_HWR"), [1]!readmissions[Score]), "No Match")</f>
        <v>14.9</v>
      </c>
    </row>
    <row r="768" spans="1:6" x14ac:dyDescent="0.2">
      <c r="A768" t="str">
        <f>[1]!hospitalinfo[[#This Row],[Facility ID]]</f>
        <v>061310</v>
      </c>
      <c r="B768" t="str">
        <f>[1]!hospitalinfo[[#This Row],[State]]</f>
        <v>CO</v>
      </c>
      <c r="C768" t="str">
        <f>[1]!hospitalinfo[[#This Row],[Hospital Type]]</f>
        <v>Critical Access Hospitals</v>
      </c>
      <c r="D768" t="str">
        <f>[1]!hospitalinfo[[#This Row],[Hospital Ownership]]</f>
        <v>Government - Local</v>
      </c>
      <c r="E768" t="str" cm="1">
        <f t="array" ref="E768">_xlfn.IFNA(_xlfn.XLOOKUP(1,([1]!hcahps[Facility ID] = clean[[#This Row],[Facility ID]]) * ([1]!hcahps[HCAHPS Measure ID] = "H_HSP_RATING_LINEAR_SCORE"), [1]!hcahps[HCAHPS Linear Mean Value]), "No Match")</f>
        <v>Not Available</v>
      </c>
      <c r="F768" cm="1">
        <f t="array" ref="F768">_xlfn.IFNA(_xlfn.XLOOKUP(1,([1]!readmissions[Facility ID] = clean[[#This Row],[Facility ID]]) * ([1]!readmissions[Measure ID] = "Hybrid_HWR"), [1]!readmissions[Score]), "No Match")</f>
        <v>15.3</v>
      </c>
    </row>
    <row r="769" spans="1:6" x14ac:dyDescent="0.2">
      <c r="A769" t="str">
        <f>[1]!hospitalinfo[[#This Row],[Facility ID]]</f>
        <v>061311</v>
      </c>
      <c r="B769" t="str">
        <f>[1]!hospitalinfo[[#This Row],[State]]</f>
        <v>CO</v>
      </c>
      <c r="C769" t="str">
        <f>[1]!hospitalinfo[[#This Row],[Hospital Type]]</f>
        <v>Critical Access Hospitals</v>
      </c>
      <c r="D769" t="str">
        <f>[1]!hospitalinfo[[#This Row],[Hospital Ownership]]</f>
        <v>Government - Hospital District or Authority</v>
      </c>
      <c r="E769" t="str" cm="1">
        <f t="array" ref="E769">_xlfn.IFNA(_xlfn.XLOOKUP(1,([1]!hcahps[Facility ID] = clean[[#This Row],[Facility ID]]) * ([1]!hcahps[HCAHPS Measure ID] = "H_HSP_RATING_LINEAR_SCORE"), [1]!hcahps[HCAHPS Linear Mean Value]), "No Match")</f>
        <v>Not Available</v>
      </c>
      <c r="F769" cm="1">
        <f t="array" ref="F769">_xlfn.IFNA(_xlfn.XLOOKUP(1,([1]!readmissions[Facility ID] = clean[[#This Row],[Facility ID]]) * ([1]!readmissions[Measure ID] = "Hybrid_HWR"), [1]!readmissions[Score]), "No Match")</f>
        <v>15.4</v>
      </c>
    </row>
    <row r="770" spans="1:6" x14ac:dyDescent="0.2">
      <c r="A770" t="str">
        <f>[1]!hospitalinfo[[#This Row],[Facility ID]]</f>
        <v>061312</v>
      </c>
      <c r="B770" t="str">
        <f>[1]!hospitalinfo[[#This Row],[State]]</f>
        <v>CO</v>
      </c>
      <c r="C770" t="str">
        <f>[1]!hospitalinfo[[#This Row],[Hospital Type]]</f>
        <v>Critical Access Hospitals</v>
      </c>
      <c r="D770" t="str">
        <f>[1]!hospitalinfo[[#This Row],[Hospital Ownership]]</f>
        <v>Government - Hospital District or Authority</v>
      </c>
      <c r="E770" t="str" cm="1">
        <f t="array" ref="E770">_xlfn.IFNA(_xlfn.XLOOKUP(1,([1]!hcahps[Facility ID] = clean[[#This Row],[Facility ID]]) * ([1]!hcahps[HCAHPS Measure ID] = "H_HSP_RATING_LINEAR_SCORE"), [1]!hcahps[HCAHPS Linear Mean Value]), "No Match")</f>
        <v>Not Available</v>
      </c>
      <c r="F770" cm="1">
        <f t="array" ref="F770">_xlfn.IFNA(_xlfn.XLOOKUP(1,([1]!readmissions[Facility ID] = clean[[#This Row],[Facility ID]]) * ([1]!readmissions[Measure ID] = "Hybrid_HWR"), [1]!readmissions[Score]), "No Match")</f>
        <v>14.9</v>
      </c>
    </row>
    <row r="771" spans="1:6" x14ac:dyDescent="0.2">
      <c r="A771" t="str">
        <f>[1]!hospitalinfo[[#This Row],[Facility ID]]</f>
        <v>061313</v>
      </c>
      <c r="B771" t="str">
        <f>[1]!hospitalinfo[[#This Row],[State]]</f>
        <v>CO</v>
      </c>
      <c r="C771" t="str">
        <f>[1]!hospitalinfo[[#This Row],[Hospital Type]]</f>
        <v>Critical Access Hospitals</v>
      </c>
      <c r="D771" t="str">
        <f>[1]!hospitalinfo[[#This Row],[Hospital Ownership]]</f>
        <v>Government - Hospital District or Authority</v>
      </c>
      <c r="E771" t="str" cm="1">
        <f t="array" ref="E771">_xlfn.IFNA(_xlfn.XLOOKUP(1,([1]!hcahps[Facility ID] = clean[[#This Row],[Facility ID]]) * ([1]!hcahps[HCAHPS Measure ID] = "H_HSP_RATING_LINEAR_SCORE"), [1]!hcahps[HCAHPS Linear Mean Value]), "No Match")</f>
        <v>Not Available</v>
      </c>
      <c r="F771" cm="1">
        <f t="array" ref="F771">_xlfn.IFNA(_xlfn.XLOOKUP(1,([1]!readmissions[Facility ID] = clean[[#This Row],[Facility ID]]) * ([1]!readmissions[Measure ID] = "Hybrid_HWR"), [1]!readmissions[Score]), "No Match")</f>
        <v>15.1</v>
      </c>
    </row>
    <row r="772" spans="1:6" x14ac:dyDescent="0.2">
      <c r="A772" t="str">
        <f>[1]!hospitalinfo[[#This Row],[Facility ID]]</f>
        <v>061314</v>
      </c>
      <c r="B772" t="str">
        <f>[1]!hospitalinfo[[#This Row],[State]]</f>
        <v>CO</v>
      </c>
      <c r="C772" t="str">
        <f>[1]!hospitalinfo[[#This Row],[Hospital Type]]</f>
        <v>Critical Access Hospitals</v>
      </c>
      <c r="D772" t="str">
        <f>[1]!hospitalinfo[[#This Row],[Hospital Ownership]]</f>
        <v>Government - Local</v>
      </c>
      <c r="E772" t="str" cm="1">
        <f t="array" ref="E772">_xlfn.IFNA(_xlfn.XLOOKUP(1,([1]!hcahps[Facility ID] = clean[[#This Row],[Facility ID]]) * ([1]!hcahps[HCAHPS Measure ID] = "H_HSP_RATING_LINEAR_SCORE"), [1]!hcahps[HCAHPS Linear Mean Value]), "No Match")</f>
        <v>Not Available</v>
      </c>
      <c r="F772" cm="1">
        <f t="array" ref="F772">_xlfn.IFNA(_xlfn.XLOOKUP(1,([1]!readmissions[Facility ID] = clean[[#This Row],[Facility ID]]) * ([1]!readmissions[Measure ID] = "Hybrid_HWR"), [1]!readmissions[Score]), "No Match")</f>
        <v>14.8</v>
      </c>
    </row>
    <row r="773" spans="1:6" x14ac:dyDescent="0.2">
      <c r="A773" t="str">
        <f>[1]!hospitalinfo[[#This Row],[Facility ID]]</f>
        <v>061315</v>
      </c>
      <c r="B773" t="str">
        <f>[1]!hospitalinfo[[#This Row],[State]]</f>
        <v>CO</v>
      </c>
      <c r="C773" t="str">
        <f>[1]!hospitalinfo[[#This Row],[Hospital Type]]</f>
        <v>Critical Access Hospitals</v>
      </c>
      <c r="D773" t="str">
        <f>[1]!hospitalinfo[[#This Row],[Hospital Ownership]]</f>
        <v>Government - Hospital District or Authority</v>
      </c>
      <c r="E773" t="str" cm="1">
        <f t="array" ref="E773">_xlfn.IFNA(_xlfn.XLOOKUP(1,([1]!hcahps[Facility ID] = clean[[#This Row],[Facility ID]]) * ([1]!hcahps[HCAHPS Measure ID] = "H_HSP_RATING_LINEAR_SCORE"), [1]!hcahps[HCAHPS Linear Mean Value]), "No Match")</f>
        <v>Not Available</v>
      </c>
      <c r="F773" cm="1">
        <f t="array" ref="F773">_xlfn.IFNA(_xlfn.XLOOKUP(1,([1]!readmissions[Facility ID] = clean[[#This Row],[Facility ID]]) * ([1]!readmissions[Measure ID] = "Hybrid_HWR"), [1]!readmissions[Score]), "No Match")</f>
        <v>14.7</v>
      </c>
    </row>
    <row r="774" spans="1:6" x14ac:dyDescent="0.2">
      <c r="A774" t="str">
        <f>[1]!hospitalinfo[[#This Row],[Facility ID]]</f>
        <v>061316</v>
      </c>
      <c r="B774" t="str">
        <f>[1]!hospitalinfo[[#This Row],[State]]</f>
        <v>CO</v>
      </c>
      <c r="C774" t="str">
        <f>[1]!hospitalinfo[[#This Row],[Hospital Type]]</f>
        <v>Critical Access Hospitals</v>
      </c>
      <c r="D774" t="str">
        <f>[1]!hospitalinfo[[#This Row],[Hospital Ownership]]</f>
        <v>Government - Hospital District or Authority</v>
      </c>
      <c r="E774" t="str" cm="1">
        <f t="array" ref="E774">_xlfn.IFNA(_xlfn.XLOOKUP(1,([1]!hcahps[Facility ID] = clean[[#This Row],[Facility ID]]) * ([1]!hcahps[HCAHPS Measure ID] = "H_HSP_RATING_LINEAR_SCORE"), [1]!hcahps[HCAHPS Linear Mean Value]), "No Match")</f>
        <v>Not Available</v>
      </c>
      <c r="F774" cm="1">
        <f t="array" ref="F774">_xlfn.IFNA(_xlfn.XLOOKUP(1,([1]!readmissions[Facility ID] = clean[[#This Row],[Facility ID]]) * ([1]!readmissions[Measure ID] = "Hybrid_HWR"), [1]!readmissions[Score]), "No Match")</f>
        <v>15</v>
      </c>
    </row>
    <row r="775" spans="1:6" x14ac:dyDescent="0.2">
      <c r="A775" t="str">
        <f>[1]!hospitalinfo[[#This Row],[Facility ID]]</f>
        <v>061317</v>
      </c>
      <c r="B775" t="str">
        <f>[1]!hospitalinfo[[#This Row],[State]]</f>
        <v>CO</v>
      </c>
      <c r="C775" t="str">
        <f>[1]!hospitalinfo[[#This Row],[Hospital Type]]</f>
        <v>Critical Access Hospitals</v>
      </c>
      <c r="D775" t="str">
        <f>[1]!hospitalinfo[[#This Row],[Hospital Ownership]]</f>
        <v>Government - Hospital District or Authority</v>
      </c>
      <c r="E775" t="str" cm="1">
        <f t="array" ref="E775">_xlfn.IFNA(_xlfn.XLOOKUP(1,([1]!hcahps[Facility ID] = clean[[#This Row],[Facility ID]]) * ([1]!hcahps[HCAHPS Measure ID] = "H_HSP_RATING_LINEAR_SCORE"), [1]!hcahps[HCAHPS Linear Mean Value]), "No Match")</f>
        <v>Not Available</v>
      </c>
      <c r="F775" cm="1">
        <f t="array" ref="F775">_xlfn.IFNA(_xlfn.XLOOKUP(1,([1]!readmissions[Facility ID] = clean[[#This Row],[Facility ID]]) * ([1]!readmissions[Measure ID] = "Hybrid_HWR"), [1]!readmissions[Score]), "No Match")</f>
        <v>14.4</v>
      </c>
    </row>
    <row r="776" spans="1:6" x14ac:dyDescent="0.2">
      <c r="A776" t="str">
        <f>[1]!hospitalinfo[[#This Row],[Facility ID]]</f>
        <v>061318</v>
      </c>
      <c r="B776" t="str">
        <f>[1]!hospitalinfo[[#This Row],[State]]</f>
        <v>CO</v>
      </c>
      <c r="C776" t="str">
        <f>[1]!hospitalinfo[[#This Row],[Hospital Type]]</f>
        <v>Critical Access Hospitals</v>
      </c>
      <c r="D776" t="str">
        <f>[1]!hospitalinfo[[#This Row],[Hospital Ownership]]</f>
        <v>Government - Hospital District or Authority</v>
      </c>
      <c r="E776" t="str" cm="1">
        <f t="array" ref="E776">_xlfn.IFNA(_xlfn.XLOOKUP(1,([1]!hcahps[Facility ID] = clean[[#This Row],[Facility ID]]) * ([1]!hcahps[HCAHPS Measure ID] = "H_HSP_RATING_LINEAR_SCORE"), [1]!hcahps[HCAHPS Linear Mean Value]), "No Match")</f>
        <v>Not Available</v>
      </c>
      <c r="F776" cm="1">
        <f t="array" ref="F776">_xlfn.IFNA(_xlfn.XLOOKUP(1,([1]!readmissions[Facility ID] = clean[[#This Row],[Facility ID]]) * ([1]!readmissions[Measure ID] = "Hybrid_HWR"), [1]!readmissions[Score]), "No Match")</f>
        <v>14.9</v>
      </c>
    </row>
    <row r="777" spans="1:6" x14ac:dyDescent="0.2">
      <c r="A777" t="str">
        <f>[1]!hospitalinfo[[#This Row],[Facility ID]]</f>
        <v>061319</v>
      </c>
      <c r="B777" t="str">
        <f>[1]!hospitalinfo[[#This Row],[State]]</f>
        <v>CO</v>
      </c>
      <c r="C777" t="str">
        <f>[1]!hospitalinfo[[#This Row],[Hospital Type]]</f>
        <v>Critical Access Hospitals</v>
      </c>
      <c r="D777" t="str">
        <f>[1]!hospitalinfo[[#This Row],[Hospital Ownership]]</f>
        <v>Government - Hospital District or Authority</v>
      </c>
      <c r="E777" t="str" cm="1">
        <f t="array" ref="E777">_xlfn.IFNA(_xlfn.XLOOKUP(1,([1]!hcahps[Facility ID] = clean[[#This Row],[Facility ID]]) * ([1]!hcahps[HCAHPS Measure ID] = "H_HSP_RATING_LINEAR_SCORE"), [1]!hcahps[HCAHPS Linear Mean Value]), "No Match")</f>
        <v>Not Available</v>
      </c>
      <c r="F777" cm="1">
        <f t="array" ref="F777">_xlfn.IFNA(_xlfn.XLOOKUP(1,([1]!readmissions[Facility ID] = clean[[#This Row],[Facility ID]]) * ([1]!readmissions[Measure ID] = "Hybrid_HWR"), [1]!readmissions[Score]), "No Match")</f>
        <v>14.9</v>
      </c>
    </row>
    <row r="778" spans="1:6" x14ac:dyDescent="0.2">
      <c r="A778" t="str">
        <f>[1]!hospitalinfo[[#This Row],[Facility ID]]</f>
        <v>061320</v>
      </c>
      <c r="B778" t="str">
        <f>[1]!hospitalinfo[[#This Row],[State]]</f>
        <v>CO</v>
      </c>
      <c r="C778" t="str">
        <f>[1]!hospitalinfo[[#This Row],[Hospital Type]]</f>
        <v>Critical Access Hospitals</v>
      </c>
      <c r="D778" t="str">
        <f>[1]!hospitalinfo[[#This Row],[Hospital Ownership]]</f>
        <v>Government - Local</v>
      </c>
      <c r="E778" t="str" cm="1">
        <f t="array" ref="E778">_xlfn.IFNA(_xlfn.XLOOKUP(1,([1]!hcahps[Facility ID] = clean[[#This Row],[Facility ID]]) * ([1]!hcahps[HCAHPS Measure ID] = "H_HSP_RATING_LINEAR_SCORE"), [1]!hcahps[HCAHPS Linear Mean Value]), "No Match")</f>
        <v>Not Available</v>
      </c>
      <c r="F778" cm="1">
        <f t="array" ref="F778">_xlfn.IFNA(_xlfn.XLOOKUP(1,([1]!readmissions[Facility ID] = clean[[#This Row],[Facility ID]]) * ([1]!readmissions[Measure ID] = "Hybrid_HWR"), [1]!readmissions[Score]), "No Match")</f>
        <v>15</v>
      </c>
    </row>
    <row r="779" spans="1:6" x14ac:dyDescent="0.2">
      <c r="A779" t="str">
        <f>[1]!hospitalinfo[[#This Row],[Facility ID]]</f>
        <v>061321</v>
      </c>
      <c r="B779" t="str">
        <f>[1]!hospitalinfo[[#This Row],[State]]</f>
        <v>CO</v>
      </c>
      <c r="C779" t="str">
        <f>[1]!hospitalinfo[[#This Row],[Hospital Type]]</f>
        <v>Critical Access Hospitals</v>
      </c>
      <c r="D779" t="str">
        <f>[1]!hospitalinfo[[#This Row],[Hospital Ownership]]</f>
        <v>Voluntary non-profit - Private</v>
      </c>
      <c r="E779" t="str" cm="1">
        <f t="array" ref="E779">_xlfn.IFNA(_xlfn.XLOOKUP(1,([1]!hcahps[Facility ID] = clean[[#This Row],[Facility ID]]) * ([1]!hcahps[HCAHPS Measure ID] = "H_HSP_RATING_LINEAR_SCORE"), [1]!hcahps[HCAHPS Linear Mean Value]), "No Match")</f>
        <v>Not Available</v>
      </c>
      <c r="F779" cm="1">
        <f t="array" ref="F779">_xlfn.IFNA(_xlfn.XLOOKUP(1,([1]!readmissions[Facility ID] = clean[[#This Row],[Facility ID]]) * ([1]!readmissions[Measure ID] = "Hybrid_HWR"), [1]!readmissions[Score]), "No Match")</f>
        <v>14.9</v>
      </c>
    </row>
    <row r="780" spans="1:6" x14ac:dyDescent="0.2">
      <c r="A780" t="str">
        <f>[1]!hospitalinfo[[#This Row],[Facility ID]]</f>
        <v>061322</v>
      </c>
      <c r="B780" t="str">
        <f>[1]!hospitalinfo[[#This Row],[State]]</f>
        <v>CO</v>
      </c>
      <c r="C780" t="str">
        <f>[1]!hospitalinfo[[#This Row],[Hospital Type]]</f>
        <v>Critical Access Hospitals</v>
      </c>
      <c r="D780" t="str">
        <f>[1]!hospitalinfo[[#This Row],[Hospital Ownership]]</f>
        <v>Government - Hospital District or Authority</v>
      </c>
      <c r="E780" cm="1">
        <f t="array" ref="E780">_xlfn.IFNA(_xlfn.XLOOKUP(1,([1]!hcahps[Facility ID] = clean[[#This Row],[Facility ID]]) * ([1]!hcahps[HCAHPS Measure ID] = "H_HSP_RATING_LINEAR_SCORE"), [1]!hcahps[HCAHPS Linear Mean Value]), "No Match")</f>
        <v>88</v>
      </c>
      <c r="F780" cm="1">
        <f t="array" ref="F780">_xlfn.IFNA(_xlfn.XLOOKUP(1,([1]!readmissions[Facility ID] = clean[[#This Row],[Facility ID]]) * ([1]!readmissions[Measure ID] = "Hybrid_HWR"), [1]!readmissions[Score]), "No Match")</f>
        <v>14.6</v>
      </c>
    </row>
    <row r="781" spans="1:6" x14ac:dyDescent="0.2">
      <c r="A781" t="str">
        <f>[1]!hospitalinfo[[#This Row],[Facility ID]]</f>
        <v>061323</v>
      </c>
      <c r="B781" t="str">
        <f>[1]!hospitalinfo[[#This Row],[State]]</f>
        <v>CO</v>
      </c>
      <c r="C781" t="str">
        <f>[1]!hospitalinfo[[#This Row],[Hospital Type]]</f>
        <v>Critical Access Hospitals</v>
      </c>
      <c r="D781" t="str">
        <f>[1]!hospitalinfo[[#This Row],[Hospital Ownership]]</f>
        <v>Government - Hospital District or Authority</v>
      </c>
      <c r="E781" t="str" cm="1">
        <f t="array" ref="E781">_xlfn.IFNA(_xlfn.XLOOKUP(1,([1]!hcahps[Facility ID] = clean[[#This Row],[Facility ID]]) * ([1]!hcahps[HCAHPS Measure ID] = "H_HSP_RATING_LINEAR_SCORE"), [1]!hcahps[HCAHPS Linear Mean Value]), "No Match")</f>
        <v>Not Available</v>
      </c>
      <c r="F781" t="str" cm="1">
        <f t="array" ref="F781">_xlfn.IFNA(_xlfn.XLOOKUP(1,([1]!readmissions[Facility ID] = clean[[#This Row],[Facility ID]]) * ([1]!readmissions[Measure ID] = "Hybrid_HWR"), [1]!readmissions[Score]), "No Match")</f>
        <v>Not Available</v>
      </c>
    </row>
    <row r="782" spans="1:6" x14ac:dyDescent="0.2">
      <c r="A782" t="str">
        <f>[1]!hospitalinfo[[#This Row],[Facility ID]]</f>
        <v>061324</v>
      </c>
      <c r="B782" t="str">
        <f>[1]!hospitalinfo[[#This Row],[State]]</f>
        <v>CO</v>
      </c>
      <c r="C782" t="str">
        <f>[1]!hospitalinfo[[#This Row],[Hospital Type]]</f>
        <v>Critical Access Hospitals</v>
      </c>
      <c r="D782" t="str">
        <f>[1]!hospitalinfo[[#This Row],[Hospital Ownership]]</f>
        <v>Government - Hospital District or Authority</v>
      </c>
      <c r="E782" cm="1">
        <f t="array" ref="E782">_xlfn.IFNA(_xlfn.XLOOKUP(1,([1]!hcahps[Facility ID] = clean[[#This Row],[Facility ID]]) * ([1]!hcahps[HCAHPS Measure ID] = "H_HSP_RATING_LINEAR_SCORE"), [1]!hcahps[HCAHPS Linear Mean Value]), "No Match")</f>
        <v>91</v>
      </c>
      <c r="F782" cm="1">
        <f t="array" ref="F782">_xlfn.IFNA(_xlfn.XLOOKUP(1,([1]!readmissions[Facility ID] = clean[[#This Row],[Facility ID]]) * ([1]!readmissions[Measure ID] = "Hybrid_HWR"), [1]!readmissions[Score]), "No Match")</f>
        <v>15</v>
      </c>
    </row>
    <row r="783" spans="1:6" x14ac:dyDescent="0.2">
      <c r="A783" t="str">
        <f>[1]!hospitalinfo[[#This Row],[Facility ID]]</f>
        <v>061325</v>
      </c>
      <c r="B783" t="str">
        <f>[1]!hospitalinfo[[#This Row],[State]]</f>
        <v>CO</v>
      </c>
      <c r="C783" t="str">
        <f>[1]!hospitalinfo[[#This Row],[Hospital Type]]</f>
        <v>Critical Access Hospitals</v>
      </c>
      <c r="D783" t="str">
        <f>[1]!hospitalinfo[[#This Row],[Hospital Ownership]]</f>
        <v>Government - Hospital District or Authority</v>
      </c>
      <c r="E783" t="str" cm="1">
        <f t="array" ref="E783">_xlfn.IFNA(_xlfn.XLOOKUP(1,([1]!hcahps[Facility ID] = clean[[#This Row],[Facility ID]]) * ([1]!hcahps[HCAHPS Measure ID] = "H_HSP_RATING_LINEAR_SCORE"), [1]!hcahps[HCAHPS Linear Mean Value]), "No Match")</f>
        <v>Not Available</v>
      </c>
      <c r="F783" cm="1">
        <f t="array" ref="F783">_xlfn.IFNA(_xlfn.XLOOKUP(1,([1]!readmissions[Facility ID] = clean[[#This Row],[Facility ID]]) * ([1]!readmissions[Measure ID] = "Hybrid_HWR"), [1]!readmissions[Score]), "No Match")</f>
        <v>14.7</v>
      </c>
    </row>
    <row r="784" spans="1:6" x14ac:dyDescent="0.2">
      <c r="A784" t="str">
        <f>[1]!hospitalinfo[[#This Row],[Facility ID]]</f>
        <v>061326</v>
      </c>
      <c r="B784" t="str">
        <f>[1]!hospitalinfo[[#This Row],[State]]</f>
        <v>CO</v>
      </c>
      <c r="C784" t="str">
        <f>[1]!hospitalinfo[[#This Row],[Hospital Type]]</f>
        <v>Critical Access Hospitals</v>
      </c>
      <c r="D784" t="str">
        <f>[1]!hospitalinfo[[#This Row],[Hospital Ownership]]</f>
        <v>Voluntary non-profit - Private</v>
      </c>
      <c r="E784" t="str" cm="1">
        <f t="array" ref="E784">_xlfn.IFNA(_xlfn.XLOOKUP(1,([1]!hcahps[Facility ID] = clean[[#This Row],[Facility ID]]) * ([1]!hcahps[HCAHPS Measure ID] = "H_HSP_RATING_LINEAR_SCORE"), [1]!hcahps[HCAHPS Linear Mean Value]), "No Match")</f>
        <v>Not Available</v>
      </c>
      <c r="F784" cm="1">
        <f t="array" ref="F784">_xlfn.IFNA(_xlfn.XLOOKUP(1,([1]!readmissions[Facility ID] = clean[[#This Row],[Facility ID]]) * ([1]!readmissions[Measure ID] = "Hybrid_HWR"), [1]!readmissions[Score]), "No Match")</f>
        <v>15</v>
      </c>
    </row>
    <row r="785" spans="1:6" x14ac:dyDescent="0.2">
      <c r="A785" t="str">
        <f>[1]!hospitalinfo[[#This Row],[Facility ID]]</f>
        <v>061327</v>
      </c>
      <c r="B785" t="str">
        <f>[1]!hospitalinfo[[#This Row],[State]]</f>
        <v>CO</v>
      </c>
      <c r="C785" t="str">
        <f>[1]!hospitalinfo[[#This Row],[Hospital Type]]</f>
        <v>Critical Access Hospitals</v>
      </c>
      <c r="D785" t="str">
        <f>[1]!hospitalinfo[[#This Row],[Hospital Ownership]]</f>
        <v>Voluntary non-profit - Private</v>
      </c>
      <c r="E785" cm="1">
        <f t="array" ref="E785">_xlfn.IFNA(_xlfn.XLOOKUP(1,([1]!hcahps[Facility ID] = clean[[#This Row],[Facility ID]]) * ([1]!hcahps[HCAHPS Measure ID] = "H_HSP_RATING_LINEAR_SCORE"), [1]!hcahps[HCAHPS Linear Mean Value]), "No Match")</f>
        <v>90</v>
      </c>
      <c r="F785" cm="1">
        <f t="array" ref="F785">_xlfn.IFNA(_xlfn.XLOOKUP(1,([1]!readmissions[Facility ID] = clean[[#This Row],[Facility ID]]) * ([1]!readmissions[Measure ID] = "Hybrid_HWR"), [1]!readmissions[Score]), "No Match")</f>
        <v>14.8</v>
      </c>
    </row>
    <row r="786" spans="1:6" x14ac:dyDescent="0.2">
      <c r="A786" t="str">
        <f>[1]!hospitalinfo[[#This Row],[Facility ID]]</f>
        <v>061328</v>
      </c>
      <c r="B786" t="str">
        <f>[1]!hospitalinfo[[#This Row],[State]]</f>
        <v>CO</v>
      </c>
      <c r="C786" t="str">
        <f>[1]!hospitalinfo[[#This Row],[Hospital Type]]</f>
        <v>Critical Access Hospitals</v>
      </c>
      <c r="D786" t="str">
        <f>[1]!hospitalinfo[[#This Row],[Hospital Ownership]]</f>
        <v>Government - Hospital District or Authority</v>
      </c>
      <c r="E786" t="str" cm="1">
        <f t="array" ref="E786">_xlfn.IFNA(_xlfn.XLOOKUP(1,([1]!hcahps[Facility ID] = clean[[#This Row],[Facility ID]]) * ([1]!hcahps[HCAHPS Measure ID] = "H_HSP_RATING_LINEAR_SCORE"), [1]!hcahps[HCAHPS Linear Mean Value]), "No Match")</f>
        <v>Not Available</v>
      </c>
      <c r="F786" t="str" cm="1">
        <f t="array" ref="F786">_xlfn.IFNA(_xlfn.XLOOKUP(1,([1]!readmissions[Facility ID] = clean[[#This Row],[Facility ID]]) * ([1]!readmissions[Measure ID] = "Hybrid_HWR"), [1]!readmissions[Score]), "No Match")</f>
        <v>Not Available</v>
      </c>
    </row>
    <row r="787" spans="1:6" x14ac:dyDescent="0.2">
      <c r="A787" t="str">
        <f>[1]!hospitalinfo[[#This Row],[Facility ID]]</f>
        <v>061336</v>
      </c>
      <c r="B787" t="str">
        <f>[1]!hospitalinfo[[#This Row],[State]]</f>
        <v>CO</v>
      </c>
      <c r="C787" t="str">
        <f>[1]!hospitalinfo[[#This Row],[Hospital Type]]</f>
        <v>Critical Access Hospitals</v>
      </c>
      <c r="D787" t="str">
        <f>[1]!hospitalinfo[[#This Row],[Hospital Ownership]]</f>
        <v>Voluntary non-profit - Private</v>
      </c>
      <c r="E787" t="str" cm="1">
        <f t="array" ref="E787">_xlfn.IFNA(_xlfn.XLOOKUP(1,([1]!hcahps[Facility ID] = clean[[#This Row],[Facility ID]]) * ([1]!hcahps[HCAHPS Measure ID] = "H_HSP_RATING_LINEAR_SCORE"), [1]!hcahps[HCAHPS Linear Mean Value]), "No Match")</f>
        <v>Not Available</v>
      </c>
      <c r="F787" t="str" cm="1">
        <f t="array" ref="F787">_xlfn.IFNA(_xlfn.XLOOKUP(1,([1]!readmissions[Facility ID] = clean[[#This Row],[Facility ID]]) * ([1]!readmissions[Measure ID] = "Hybrid_HWR"), [1]!readmissions[Score]), "No Match")</f>
        <v>Not Available</v>
      </c>
    </row>
    <row r="788" spans="1:6" x14ac:dyDescent="0.2">
      <c r="A788" t="str">
        <f>[1]!hospitalinfo[[#This Row],[Facility ID]]</f>
        <v>061343</v>
      </c>
      <c r="B788" t="str">
        <f>[1]!hospitalinfo[[#This Row],[State]]</f>
        <v>CO</v>
      </c>
      <c r="C788" t="str">
        <f>[1]!hospitalinfo[[#This Row],[Hospital Type]]</f>
        <v>Critical Access Hospitals</v>
      </c>
      <c r="D788" t="str">
        <f>[1]!hospitalinfo[[#This Row],[Hospital Ownership]]</f>
        <v>Government - Hospital District or Authority</v>
      </c>
      <c r="E788" t="str" cm="1">
        <f t="array" ref="E788">_xlfn.IFNA(_xlfn.XLOOKUP(1,([1]!hcahps[Facility ID] = clean[[#This Row],[Facility ID]]) * ([1]!hcahps[HCAHPS Measure ID] = "H_HSP_RATING_LINEAR_SCORE"), [1]!hcahps[HCAHPS Linear Mean Value]), "No Match")</f>
        <v>Not Available</v>
      </c>
      <c r="F788" t="str" cm="1">
        <f t="array" ref="F788">_xlfn.IFNA(_xlfn.XLOOKUP(1,([1]!readmissions[Facility ID] = clean[[#This Row],[Facility ID]]) * ([1]!readmissions[Measure ID] = "Hybrid_HWR"), [1]!readmissions[Score]), "No Match")</f>
        <v>Not Available</v>
      </c>
    </row>
    <row r="789" spans="1:6" x14ac:dyDescent="0.2">
      <c r="A789" t="str">
        <f>[1]!hospitalinfo[[#This Row],[Facility ID]]</f>
        <v>061344</v>
      </c>
      <c r="B789" t="str">
        <f>[1]!hospitalinfo[[#This Row],[State]]</f>
        <v>CO</v>
      </c>
      <c r="C789" t="str">
        <f>[1]!hospitalinfo[[#This Row],[Hospital Type]]</f>
        <v>Critical Access Hospitals</v>
      </c>
      <c r="D789" t="str">
        <f>[1]!hospitalinfo[[#This Row],[Hospital Ownership]]</f>
        <v>Voluntary non-profit - Private</v>
      </c>
      <c r="E789" cm="1">
        <f t="array" ref="E789">_xlfn.IFNA(_xlfn.XLOOKUP(1,([1]!hcahps[Facility ID] = clean[[#This Row],[Facility ID]]) * ([1]!hcahps[HCAHPS Measure ID] = "H_HSP_RATING_LINEAR_SCORE"), [1]!hcahps[HCAHPS Linear Mean Value]), "No Match")</f>
        <v>89</v>
      </c>
      <c r="F789" cm="1">
        <f t="array" ref="F789">_xlfn.IFNA(_xlfn.XLOOKUP(1,([1]!readmissions[Facility ID] = clean[[#This Row],[Facility ID]]) * ([1]!readmissions[Measure ID] = "Hybrid_HWR"), [1]!readmissions[Score]), "No Match")</f>
        <v>14.5</v>
      </c>
    </row>
    <row r="790" spans="1:6" x14ac:dyDescent="0.2">
      <c r="A790" t="str">
        <f>[1]!hospitalinfo[[#This Row],[Facility ID]]</f>
        <v>063301</v>
      </c>
      <c r="B790" t="str">
        <f>[1]!hospitalinfo[[#This Row],[State]]</f>
        <v>CO</v>
      </c>
      <c r="C790" t="str">
        <f>[1]!hospitalinfo[[#This Row],[Hospital Type]]</f>
        <v>Childrens</v>
      </c>
      <c r="D790" t="str">
        <f>[1]!hospitalinfo[[#This Row],[Hospital Ownership]]</f>
        <v>Voluntary non-profit - Private</v>
      </c>
      <c r="E790" t="str" cm="1">
        <f t="array" ref="E790">_xlfn.IFNA(_xlfn.XLOOKUP(1,([1]!hcahps[Facility ID] = clean[[#This Row],[Facility ID]]) * ([1]!hcahps[HCAHPS Measure ID] = "H_HSP_RATING_LINEAR_SCORE"), [1]!hcahps[HCAHPS Linear Mean Value]), "No Match")</f>
        <v>Not Available</v>
      </c>
      <c r="F790" t="str" cm="1">
        <f t="array" ref="F790">_xlfn.IFNA(_xlfn.XLOOKUP(1,([1]!readmissions[Facility ID] = clean[[#This Row],[Facility ID]]) * ([1]!readmissions[Measure ID] = "Hybrid_HWR"), [1]!readmissions[Score]), "No Match")</f>
        <v>Not Available</v>
      </c>
    </row>
    <row r="791" spans="1:6" x14ac:dyDescent="0.2">
      <c r="A791" t="str">
        <f>[1]!hospitalinfo[[#This Row],[Facility ID]]</f>
        <v>063303</v>
      </c>
      <c r="B791" t="str">
        <f>[1]!hospitalinfo[[#This Row],[State]]</f>
        <v>CO</v>
      </c>
      <c r="C791" t="str">
        <f>[1]!hospitalinfo[[#This Row],[Hospital Type]]</f>
        <v>Childrens</v>
      </c>
      <c r="D791" t="str">
        <f>[1]!hospitalinfo[[#This Row],[Hospital Ownership]]</f>
        <v>Voluntary non-profit - Private</v>
      </c>
      <c r="E791" t="str" cm="1">
        <f t="array" ref="E791">_xlfn.IFNA(_xlfn.XLOOKUP(1,([1]!hcahps[Facility ID] = clean[[#This Row],[Facility ID]]) * ([1]!hcahps[HCAHPS Measure ID] = "H_HSP_RATING_LINEAR_SCORE"), [1]!hcahps[HCAHPS Linear Mean Value]), "No Match")</f>
        <v>Not Available</v>
      </c>
      <c r="F791" t="str" cm="1">
        <f t="array" ref="F791">_xlfn.IFNA(_xlfn.XLOOKUP(1,([1]!readmissions[Facility ID] = clean[[#This Row],[Facility ID]]) * ([1]!readmissions[Measure ID] = "Hybrid_HWR"), [1]!readmissions[Score]), "No Match")</f>
        <v>Not Available</v>
      </c>
    </row>
    <row r="792" spans="1:6" x14ac:dyDescent="0.2">
      <c r="A792" t="str">
        <f>[1]!hospitalinfo[[#This Row],[Facility ID]]</f>
        <v>064001</v>
      </c>
      <c r="B792" t="str">
        <f>[1]!hospitalinfo[[#This Row],[State]]</f>
        <v>CO</v>
      </c>
      <c r="C792" t="str">
        <f>[1]!hospitalinfo[[#This Row],[Hospital Type]]</f>
        <v>Psychiatric</v>
      </c>
      <c r="D792" t="str">
        <f>[1]!hospitalinfo[[#This Row],[Hospital Ownership]]</f>
        <v>Government - State</v>
      </c>
      <c r="E792" t="str" cm="1">
        <f t="array" ref="E792">_xlfn.IFNA(_xlfn.XLOOKUP(1,([1]!hcahps[Facility ID] = clean[[#This Row],[Facility ID]]) * ([1]!hcahps[HCAHPS Measure ID] = "H_HSP_RATING_LINEAR_SCORE"), [1]!hcahps[HCAHPS Linear Mean Value]), "No Match")</f>
        <v>No Match</v>
      </c>
      <c r="F792" t="str" cm="1">
        <f t="array" ref="F792">_xlfn.IFNA(_xlfn.XLOOKUP(1,([1]!readmissions[Facility ID] = clean[[#This Row],[Facility ID]]) * ([1]!readmissions[Measure ID] = "Hybrid_HWR"), [1]!readmissions[Score]), "No Match")</f>
        <v>No Match</v>
      </c>
    </row>
    <row r="793" spans="1:6" x14ac:dyDescent="0.2">
      <c r="A793" t="str">
        <f>[1]!hospitalinfo[[#This Row],[Facility ID]]</f>
        <v>064003</v>
      </c>
      <c r="B793" t="str">
        <f>[1]!hospitalinfo[[#This Row],[State]]</f>
        <v>CO</v>
      </c>
      <c r="C793" t="str">
        <f>[1]!hospitalinfo[[#This Row],[Hospital Type]]</f>
        <v>Psychiatric</v>
      </c>
      <c r="D793" t="str">
        <f>[1]!hospitalinfo[[#This Row],[Hospital Ownership]]</f>
        <v>Voluntary non-profit - Other</v>
      </c>
      <c r="E793" t="str" cm="1">
        <f t="array" ref="E793">_xlfn.IFNA(_xlfn.XLOOKUP(1,([1]!hcahps[Facility ID] = clean[[#This Row],[Facility ID]]) * ([1]!hcahps[HCAHPS Measure ID] = "H_HSP_RATING_LINEAR_SCORE"), [1]!hcahps[HCAHPS Linear Mean Value]), "No Match")</f>
        <v>No Match</v>
      </c>
      <c r="F793" t="str" cm="1">
        <f t="array" ref="F793">_xlfn.IFNA(_xlfn.XLOOKUP(1,([1]!readmissions[Facility ID] = clean[[#This Row],[Facility ID]]) * ([1]!readmissions[Measure ID] = "Hybrid_HWR"), [1]!readmissions[Score]), "No Match")</f>
        <v>No Match</v>
      </c>
    </row>
    <row r="794" spans="1:6" x14ac:dyDescent="0.2">
      <c r="A794" t="str">
        <f>[1]!hospitalinfo[[#This Row],[Facility ID]]</f>
        <v>064007</v>
      </c>
      <c r="B794" t="str">
        <f>[1]!hospitalinfo[[#This Row],[State]]</f>
        <v>CO</v>
      </c>
      <c r="C794" t="str">
        <f>[1]!hospitalinfo[[#This Row],[Hospital Type]]</f>
        <v>Psychiatric</v>
      </c>
      <c r="D794" t="str">
        <f>[1]!hospitalinfo[[#This Row],[Hospital Ownership]]</f>
        <v>Government - Hospital District or Authority</v>
      </c>
      <c r="E794" t="str" cm="1">
        <f t="array" ref="E794">_xlfn.IFNA(_xlfn.XLOOKUP(1,([1]!hcahps[Facility ID] = clean[[#This Row],[Facility ID]]) * ([1]!hcahps[HCAHPS Measure ID] = "H_HSP_RATING_LINEAR_SCORE"), [1]!hcahps[HCAHPS Linear Mean Value]), "No Match")</f>
        <v>No Match</v>
      </c>
      <c r="F794" t="str" cm="1">
        <f t="array" ref="F794">_xlfn.IFNA(_xlfn.XLOOKUP(1,([1]!readmissions[Facility ID] = clean[[#This Row],[Facility ID]]) * ([1]!readmissions[Measure ID] = "Hybrid_HWR"), [1]!readmissions[Score]), "No Match")</f>
        <v>No Match</v>
      </c>
    </row>
    <row r="795" spans="1:6" x14ac:dyDescent="0.2">
      <c r="A795" t="str">
        <f>[1]!hospitalinfo[[#This Row],[Facility ID]]</f>
        <v>064009</v>
      </c>
      <c r="B795" t="str">
        <f>[1]!hospitalinfo[[#This Row],[State]]</f>
        <v>CO</v>
      </c>
      <c r="C795" t="str">
        <f>[1]!hospitalinfo[[#This Row],[Hospital Type]]</f>
        <v>Psychiatric</v>
      </c>
      <c r="D795" t="str">
        <f>[1]!hospitalinfo[[#This Row],[Hospital Ownership]]</f>
        <v>Proprietary</v>
      </c>
      <c r="E795" t="str" cm="1">
        <f t="array" ref="E795">_xlfn.IFNA(_xlfn.XLOOKUP(1,([1]!hcahps[Facility ID] = clean[[#This Row],[Facility ID]]) * ([1]!hcahps[HCAHPS Measure ID] = "H_HSP_RATING_LINEAR_SCORE"), [1]!hcahps[HCAHPS Linear Mean Value]), "No Match")</f>
        <v>No Match</v>
      </c>
      <c r="F795" t="str" cm="1">
        <f t="array" ref="F795">_xlfn.IFNA(_xlfn.XLOOKUP(1,([1]!readmissions[Facility ID] = clean[[#This Row],[Facility ID]]) * ([1]!readmissions[Measure ID] = "Hybrid_HWR"), [1]!readmissions[Score]), "No Match")</f>
        <v>No Match</v>
      </c>
    </row>
    <row r="796" spans="1:6" x14ac:dyDescent="0.2">
      <c r="A796" t="str">
        <f>[1]!hospitalinfo[[#This Row],[Facility ID]]</f>
        <v>064024</v>
      </c>
      <c r="B796" t="str">
        <f>[1]!hospitalinfo[[#This Row],[State]]</f>
        <v>CO</v>
      </c>
      <c r="C796" t="str">
        <f>[1]!hospitalinfo[[#This Row],[Hospital Type]]</f>
        <v>Psychiatric</v>
      </c>
      <c r="D796" t="str">
        <f>[1]!hospitalinfo[[#This Row],[Hospital Ownership]]</f>
        <v>Proprietary</v>
      </c>
      <c r="E796" t="str" cm="1">
        <f t="array" ref="E796">_xlfn.IFNA(_xlfn.XLOOKUP(1,([1]!hcahps[Facility ID] = clean[[#This Row],[Facility ID]]) * ([1]!hcahps[HCAHPS Measure ID] = "H_HSP_RATING_LINEAR_SCORE"), [1]!hcahps[HCAHPS Linear Mean Value]), "No Match")</f>
        <v>No Match</v>
      </c>
      <c r="F796" t="str" cm="1">
        <f t="array" ref="F796">_xlfn.IFNA(_xlfn.XLOOKUP(1,([1]!readmissions[Facility ID] = clean[[#This Row],[Facility ID]]) * ([1]!readmissions[Measure ID] = "Hybrid_HWR"), [1]!readmissions[Score]), "No Match")</f>
        <v>No Match</v>
      </c>
    </row>
    <row r="797" spans="1:6" x14ac:dyDescent="0.2">
      <c r="A797" t="str">
        <f>[1]!hospitalinfo[[#This Row],[Facility ID]]</f>
        <v>064026</v>
      </c>
      <c r="B797" t="str">
        <f>[1]!hospitalinfo[[#This Row],[State]]</f>
        <v>CO</v>
      </c>
      <c r="C797" t="str">
        <f>[1]!hospitalinfo[[#This Row],[Hospital Type]]</f>
        <v>Psychiatric</v>
      </c>
      <c r="D797" t="str">
        <f>[1]!hospitalinfo[[#This Row],[Hospital Ownership]]</f>
        <v>Proprietary</v>
      </c>
      <c r="E797" t="str" cm="1">
        <f t="array" ref="E797">_xlfn.IFNA(_xlfn.XLOOKUP(1,([1]!hcahps[Facility ID] = clean[[#This Row],[Facility ID]]) * ([1]!hcahps[HCAHPS Measure ID] = "H_HSP_RATING_LINEAR_SCORE"), [1]!hcahps[HCAHPS Linear Mean Value]), "No Match")</f>
        <v>No Match</v>
      </c>
      <c r="F797" t="str" cm="1">
        <f t="array" ref="F797">_xlfn.IFNA(_xlfn.XLOOKUP(1,([1]!readmissions[Facility ID] = clean[[#This Row],[Facility ID]]) * ([1]!readmissions[Measure ID] = "Hybrid_HWR"), [1]!readmissions[Score]), "No Match")</f>
        <v>No Match</v>
      </c>
    </row>
    <row r="798" spans="1:6" x14ac:dyDescent="0.2">
      <c r="A798" t="str">
        <f>[1]!hospitalinfo[[#This Row],[Facility ID]]</f>
        <v>064028</v>
      </c>
      <c r="B798" t="str">
        <f>[1]!hospitalinfo[[#This Row],[State]]</f>
        <v>CO</v>
      </c>
      <c r="C798" t="str">
        <f>[1]!hospitalinfo[[#This Row],[Hospital Type]]</f>
        <v>Psychiatric</v>
      </c>
      <c r="D798" t="str">
        <f>[1]!hospitalinfo[[#This Row],[Hospital Ownership]]</f>
        <v>Proprietary</v>
      </c>
      <c r="E798" t="str" cm="1">
        <f t="array" ref="E798">_xlfn.IFNA(_xlfn.XLOOKUP(1,([1]!hcahps[Facility ID] = clean[[#This Row],[Facility ID]]) * ([1]!hcahps[HCAHPS Measure ID] = "H_HSP_RATING_LINEAR_SCORE"), [1]!hcahps[HCAHPS Linear Mean Value]), "No Match")</f>
        <v>No Match</v>
      </c>
      <c r="F798" t="str" cm="1">
        <f t="array" ref="F798">_xlfn.IFNA(_xlfn.XLOOKUP(1,([1]!readmissions[Facility ID] = clean[[#This Row],[Facility ID]]) * ([1]!readmissions[Measure ID] = "Hybrid_HWR"), [1]!readmissions[Score]), "No Match")</f>
        <v>No Match</v>
      </c>
    </row>
    <row r="799" spans="1:6" x14ac:dyDescent="0.2">
      <c r="A799" t="str">
        <f>[1]!hospitalinfo[[#This Row],[Facility ID]]</f>
        <v>064029</v>
      </c>
      <c r="B799" t="str">
        <f>[1]!hospitalinfo[[#This Row],[State]]</f>
        <v>CO</v>
      </c>
      <c r="C799" t="str">
        <f>[1]!hospitalinfo[[#This Row],[Hospital Type]]</f>
        <v>Psychiatric</v>
      </c>
      <c r="D799" t="str">
        <f>[1]!hospitalinfo[[#This Row],[Hospital Ownership]]</f>
        <v>Proprietary</v>
      </c>
      <c r="E799" t="str" cm="1">
        <f t="array" ref="E799">_xlfn.IFNA(_xlfn.XLOOKUP(1,([1]!hcahps[Facility ID] = clean[[#This Row],[Facility ID]]) * ([1]!hcahps[HCAHPS Measure ID] = "H_HSP_RATING_LINEAR_SCORE"), [1]!hcahps[HCAHPS Linear Mean Value]), "No Match")</f>
        <v>No Match</v>
      </c>
      <c r="F799" t="str" cm="1">
        <f t="array" ref="F799">_xlfn.IFNA(_xlfn.XLOOKUP(1,([1]!readmissions[Facility ID] = clean[[#This Row],[Facility ID]]) * ([1]!readmissions[Measure ID] = "Hybrid_HWR"), [1]!readmissions[Score]), "No Match")</f>
        <v>No Match</v>
      </c>
    </row>
    <row r="800" spans="1:6" x14ac:dyDescent="0.2">
      <c r="A800" t="str">
        <f>[1]!hospitalinfo[[#This Row],[Facility ID]]</f>
        <v>064030</v>
      </c>
      <c r="B800" t="str">
        <f>[1]!hospitalinfo[[#This Row],[State]]</f>
        <v>CO</v>
      </c>
      <c r="C800" t="str">
        <f>[1]!hospitalinfo[[#This Row],[Hospital Type]]</f>
        <v>Psychiatric</v>
      </c>
      <c r="D800" t="str">
        <f>[1]!hospitalinfo[[#This Row],[Hospital Ownership]]</f>
        <v>Proprietary</v>
      </c>
      <c r="E800" t="str" cm="1">
        <f t="array" ref="E800">_xlfn.IFNA(_xlfn.XLOOKUP(1,([1]!hcahps[Facility ID] = clean[[#This Row],[Facility ID]]) * ([1]!hcahps[HCAHPS Measure ID] = "H_HSP_RATING_LINEAR_SCORE"), [1]!hcahps[HCAHPS Linear Mean Value]), "No Match")</f>
        <v>No Match</v>
      </c>
      <c r="F800" t="str" cm="1">
        <f t="array" ref="F800">_xlfn.IFNA(_xlfn.XLOOKUP(1,([1]!readmissions[Facility ID] = clean[[#This Row],[Facility ID]]) * ([1]!readmissions[Measure ID] = "Hybrid_HWR"), [1]!readmissions[Score]), "No Match")</f>
        <v>No Match</v>
      </c>
    </row>
    <row r="801" spans="1:6" x14ac:dyDescent="0.2">
      <c r="A801" t="str">
        <f>[1]!hospitalinfo[[#This Row],[Facility ID]]</f>
        <v>070002</v>
      </c>
      <c r="B801" t="str">
        <f>[1]!hospitalinfo[[#This Row],[State]]</f>
        <v>CT</v>
      </c>
      <c r="C801" t="str">
        <f>[1]!hospitalinfo[[#This Row],[Hospital Type]]</f>
        <v>Acute Care Hospitals</v>
      </c>
      <c r="D801" t="str">
        <f>[1]!hospitalinfo[[#This Row],[Hospital Ownership]]</f>
        <v>Voluntary non-profit - Church</v>
      </c>
      <c r="E801" cm="1">
        <f t="array" ref="E801">_xlfn.IFNA(_xlfn.XLOOKUP(1,([1]!hcahps[Facility ID] = clean[[#This Row],[Facility ID]]) * ([1]!hcahps[HCAHPS Measure ID] = "H_HSP_RATING_LINEAR_SCORE"), [1]!hcahps[HCAHPS Linear Mean Value]), "No Match")</f>
        <v>81</v>
      </c>
      <c r="F801" cm="1">
        <f t="array" ref="F801">_xlfn.IFNA(_xlfn.XLOOKUP(1,([1]!readmissions[Facility ID] = clean[[#This Row],[Facility ID]]) * ([1]!readmissions[Measure ID] = "Hybrid_HWR"), [1]!readmissions[Score]), "No Match")</f>
        <v>14.8</v>
      </c>
    </row>
    <row r="802" spans="1:6" x14ac:dyDescent="0.2">
      <c r="A802" t="str">
        <f>[1]!hospitalinfo[[#This Row],[Facility ID]]</f>
        <v>070003</v>
      </c>
      <c r="B802" t="str">
        <f>[1]!hospitalinfo[[#This Row],[State]]</f>
        <v>CT</v>
      </c>
      <c r="C802" t="str">
        <f>[1]!hospitalinfo[[#This Row],[Hospital Type]]</f>
        <v>Acute Care Hospitals</v>
      </c>
      <c r="D802" t="str">
        <f>[1]!hospitalinfo[[#This Row],[Hospital Ownership]]</f>
        <v>Voluntary non-profit - Private</v>
      </c>
      <c r="E802" cm="1">
        <f t="array" ref="E802">_xlfn.IFNA(_xlfn.XLOOKUP(1,([1]!hcahps[Facility ID] = clean[[#This Row],[Facility ID]]) * ([1]!hcahps[HCAHPS Measure ID] = "H_HSP_RATING_LINEAR_SCORE"), [1]!hcahps[HCAHPS Linear Mean Value]), "No Match")</f>
        <v>84</v>
      </c>
      <c r="F802" cm="1">
        <f t="array" ref="F802">_xlfn.IFNA(_xlfn.XLOOKUP(1,([1]!readmissions[Facility ID] = clean[[#This Row],[Facility ID]]) * ([1]!readmissions[Measure ID] = "Hybrid_HWR"), [1]!readmissions[Score]), "No Match")</f>
        <v>15.2</v>
      </c>
    </row>
    <row r="803" spans="1:6" x14ac:dyDescent="0.2">
      <c r="A803" t="str">
        <f>[1]!hospitalinfo[[#This Row],[Facility ID]]</f>
        <v>070004</v>
      </c>
      <c r="B803" t="str">
        <f>[1]!hospitalinfo[[#This Row],[State]]</f>
        <v>CT</v>
      </c>
      <c r="C803" t="str">
        <f>[1]!hospitalinfo[[#This Row],[Hospital Type]]</f>
        <v>Acute Care Hospitals</v>
      </c>
      <c r="D803" t="str">
        <f>[1]!hospitalinfo[[#This Row],[Hospital Ownership]]</f>
        <v>Proprietary</v>
      </c>
      <c r="E803" cm="1">
        <f t="array" ref="E803">_xlfn.IFNA(_xlfn.XLOOKUP(1,([1]!hcahps[Facility ID] = clean[[#This Row],[Facility ID]]) * ([1]!hcahps[HCAHPS Measure ID] = "H_HSP_RATING_LINEAR_SCORE"), [1]!hcahps[HCAHPS Linear Mean Value]), "No Match")</f>
        <v>90</v>
      </c>
      <c r="F803" cm="1">
        <f t="array" ref="F803">_xlfn.IFNA(_xlfn.XLOOKUP(1,([1]!readmissions[Facility ID] = clean[[#This Row],[Facility ID]]) * ([1]!readmissions[Measure ID] = "Hybrid_HWR"), [1]!readmissions[Score]), "No Match")</f>
        <v>14.3</v>
      </c>
    </row>
    <row r="804" spans="1:6" x14ac:dyDescent="0.2">
      <c r="A804" t="str">
        <f>[1]!hospitalinfo[[#This Row],[Facility ID]]</f>
        <v>070005</v>
      </c>
      <c r="B804" t="str">
        <f>[1]!hospitalinfo[[#This Row],[State]]</f>
        <v>CT</v>
      </c>
      <c r="C804" t="str">
        <f>[1]!hospitalinfo[[#This Row],[Hospital Type]]</f>
        <v>Acute Care Hospitals</v>
      </c>
      <c r="D804" t="str">
        <f>[1]!hospitalinfo[[#This Row],[Hospital Ownership]]</f>
        <v>Proprietary</v>
      </c>
      <c r="E804" cm="1">
        <f t="array" ref="E804">_xlfn.IFNA(_xlfn.XLOOKUP(1,([1]!hcahps[Facility ID] = clean[[#This Row],[Facility ID]]) * ([1]!hcahps[HCAHPS Measure ID] = "H_HSP_RATING_LINEAR_SCORE"), [1]!hcahps[HCAHPS Linear Mean Value]), "No Match")</f>
        <v>83</v>
      </c>
      <c r="F804" cm="1">
        <f t="array" ref="F804">_xlfn.IFNA(_xlfn.XLOOKUP(1,([1]!readmissions[Facility ID] = clean[[#This Row],[Facility ID]]) * ([1]!readmissions[Measure ID] = "Hybrid_HWR"), [1]!readmissions[Score]), "No Match")</f>
        <v>14.8</v>
      </c>
    </row>
    <row r="805" spans="1:6" x14ac:dyDescent="0.2">
      <c r="A805" t="str">
        <f>[1]!hospitalinfo[[#This Row],[Facility ID]]</f>
        <v>070006</v>
      </c>
      <c r="B805" t="str">
        <f>[1]!hospitalinfo[[#This Row],[State]]</f>
        <v>CT</v>
      </c>
      <c r="C805" t="str">
        <f>[1]!hospitalinfo[[#This Row],[Hospital Type]]</f>
        <v>Acute Care Hospitals</v>
      </c>
      <c r="D805" t="str">
        <f>[1]!hospitalinfo[[#This Row],[Hospital Ownership]]</f>
        <v>Voluntary non-profit - Private</v>
      </c>
      <c r="E805" cm="1">
        <f t="array" ref="E805">_xlfn.IFNA(_xlfn.XLOOKUP(1,([1]!hcahps[Facility ID] = clean[[#This Row],[Facility ID]]) * ([1]!hcahps[HCAHPS Measure ID] = "H_HSP_RATING_LINEAR_SCORE"), [1]!hcahps[HCAHPS Linear Mean Value]), "No Match")</f>
        <v>88</v>
      </c>
      <c r="F805" cm="1">
        <f t="array" ref="F805">_xlfn.IFNA(_xlfn.XLOOKUP(1,([1]!readmissions[Facility ID] = clean[[#This Row],[Facility ID]]) * ([1]!readmissions[Measure ID] = "Hybrid_HWR"), [1]!readmissions[Score]), "No Match")</f>
        <v>14.1</v>
      </c>
    </row>
    <row r="806" spans="1:6" x14ac:dyDescent="0.2">
      <c r="A806" t="str">
        <f>[1]!hospitalinfo[[#This Row],[Facility ID]]</f>
        <v>070007</v>
      </c>
      <c r="B806" t="str">
        <f>[1]!hospitalinfo[[#This Row],[State]]</f>
        <v>CT</v>
      </c>
      <c r="C806" t="str">
        <f>[1]!hospitalinfo[[#This Row],[Hospital Type]]</f>
        <v>Acute Care Hospitals</v>
      </c>
      <c r="D806" t="str">
        <f>[1]!hospitalinfo[[#This Row],[Hospital Ownership]]</f>
        <v>Voluntary non-profit - Private</v>
      </c>
      <c r="E806" cm="1">
        <f t="array" ref="E806">_xlfn.IFNA(_xlfn.XLOOKUP(1,([1]!hcahps[Facility ID] = clean[[#This Row],[Facility ID]]) * ([1]!hcahps[HCAHPS Measure ID] = "H_HSP_RATING_LINEAR_SCORE"), [1]!hcahps[HCAHPS Linear Mean Value]), "No Match")</f>
        <v>85</v>
      </c>
      <c r="F806" cm="1">
        <f t="array" ref="F806">_xlfn.IFNA(_xlfn.XLOOKUP(1,([1]!readmissions[Facility ID] = clean[[#This Row],[Facility ID]]) * ([1]!readmissions[Measure ID] = "Hybrid_HWR"), [1]!readmissions[Score]), "No Match")</f>
        <v>14.3</v>
      </c>
    </row>
    <row r="807" spans="1:6" x14ac:dyDescent="0.2">
      <c r="A807" t="str">
        <f>[1]!hospitalinfo[[#This Row],[Facility ID]]</f>
        <v>070008</v>
      </c>
      <c r="B807" t="str">
        <f>[1]!hospitalinfo[[#This Row],[State]]</f>
        <v>CT</v>
      </c>
      <c r="C807" t="str">
        <f>[1]!hospitalinfo[[#This Row],[Hospital Type]]</f>
        <v>Acute Care Hospitals</v>
      </c>
      <c r="D807" t="str">
        <f>[1]!hospitalinfo[[#This Row],[Hospital Ownership]]</f>
        <v>Voluntary non-profit - Private</v>
      </c>
      <c r="E807" cm="1">
        <f t="array" ref="E807">_xlfn.IFNA(_xlfn.XLOOKUP(1,([1]!hcahps[Facility ID] = clean[[#This Row],[Facility ID]]) * ([1]!hcahps[HCAHPS Measure ID] = "H_HSP_RATING_LINEAR_SCORE"), [1]!hcahps[HCAHPS Linear Mean Value]), "No Match")</f>
        <v>85</v>
      </c>
      <c r="F807" cm="1">
        <f t="array" ref="F807">_xlfn.IFNA(_xlfn.XLOOKUP(1,([1]!readmissions[Facility ID] = clean[[#This Row],[Facility ID]]) * ([1]!readmissions[Measure ID] = "Hybrid_HWR"), [1]!readmissions[Score]), "No Match")</f>
        <v>16</v>
      </c>
    </row>
    <row r="808" spans="1:6" x14ac:dyDescent="0.2">
      <c r="A808" t="str">
        <f>[1]!hospitalinfo[[#This Row],[Facility ID]]</f>
        <v>070010</v>
      </c>
      <c r="B808" t="str">
        <f>[1]!hospitalinfo[[#This Row],[State]]</f>
        <v>CT</v>
      </c>
      <c r="C808" t="str">
        <f>[1]!hospitalinfo[[#This Row],[Hospital Type]]</f>
        <v>Acute Care Hospitals</v>
      </c>
      <c r="D808" t="str">
        <f>[1]!hospitalinfo[[#This Row],[Hospital Ownership]]</f>
        <v>Voluntary non-profit - Private</v>
      </c>
      <c r="E808" cm="1">
        <f t="array" ref="E808">_xlfn.IFNA(_xlfn.XLOOKUP(1,([1]!hcahps[Facility ID] = clean[[#This Row],[Facility ID]]) * ([1]!hcahps[HCAHPS Measure ID] = "H_HSP_RATING_LINEAR_SCORE"), [1]!hcahps[HCAHPS Linear Mean Value]), "No Match")</f>
        <v>85</v>
      </c>
      <c r="F808" cm="1">
        <f t="array" ref="F808">_xlfn.IFNA(_xlfn.XLOOKUP(1,([1]!readmissions[Facility ID] = clean[[#This Row],[Facility ID]]) * ([1]!readmissions[Measure ID] = "Hybrid_HWR"), [1]!readmissions[Score]), "No Match")</f>
        <v>15.6</v>
      </c>
    </row>
    <row r="809" spans="1:6" x14ac:dyDescent="0.2">
      <c r="A809" t="str">
        <f>[1]!hospitalinfo[[#This Row],[Facility ID]]</f>
        <v>070011</v>
      </c>
      <c r="B809" t="str">
        <f>[1]!hospitalinfo[[#This Row],[State]]</f>
        <v>CT</v>
      </c>
      <c r="C809" t="str">
        <f>[1]!hospitalinfo[[#This Row],[Hospital Type]]</f>
        <v>Acute Care Hospitals</v>
      </c>
      <c r="D809" t="str">
        <f>[1]!hospitalinfo[[#This Row],[Hospital Ownership]]</f>
        <v>Voluntary non-profit - Private</v>
      </c>
      <c r="E809" cm="1">
        <f t="array" ref="E809">_xlfn.IFNA(_xlfn.XLOOKUP(1,([1]!hcahps[Facility ID] = clean[[#This Row],[Facility ID]]) * ([1]!hcahps[HCAHPS Measure ID] = "H_HSP_RATING_LINEAR_SCORE"), [1]!hcahps[HCAHPS Linear Mean Value]), "No Match")</f>
        <v>85</v>
      </c>
      <c r="F809" cm="1">
        <f t="array" ref="F809">_xlfn.IFNA(_xlfn.XLOOKUP(1,([1]!readmissions[Facility ID] = clean[[#This Row],[Facility ID]]) * ([1]!readmissions[Measure ID] = "Hybrid_HWR"), [1]!readmissions[Score]), "No Match")</f>
        <v>16.100000000000001</v>
      </c>
    </row>
    <row r="810" spans="1:6" x14ac:dyDescent="0.2">
      <c r="A810" t="str">
        <f>[1]!hospitalinfo[[#This Row],[Facility ID]]</f>
        <v>070016</v>
      </c>
      <c r="B810" t="str">
        <f>[1]!hospitalinfo[[#This Row],[State]]</f>
        <v>CT</v>
      </c>
      <c r="C810" t="str">
        <f>[1]!hospitalinfo[[#This Row],[Hospital Type]]</f>
        <v>Acute Care Hospitals</v>
      </c>
      <c r="D810" t="str">
        <f>[1]!hospitalinfo[[#This Row],[Hospital Ownership]]</f>
        <v>Voluntary non-profit - Church</v>
      </c>
      <c r="E810" cm="1">
        <f t="array" ref="E810">_xlfn.IFNA(_xlfn.XLOOKUP(1,([1]!hcahps[Facility ID] = clean[[#This Row],[Facility ID]]) * ([1]!hcahps[HCAHPS Measure ID] = "H_HSP_RATING_LINEAR_SCORE"), [1]!hcahps[HCAHPS Linear Mean Value]), "No Match")</f>
        <v>82</v>
      </c>
      <c r="F810" cm="1">
        <f t="array" ref="F810">_xlfn.IFNA(_xlfn.XLOOKUP(1,([1]!readmissions[Facility ID] = clean[[#This Row],[Facility ID]]) * ([1]!readmissions[Measure ID] = "Hybrid_HWR"), [1]!readmissions[Score]), "No Match")</f>
        <v>15.5</v>
      </c>
    </row>
    <row r="811" spans="1:6" x14ac:dyDescent="0.2">
      <c r="A811" t="str">
        <f>[1]!hospitalinfo[[#This Row],[Facility ID]]</f>
        <v>070017</v>
      </c>
      <c r="B811" t="str">
        <f>[1]!hospitalinfo[[#This Row],[State]]</f>
        <v>CT</v>
      </c>
      <c r="C811" t="str">
        <f>[1]!hospitalinfo[[#This Row],[Hospital Type]]</f>
        <v>Acute Care Hospitals</v>
      </c>
      <c r="D811" t="str">
        <f>[1]!hospitalinfo[[#This Row],[Hospital Ownership]]</f>
        <v>Voluntary non-profit - Private</v>
      </c>
      <c r="E811" cm="1">
        <f t="array" ref="E811">_xlfn.IFNA(_xlfn.XLOOKUP(1,([1]!hcahps[Facility ID] = clean[[#This Row],[Facility ID]]) * ([1]!hcahps[HCAHPS Measure ID] = "H_HSP_RATING_LINEAR_SCORE"), [1]!hcahps[HCAHPS Linear Mean Value]), "No Match")</f>
        <v>90</v>
      </c>
      <c r="F811" cm="1">
        <f t="array" ref="F811">_xlfn.IFNA(_xlfn.XLOOKUP(1,([1]!readmissions[Facility ID] = clean[[#This Row],[Facility ID]]) * ([1]!readmissions[Measure ID] = "Hybrid_HWR"), [1]!readmissions[Score]), "No Match")</f>
        <v>14.9</v>
      </c>
    </row>
    <row r="812" spans="1:6" x14ac:dyDescent="0.2">
      <c r="A812" t="str">
        <f>[1]!hospitalinfo[[#This Row],[Facility ID]]</f>
        <v>070018</v>
      </c>
      <c r="B812" t="str">
        <f>[1]!hospitalinfo[[#This Row],[State]]</f>
        <v>CT</v>
      </c>
      <c r="C812" t="str">
        <f>[1]!hospitalinfo[[#This Row],[Hospital Type]]</f>
        <v>Acute Care Hospitals</v>
      </c>
      <c r="D812" t="str">
        <f>[1]!hospitalinfo[[#This Row],[Hospital Ownership]]</f>
        <v>Voluntary non-profit - Private</v>
      </c>
      <c r="E812" cm="1">
        <f t="array" ref="E812">_xlfn.IFNA(_xlfn.XLOOKUP(1,([1]!hcahps[Facility ID] = clean[[#This Row],[Facility ID]]) * ([1]!hcahps[HCAHPS Measure ID] = "H_HSP_RATING_LINEAR_SCORE"), [1]!hcahps[HCAHPS Linear Mean Value]), "No Match")</f>
        <v>89</v>
      </c>
      <c r="F812" cm="1">
        <f t="array" ref="F812">_xlfn.IFNA(_xlfn.XLOOKUP(1,([1]!readmissions[Facility ID] = clean[[#This Row],[Facility ID]]) * ([1]!readmissions[Measure ID] = "Hybrid_HWR"), [1]!readmissions[Score]), "No Match")</f>
        <v>14.7</v>
      </c>
    </row>
    <row r="813" spans="1:6" x14ac:dyDescent="0.2">
      <c r="A813" t="str">
        <f>[1]!hospitalinfo[[#This Row],[Facility ID]]</f>
        <v>070020</v>
      </c>
      <c r="B813" t="str">
        <f>[1]!hospitalinfo[[#This Row],[State]]</f>
        <v>CT</v>
      </c>
      <c r="C813" t="str">
        <f>[1]!hospitalinfo[[#This Row],[Hospital Type]]</f>
        <v>Acute Care Hospitals</v>
      </c>
      <c r="D813" t="str">
        <f>[1]!hospitalinfo[[#This Row],[Hospital Ownership]]</f>
        <v>Voluntary non-profit - Private</v>
      </c>
      <c r="E813" cm="1">
        <f t="array" ref="E813">_xlfn.IFNA(_xlfn.XLOOKUP(1,([1]!hcahps[Facility ID] = clean[[#This Row],[Facility ID]]) * ([1]!hcahps[HCAHPS Measure ID] = "H_HSP_RATING_LINEAR_SCORE"), [1]!hcahps[HCAHPS Linear Mean Value]), "No Match")</f>
        <v>90</v>
      </c>
      <c r="F813" cm="1">
        <f t="array" ref="F813">_xlfn.IFNA(_xlfn.XLOOKUP(1,([1]!readmissions[Facility ID] = clean[[#This Row],[Facility ID]]) * ([1]!readmissions[Measure ID] = "Hybrid_HWR"), [1]!readmissions[Score]), "No Match")</f>
        <v>14.7</v>
      </c>
    </row>
    <row r="814" spans="1:6" x14ac:dyDescent="0.2">
      <c r="A814" t="str">
        <f>[1]!hospitalinfo[[#This Row],[Facility ID]]</f>
        <v>070021</v>
      </c>
      <c r="B814" t="str">
        <f>[1]!hospitalinfo[[#This Row],[State]]</f>
        <v>CT</v>
      </c>
      <c r="C814" t="str">
        <f>[1]!hospitalinfo[[#This Row],[Hospital Type]]</f>
        <v>Acute Care Hospitals</v>
      </c>
      <c r="D814" t="str">
        <f>[1]!hospitalinfo[[#This Row],[Hospital Ownership]]</f>
        <v>Voluntary non-profit - Private</v>
      </c>
      <c r="E814" cm="1">
        <f t="array" ref="E814">_xlfn.IFNA(_xlfn.XLOOKUP(1,([1]!hcahps[Facility ID] = clean[[#This Row],[Facility ID]]) * ([1]!hcahps[HCAHPS Measure ID] = "H_HSP_RATING_LINEAR_SCORE"), [1]!hcahps[HCAHPS Linear Mean Value]), "No Match")</f>
        <v>87</v>
      </c>
      <c r="F814" cm="1">
        <f t="array" ref="F814">_xlfn.IFNA(_xlfn.XLOOKUP(1,([1]!readmissions[Facility ID] = clean[[#This Row],[Facility ID]]) * ([1]!readmissions[Measure ID] = "Hybrid_HWR"), [1]!readmissions[Score]), "No Match")</f>
        <v>15.2</v>
      </c>
    </row>
    <row r="815" spans="1:6" x14ac:dyDescent="0.2">
      <c r="A815" t="str">
        <f>[1]!hospitalinfo[[#This Row],[Facility ID]]</f>
        <v>070022</v>
      </c>
      <c r="B815" t="str">
        <f>[1]!hospitalinfo[[#This Row],[State]]</f>
        <v>CT</v>
      </c>
      <c r="C815" t="str">
        <f>[1]!hospitalinfo[[#This Row],[Hospital Type]]</f>
        <v>Acute Care Hospitals</v>
      </c>
      <c r="D815" t="str">
        <f>[1]!hospitalinfo[[#This Row],[Hospital Ownership]]</f>
        <v>Voluntary non-profit - Private</v>
      </c>
      <c r="E815" cm="1">
        <f t="array" ref="E815">_xlfn.IFNA(_xlfn.XLOOKUP(1,([1]!hcahps[Facility ID] = clean[[#This Row],[Facility ID]]) * ([1]!hcahps[HCAHPS Measure ID] = "H_HSP_RATING_LINEAR_SCORE"), [1]!hcahps[HCAHPS Linear Mean Value]), "No Match")</f>
        <v>85</v>
      </c>
      <c r="F815" cm="1">
        <f t="array" ref="F815">_xlfn.IFNA(_xlfn.XLOOKUP(1,([1]!readmissions[Facility ID] = clean[[#This Row],[Facility ID]]) * ([1]!readmissions[Measure ID] = "Hybrid_HWR"), [1]!readmissions[Score]), "No Match")</f>
        <v>14.2</v>
      </c>
    </row>
    <row r="816" spans="1:6" x14ac:dyDescent="0.2">
      <c r="A816" t="str">
        <f>[1]!hospitalinfo[[#This Row],[Facility ID]]</f>
        <v>070024</v>
      </c>
      <c r="B816" t="str">
        <f>[1]!hospitalinfo[[#This Row],[State]]</f>
        <v>CT</v>
      </c>
      <c r="C816" t="str">
        <f>[1]!hospitalinfo[[#This Row],[Hospital Type]]</f>
        <v>Acute Care Hospitals</v>
      </c>
      <c r="D816" t="str">
        <f>[1]!hospitalinfo[[#This Row],[Hospital Ownership]]</f>
        <v>Voluntary non-profit - Other</v>
      </c>
      <c r="E816" cm="1">
        <f t="array" ref="E816">_xlfn.IFNA(_xlfn.XLOOKUP(1,([1]!hcahps[Facility ID] = clean[[#This Row],[Facility ID]]) * ([1]!hcahps[HCAHPS Measure ID] = "H_HSP_RATING_LINEAR_SCORE"), [1]!hcahps[HCAHPS Linear Mean Value]), "No Match")</f>
        <v>84</v>
      </c>
      <c r="F816" cm="1">
        <f t="array" ref="F816">_xlfn.IFNA(_xlfn.XLOOKUP(1,([1]!readmissions[Facility ID] = clean[[#This Row],[Facility ID]]) * ([1]!readmissions[Measure ID] = "Hybrid_HWR"), [1]!readmissions[Score]), "No Match")</f>
        <v>14.4</v>
      </c>
    </row>
    <row r="817" spans="1:6" x14ac:dyDescent="0.2">
      <c r="A817" t="str">
        <f>[1]!hospitalinfo[[#This Row],[Facility ID]]</f>
        <v>070025</v>
      </c>
      <c r="B817" t="str">
        <f>[1]!hospitalinfo[[#This Row],[State]]</f>
        <v>CT</v>
      </c>
      <c r="C817" t="str">
        <f>[1]!hospitalinfo[[#This Row],[Hospital Type]]</f>
        <v>Acute Care Hospitals</v>
      </c>
      <c r="D817" t="str">
        <f>[1]!hospitalinfo[[#This Row],[Hospital Ownership]]</f>
        <v>Voluntary non-profit - Private</v>
      </c>
      <c r="E817" cm="1">
        <f t="array" ref="E817">_xlfn.IFNA(_xlfn.XLOOKUP(1,([1]!hcahps[Facility ID] = clean[[#This Row],[Facility ID]]) * ([1]!hcahps[HCAHPS Measure ID] = "H_HSP_RATING_LINEAR_SCORE"), [1]!hcahps[HCAHPS Linear Mean Value]), "No Match")</f>
        <v>84</v>
      </c>
      <c r="F817" cm="1">
        <f t="array" ref="F817">_xlfn.IFNA(_xlfn.XLOOKUP(1,([1]!readmissions[Facility ID] = clean[[#This Row],[Facility ID]]) * ([1]!readmissions[Measure ID] = "Hybrid_HWR"), [1]!readmissions[Score]), "No Match")</f>
        <v>15.5</v>
      </c>
    </row>
    <row r="818" spans="1:6" x14ac:dyDescent="0.2">
      <c r="A818" t="str">
        <f>[1]!hospitalinfo[[#This Row],[Facility ID]]</f>
        <v>070027</v>
      </c>
      <c r="B818" t="str">
        <f>[1]!hospitalinfo[[#This Row],[State]]</f>
        <v>CT</v>
      </c>
      <c r="C818" t="str">
        <f>[1]!hospitalinfo[[#This Row],[Hospital Type]]</f>
        <v>Acute Care Hospitals</v>
      </c>
      <c r="D818" t="str">
        <f>[1]!hospitalinfo[[#This Row],[Hospital Ownership]]</f>
        <v>Proprietary</v>
      </c>
      <c r="E818" cm="1">
        <f t="array" ref="E818">_xlfn.IFNA(_xlfn.XLOOKUP(1,([1]!hcahps[Facility ID] = clean[[#This Row],[Facility ID]]) * ([1]!hcahps[HCAHPS Measure ID] = "H_HSP_RATING_LINEAR_SCORE"), [1]!hcahps[HCAHPS Linear Mean Value]), "No Match")</f>
        <v>84</v>
      </c>
      <c r="F818" cm="1">
        <f t="array" ref="F818">_xlfn.IFNA(_xlfn.XLOOKUP(1,([1]!readmissions[Facility ID] = clean[[#This Row],[Facility ID]]) * ([1]!readmissions[Measure ID] = "Hybrid_HWR"), [1]!readmissions[Score]), "No Match")</f>
        <v>14.9</v>
      </c>
    </row>
    <row r="819" spans="1:6" x14ac:dyDescent="0.2">
      <c r="A819" t="str">
        <f>[1]!hospitalinfo[[#This Row],[Facility ID]]</f>
        <v>070028</v>
      </c>
      <c r="B819" t="str">
        <f>[1]!hospitalinfo[[#This Row],[State]]</f>
        <v>CT</v>
      </c>
      <c r="C819" t="str">
        <f>[1]!hospitalinfo[[#This Row],[Hospital Type]]</f>
        <v>Acute Care Hospitals</v>
      </c>
      <c r="D819" t="str">
        <f>[1]!hospitalinfo[[#This Row],[Hospital Ownership]]</f>
        <v>Voluntary non-profit - Private</v>
      </c>
      <c r="E819" cm="1">
        <f t="array" ref="E819">_xlfn.IFNA(_xlfn.XLOOKUP(1,([1]!hcahps[Facility ID] = clean[[#This Row],[Facility ID]]) * ([1]!hcahps[HCAHPS Measure ID] = "H_HSP_RATING_LINEAR_SCORE"), [1]!hcahps[HCAHPS Linear Mean Value]), "No Match")</f>
        <v>87</v>
      </c>
      <c r="F819" cm="1">
        <f t="array" ref="F819">_xlfn.IFNA(_xlfn.XLOOKUP(1,([1]!readmissions[Facility ID] = clean[[#This Row],[Facility ID]]) * ([1]!readmissions[Measure ID] = "Hybrid_HWR"), [1]!readmissions[Score]), "No Match")</f>
        <v>14</v>
      </c>
    </row>
    <row r="820" spans="1:6" x14ac:dyDescent="0.2">
      <c r="A820" t="str">
        <f>[1]!hospitalinfo[[#This Row],[Facility ID]]</f>
        <v>070029</v>
      </c>
      <c r="B820" t="str">
        <f>[1]!hospitalinfo[[#This Row],[State]]</f>
        <v>CT</v>
      </c>
      <c r="C820" t="str">
        <f>[1]!hospitalinfo[[#This Row],[Hospital Type]]</f>
        <v>Acute Care Hospitals</v>
      </c>
      <c r="D820" t="str">
        <f>[1]!hospitalinfo[[#This Row],[Hospital Ownership]]</f>
        <v>Voluntary non-profit - Private</v>
      </c>
      <c r="E820" cm="1">
        <f t="array" ref="E820">_xlfn.IFNA(_xlfn.XLOOKUP(1,([1]!hcahps[Facility ID] = clean[[#This Row],[Facility ID]]) * ([1]!hcahps[HCAHPS Measure ID] = "H_HSP_RATING_LINEAR_SCORE"), [1]!hcahps[HCAHPS Linear Mean Value]), "No Match")</f>
        <v>86</v>
      </c>
      <c r="F820" cm="1">
        <f t="array" ref="F820">_xlfn.IFNA(_xlfn.XLOOKUP(1,([1]!readmissions[Facility ID] = clean[[#This Row],[Facility ID]]) * ([1]!readmissions[Measure ID] = "Hybrid_HWR"), [1]!readmissions[Score]), "No Match")</f>
        <v>16</v>
      </c>
    </row>
    <row r="821" spans="1:6" x14ac:dyDescent="0.2">
      <c r="A821" t="str">
        <f>[1]!hospitalinfo[[#This Row],[Facility ID]]</f>
        <v>070031</v>
      </c>
      <c r="B821" t="str">
        <f>[1]!hospitalinfo[[#This Row],[State]]</f>
        <v>CT</v>
      </c>
      <c r="C821" t="str">
        <f>[1]!hospitalinfo[[#This Row],[Hospital Type]]</f>
        <v>Acute Care Hospitals</v>
      </c>
      <c r="D821" t="str">
        <f>[1]!hospitalinfo[[#This Row],[Hospital Ownership]]</f>
        <v>Voluntary non-profit - Other</v>
      </c>
      <c r="E821" cm="1">
        <f t="array" ref="E821">_xlfn.IFNA(_xlfn.XLOOKUP(1,([1]!hcahps[Facility ID] = clean[[#This Row],[Facility ID]]) * ([1]!hcahps[HCAHPS Measure ID] = "H_HSP_RATING_LINEAR_SCORE"), [1]!hcahps[HCAHPS Linear Mean Value]), "No Match")</f>
        <v>90</v>
      </c>
      <c r="F821" cm="1">
        <f t="array" ref="F821">_xlfn.IFNA(_xlfn.XLOOKUP(1,([1]!readmissions[Facility ID] = clean[[#This Row],[Facility ID]]) * ([1]!readmissions[Measure ID] = "Hybrid_HWR"), [1]!readmissions[Score]), "No Match")</f>
        <v>13.6</v>
      </c>
    </row>
    <row r="822" spans="1:6" x14ac:dyDescent="0.2">
      <c r="A822" t="str">
        <f>[1]!hospitalinfo[[#This Row],[Facility ID]]</f>
        <v>070033</v>
      </c>
      <c r="B822" t="str">
        <f>[1]!hospitalinfo[[#This Row],[State]]</f>
        <v>CT</v>
      </c>
      <c r="C822" t="str">
        <f>[1]!hospitalinfo[[#This Row],[Hospital Type]]</f>
        <v>Acute Care Hospitals</v>
      </c>
      <c r="D822" t="str">
        <f>[1]!hospitalinfo[[#This Row],[Hospital Ownership]]</f>
        <v>Voluntary non-profit - Private</v>
      </c>
      <c r="E822" cm="1">
        <f t="array" ref="E822">_xlfn.IFNA(_xlfn.XLOOKUP(1,([1]!hcahps[Facility ID] = clean[[#This Row],[Facility ID]]) * ([1]!hcahps[HCAHPS Measure ID] = "H_HSP_RATING_LINEAR_SCORE"), [1]!hcahps[HCAHPS Linear Mean Value]), "No Match")</f>
        <v>88</v>
      </c>
      <c r="F822" cm="1">
        <f t="array" ref="F822">_xlfn.IFNA(_xlfn.XLOOKUP(1,([1]!readmissions[Facility ID] = clean[[#This Row],[Facility ID]]) * ([1]!readmissions[Measure ID] = "Hybrid_HWR"), [1]!readmissions[Score]), "No Match")</f>
        <v>15.4</v>
      </c>
    </row>
    <row r="823" spans="1:6" x14ac:dyDescent="0.2">
      <c r="A823" t="str">
        <f>[1]!hospitalinfo[[#This Row],[Facility ID]]</f>
        <v>070034</v>
      </c>
      <c r="B823" t="str">
        <f>[1]!hospitalinfo[[#This Row],[State]]</f>
        <v>CT</v>
      </c>
      <c r="C823" t="str">
        <f>[1]!hospitalinfo[[#This Row],[Hospital Type]]</f>
        <v>Acute Care Hospitals</v>
      </c>
      <c r="D823" t="str">
        <f>[1]!hospitalinfo[[#This Row],[Hospital Ownership]]</f>
        <v>Voluntary non-profit - Private</v>
      </c>
      <c r="E823" cm="1">
        <f t="array" ref="E823">_xlfn.IFNA(_xlfn.XLOOKUP(1,([1]!hcahps[Facility ID] = clean[[#This Row],[Facility ID]]) * ([1]!hcahps[HCAHPS Measure ID] = "H_HSP_RATING_LINEAR_SCORE"), [1]!hcahps[HCAHPS Linear Mean Value]), "No Match")</f>
        <v>87</v>
      </c>
      <c r="F823" cm="1">
        <f t="array" ref="F823">_xlfn.IFNA(_xlfn.XLOOKUP(1,([1]!readmissions[Facility ID] = clean[[#This Row],[Facility ID]]) * ([1]!readmissions[Measure ID] = "Hybrid_HWR"), [1]!readmissions[Score]), "No Match")</f>
        <v>14.7</v>
      </c>
    </row>
    <row r="824" spans="1:6" x14ac:dyDescent="0.2">
      <c r="A824" t="str">
        <f>[1]!hospitalinfo[[#This Row],[Facility ID]]</f>
        <v>070035</v>
      </c>
      <c r="B824" t="str">
        <f>[1]!hospitalinfo[[#This Row],[State]]</f>
        <v>CT</v>
      </c>
      <c r="C824" t="str">
        <f>[1]!hospitalinfo[[#This Row],[Hospital Type]]</f>
        <v>Acute Care Hospitals</v>
      </c>
      <c r="D824" t="str">
        <f>[1]!hospitalinfo[[#This Row],[Hospital Ownership]]</f>
        <v>Voluntary non-profit - Other</v>
      </c>
      <c r="E824" cm="1">
        <f t="array" ref="E824">_xlfn.IFNA(_xlfn.XLOOKUP(1,([1]!hcahps[Facility ID] = clean[[#This Row],[Facility ID]]) * ([1]!hcahps[HCAHPS Measure ID] = "H_HSP_RATING_LINEAR_SCORE"), [1]!hcahps[HCAHPS Linear Mean Value]), "No Match")</f>
        <v>85</v>
      </c>
      <c r="F824" cm="1">
        <f t="array" ref="F824">_xlfn.IFNA(_xlfn.XLOOKUP(1,([1]!readmissions[Facility ID] = clean[[#This Row],[Facility ID]]) * ([1]!readmissions[Measure ID] = "Hybrid_HWR"), [1]!readmissions[Score]), "No Match")</f>
        <v>14.6</v>
      </c>
    </row>
    <row r="825" spans="1:6" x14ac:dyDescent="0.2">
      <c r="A825" t="str">
        <f>[1]!hospitalinfo[[#This Row],[Facility ID]]</f>
        <v>070036</v>
      </c>
      <c r="B825" t="str">
        <f>[1]!hospitalinfo[[#This Row],[State]]</f>
        <v>CT</v>
      </c>
      <c r="C825" t="str">
        <f>[1]!hospitalinfo[[#This Row],[Hospital Type]]</f>
        <v>Acute Care Hospitals</v>
      </c>
      <c r="D825" t="str">
        <f>[1]!hospitalinfo[[#This Row],[Hospital Ownership]]</f>
        <v>Government - Local</v>
      </c>
      <c r="E825" cm="1">
        <f t="array" ref="E825">_xlfn.IFNA(_xlfn.XLOOKUP(1,([1]!hcahps[Facility ID] = clean[[#This Row],[Facility ID]]) * ([1]!hcahps[HCAHPS Measure ID] = "H_HSP_RATING_LINEAR_SCORE"), [1]!hcahps[HCAHPS Linear Mean Value]), "No Match")</f>
        <v>91</v>
      </c>
      <c r="F825" cm="1">
        <f t="array" ref="F825">_xlfn.IFNA(_xlfn.XLOOKUP(1,([1]!readmissions[Facility ID] = clean[[#This Row],[Facility ID]]) * ([1]!readmissions[Measure ID] = "Hybrid_HWR"), [1]!readmissions[Score]), "No Match")</f>
        <v>14.8</v>
      </c>
    </row>
    <row r="826" spans="1:6" x14ac:dyDescent="0.2">
      <c r="A826" t="str">
        <f>[1]!hospitalinfo[[#This Row],[Facility ID]]</f>
        <v>070038</v>
      </c>
      <c r="B826" t="str">
        <f>[1]!hospitalinfo[[#This Row],[State]]</f>
        <v>CT</v>
      </c>
      <c r="C826" t="str">
        <f>[1]!hospitalinfo[[#This Row],[Hospital Type]]</f>
        <v>Acute Care Hospitals</v>
      </c>
      <c r="D826" t="str">
        <f>[1]!hospitalinfo[[#This Row],[Hospital Ownership]]</f>
        <v>Voluntary non-profit - Private</v>
      </c>
      <c r="E826" t="str" cm="1">
        <f t="array" ref="E826">_xlfn.IFNA(_xlfn.XLOOKUP(1,([1]!hcahps[Facility ID] = clean[[#This Row],[Facility ID]]) * ([1]!hcahps[HCAHPS Measure ID] = "H_HSP_RATING_LINEAR_SCORE"), [1]!hcahps[HCAHPS Linear Mean Value]), "No Match")</f>
        <v>Not Available</v>
      </c>
      <c r="F826" t="str" cm="1">
        <f t="array" ref="F826">_xlfn.IFNA(_xlfn.XLOOKUP(1,([1]!readmissions[Facility ID] = clean[[#This Row],[Facility ID]]) * ([1]!readmissions[Measure ID] = "Hybrid_HWR"), [1]!readmissions[Score]), "No Match")</f>
        <v>Not Available</v>
      </c>
    </row>
    <row r="827" spans="1:6" x14ac:dyDescent="0.2">
      <c r="A827" t="str">
        <f>[1]!hospitalinfo[[#This Row],[Facility ID]]</f>
        <v>07003F</v>
      </c>
      <c r="B827" t="str">
        <f>[1]!hospitalinfo[[#This Row],[State]]</f>
        <v>CT</v>
      </c>
      <c r="C827" t="str">
        <f>[1]!hospitalinfo[[#This Row],[Hospital Type]]</f>
        <v>Acute Care - Veterans Administration</v>
      </c>
      <c r="D827" t="str">
        <f>[1]!hospitalinfo[[#This Row],[Hospital Ownership]]</f>
        <v>Veterans Health Administration</v>
      </c>
      <c r="E827" cm="1">
        <f t="array" ref="E827">_xlfn.IFNA(_xlfn.XLOOKUP(1,([1]!hcahps[Facility ID] = clean[[#This Row],[Facility ID]]) * ([1]!hcahps[HCAHPS Measure ID] = "H_HSP_RATING_LINEAR_SCORE"), [1]!hcahps[HCAHPS Linear Mean Value]), "No Match")</f>
        <v>90</v>
      </c>
      <c r="F827" cm="1">
        <f t="array" ref="F827">_xlfn.IFNA(_xlfn.XLOOKUP(1,([1]!readmissions[Facility ID] = clean[[#This Row],[Facility ID]]) * ([1]!readmissions[Measure ID] = "Hybrid_HWR"), [1]!readmissions[Score]), "No Match")</f>
        <v>15.6</v>
      </c>
    </row>
    <row r="828" spans="1:6" x14ac:dyDescent="0.2">
      <c r="A828" t="str">
        <f>[1]!hospitalinfo[[#This Row],[Facility ID]]</f>
        <v>073300</v>
      </c>
      <c r="B828" t="str">
        <f>[1]!hospitalinfo[[#This Row],[State]]</f>
        <v>CT</v>
      </c>
      <c r="C828" t="str">
        <f>[1]!hospitalinfo[[#This Row],[Hospital Type]]</f>
        <v>Childrens</v>
      </c>
      <c r="D828" t="str">
        <f>[1]!hospitalinfo[[#This Row],[Hospital Ownership]]</f>
        <v>Voluntary non-profit - Private</v>
      </c>
      <c r="E828" t="str" cm="1">
        <f t="array" ref="E828">_xlfn.IFNA(_xlfn.XLOOKUP(1,([1]!hcahps[Facility ID] = clean[[#This Row],[Facility ID]]) * ([1]!hcahps[HCAHPS Measure ID] = "H_HSP_RATING_LINEAR_SCORE"), [1]!hcahps[HCAHPS Linear Mean Value]), "No Match")</f>
        <v>Not Available</v>
      </c>
      <c r="F828" t="str" cm="1">
        <f t="array" ref="F828">_xlfn.IFNA(_xlfn.XLOOKUP(1,([1]!readmissions[Facility ID] = clean[[#This Row],[Facility ID]]) * ([1]!readmissions[Measure ID] = "Hybrid_HWR"), [1]!readmissions[Score]), "No Match")</f>
        <v>Not Available</v>
      </c>
    </row>
    <row r="829" spans="1:6" x14ac:dyDescent="0.2">
      <c r="A829" t="str">
        <f>[1]!hospitalinfo[[#This Row],[Facility ID]]</f>
        <v>074003</v>
      </c>
      <c r="B829" t="str">
        <f>[1]!hospitalinfo[[#This Row],[State]]</f>
        <v>CT</v>
      </c>
      <c r="C829" t="str">
        <f>[1]!hospitalinfo[[#This Row],[Hospital Type]]</f>
        <v>Psychiatric</v>
      </c>
      <c r="D829" t="str">
        <f>[1]!hospitalinfo[[#This Row],[Hospital Ownership]]</f>
        <v>Government - State</v>
      </c>
      <c r="E829" t="str" cm="1">
        <f t="array" ref="E829">_xlfn.IFNA(_xlfn.XLOOKUP(1,([1]!hcahps[Facility ID] = clean[[#This Row],[Facility ID]]) * ([1]!hcahps[HCAHPS Measure ID] = "H_HSP_RATING_LINEAR_SCORE"), [1]!hcahps[HCAHPS Linear Mean Value]), "No Match")</f>
        <v>No Match</v>
      </c>
      <c r="F829" t="str" cm="1">
        <f t="array" ref="F829">_xlfn.IFNA(_xlfn.XLOOKUP(1,([1]!readmissions[Facility ID] = clean[[#This Row],[Facility ID]]) * ([1]!readmissions[Measure ID] = "Hybrid_HWR"), [1]!readmissions[Score]), "No Match")</f>
        <v>No Match</v>
      </c>
    </row>
    <row r="830" spans="1:6" x14ac:dyDescent="0.2">
      <c r="A830" t="str">
        <f>[1]!hospitalinfo[[#This Row],[Facility ID]]</f>
        <v>074008</v>
      </c>
      <c r="B830" t="str">
        <f>[1]!hospitalinfo[[#This Row],[State]]</f>
        <v>CT</v>
      </c>
      <c r="C830" t="str">
        <f>[1]!hospitalinfo[[#This Row],[Hospital Type]]</f>
        <v>Psychiatric</v>
      </c>
      <c r="D830" t="str">
        <f>[1]!hospitalinfo[[#This Row],[Hospital Ownership]]</f>
        <v>Voluntary non-profit - Private</v>
      </c>
      <c r="E830" t="str" cm="1">
        <f t="array" ref="E830">_xlfn.IFNA(_xlfn.XLOOKUP(1,([1]!hcahps[Facility ID] = clean[[#This Row],[Facility ID]]) * ([1]!hcahps[HCAHPS Measure ID] = "H_HSP_RATING_LINEAR_SCORE"), [1]!hcahps[HCAHPS Linear Mean Value]), "No Match")</f>
        <v>No Match</v>
      </c>
      <c r="F830" t="str" cm="1">
        <f t="array" ref="F830">_xlfn.IFNA(_xlfn.XLOOKUP(1,([1]!readmissions[Facility ID] = clean[[#This Row],[Facility ID]]) * ([1]!readmissions[Measure ID] = "Hybrid_HWR"), [1]!readmissions[Score]), "No Match")</f>
        <v>No Match</v>
      </c>
    </row>
    <row r="831" spans="1:6" x14ac:dyDescent="0.2">
      <c r="A831" t="str">
        <f>[1]!hospitalinfo[[#This Row],[Facility ID]]</f>
        <v>074011</v>
      </c>
      <c r="B831" t="str">
        <f>[1]!hospitalinfo[[#This Row],[State]]</f>
        <v>CT</v>
      </c>
      <c r="C831" t="str">
        <f>[1]!hospitalinfo[[#This Row],[Hospital Type]]</f>
        <v>Psychiatric</v>
      </c>
      <c r="D831" t="str">
        <f>[1]!hospitalinfo[[#This Row],[Hospital Ownership]]</f>
        <v>Government - State</v>
      </c>
      <c r="E831" t="str" cm="1">
        <f t="array" ref="E831">_xlfn.IFNA(_xlfn.XLOOKUP(1,([1]!hcahps[Facility ID] = clean[[#This Row],[Facility ID]]) * ([1]!hcahps[HCAHPS Measure ID] = "H_HSP_RATING_LINEAR_SCORE"), [1]!hcahps[HCAHPS Linear Mean Value]), "No Match")</f>
        <v>No Match</v>
      </c>
      <c r="F831" t="str" cm="1">
        <f t="array" ref="F831">_xlfn.IFNA(_xlfn.XLOOKUP(1,([1]!readmissions[Facility ID] = clean[[#This Row],[Facility ID]]) * ([1]!readmissions[Measure ID] = "Hybrid_HWR"), [1]!readmissions[Score]), "No Match")</f>
        <v>No Match</v>
      </c>
    </row>
    <row r="832" spans="1:6" x14ac:dyDescent="0.2">
      <c r="A832" t="str">
        <f>[1]!hospitalinfo[[#This Row],[Facility ID]]</f>
        <v>074012</v>
      </c>
      <c r="B832" t="str">
        <f>[1]!hospitalinfo[[#This Row],[State]]</f>
        <v>CT</v>
      </c>
      <c r="C832" t="str">
        <f>[1]!hospitalinfo[[#This Row],[Hospital Type]]</f>
        <v>Psychiatric</v>
      </c>
      <c r="D832" t="str">
        <f>[1]!hospitalinfo[[#This Row],[Hospital Ownership]]</f>
        <v>Government - State</v>
      </c>
      <c r="E832" t="str" cm="1">
        <f t="array" ref="E832">_xlfn.IFNA(_xlfn.XLOOKUP(1,([1]!hcahps[Facility ID] = clean[[#This Row],[Facility ID]]) * ([1]!hcahps[HCAHPS Measure ID] = "H_HSP_RATING_LINEAR_SCORE"), [1]!hcahps[HCAHPS Linear Mean Value]), "No Match")</f>
        <v>No Match</v>
      </c>
      <c r="F832" t="str" cm="1">
        <f t="array" ref="F832">_xlfn.IFNA(_xlfn.XLOOKUP(1,([1]!readmissions[Facility ID] = clean[[#This Row],[Facility ID]]) * ([1]!readmissions[Measure ID] = "Hybrid_HWR"), [1]!readmissions[Score]), "No Match")</f>
        <v>No Match</v>
      </c>
    </row>
    <row r="833" spans="1:6" x14ac:dyDescent="0.2">
      <c r="A833" t="str">
        <f>[1]!hospitalinfo[[#This Row],[Facility ID]]</f>
        <v>074014</v>
      </c>
      <c r="B833" t="str">
        <f>[1]!hospitalinfo[[#This Row],[State]]</f>
        <v>CT</v>
      </c>
      <c r="C833" t="str">
        <f>[1]!hospitalinfo[[#This Row],[Hospital Type]]</f>
        <v>Psychiatric</v>
      </c>
      <c r="D833" t="str">
        <f>[1]!hospitalinfo[[#This Row],[Hospital Ownership]]</f>
        <v>Government - Federal</v>
      </c>
      <c r="E833" t="str" cm="1">
        <f t="array" ref="E833">_xlfn.IFNA(_xlfn.XLOOKUP(1,([1]!hcahps[Facility ID] = clean[[#This Row],[Facility ID]]) * ([1]!hcahps[HCAHPS Measure ID] = "H_HSP_RATING_LINEAR_SCORE"), [1]!hcahps[HCAHPS Linear Mean Value]), "No Match")</f>
        <v>No Match</v>
      </c>
      <c r="F833" t="str" cm="1">
        <f t="array" ref="F833">_xlfn.IFNA(_xlfn.XLOOKUP(1,([1]!readmissions[Facility ID] = clean[[#This Row],[Facility ID]]) * ([1]!readmissions[Measure ID] = "Hybrid_HWR"), [1]!readmissions[Score]), "No Match")</f>
        <v>No Match</v>
      </c>
    </row>
    <row r="834" spans="1:6" x14ac:dyDescent="0.2">
      <c r="A834" t="str">
        <f>[1]!hospitalinfo[[#This Row],[Facility ID]]</f>
        <v>074015</v>
      </c>
      <c r="B834" t="str">
        <f>[1]!hospitalinfo[[#This Row],[State]]</f>
        <v>CT</v>
      </c>
      <c r="C834" t="str">
        <f>[1]!hospitalinfo[[#This Row],[Hospital Type]]</f>
        <v>Psychiatric</v>
      </c>
      <c r="D834" t="str">
        <f>[1]!hospitalinfo[[#This Row],[Hospital Ownership]]</f>
        <v>Government - State</v>
      </c>
      <c r="E834" t="str" cm="1">
        <f t="array" ref="E834">_xlfn.IFNA(_xlfn.XLOOKUP(1,([1]!hcahps[Facility ID] = clean[[#This Row],[Facility ID]]) * ([1]!hcahps[HCAHPS Measure ID] = "H_HSP_RATING_LINEAR_SCORE"), [1]!hcahps[HCAHPS Linear Mean Value]), "No Match")</f>
        <v>No Match</v>
      </c>
      <c r="F834" t="str" cm="1">
        <f t="array" ref="F834">_xlfn.IFNA(_xlfn.XLOOKUP(1,([1]!readmissions[Facility ID] = clean[[#This Row],[Facility ID]]) * ([1]!readmissions[Measure ID] = "Hybrid_HWR"), [1]!readmissions[Score]), "No Match")</f>
        <v>No Match</v>
      </c>
    </row>
    <row r="835" spans="1:6" x14ac:dyDescent="0.2">
      <c r="A835" t="str">
        <f>[1]!hospitalinfo[[#This Row],[Facility ID]]</f>
        <v>074016</v>
      </c>
      <c r="B835" t="str">
        <f>[1]!hospitalinfo[[#This Row],[State]]</f>
        <v>CT</v>
      </c>
      <c r="C835" t="str">
        <f>[1]!hospitalinfo[[#This Row],[Hospital Type]]</f>
        <v>Psychiatric</v>
      </c>
      <c r="D835" t="str">
        <f>[1]!hospitalinfo[[#This Row],[Hospital Ownership]]</f>
        <v>Voluntary non-profit - Private</v>
      </c>
      <c r="E835" t="str" cm="1">
        <f t="array" ref="E835">_xlfn.IFNA(_xlfn.XLOOKUP(1,([1]!hcahps[Facility ID] = clean[[#This Row],[Facility ID]]) * ([1]!hcahps[HCAHPS Measure ID] = "H_HSP_RATING_LINEAR_SCORE"), [1]!hcahps[HCAHPS Linear Mean Value]), "No Match")</f>
        <v>No Match</v>
      </c>
      <c r="F835" t="str" cm="1">
        <f t="array" ref="F835">_xlfn.IFNA(_xlfn.XLOOKUP(1,([1]!readmissions[Facility ID] = clean[[#This Row],[Facility ID]]) * ([1]!readmissions[Measure ID] = "Hybrid_HWR"), [1]!readmissions[Score]), "No Match")</f>
        <v>No Match</v>
      </c>
    </row>
    <row r="836" spans="1:6" x14ac:dyDescent="0.2">
      <c r="A836" t="str">
        <f>[1]!hospitalinfo[[#This Row],[Facility ID]]</f>
        <v>074017</v>
      </c>
      <c r="B836" t="str">
        <f>[1]!hospitalinfo[[#This Row],[State]]</f>
        <v>CT</v>
      </c>
      <c r="C836" t="str">
        <f>[1]!hospitalinfo[[#This Row],[Hospital Type]]</f>
        <v>Psychiatric</v>
      </c>
      <c r="D836" t="str">
        <f>[1]!hospitalinfo[[#This Row],[Hospital Ownership]]</f>
        <v>Voluntary non-profit - Private</v>
      </c>
      <c r="E836" t="str" cm="1">
        <f t="array" ref="E836">_xlfn.IFNA(_xlfn.XLOOKUP(1,([1]!hcahps[Facility ID] = clean[[#This Row],[Facility ID]]) * ([1]!hcahps[HCAHPS Measure ID] = "H_HSP_RATING_LINEAR_SCORE"), [1]!hcahps[HCAHPS Linear Mean Value]), "No Match")</f>
        <v>No Match</v>
      </c>
      <c r="F836" t="str" cm="1">
        <f t="array" ref="F836">_xlfn.IFNA(_xlfn.XLOOKUP(1,([1]!readmissions[Facility ID] = clean[[#This Row],[Facility ID]]) * ([1]!readmissions[Measure ID] = "Hybrid_HWR"), [1]!readmissions[Score]), "No Match")</f>
        <v>No Match</v>
      </c>
    </row>
    <row r="837" spans="1:6" x14ac:dyDescent="0.2">
      <c r="A837" t="str">
        <f>[1]!hospitalinfo[[#This Row],[Facility ID]]</f>
        <v>090001</v>
      </c>
      <c r="B837" t="str">
        <f>[1]!hospitalinfo[[#This Row],[State]]</f>
        <v>DC</v>
      </c>
      <c r="C837" t="str">
        <f>[1]!hospitalinfo[[#This Row],[Hospital Type]]</f>
        <v>Acute Care Hospitals</v>
      </c>
      <c r="D837" t="str">
        <f>[1]!hospitalinfo[[#This Row],[Hospital Ownership]]</f>
        <v>Proprietary</v>
      </c>
      <c r="E837" cm="1">
        <f t="array" ref="E837">_xlfn.IFNA(_xlfn.XLOOKUP(1,([1]!hcahps[Facility ID] = clean[[#This Row],[Facility ID]]) * ([1]!hcahps[HCAHPS Measure ID] = "H_HSP_RATING_LINEAR_SCORE"), [1]!hcahps[HCAHPS Linear Mean Value]), "No Match")</f>
        <v>84</v>
      </c>
      <c r="F837" cm="1">
        <f t="array" ref="F837">_xlfn.IFNA(_xlfn.XLOOKUP(1,([1]!readmissions[Facility ID] = clean[[#This Row],[Facility ID]]) * ([1]!readmissions[Measure ID] = "Hybrid_HWR"), [1]!readmissions[Score]), "No Match")</f>
        <v>15.3</v>
      </c>
    </row>
    <row r="838" spans="1:6" x14ac:dyDescent="0.2">
      <c r="A838" t="str">
        <f>[1]!hospitalinfo[[#This Row],[Facility ID]]</f>
        <v>090003</v>
      </c>
      <c r="B838" t="str">
        <f>[1]!hospitalinfo[[#This Row],[State]]</f>
        <v>DC</v>
      </c>
      <c r="C838" t="str">
        <f>[1]!hospitalinfo[[#This Row],[Hospital Type]]</f>
        <v>Acute Care Hospitals</v>
      </c>
      <c r="D838" t="str">
        <f>[1]!hospitalinfo[[#This Row],[Hospital Ownership]]</f>
        <v>Voluntary non-profit - Other</v>
      </c>
      <c r="E838" cm="1">
        <f t="array" ref="E838">_xlfn.IFNA(_xlfn.XLOOKUP(1,([1]!hcahps[Facility ID] = clean[[#This Row],[Facility ID]]) * ([1]!hcahps[HCAHPS Measure ID] = "H_HSP_RATING_LINEAR_SCORE"), [1]!hcahps[HCAHPS Linear Mean Value]), "No Match")</f>
        <v>81</v>
      </c>
      <c r="F838" cm="1">
        <f t="array" ref="F838">_xlfn.IFNA(_xlfn.XLOOKUP(1,([1]!readmissions[Facility ID] = clean[[#This Row],[Facility ID]]) * ([1]!readmissions[Measure ID] = "Hybrid_HWR"), [1]!readmissions[Score]), "No Match")</f>
        <v>14.9</v>
      </c>
    </row>
    <row r="839" spans="1:6" x14ac:dyDescent="0.2">
      <c r="A839" t="str">
        <f>[1]!hospitalinfo[[#This Row],[Facility ID]]</f>
        <v>090004</v>
      </c>
      <c r="B839" t="str">
        <f>[1]!hospitalinfo[[#This Row],[State]]</f>
        <v>DC</v>
      </c>
      <c r="C839" t="str">
        <f>[1]!hospitalinfo[[#This Row],[Hospital Type]]</f>
        <v>Acute Care Hospitals</v>
      </c>
      <c r="D839" t="str">
        <f>[1]!hospitalinfo[[#This Row],[Hospital Ownership]]</f>
        <v>Proprietary</v>
      </c>
      <c r="E839" cm="1">
        <f t="array" ref="E839">_xlfn.IFNA(_xlfn.XLOOKUP(1,([1]!hcahps[Facility ID] = clean[[#This Row],[Facility ID]]) * ([1]!hcahps[HCAHPS Measure ID] = "H_HSP_RATING_LINEAR_SCORE"), [1]!hcahps[HCAHPS Linear Mean Value]), "No Match")</f>
        <v>87</v>
      </c>
      <c r="F839" cm="1">
        <f t="array" ref="F839">_xlfn.IFNA(_xlfn.XLOOKUP(1,([1]!readmissions[Facility ID] = clean[[#This Row],[Facility ID]]) * ([1]!readmissions[Measure ID] = "Hybrid_HWR"), [1]!readmissions[Score]), "No Match")</f>
        <v>14.7</v>
      </c>
    </row>
    <row r="840" spans="1:6" x14ac:dyDescent="0.2">
      <c r="A840" t="str">
        <f>[1]!hospitalinfo[[#This Row],[Facility ID]]</f>
        <v>090005</v>
      </c>
      <c r="B840" t="str">
        <f>[1]!hospitalinfo[[#This Row],[State]]</f>
        <v>DC</v>
      </c>
      <c r="C840" t="str">
        <f>[1]!hospitalinfo[[#This Row],[Hospital Type]]</f>
        <v>Acute Care Hospitals</v>
      </c>
      <c r="D840" t="str">
        <f>[1]!hospitalinfo[[#This Row],[Hospital Ownership]]</f>
        <v>Voluntary non-profit - Other</v>
      </c>
      <c r="E840" cm="1">
        <f t="array" ref="E840">_xlfn.IFNA(_xlfn.XLOOKUP(1,([1]!hcahps[Facility ID] = clean[[#This Row],[Facility ID]]) * ([1]!hcahps[HCAHPS Measure ID] = "H_HSP_RATING_LINEAR_SCORE"), [1]!hcahps[HCAHPS Linear Mean Value]), "No Match")</f>
        <v>89</v>
      </c>
      <c r="F840" cm="1">
        <f t="array" ref="F840">_xlfn.IFNA(_xlfn.XLOOKUP(1,([1]!readmissions[Facility ID] = clean[[#This Row],[Facility ID]]) * ([1]!readmissions[Measure ID] = "Hybrid_HWR"), [1]!readmissions[Score]), "No Match")</f>
        <v>14.8</v>
      </c>
    </row>
    <row r="841" spans="1:6" x14ac:dyDescent="0.2">
      <c r="A841" t="str">
        <f>[1]!hospitalinfo[[#This Row],[Facility ID]]</f>
        <v>090008</v>
      </c>
      <c r="B841" t="str">
        <f>[1]!hospitalinfo[[#This Row],[State]]</f>
        <v>DC</v>
      </c>
      <c r="C841" t="str">
        <f>[1]!hospitalinfo[[#This Row],[Hospital Type]]</f>
        <v>Acute Care Hospitals</v>
      </c>
      <c r="D841" t="str">
        <f>[1]!hospitalinfo[[#This Row],[Hospital Ownership]]</f>
        <v>Proprietary</v>
      </c>
      <c r="E841" t="str" cm="1">
        <f t="array" ref="E841">_xlfn.IFNA(_xlfn.XLOOKUP(1,([1]!hcahps[Facility ID] = clean[[#This Row],[Facility ID]]) * ([1]!hcahps[HCAHPS Measure ID] = "H_HSP_RATING_LINEAR_SCORE"), [1]!hcahps[HCAHPS Linear Mean Value]), "No Match")</f>
        <v>Not Available</v>
      </c>
      <c r="F841" cm="1">
        <f t="array" ref="F841">_xlfn.IFNA(_xlfn.XLOOKUP(1,([1]!readmissions[Facility ID] = clean[[#This Row],[Facility ID]]) * ([1]!readmissions[Measure ID] = "Hybrid_HWR"), [1]!readmissions[Score]), "No Match")</f>
        <v>14.7</v>
      </c>
    </row>
    <row r="842" spans="1:6" x14ac:dyDescent="0.2">
      <c r="A842" t="str">
        <f>[1]!hospitalinfo[[#This Row],[Facility ID]]</f>
        <v>090011</v>
      </c>
      <c r="B842" t="str">
        <f>[1]!hospitalinfo[[#This Row],[State]]</f>
        <v>DC</v>
      </c>
      <c r="C842" t="str">
        <f>[1]!hospitalinfo[[#This Row],[Hospital Type]]</f>
        <v>Acute Care Hospitals</v>
      </c>
      <c r="D842" t="str">
        <f>[1]!hospitalinfo[[#This Row],[Hospital Ownership]]</f>
        <v>Voluntary non-profit - Other</v>
      </c>
      <c r="E842" cm="1">
        <f t="array" ref="E842">_xlfn.IFNA(_xlfn.XLOOKUP(1,([1]!hcahps[Facility ID] = clean[[#This Row],[Facility ID]]) * ([1]!hcahps[HCAHPS Measure ID] = "H_HSP_RATING_LINEAR_SCORE"), [1]!hcahps[HCAHPS Linear Mean Value]), "No Match")</f>
        <v>83</v>
      </c>
      <c r="F842" cm="1">
        <f t="array" ref="F842">_xlfn.IFNA(_xlfn.XLOOKUP(1,([1]!readmissions[Facility ID] = clean[[#This Row],[Facility ID]]) * ([1]!readmissions[Measure ID] = "Hybrid_HWR"), [1]!readmissions[Score]), "No Match")</f>
        <v>14.4</v>
      </c>
    </row>
    <row r="843" spans="1:6" x14ac:dyDescent="0.2">
      <c r="A843" t="str">
        <f>[1]!hospitalinfo[[#This Row],[Facility ID]]</f>
        <v>09002F</v>
      </c>
      <c r="B843" t="str">
        <f>[1]!hospitalinfo[[#This Row],[State]]</f>
        <v>DC</v>
      </c>
      <c r="C843" t="str">
        <f>[1]!hospitalinfo[[#This Row],[Hospital Type]]</f>
        <v>Acute Care - Veterans Administration</v>
      </c>
      <c r="D843" t="str">
        <f>[1]!hospitalinfo[[#This Row],[Hospital Ownership]]</f>
        <v>Veterans Health Administration</v>
      </c>
      <c r="E843" cm="1">
        <f t="array" ref="E843">_xlfn.IFNA(_xlfn.XLOOKUP(1,([1]!hcahps[Facility ID] = clean[[#This Row],[Facility ID]]) * ([1]!hcahps[HCAHPS Measure ID] = "H_HSP_RATING_LINEAR_SCORE"), [1]!hcahps[HCAHPS Linear Mean Value]), "No Match")</f>
        <v>85</v>
      </c>
      <c r="F843" cm="1">
        <f t="array" ref="F843">_xlfn.IFNA(_xlfn.XLOOKUP(1,([1]!readmissions[Facility ID] = clean[[#This Row],[Facility ID]]) * ([1]!readmissions[Measure ID] = "Hybrid_HWR"), [1]!readmissions[Score]), "No Match")</f>
        <v>14.5</v>
      </c>
    </row>
    <row r="844" spans="1:6" x14ac:dyDescent="0.2">
      <c r="A844" t="str">
        <f>[1]!hospitalinfo[[#This Row],[Facility ID]]</f>
        <v>093300</v>
      </c>
      <c r="B844" t="str">
        <f>[1]!hospitalinfo[[#This Row],[State]]</f>
        <v>DC</v>
      </c>
      <c r="C844" t="str">
        <f>[1]!hospitalinfo[[#This Row],[Hospital Type]]</f>
        <v>Childrens</v>
      </c>
      <c r="D844" t="str">
        <f>[1]!hospitalinfo[[#This Row],[Hospital Ownership]]</f>
        <v>Voluntary non-profit - Private</v>
      </c>
      <c r="E844" t="str" cm="1">
        <f t="array" ref="E844">_xlfn.IFNA(_xlfn.XLOOKUP(1,([1]!hcahps[Facility ID] = clean[[#This Row],[Facility ID]]) * ([1]!hcahps[HCAHPS Measure ID] = "H_HSP_RATING_LINEAR_SCORE"), [1]!hcahps[HCAHPS Linear Mean Value]), "No Match")</f>
        <v>Not Available</v>
      </c>
      <c r="F844" t="str" cm="1">
        <f t="array" ref="F844">_xlfn.IFNA(_xlfn.XLOOKUP(1,([1]!readmissions[Facility ID] = clean[[#This Row],[Facility ID]]) * ([1]!readmissions[Measure ID] = "Hybrid_HWR"), [1]!readmissions[Score]), "No Match")</f>
        <v>Not Available</v>
      </c>
    </row>
    <row r="845" spans="1:6" x14ac:dyDescent="0.2">
      <c r="A845" t="str">
        <f>[1]!hospitalinfo[[#This Row],[Facility ID]]</f>
        <v>094001</v>
      </c>
      <c r="B845" t="str">
        <f>[1]!hospitalinfo[[#This Row],[State]]</f>
        <v>DC</v>
      </c>
      <c r="C845" t="str">
        <f>[1]!hospitalinfo[[#This Row],[Hospital Type]]</f>
        <v>Psychiatric</v>
      </c>
      <c r="D845" t="str">
        <f>[1]!hospitalinfo[[#This Row],[Hospital Ownership]]</f>
        <v>Government - State</v>
      </c>
      <c r="E845" t="str" cm="1">
        <f t="array" ref="E845">_xlfn.IFNA(_xlfn.XLOOKUP(1,([1]!hcahps[Facility ID] = clean[[#This Row],[Facility ID]]) * ([1]!hcahps[HCAHPS Measure ID] = "H_HSP_RATING_LINEAR_SCORE"), [1]!hcahps[HCAHPS Linear Mean Value]), "No Match")</f>
        <v>No Match</v>
      </c>
      <c r="F845" t="str" cm="1">
        <f t="array" ref="F845">_xlfn.IFNA(_xlfn.XLOOKUP(1,([1]!readmissions[Facility ID] = clean[[#This Row],[Facility ID]]) * ([1]!readmissions[Measure ID] = "Hybrid_HWR"), [1]!readmissions[Score]), "No Match")</f>
        <v>No Match</v>
      </c>
    </row>
    <row r="846" spans="1:6" x14ac:dyDescent="0.2">
      <c r="A846" t="str">
        <f>[1]!hospitalinfo[[#This Row],[Facility ID]]</f>
        <v>094004</v>
      </c>
      <c r="B846" t="str">
        <f>[1]!hospitalinfo[[#This Row],[State]]</f>
        <v>DC</v>
      </c>
      <c r="C846" t="str">
        <f>[1]!hospitalinfo[[#This Row],[Hospital Type]]</f>
        <v>Psychiatric</v>
      </c>
      <c r="D846" t="str">
        <f>[1]!hospitalinfo[[#This Row],[Hospital Ownership]]</f>
        <v>Voluntary non-profit - Private</v>
      </c>
      <c r="E846" t="str" cm="1">
        <f t="array" ref="E846">_xlfn.IFNA(_xlfn.XLOOKUP(1,([1]!hcahps[Facility ID] = clean[[#This Row],[Facility ID]]) * ([1]!hcahps[HCAHPS Measure ID] = "H_HSP_RATING_LINEAR_SCORE"), [1]!hcahps[HCAHPS Linear Mean Value]), "No Match")</f>
        <v>No Match</v>
      </c>
      <c r="F846" t="str" cm="1">
        <f t="array" ref="F846">_xlfn.IFNA(_xlfn.XLOOKUP(1,([1]!readmissions[Facility ID] = clean[[#This Row],[Facility ID]]) * ([1]!readmissions[Measure ID] = "Hybrid_HWR"), [1]!readmissions[Score]), "No Match")</f>
        <v>No Match</v>
      </c>
    </row>
    <row r="847" spans="1:6" x14ac:dyDescent="0.2">
      <c r="A847" t="str">
        <f>[1]!hospitalinfo[[#This Row],[Facility ID]]</f>
        <v>080001</v>
      </c>
      <c r="B847" t="str">
        <f>[1]!hospitalinfo[[#This Row],[State]]</f>
        <v>DE</v>
      </c>
      <c r="C847" t="str">
        <f>[1]!hospitalinfo[[#This Row],[Hospital Type]]</f>
        <v>Acute Care Hospitals</v>
      </c>
      <c r="D847" t="str">
        <f>[1]!hospitalinfo[[#This Row],[Hospital Ownership]]</f>
        <v>Voluntary non-profit - Private</v>
      </c>
      <c r="E847" cm="1">
        <f t="array" ref="E847">_xlfn.IFNA(_xlfn.XLOOKUP(1,([1]!hcahps[Facility ID] = clean[[#This Row],[Facility ID]]) * ([1]!hcahps[HCAHPS Measure ID] = "H_HSP_RATING_LINEAR_SCORE"), [1]!hcahps[HCAHPS Linear Mean Value]), "No Match")</f>
        <v>85</v>
      </c>
      <c r="F847" cm="1">
        <f t="array" ref="F847">_xlfn.IFNA(_xlfn.XLOOKUP(1,([1]!readmissions[Facility ID] = clean[[#This Row],[Facility ID]]) * ([1]!readmissions[Measure ID] = "Hybrid_HWR"), [1]!readmissions[Score]), "No Match")</f>
        <v>14.5</v>
      </c>
    </row>
    <row r="848" spans="1:6" x14ac:dyDescent="0.2">
      <c r="A848" t="str">
        <f>[1]!hospitalinfo[[#This Row],[Facility ID]]</f>
        <v>080003</v>
      </c>
      <c r="B848" t="str">
        <f>[1]!hospitalinfo[[#This Row],[State]]</f>
        <v>DE</v>
      </c>
      <c r="C848" t="str">
        <f>[1]!hospitalinfo[[#This Row],[Hospital Type]]</f>
        <v>Acute Care Hospitals</v>
      </c>
      <c r="D848" t="str">
        <f>[1]!hospitalinfo[[#This Row],[Hospital Ownership]]</f>
        <v>Voluntary non-profit - Private</v>
      </c>
      <c r="E848" cm="1">
        <f t="array" ref="E848">_xlfn.IFNA(_xlfn.XLOOKUP(1,([1]!hcahps[Facility ID] = clean[[#This Row],[Facility ID]]) * ([1]!hcahps[HCAHPS Measure ID] = "H_HSP_RATING_LINEAR_SCORE"), [1]!hcahps[HCAHPS Linear Mean Value]), "No Match")</f>
        <v>85</v>
      </c>
      <c r="F848" cm="1">
        <f t="array" ref="F848">_xlfn.IFNA(_xlfn.XLOOKUP(1,([1]!readmissions[Facility ID] = clean[[#This Row],[Facility ID]]) * ([1]!readmissions[Measure ID] = "Hybrid_HWR"), [1]!readmissions[Score]), "No Match")</f>
        <v>14.8</v>
      </c>
    </row>
    <row r="849" spans="1:6" x14ac:dyDescent="0.2">
      <c r="A849" t="str">
        <f>[1]!hospitalinfo[[#This Row],[Facility ID]]</f>
        <v>080004</v>
      </c>
      <c r="B849" t="str">
        <f>[1]!hospitalinfo[[#This Row],[State]]</f>
        <v>DE</v>
      </c>
      <c r="C849" t="str">
        <f>[1]!hospitalinfo[[#This Row],[Hospital Type]]</f>
        <v>Acute Care Hospitals</v>
      </c>
      <c r="D849" t="str">
        <f>[1]!hospitalinfo[[#This Row],[Hospital Ownership]]</f>
        <v>Voluntary non-profit - Private</v>
      </c>
      <c r="E849" cm="1">
        <f t="array" ref="E849">_xlfn.IFNA(_xlfn.XLOOKUP(1,([1]!hcahps[Facility ID] = clean[[#This Row],[Facility ID]]) * ([1]!hcahps[HCAHPS Measure ID] = "H_HSP_RATING_LINEAR_SCORE"), [1]!hcahps[HCAHPS Linear Mean Value]), "No Match")</f>
        <v>84</v>
      </c>
      <c r="F849" cm="1">
        <f t="array" ref="F849">_xlfn.IFNA(_xlfn.XLOOKUP(1,([1]!readmissions[Facility ID] = clean[[#This Row],[Facility ID]]) * ([1]!readmissions[Measure ID] = "Hybrid_HWR"), [1]!readmissions[Score]), "No Match")</f>
        <v>15</v>
      </c>
    </row>
    <row r="850" spans="1:6" x14ac:dyDescent="0.2">
      <c r="A850" t="str">
        <f>[1]!hospitalinfo[[#This Row],[Facility ID]]</f>
        <v>080006</v>
      </c>
      <c r="B850" t="str">
        <f>[1]!hospitalinfo[[#This Row],[State]]</f>
        <v>DE</v>
      </c>
      <c r="C850" t="str">
        <f>[1]!hospitalinfo[[#This Row],[Hospital Type]]</f>
        <v>Acute Care Hospitals</v>
      </c>
      <c r="D850" t="str">
        <f>[1]!hospitalinfo[[#This Row],[Hospital Ownership]]</f>
        <v>Voluntary non-profit - Private</v>
      </c>
      <c r="E850" cm="1">
        <f t="array" ref="E850">_xlfn.IFNA(_xlfn.XLOOKUP(1,([1]!hcahps[Facility ID] = clean[[#This Row],[Facility ID]]) * ([1]!hcahps[HCAHPS Measure ID] = "H_HSP_RATING_LINEAR_SCORE"), [1]!hcahps[HCAHPS Linear Mean Value]), "No Match")</f>
        <v>88</v>
      </c>
      <c r="F850" cm="1">
        <f t="array" ref="F850">_xlfn.IFNA(_xlfn.XLOOKUP(1,([1]!readmissions[Facility ID] = clean[[#This Row],[Facility ID]]) * ([1]!readmissions[Measure ID] = "Hybrid_HWR"), [1]!readmissions[Score]), "No Match")</f>
        <v>15.4</v>
      </c>
    </row>
    <row r="851" spans="1:6" x14ac:dyDescent="0.2">
      <c r="A851" t="str">
        <f>[1]!hospitalinfo[[#This Row],[Facility ID]]</f>
        <v>080007</v>
      </c>
      <c r="B851" t="str">
        <f>[1]!hospitalinfo[[#This Row],[State]]</f>
        <v>DE</v>
      </c>
      <c r="C851" t="str">
        <f>[1]!hospitalinfo[[#This Row],[Hospital Type]]</f>
        <v>Acute Care Hospitals</v>
      </c>
      <c r="D851" t="str">
        <f>[1]!hospitalinfo[[#This Row],[Hospital Ownership]]</f>
        <v>Voluntary non-profit - Private</v>
      </c>
      <c r="E851" cm="1">
        <f t="array" ref="E851">_xlfn.IFNA(_xlfn.XLOOKUP(1,([1]!hcahps[Facility ID] = clean[[#This Row],[Facility ID]]) * ([1]!hcahps[HCAHPS Measure ID] = "H_HSP_RATING_LINEAR_SCORE"), [1]!hcahps[HCAHPS Linear Mean Value]), "No Match")</f>
        <v>85</v>
      </c>
      <c r="F851" cm="1">
        <f t="array" ref="F851">_xlfn.IFNA(_xlfn.XLOOKUP(1,([1]!readmissions[Facility ID] = clean[[#This Row],[Facility ID]]) * ([1]!readmissions[Measure ID] = "Hybrid_HWR"), [1]!readmissions[Score]), "No Match")</f>
        <v>14.9</v>
      </c>
    </row>
    <row r="852" spans="1:6" x14ac:dyDescent="0.2">
      <c r="A852" t="str">
        <f>[1]!hospitalinfo[[#This Row],[Facility ID]]</f>
        <v>080009</v>
      </c>
      <c r="B852" t="str">
        <f>[1]!hospitalinfo[[#This Row],[State]]</f>
        <v>DE</v>
      </c>
      <c r="C852" t="str">
        <f>[1]!hospitalinfo[[#This Row],[Hospital Type]]</f>
        <v>Acute Care Hospitals</v>
      </c>
      <c r="D852" t="str">
        <f>[1]!hospitalinfo[[#This Row],[Hospital Ownership]]</f>
        <v>Voluntary non-profit - Private</v>
      </c>
      <c r="E852" cm="1">
        <f t="array" ref="E852">_xlfn.IFNA(_xlfn.XLOOKUP(1,([1]!hcahps[Facility ID] = clean[[#This Row],[Facility ID]]) * ([1]!hcahps[HCAHPS Measure ID] = "H_HSP_RATING_LINEAR_SCORE"), [1]!hcahps[HCAHPS Linear Mean Value]), "No Match")</f>
        <v>89</v>
      </c>
      <c r="F852" cm="1">
        <f t="array" ref="F852">_xlfn.IFNA(_xlfn.XLOOKUP(1,([1]!readmissions[Facility ID] = clean[[#This Row],[Facility ID]]) * ([1]!readmissions[Measure ID] = "Hybrid_HWR"), [1]!readmissions[Score]), "No Match")</f>
        <v>15</v>
      </c>
    </row>
    <row r="853" spans="1:6" x14ac:dyDescent="0.2">
      <c r="A853" t="str">
        <f>[1]!hospitalinfo[[#This Row],[Facility ID]]</f>
        <v>08002F</v>
      </c>
      <c r="B853" t="str">
        <f>[1]!hospitalinfo[[#This Row],[State]]</f>
        <v>DE</v>
      </c>
      <c r="C853" t="str">
        <f>[1]!hospitalinfo[[#This Row],[Hospital Type]]</f>
        <v>Acute Care - Veterans Administration</v>
      </c>
      <c r="D853" t="str">
        <f>[1]!hospitalinfo[[#This Row],[Hospital Ownership]]</f>
        <v>Veterans Health Administration</v>
      </c>
      <c r="E853" cm="1">
        <f t="array" ref="E853">_xlfn.IFNA(_xlfn.XLOOKUP(1,([1]!hcahps[Facility ID] = clean[[#This Row],[Facility ID]]) * ([1]!hcahps[HCAHPS Measure ID] = "H_HSP_RATING_LINEAR_SCORE"), [1]!hcahps[HCAHPS Linear Mean Value]), "No Match")</f>
        <v>87</v>
      </c>
      <c r="F853" cm="1">
        <f t="array" ref="F853">_xlfn.IFNA(_xlfn.XLOOKUP(1,([1]!readmissions[Facility ID] = clean[[#This Row],[Facility ID]]) * ([1]!readmissions[Measure ID] = "Hybrid_HWR"), [1]!readmissions[Score]), "No Match")</f>
        <v>14.8</v>
      </c>
    </row>
    <row r="854" spans="1:6" x14ac:dyDescent="0.2">
      <c r="A854" t="str">
        <f>[1]!hospitalinfo[[#This Row],[Facility ID]]</f>
        <v>083300</v>
      </c>
      <c r="B854" t="str">
        <f>[1]!hospitalinfo[[#This Row],[State]]</f>
        <v>DE</v>
      </c>
      <c r="C854" t="str">
        <f>[1]!hospitalinfo[[#This Row],[Hospital Type]]</f>
        <v>Childrens</v>
      </c>
      <c r="D854" t="str">
        <f>[1]!hospitalinfo[[#This Row],[Hospital Ownership]]</f>
        <v>Voluntary non-profit - Private</v>
      </c>
      <c r="E854" t="str" cm="1">
        <f t="array" ref="E854">_xlfn.IFNA(_xlfn.XLOOKUP(1,([1]!hcahps[Facility ID] = clean[[#This Row],[Facility ID]]) * ([1]!hcahps[HCAHPS Measure ID] = "H_HSP_RATING_LINEAR_SCORE"), [1]!hcahps[HCAHPS Linear Mean Value]), "No Match")</f>
        <v>Not Available</v>
      </c>
      <c r="F854" t="str" cm="1">
        <f t="array" ref="F854">_xlfn.IFNA(_xlfn.XLOOKUP(1,([1]!readmissions[Facility ID] = clean[[#This Row],[Facility ID]]) * ([1]!readmissions[Measure ID] = "Hybrid_HWR"), [1]!readmissions[Score]), "No Match")</f>
        <v>Not Available</v>
      </c>
    </row>
    <row r="855" spans="1:6" x14ac:dyDescent="0.2">
      <c r="A855" t="str">
        <f>[1]!hospitalinfo[[#This Row],[Facility ID]]</f>
        <v>084001</v>
      </c>
      <c r="B855" t="str">
        <f>[1]!hospitalinfo[[#This Row],[State]]</f>
        <v>DE</v>
      </c>
      <c r="C855" t="str">
        <f>[1]!hospitalinfo[[#This Row],[Hospital Type]]</f>
        <v>Psychiatric</v>
      </c>
      <c r="D855" t="str">
        <f>[1]!hospitalinfo[[#This Row],[Hospital Ownership]]</f>
        <v>Government - State</v>
      </c>
      <c r="E855" t="str" cm="1">
        <f t="array" ref="E855">_xlfn.IFNA(_xlfn.XLOOKUP(1,([1]!hcahps[Facility ID] = clean[[#This Row],[Facility ID]]) * ([1]!hcahps[HCAHPS Measure ID] = "H_HSP_RATING_LINEAR_SCORE"), [1]!hcahps[HCAHPS Linear Mean Value]), "No Match")</f>
        <v>No Match</v>
      </c>
      <c r="F855" t="str" cm="1">
        <f t="array" ref="F855">_xlfn.IFNA(_xlfn.XLOOKUP(1,([1]!readmissions[Facility ID] = clean[[#This Row],[Facility ID]]) * ([1]!readmissions[Measure ID] = "Hybrid_HWR"), [1]!readmissions[Score]), "No Match")</f>
        <v>No Match</v>
      </c>
    </row>
    <row r="856" spans="1:6" x14ac:dyDescent="0.2">
      <c r="A856" t="str">
        <f>[1]!hospitalinfo[[#This Row],[Facility ID]]</f>
        <v>084002</v>
      </c>
      <c r="B856" t="str">
        <f>[1]!hospitalinfo[[#This Row],[State]]</f>
        <v>DE</v>
      </c>
      <c r="C856" t="str">
        <f>[1]!hospitalinfo[[#This Row],[Hospital Type]]</f>
        <v>Psychiatric</v>
      </c>
      <c r="D856" t="str">
        <f>[1]!hospitalinfo[[#This Row],[Hospital Ownership]]</f>
        <v>Proprietary</v>
      </c>
      <c r="E856" t="str" cm="1">
        <f t="array" ref="E856">_xlfn.IFNA(_xlfn.XLOOKUP(1,([1]!hcahps[Facility ID] = clean[[#This Row],[Facility ID]]) * ([1]!hcahps[HCAHPS Measure ID] = "H_HSP_RATING_LINEAR_SCORE"), [1]!hcahps[HCAHPS Linear Mean Value]), "No Match")</f>
        <v>No Match</v>
      </c>
      <c r="F856" t="str" cm="1">
        <f t="array" ref="F856">_xlfn.IFNA(_xlfn.XLOOKUP(1,([1]!readmissions[Facility ID] = clean[[#This Row],[Facility ID]]) * ([1]!readmissions[Measure ID] = "Hybrid_HWR"), [1]!readmissions[Score]), "No Match")</f>
        <v>No Match</v>
      </c>
    </row>
    <row r="857" spans="1:6" x14ac:dyDescent="0.2">
      <c r="A857" t="str">
        <f>[1]!hospitalinfo[[#This Row],[Facility ID]]</f>
        <v>084003</v>
      </c>
      <c r="B857" t="str">
        <f>[1]!hospitalinfo[[#This Row],[State]]</f>
        <v>DE</v>
      </c>
      <c r="C857" t="str">
        <f>[1]!hospitalinfo[[#This Row],[Hospital Type]]</f>
        <v>Psychiatric</v>
      </c>
      <c r="D857" t="str">
        <f>[1]!hospitalinfo[[#This Row],[Hospital Ownership]]</f>
        <v>Proprietary</v>
      </c>
      <c r="E857" t="str" cm="1">
        <f t="array" ref="E857">_xlfn.IFNA(_xlfn.XLOOKUP(1,([1]!hcahps[Facility ID] = clean[[#This Row],[Facility ID]]) * ([1]!hcahps[HCAHPS Measure ID] = "H_HSP_RATING_LINEAR_SCORE"), [1]!hcahps[HCAHPS Linear Mean Value]), "No Match")</f>
        <v>No Match</v>
      </c>
      <c r="F857" t="str" cm="1">
        <f t="array" ref="F857">_xlfn.IFNA(_xlfn.XLOOKUP(1,([1]!readmissions[Facility ID] = clean[[#This Row],[Facility ID]]) * ([1]!readmissions[Measure ID] = "Hybrid_HWR"), [1]!readmissions[Score]), "No Match")</f>
        <v>No Match</v>
      </c>
    </row>
    <row r="858" spans="1:6" x14ac:dyDescent="0.2">
      <c r="A858" t="str">
        <f>[1]!hospitalinfo[[#This Row],[Facility ID]]</f>
        <v>084004</v>
      </c>
      <c r="B858" t="str">
        <f>[1]!hospitalinfo[[#This Row],[State]]</f>
        <v>DE</v>
      </c>
      <c r="C858" t="str">
        <f>[1]!hospitalinfo[[#This Row],[Hospital Type]]</f>
        <v>Psychiatric</v>
      </c>
      <c r="D858" t="str">
        <f>[1]!hospitalinfo[[#This Row],[Hospital Ownership]]</f>
        <v>Proprietary</v>
      </c>
      <c r="E858" t="str" cm="1">
        <f t="array" ref="E858">_xlfn.IFNA(_xlfn.XLOOKUP(1,([1]!hcahps[Facility ID] = clean[[#This Row],[Facility ID]]) * ([1]!hcahps[HCAHPS Measure ID] = "H_HSP_RATING_LINEAR_SCORE"), [1]!hcahps[HCAHPS Linear Mean Value]), "No Match")</f>
        <v>No Match</v>
      </c>
      <c r="F858" t="str" cm="1">
        <f t="array" ref="F858">_xlfn.IFNA(_xlfn.XLOOKUP(1,([1]!readmissions[Facility ID] = clean[[#This Row],[Facility ID]]) * ([1]!readmissions[Measure ID] = "Hybrid_HWR"), [1]!readmissions[Score]), "No Match")</f>
        <v>No Match</v>
      </c>
    </row>
    <row r="859" spans="1:6" x14ac:dyDescent="0.2">
      <c r="A859" t="str">
        <f>[1]!hospitalinfo[[#This Row],[Facility ID]]</f>
        <v>084005</v>
      </c>
      <c r="B859" t="str">
        <f>[1]!hospitalinfo[[#This Row],[State]]</f>
        <v>DE</v>
      </c>
      <c r="C859" t="str">
        <f>[1]!hospitalinfo[[#This Row],[Hospital Type]]</f>
        <v>Psychiatric</v>
      </c>
      <c r="D859" t="str">
        <f>[1]!hospitalinfo[[#This Row],[Hospital Ownership]]</f>
        <v>Proprietary</v>
      </c>
      <c r="E859" t="str" cm="1">
        <f t="array" ref="E859">_xlfn.IFNA(_xlfn.XLOOKUP(1,([1]!hcahps[Facility ID] = clean[[#This Row],[Facility ID]]) * ([1]!hcahps[HCAHPS Measure ID] = "H_HSP_RATING_LINEAR_SCORE"), [1]!hcahps[HCAHPS Linear Mean Value]), "No Match")</f>
        <v>No Match</v>
      </c>
      <c r="F859" t="str" cm="1">
        <f t="array" ref="F859">_xlfn.IFNA(_xlfn.XLOOKUP(1,([1]!readmissions[Facility ID] = clean[[#This Row],[Facility ID]]) * ([1]!readmissions[Measure ID] = "Hybrid_HWR"), [1]!readmissions[Score]), "No Match")</f>
        <v>No Match</v>
      </c>
    </row>
    <row r="860" spans="1:6" x14ac:dyDescent="0.2">
      <c r="A860">
        <f>[1]!hospitalinfo[[#This Row],[Facility ID]]</f>
        <v>100001</v>
      </c>
      <c r="B860" t="str">
        <f>[1]!hospitalinfo[[#This Row],[State]]</f>
        <v>FL</v>
      </c>
      <c r="C860" t="str">
        <f>[1]!hospitalinfo[[#This Row],[Hospital Type]]</f>
        <v>Acute Care Hospitals</v>
      </c>
      <c r="D860" t="str">
        <f>[1]!hospitalinfo[[#This Row],[Hospital Ownership]]</f>
        <v>Voluntary non-profit - Private</v>
      </c>
      <c r="E860" cm="1">
        <f t="array" ref="E860">_xlfn.IFNA(_xlfn.XLOOKUP(1,([1]!hcahps[Facility ID] = clean[[#This Row],[Facility ID]]) * ([1]!hcahps[HCAHPS Measure ID] = "H_HSP_RATING_LINEAR_SCORE"), [1]!hcahps[HCAHPS Linear Mean Value]), "No Match")</f>
        <v>88</v>
      </c>
      <c r="F860" cm="1">
        <f t="array" ref="F860">_xlfn.IFNA(_xlfn.XLOOKUP(1,([1]!readmissions[Facility ID] = clean[[#This Row],[Facility ID]]) * ([1]!readmissions[Measure ID] = "Hybrid_HWR"), [1]!readmissions[Score]), "No Match")</f>
        <v>14.9</v>
      </c>
    </row>
    <row r="861" spans="1:6" x14ac:dyDescent="0.2">
      <c r="A861">
        <f>[1]!hospitalinfo[[#This Row],[Facility ID]]</f>
        <v>100002</v>
      </c>
      <c r="B861" t="str">
        <f>[1]!hospitalinfo[[#This Row],[State]]</f>
        <v>FL</v>
      </c>
      <c r="C861" t="str">
        <f>[1]!hospitalinfo[[#This Row],[Hospital Type]]</f>
        <v>Acute Care Hospitals</v>
      </c>
      <c r="D861" t="str">
        <f>[1]!hospitalinfo[[#This Row],[Hospital Ownership]]</f>
        <v>Voluntary non-profit - Private</v>
      </c>
      <c r="E861" cm="1">
        <f t="array" ref="E861">_xlfn.IFNA(_xlfn.XLOOKUP(1,([1]!hcahps[Facility ID] = clean[[#This Row],[Facility ID]]) * ([1]!hcahps[HCAHPS Measure ID] = "H_HSP_RATING_LINEAR_SCORE"), [1]!hcahps[HCAHPS Linear Mean Value]), "No Match")</f>
        <v>83</v>
      </c>
      <c r="F861" cm="1">
        <f t="array" ref="F861">_xlfn.IFNA(_xlfn.XLOOKUP(1,([1]!readmissions[Facility ID] = clean[[#This Row],[Facility ID]]) * ([1]!readmissions[Measure ID] = "Hybrid_HWR"), [1]!readmissions[Score]), "No Match")</f>
        <v>15.9</v>
      </c>
    </row>
    <row r="862" spans="1:6" x14ac:dyDescent="0.2">
      <c r="A862">
        <f>[1]!hospitalinfo[[#This Row],[Facility ID]]</f>
        <v>100006</v>
      </c>
      <c r="B862" t="str">
        <f>[1]!hospitalinfo[[#This Row],[State]]</f>
        <v>FL</v>
      </c>
      <c r="C862" t="str">
        <f>[1]!hospitalinfo[[#This Row],[Hospital Type]]</f>
        <v>Acute Care Hospitals</v>
      </c>
      <c r="D862" t="str">
        <f>[1]!hospitalinfo[[#This Row],[Hospital Ownership]]</f>
        <v>Voluntary non-profit - Private</v>
      </c>
      <c r="E862" cm="1">
        <f t="array" ref="E862">_xlfn.IFNA(_xlfn.XLOOKUP(1,([1]!hcahps[Facility ID] = clean[[#This Row],[Facility ID]]) * ([1]!hcahps[HCAHPS Measure ID] = "H_HSP_RATING_LINEAR_SCORE"), [1]!hcahps[HCAHPS Linear Mean Value]), "No Match")</f>
        <v>89</v>
      </c>
      <c r="F862" cm="1">
        <f t="array" ref="F862">_xlfn.IFNA(_xlfn.XLOOKUP(1,([1]!readmissions[Facility ID] = clean[[#This Row],[Facility ID]]) * ([1]!readmissions[Measure ID] = "Hybrid_HWR"), [1]!readmissions[Score]), "No Match")</f>
        <v>15.8</v>
      </c>
    </row>
    <row r="863" spans="1:6" x14ac:dyDescent="0.2">
      <c r="A863">
        <f>[1]!hospitalinfo[[#This Row],[Facility ID]]</f>
        <v>100007</v>
      </c>
      <c r="B863" t="str">
        <f>[1]!hospitalinfo[[#This Row],[State]]</f>
        <v>FL</v>
      </c>
      <c r="C863" t="str">
        <f>[1]!hospitalinfo[[#This Row],[Hospital Type]]</f>
        <v>Acute Care Hospitals</v>
      </c>
      <c r="D863" t="str">
        <f>[1]!hospitalinfo[[#This Row],[Hospital Ownership]]</f>
        <v>Voluntary non-profit - Private</v>
      </c>
      <c r="E863" cm="1">
        <f t="array" ref="E863">_xlfn.IFNA(_xlfn.XLOOKUP(1,([1]!hcahps[Facility ID] = clean[[#This Row],[Facility ID]]) * ([1]!hcahps[HCAHPS Measure ID] = "H_HSP_RATING_LINEAR_SCORE"), [1]!hcahps[HCAHPS Linear Mean Value]), "No Match")</f>
        <v>89</v>
      </c>
      <c r="F863" cm="1">
        <f t="array" ref="F863">_xlfn.IFNA(_xlfn.XLOOKUP(1,([1]!readmissions[Facility ID] = clean[[#This Row],[Facility ID]]) * ([1]!readmissions[Measure ID] = "Hybrid_HWR"), [1]!readmissions[Score]), "No Match")</f>
        <v>16</v>
      </c>
    </row>
    <row r="864" spans="1:6" x14ac:dyDescent="0.2">
      <c r="A864">
        <f>[1]!hospitalinfo[[#This Row],[Facility ID]]</f>
        <v>100008</v>
      </c>
      <c r="B864" t="str">
        <f>[1]!hospitalinfo[[#This Row],[State]]</f>
        <v>FL</v>
      </c>
      <c r="C864" t="str">
        <f>[1]!hospitalinfo[[#This Row],[Hospital Type]]</f>
        <v>Acute Care Hospitals</v>
      </c>
      <c r="D864" t="str">
        <f>[1]!hospitalinfo[[#This Row],[Hospital Ownership]]</f>
        <v>Voluntary non-profit - Private</v>
      </c>
      <c r="E864" cm="1">
        <f t="array" ref="E864">_xlfn.IFNA(_xlfn.XLOOKUP(1,([1]!hcahps[Facility ID] = clean[[#This Row],[Facility ID]]) * ([1]!hcahps[HCAHPS Measure ID] = "H_HSP_RATING_LINEAR_SCORE"), [1]!hcahps[HCAHPS Linear Mean Value]), "No Match")</f>
        <v>88</v>
      </c>
      <c r="F864" cm="1">
        <f t="array" ref="F864">_xlfn.IFNA(_xlfn.XLOOKUP(1,([1]!readmissions[Facility ID] = clean[[#This Row],[Facility ID]]) * ([1]!readmissions[Measure ID] = "Hybrid_HWR"), [1]!readmissions[Score]), "No Match")</f>
        <v>15.1</v>
      </c>
    </row>
    <row r="865" spans="1:6" x14ac:dyDescent="0.2">
      <c r="A865">
        <f>[1]!hospitalinfo[[#This Row],[Facility ID]]</f>
        <v>100012</v>
      </c>
      <c r="B865" t="str">
        <f>[1]!hospitalinfo[[#This Row],[State]]</f>
        <v>FL</v>
      </c>
      <c r="C865" t="str">
        <f>[1]!hospitalinfo[[#This Row],[Hospital Type]]</f>
        <v>Acute Care Hospitals</v>
      </c>
      <c r="D865" t="str">
        <f>[1]!hospitalinfo[[#This Row],[Hospital Ownership]]</f>
        <v>Government - Hospital District or Authority</v>
      </c>
      <c r="E865" cm="1">
        <f t="array" ref="E865">_xlfn.IFNA(_xlfn.XLOOKUP(1,([1]!hcahps[Facility ID] = clean[[#This Row],[Facility ID]]) * ([1]!hcahps[HCAHPS Measure ID] = "H_HSP_RATING_LINEAR_SCORE"), [1]!hcahps[HCAHPS Linear Mean Value]), "No Match")</f>
        <v>89</v>
      </c>
      <c r="F865" cm="1">
        <f t="array" ref="F865">_xlfn.IFNA(_xlfn.XLOOKUP(1,([1]!readmissions[Facility ID] = clean[[#This Row],[Facility ID]]) * ([1]!readmissions[Measure ID] = "Hybrid_HWR"), [1]!readmissions[Score]), "No Match")</f>
        <v>14.1</v>
      </c>
    </row>
    <row r="866" spans="1:6" x14ac:dyDescent="0.2">
      <c r="A866">
        <f>[1]!hospitalinfo[[#This Row],[Facility ID]]</f>
        <v>100014</v>
      </c>
      <c r="B866" t="str">
        <f>[1]!hospitalinfo[[#This Row],[State]]</f>
        <v>FL</v>
      </c>
      <c r="C866" t="str">
        <f>[1]!hospitalinfo[[#This Row],[Hospital Type]]</f>
        <v>Acute Care Hospitals</v>
      </c>
      <c r="D866" t="str">
        <f>[1]!hospitalinfo[[#This Row],[Hospital Ownership]]</f>
        <v>Voluntary non-profit - Church</v>
      </c>
      <c r="E866" cm="1">
        <f t="array" ref="E866">_xlfn.IFNA(_xlfn.XLOOKUP(1,([1]!hcahps[Facility ID] = clean[[#This Row],[Facility ID]]) * ([1]!hcahps[HCAHPS Measure ID] = "H_HSP_RATING_LINEAR_SCORE"), [1]!hcahps[HCAHPS Linear Mean Value]), "No Match")</f>
        <v>87</v>
      </c>
      <c r="F866" cm="1">
        <f t="array" ref="F866">_xlfn.IFNA(_xlfn.XLOOKUP(1,([1]!readmissions[Facility ID] = clean[[#This Row],[Facility ID]]) * ([1]!readmissions[Measure ID] = "Hybrid_HWR"), [1]!readmissions[Score]), "No Match")</f>
        <v>15.2</v>
      </c>
    </row>
    <row r="867" spans="1:6" x14ac:dyDescent="0.2">
      <c r="A867">
        <f>[1]!hospitalinfo[[#This Row],[Facility ID]]</f>
        <v>100017</v>
      </c>
      <c r="B867" t="str">
        <f>[1]!hospitalinfo[[#This Row],[State]]</f>
        <v>FL</v>
      </c>
      <c r="C867" t="str">
        <f>[1]!hospitalinfo[[#This Row],[Hospital Type]]</f>
        <v>Acute Care Hospitals</v>
      </c>
      <c r="D867" t="str">
        <f>[1]!hospitalinfo[[#This Row],[Hospital Ownership]]</f>
        <v>Government - Hospital District or Authority</v>
      </c>
      <c r="E867" cm="1">
        <f t="array" ref="E867">_xlfn.IFNA(_xlfn.XLOOKUP(1,([1]!hcahps[Facility ID] = clean[[#This Row],[Facility ID]]) * ([1]!hcahps[HCAHPS Measure ID] = "H_HSP_RATING_LINEAR_SCORE"), [1]!hcahps[HCAHPS Linear Mean Value]), "No Match")</f>
        <v>86</v>
      </c>
      <c r="F867" cm="1">
        <f t="array" ref="F867">_xlfn.IFNA(_xlfn.XLOOKUP(1,([1]!readmissions[Facility ID] = clean[[#This Row],[Facility ID]]) * ([1]!readmissions[Measure ID] = "Hybrid_HWR"), [1]!readmissions[Score]), "No Match")</f>
        <v>15.8</v>
      </c>
    </row>
    <row r="868" spans="1:6" x14ac:dyDescent="0.2">
      <c r="A868">
        <f>[1]!hospitalinfo[[#This Row],[Facility ID]]</f>
        <v>100018</v>
      </c>
      <c r="B868" t="str">
        <f>[1]!hospitalinfo[[#This Row],[State]]</f>
        <v>FL</v>
      </c>
      <c r="C868" t="str">
        <f>[1]!hospitalinfo[[#This Row],[Hospital Type]]</f>
        <v>Acute Care Hospitals</v>
      </c>
      <c r="D868" t="str">
        <f>[1]!hospitalinfo[[#This Row],[Hospital Ownership]]</f>
        <v>Voluntary non-profit - Private</v>
      </c>
      <c r="E868" cm="1">
        <f t="array" ref="E868">_xlfn.IFNA(_xlfn.XLOOKUP(1,([1]!hcahps[Facility ID] = clean[[#This Row],[Facility ID]]) * ([1]!hcahps[HCAHPS Measure ID] = "H_HSP_RATING_LINEAR_SCORE"), [1]!hcahps[HCAHPS Linear Mean Value]), "No Match")</f>
        <v>85</v>
      </c>
      <c r="F868" cm="1">
        <f t="array" ref="F868">_xlfn.IFNA(_xlfn.XLOOKUP(1,([1]!readmissions[Facility ID] = clean[[#This Row],[Facility ID]]) * ([1]!readmissions[Measure ID] = "Hybrid_HWR"), [1]!readmissions[Score]), "No Match")</f>
        <v>15</v>
      </c>
    </row>
    <row r="869" spans="1:6" x14ac:dyDescent="0.2">
      <c r="A869">
        <f>[1]!hospitalinfo[[#This Row],[Facility ID]]</f>
        <v>100019</v>
      </c>
      <c r="B869" t="str">
        <f>[1]!hospitalinfo[[#This Row],[State]]</f>
        <v>FL</v>
      </c>
      <c r="C869" t="str">
        <f>[1]!hospitalinfo[[#This Row],[Hospital Type]]</f>
        <v>Acute Care Hospitals</v>
      </c>
      <c r="D869" t="str">
        <f>[1]!hospitalinfo[[#This Row],[Hospital Ownership]]</f>
        <v>Voluntary non-profit - Private</v>
      </c>
      <c r="E869" cm="1">
        <f t="array" ref="E869">_xlfn.IFNA(_xlfn.XLOOKUP(1,([1]!hcahps[Facility ID] = clean[[#This Row],[Facility ID]]) * ([1]!hcahps[HCAHPS Measure ID] = "H_HSP_RATING_LINEAR_SCORE"), [1]!hcahps[HCAHPS Linear Mean Value]), "No Match")</f>
        <v>84</v>
      </c>
      <c r="F869" cm="1">
        <f t="array" ref="F869">_xlfn.IFNA(_xlfn.XLOOKUP(1,([1]!readmissions[Facility ID] = clean[[#This Row],[Facility ID]]) * ([1]!readmissions[Measure ID] = "Hybrid_HWR"), [1]!readmissions[Score]), "No Match")</f>
        <v>14.8</v>
      </c>
    </row>
    <row r="870" spans="1:6" x14ac:dyDescent="0.2">
      <c r="A870">
        <f>[1]!hospitalinfo[[#This Row],[Facility ID]]</f>
        <v>100022</v>
      </c>
      <c r="B870" t="str">
        <f>[1]!hospitalinfo[[#This Row],[State]]</f>
        <v>FL</v>
      </c>
      <c r="C870" t="str">
        <f>[1]!hospitalinfo[[#This Row],[Hospital Type]]</f>
        <v>Acute Care Hospitals</v>
      </c>
      <c r="D870" t="str">
        <f>[1]!hospitalinfo[[#This Row],[Hospital Ownership]]</f>
        <v>Government - Hospital District or Authority</v>
      </c>
      <c r="E870" cm="1">
        <f t="array" ref="E870">_xlfn.IFNA(_xlfn.XLOOKUP(1,([1]!hcahps[Facility ID] = clean[[#This Row],[Facility ID]]) * ([1]!hcahps[HCAHPS Measure ID] = "H_HSP_RATING_LINEAR_SCORE"), [1]!hcahps[HCAHPS Linear Mean Value]), "No Match")</f>
        <v>87</v>
      </c>
      <c r="F870" cm="1">
        <f t="array" ref="F870">_xlfn.IFNA(_xlfn.XLOOKUP(1,([1]!readmissions[Facility ID] = clean[[#This Row],[Facility ID]]) * ([1]!readmissions[Measure ID] = "Hybrid_HWR"), [1]!readmissions[Score]), "No Match")</f>
        <v>16.8</v>
      </c>
    </row>
    <row r="871" spans="1:6" x14ac:dyDescent="0.2">
      <c r="A871">
        <f>[1]!hospitalinfo[[#This Row],[Facility ID]]</f>
        <v>100023</v>
      </c>
      <c r="B871" t="str">
        <f>[1]!hospitalinfo[[#This Row],[State]]</f>
        <v>FL</v>
      </c>
      <c r="C871" t="str">
        <f>[1]!hospitalinfo[[#This Row],[Hospital Type]]</f>
        <v>Acute Care Hospitals</v>
      </c>
      <c r="D871" t="str">
        <f>[1]!hospitalinfo[[#This Row],[Hospital Ownership]]</f>
        <v>Government - Hospital District or Authority</v>
      </c>
      <c r="E871" cm="1">
        <f t="array" ref="E871">_xlfn.IFNA(_xlfn.XLOOKUP(1,([1]!hcahps[Facility ID] = clean[[#This Row],[Facility ID]]) * ([1]!hcahps[HCAHPS Measure ID] = "H_HSP_RATING_LINEAR_SCORE"), [1]!hcahps[HCAHPS Linear Mean Value]), "No Match")</f>
        <v>84</v>
      </c>
      <c r="F871" cm="1">
        <f t="array" ref="F871">_xlfn.IFNA(_xlfn.XLOOKUP(1,([1]!readmissions[Facility ID] = clean[[#This Row],[Facility ID]]) * ([1]!readmissions[Measure ID] = "Hybrid_HWR"), [1]!readmissions[Score]), "No Match")</f>
        <v>16.8</v>
      </c>
    </row>
    <row r="872" spans="1:6" x14ac:dyDescent="0.2">
      <c r="A872">
        <f>[1]!hospitalinfo[[#This Row],[Facility ID]]</f>
        <v>100025</v>
      </c>
      <c r="B872" t="str">
        <f>[1]!hospitalinfo[[#This Row],[State]]</f>
        <v>FL</v>
      </c>
      <c r="C872" t="str">
        <f>[1]!hospitalinfo[[#This Row],[Hospital Type]]</f>
        <v>Acute Care Hospitals</v>
      </c>
      <c r="D872" t="str">
        <f>[1]!hospitalinfo[[#This Row],[Hospital Ownership]]</f>
        <v>Voluntary non-profit - Private</v>
      </c>
      <c r="E872" cm="1">
        <f t="array" ref="E872">_xlfn.IFNA(_xlfn.XLOOKUP(1,([1]!hcahps[Facility ID] = clean[[#This Row],[Facility ID]]) * ([1]!hcahps[HCAHPS Measure ID] = "H_HSP_RATING_LINEAR_SCORE"), [1]!hcahps[HCAHPS Linear Mean Value]), "No Match")</f>
        <v>85</v>
      </c>
      <c r="F872" cm="1">
        <f t="array" ref="F872">_xlfn.IFNA(_xlfn.XLOOKUP(1,([1]!readmissions[Facility ID] = clean[[#This Row],[Facility ID]]) * ([1]!readmissions[Measure ID] = "Hybrid_HWR"), [1]!readmissions[Score]), "No Match")</f>
        <v>14.1</v>
      </c>
    </row>
    <row r="873" spans="1:6" x14ac:dyDescent="0.2">
      <c r="A873">
        <f>[1]!hospitalinfo[[#This Row],[Facility ID]]</f>
        <v>100026</v>
      </c>
      <c r="B873" t="str">
        <f>[1]!hospitalinfo[[#This Row],[State]]</f>
        <v>FL</v>
      </c>
      <c r="C873" t="str">
        <f>[1]!hospitalinfo[[#This Row],[Hospital Type]]</f>
        <v>Acute Care Hospitals</v>
      </c>
      <c r="D873" t="str">
        <f>[1]!hospitalinfo[[#This Row],[Hospital Ownership]]</f>
        <v>Voluntary non-profit - Private</v>
      </c>
      <c r="E873" cm="1">
        <f t="array" ref="E873">_xlfn.IFNA(_xlfn.XLOOKUP(1,([1]!hcahps[Facility ID] = clean[[#This Row],[Facility ID]]) * ([1]!hcahps[HCAHPS Measure ID] = "H_HSP_RATING_LINEAR_SCORE"), [1]!hcahps[HCAHPS Linear Mean Value]), "No Match")</f>
        <v>87</v>
      </c>
      <c r="F873" cm="1">
        <f t="array" ref="F873">_xlfn.IFNA(_xlfn.XLOOKUP(1,([1]!readmissions[Facility ID] = clean[[#This Row],[Facility ID]]) * ([1]!readmissions[Measure ID] = "Hybrid_HWR"), [1]!readmissions[Score]), "No Match")</f>
        <v>15.1</v>
      </c>
    </row>
    <row r="874" spans="1:6" x14ac:dyDescent="0.2">
      <c r="A874">
        <f>[1]!hospitalinfo[[#This Row],[Facility ID]]</f>
        <v>100028</v>
      </c>
      <c r="B874" t="str">
        <f>[1]!hospitalinfo[[#This Row],[State]]</f>
        <v>FL</v>
      </c>
      <c r="C874" t="str">
        <f>[1]!hospitalinfo[[#This Row],[Hospital Type]]</f>
        <v>Acute Care Hospitals</v>
      </c>
      <c r="D874" t="str">
        <f>[1]!hospitalinfo[[#This Row],[Hospital Ownership]]</f>
        <v>Government - Hospital District or Authority</v>
      </c>
      <c r="E874" cm="1">
        <f t="array" ref="E874">_xlfn.IFNA(_xlfn.XLOOKUP(1,([1]!hcahps[Facility ID] = clean[[#This Row],[Facility ID]]) * ([1]!hcahps[HCAHPS Measure ID] = "H_HSP_RATING_LINEAR_SCORE"), [1]!hcahps[HCAHPS Linear Mean Value]), "No Match")</f>
        <v>83</v>
      </c>
      <c r="F874" cm="1">
        <f t="array" ref="F874">_xlfn.IFNA(_xlfn.XLOOKUP(1,([1]!readmissions[Facility ID] = clean[[#This Row],[Facility ID]]) * ([1]!readmissions[Measure ID] = "Hybrid_HWR"), [1]!readmissions[Score]), "No Match")</f>
        <v>14.5</v>
      </c>
    </row>
    <row r="875" spans="1:6" x14ac:dyDescent="0.2">
      <c r="A875">
        <f>[1]!hospitalinfo[[#This Row],[Facility ID]]</f>
        <v>100029</v>
      </c>
      <c r="B875" t="str">
        <f>[1]!hospitalinfo[[#This Row],[State]]</f>
        <v>FL</v>
      </c>
      <c r="C875" t="str">
        <f>[1]!hospitalinfo[[#This Row],[Hospital Type]]</f>
        <v>Acute Care Hospitals</v>
      </c>
      <c r="D875" t="str">
        <f>[1]!hospitalinfo[[#This Row],[Hospital Ownership]]</f>
        <v>Proprietary</v>
      </c>
      <c r="E875" cm="1">
        <f t="array" ref="E875">_xlfn.IFNA(_xlfn.XLOOKUP(1,([1]!hcahps[Facility ID] = clean[[#This Row],[Facility ID]]) * ([1]!hcahps[HCAHPS Measure ID] = "H_HSP_RATING_LINEAR_SCORE"), [1]!hcahps[HCAHPS Linear Mean Value]), "No Match")</f>
        <v>76</v>
      </c>
      <c r="F875" cm="1">
        <f t="array" ref="F875">_xlfn.IFNA(_xlfn.XLOOKUP(1,([1]!readmissions[Facility ID] = clean[[#This Row],[Facility ID]]) * ([1]!readmissions[Measure ID] = "Hybrid_HWR"), [1]!readmissions[Score]), "No Match")</f>
        <v>17.5</v>
      </c>
    </row>
    <row r="876" spans="1:6" x14ac:dyDescent="0.2">
      <c r="A876">
        <f>[1]!hospitalinfo[[#This Row],[Facility ID]]</f>
        <v>100030</v>
      </c>
      <c r="B876" t="str">
        <f>[1]!hospitalinfo[[#This Row],[State]]</f>
        <v>FL</v>
      </c>
      <c r="C876" t="str">
        <f>[1]!hospitalinfo[[#This Row],[Hospital Type]]</f>
        <v>Acute Care Hospitals</v>
      </c>
      <c r="D876" t="str">
        <f>[1]!hospitalinfo[[#This Row],[Hospital Ownership]]</f>
        <v>Government - State</v>
      </c>
      <c r="E876" cm="1">
        <f t="array" ref="E876">_xlfn.IFNA(_xlfn.XLOOKUP(1,([1]!hcahps[Facility ID] = clean[[#This Row],[Facility ID]]) * ([1]!hcahps[HCAHPS Measure ID] = "H_HSP_RATING_LINEAR_SCORE"), [1]!hcahps[HCAHPS Linear Mean Value]), "No Match")</f>
        <v>89</v>
      </c>
      <c r="F876" cm="1">
        <f t="array" ref="F876">_xlfn.IFNA(_xlfn.XLOOKUP(1,([1]!readmissions[Facility ID] = clean[[#This Row],[Facility ID]]) * ([1]!readmissions[Measure ID] = "Hybrid_HWR"), [1]!readmissions[Score]), "No Match")</f>
        <v>15.9</v>
      </c>
    </row>
    <row r="877" spans="1:6" x14ac:dyDescent="0.2">
      <c r="A877">
        <f>[1]!hospitalinfo[[#This Row],[Facility ID]]</f>
        <v>100032</v>
      </c>
      <c r="B877" t="str">
        <f>[1]!hospitalinfo[[#This Row],[State]]</f>
        <v>FL</v>
      </c>
      <c r="C877" t="str">
        <f>[1]!hospitalinfo[[#This Row],[Hospital Type]]</f>
        <v>Acute Care Hospitals</v>
      </c>
      <c r="D877" t="str">
        <f>[1]!hospitalinfo[[#This Row],[Hospital Ownership]]</f>
        <v>Voluntary non-profit - Private</v>
      </c>
      <c r="E877" cm="1">
        <f t="array" ref="E877">_xlfn.IFNA(_xlfn.XLOOKUP(1,([1]!hcahps[Facility ID] = clean[[#This Row],[Facility ID]]) * ([1]!hcahps[HCAHPS Measure ID] = "H_HSP_RATING_LINEAR_SCORE"), [1]!hcahps[HCAHPS Linear Mean Value]), "No Match")</f>
        <v>85</v>
      </c>
      <c r="F877" cm="1">
        <f t="array" ref="F877">_xlfn.IFNA(_xlfn.XLOOKUP(1,([1]!readmissions[Facility ID] = clean[[#This Row],[Facility ID]]) * ([1]!readmissions[Measure ID] = "Hybrid_HWR"), [1]!readmissions[Score]), "No Match")</f>
        <v>15.8</v>
      </c>
    </row>
    <row r="878" spans="1:6" x14ac:dyDescent="0.2">
      <c r="A878">
        <f>[1]!hospitalinfo[[#This Row],[Facility ID]]</f>
        <v>100034</v>
      </c>
      <c r="B878" t="str">
        <f>[1]!hospitalinfo[[#This Row],[State]]</f>
        <v>FL</v>
      </c>
      <c r="C878" t="str">
        <f>[1]!hospitalinfo[[#This Row],[Hospital Type]]</f>
        <v>Acute Care Hospitals</v>
      </c>
      <c r="D878" t="str">
        <f>[1]!hospitalinfo[[#This Row],[Hospital Ownership]]</f>
        <v>Voluntary non-profit - Private</v>
      </c>
      <c r="E878" cm="1">
        <f t="array" ref="E878">_xlfn.IFNA(_xlfn.XLOOKUP(1,([1]!hcahps[Facility ID] = clean[[#This Row],[Facility ID]]) * ([1]!hcahps[HCAHPS Measure ID] = "H_HSP_RATING_LINEAR_SCORE"), [1]!hcahps[HCAHPS Linear Mean Value]), "No Match")</f>
        <v>87</v>
      </c>
      <c r="F878" cm="1">
        <f t="array" ref="F878">_xlfn.IFNA(_xlfn.XLOOKUP(1,([1]!readmissions[Facility ID] = clean[[#This Row],[Facility ID]]) * ([1]!readmissions[Measure ID] = "Hybrid_HWR"), [1]!readmissions[Score]), "No Match")</f>
        <v>15.3</v>
      </c>
    </row>
    <row r="879" spans="1:6" x14ac:dyDescent="0.2">
      <c r="A879">
        <f>[1]!hospitalinfo[[#This Row],[Facility ID]]</f>
        <v>100035</v>
      </c>
      <c r="B879" t="str">
        <f>[1]!hospitalinfo[[#This Row],[State]]</f>
        <v>FL</v>
      </c>
      <c r="C879" t="str">
        <f>[1]!hospitalinfo[[#This Row],[Hospital Type]]</f>
        <v>Acute Care Hospitals</v>
      </c>
      <c r="D879" t="str">
        <f>[1]!hospitalinfo[[#This Row],[Hospital Ownership]]</f>
        <v>Proprietary</v>
      </c>
      <c r="E879" cm="1">
        <f t="array" ref="E879">_xlfn.IFNA(_xlfn.XLOOKUP(1,([1]!hcahps[Facility ID] = clean[[#This Row],[Facility ID]]) * ([1]!hcahps[HCAHPS Measure ID] = "H_HSP_RATING_LINEAR_SCORE"), [1]!hcahps[HCAHPS Linear Mean Value]), "No Match")</f>
        <v>83</v>
      </c>
      <c r="F879" cm="1">
        <f t="array" ref="F879">_xlfn.IFNA(_xlfn.XLOOKUP(1,([1]!readmissions[Facility ID] = clean[[#This Row],[Facility ID]]) * ([1]!readmissions[Measure ID] = "Hybrid_HWR"), [1]!readmissions[Score]), "No Match")</f>
        <v>14.6</v>
      </c>
    </row>
    <row r="880" spans="1:6" x14ac:dyDescent="0.2">
      <c r="A880">
        <f>[1]!hospitalinfo[[#This Row],[Facility ID]]</f>
        <v>100038</v>
      </c>
      <c r="B880" t="str">
        <f>[1]!hospitalinfo[[#This Row],[State]]</f>
        <v>FL</v>
      </c>
      <c r="C880" t="str">
        <f>[1]!hospitalinfo[[#This Row],[Hospital Type]]</f>
        <v>Acute Care Hospitals</v>
      </c>
      <c r="D880" t="str">
        <f>[1]!hospitalinfo[[#This Row],[Hospital Ownership]]</f>
        <v>Government - Hospital District or Authority</v>
      </c>
      <c r="E880" cm="1">
        <f t="array" ref="E880">_xlfn.IFNA(_xlfn.XLOOKUP(1,([1]!hcahps[Facility ID] = clean[[#This Row],[Facility ID]]) * ([1]!hcahps[HCAHPS Measure ID] = "H_HSP_RATING_LINEAR_SCORE"), [1]!hcahps[HCAHPS Linear Mean Value]), "No Match")</f>
        <v>86</v>
      </c>
      <c r="F880" cm="1">
        <f t="array" ref="F880">_xlfn.IFNA(_xlfn.XLOOKUP(1,([1]!readmissions[Facility ID] = clean[[#This Row],[Facility ID]]) * ([1]!readmissions[Measure ID] = "Hybrid_HWR"), [1]!readmissions[Score]), "No Match")</f>
        <v>16.600000000000001</v>
      </c>
    </row>
    <row r="881" spans="1:6" x14ac:dyDescent="0.2">
      <c r="A881">
        <f>[1]!hospitalinfo[[#This Row],[Facility ID]]</f>
        <v>100039</v>
      </c>
      <c r="B881" t="str">
        <f>[1]!hospitalinfo[[#This Row],[State]]</f>
        <v>FL</v>
      </c>
      <c r="C881" t="str">
        <f>[1]!hospitalinfo[[#This Row],[Hospital Type]]</f>
        <v>Acute Care Hospitals</v>
      </c>
      <c r="D881" t="str">
        <f>[1]!hospitalinfo[[#This Row],[Hospital Ownership]]</f>
        <v>Government - Hospital District or Authority</v>
      </c>
      <c r="E881" cm="1">
        <f t="array" ref="E881">_xlfn.IFNA(_xlfn.XLOOKUP(1,([1]!hcahps[Facility ID] = clean[[#This Row],[Facility ID]]) * ([1]!hcahps[HCAHPS Measure ID] = "H_HSP_RATING_LINEAR_SCORE"), [1]!hcahps[HCAHPS Linear Mean Value]), "No Match")</f>
        <v>85</v>
      </c>
      <c r="F881" cm="1">
        <f t="array" ref="F881">_xlfn.IFNA(_xlfn.XLOOKUP(1,([1]!readmissions[Facility ID] = clean[[#This Row],[Facility ID]]) * ([1]!readmissions[Measure ID] = "Hybrid_HWR"), [1]!readmissions[Score]), "No Match")</f>
        <v>16.2</v>
      </c>
    </row>
    <row r="882" spans="1:6" x14ac:dyDescent="0.2">
      <c r="A882">
        <f>[1]!hospitalinfo[[#This Row],[Facility ID]]</f>
        <v>100040</v>
      </c>
      <c r="B882" t="str">
        <f>[1]!hospitalinfo[[#This Row],[State]]</f>
        <v>FL</v>
      </c>
      <c r="C882" t="str">
        <f>[1]!hospitalinfo[[#This Row],[Hospital Type]]</f>
        <v>Acute Care Hospitals</v>
      </c>
      <c r="D882" t="str">
        <f>[1]!hospitalinfo[[#This Row],[Hospital Ownership]]</f>
        <v>Voluntary non-profit - Private</v>
      </c>
      <c r="E882" cm="1">
        <f t="array" ref="E882">_xlfn.IFNA(_xlfn.XLOOKUP(1,([1]!hcahps[Facility ID] = clean[[#This Row],[Facility ID]]) * ([1]!hcahps[HCAHPS Measure ID] = "H_HSP_RATING_LINEAR_SCORE"), [1]!hcahps[HCAHPS Linear Mean Value]), "No Match")</f>
        <v>86</v>
      </c>
      <c r="F882" cm="1">
        <f t="array" ref="F882">_xlfn.IFNA(_xlfn.XLOOKUP(1,([1]!readmissions[Facility ID] = clean[[#This Row],[Facility ID]]) * ([1]!readmissions[Measure ID] = "Hybrid_HWR"), [1]!readmissions[Score]), "No Match")</f>
        <v>14.6</v>
      </c>
    </row>
    <row r="883" spans="1:6" x14ac:dyDescent="0.2">
      <c r="A883">
        <f>[1]!hospitalinfo[[#This Row],[Facility ID]]</f>
        <v>100043</v>
      </c>
      <c r="B883" t="str">
        <f>[1]!hospitalinfo[[#This Row],[State]]</f>
        <v>FL</v>
      </c>
      <c r="C883" t="str">
        <f>[1]!hospitalinfo[[#This Row],[Hospital Type]]</f>
        <v>Acute Care Hospitals</v>
      </c>
      <c r="D883" t="str">
        <f>[1]!hospitalinfo[[#This Row],[Hospital Ownership]]</f>
        <v>Voluntary non-profit - Private</v>
      </c>
      <c r="E883" cm="1">
        <f t="array" ref="E883">_xlfn.IFNA(_xlfn.XLOOKUP(1,([1]!hcahps[Facility ID] = clean[[#This Row],[Facility ID]]) * ([1]!hcahps[HCAHPS Measure ID] = "H_HSP_RATING_LINEAR_SCORE"), [1]!hcahps[HCAHPS Linear Mean Value]), "No Match")</f>
        <v>92</v>
      </c>
      <c r="F883" cm="1">
        <f t="array" ref="F883">_xlfn.IFNA(_xlfn.XLOOKUP(1,([1]!readmissions[Facility ID] = clean[[#This Row],[Facility ID]]) * ([1]!readmissions[Measure ID] = "Hybrid_HWR"), [1]!readmissions[Score]), "No Match")</f>
        <v>14.6</v>
      </c>
    </row>
    <row r="884" spans="1:6" x14ac:dyDescent="0.2">
      <c r="A884">
        <f>[1]!hospitalinfo[[#This Row],[Facility ID]]</f>
        <v>100044</v>
      </c>
      <c r="B884" t="str">
        <f>[1]!hospitalinfo[[#This Row],[State]]</f>
        <v>FL</v>
      </c>
      <c r="C884" t="str">
        <f>[1]!hospitalinfo[[#This Row],[Hospital Type]]</f>
        <v>Acute Care Hospitals</v>
      </c>
      <c r="D884" t="str">
        <f>[1]!hospitalinfo[[#This Row],[Hospital Ownership]]</f>
        <v>Voluntary non-profit - Private</v>
      </c>
      <c r="E884" cm="1">
        <f t="array" ref="E884">_xlfn.IFNA(_xlfn.XLOOKUP(1,([1]!hcahps[Facility ID] = clean[[#This Row],[Facility ID]]) * ([1]!hcahps[HCAHPS Measure ID] = "H_HSP_RATING_LINEAR_SCORE"), [1]!hcahps[HCAHPS Linear Mean Value]), "No Match")</f>
        <v>84</v>
      </c>
      <c r="F884" cm="1">
        <f t="array" ref="F884">_xlfn.IFNA(_xlfn.XLOOKUP(1,([1]!readmissions[Facility ID] = clean[[#This Row],[Facility ID]]) * ([1]!readmissions[Measure ID] = "Hybrid_HWR"), [1]!readmissions[Score]), "No Match")</f>
        <v>16</v>
      </c>
    </row>
    <row r="885" spans="1:6" x14ac:dyDescent="0.2">
      <c r="A885">
        <f>[1]!hospitalinfo[[#This Row],[Facility ID]]</f>
        <v>100045</v>
      </c>
      <c r="B885" t="str">
        <f>[1]!hospitalinfo[[#This Row],[State]]</f>
        <v>FL</v>
      </c>
      <c r="C885" t="str">
        <f>[1]!hospitalinfo[[#This Row],[Hospital Type]]</f>
        <v>Acute Care Hospitals</v>
      </c>
      <c r="D885" t="str">
        <f>[1]!hospitalinfo[[#This Row],[Hospital Ownership]]</f>
        <v>Voluntary non-profit - Church</v>
      </c>
      <c r="E885" cm="1">
        <f t="array" ref="E885">_xlfn.IFNA(_xlfn.XLOOKUP(1,([1]!hcahps[Facility ID] = clean[[#This Row],[Facility ID]]) * ([1]!hcahps[HCAHPS Measure ID] = "H_HSP_RATING_LINEAR_SCORE"), [1]!hcahps[HCAHPS Linear Mean Value]), "No Match")</f>
        <v>88</v>
      </c>
      <c r="F885" cm="1">
        <f t="array" ref="F885">_xlfn.IFNA(_xlfn.XLOOKUP(1,([1]!readmissions[Facility ID] = clean[[#This Row],[Facility ID]]) * ([1]!readmissions[Measure ID] = "Hybrid_HWR"), [1]!readmissions[Score]), "No Match")</f>
        <v>15.1</v>
      </c>
    </row>
    <row r="886" spans="1:6" x14ac:dyDescent="0.2">
      <c r="A886">
        <f>[1]!hospitalinfo[[#This Row],[Facility ID]]</f>
        <v>100046</v>
      </c>
      <c r="B886" t="str">
        <f>[1]!hospitalinfo[[#This Row],[State]]</f>
        <v>FL</v>
      </c>
      <c r="C886" t="str">
        <f>[1]!hospitalinfo[[#This Row],[Hospital Type]]</f>
        <v>Acute Care Hospitals</v>
      </c>
      <c r="D886" t="str">
        <f>[1]!hospitalinfo[[#This Row],[Hospital Ownership]]</f>
        <v>Voluntary non-profit - Church</v>
      </c>
      <c r="E886" cm="1">
        <f t="array" ref="E886">_xlfn.IFNA(_xlfn.XLOOKUP(1,([1]!hcahps[Facility ID] = clean[[#This Row],[Facility ID]]) * ([1]!hcahps[HCAHPS Measure ID] = "H_HSP_RATING_LINEAR_SCORE"), [1]!hcahps[HCAHPS Linear Mean Value]), "No Match")</f>
        <v>89</v>
      </c>
      <c r="F886" cm="1">
        <f t="array" ref="F886">_xlfn.IFNA(_xlfn.XLOOKUP(1,([1]!readmissions[Facility ID] = clean[[#This Row],[Facility ID]]) * ([1]!readmissions[Measure ID] = "Hybrid_HWR"), [1]!readmissions[Score]), "No Match")</f>
        <v>14.7</v>
      </c>
    </row>
    <row r="887" spans="1:6" x14ac:dyDescent="0.2">
      <c r="A887">
        <f>[1]!hospitalinfo[[#This Row],[Facility ID]]</f>
        <v>100049</v>
      </c>
      <c r="B887" t="str">
        <f>[1]!hospitalinfo[[#This Row],[State]]</f>
        <v>FL</v>
      </c>
      <c r="C887" t="str">
        <f>[1]!hospitalinfo[[#This Row],[Hospital Type]]</f>
        <v>Acute Care Hospitals</v>
      </c>
      <c r="D887" t="str">
        <f>[1]!hospitalinfo[[#This Row],[Hospital Ownership]]</f>
        <v>Proprietary</v>
      </c>
      <c r="E887" cm="1">
        <f t="array" ref="E887">_xlfn.IFNA(_xlfn.XLOOKUP(1,([1]!hcahps[Facility ID] = clean[[#This Row],[Facility ID]]) * ([1]!hcahps[HCAHPS Measure ID] = "H_HSP_RATING_LINEAR_SCORE"), [1]!hcahps[HCAHPS Linear Mean Value]), "No Match")</f>
        <v>85</v>
      </c>
      <c r="F887" cm="1">
        <f t="array" ref="F887">_xlfn.IFNA(_xlfn.XLOOKUP(1,([1]!readmissions[Facility ID] = clean[[#This Row],[Facility ID]]) * ([1]!readmissions[Measure ID] = "Hybrid_HWR"), [1]!readmissions[Score]), "No Match")</f>
        <v>15.9</v>
      </c>
    </row>
    <row r="888" spans="1:6" x14ac:dyDescent="0.2">
      <c r="A888">
        <f>[1]!hospitalinfo[[#This Row],[Facility ID]]</f>
        <v>100050</v>
      </c>
      <c r="B888" t="str">
        <f>[1]!hospitalinfo[[#This Row],[State]]</f>
        <v>FL</v>
      </c>
      <c r="C888" t="str">
        <f>[1]!hospitalinfo[[#This Row],[Hospital Type]]</f>
        <v>Acute Care Hospitals</v>
      </c>
      <c r="D888" t="str">
        <f>[1]!hospitalinfo[[#This Row],[Hospital Ownership]]</f>
        <v>Voluntary non-profit - Private</v>
      </c>
      <c r="E888" cm="1">
        <f t="array" ref="E888">_xlfn.IFNA(_xlfn.XLOOKUP(1,([1]!hcahps[Facility ID] = clean[[#This Row],[Facility ID]]) * ([1]!hcahps[HCAHPS Measure ID] = "H_HSP_RATING_LINEAR_SCORE"), [1]!hcahps[HCAHPS Linear Mean Value]), "No Match")</f>
        <v>82</v>
      </c>
      <c r="F888" cm="1">
        <f t="array" ref="F888">_xlfn.IFNA(_xlfn.XLOOKUP(1,([1]!readmissions[Facility ID] = clean[[#This Row],[Facility ID]]) * ([1]!readmissions[Measure ID] = "Hybrid_HWR"), [1]!readmissions[Score]), "No Match")</f>
        <v>14.7</v>
      </c>
    </row>
    <row r="889" spans="1:6" x14ac:dyDescent="0.2">
      <c r="A889">
        <f>[1]!hospitalinfo[[#This Row],[Facility ID]]</f>
        <v>100051</v>
      </c>
      <c r="B889" t="str">
        <f>[1]!hospitalinfo[[#This Row],[State]]</f>
        <v>FL</v>
      </c>
      <c r="C889" t="str">
        <f>[1]!hospitalinfo[[#This Row],[Hospital Type]]</f>
        <v>Acute Care Hospitals</v>
      </c>
      <c r="D889" t="str">
        <f>[1]!hospitalinfo[[#This Row],[Hospital Ownership]]</f>
        <v>Government - Hospital District or Authority</v>
      </c>
      <c r="E889" cm="1">
        <f t="array" ref="E889">_xlfn.IFNA(_xlfn.XLOOKUP(1,([1]!hcahps[Facility ID] = clean[[#This Row],[Facility ID]]) * ([1]!hcahps[HCAHPS Measure ID] = "H_HSP_RATING_LINEAR_SCORE"), [1]!hcahps[HCAHPS Linear Mean Value]), "No Match")</f>
        <v>89</v>
      </c>
      <c r="F889" cm="1">
        <f t="array" ref="F889">_xlfn.IFNA(_xlfn.XLOOKUP(1,([1]!readmissions[Facility ID] = clean[[#This Row],[Facility ID]]) * ([1]!readmissions[Measure ID] = "Hybrid_HWR"), [1]!readmissions[Score]), "No Match")</f>
        <v>15.9</v>
      </c>
    </row>
    <row r="890" spans="1:6" x14ac:dyDescent="0.2">
      <c r="A890">
        <f>[1]!hospitalinfo[[#This Row],[Facility ID]]</f>
        <v>100052</v>
      </c>
      <c r="B890" t="str">
        <f>[1]!hospitalinfo[[#This Row],[State]]</f>
        <v>FL</v>
      </c>
      <c r="C890" t="str">
        <f>[1]!hospitalinfo[[#This Row],[Hospital Type]]</f>
        <v>Acute Care Hospitals</v>
      </c>
      <c r="D890" t="str">
        <f>[1]!hospitalinfo[[#This Row],[Hospital Ownership]]</f>
        <v>Voluntary non-profit - Private</v>
      </c>
      <c r="E890" cm="1">
        <f t="array" ref="E890">_xlfn.IFNA(_xlfn.XLOOKUP(1,([1]!hcahps[Facility ID] = clean[[#This Row],[Facility ID]]) * ([1]!hcahps[HCAHPS Measure ID] = "H_HSP_RATING_LINEAR_SCORE"), [1]!hcahps[HCAHPS Linear Mean Value]), "No Match")</f>
        <v>86</v>
      </c>
      <c r="F890" cm="1">
        <f t="array" ref="F890">_xlfn.IFNA(_xlfn.XLOOKUP(1,([1]!readmissions[Facility ID] = clean[[#This Row],[Facility ID]]) * ([1]!readmissions[Measure ID] = "Hybrid_HWR"), [1]!readmissions[Score]), "No Match")</f>
        <v>14.8</v>
      </c>
    </row>
    <row r="891" spans="1:6" x14ac:dyDescent="0.2">
      <c r="A891">
        <f>[1]!hospitalinfo[[#This Row],[Facility ID]]</f>
        <v>100053</v>
      </c>
      <c r="B891" t="str">
        <f>[1]!hospitalinfo[[#This Row],[State]]</f>
        <v>FL</v>
      </c>
      <c r="C891" t="str">
        <f>[1]!hospitalinfo[[#This Row],[Hospital Type]]</f>
        <v>Acute Care Hospitals</v>
      </c>
      <c r="D891" t="str">
        <f>[1]!hospitalinfo[[#This Row],[Hospital Ownership]]</f>
        <v>Proprietary</v>
      </c>
      <c r="E891" cm="1">
        <f t="array" ref="E891">_xlfn.IFNA(_xlfn.XLOOKUP(1,([1]!hcahps[Facility ID] = clean[[#This Row],[Facility ID]]) * ([1]!hcahps[HCAHPS Measure ID] = "H_HSP_RATING_LINEAR_SCORE"), [1]!hcahps[HCAHPS Linear Mean Value]), "No Match")</f>
        <v>81</v>
      </c>
      <c r="F891" cm="1">
        <f t="array" ref="F891">_xlfn.IFNA(_xlfn.XLOOKUP(1,([1]!readmissions[Facility ID] = clean[[#This Row],[Facility ID]]) * ([1]!readmissions[Measure ID] = "Hybrid_HWR"), [1]!readmissions[Score]), "No Match")</f>
        <v>15.8</v>
      </c>
    </row>
    <row r="892" spans="1:6" x14ac:dyDescent="0.2">
      <c r="A892">
        <f>[1]!hospitalinfo[[#This Row],[Facility ID]]</f>
        <v>100054</v>
      </c>
      <c r="B892" t="str">
        <f>[1]!hospitalinfo[[#This Row],[State]]</f>
        <v>FL</v>
      </c>
      <c r="C892" t="str">
        <f>[1]!hospitalinfo[[#This Row],[Hospital Type]]</f>
        <v>Acute Care Hospitals</v>
      </c>
      <c r="D892" t="str">
        <f>[1]!hospitalinfo[[#This Row],[Hospital Ownership]]</f>
        <v>Proprietary</v>
      </c>
      <c r="E892" cm="1">
        <f t="array" ref="E892">_xlfn.IFNA(_xlfn.XLOOKUP(1,([1]!hcahps[Facility ID] = clean[[#This Row],[Facility ID]]) * ([1]!hcahps[HCAHPS Measure ID] = "H_HSP_RATING_LINEAR_SCORE"), [1]!hcahps[HCAHPS Linear Mean Value]), "No Match")</f>
        <v>92</v>
      </c>
      <c r="F892" cm="1">
        <f t="array" ref="F892">_xlfn.IFNA(_xlfn.XLOOKUP(1,([1]!readmissions[Facility ID] = clean[[#This Row],[Facility ID]]) * ([1]!readmissions[Measure ID] = "Hybrid_HWR"), [1]!readmissions[Score]), "No Match")</f>
        <v>15.6</v>
      </c>
    </row>
    <row r="893" spans="1:6" x14ac:dyDescent="0.2">
      <c r="A893">
        <f>[1]!hospitalinfo[[#This Row],[Facility ID]]</f>
        <v>100055</v>
      </c>
      <c r="B893" t="str">
        <f>[1]!hospitalinfo[[#This Row],[State]]</f>
        <v>FL</v>
      </c>
      <c r="C893" t="str">
        <f>[1]!hospitalinfo[[#This Row],[Hospital Type]]</f>
        <v>Acute Care Hospitals</v>
      </c>
      <c r="D893" t="str">
        <f>[1]!hospitalinfo[[#This Row],[Hospital Ownership]]</f>
        <v>Voluntary non-profit - Other</v>
      </c>
      <c r="E893" cm="1">
        <f t="array" ref="E893">_xlfn.IFNA(_xlfn.XLOOKUP(1,([1]!hcahps[Facility ID] = clean[[#This Row],[Facility ID]]) * ([1]!hcahps[HCAHPS Measure ID] = "H_HSP_RATING_LINEAR_SCORE"), [1]!hcahps[HCAHPS Linear Mean Value]), "No Match")</f>
        <v>89</v>
      </c>
      <c r="F893" cm="1">
        <f t="array" ref="F893">_xlfn.IFNA(_xlfn.XLOOKUP(1,([1]!readmissions[Facility ID] = clean[[#This Row],[Facility ID]]) * ([1]!readmissions[Measure ID] = "Hybrid_HWR"), [1]!readmissions[Score]), "No Match")</f>
        <v>14.9</v>
      </c>
    </row>
    <row r="894" spans="1:6" x14ac:dyDescent="0.2">
      <c r="A894">
        <f>[1]!hospitalinfo[[#This Row],[Facility ID]]</f>
        <v>100057</v>
      </c>
      <c r="B894" t="str">
        <f>[1]!hospitalinfo[[#This Row],[State]]</f>
        <v>FL</v>
      </c>
      <c r="C894" t="str">
        <f>[1]!hospitalinfo[[#This Row],[Hospital Type]]</f>
        <v>Acute Care Hospitals</v>
      </c>
      <c r="D894" t="str">
        <f>[1]!hospitalinfo[[#This Row],[Hospital Ownership]]</f>
        <v>Voluntary non-profit - Church</v>
      </c>
      <c r="E894" cm="1">
        <f t="array" ref="E894">_xlfn.IFNA(_xlfn.XLOOKUP(1,([1]!hcahps[Facility ID] = clean[[#This Row],[Facility ID]]) * ([1]!hcahps[HCAHPS Measure ID] = "H_HSP_RATING_LINEAR_SCORE"), [1]!hcahps[HCAHPS Linear Mean Value]), "No Match")</f>
        <v>89</v>
      </c>
      <c r="F894" cm="1">
        <f t="array" ref="F894">_xlfn.IFNA(_xlfn.XLOOKUP(1,([1]!readmissions[Facility ID] = clean[[#This Row],[Facility ID]]) * ([1]!readmissions[Measure ID] = "Hybrid_HWR"), [1]!readmissions[Score]), "No Match")</f>
        <v>14.8</v>
      </c>
    </row>
    <row r="895" spans="1:6" x14ac:dyDescent="0.2">
      <c r="A895">
        <f>[1]!hospitalinfo[[#This Row],[Facility ID]]</f>
        <v>100062</v>
      </c>
      <c r="B895" t="str">
        <f>[1]!hospitalinfo[[#This Row],[State]]</f>
        <v>FL</v>
      </c>
      <c r="C895" t="str">
        <f>[1]!hospitalinfo[[#This Row],[Hospital Type]]</f>
        <v>Acute Care Hospitals</v>
      </c>
      <c r="D895" t="str">
        <f>[1]!hospitalinfo[[#This Row],[Hospital Ownership]]</f>
        <v>Government - Hospital District or Authority</v>
      </c>
      <c r="E895" cm="1">
        <f t="array" ref="E895">_xlfn.IFNA(_xlfn.XLOOKUP(1,([1]!hcahps[Facility ID] = clean[[#This Row],[Facility ID]]) * ([1]!hcahps[HCAHPS Measure ID] = "H_HSP_RATING_LINEAR_SCORE"), [1]!hcahps[HCAHPS Linear Mean Value]), "No Match")</f>
        <v>86</v>
      </c>
      <c r="F895" cm="1">
        <f t="array" ref="F895">_xlfn.IFNA(_xlfn.XLOOKUP(1,([1]!readmissions[Facility ID] = clean[[#This Row],[Facility ID]]) * ([1]!readmissions[Measure ID] = "Hybrid_HWR"), [1]!readmissions[Score]), "No Match")</f>
        <v>15.4</v>
      </c>
    </row>
    <row r="896" spans="1:6" x14ac:dyDescent="0.2">
      <c r="A896">
        <f>[1]!hospitalinfo[[#This Row],[Facility ID]]</f>
        <v>100063</v>
      </c>
      <c r="B896" t="str">
        <f>[1]!hospitalinfo[[#This Row],[State]]</f>
        <v>FL</v>
      </c>
      <c r="C896" t="str">
        <f>[1]!hospitalinfo[[#This Row],[Hospital Type]]</f>
        <v>Acute Care Hospitals</v>
      </c>
      <c r="D896" t="str">
        <f>[1]!hospitalinfo[[#This Row],[Hospital Ownership]]</f>
        <v>Voluntary non-profit - Private</v>
      </c>
      <c r="E896" cm="1">
        <f t="array" ref="E896">_xlfn.IFNA(_xlfn.XLOOKUP(1,([1]!hcahps[Facility ID] = clean[[#This Row],[Facility ID]]) * ([1]!hcahps[HCAHPS Measure ID] = "H_HSP_RATING_LINEAR_SCORE"), [1]!hcahps[HCAHPS Linear Mean Value]), "No Match")</f>
        <v>91</v>
      </c>
      <c r="F896" cm="1">
        <f t="array" ref="F896">_xlfn.IFNA(_xlfn.XLOOKUP(1,([1]!readmissions[Facility ID] = clean[[#This Row],[Facility ID]]) * ([1]!readmissions[Measure ID] = "Hybrid_HWR"), [1]!readmissions[Score]), "No Match")</f>
        <v>16</v>
      </c>
    </row>
    <row r="897" spans="1:6" x14ac:dyDescent="0.2">
      <c r="A897">
        <f>[1]!hospitalinfo[[#This Row],[Facility ID]]</f>
        <v>100067</v>
      </c>
      <c r="B897" t="str">
        <f>[1]!hospitalinfo[[#This Row],[State]]</f>
        <v>FL</v>
      </c>
      <c r="C897" t="str">
        <f>[1]!hospitalinfo[[#This Row],[Hospital Type]]</f>
        <v>Acute Care Hospitals</v>
      </c>
      <c r="D897" t="str">
        <f>[1]!hospitalinfo[[#This Row],[Hospital Ownership]]</f>
        <v>Voluntary non-profit - Church</v>
      </c>
      <c r="E897" cm="1">
        <f t="array" ref="E897">_xlfn.IFNA(_xlfn.XLOOKUP(1,([1]!hcahps[Facility ID] = clean[[#This Row],[Facility ID]]) * ([1]!hcahps[HCAHPS Measure ID] = "H_HSP_RATING_LINEAR_SCORE"), [1]!hcahps[HCAHPS Linear Mean Value]), "No Match")</f>
        <v>91</v>
      </c>
      <c r="F897" cm="1">
        <f t="array" ref="F897">_xlfn.IFNA(_xlfn.XLOOKUP(1,([1]!readmissions[Facility ID] = clean[[#This Row],[Facility ID]]) * ([1]!readmissions[Measure ID] = "Hybrid_HWR"), [1]!readmissions[Score]), "No Match")</f>
        <v>15.6</v>
      </c>
    </row>
    <row r="898" spans="1:6" x14ac:dyDescent="0.2">
      <c r="A898">
        <f>[1]!hospitalinfo[[#This Row],[Facility ID]]</f>
        <v>100068</v>
      </c>
      <c r="B898" t="str">
        <f>[1]!hospitalinfo[[#This Row],[State]]</f>
        <v>FL</v>
      </c>
      <c r="C898" t="str">
        <f>[1]!hospitalinfo[[#This Row],[Hospital Type]]</f>
        <v>Acute Care Hospitals</v>
      </c>
      <c r="D898" t="str">
        <f>[1]!hospitalinfo[[#This Row],[Hospital Ownership]]</f>
        <v>Voluntary non-profit - Church</v>
      </c>
      <c r="E898" cm="1">
        <f t="array" ref="E898">_xlfn.IFNA(_xlfn.XLOOKUP(1,([1]!hcahps[Facility ID] = clean[[#This Row],[Facility ID]]) * ([1]!hcahps[HCAHPS Measure ID] = "H_HSP_RATING_LINEAR_SCORE"), [1]!hcahps[HCAHPS Linear Mean Value]), "No Match")</f>
        <v>89</v>
      </c>
      <c r="F898" cm="1">
        <f t="array" ref="F898">_xlfn.IFNA(_xlfn.XLOOKUP(1,([1]!readmissions[Facility ID] = clean[[#This Row],[Facility ID]]) * ([1]!readmissions[Measure ID] = "Hybrid_HWR"), [1]!readmissions[Score]), "No Match")</f>
        <v>14.2</v>
      </c>
    </row>
    <row r="899" spans="1:6" x14ac:dyDescent="0.2">
      <c r="A899">
        <f>[1]!hospitalinfo[[#This Row],[Facility ID]]</f>
        <v>100069</v>
      </c>
      <c r="B899" t="str">
        <f>[1]!hospitalinfo[[#This Row],[State]]</f>
        <v>FL</v>
      </c>
      <c r="C899" t="str">
        <f>[1]!hospitalinfo[[#This Row],[Hospital Type]]</f>
        <v>Acute Care Hospitals</v>
      </c>
      <c r="D899" t="str">
        <f>[1]!hospitalinfo[[#This Row],[Hospital Ownership]]</f>
        <v>Voluntary non-profit - Church</v>
      </c>
      <c r="E899" cm="1">
        <f t="array" ref="E899">_xlfn.IFNA(_xlfn.XLOOKUP(1,([1]!hcahps[Facility ID] = clean[[#This Row],[Facility ID]]) * ([1]!hcahps[HCAHPS Measure ID] = "H_HSP_RATING_LINEAR_SCORE"), [1]!hcahps[HCAHPS Linear Mean Value]), "No Match")</f>
        <v>88</v>
      </c>
      <c r="F899" cm="1">
        <f t="array" ref="F899">_xlfn.IFNA(_xlfn.XLOOKUP(1,([1]!readmissions[Facility ID] = clean[[#This Row],[Facility ID]]) * ([1]!readmissions[Measure ID] = "Hybrid_HWR"), [1]!readmissions[Score]), "No Match")</f>
        <v>15</v>
      </c>
    </row>
    <row r="900" spans="1:6" x14ac:dyDescent="0.2">
      <c r="A900">
        <f>[1]!hospitalinfo[[#This Row],[Facility ID]]</f>
        <v>100071</v>
      </c>
      <c r="B900" t="str">
        <f>[1]!hospitalinfo[[#This Row],[State]]</f>
        <v>FL</v>
      </c>
      <c r="C900" t="str">
        <f>[1]!hospitalinfo[[#This Row],[Hospital Type]]</f>
        <v>Acute Care Hospitals</v>
      </c>
      <c r="D900" t="str">
        <f>[1]!hospitalinfo[[#This Row],[Hospital Ownership]]</f>
        <v>Voluntary non-profit - Church</v>
      </c>
      <c r="E900" cm="1">
        <f t="array" ref="E900">_xlfn.IFNA(_xlfn.XLOOKUP(1,([1]!hcahps[Facility ID] = clean[[#This Row],[Facility ID]]) * ([1]!hcahps[HCAHPS Measure ID] = "H_HSP_RATING_LINEAR_SCORE"), [1]!hcahps[HCAHPS Linear Mean Value]), "No Match")</f>
        <v>79</v>
      </c>
      <c r="F900" cm="1">
        <f t="array" ref="F900">_xlfn.IFNA(_xlfn.XLOOKUP(1,([1]!readmissions[Facility ID] = clean[[#This Row],[Facility ID]]) * ([1]!readmissions[Measure ID] = "Hybrid_HWR"), [1]!readmissions[Score]), "No Match")</f>
        <v>16.8</v>
      </c>
    </row>
    <row r="901" spans="1:6" x14ac:dyDescent="0.2">
      <c r="A901">
        <f>[1]!hospitalinfo[[#This Row],[Facility ID]]</f>
        <v>100072</v>
      </c>
      <c r="B901" t="str">
        <f>[1]!hospitalinfo[[#This Row],[State]]</f>
        <v>FL</v>
      </c>
      <c r="C901" t="str">
        <f>[1]!hospitalinfo[[#This Row],[Hospital Type]]</f>
        <v>Acute Care Hospitals</v>
      </c>
      <c r="D901" t="str">
        <f>[1]!hospitalinfo[[#This Row],[Hospital Ownership]]</f>
        <v>Voluntary non-profit - Church</v>
      </c>
      <c r="E901" cm="1">
        <f t="array" ref="E901">_xlfn.IFNA(_xlfn.XLOOKUP(1,([1]!hcahps[Facility ID] = clean[[#This Row],[Facility ID]]) * ([1]!hcahps[HCAHPS Measure ID] = "H_HSP_RATING_LINEAR_SCORE"), [1]!hcahps[HCAHPS Linear Mean Value]), "No Match")</f>
        <v>90</v>
      </c>
      <c r="F901" cm="1">
        <f t="array" ref="F901">_xlfn.IFNA(_xlfn.XLOOKUP(1,([1]!readmissions[Facility ID] = clean[[#This Row],[Facility ID]]) * ([1]!readmissions[Measure ID] = "Hybrid_HWR"), [1]!readmissions[Score]), "No Match")</f>
        <v>14.6</v>
      </c>
    </row>
    <row r="902" spans="1:6" x14ac:dyDescent="0.2">
      <c r="A902">
        <f>[1]!hospitalinfo[[#This Row],[Facility ID]]</f>
        <v>100073</v>
      </c>
      <c r="B902" t="str">
        <f>[1]!hospitalinfo[[#This Row],[State]]</f>
        <v>FL</v>
      </c>
      <c r="C902" t="str">
        <f>[1]!hospitalinfo[[#This Row],[Hospital Type]]</f>
        <v>Acute Care Hospitals</v>
      </c>
      <c r="D902" t="str">
        <f>[1]!hospitalinfo[[#This Row],[Hospital Ownership]]</f>
        <v>Voluntary non-profit - Church</v>
      </c>
      <c r="E902" cm="1">
        <f t="array" ref="E902">_xlfn.IFNA(_xlfn.XLOOKUP(1,([1]!hcahps[Facility ID] = clean[[#This Row],[Facility ID]]) * ([1]!hcahps[HCAHPS Measure ID] = "H_HSP_RATING_LINEAR_SCORE"), [1]!hcahps[HCAHPS Linear Mean Value]), "No Match")</f>
        <v>86</v>
      </c>
      <c r="F902" cm="1">
        <f t="array" ref="F902">_xlfn.IFNA(_xlfn.XLOOKUP(1,([1]!readmissions[Facility ID] = clean[[#This Row],[Facility ID]]) * ([1]!readmissions[Measure ID] = "Hybrid_HWR"), [1]!readmissions[Score]), "No Match")</f>
        <v>14.8</v>
      </c>
    </row>
    <row r="903" spans="1:6" x14ac:dyDescent="0.2">
      <c r="A903">
        <f>[1]!hospitalinfo[[#This Row],[Facility ID]]</f>
        <v>100075</v>
      </c>
      <c r="B903" t="str">
        <f>[1]!hospitalinfo[[#This Row],[State]]</f>
        <v>FL</v>
      </c>
      <c r="C903" t="str">
        <f>[1]!hospitalinfo[[#This Row],[Hospital Type]]</f>
        <v>Acute Care Hospitals</v>
      </c>
      <c r="D903" t="str">
        <f>[1]!hospitalinfo[[#This Row],[Hospital Ownership]]</f>
        <v>Voluntary non-profit - Church</v>
      </c>
      <c r="E903" cm="1">
        <f t="array" ref="E903">_xlfn.IFNA(_xlfn.XLOOKUP(1,([1]!hcahps[Facility ID] = clean[[#This Row],[Facility ID]]) * ([1]!hcahps[HCAHPS Measure ID] = "H_HSP_RATING_LINEAR_SCORE"), [1]!hcahps[HCAHPS Linear Mean Value]), "No Match")</f>
        <v>90</v>
      </c>
      <c r="F903" cm="1">
        <f t="array" ref="F903">_xlfn.IFNA(_xlfn.XLOOKUP(1,([1]!readmissions[Facility ID] = clean[[#This Row],[Facility ID]]) * ([1]!readmissions[Measure ID] = "Hybrid_HWR"), [1]!readmissions[Score]), "No Match")</f>
        <v>16.600000000000001</v>
      </c>
    </row>
    <row r="904" spans="1:6" x14ac:dyDescent="0.2">
      <c r="A904">
        <f>[1]!hospitalinfo[[#This Row],[Facility ID]]</f>
        <v>100077</v>
      </c>
      <c r="B904" t="str">
        <f>[1]!hospitalinfo[[#This Row],[State]]</f>
        <v>FL</v>
      </c>
      <c r="C904" t="str">
        <f>[1]!hospitalinfo[[#This Row],[Hospital Type]]</f>
        <v>Acute Care Hospitals</v>
      </c>
      <c r="D904" t="str">
        <f>[1]!hospitalinfo[[#This Row],[Hospital Ownership]]</f>
        <v>Proprietary</v>
      </c>
      <c r="E904" cm="1">
        <f t="array" ref="E904">_xlfn.IFNA(_xlfn.XLOOKUP(1,([1]!hcahps[Facility ID] = clean[[#This Row],[Facility ID]]) * ([1]!hcahps[HCAHPS Measure ID] = "H_HSP_RATING_LINEAR_SCORE"), [1]!hcahps[HCAHPS Linear Mean Value]), "No Match")</f>
        <v>80</v>
      </c>
      <c r="F904" cm="1">
        <f t="array" ref="F904">_xlfn.IFNA(_xlfn.XLOOKUP(1,([1]!readmissions[Facility ID] = clean[[#This Row],[Facility ID]]) * ([1]!readmissions[Measure ID] = "Hybrid_HWR"), [1]!readmissions[Score]), "No Match")</f>
        <v>16.100000000000001</v>
      </c>
    </row>
    <row r="905" spans="1:6" x14ac:dyDescent="0.2">
      <c r="A905">
        <f>[1]!hospitalinfo[[#This Row],[Facility ID]]</f>
        <v>100080</v>
      </c>
      <c r="B905" t="str">
        <f>[1]!hospitalinfo[[#This Row],[State]]</f>
        <v>FL</v>
      </c>
      <c r="C905" t="str">
        <f>[1]!hospitalinfo[[#This Row],[Hospital Type]]</f>
        <v>Acute Care Hospitals</v>
      </c>
      <c r="D905" t="str">
        <f>[1]!hospitalinfo[[#This Row],[Hospital Ownership]]</f>
        <v>Proprietary</v>
      </c>
      <c r="E905" cm="1">
        <f t="array" ref="E905">_xlfn.IFNA(_xlfn.XLOOKUP(1,([1]!hcahps[Facility ID] = clean[[#This Row],[Facility ID]]) * ([1]!hcahps[HCAHPS Measure ID] = "H_HSP_RATING_LINEAR_SCORE"), [1]!hcahps[HCAHPS Linear Mean Value]), "No Match")</f>
        <v>82</v>
      </c>
      <c r="F905" cm="1">
        <f t="array" ref="F905">_xlfn.IFNA(_xlfn.XLOOKUP(1,([1]!readmissions[Facility ID] = clean[[#This Row],[Facility ID]]) * ([1]!readmissions[Measure ID] = "Hybrid_HWR"), [1]!readmissions[Score]), "No Match")</f>
        <v>16.100000000000001</v>
      </c>
    </row>
    <row r="906" spans="1:6" x14ac:dyDescent="0.2">
      <c r="A906">
        <f>[1]!hospitalinfo[[#This Row],[Facility ID]]</f>
        <v>100084</v>
      </c>
      <c r="B906" t="str">
        <f>[1]!hospitalinfo[[#This Row],[State]]</f>
        <v>FL</v>
      </c>
      <c r="C906" t="str">
        <f>[1]!hospitalinfo[[#This Row],[Hospital Type]]</f>
        <v>Acute Care Hospitals</v>
      </c>
      <c r="D906" t="str">
        <f>[1]!hospitalinfo[[#This Row],[Hospital Ownership]]</f>
        <v>Voluntary non-profit - Private</v>
      </c>
      <c r="E906" cm="1">
        <f t="array" ref="E906">_xlfn.IFNA(_xlfn.XLOOKUP(1,([1]!hcahps[Facility ID] = clean[[#This Row],[Facility ID]]) * ([1]!hcahps[HCAHPS Measure ID] = "H_HSP_RATING_LINEAR_SCORE"), [1]!hcahps[HCAHPS Linear Mean Value]), "No Match")</f>
        <v>87</v>
      </c>
      <c r="F906" cm="1">
        <f t="array" ref="F906">_xlfn.IFNA(_xlfn.XLOOKUP(1,([1]!readmissions[Facility ID] = clean[[#This Row],[Facility ID]]) * ([1]!readmissions[Measure ID] = "Hybrid_HWR"), [1]!readmissions[Score]), "No Match")</f>
        <v>15.1</v>
      </c>
    </row>
    <row r="907" spans="1:6" x14ac:dyDescent="0.2">
      <c r="A907">
        <f>[1]!hospitalinfo[[#This Row],[Facility ID]]</f>
        <v>100086</v>
      </c>
      <c r="B907" t="str">
        <f>[1]!hospitalinfo[[#This Row],[State]]</f>
        <v>FL</v>
      </c>
      <c r="C907" t="str">
        <f>[1]!hospitalinfo[[#This Row],[Hospital Type]]</f>
        <v>Acute Care Hospitals</v>
      </c>
      <c r="D907" t="str">
        <f>[1]!hospitalinfo[[#This Row],[Hospital Ownership]]</f>
        <v>Government - Hospital District or Authority</v>
      </c>
      <c r="E907" cm="1">
        <f t="array" ref="E907">_xlfn.IFNA(_xlfn.XLOOKUP(1,([1]!hcahps[Facility ID] = clean[[#This Row],[Facility ID]]) * ([1]!hcahps[HCAHPS Measure ID] = "H_HSP_RATING_LINEAR_SCORE"), [1]!hcahps[HCAHPS Linear Mean Value]), "No Match")</f>
        <v>85</v>
      </c>
      <c r="F907" cm="1">
        <f t="array" ref="F907">_xlfn.IFNA(_xlfn.XLOOKUP(1,([1]!readmissions[Facility ID] = clean[[#This Row],[Facility ID]]) * ([1]!readmissions[Measure ID] = "Hybrid_HWR"), [1]!readmissions[Score]), "No Match")</f>
        <v>15.7</v>
      </c>
    </row>
    <row r="908" spans="1:6" x14ac:dyDescent="0.2">
      <c r="A908">
        <f>[1]!hospitalinfo[[#This Row],[Facility ID]]</f>
        <v>100087</v>
      </c>
      <c r="B908" t="str">
        <f>[1]!hospitalinfo[[#This Row],[State]]</f>
        <v>FL</v>
      </c>
      <c r="C908" t="str">
        <f>[1]!hospitalinfo[[#This Row],[Hospital Type]]</f>
        <v>Acute Care Hospitals</v>
      </c>
      <c r="D908" t="str">
        <f>[1]!hospitalinfo[[#This Row],[Hospital Ownership]]</f>
        <v>Government - Hospital District or Authority</v>
      </c>
      <c r="E908" cm="1">
        <f t="array" ref="E908">_xlfn.IFNA(_xlfn.XLOOKUP(1,([1]!hcahps[Facility ID] = clean[[#This Row],[Facility ID]]) * ([1]!hcahps[HCAHPS Measure ID] = "H_HSP_RATING_LINEAR_SCORE"), [1]!hcahps[HCAHPS Linear Mean Value]), "No Match")</f>
        <v>89</v>
      </c>
      <c r="F908" cm="1">
        <f t="array" ref="F908">_xlfn.IFNA(_xlfn.XLOOKUP(1,([1]!readmissions[Facility ID] = clean[[#This Row],[Facility ID]]) * ([1]!readmissions[Measure ID] = "Hybrid_HWR"), [1]!readmissions[Score]), "No Match")</f>
        <v>15.7</v>
      </c>
    </row>
    <row r="909" spans="1:6" x14ac:dyDescent="0.2">
      <c r="A909">
        <f>[1]!hospitalinfo[[#This Row],[Facility ID]]</f>
        <v>100088</v>
      </c>
      <c r="B909" t="str">
        <f>[1]!hospitalinfo[[#This Row],[State]]</f>
        <v>FL</v>
      </c>
      <c r="C909" t="str">
        <f>[1]!hospitalinfo[[#This Row],[Hospital Type]]</f>
        <v>Acute Care Hospitals</v>
      </c>
      <c r="D909" t="str">
        <f>[1]!hospitalinfo[[#This Row],[Hospital Ownership]]</f>
        <v>Voluntary non-profit - Private</v>
      </c>
      <c r="E909" cm="1">
        <f t="array" ref="E909">_xlfn.IFNA(_xlfn.XLOOKUP(1,([1]!hcahps[Facility ID] = clean[[#This Row],[Facility ID]]) * ([1]!hcahps[HCAHPS Measure ID] = "H_HSP_RATING_LINEAR_SCORE"), [1]!hcahps[HCAHPS Linear Mean Value]), "No Match")</f>
        <v>90</v>
      </c>
      <c r="F909" cm="1">
        <f t="array" ref="F909">_xlfn.IFNA(_xlfn.XLOOKUP(1,([1]!readmissions[Facility ID] = clean[[#This Row],[Facility ID]]) * ([1]!readmissions[Measure ID] = "Hybrid_HWR"), [1]!readmissions[Score]), "No Match")</f>
        <v>15</v>
      </c>
    </row>
    <row r="910" spans="1:6" x14ac:dyDescent="0.2">
      <c r="A910">
        <f>[1]!hospitalinfo[[#This Row],[Facility ID]]</f>
        <v>100090</v>
      </c>
      <c r="B910" t="str">
        <f>[1]!hospitalinfo[[#This Row],[State]]</f>
        <v>FL</v>
      </c>
      <c r="C910" t="str">
        <f>[1]!hospitalinfo[[#This Row],[Hospital Type]]</f>
        <v>Acute Care Hospitals</v>
      </c>
      <c r="D910" t="str">
        <f>[1]!hospitalinfo[[#This Row],[Hospital Ownership]]</f>
        <v>Voluntary non-profit - Private</v>
      </c>
      <c r="E910" cm="1">
        <f t="array" ref="E910">_xlfn.IFNA(_xlfn.XLOOKUP(1,([1]!hcahps[Facility ID] = clean[[#This Row],[Facility ID]]) * ([1]!hcahps[HCAHPS Measure ID] = "H_HSP_RATING_LINEAR_SCORE"), [1]!hcahps[HCAHPS Linear Mean Value]), "No Match")</f>
        <v>86</v>
      </c>
      <c r="F910" cm="1">
        <f t="array" ref="F910">_xlfn.IFNA(_xlfn.XLOOKUP(1,([1]!readmissions[Facility ID] = clean[[#This Row],[Facility ID]]) * ([1]!readmissions[Measure ID] = "Hybrid_HWR"), [1]!readmissions[Score]), "No Match")</f>
        <v>15.9</v>
      </c>
    </row>
    <row r="911" spans="1:6" x14ac:dyDescent="0.2">
      <c r="A911">
        <f>[1]!hospitalinfo[[#This Row],[Facility ID]]</f>
        <v>100093</v>
      </c>
      <c r="B911" t="str">
        <f>[1]!hospitalinfo[[#This Row],[State]]</f>
        <v>FL</v>
      </c>
      <c r="C911" t="str">
        <f>[1]!hospitalinfo[[#This Row],[Hospital Type]]</f>
        <v>Acute Care Hospitals</v>
      </c>
      <c r="D911" t="str">
        <f>[1]!hospitalinfo[[#This Row],[Hospital Ownership]]</f>
        <v>Voluntary non-profit - Private</v>
      </c>
      <c r="E911" cm="1">
        <f t="array" ref="E911">_xlfn.IFNA(_xlfn.XLOOKUP(1,([1]!hcahps[Facility ID] = clean[[#This Row],[Facility ID]]) * ([1]!hcahps[HCAHPS Measure ID] = "H_HSP_RATING_LINEAR_SCORE"), [1]!hcahps[HCAHPS Linear Mean Value]), "No Match")</f>
        <v>89</v>
      </c>
      <c r="F911" cm="1">
        <f t="array" ref="F911">_xlfn.IFNA(_xlfn.XLOOKUP(1,([1]!readmissions[Facility ID] = clean[[#This Row],[Facility ID]]) * ([1]!readmissions[Measure ID] = "Hybrid_HWR"), [1]!readmissions[Score]), "No Match")</f>
        <v>14.8</v>
      </c>
    </row>
    <row r="912" spans="1:6" x14ac:dyDescent="0.2">
      <c r="A912">
        <f>[1]!hospitalinfo[[#This Row],[Facility ID]]</f>
        <v>100099</v>
      </c>
      <c r="B912" t="str">
        <f>[1]!hospitalinfo[[#This Row],[State]]</f>
        <v>FL</v>
      </c>
      <c r="C912" t="str">
        <f>[1]!hospitalinfo[[#This Row],[Hospital Type]]</f>
        <v>Acute Care Hospitals</v>
      </c>
      <c r="D912" t="str">
        <f>[1]!hospitalinfo[[#This Row],[Hospital Ownership]]</f>
        <v>Proprietary</v>
      </c>
      <c r="E912" cm="1">
        <f t="array" ref="E912">_xlfn.IFNA(_xlfn.XLOOKUP(1,([1]!hcahps[Facility ID] = clean[[#This Row],[Facility ID]]) * ([1]!hcahps[HCAHPS Measure ID] = "H_HSP_RATING_LINEAR_SCORE"), [1]!hcahps[HCAHPS Linear Mean Value]), "No Match")</f>
        <v>87</v>
      </c>
      <c r="F912" cm="1">
        <f t="array" ref="F912">_xlfn.IFNA(_xlfn.XLOOKUP(1,([1]!readmissions[Facility ID] = clean[[#This Row],[Facility ID]]) * ([1]!readmissions[Measure ID] = "Hybrid_HWR"), [1]!readmissions[Score]), "No Match")</f>
        <v>15</v>
      </c>
    </row>
    <row r="913" spans="1:6" x14ac:dyDescent="0.2">
      <c r="A913">
        <f>[1]!hospitalinfo[[#This Row],[Facility ID]]</f>
        <v>100105</v>
      </c>
      <c r="B913" t="str">
        <f>[1]!hospitalinfo[[#This Row],[State]]</f>
        <v>FL</v>
      </c>
      <c r="C913" t="str">
        <f>[1]!hospitalinfo[[#This Row],[Hospital Type]]</f>
        <v>Acute Care Hospitals</v>
      </c>
      <c r="D913" t="str">
        <f>[1]!hospitalinfo[[#This Row],[Hospital Ownership]]</f>
        <v>Voluntary non-profit - Private</v>
      </c>
      <c r="E913" cm="1">
        <f t="array" ref="E913">_xlfn.IFNA(_xlfn.XLOOKUP(1,([1]!hcahps[Facility ID] = clean[[#This Row],[Facility ID]]) * ([1]!hcahps[HCAHPS Measure ID] = "H_HSP_RATING_LINEAR_SCORE"), [1]!hcahps[HCAHPS Linear Mean Value]), "No Match")</f>
        <v>84</v>
      </c>
      <c r="F913" cm="1">
        <f t="array" ref="F913">_xlfn.IFNA(_xlfn.XLOOKUP(1,([1]!readmissions[Facility ID] = clean[[#This Row],[Facility ID]]) * ([1]!readmissions[Measure ID] = "Hybrid_HWR"), [1]!readmissions[Score]), "No Match")</f>
        <v>13.5</v>
      </c>
    </row>
    <row r="914" spans="1:6" x14ac:dyDescent="0.2">
      <c r="A914">
        <f>[1]!hospitalinfo[[#This Row],[Facility ID]]</f>
        <v>100107</v>
      </c>
      <c r="B914" t="str">
        <f>[1]!hospitalinfo[[#This Row],[State]]</f>
        <v>FL</v>
      </c>
      <c r="C914" t="str">
        <f>[1]!hospitalinfo[[#This Row],[Hospital Type]]</f>
        <v>Acute Care Hospitals</v>
      </c>
      <c r="D914" t="str">
        <f>[1]!hospitalinfo[[#This Row],[Hospital Ownership]]</f>
        <v>Proprietary</v>
      </c>
      <c r="E914" cm="1">
        <f t="array" ref="E914">_xlfn.IFNA(_xlfn.XLOOKUP(1,([1]!hcahps[Facility ID] = clean[[#This Row],[Facility ID]]) * ([1]!hcahps[HCAHPS Measure ID] = "H_HSP_RATING_LINEAR_SCORE"), [1]!hcahps[HCAHPS Linear Mean Value]), "No Match")</f>
        <v>81</v>
      </c>
      <c r="F914" cm="1">
        <f t="array" ref="F914">_xlfn.IFNA(_xlfn.XLOOKUP(1,([1]!readmissions[Facility ID] = clean[[#This Row],[Facility ID]]) * ([1]!readmissions[Measure ID] = "Hybrid_HWR"), [1]!readmissions[Score]), "No Match")</f>
        <v>15.1</v>
      </c>
    </row>
    <row r="915" spans="1:6" x14ac:dyDescent="0.2">
      <c r="A915">
        <f>[1]!hospitalinfo[[#This Row],[Facility ID]]</f>
        <v>100109</v>
      </c>
      <c r="B915" t="str">
        <f>[1]!hospitalinfo[[#This Row],[State]]</f>
        <v>FL</v>
      </c>
      <c r="C915" t="str">
        <f>[1]!hospitalinfo[[#This Row],[Hospital Type]]</f>
        <v>Acute Care Hospitals</v>
      </c>
      <c r="D915" t="str">
        <f>[1]!hospitalinfo[[#This Row],[Hospital Ownership]]</f>
        <v>Voluntary non-profit - Private</v>
      </c>
      <c r="E915" cm="1">
        <f t="array" ref="E915">_xlfn.IFNA(_xlfn.XLOOKUP(1,([1]!hcahps[Facility ID] = clean[[#This Row],[Facility ID]]) * ([1]!hcahps[HCAHPS Measure ID] = "H_HSP_RATING_LINEAR_SCORE"), [1]!hcahps[HCAHPS Linear Mean Value]), "No Match")</f>
        <v>85</v>
      </c>
      <c r="F915" cm="1">
        <f t="array" ref="F915">_xlfn.IFNA(_xlfn.XLOOKUP(1,([1]!readmissions[Facility ID] = clean[[#This Row],[Facility ID]]) * ([1]!readmissions[Measure ID] = "Hybrid_HWR"), [1]!readmissions[Score]), "No Match")</f>
        <v>14.5</v>
      </c>
    </row>
    <row r="916" spans="1:6" x14ac:dyDescent="0.2">
      <c r="A916">
        <f>[1]!hospitalinfo[[#This Row],[Facility ID]]</f>
        <v>100110</v>
      </c>
      <c r="B916" t="str">
        <f>[1]!hospitalinfo[[#This Row],[State]]</f>
        <v>FL</v>
      </c>
      <c r="C916" t="str">
        <f>[1]!hospitalinfo[[#This Row],[Hospital Type]]</f>
        <v>Acute Care Hospitals</v>
      </c>
      <c r="D916" t="str">
        <f>[1]!hospitalinfo[[#This Row],[Hospital Ownership]]</f>
        <v>Proprietary</v>
      </c>
      <c r="E916" cm="1">
        <f t="array" ref="E916">_xlfn.IFNA(_xlfn.XLOOKUP(1,([1]!hcahps[Facility ID] = clean[[#This Row],[Facility ID]]) * ([1]!hcahps[HCAHPS Measure ID] = "H_HSP_RATING_LINEAR_SCORE"), [1]!hcahps[HCAHPS Linear Mean Value]), "No Match")</f>
        <v>83</v>
      </c>
      <c r="F916" cm="1">
        <f t="array" ref="F916">_xlfn.IFNA(_xlfn.XLOOKUP(1,([1]!readmissions[Facility ID] = clean[[#This Row],[Facility ID]]) * ([1]!readmissions[Measure ID] = "Hybrid_HWR"), [1]!readmissions[Score]), "No Match")</f>
        <v>17.100000000000001</v>
      </c>
    </row>
    <row r="917" spans="1:6" x14ac:dyDescent="0.2">
      <c r="A917">
        <f>[1]!hospitalinfo[[#This Row],[Facility ID]]</f>
        <v>100113</v>
      </c>
      <c r="B917" t="str">
        <f>[1]!hospitalinfo[[#This Row],[State]]</f>
        <v>FL</v>
      </c>
      <c r="C917" t="str">
        <f>[1]!hospitalinfo[[#This Row],[Hospital Type]]</f>
        <v>Acute Care Hospitals</v>
      </c>
      <c r="D917" t="str">
        <f>[1]!hospitalinfo[[#This Row],[Hospital Ownership]]</f>
        <v>Voluntary non-profit - Private</v>
      </c>
      <c r="E917" cm="1">
        <f t="array" ref="E917">_xlfn.IFNA(_xlfn.XLOOKUP(1,([1]!hcahps[Facility ID] = clean[[#This Row],[Facility ID]]) * ([1]!hcahps[HCAHPS Measure ID] = "H_HSP_RATING_LINEAR_SCORE"), [1]!hcahps[HCAHPS Linear Mean Value]), "No Match")</f>
        <v>89</v>
      </c>
      <c r="F917" cm="1">
        <f t="array" ref="F917">_xlfn.IFNA(_xlfn.XLOOKUP(1,([1]!readmissions[Facility ID] = clean[[#This Row],[Facility ID]]) * ([1]!readmissions[Measure ID] = "Hybrid_HWR"), [1]!readmissions[Score]), "No Match")</f>
        <v>15.7</v>
      </c>
    </row>
    <row r="918" spans="1:6" x14ac:dyDescent="0.2">
      <c r="A918">
        <f>[1]!hospitalinfo[[#This Row],[Facility ID]]</f>
        <v>100117</v>
      </c>
      <c r="B918" t="str">
        <f>[1]!hospitalinfo[[#This Row],[State]]</f>
        <v>FL</v>
      </c>
      <c r="C918" t="str">
        <f>[1]!hospitalinfo[[#This Row],[Hospital Type]]</f>
        <v>Acute Care Hospitals</v>
      </c>
      <c r="D918" t="str">
        <f>[1]!hospitalinfo[[#This Row],[Hospital Ownership]]</f>
        <v>Voluntary non-profit - Private</v>
      </c>
      <c r="E918" cm="1">
        <f t="array" ref="E918">_xlfn.IFNA(_xlfn.XLOOKUP(1,([1]!hcahps[Facility ID] = clean[[#This Row],[Facility ID]]) * ([1]!hcahps[HCAHPS Measure ID] = "H_HSP_RATING_LINEAR_SCORE"), [1]!hcahps[HCAHPS Linear Mean Value]), "No Match")</f>
        <v>91</v>
      </c>
      <c r="F918" cm="1">
        <f t="array" ref="F918">_xlfn.IFNA(_xlfn.XLOOKUP(1,([1]!readmissions[Facility ID] = clean[[#This Row],[Facility ID]]) * ([1]!readmissions[Measure ID] = "Hybrid_HWR"), [1]!readmissions[Score]), "No Match")</f>
        <v>15.5</v>
      </c>
    </row>
    <row r="919" spans="1:6" x14ac:dyDescent="0.2">
      <c r="A919">
        <f>[1]!hospitalinfo[[#This Row],[Facility ID]]</f>
        <v>100118</v>
      </c>
      <c r="B919" t="str">
        <f>[1]!hospitalinfo[[#This Row],[State]]</f>
        <v>FL</v>
      </c>
      <c r="C919" t="str">
        <f>[1]!hospitalinfo[[#This Row],[Hospital Type]]</f>
        <v>Acute Care Hospitals</v>
      </c>
      <c r="D919" t="str">
        <f>[1]!hospitalinfo[[#This Row],[Hospital Ownership]]</f>
        <v>Voluntary non-profit - Church</v>
      </c>
      <c r="E919" cm="1">
        <f t="array" ref="E919">_xlfn.IFNA(_xlfn.XLOOKUP(1,([1]!hcahps[Facility ID] = clean[[#This Row],[Facility ID]]) * ([1]!hcahps[HCAHPS Measure ID] = "H_HSP_RATING_LINEAR_SCORE"), [1]!hcahps[HCAHPS Linear Mean Value]), "No Match")</f>
        <v>89</v>
      </c>
      <c r="F919" cm="1">
        <f t="array" ref="F919">_xlfn.IFNA(_xlfn.XLOOKUP(1,([1]!readmissions[Facility ID] = clean[[#This Row],[Facility ID]]) * ([1]!readmissions[Measure ID] = "Hybrid_HWR"), [1]!readmissions[Score]), "No Match")</f>
        <v>13.8</v>
      </c>
    </row>
    <row r="920" spans="1:6" x14ac:dyDescent="0.2">
      <c r="A920">
        <f>[1]!hospitalinfo[[#This Row],[Facility ID]]</f>
        <v>100121</v>
      </c>
      <c r="B920" t="str">
        <f>[1]!hospitalinfo[[#This Row],[State]]</f>
        <v>FL</v>
      </c>
      <c r="C920" t="str">
        <f>[1]!hospitalinfo[[#This Row],[Hospital Type]]</f>
        <v>Acute Care Hospitals</v>
      </c>
      <c r="D920" t="str">
        <f>[1]!hospitalinfo[[#This Row],[Hospital Ownership]]</f>
        <v>Proprietary</v>
      </c>
      <c r="E920" cm="1">
        <f t="array" ref="E920">_xlfn.IFNA(_xlfn.XLOOKUP(1,([1]!hcahps[Facility ID] = clean[[#This Row],[Facility ID]]) * ([1]!hcahps[HCAHPS Measure ID] = "H_HSP_RATING_LINEAR_SCORE"), [1]!hcahps[HCAHPS Linear Mean Value]), "No Match")</f>
        <v>87</v>
      </c>
      <c r="F920" cm="1">
        <f t="array" ref="F920">_xlfn.IFNA(_xlfn.XLOOKUP(1,([1]!readmissions[Facility ID] = clean[[#This Row],[Facility ID]]) * ([1]!readmissions[Measure ID] = "Hybrid_HWR"), [1]!readmissions[Score]), "No Match")</f>
        <v>14.1</v>
      </c>
    </row>
    <row r="921" spans="1:6" x14ac:dyDescent="0.2">
      <c r="A921">
        <f>[1]!hospitalinfo[[#This Row],[Facility ID]]</f>
        <v>100122</v>
      </c>
      <c r="B921" t="str">
        <f>[1]!hospitalinfo[[#This Row],[State]]</f>
        <v>FL</v>
      </c>
      <c r="C921" t="str">
        <f>[1]!hospitalinfo[[#This Row],[Hospital Type]]</f>
        <v>Acute Care Hospitals</v>
      </c>
      <c r="D921" t="str">
        <f>[1]!hospitalinfo[[#This Row],[Hospital Ownership]]</f>
        <v>Voluntary non-profit - Private</v>
      </c>
      <c r="E921" cm="1">
        <f t="array" ref="E921">_xlfn.IFNA(_xlfn.XLOOKUP(1,([1]!hcahps[Facility ID] = clean[[#This Row],[Facility ID]]) * ([1]!hcahps[HCAHPS Measure ID] = "H_HSP_RATING_LINEAR_SCORE"), [1]!hcahps[HCAHPS Linear Mean Value]), "No Match")</f>
        <v>81</v>
      </c>
      <c r="F921" cm="1">
        <f t="array" ref="F921">_xlfn.IFNA(_xlfn.XLOOKUP(1,([1]!readmissions[Facility ID] = clean[[#This Row],[Facility ID]]) * ([1]!readmissions[Measure ID] = "Hybrid_HWR"), [1]!readmissions[Score]), "No Match")</f>
        <v>16.5</v>
      </c>
    </row>
    <row r="922" spans="1:6" x14ac:dyDescent="0.2">
      <c r="A922">
        <f>[1]!hospitalinfo[[#This Row],[Facility ID]]</f>
        <v>100124</v>
      </c>
      <c r="B922" t="str">
        <f>[1]!hospitalinfo[[#This Row],[State]]</f>
        <v>FL</v>
      </c>
      <c r="C922" t="str">
        <f>[1]!hospitalinfo[[#This Row],[Hospital Type]]</f>
        <v>Acute Care Hospitals</v>
      </c>
      <c r="D922" t="str">
        <f>[1]!hospitalinfo[[#This Row],[Hospital Ownership]]</f>
        <v>Proprietary</v>
      </c>
      <c r="E922" cm="1">
        <f t="array" ref="E922">_xlfn.IFNA(_xlfn.XLOOKUP(1,([1]!hcahps[Facility ID] = clean[[#This Row],[Facility ID]]) * ([1]!hcahps[HCAHPS Measure ID] = "H_HSP_RATING_LINEAR_SCORE"), [1]!hcahps[HCAHPS Linear Mean Value]), "No Match")</f>
        <v>86</v>
      </c>
      <c r="F922" cm="1">
        <f t="array" ref="F922">_xlfn.IFNA(_xlfn.XLOOKUP(1,([1]!readmissions[Facility ID] = clean[[#This Row],[Facility ID]]) * ([1]!readmissions[Measure ID] = "Hybrid_HWR"), [1]!readmissions[Score]), "No Match")</f>
        <v>15.3</v>
      </c>
    </row>
    <row r="923" spans="1:6" x14ac:dyDescent="0.2">
      <c r="A923">
        <f>[1]!hospitalinfo[[#This Row],[Facility ID]]</f>
        <v>100125</v>
      </c>
      <c r="B923" t="str">
        <f>[1]!hospitalinfo[[#This Row],[State]]</f>
        <v>FL</v>
      </c>
      <c r="C923" t="str">
        <f>[1]!hospitalinfo[[#This Row],[Hospital Type]]</f>
        <v>Acute Care Hospitals</v>
      </c>
      <c r="D923" t="str">
        <f>[1]!hospitalinfo[[#This Row],[Hospital Ownership]]</f>
        <v>Voluntary non-profit - Private</v>
      </c>
      <c r="E923" cm="1">
        <f t="array" ref="E923">_xlfn.IFNA(_xlfn.XLOOKUP(1,([1]!hcahps[Facility ID] = clean[[#This Row],[Facility ID]]) * ([1]!hcahps[HCAHPS Measure ID] = "H_HSP_RATING_LINEAR_SCORE"), [1]!hcahps[HCAHPS Linear Mean Value]), "No Match")</f>
        <v>87</v>
      </c>
      <c r="F923" cm="1">
        <f t="array" ref="F923">_xlfn.IFNA(_xlfn.XLOOKUP(1,([1]!readmissions[Facility ID] = clean[[#This Row],[Facility ID]]) * ([1]!readmissions[Measure ID] = "Hybrid_HWR"), [1]!readmissions[Score]), "No Match")</f>
        <v>15</v>
      </c>
    </row>
    <row r="924" spans="1:6" x14ac:dyDescent="0.2">
      <c r="A924">
        <f>[1]!hospitalinfo[[#This Row],[Facility ID]]</f>
        <v>100126</v>
      </c>
      <c r="B924" t="str">
        <f>[1]!hospitalinfo[[#This Row],[State]]</f>
        <v>FL</v>
      </c>
      <c r="C924" t="str">
        <f>[1]!hospitalinfo[[#This Row],[Hospital Type]]</f>
        <v>Acute Care Hospitals</v>
      </c>
      <c r="D924" t="str">
        <f>[1]!hospitalinfo[[#This Row],[Hospital Ownership]]</f>
        <v>Proprietary</v>
      </c>
      <c r="E924" cm="1">
        <f t="array" ref="E924">_xlfn.IFNA(_xlfn.XLOOKUP(1,([1]!hcahps[Facility ID] = clean[[#This Row],[Facility ID]]) * ([1]!hcahps[HCAHPS Measure ID] = "H_HSP_RATING_LINEAR_SCORE"), [1]!hcahps[HCAHPS Linear Mean Value]), "No Match")</f>
        <v>88</v>
      </c>
      <c r="F924" cm="1">
        <f t="array" ref="F924">_xlfn.IFNA(_xlfn.XLOOKUP(1,([1]!readmissions[Facility ID] = clean[[#This Row],[Facility ID]]) * ([1]!readmissions[Measure ID] = "Hybrid_HWR"), [1]!readmissions[Score]), "No Match")</f>
        <v>14.9</v>
      </c>
    </row>
    <row r="925" spans="1:6" x14ac:dyDescent="0.2">
      <c r="A925">
        <f>[1]!hospitalinfo[[#This Row],[Facility ID]]</f>
        <v>100127</v>
      </c>
      <c r="B925" t="str">
        <f>[1]!hospitalinfo[[#This Row],[State]]</f>
        <v>FL</v>
      </c>
      <c r="C925" t="str">
        <f>[1]!hospitalinfo[[#This Row],[Hospital Type]]</f>
        <v>Acute Care Hospitals</v>
      </c>
      <c r="D925" t="str">
        <f>[1]!hospitalinfo[[#This Row],[Hospital Ownership]]</f>
        <v>Voluntary non-profit - Private</v>
      </c>
      <c r="E925" cm="1">
        <f t="array" ref="E925">_xlfn.IFNA(_xlfn.XLOOKUP(1,([1]!hcahps[Facility ID] = clean[[#This Row],[Facility ID]]) * ([1]!hcahps[HCAHPS Measure ID] = "H_HSP_RATING_LINEAR_SCORE"), [1]!hcahps[HCAHPS Linear Mean Value]), "No Match")</f>
        <v>91</v>
      </c>
      <c r="F925" cm="1">
        <f t="array" ref="F925">_xlfn.IFNA(_xlfn.XLOOKUP(1,([1]!readmissions[Facility ID] = clean[[#This Row],[Facility ID]]) * ([1]!readmissions[Measure ID] = "Hybrid_HWR"), [1]!readmissions[Score]), "No Match")</f>
        <v>15.8</v>
      </c>
    </row>
    <row r="926" spans="1:6" x14ac:dyDescent="0.2">
      <c r="A926">
        <f>[1]!hospitalinfo[[#This Row],[Facility ID]]</f>
        <v>100128</v>
      </c>
      <c r="B926" t="str">
        <f>[1]!hospitalinfo[[#This Row],[State]]</f>
        <v>FL</v>
      </c>
      <c r="C926" t="str">
        <f>[1]!hospitalinfo[[#This Row],[Hospital Type]]</f>
        <v>Acute Care Hospitals</v>
      </c>
      <c r="D926" t="str">
        <f>[1]!hospitalinfo[[#This Row],[Hospital Ownership]]</f>
        <v>Voluntary non-profit - Private</v>
      </c>
      <c r="E926" cm="1">
        <f t="array" ref="E926">_xlfn.IFNA(_xlfn.XLOOKUP(1,([1]!hcahps[Facility ID] = clean[[#This Row],[Facility ID]]) * ([1]!hcahps[HCAHPS Measure ID] = "H_HSP_RATING_LINEAR_SCORE"), [1]!hcahps[HCAHPS Linear Mean Value]), "No Match")</f>
        <v>86</v>
      </c>
      <c r="F926" cm="1">
        <f t="array" ref="F926">_xlfn.IFNA(_xlfn.XLOOKUP(1,([1]!readmissions[Facility ID] = clean[[#This Row],[Facility ID]]) * ([1]!readmissions[Measure ID] = "Hybrid_HWR"), [1]!readmissions[Score]), "No Match")</f>
        <v>15.8</v>
      </c>
    </row>
    <row r="927" spans="1:6" x14ac:dyDescent="0.2">
      <c r="A927">
        <f>[1]!hospitalinfo[[#This Row],[Facility ID]]</f>
        <v>100130</v>
      </c>
      <c r="B927" t="str">
        <f>[1]!hospitalinfo[[#This Row],[State]]</f>
        <v>FL</v>
      </c>
      <c r="C927" t="str">
        <f>[1]!hospitalinfo[[#This Row],[Hospital Type]]</f>
        <v>Acute Care Hospitals</v>
      </c>
      <c r="D927" t="str">
        <f>[1]!hospitalinfo[[#This Row],[Hospital Ownership]]</f>
        <v>Government - Hospital District or Authority</v>
      </c>
      <c r="E927" t="str" cm="1">
        <f t="array" ref="E927">_xlfn.IFNA(_xlfn.XLOOKUP(1,([1]!hcahps[Facility ID] = clean[[#This Row],[Facility ID]]) * ([1]!hcahps[HCAHPS Measure ID] = "H_HSP_RATING_LINEAR_SCORE"), [1]!hcahps[HCAHPS Linear Mean Value]), "No Match")</f>
        <v>Not Available</v>
      </c>
      <c r="F927" cm="1">
        <f t="array" ref="F927">_xlfn.IFNA(_xlfn.XLOOKUP(1,([1]!readmissions[Facility ID] = clean[[#This Row],[Facility ID]]) * ([1]!readmissions[Measure ID] = "Hybrid_HWR"), [1]!readmissions[Score]), "No Match")</f>
        <v>14.7</v>
      </c>
    </row>
    <row r="928" spans="1:6" x14ac:dyDescent="0.2">
      <c r="A928">
        <f>[1]!hospitalinfo[[#This Row],[Facility ID]]</f>
        <v>100131</v>
      </c>
      <c r="B928" t="str">
        <f>[1]!hospitalinfo[[#This Row],[State]]</f>
        <v>FL</v>
      </c>
      <c r="C928" t="str">
        <f>[1]!hospitalinfo[[#This Row],[Hospital Type]]</f>
        <v>Acute Care Hospitals</v>
      </c>
      <c r="D928" t="str">
        <f>[1]!hospitalinfo[[#This Row],[Hospital Ownership]]</f>
        <v>Voluntary non-profit - Private</v>
      </c>
      <c r="E928" cm="1">
        <f t="array" ref="E928">_xlfn.IFNA(_xlfn.XLOOKUP(1,([1]!hcahps[Facility ID] = clean[[#This Row],[Facility ID]]) * ([1]!hcahps[HCAHPS Measure ID] = "H_HSP_RATING_LINEAR_SCORE"), [1]!hcahps[HCAHPS Linear Mean Value]), "No Match")</f>
        <v>84</v>
      </c>
      <c r="F928" cm="1">
        <f t="array" ref="F928">_xlfn.IFNA(_xlfn.XLOOKUP(1,([1]!readmissions[Facility ID] = clean[[#This Row],[Facility ID]]) * ([1]!readmissions[Measure ID] = "Hybrid_HWR"), [1]!readmissions[Score]), "No Match")</f>
        <v>15.4</v>
      </c>
    </row>
    <row r="929" spans="1:6" x14ac:dyDescent="0.2">
      <c r="A929">
        <f>[1]!hospitalinfo[[#This Row],[Facility ID]]</f>
        <v>100132</v>
      </c>
      <c r="B929" t="str">
        <f>[1]!hospitalinfo[[#This Row],[State]]</f>
        <v>FL</v>
      </c>
      <c r="C929" t="str">
        <f>[1]!hospitalinfo[[#This Row],[Hospital Type]]</f>
        <v>Acute Care Hospitals</v>
      </c>
      <c r="D929" t="str">
        <f>[1]!hospitalinfo[[#This Row],[Hospital Ownership]]</f>
        <v>Voluntary non-profit - Private</v>
      </c>
      <c r="E929" cm="1">
        <f t="array" ref="E929">_xlfn.IFNA(_xlfn.XLOOKUP(1,([1]!hcahps[Facility ID] = clean[[#This Row],[Facility ID]]) * ([1]!hcahps[HCAHPS Measure ID] = "H_HSP_RATING_LINEAR_SCORE"), [1]!hcahps[HCAHPS Linear Mean Value]), "No Match")</f>
        <v>90</v>
      </c>
      <c r="F929" cm="1">
        <f t="array" ref="F929">_xlfn.IFNA(_xlfn.XLOOKUP(1,([1]!readmissions[Facility ID] = clean[[#This Row],[Facility ID]]) * ([1]!readmissions[Measure ID] = "Hybrid_HWR"), [1]!readmissions[Score]), "No Match")</f>
        <v>15.7</v>
      </c>
    </row>
    <row r="930" spans="1:6" x14ac:dyDescent="0.2">
      <c r="A930">
        <f>[1]!hospitalinfo[[#This Row],[Facility ID]]</f>
        <v>100134</v>
      </c>
      <c r="B930" t="str">
        <f>[1]!hospitalinfo[[#This Row],[State]]</f>
        <v>FL</v>
      </c>
      <c r="C930" t="str">
        <f>[1]!hospitalinfo[[#This Row],[Hospital Type]]</f>
        <v>Acute Care Hospitals</v>
      </c>
      <c r="D930" t="str">
        <f>[1]!hospitalinfo[[#This Row],[Hospital Ownership]]</f>
        <v>Voluntary non-profit - Private</v>
      </c>
      <c r="E930" t="str" cm="1">
        <f t="array" ref="E930">_xlfn.IFNA(_xlfn.XLOOKUP(1,([1]!hcahps[Facility ID] = clean[[#This Row],[Facility ID]]) * ([1]!hcahps[HCAHPS Measure ID] = "H_HSP_RATING_LINEAR_SCORE"), [1]!hcahps[HCAHPS Linear Mean Value]), "No Match")</f>
        <v>Not Available</v>
      </c>
      <c r="F930" cm="1">
        <f t="array" ref="F930">_xlfn.IFNA(_xlfn.XLOOKUP(1,([1]!readmissions[Facility ID] = clean[[#This Row],[Facility ID]]) * ([1]!readmissions[Measure ID] = "Hybrid_HWR"), [1]!readmissions[Score]), "No Match")</f>
        <v>15</v>
      </c>
    </row>
    <row r="931" spans="1:6" x14ac:dyDescent="0.2">
      <c r="A931">
        <f>[1]!hospitalinfo[[#This Row],[Facility ID]]</f>
        <v>100135</v>
      </c>
      <c r="B931" t="str">
        <f>[1]!hospitalinfo[[#This Row],[State]]</f>
        <v>FL</v>
      </c>
      <c r="C931" t="str">
        <f>[1]!hospitalinfo[[#This Row],[Hospital Type]]</f>
        <v>Acute Care Hospitals</v>
      </c>
      <c r="D931" t="str">
        <f>[1]!hospitalinfo[[#This Row],[Hospital Ownership]]</f>
        <v>Voluntary non-profit - Private</v>
      </c>
      <c r="E931" cm="1">
        <f t="array" ref="E931">_xlfn.IFNA(_xlfn.XLOOKUP(1,([1]!hcahps[Facility ID] = clean[[#This Row],[Facility ID]]) * ([1]!hcahps[HCAHPS Measure ID] = "H_HSP_RATING_LINEAR_SCORE"), [1]!hcahps[HCAHPS Linear Mean Value]), "No Match")</f>
        <v>85</v>
      </c>
      <c r="F931" cm="1">
        <f t="array" ref="F931">_xlfn.IFNA(_xlfn.XLOOKUP(1,([1]!readmissions[Facility ID] = clean[[#This Row],[Facility ID]]) * ([1]!readmissions[Measure ID] = "Hybrid_HWR"), [1]!readmissions[Score]), "No Match")</f>
        <v>14.3</v>
      </c>
    </row>
    <row r="932" spans="1:6" x14ac:dyDescent="0.2">
      <c r="A932">
        <f>[1]!hospitalinfo[[#This Row],[Facility ID]]</f>
        <v>100137</v>
      </c>
      <c r="B932" t="str">
        <f>[1]!hospitalinfo[[#This Row],[State]]</f>
        <v>FL</v>
      </c>
      <c r="C932" t="str">
        <f>[1]!hospitalinfo[[#This Row],[Hospital Type]]</f>
        <v>Acute Care Hospitals</v>
      </c>
      <c r="D932" t="str">
        <f>[1]!hospitalinfo[[#This Row],[Hospital Ownership]]</f>
        <v>Proprietary</v>
      </c>
      <c r="E932" cm="1">
        <f t="array" ref="E932">_xlfn.IFNA(_xlfn.XLOOKUP(1,([1]!hcahps[Facility ID] = clean[[#This Row],[Facility ID]]) * ([1]!hcahps[HCAHPS Measure ID] = "H_HSP_RATING_LINEAR_SCORE"), [1]!hcahps[HCAHPS Linear Mean Value]), "No Match")</f>
        <v>85</v>
      </c>
      <c r="F932" cm="1">
        <f t="array" ref="F932">_xlfn.IFNA(_xlfn.XLOOKUP(1,([1]!readmissions[Facility ID] = clean[[#This Row],[Facility ID]]) * ([1]!readmissions[Measure ID] = "Hybrid_HWR"), [1]!readmissions[Score]), "No Match")</f>
        <v>15.5</v>
      </c>
    </row>
    <row r="933" spans="1:6" x14ac:dyDescent="0.2">
      <c r="A933">
        <f>[1]!hospitalinfo[[#This Row],[Facility ID]]</f>
        <v>100140</v>
      </c>
      <c r="B933" t="str">
        <f>[1]!hospitalinfo[[#This Row],[State]]</f>
        <v>FL</v>
      </c>
      <c r="C933" t="str">
        <f>[1]!hospitalinfo[[#This Row],[Hospital Type]]</f>
        <v>Acute Care Hospitals</v>
      </c>
      <c r="D933" t="str">
        <f>[1]!hospitalinfo[[#This Row],[Hospital Ownership]]</f>
        <v>Voluntary non-profit - Private</v>
      </c>
      <c r="E933" cm="1">
        <f t="array" ref="E933">_xlfn.IFNA(_xlfn.XLOOKUP(1,([1]!hcahps[Facility ID] = clean[[#This Row],[Facility ID]]) * ([1]!hcahps[HCAHPS Measure ID] = "H_HSP_RATING_LINEAR_SCORE"), [1]!hcahps[HCAHPS Linear Mean Value]), "No Match")</f>
        <v>89</v>
      </c>
      <c r="F933" cm="1">
        <f t="array" ref="F933">_xlfn.IFNA(_xlfn.XLOOKUP(1,([1]!readmissions[Facility ID] = clean[[#This Row],[Facility ID]]) * ([1]!readmissions[Measure ID] = "Hybrid_HWR"), [1]!readmissions[Score]), "No Match")</f>
        <v>14.1</v>
      </c>
    </row>
    <row r="934" spans="1:6" x14ac:dyDescent="0.2">
      <c r="A934">
        <f>[1]!hospitalinfo[[#This Row],[Facility ID]]</f>
        <v>100142</v>
      </c>
      <c r="B934" t="str">
        <f>[1]!hospitalinfo[[#This Row],[State]]</f>
        <v>FL</v>
      </c>
      <c r="C934" t="str">
        <f>[1]!hospitalinfo[[#This Row],[Hospital Type]]</f>
        <v>Acute Care Hospitals</v>
      </c>
      <c r="D934" t="str">
        <f>[1]!hospitalinfo[[#This Row],[Hospital Ownership]]</f>
        <v>Government - Hospital District or Authority</v>
      </c>
      <c r="E934" cm="1">
        <f t="array" ref="E934">_xlfn.IFNA(_xlfn.XLOOKUP(1,([1]!hcahps[Facility ID] = clean[[#This Row],[Facility ID]]) * ([1]!hcahps[HCAHPS Measure ID] = "H_HSP_RATING_LINEAR_SCORE"), [1]!hcahps[HCAHPS Linear Mean Value]), "No Match")</f>
        <v>89</v>
      </c>
      <c r="F934" cm="1">
        <f t="array" ref="F934">_xlfn.IFNA(_xlfn.XLOOKUP(1,([1]!readmissions[Facility ID] = clean[[#This Row],[Facility ID]]) * ([1]!readmissions[Measure ID] = "Hybrid_HWR"), [1]!readmissions[Score]), "No Match")</f>
        <v>15.7</v>
      </c>
    </row>
    <row r="935" spans="1:6" x14ac:dyDescent="0.2">
      <c r="A935">
        <f>[1]!hospitalinfo[[#This Row],[Facility ID]]</f>
        <v>100150</v>
      </c>
      <c r="B935" t="str">
        <f>[1]!hospitalinfo[[#This Row],[State]]</f>
        <v>FL</v>
      </c>
      <c r="C935" t="str">
        <f>[1]!hospitalinfo[[#This Row],[Hospital Type]]</f>
        <v>Acute Care Hospitals</v>
      </c>
      <c r="D935" t="str">
        <f>[1]!hospitalinfo[[#This Row],[Hospital Ownership]]</f>
        <v>Proprietary</v>
      </c>
      <c r="E935" cm="1">
        <f t="array" ref="E935">_xlfn.IFNA(_xlfn.XLOOKUP(1,([1]!hcahps[Facility ID] = clean[[#This Row],[Facility ID]]) * ([1]!hcahps[HCAHPS Measure ID] = "H_HSP_RATING_LINEAR_SCORE"), [1]!hcahps[HCAHPS Linear Mean Value]), "No Match")</f>
        <v>85</v>
      </c>
      <c r="F935" cm="1">
        <f t="array" ref="F935">_xlfn.IFNA(_xlfn.XLOOKUP(1,([1]!readmissions[Facility ID] = clean[[#This Row],[Facility ID]]) * ([1]!readmissions[Measure ID] = "Hybrid_HWR"), [1]!readmissions[Score]), "No Match")</f>
        <v>15.4</v>
      </c>
    </row>
    <row r="936" spans="1:6" x14ac:dyDescent="0.2">
      <c r="A936">
        <f>[1]!hospitalinfo[[#This Row],[Facility ID]]</f>
        <v>100151</v>
      </c>
      <c r="B936" t="str">
        <f>[1]!hospitalinfo[[#This Row],[State]]</f>
        <v>FL</v>
      </c>
      <c r="C936" t="str">
        <f>[1]!hospitalinfo[[#This Row],[Hospital Type]]</f>
        <v>Acute Care Hospitals</v>
      </c>
      <c r="D936" t="str">
        <f>[1]!hospitalinfo[[#This Row],[Hospital Ownership]]</f>
        <v>Voluntary non-profit - Private</v>
      </c>
      <c r="E936" cm="1">
        <f t="array" ref="E936">_xlfn.IFNA(_xlfn.XLOOKUP(1,([1]!hcahps[Facility ID] = clean[[#This Row],[Facility ID]]) * ([1]!hcahps[HCAHPS Measure ID] = "H_HSP_RATING_LINEAR_SCORE"), [1]!hcahps[HCAHPS Linear Mean Value]), "No Match")</f>
        <v>94</v>
      </c>
      <c r="F936" cm="1">
        <f t="array" ref="F936">_xlfn.IFNA(_xlfn.XLOOKUP(1,([1]!readmissions[Facility ID] = clean[[#This Row],[Facility ID]]) * ([1]!readmissions[Measure ID] = "Hybrid_HWR"), [1]!readmissions[Score]), "No Match")</f>
        <v>14.5</v>
      </c>
    </row>
    <row r="937" spans="1:6" x14ac:dyDescent="0.2">
      <c r="A937">
        <f>[1]!hospitalinfo[[#This Row],[Facility ID]]</f>
        <v>100154</v>
      </c>
      <c r="B937" t="str">
        <f>[1]!hospitalinfo[[#This Row],[State]]</f>
        <v>FL</v>
      </c>
      <c r="C937" t="str">
        <f>[1]!hospitalinfo[[#This Row],[Hospital Type]]</f>
        <v>Acute Care Hospitals</v>
      </c>
      <c r="D937" t="str">
        <f>[1]!hospitalinfo[[#This Row],[Hospital Ownership]]</f>
        <v>Voluntary non-profit - Private</v>
      </c>
      <c r="E937" cm="1">
        <f t="array" ref="E937">_xlfn.IFNA(_xlfn.XLOOKUP(1,([1]!hcahps[Facility ID] = clean[[#This Row],[Facility ID]]) * ([1]!hcahps[HCAHPS Measure ID] = "H_HSP_RATING_LINEAR_SCORE"), [1]!hcahps[HCAHPS Linear Mean Value]), "No Match")</f>
        <v>89</v>
      </c>
      <c r="F937" cm="1">
        <f t="array" ref="F937">_xlfn.IFNA(_xlfn.XLOOKUP(1,([1]!readmissions[Facility ID] = clean[[#This Row],[Facility ID]]) * ([1]!readmissions[Measure ID] = "Hybrid_HWR"), [1]!readmissions[Score]), "No Match")</f>
        <v>15.3</v>
      </c>
    </row>
    <row r="938" spans="1:6" x14ac:dyDescent="0.2">
      <c r="A938">
        <f>[1]!hospitalinfo[[#This Row],[Facility ID]]</f>
        <v>100156</v>
      </c>
      <c r="B938" t="str">
        <f>[1]!hospitalinfo[[#This Row],[State]]</f>
        <v>FL</v>
      </c>
      <c r="C938" t="str">
        <f>[1]!hospitalinfo[[#This Row],[Hospital Type]]</f>
        <v>Acute Care Hospitals</v>
      </c>
      <c r="D938" t="str">
        <f>[1]!hospitalinfo[[#This Row],[Hospital Ownership]]</f>
        <v>Proprietary</v>
      </c>
      <c r="E938" cm="1">
        <f t="array" ref="E938">_xlfn.IFNA(_xlfn.XLOOKUP(1,([1]!hcahps[Facility ID] = clean[[#This Row],[Facility ID]]) * ([1]!hcahps[HCAHPS Measure ID] = "H_HSP_RATING_LINEAR_SCORE"), [1]!hcahps[HCAHPS Linear Mean Value]), "No Match")</f>
        <v>85</v>
      </c>
      <c r="F938" cm="1">
        <f t="array" ref="F938">_xlfn.IFNA(_xlfn.XLOOKUP(1,([1]!readmissions[Facility ID] = clean[[#This Row],[Facility ID]]) * ([1]!readmissions[Measure ID] = "Hybrid_HWR"), [1]!readmissions[Score]), "No Match")</f>
        <v>16.2</v>
      </c>
    </row>
    <row r="939" spans="1:6" x14ac:dyDescent="0.2">
      <c r="A939">
        <f>[1]!hospitalinfo[[#This Row],[Facility ID]]</f>
        <v>100157</v>
      </c>
      <c r="B939" t="str">
        <f>[1]!hospitalinfo[[#This Row],[State]]</f>
        <v>FL</v>
      </c>
      <c r="C939" t="str">
        <f>[1]!hospitalinfo[[#This Row],[Hospital Type]]</f>
        <v>Acute Care Hospitals</v>
      </c>
      <c r="D939" t="str">
        <f>[1]!hospitalinfo[[#This Row],[Hospital Ownership]]</f>
        <v>Voluntary non-profit - Private</v>
      </c>
      <c r="E939" cm="1">
        <f t="array" ref="E939">_xlfn.IFNA(_xlfn.XLOOKUP(1,([1]!hcahps[Facility ID] = clean[[#This Row],[Facility ID]]) * ([1]!hcahps[HCAHPS Measure ID] = "H_HSP_RATING_LINEAR_SCORE"), [1]!hcahps[HCAHPS Linear Mean Value]), "No Match")</f>
        <v>86</v>
      </c>
      <c r="F939" cm="1">
        <f t="array" ref="F939">_xlfn.IFNA(_xlfn.XLOOKUP(1,([1]!readmissions[Facility ID] = clean[[#This Row],[Facility ID]]) * ([1]!readmissions[Measure ID] = "Hybrid_HWR"), [1]!readmissions[Score]), "No Match")</f>
        <v>16.7</v>
      </c>
    </row>
    <row r="940" spans="1:6" x14ac:dyDescent="0.2">
      <c r="A940">
        <f>[1]!hospitalinfo[[#This Row],[Facility ID]]</f>
        <v>100161</v>
      </c>
      <c r="B940" t="str">
        <f>[1]!hospitalinfo[[#This Row],[State]]</f>
        <v>FL</v>
      </c>
      <c r="C940" t="str">
        <f>[1]!hospitalinfo[[#This Row],[Hospital Type]]</f>
        <v>Acute Care Hospitals</v>
      </c>
      <c r="D940" t="str">
        <f>[1]!hospitalinfo[[#This Row],[Hospital Ownership]]</f>
        <v>Proprietary</v>
      </c>
      <c r="E940" cm="1">
        <f t="array" ref="E940">_xlfn.IFNA(_xlfn.XLOOKUP(1,([1]!hcahps[Facility ID] = clean[[#This Row],[Facility ID]]) * ([1]!hcahps[HCAHPS Measure ID] = "H_HSP_RATING_LINEAR_SCORE"), [1]!hcahps[HCAHPS Linear Mean Value]), "No Match")</f>
        <v>79</v>
      </c>
      <c r="F940" cm="1">
        <f t="array" ref="F940">_xlfn.IFNA(_xlfn.XLOOKUP(1,([1]!readmissions[Facility ID] = clean[[#This Row],[Facility ID]]) * ([1]!readmissions[Measure ID] = "Hybrid_HWR"), [1]!readmissions[Score]), "No Match")</f>
        <v>15.7</v>
      </c>
    </row>
    <row r="941" spans="1:6" x14ac:dyDescent="0.2">
      <c r="A941">
        <f>[1]!hospitalinfo[[#This Row],[Facility ID]]</f>
        <v>100166</v>
      </c>
      <c r="B941" t="str">
        <f>[1]!hospitalinfo[[#This Row],[State]]</f>
        <v>FL</v>
      </c>
      <c r="C941" t="str">
        <f>[1]!hospitalinfo[[#This Row],[Hospital Type]]</f>
        <v>Acute Care Hospitals</v>
      </c>
      <c r="D941" t="str">
        <f>[1]!hospitalinfo[[#This Row],[Hospital Ownership]]</f>
        <v>Proprietary</v>
      </c>
      <c r="E941" cm="1">
        <f t="array" ref="E941">_xlfn.IFNA(_xlfn.XLOOKUP(1,([1]!hcahps[Facility ID] = clean[[#This Row],[Facility ID]]) * ([1]!hcahps[HCAHPS Measure ID] = "H_HSP_RATING_LINEAR_SCORE"), [1]!hcahps[HCAHPS Linear Mean Value]), "No Match")</f>
        <v>86</v>
      </c>
      <c r="F941" cm="1">
        <f t="array" ref="F941">_xlfn.IFNA(_xlfn.XLOOKUP(1,([1]!readmissions[Facility ID] = clean[[#This Row],[Facility ID]]) * ([1]!readmissions[Measure ID] = "Hybrid_HWR"), [1]!readmissions[Score]), "No Match")</f>
        <v>15.6</v>
      </c>
    </row>
    <row r="942" spans="1:6" x14ac:dyDescent="0.2">
      <c r="A942">
        <f>[1]!hospitalinfo[[#This Row],[Facility ID]]</f>
        <v>100167</v>
      </c>
      <c r="B942" t="str">
        <f>[1]!hospitalinfo[[#This Row],[State]]</f>
        <v>FL</v>
      </c>
      <c r="C942" t="str">
        <f>[1]!hospitalinfo[[#This Row],[Hospital Type]]</f>
        <v>Acute Care Hospitals</v>
      </c>
      <c r="D942" t="str">
        <f>[1]!hospitalinfo[[#This Row],[Hospital Ownership]]</f>
        <v>Voluntary non-profit - Private</v>
      </c>
      <c r="E942" cm="1">
        <f t="array" ref="E942">_xlfn.IFNA(_xlfn.XLOOKUP(1,([1]!hcahps[Facility ID] = clean[[#This Row],[Facility ID]]) * ([1]!hcahps[HCAHPS Measure ID] = "H_HSP_RATING_LINEAR_SCORE"), [1]!hcahps[HCAHPS Linear Mean Value]), "No Match")</f>
        <v>85</v>
      </c>
      <c r="F942" cm="1">
        <f t="array" ref="F942">_xlfn.IFNA(_xlfn.XLOOKUP(1,([1]!readmissions[Facility ID] = clean[[#This Row],[Facility ID]]) * ([1]!readmissions[Measure ID] = "Hybrid_HWR"), [1]!readmissions[Score]), "No Match")</f>
        <v>16.100000000000001</v>
      </c>
    </row>
    <row r="943" spans="1:6" x14ac:dyDescent="0.2">
      <c r="A943">
        <f>[1]!hospitalinfo[[#This Row],[Facility ID]]</f>
        <v>100168</v>
      </c>
      <c r="B943" t="str">
        <f>[1]!hospitalinfo[[#This Row],[State]]</f>
        <v>FL</v>
      </c>
      <c r="C943" t="str">
        <f>[1]!hospitalinfo[[#This Row],[Hospital Type]]</f>
        <v>Acute Care Hospitals</v>
      </c>
      <c r="D943" t="str">
        <f>[1]!hospitalinfo[[#This Row],[Hospital Ownership]]</f>
        <v>Voluntary non-profit - Private</v>
      </c>
      <c r="E943" cm="1">
        <f t="array" ref="E943">_xlfn.IFNA(_xlfn.XLOOKUP(1,([1]!hcahps[Facility ID] = clean[[#This Row],[Facility ID]]) * ([1]!hcahps[HCAHPS Measure ID] = "H_HSP_RATING_LINEAR_SCORE"), [1]!hcahps[HCAHPS Linear Mean Value]), "No Match")</f>
        <v>84</v>
      </c>
      <c r="F943" cm="1">
        <f t="array" ref="F943">_xlfn.IFNA(_xlfn.XLOOKUP(1,([1]!readmissions[Facility ID] = clean[[#This Row],[Facility ID]]) * ([1]!readmissions[Measure ID] = "Hybrid_HWR"), [1]!readmissions[Score]), "No Match")</f>
        <v>15.7</v>
      </c>
    </row>
    <row r="944" spans="1:6" x14ac:dyDescent="0.2">
      <c r="A944">
        <f>[1]!hospitalinfo[[#This Row],[Facility ID]]</f>
        <v>100173</v>
      </c>
      <c r="B944" t="str">
        <f>[1]!hospitalinfo[[#This Row],[State]]</f>
        <v>FL</v>
      </c>
      <c r="C944" t="str">
        <f>[1]!hospitalinfo[[#This Row],[Hospital Type]]</f>
        <v>Acute Care Hospitals</v>
      </c>
      <c r="D944" t="str">
        <f>[1]!hospitalinfo[[#This Row],[Hospital Ownership]]</f>
        <v>Voluntary non-profit - Private</v>
      </c>
      <c r="E944" cm="1">
        <f t="array" ref="E944">_xlfn.IFNA(_xlfn.XLOOKUP(1,([1]!hcahps[Facility ID] = clean[[#This Row],[Facility ID]]) * ([1]!hcahps[HCAHPS Measure ID] = "H_HSP_RATING_LINEAR_SCORE"), [1]!hcahps[HCAHPS Linear Mean Value]), "No Match")</f>
        <v>85</v>
      </c>
      <c r="F944" cm="1">
        <f t="array" ref="F944">_xlfn.IFNA(_xlfn.XLOOKUP(1,([1]!readmissions[Facility ID] = clean[[#This Row],[Facility ID]]) * ([1]!readmissions[Measure ID] = "Hybrid_HWR"), [1]!readmissions[Score]), "No Match")</f>
        <v>15.3</v>
      </c>
    </row>
    <row r="945" spans="1:6" x14ac:dyDescent="0.2">
      <c r="A945">
        <f>[1]!hospitalinfo[[#This Row],[Facility ID]]</f>
        <v>100175</v>
      </c>
      <c r="B945" t="str">
        <f>[1]!hospitalinfo[[#This Row],[State]]</f>
        <v>FL</v>
      </c>
      <c r="C945" t="str">
        <f>[1]!hospitalinfo[[#This Row],[Hospital Type]]</f>
        <v>Acute Care Hospitals</v>
      </c>
      <c r="D945" t="str">
        <f>[1]!hospitalinfo[[#This Row],[Hospital Ownership]]</f>
        <v>Voluntary non-profit - Private</v>
      </c>
      <c r="E945" cm="1">
        <f t="array" ref="E945">_xlfn.IFNA(_xlfn.XLOOKUP(1,([1]!hcahps[Facility ID] = clean[[#This Row],[Facility ID]]) * ([1]!hcahps[HCAHPS Measure ID] = "H_HSP_RATING_LINEAR_SCORE"), [1]!hcahps[HCAHPS Linear Mean Value]), "No Match")</f>
        <v>86</v>
      </c>
      <c r="F945" cm="1">
        <f t="array" ref="F945">_xlfn.IFNA(_xlfn.XLOOKUP(1,([1]!readmissions[Facility ID] = clean[[#This Row],[Facility ID]]) * ([1]!readmissions[Measure ID] = "Hybrid_HWR"), [1]!readmissions[Score]), "No Match")</f>
        <v>15.1</v>
      </c>
    </row>
    <row r="946" spans="1:6" x14ac:dyDescent="0.2">
      <c r="A946">
        <f>[1]!hospitalinfo[[#This Row],[Facility ID]]</f>
        <v>100176</v>
      </c>
      <c r="B946" t="str">
        <f>[1]!hospitalinfo[[#This Row],[State]]</f>
        <v>FL</v>
      </c>
      <c r="C946" t="str">
        <f>[1]!hospitalinfo[[#This Row],[Hospital Type]]</f>
        <v>Acute Care Hospitals</v>
      </c>
      <c r="D946" t="str">
        <f>[1]!hospitalinfo[[#This Row],[Hospital Ownership]]</f>
        <v>Proprietary</v>
      </c>
      <c r="E946" cm="1">
        <f t="array" ref="E946">_xlfn.IFNA(_xlfn.XLOOKUP(1,([1]!hcahps[Facility ID] = clean[[#This Row],[Facility ID]]) * ([1]!hcahps[HCAHPS Measure ID] = "H_HSP_RATING_LINEAR_SCORE"), [1]!hcahps[HCAHPS Linear Mean Value]), "No Match")</f>
        <v>80</v>
      </c>
      <c r="F946" cm="1">
        <f t="array" ref="F946">_xlfn.IFNA(_xlfn.XLOOKUP(1,([1]!readmissions[Facility ID] = clean[[#This Row],[Facility ID]]) * ([1]!readmissions[Measure ID] = "Hybrid_HWR"), [1]!readmissions[Score]), "No Match")</f>
        <v>15.9</v>
      </c>
    </row>
    <row r="947" spans="1:6" x14ac:dyDescent="0.2">
      <c r="A947">
        <f>[1]!hospitalinfo[[#This Row],[Facility ID]]</f>
        <v>100177</v>
      </c>
      <c r="B947" t="str">
        <f>[1]!hospitalinfo[[#This Row],[State]]</f>
        <v>FL</v>
      </c>
      <c r="C947" t="str">
        <f>[1]!hospitalinfo[[#This Row],[Hospital Type]]</f>
        <v>Acute Care Hospitals</v>
      </c>
      <c r="D947" t="str">
        <f>[1]!hospitalinfo[[#This Row],[Hospital Ownership]]</f>
        <v>Voluntary non-profit - Private</v>
      </c>
      <c r="E947" cm="1">
        <f t="array" ref="E947">_xlfn.IFNA(_xlfn.XLOOKUP(1,([1]!hcahps[Facility ID] = clean[[#This Row],[Facility ID]]) * ([1]!hcahps[HCAHPS Measure ID] = "H_HSP_RATING_LINEAR_SCORE"), [1]!hcahps[HCAHPS Linear Mean Value]), "No Match")</f>
        <v>86</v>
      </c>
      <c r="F947" cm="1">
        <f t="array" ref="F947">_xlfn.IFNA(_xlfn.XLOOKUP(1,([1]!readmissions[Facility ID] = clean[[#This Row],[Facility ID]]) * ([1]!readmissions[Measure ID] = "Hybrid_HWR"), [1]!readmissions[Score]), "No Match")</f>
        <v>14.9</v>
      </c>
    </row>
    <row r="948" spans="1:6" x14ac:dyDescent="0.2">
      <c r="A948">
        <f>[1]!hospitalinfo[[#This Row],[Facility ID]]</f>
        <v>100179</v>
      </c>
      <c r="B948" t="str">
        <f>[1]!hospitalinfo[[#This Row],[State]]</f>
        <v>FL</v>
      </c>
      <c r="C948" t="str">
        <f>[1]!hospitalinfo[[#This Row],[Hospital Type]]</f>
        <v>Acute Care Hospitals</v>
      </c>
      <c r="D948" t="str">
        <f>[1]!hospitalinfo[[#This Row],[Hospital Ownership]]</f>
        <v>Proprietary</v>
      </c>
      <c r="E948" cm="1">
        <f t="array" ref="E948">_xlfn.IFNA(_xlfn.XLOOKUP(1,([1]!hcahps[Facility ID] = clean[[#This Row],[Facility ID]]) * ([1]!hcahps[HCAHPS Measure ID] = "H_HSP_RATING_LINEAR_SCORE"), [1]!hcahps[HCAHPS Linear Mean Value]), "No Match")</f>
        <v>85</v>
      </c>
      <c r="F948" cm="1">
        <f t="array" ref="F948">_xlfn.IFNA(_xlfn.XLOOKUP(1,([1]!readmissions[Facility ID] = clean[[#This Row],[Facility ID]]) * ([1]!readmissions[Measure ID] = "Hybrid_HWR"), [1]!readmissions[Score]), "No Match")</f>
        <v>15.5</v>
      </c>
    </row>
    <row r="949" spans="1:6" x14ac:dyDescent="0.2">
      <c r="A949">
        <f>[1]!hospitalinfo[[#This Row],[Facility ID]]</f>
        <v>100180</v>
      </c>
      <c r="B949" t="str">
        <f>[1]!hospitalinfo[[#This Row],[State]]</f>
        <v>FL</v>
      </c>
      <c r="C949" t="str">
        <f>[1]!hospitalinfo[[#This Row],[Hospital Type]]</f>
        <v>Acute Care Hospitals</v>
      </c>
      <c r="D949" t="str">
        <f>[1]!hospitalinfo[[#This Row],[Hospital Ownership]]</f>
        <v>Proprietary</v>
      </c>
      <c r="E949" cm="1">
        <f t="array" ref="E949">_xlfn.IFNA(_xlfn.XLOOKUP(1,([1]!hcahps[Facility ID] = clean[[#This Row],[Facility ID]]) * ([1]!hcahps[HCAHPS Measure ID] = "H_HSP_RATING_LINEAR_SCORE"), [1]!hcahps[HCAHPS Linear Mean Value]), "No Match")</f>
        <v>85</v>
      </c>
      <c r="F949" cm="1">
        <f t="array" ref="F949">_xlfn.IFNA(_xlfn.XLOOKUP(1,([1]!readmissions[Facility ID] = clean[[#This Row],[Facility ID]]) * ([1]!readmissions[Measure ID] = "Hybrid_HWR"), [1]!readmissions[Score]), "No Match")</f>
        <v>16.3</v>
      </c>
    </row>
    <row r="950" spans="1:6" x14ac:dyDescent="0.2">
      <c r="A950">
        <f>[1]!hospitalinfo[[#This Row],[Facility ID]]</f>
        <v>100181</v>
      </c>
      <c r="B950" t="str">
        <f>[1]!hospitalinfo[[#This Row],[State]]</f>
        <v>FL</v>
      </c>
      <c r="C950" t="str">
        <f>[1]!hospitalinfo[[#This Row],[Hospital Type]]</f>
        <v>Acute Care Hospitals</v>
      </c>
      <c r="D950" t="str">
        <f>[1]!hospitalinfo[[#This Row],[Hospital Ownership]]</f>
        <v>Proprietary</v>
      </c>
      <c r="E950" t="str" cm="1">
        <f t="array" ref="E950">_xlfn.IFNA(_xlfn.XLOOKUP(1,([1]!hcahps[Facility ID] = clean[[#This Row],[Facility ID]]) * ([1]!hcahps[HCAHPS Measure ID] = "H_HSP_RATING_LINEAR_SCORE"), [1]!hcahps[HCAHPS Linear Mean Value]), "No Match")</f>
        <v>Not Available</v>
      </c>
      <c r="F950" cm="1">
        <f t="array" ref="F950">_xlfn.IFNA(_xlfn.XLOOKUP(1,([1]!readmissions[Facility ID] = clean[[#This Row],[Facility ID]]) * ([1]!readmissions[Measure ID] = "Hybrid_HWR"), [1]!readmissions[Score]), "No Match")</f>
        <v>17.7</v>
      </c>
    </row>
    <row r="951" spans="1:6" x14ac:dyDescent="0.2">
      <c r="A951">
        <f>[1]!hospitalinfo[[#This Row],[Facility ID]]</f>
        <v>100183</v>
      </c>
      <c r="B951" t="str">
        <f>[1]!hospitalinfo[[#This Row],[State]]</f>
        <v>FL</v>
      </c>
      <c r="C951" t="str">
        <f>[1]!hospitalinfo[[#This Row],[Hospital Type]]</f>
        <v>Acute Care Hospitals</v>
      </c>
      <c r="D951" t="str">
        <f>[1]!hospitalinfo[[#This Row],[Hospital Ownership]]</f>
        <v>Proprietary</v>
      </c>
      <c r="E951" cm="1">
        <f t="array" ref="E951">_xlfn.IFNA(_xlfn.XLOOKUP(1,([1]!hcahps[Facility ID] = clean[[#This Row],[Facility ID]]) * ([1]!hcahps[HCAHPS Measure ID] = "H_HSP_RATING_LINEAR_SCORE"), [1]!hcahps[HCAHPS Linear Mean Value]), "No Match")</f>
        <v>83</v>
      </c>
      <c r="F951" cm="1">
        <f t="array" ref="F951">_xlfn.IFNA(_xlfn.XLOOKUP(1,([1]!readmissions[Facility ID] = clean[[#This Row],[Facility ID]]) * ([1]!readmissions[Measure ID] = "Hybrid_HWR"), [1]!readmissions[Score]), "No Match")</f>
        <v>15.8</v>
      </c>
    </row>
    <row r="952" spans="1:6" x14ac:dyDescent="0.2">
      <c r="A952">
        <f>[1]!hospitalinfo[[#This Row],[Facility ID]]</f>
        <v>100187</v>
      </c>
      <c r="B952" t="str">
        <f>[1]!hospitalinfo[[#This Row],[State]]</f>
        <v>FL</v>
      </c>
      <c r="C952" t="str">
        <f>[1]!hospitalinfo[[#This Row],[Hospital Type]]</f>
        <v>Acute Care Hospitals</v>
      </c>
      <c r="D952" t="str">
        <f>[1]!hospitalinfo[[#This Row],[Hospital Ownership]]</f>
        <v>Proprietary</v>
      </c>
      <c r="E952" cm="1">
        <f t="array" ref="E952">_xlfn.IFNA(_xlfn.XLOOKUP(1,([1]!hcahps[Facility ID] = clean[[#This Row],[Facility ID]]) * ([1]!hcahps[HCAHPS Measure ID] = "H_HSP_RATING_LINEAR_SCORE"), [1]!hcahps[HCAHPS Linear Mean Value]), "No Match")</f>
        <v>80</v>
      </c>
      <c r="F952" cm="1">
        <f t="array" ref="F952">_xlfn.IFNA(_xlfn.XLOOKUP(1,([1]!readmissions[Facility ID] = clean[[#This Row],[Facility ID]]) * ([1]!readmissions[Measure ID] = "Hybrid_HWR"), [1]!readmissions[Score]), "No Match")</f>
        <v>15.3</v>
      </c>
    </row>
    <row r="953" spans="1:6" x14ac:dyDescent="0.2">
      <c r="A953">
        <f>[1]!hospitalinfo[[#This Row],[Facility ID]]</f>
        <v>100189</v>
      </c>
      <c r="B953" t="str">
        <f>[1]!hospitalinfo[[#This Row],[State]]</f>
        <v>FL</v>
      </c>
      <c r="C953" t="str">
        <f>[1]!hospitalinfo[[#This Row],[Hospital Type]]</f>
        <v>Acute Care Hospitals</v>
      </c>
      <c r="D953" t="str">
        <f>[1]!hospitalinfo[[#This Row],[Hospital Ownership]]</f>
        <v>Proprietary</v>
      </c>
      <c r="E953" cm="1">
        <f t="array" ref="E953">_xlfn.IFNA(_xlfn.XLOOKUP(1,([1]!hcahps[Facility ID] = clean[[#This Row],[Facility ID]]) * ([1]!hcahps[HCAHPS Measure ID] = "H_HSP_RATING_LINEAR_SCORE"), [1]!hcahps[HCAHPS Linear Mean Value]), "No Match")</f>
        <v>80</v>
      </c>
      <c r="F953" cm="1">
        <f t="array" ref="F953">_xlfn.IFNA(_xlfn.XLOOKUP(1,([1]!readmissions[Facility ID] = clean[[#This Row],[Facility ID]]) * ([1]!readmissions[Measure ID] = "Hybrid_HWR"), [1]!readmissions[Score]), "No Match")</f>
        <v>16.7</v>
      </c>
    </row>
    <row r="954" spans="1:6" x14ac:dyDescent="0.2">
      <c r="A954">
        <f>[1]!hospitalinfo[[#This Row],[Facility ID]]</f>
        <v>100191</v>
      </c>
      <c r="B954" t="str">
        <f>[1]!hospitalinfo[[#This Row],[State]]</f>
        <v>FL</v>
      </c>
      <c r="C954" t="str">
        <f>[1]!hospitalinfo[[#This Row],[Hospital Type]]</f>
        <v>Acute Care Hospitals</v>
      </c>
      <c r="D954" t="str">
        <f>[1]!hospitalinfo[[#This Row],[Hospital Ownership]]</f>
        <v>Proprietary</v>
      </c>
      <c r="E954" cm="1">
        <f t="array" ref="E954">_xlfn.IFNA(_xlfn.XLOOKUP(1,([1]!hcahps[Facility ID] = clean[[#This Row],[Facility ID]]) * ([1]!hcahps[HCAHPS Measure ID] = "H_HSP_RATING_LINEAR_SCORE"), [1]!hcahps[HCAHPS Linear Mean Value]), "No Match")</f>
        <v>85</v>
      </c>
      <c r="F954" cm="1">
        <f t="array" ref="F954">_xlfn.IFNA(_xlfn.XLOOKUP(1,([1]!readmissions[Facility ID] = clean[[#This Row],[Facility ID]]) * ([1]!readmissions[Measure ID] = "Hybrid_HWR"), [1]!readmissions[Score]), "No Match")</f>
        <v>15.7</v>
      </c>
    </row>
    <row r="955" spans="1:6" x14ac:dyDescent="0.2">
      <c r="A955">
        <f>[1]!hospitalinfo[[#This Row],[Facility ID]]</f>
        <v>100200</v>
      </c>
      <c r="B955" t="str">
        <f>[1]!hospitalinfo[[#This Row],[State]]</f>
        <v>FL</v>
      </c>
      <c r="C955" t="str">
        <f>[1]!hospitalinfo[[#This Row],[Hospital Type]]</f>
        <v>Acute Care Hospitals</v>
      </c>
      <c r="D955" t="str">
        <f>[1]!hospitalinfo[[#This Row],[Hospital Ownership]]</f>
        <v>Government - Hospital District or Authority</v>
      </c>
      <c r="E955" cm="1">
        <f t="array" ref="E955">_xlfn.IFNA(_xlfn.XLOOKUP(1,([1]!hcahps[Facility ID] = clean[[#This Row],[Facility ID]]) * ([1]!hcahps[HCAHPS Measure ID] = "H_HSP_RATING_LINEAR_SCORE"), [1]!hcahps[HCAHPS Linear Mean Value]), "No Match")</f>
        <v>87</v>
      </c>
      <c r="F955" cm="1">
        <f t="array" ref="F955">_xlfn.IFNA(_xlfn.XLOOKUP(1,([1]!readmissions[Facility ID] = clean[[#This Row],[Facility ID]]) * ([1]!readmissions[Measure ID] = "Hybrid_HWR"), [1]!readmissions[Score]), "No Match")</f>
        <v>14.7</v>
      </c>
    </row>
    <row r="956" spans="1:6" x14ac:dyDescent="0.2">
      <c r="A956">
        <f>[1]!hospitalinfo[[#This Row],[Facility ID]]</f>
        <v>100204</v>
      </c>
      <c r="B956" t="str">
        <f>[1]!hospitalinfo[[#This Row],[State]]</f>
        <v>FL</v>
      </c>
      <c r="C956" t="str">
        <f>[1]!hospitalinfo[[#This Row],[Hospital Type]]</f>
        <v>Acute Care Hospitals</v>
      </c>
      <c r="D956" t="str">
        <f>[1]!hospitalinfo[[#This Row],[Hospital Ownership]]</f>
        <v>Proprietary</v>
      </c>
      <c r="E956" cm="1">
        <f t="array" ref="E956">_xlfn.IFNA(_xlfn.XLOOKUP(1,([1]!hcahps[Facility ID] = clean[[#This Row],[Facility ID]]) * ([1]!hcahps[HCAHPS Measure ID] = "H_HSP_RATING_LINEAR_SCORE"), [1]!hcahps[HCAHPS Linear Mean Value]), "No Match")</f>
        <v>83</v>
      </c>
      <c r="F956" cm="1">
        <f t="array" ref="F956">_xlfn.IFNA(_xlfn.XLOOKUP(1,([1]!readmissions[Facility ID] = clean[[#This Row],[Facility ID]]) * ([1]!readmissions[Measure ID] = "Hybrid_HWR"), [1]!readmissions[Score]), "No Match")</f>
        <v>16.899999999999999</v>
      </c>
    </row>
    <row r="957" spans="1:6" x14ac:dyDescent="0.2">
      <c r="A957">
        <f>[1]!hospitalinfo[[#This Row],[Facility ID]]</f>
        <v>100206</v>
      </c>
      <c r="B957" t="str">
        <f>[1]!hospitalinfo[[#This Row],[State]]</f>
        <v>FL</v>
      </c>
      <c r="C957" t="str">
        <f>[1]!hospitalinfo[[#This Row],[Hospital Type]]</f>
        <v>Acute Care Hospitals</v>
      </c>
      <c r="D957" t="str">
        <f>[1]!hospitalinfo[[#This Row],[Hospital Ownership]]</f>
        <v>Proprietary</v>
      </c>
      <c r="E957" cm="1">
        <f t="array" ref="E957">_xlfn.IFNA(_xlfn.XLOOKUP(1,([1]!hcahps[Facility ID] = clean[[#This Row],[Facility ID]]) * ([1]!hcahps[HCAHPS Measure ID] = "H_HSP_RATING_LINEAR_SCORE"), [1]!hcahps[HCAHPS Linear Mean Value]), "No Match")</f>
        <v>90</v>
      </c>
      <c r="F957" cm="1">
        <f t="array" ref="F957">_xlfn.IFNA(_xlfn.XLOOKUP(1,([1]!readmissions[Facility ID] = clean[[#This Row],[Facility ID]]) * ([1]!readmissions[Measure ID] = "Hybrid_HWR"), [1]!readmissions[Score]), "No Match")</f>
        <v>13.9</v>
      </c>
    </row>
    <row r="958" spans="1:6" x14ac:dyDescent="0.2">
      <c r="A958">
        <f>[1]!hospitalinfo[[#This Row],[Facility ID]]</f>
        <v>100209</v>
      </c>
      <c r="B958" t="str">
        <f>[1]!hospitalinfo[[#This Row],[State]]</f>
        <v>FL</v>
      </c>
      <c r="C958" t="str">
        <f>[1]!hospitalinfo[[#This Row],[Hospital Type]]</f>
        <v>Acute Care Hospitals</v>
      </c>
      <c r="D958" t="str">
        <f>[1]!hospitalinfo[[#This Row],[Hospital Ownership]]</f>
        <v>Proprietary</v>
      </c>
      <c r="E958" cm="1">
        <f t="array" ref="E958">_xlfn.IFNA(_xlfn.XLOOKUP(1,([1]!hcahps[Facility ID] = clean[[#This Row],[Facility ID]]) * ([1]!hcahps[HCAHPS Measure ID] = "H_HSP_RATING_LINEAR_SCORE"), [1]!hcahps[HCAHPS Linear Mean Value]), "No Match")</f>
        <v>83</v>
      </c>
      <c r="F958" cm="1">
        <f t="array" ref="F958">_xlfn.IFNA(_xlfn.XLOOKUP(1,([1]!readmissions[Facility ID] = clean[[#This Row],[Facility ID]]) * ([1]!readmissions[Measure ID] = "Hybrid_HWR"), [1]!readmissions[Score]), "No Match")</f>
        <v>15.7</v>
      </c>
    </row>
    <row r="959" spans="1:6" x14ac:dyDescent="0.2">
      <c r="A959">
        <f>[1]!hospitalinfo[[#This Row],[Facility ID]]</f>
        <v>100211</v>
      </c>
      <c r="B959" t="str">
        <f>[1]!hospitalinfo[[#This Row],[State]]</f>
        <v>FL</v>
      </c>
      <c r="C959" t="str">
        <f>[1]!hospitalinfo[[#This Row],[Hospital Type]]</f>
        <v>Acute Care Hospitals</v>
      </c>
      <c r="D959" t="str">
        <f>[1]!hospitalinfo[[#This Row],[Hospital Ownership]]</f>
        <v>Proprietary</v>
      </c>
      <c r="E959" cm="1">
        <f t="array" ref="E959">_xlfn.IFNA(_xlfn.XLOOKUP(1,([1]!hcahps[Facility ID] = clean[[#This Row],[Facility ID]]) * ([1]!hcahps[HCAHPS Measure ID] = "H_HSP_RATING_LINEAR_SCORE"), [1]!hcahps[HCAHPS Linear Mean Value]), "No Match")</f>
        <v>91</v>
      </c>
      <c r="F959" cm="1">
        <f t="array" ref="F959">_xlfn.IFNA(_xlfn.XLOOKUP(1,([1]!readmissions[Facility ID] = clean[[#This Row],[Facility ID]]) * ([1]!readmissions[Measure ID] = "Hybrid_HWR"), [1]!readmissions[Score]), "No Match")</f>
        <v>14.8</v>
      </c>
    </row>
    <row r="960" spans="1:6" x14ac:dyDescent="0.2">
      <c r="A960">
        <f>[1]!hospitalinfo[[#This Row],[Facility ID]]</f>
        <v>100212</v>
      </c>
      <c r="B960" t="str">
        <f>[1]!hospitalinfo[[#This Row],[State]]</f>
        <v>FL</v>
      </c>
      <c r="C960" t="str">
        <f>[1]!hospitalinfo[[#This Row],[Hospital Type]]</f>
        <v>Acute Care Hospitals</v>
      </c>
      <c r="D960" t="str">
        <f>[1]!hospitalinfo[[#This Row],[Hospital Ownership]]</f>
        <v>Proprietary</v>
      </c>
      <c r="E960" cm="1">
        <f t="array" ref="E960">_xlfn.IFNA(_xlfn.XLOOKUP(1,([1]!hcahps[Facility ID] = clean[[#This Row],[Facility ID]]) * ([1]!hcahps[HCAHPS Measure ID] = "H_HSP_RATING_LINEAR_SCORE"), [1]!hcahps[HCAHPS Linear Mean Value]), "No Match")</f>
        <v>86</v>
      </c>
      <c r="F960" cm="1">
        <f t="array" ref="F960">_xlfn.IFNA(_xlfn.XLOOKUP(1,([1]!readmissions[Facility ID] = clean[[#This Row],[Facility ID]]) * ([1]!readmissions[Measure ID] = "Hybrid_HWR"), [1]!readmissions[Score]), "No Match")</f>
        <v>17</v>
      </c>
    </row>
    <row r="961" spans="1:6" x14ac:dyDescent="0.2">
      <c r="A961">
        <f>[1]!hospitalinfo[[#This Row],[Facility ID]]</f>
        <v>100213</v>
      </c>
      <c r="B961" t="str">
        <f>[1]!hospitalinfo[[#This Row],[State]]</f>
        <v>FL</v>
      </c>
      <c r="C961" t="str">
        <f>[1]!hospitalinfo[[#This Row],[Hospital Type]]</f>
        <v>Acute Care Hospitals</v>
      </c>
      <c r="D961" t="str">
        <f>[1]!hospitalinfo[[#This Row],[Hospital Ownership]]</f>
        <v>Proprietary</v>
      </c>
      <c r="E961" cm="1">
        <f t="array" ref="E961">_xlfn.IFNA(_xlfn.XLOOKUP(1,([1]!hcahps[Facility ID] = clean[[#This Row],[Facility ID]]) * ([1]!hcahps[HCAHPS Measure ID] = "H_HSP_RATING_LINEAR_SCORE"), [1]!hcahps[HCAHPS Linear Mean Value]), "No Match")</f>
        <v>82</v>
      </c>
      <c r="F961" cm="1">
        <f t="array" ref="F961">_xlfn.IFNA(_xlfn.XLOOKUP(1,([1]!readmissions[Facility ID] = clean[[#This Row],[Facility ID]]) * ([1]!readmissions[Measure ID] = "Hybrid_HWR"), [1]!readmissions[Score]), "No Match")</f>
        <v>16.399999999999999</v>
      </c>
    </row>
    <row r="962" spans="1:6" x14ac:dyDescent="0.2">
      <c r="A962">
        <f>[1]!hospitalinfo[[#This Row],[Facility ID]]</f>
        <v>100217</v>
      </c>
      <c r="B962" t="str">
        <f>[1]!hospitalinfo[[#This Row],[State]]</f>
        <v>FL</v>
      </c>
      <c r="C962" t="str">
        <f>[1]!hospitalinfo[[#This Row],[Hospital Type]]</f>
        <v>Acute Care Hospitals</v>
      </c>
      <c r="D962" t="str">
        <f>[1]!hospitalinfo[[#This Row],[Hospital Ownership]]</f>
        <v>Voluntary non-profit - Private</v>
      </c>
      <c r="E962" cm="1">
        <f t="array" ref="E962">_xlfn.IFNA(_xlfn.XLOOKUP(1,([1]!hcahps[Facility ID] = clean[[#This Row],[Facility ID]]) * ([1]!hcahps[HCAHPS Measure ID] = "H_HSP_RATING_LINEAR_SCORE"), [1]!hcahps[HCAHPS Linear Mean Value]), "No Match")</f>
        <v>82</v>
      </c>
      <c r="F962" cm="1">
        <f t="array" ref="F962">_xlfn.IFNA(_xlfn.XLOOKUP(1,([1]!readmissions[Facility ID] = clean[[#This Row],[Facility ID]]) * ([1]!readmissions[Measure ID] = "Hybrid_HWR"), [1]!readmissions[Score]), "No Match")</f>
        <v>13.8</v>
      </c>
    </row>
    <row r="963" spans="1:6" x14ac:dyDescent="0.2">
      <c r="A963">
        <f>[1]!hospitalinfo[[#This Row],[Facility ID]]</f>
        <v>100220</v>
      </c>
      <c r="B963" t="str">
        <f>[1]!hospitalinfo[[#This Row],[State]]</f>
        <v>FL</v>
      </c>
      <c r="C963" t="str">
        <f>[1]!hospitalinfo[[#This Row],[Hospital Type]]</f>
        <v>Acute Care Hospitals</v>
      </c>
      <c r="D963" t="str">
        <f>[1]!hospitalinfo[[#This Row],[Hospital Ownership]]</f>
        <v>Government - Hospital District or Authority</v>
      </c>
      <c r="E963" cm="1">
        <f t="array" ref="E963">_xlfn.IFNA(_xlfn.XLOOKUP(1,([1]!hcahps[Facility ID] = clean[[#This Row],[Facility ID]]) * ([1]!hcahps[HCAHPS Measure ID] = "H_HSP_RATING_LINEAR_SCORE"), [1]!hcahps[HCAHPS Linear Mean Value]), "No Match")</f>
        <v>88</v>
      </c>
      <c r="F963" cm="1">
        <f t="array" ref="F963">_xlfn.IFNA(_xlfn.XLOOKUP(1,([1]!readmissions[Facility ID] = clean[[#This Row],[Facility ID]]) * ([1]!readmissions[Measure ID] = "Hybrid_HWR"), [1]!readmissions[Score]), "No Match")</f>
        <v>14.6</v>
      </c>
    </row>
    <row r="964" spans="1:6" x14ac:dyDescent="0.2">
      <c r="A964">
        <f>[1]!hospitalinfo[[#This Row],[Facility ID]]</f>
        <v>100223</v>
      </c>
      <c r="B964" t="str">
        <f>[1]!hospitalinfo[[#This Row],[State]]</f>
        <v>FL</v>
      </c>
      <c r="C964" t="str">
        <f>[1]!hospitalinfo[[#This Row],[Hospital Type]]</f>
        <v>Acute Care Hospitals</v>
      </c>
      <c r="D964" t="str">
        <f>[1]!hospitalinfo[[#This Row],[Hospital Ownership]]</f>
        <v>Proprietary</v>
      </c>
      <c r="E964" cm="1">
        <f t="array" ref="E964">_xlfn.IFNA(_xlfn.XLOOKUP(1,([1]!hcahps[Facility ID] = clean[[#This Row],[Facility ID]]) * ([1]!hcahps[HCAHPS Measure ID] = "H_HSP_RATING_LINEAR_SCORE"), [1]!hcahps[HCAHPS Linear Mean Value]), "No Match")</f>
        <v>86</v>
      </c>
      <c r="F964" cm="1">
        <f t="array" ref="F964">_xlfn.IFNA(_xlfn.XLOOKUP(1,([1]!readmissions[Facility ID] = clean[[#This Row],[Facility ID]]) * ([1]!readmissions[Measure ID] = "Hybrid_HWR"), [1]!readmissions[Score]), "No Match")</f>
        <v>17</v>
      </c>
    </row>
    <row r="965" spans="1:6" x14ac:dyDescent="0.2">
      <c r="A965">
        <f>[1]!hospitalinfo[[#This Row],[Facility ID]]</f>
        <v>100224</v>
      </c>
      <c r="B965" t="str">
        <f>[1]!hospitalinfo[[#This Row],[State]]</f>
        <v>FL</v>
      </c>
      <c r="C965" t="str">
        <f>[1]!hospitalinfo[[#This Row],[Hospital Type]]</f>
        <v>Acute Care Hospitals</v>
      </c>
      <c r="D965" t="str">
        <f>[1]!hospitalinfo[[#This Row],[Hospital Ownership]]</f>
        <v>Proprietary</v>
      </c>
      <c r="E965" cm="1">
        <f t="array" ref="E965">_xlfn.IFNA(_xlfn.XLOOKUP(1,([1]!hcahps[Facility ID] = clean[[#This Row],[Facility ID]]) * ([1]!hcahps[HCAHPS Measure ID] = "H_HSP_RATING_LINEAR_SCORE"), [1]!hcahps[HCAHPS Linear Mean Value]), "No Match")</f>
        <v>80</v>
      </c>
      <c r="F965" cm="1">
        <f t="array" ref="F965">_xlfn.IFNA(_xlfn.XLOOKUP(1,([1]!readmissions[Facility ID] = clean[[#This Row],[Facility ID]]) * ([1]!readmissions[Measure ID] = "Hybrid_HWR"), [1]!readmissions[Score]), "No Match")</f>
        <v>16.3</v>
      </c>
    </row>
    <row r="966" spans="1:6" x14ac:dyDescent="0.2">
      <c r="A966">
        <f>[1]!hospitalinfo[[#This Row],[Facility ID]]</f>
        <v>100226</v>
      </c>
      <c r="B966" t="str">
        <f>[1]!hospitalinfo[[#This Row],[State]]</f>
        <v>FL</v>
      </c>
      <c r="C966" t="str">
        <f>[1]!hospitalinfo[[#This Row],[Hospital Type]]</f>
        <v>Acute Care Hospitals</v>
      </c>
      <c r="D966" t="str">
        <f>[1]!hospitalinfo[[#This Row],[Hospital Ownership]]</f>
        <v>Voluntary non-profit - Other</v>
      </c>
      <c r="E966" cm="1">
        <f t="array" ref="E966">_xlfn.IFNA(_xlfn.XLOOKUP(1,([1]!hcahps[Facility ID] = clean[[#This Row],[Facility ID]]) * ([1]!hcahps[HCAHPS Measure ID] = "H_HSP_RATING_LINEAR_SCORE"), [1]!hcahps[HCAHPS Linear Mean Value]), "No Match")</f>
        <v>84</v>
      </c>
      <c r="F966" cm="1">
        <f t="array" ref="F966">_xlfn.IFNA(_xlfn.XLOOKUP(1,([1]!readmissions[Facility ID] = clean[[#This Row],[Facility ID]]) * ([1]!readmissions[Measure ID] = "Hybrid_HWR"), [1]!readmissions[Score]), "No Match")</f>
        <v>13.7</v>
      </c>
    </row>
    <row r="967" spans="1:6" x14ac:dyDescent="0.2">
      <c r="A967">
        <f>[1]!hospitalinfo[[#This Row],[Facility ID]]</f>
        <v>100228</v>
      </c>
      <c r="B967" t="str">
        <f>[1]!hospitalinfo[[#This Row],[State]]</f>
        <v>FL</v>
      </c>
      <c r="C967" t="str">
        <f>[1]!hospitalinfo[[#This Row],[Hospital Type]]</f>
        <v>Acute Care Hospitals</v>
      </c>
      <c r="D967" t="str">
        <f>[1]!hospitalinfo[[#This Row],[Hospital Ownership]]</f>
        <v>Proprietary</v>
      </c>
      <c r="E967" cm="1">
        <f t="array" ref="E967">_xlfn.IFNA(_xlfn.XLOOKUP(1,([1]!hcahps[Facility ID] = clean[[#This Row],[Facility ID]]) * ([1]!hcahps[HCAHPS Measure ID] = "H_HSP_RATING_LINEAR_SCORE"), [1]!hcahps[HCAHPS Linear Mean Value]), "No Match")</f>
        <v>84</v>
      </c>
      <c r="F967" cm="1">
        <f t="array" ref="F967">_xlfn.IFNA(_xlfn.XLOOKUP(1,([1]!readmissions[Facility ID] = clean[[#This Row],[Facility ID]]) * ([1]!readmissions[Measure ID] = "Hybrid_HWR"), [1]!readmissions[Score]), "No Match")</f>
        <v>17</v>
      </c>
    </row>
    <row r="968" spans="1:6" x14ac:dyDescent="0.2">
      <c r="A968">
        <f>[1]!hospitalinfo[[#This Row],[Facility ID]]</f>
        <v>100230</v>
      </c>
      <c r="B968" t="str">
        <f>[1]!hospitalinfo[[#This Row],[State]]</f>
        <v>FL</v>
      </c>
      <c r="C968" t="str">
        <f>[1]!hospitalinfo[[#This Row],[Hospital Type]]</f>
        <v>Acute Care Hospitals</v>
      </c>
      <c r="D968" t="str">
        <f>[1]!hospitalinfo[[#This Row],[Hospital Ownership]]</f>
        <v>Government - Hospital District or Authority</v>
      </c>
      <c r="E968" cm="1">
        <f t="array" ref="E968">_xlfn.IFNA(_xlfn.XLOOKUP(1,([1]!hcahps[Facility ID] = clean[[#This Row],[Facility ID]]) * ([1]!hcahps[HCAHPS Measure ID] = "H_HSP_RATING_LINEAR_SCORE"), [1]!hcahps[HCAHPS Linear Mean Value]), "No Match")</f>
        <v>90</v>
      </c>
      <c r="F968" cm="1">
        <f t="array" ref="F968">_xlfn.IFNA(_xlfn.XLOOKUP(1,([1]!readmissions[Facility ID] = clean[[#This Row],[Facility ID]]) * ([1]!readmissions[Measure ID] = "Hybrid_HWR"), [1]!readmissions[Score]), "No Match")</f>
        <v>15.6</v>
      </c>
    </row>
    <row r="969" spans="1:6" x14ac:dyDescent="0.2">
      <c r="A969">
        <f>[1]!hospitalinfo[[#This Row],[Facility ID]]</f>
        <v>100231</v>
      </c>
      <c r="B969" t="str">
        <f>[1]!hospitalinfo[[#This Row],[State]]</f>
        <v>FL</v>
      </c>
      <c r="C969" t="str">
        <f>[1]!hospitalinfo[[#This Row],[Hospital Type]]</f>
        <v>Acute Care Hospitals</v>
      </c>
      <c r="D969" t="str">
        <f>[1]!hospitalinfo[[#This Row],[Hospital Ownership]]</f>
        <v>Proprietary</v>
      </c>
      <c r="E969" cm="1">
        <f t="array" ref="E969">_xlfn.IFNA(_xlfn.XLOOKUP(1,([1]!hcahps[Facility ID] = clean[[#This Row],[Facility ID]]) * ([1]!hcahps[HCAHPS Measure ID] = "H_HSP_RATING_LINEAR_SCORE"), [1]!hcahps[HCAHPS Linear Mean Value]), "No Match")</f>
        <v>88</v>
      </c>
      <c r="F969" cm="1">
        <f t="array" ref="F969">_xlfn.IFNA(_xlfn.XLOOKUP(1,([1]!readmissions[Facility ID] = clean[[#This Row],[Facility ID]]) * ([1]!readmissions[Measure ID] = "Hybrid_HWR"), [1]!readmissions[Score]), "No Match")</f>
        <v>15.5</v>
      </c>
    </row>
    <row r="970" spans="1:6" x14ac:dyDescent="0.2">
      <c r="A970">
        <f>[1]!hospitalinfo[[#This Row],[Facility ID]]</f>
        <v>100232</v>
      </c>
      <c r="B970" t="str">
        <f>[1]!hospitalinfo[[#This Row],[State]]</f>
        <v>FL</v>
      </c>
      <c r="C970" t="str">
        <f>[1]!hospitalinfo[[#This Row],[Hospital Type]]</f>
        <v>Acute Care Hospitals</v>
      </c>
      <c r="D970" t="str">
        <f>[1]!hospitalinfo[[#This Row],[Hospital Ownership]]</f>
        <v>Proprietary</v>
      </c>
      <c r="E970" cm="1">
        <f t="array" ref="E970">_xlfn.IFNA(_xlfn.XLOOKUP(1,([1]!hcahps[Facility ID] = clean[[#This Row],[Facility ID]]) * ([1]!hcahps[HCAHPS Measure ID] = "H_HSP_RATING_LINEAR_SCORE"), [1]!hcahps[HCAHPS Linear Mean Value]), "No Match")</f>
        <v>84</v>
      </c>
      <c r="F970" cm="1">
        <f t="array" ref="F970">_xlfn.IFNA(_xlfn.XLOOKUP(1,([1]!readmissions[Facility ID] = clean[[#This Row],[Facility ID]]) * ([1]!readmissions[Measure ID] = "Hybrid_HWR"), [1]!readmissions[Score]), "No Match")</f>
        <v>16.100000000000001</v>
      </c>
    </row>
    <row r="971" spans="1:6" x14ac:dyDescent="0.2">
      <c r="A971">
        <f>[1]!hospitalinfo[[#This Row],[Facility ID]]</f>
        <v>100236</v>
      </c>
      <c r="B971" t="str">
        <f>[1]!hospitalinfo[[#This Row],[State]]</f>
        <v>FL</v>
      </c>
      <c r="C971" t="str">
        <f>[1]!hospitalinfo[[#This Row],[Hospital Type]]</f>
        <v>Acute Care Hospitals</v>
      </c>
      <c r="D971" t="str">
        <f>[1]!hospitalinfo[[#This Row],[Hospital Ownership]]</f>
        <v>Proprietary</v>
      </c>
      <c r="E971" cm="1">
        <f t="array" ref="E971">_xlfn.IFNA(_xlfn.XLOOKUP(1,([1]!hcahps[Facility ID] = clean[[#This Row],[Facility ID]]) * ([1]!hcahps[HCAHPS Measure ID] = "H_HSP_RATING_LINEAR_SCORE"), [1]!hcahps[HCAHPS Linear Mean Value]), "No Match")</f>
        <v>75</v>
      </c>
      <c r="F971" cm="1">
        <f t="array" ref="F971">_xlfn.IFNA(_xlfn.XLOOKUP(1,([1]!readmissions[Facility ID] = clean[[#This Row],[Facility ID]]) * ([1]!readmissions[Measure ID] = "Hybrid_HWR"), [1]!readmissions[Score]), "No Match")</f>
        <v>16.600000000000001</v>
      </c>
    </row>
    <row r="972" spans="1:6" x14ac:dyDescent="0.2">
      <c r="A972">
        <f>[1]!hospitalinfo[[#This Row],[Facility ID]]</f>
        <v>100238</v>
      </c>
      <c r="B972" t="str">
        <f>[1]!hospitalinfo[[#This Row],[State]]</f>
        <v>FL</v>
      </c>
      <c r="C972" t="str">
        <f>[1]!hospitalinfo[[#This Row],[Hospital Type]]</f>
        <v>Acute Care Hospitals</v>
      </c>
      <c r="D972" t="str">
        <f>[1]!hospitalinfo[[#This Row],[Hospital Ownership]]</f>
        <v>Proprietary</v>
      </c>
      <c r="E972" cm="1">
        <f t="array" ref="E972">_xlfn.IFNA(_xlfn.XLOOKUP(1,([1]!hcahps[Facility ID] = clean[[#This Row],[Facility ID]]) * ([1]!hcahps[HCAHPS Measure ID] = "H_HSP_RATING_LINEAR_SCORE"), [1]!hcahps[HCAHPS Linear Mean Value]), "No Match")</f>
        <v>81</v>
      </c>
      <c r="F972" cm="1">
        <f t="array" ref="F972">_xlfn.IFNA(_xlfn.XLOOKUP(1,([1]!readmissions[Facility ID] = clean[[#This Row],[Facility ID]]) * ([1]!readmissions[Measure ID] = "Hybrid_HWR"), [1]!readmissions[Score]), "No Match")</f>
        <v>16.7</v>
      </c>
    </row>
    <row r="973" spans="1:6" x14ac:dyDescent="0.2">
      <c r="A973">
        <f>[1]!hospitalinfo[[#This Row],[Facility ID]]</f>
        <v>100242</v>
      </c>
      <c r="B973" t="str">
        <f>[1]!hospitalinfo[[#This Row],[State]]</f>
        <v>FL</v>
      </c>
      <c r="C973" t="str">
        <f>[1]!hospitalinfo[[#This Row],[Hospital Type]]</f>
        <v>Acute Care Hospitals</v>
      </c>
      <c r="D973" t="str">
        <f>[1]!hospitalinfo[[#This Row],[Hospital Ownership]]</f>
        <v>Proprietary</v>
      </c>
      <c r="E973" cm="1">
        <f t="array" ref="E973">_xlfn.IFNA(_xlfn.XLOOKUP(1,([1]!hcahps[Facility ID] = clean[[#This Row],[Facility ID]]) * ([1]!hcahps[HCAHPS Measure ID] = "H_HSP_RATING_LINEAR_SCORE"), [1]!hcahps[HCAHPS Linear Mean Value]), "No Match")</f>
        <v>83</v>
      </c>
      <c r="F973" cm="1">
        <f t="array" ref="F973">_xlfn.IFNA(_xlfn.XLOOKUP(1,([1]!readmissions[Facility ID] = clean[[#This Row],[Facility ID]]) * ([1]!readmissions[Measure ID] = "Hybrid_HWR"), [1]!readmissions[Score]), "No Match")</f>
        <v>14.1</v>
      </c>
    </row>
    <row r="974" spans="1:6" x14ac:dyDescent="0.2">
      <c r="A974">
        <f>[1]!hospitalinfo[[#This Row],[Facility ID]]</f>
        <v>100243</v>
      </c>
      <c r="B974" t="str">
        <f>[1]!hospitalinfo[[#This Row],[State]]</f>
        <v>FL</v>
      </c>
      <c r="C974" t="str">
        <f>[1]!hospitalinfo[[#This Row],[Hospital Type]]</f>
        <v>Acute Care Hospitals</v>
      </c>
      <c r="D974" t="str">
        <f>[1]!hospitalinfo[[#This Row],[Hospital Ownership]]</f>
        <v>Proprietary</v>
      </c>
      <c r="E974" cm="1">
        <f t="array" ref="E974">_xlfn.IFNA(_xlfn.XLOOKUP(1,([1]!hcahps[Facility ID] = clean[[#This Row],[Facility ID]]) * ([1]!hcahps[HCAHPS Measure ID] = "H_HSP_RATING_LINEAR_SCORE"), [1]!hcahps[HCAHPS Linear Mean Value]), "No Match")</f>
        <v>82</v>
      </c>
      <c r="F974" cm="1">
        <f t="array" ref="F974">_xlfn.IFNA(_xlfn.XLOOKUP(1,([1]!readmissions[Facility ID] = clean[[#This Row],[Facility ID]]) * ([1]!readmissions[Measure ID] = "Hybrid_HWR"), [1]!readmissions[Score]), "No Match")</f>
        <v>16.7</v>
      </c>
    </row>
    <row r="975" spans="1:6" x14ac:dyDescent="0.2">
      <c r="A975">
        <f>[1]!hospitalinfo[[#This Row],[Facility ID]]</f>
        <v>100244</v>
      </c>
      <c r="B975" t="str">
        <f>[1]!hospitalinfo[[#This Row],[State]]</f>
        <v>FL</v>
      </c>
      <c r="C975" t="str">
        <f>[1]!hospitalinfo[[#This Row],[Hospital Type]]</f>
        <v>Acute Care Hospitals</v>
      </c>
      <c r="D975" t="str">
        <f>[1]!hospitalinfo[[#This Row],[Hospital Ownership]]</f>
        <v>Government - Hospital District or Authority</v>
      </c>
      <c r="E975" cm="1">
        <f t="array" ref="E975">_xlfn.IFNA(_xlfn.XLOOKUP(1,([1]!hcahps[Facility ID] = clean[[#This Row],[Facility ID]]) * ([1]!hcahps[HCAHPS Measure ID] = "H_HSP_RATING_LINEAR_SCORE"), [1]!hcahps[HCAHPS Linear Mean Value]), "No Match")</f>
        <v>88</v>
      </c>
      <c r="F975" cm="1">
        <f t="array" ref="F975">_xlfn.IFNA(_xlfn.XLOOKUP(1,([1]!readmissions[Facility ID] = clean[[#This Row],[Facility ID]]) * ([1]!readmissions[Measure ID] = "Hybrid_HWR"), [1]!readmissions[Score]), "No Match")</f>
        <v>15.6</v>
      </c>
    </row>
    <row r="976" spans="1:6" x14ac:dyDescent="0.2">
      <c r="A976">
        <f>[1]!hospitalinfo[[#This Row],[Facility ID]]</f>
        <v>100246</v>
      </c>
      <c r="B976" t="str">
        <f>[1]!hospitalinfo[[#This Row],[State]]</f>
        <v>FL</v>
      </c>
      <c r="C976" t="str">
        <f>[1]!hospitalinfo[[#This Row],[Hospital Type]]</f>
        <v>Acute Care Hospitals</v>
      </c>
      <c r="D976" t="str">
        <f>[1]!hospitalinfo[[#This Row],[Hospital Ownership]]</f>
        <v>Proprietary</v>
      </c>
      <c r="E976" cm="1">
        <f t="array" ref="E976">_xlfn.IFNA(_xlfn.XLOOKUP(1,([1]!hcahps[Facility ID] = clean[[#This Row],[Facility ID]]) * ([1]!hcahps[HCAHPS Measure ID] = "H_HSP_RATING_LINEAR_SCORE"), [1]!hcahps[HCAHPS Linear Mean Value]), "No Match")</f>
        <v>83</v>
      </c>
      <c r="F976" cm="1">
        <f t="array" ref="F976">_xlfn.IFNA(_xlfn.XLOOKUP(1,([1]!readmissions[Facility ID] = clean[[#This Row],[Facility ID]]) * ([1]!readmissions[Measure ID] = "Hybrid_HWR"), [1]!readmissions[Score]), "No Match")</f>
        <v>16.5</v>
      </c>
    </row>
    <row r="977" spans="1:6" x14ac:dyDescent="0.2">
      <c r="A977">
        <f>[1]!hospitalinfo[[#This Row],[Facility ID]]</f>
        <v>100248</v>
      </c>
      <c r="B977" t="str">
        <f>[1]!hospitalinfo[[#This Row],[State]]</f>
        <v>FL</v>
      </c>
      <c r="C977" t="str">
        <f>[1]!hospitalinfo[[#This Row],[Hospital Type]]</f>
        <v>Acute Care Hospitals</v>
      </c>
      <c r="D977" t="str">
        <f>[1]!hospitalinfo[[#This Row],[Hospital Ownership]]</f>
        <v>Proprietary</v>
      </c>
      <c r="E977" cm="1">
        <f t="array" ref="E977">_xlfn.IFNA(_xlfn.XLOOKUP(1,([1]!hcahps[Facility ID] = clean[[#This Row],[Facility ID]]) * ([1]!hcahps[HCAHPS Measure ID] = "H_HSP_RATING_LINEAR_SCORE"), [1]!hcahps[HCAHPS Linear Mean Value]), "No Match")</f>
        <v>81</v>
      </c>
      <c r="F977" cm="1">
        <f t="array" ref="F977">_xlfn.IFNA(_xlfn.XLOOKUP(1,([1]!readmissions[Facility ID] = clean[[#This Row],[Facility ID]]) * ([1]!readmissions[Measure ID] = "Hybrid_HWR"), [1]!readmissions[Score]), "No Match")</f>
        <v>15.6</v>
      </c>
    </row>
    <row r="978" spans="1:6" x14ac:dyDescent="0.2">
      <c r="A978">
        <f>[1]!hospitalinfo[[#This Row],[Facility ID]]</f>
        <v>100249</v>
      </c>
      <c r="B978" t="str">
        <f>[1]!hospitalinfo[[#This Row],[State]]</f>
        <v>FL</v>
      </c>
      <c r="C978" t="str">
        <f>[1]!hospitalinfo[[#This Row],[Hospital Type]]</f>
        <v>Acute Care Hospitals</v>
      </c>
      <c r="D978" t="str">
        <f>[1]!hospitalinfo[[#This Row],[Hospital Ownership]]</f>
        <v>Voluntary non-profit - Private</v>
      </c>
      <c r="E978" cm="1">
        <f t="array" ref="E978">_xlfn.IFNA(_xlfn.XLOOKUP(1,([1]!hcahps[Facility ID] = clean[[#This Row],[Facility ID]]) * ([1]!hcahps[HCAHPS Measure ID] = "H_HSP_RATING_LINEAR_SCORE"), [1]!hcahps[HCAHPS Linear Mean Value]), "No Match")</f>
        <v>81</v>
      </c>
      <c r="F978" cm="1">
        <f t="array" ref="F978">_xlfn.IFNA(_xlfn.XLOOKUP(1,([1]!readmissions[Facility ID] = clean[[#This Row],[Facility ID]]) * ([1]!readmissions[Measure ID] = "Hybrid_HWR"), [1]!readmissions[Score]), "No Match")</f>
        <v>15.5</v>
      </c>
    </row>
    <row r="979" spans="1:6" x14ac:dyDescent="0.2">
      <c r="A979">
        <f>[1]!hospitalinfo[[#This Row],[Facility ID]]</f>
        <v>100252</v>
      </c>
      <c r="B979" t="str">
        <f>[1]!hospitalinfo[[#This Row],[State]]</f>
        <v>FL</v>
      </c>
      <c r="C979" t="str">
        <f>[1]!hospitalinfo[[#This Row],[Hospital Type]]</f>
        <v>Acute Care Hospitals</v>
      </c>
      <c r="D979" t="str">
        <f>[1]!hospitalinfo[[#This Row],[Hospital Ownership]]</f>
        <v>Proprietary</v>
      </c>
      <c r="E979" cm="1">
        <f t="array" ref="E979">_xlfn.IFNA(_xlfn.XLOOKUP(1,([1]!hcahps[Facility ID] = clean[[#This Row],[Facility ID]]) * ([1]!hcahps[HCAHPS Measure ID] = "H_HSP_RATING_LINEAR_SCORE"), [1]!hcahps[HCAHPS Linear Mean Value]), "No Match")</f>
        <v>88</v>
      </c>
      <c r="F979" cm="1">
        <f t="array" ref="F979">_xlfn.IFNA(_xlfn.XLOOKUP(1,([1]!readmissions[Facility ID] = clean[[#This Row],[Facility ID]]) * ([1]!readmissions[Measure ID] = "Hybrid_HWR"), [1]!readmissions[Score]), "No Match")</f>
        <v>16.2</v>
      </c>
    </row>
    <row r="980" spans="1:6" x14ac:dyDescent="0.2">
      <c r="A980">
        <f>[1]!hospitalinfo[[#This Row],[Facility ID]]</f>
        <v>100253</v>
      </c>
      <c r="B980" t="str">
        <f>[1]!hospitalinfo[[#This Row],[State]]</f>
        <v>FL</v>
      </c>
      <c r="C980" t="str">
        <f>[1]!hospitalinfo[[#This Row],[Hospital Type]]</f>
        <v>Acute Care Hospitals</v>
      </c>
      <c r="D980" t="str">
        <f>[1]!hospitalinfo[[#This Row],[Hospital Ownership]]</f>
        <v>Voluntary non-profit - Private</v>
      </c>
      <c r="E980" cm="1">
        <f t="array" ref="E980">_xlfn.IFNA(_xlfn.XLOOKUP(1,([1]!hcahps[Facility ID] = clean[[#This Row],[Facility ID]]) * ([1]!hcahps[HCAHPS Measure ID] = "H_HSP_RATING_LINEAR_SCORE"), [1]!hcahps[HCAHPS Linear Mean Value]), "No Match")</f>
        <v>90</v>
      </c>
      <c r="F980" cm="1">
        <f t="array" ref="F980">_xlfn.IFNA(_xlfn.XLOOKUP(1,([1]!readmissions[Facility ID] = clean[[#This Row],[Facility ID]]) * ([1]!readmissions[Measure ID] = "Hybrid_HWR"), [1]!readmissions[Score]), "No Match")</f>
        <v>16</v>
      </c>
    </row>
    <row r="981" spans="1:6" x14ac:dyDescent="0.2">
      <c r="A981">
        <f>[1]!hospitalinfo[[#This Row],[Facility ID]]</f>
        <v>100254</v>
      </c>
      <c r="B981" t="str">
        <f>[1]!hospitalinfo[[#This Row],[State]]</f>
        <v>FL</v>
      </c>
      <c r="C981" t="str">
        <f>[1]!hospitalinfo[[#This Row],[Hospital Type]]</f>
        <v>Acute Care Hospitals</v>
      </c>
      <c r="D981" t="str">
        <f>[1]!hospitalinfo[[#This Row],[Hospital Ownership]]</f>
        <v>Proprietary</v>
      </c>
      <c r="E981" cm="1">
        <f t="array" ref="E981">_xlfn.IFNA(_xlfn.XLOOKUP(1,([1]!hcahps[Facility ID] = clean[[#This Row],[Facility ID]]) * ([1]!hcahps[HCAHPS Measure ID] = "H_HSP_RATING_LINEAR_SCORE"), [1]!hcahps[HCAHPS Linear Mean Value]), "No Match")</f>
        <v>82</v>
      </c>
      <c r="F981" cm="1">
        <f t="array" ref="F981">_xlfn.IFNA(_xlfn.XLOOKUP(1,([1]!readmissions[Facility ID] = clean[[#This Row],[Facility ID]]) * ([1]!readmissions[Measure ID] = "Hybrid_HWR"), [1]!readmissions[Score]), "No Match")</f>
        <v>16.2</v>
      </c>
    </row>
    <row r="982" spans="1:6" x14ac:dyDescent="0.2">
      <c r="A982">
        <f>[1]!hospitalinfo[[#This Row],[Facility ID]]</f>
        <v>100256</v>
      </c>
      <c r="B982" t="str">
        <f>[1]!hospitalinfo[[#This Row],[State]]</f>
        <v>FL</v>
      </c>
      <c r="C982" t="str">
        <f>[1]!hospitalinfo[[#This Row],[Hospital Type]]</f>
        <v>Acute Care Hospitals</v>
      </c>
      <c r="D982" t="str">
        <f>[1]!hospitalinfo[[#This Row],[Hospital Ownership]]</f>
        <v>Proprietary</v>
      </c>
      <c r="E982" cm="1">
        <f t="array" ref="E982">_xlfn.IFNA(_xlfn.XLOOKUP(1,([1]!hcahps[Facility ID] = clean[[#This Row],[Facility ID]]) * ([1]!hcahps[HCAHPS Measure ID] = "H_HSP_RATING_LINEAR_SCORE"), [1]!hcahps[HCAHPS Linear Mean Value]), "No Match")</f>
        <v>82</v>
      </c>
      <c r="F982" cm="1">
        <f t="array" ref="F982">_xlfn.IFNA(_xlfn.XLOOKUP(1,([1]!readmissions[Facility ID] = clean[[#This Row],[Facility ID]]) * ([1]!readmissions[Measure ID] = "Hybrid_HWR"), [1]!readmissions[Score]), "No Match")</f>
        <v>16.5</v>
      </c>
    </row>
    <row r="983" spans="1:6" x14ac:dyDescent="0.2">
      <c r="A983">
        <f>[1]!hospitalinfo[[#This Row],[Facility ID]]</f>
        <v>100258</v>
      </c>
      <c r="B983" t="str">
        <f>[1]!hospitalinfo[[#This Row],[State]]</f>
        <v>FL</v>
      </c>
      <c r="C983" t="str">
        <f>[1]!hospitalinfo[[#This Row],[Hospital Type]]</f>
        <v>Acute Care Hospitals</v>
      </c>
      <c r="D983" t="str">
        <f>[1]!hospitalinfo[[#This Row],[Hospital Ownership]]</f>
        <v>Proprietary</v>
      </c>
      <c r="E983" cm="1">
        <f t="array" ref="E983">_xlfn.IFNA(_xlfn.XLOOKUP(1,([1]!hcahps[Facility ID] = clean[[#This Row],[Facility ID]]) * ([1]!hcahps[HCAHPS Measure ID] = "H_HSP_RATING_LINEAR_SCORE"), [1]!hcahps[HCAHPS Linear Mean Value]), "No Match")</f>
        <v>75</v>
      </c>
      <c r="F983" cm="1">
        <f t="array" ref="F983">_xlfn.IFNA(_xlfn.XLOOKUP(1,([1]!readmissions[Facility ID] = clean[[#This Row],[Facility ID]]) * ([1]!readmissions[Measure ID] = "Hybrid_HWR"), [1]!readmissions[Score]), "No Match")</f>
        <v>16</v>
      </c>
    </row>
    <row r="984" spans="1:6" x14ac:dyDescent="0.2">
      <c r="A984">
        <f>[1]!hospitalinfo[[#This Row],[Facility ID]]</f>
        <v>100259</v>
      </c>
      <c r="B984" t="str">
        <f>[1]!hospitalinfo[[#This Row],[State]]</f>
        <v>FL</v>
      </c>
      <c r="C984" t="str">
        <f>[1]!hospitalinfo[[#This Row],[Hospital Type]]</f>
        <v>Acute Care Hospitals</v>
      </c>
      <c r="D984" t="str">
        <f>[1]!hospitalinfo[[#This Row],[Hospital Ownership]]</f>
        <v>Proprietary</v>
      </c>
      <c r="E984" cm="1">
        <f t="array" ref="E984">_xlfn.IFNA(_xlfn.XLOOKUP(1,([1]!hcahps[Facility ID] = clean[[#This Row],[Facility ID]]) * ([1]!hcahps[HCAHPS Measure ID] = "H_HSP_RATING_LINEAR_SCORE"), [1]!hcahps[HCAHPS Linear Mean Value]), "No Match")</f>
        <v>84</v>
      </c>
      <c r="F984" cm="1">
        <f t="array" ref="F984">_xlfn.IFNA(_xlfn.XLOOKUP(1,([1]!readmissions[Facility ID] = clean[[#This Row],[Facility ID]]) * ([1]!readmissions[Measure ID] = "Hybrid_HWR"), [1]!readmissions[Score]), "No Match")</f>
        <v>15.9</v>
      </c>
    </row>
    <row r="985" spans="1:6" x14ac:dyDescent="0.2">
      <c r="A985">
        <f>[1]!hospitalinfo[[#This Row],[Facility ID]]</f>
        <v>100260</v>
      </c>
      <c r="B985" t="str">
        <f>[1]!hospitalinfo[[#This Row],[State]]</f>
        <v>FL</v>
      </c>
      <c r="C985" t="str">
        <f>[1]!hospitalinfo[[#This Row],[Hospital Type]]</f>
        <v>Acute Care Hospitals</v>
      </c>
      <c r="D985" t="str">
        <f>[1]!hospitalinfo[[#This Row],[Hospital Ownership]]</f>
        <v>Proprietary</v>
      </c>
      <c r="E985" cm="1">
        <f t="array" ref="E985">_xlfn.IFNA(_xlfn.XLOOKUP(1,([1]!hcahps[Facility ID] = clean[[#This Row],[Facility ID]]) * ([1]!hcahps[HCAHPS Measure ID] = "H_HSP_RATING_LINEAR_SCORE"), [1]!hcahps[HCAHPS Linear Mean Value]), "No Match")</f>
        <v>84</v>
      </c>
      <c r="F985" cm="1">
        <f t="array" ref="F985">_xlfn.IFNA(_xlfn.XLOOKUP(1,([1]!readmissions[Facility ID] = clean[[#This Row],[Facility ID]]) * ([1]!readmissions[Measure ID] = "Hybrid_HWR"), [1]!readmissions[Score]), "No Match")</f>
        <v>17.5</v>
      </c>
    </row>
    <row r="986" spans="1:6" x14ac:dyDescent="0.2">
      <c r="A986">
        <f>[1]!hospitalinfo[[#This Row],[Facility ID]]</f>
        <v>100264</v>
      </c>
      <c r="B986" t="str">
        <f>[1]!hospitalinfo[[#This Row],[State]]</f>
        <v>FL</v>
      </c>
      <c r="C986" t="str">
        <f>[1]!hospitalinfo[[#This Row],[Hospital Type]]</f>
        <v>Acute Care Hospitals</v>
      </c>
      <c r="D986" t="str">
        <f>[1]!hospitalinfo[[#This Row],[Hospital Ownership]]</f>
        <v>Proprietary</v>
      </c>
      <c r="E986" cm="1">
        <f t="array" ref="E986">_xlfn.IFNA(_xlfn.XLOOKUP(1,([1]!hcahps[Facility ID] = clean[[#This Row],[Facility ID]]) * ([1]!hcahps[HCAHPS Measure ID] = "H_HSP_RATING_LINEAR_SCORE"), [1]!hcahps[HCAHPS Linear Mean Value]), "No Match")</f>
        <v>83</v>
      </c>
      <c r="F986" cm="1">
        <f t="array" ref="F986">_xlfn.IFNA(_xlfn.XLOOKUP(1,([1]!readmissions[Facility ID] = clean[[#This Row],[Facility ID]]) * ([1]!readmissions[Measure ID] = "Hybrid_HWR"), [1]!readmissions[Score]), "No Match")</f>
        <v>16.399999999999999</v>
      </c>
    </row>
    <row r="987" spans="1:6" x14ac:dyDescent="0.2">
      <c r="A987">
        <f>[1]!hospitalinfo[[#This Row],[Facility ID]]</f>
        <v>100265</v>
      </c>
      <c r="B987" t="str">
        <f>[1]!hospitalinfo[[#This Row],[State]]</f>
        <v>FL</v>
      </c>
      <c r="C987" t="str">
        <f>[1]!hospitalinfo[[#This Row],[Hospital Type]]</f>
        <v>Acute Care Hospitals</v>
      </c>
      <c r="D987" t="str">
        <f>[1]!hospitalinfo[[#This Row],[Hospital Ownership]]</f>
        <v>Voluntary non-profit - Private</v>
      </c>
      <c r="E987" cm="1">
        <f t="array" ref="E987">_xlfn.IFNA(_xlfn.XLOOKUP(1,([1]!hcahps[Facility ID] = clean[[#This Row],[Facility ID]]) * ([1]!hcahps[HCAHPS Measure ID] = "H_HSP_RATING_LINEAR_SCORE"), [1]!hcahps[HCAHPS Linear Mean Value]), "No Match")</f>
        <v>91</v>
      </c>
      <c r="F987" cm="1">
        <f t="array" ref="F987">_xlfn.IFNA(_xlfn.XLOOKUP(1,([1]!readmissions[Facility ID] = clean[[#This Row],[Facility ID]]) * ([1]!readmissions[Measure ID] = "Hybrid_HWR"), [1]!readmissions[Score]), "No Match")</f>
        <v>15.3</v>
      </c>
    </row>
    <row r="988" spans="1:6" x14ac:dyDescent="0.2">
      <c r="A988">
        <f>[1]!hospitalinfo[[#This Row],[Facility ID]]</f>
        <v>100266</v>
      </c>
      <c r="B988" t="str">
        <f>[1]!hospitalinfo[[#This Row],[State]]</f>
        <v>FL</v>
      </c>
      <c r="C988" t="str">
        <f>[1]!hospitalinfo[[#This Row],[Hospital Type]]</f>
        <v>Acute Care Hospitals</v>
      </c>
      <c r="D988" t="str">
        <f>[1]!hospitalinfo[[#This Row],[Hospital Ownership]]</f>
        <v>Voluntary non-profit - Other</v>
      </c>
      <c r="E988" cm="1">
        <f t="array" ref="E988">_xlfn.IFNA(_xlfn.XLOOKUP(1,([1]!hcahps[Facility ID] = clean[[#This Row],[Facility ID]]) * ([1]!hcahps[HCAHPS Measure ID] = "H_HSP_RATING_LINEAR_SCORE"), [1]!hcahps[HCAHPS Linear Mean Value]), "No Match")</f>
        <v>92</v>
      </c>
      <c r="F988" cm="1">
        <f t="array" ref="F988">_xlfn.IFNA(_xlfn.XLOOKUP(1,([1]!readmissions[Facility ID] = clean[[#This Row],[Facility ID]]) * ([1]!readmissions[Measure ID] = "Hybrid_HWR"), [1]!readmissions[Score]), "No Match")</f>
        <v>14.8</v>
      </c>
    </row>
    <row r="989" spans="1:6" x14ac:dyDescent="0.2">
      <c r="A989">
        <f>[1]!hospitalinfo[[#This Row],[Facility ID]]</f>
        <v>100267</v>
      </c>
      <c r="B989" t="str">
        <f>[1]!hospitalinfo[[#This Row],[State]]</f>
        <v>FL</v>
      </c>
      <c r="C989" t="str">
        <f>[1]!hospitalinfo[[#This Row],[Hospital Type]]</f>
        <v>Acute Care Hospitals</v>
      </c>
      <c r="D989" t="str">
        <f>[1]!hospitalinfo[[#This Row],[Hospital Ownership]]</f>
        <v>Proprietary</v>
      </c>
      <c r="E989" cm="1">
        <f t="array" ref="E989">_xlfn.IFNA(_xlfn.XLOOKUP(1,([1]!hcahps[Facility ID] = clean[[#This Row],[Facility ID]]) * ([1]!hcahps[HCAHPS Measure ID] = "H_HSP_RATING_LINEAR_SCORE"), [1]!hcahps[HCAHPS Linear Mean Value]), "No Match")</f>
        <v>86</v>
      </c>
      <c r="F989" cm="1">
        <f t="array" ref="F989">_xlfn.IFNA(_xlfn.XLOOKUP(1,([1]!readmissions[Facility ID] = clean[[#This Row],[Facility ID]]) * ([1]!readmissions[Measure ID] = "Hybrid_HWR"), [1]!readmissions[Score]), "No Match")</f>
        <v>15.3</v>
      </c>
    </row>
    <row r="990" spans="1:6" x14ac:dyDescent="0.2">
      <c r="A990">
        <f>[1]!hospitalinfo[[#This Row],[Facility ID]]</f>
        <v>100268</v>
      </c>
      <c r="B990" t="str">
        <f>[1]!hospitalinfo[[#This Row],[State]]</f>
        <v>FL</v>
      </c>
      <c r="C990" t="str">
        <f>[1]!hospitalinfo[[#This Row],[Hospital Type]]</f>
        <v>Acute Care Hospitals</v>
      </c>
      <c r="D990" t="str">
        <f>[1]!hospitalinfo[[#This Row],[Hospital Ownership]]</f>
        <v>Proprietary</v>
      </c>
      <c r="E990" cm="1">
        <f t="array" ref="E990">_xlfn.IFNA(_xlfn.XLOOKUP(1,([1]!hcahps[Facility ID] = clean[[#This Row],[Facility ID]]) * ([1]!hcahps[HCAHPS Measure ID] = "H_HSP_RATING_LINEAR_SCORE"), [1]!hcahps[HCAHPS Linear Mean Value]), "No Match")</f>
        <v>78</v>
      </c>
      <c r="F990" cm="1">
        <f t="array" ref="F990">_xlfn.IFNA(_xlfn.XLOOKUP(1,([1]!readmissions[Facility ID] = clean[[#This Row],[Facility ID]]) * ([1]!readmissions[Measure ID] = "Hybrid_HWR"), [1]!readmissions[Score]), "No Match")</f>
        <v>16</v>
      </c>
    </row>
    <row r="991" spans="1:6" x14ac:dyDescent="0.2">
      <c r="A991">
        <f>[1]!hospitalinfo[[#This Row],[Facility ID]]</f>
        <v>100269</v>
      </c>
      <c r="B991" t="str">
        <f>[1]!hospitalinfo[[#This Row],[State]]</f>
        <v>FL</v>
      </c>
      <c r="C991" t="str">
        <f>[1]!hospitalinfo[[#This Row],[Hospital Type]]</f>
        <v>Acute Care Hospitals</v>
      </c>
      <c r="D991" t="str">
        <f>[1]!hospitalinfo[[#This Row],[Hospital Ownership]]</f>
        <v>Proprietary</v>
      </c>
      <c r="E991" cm="1">
        <f t="array" ref="E991">_xlfn.IFNA(_xlfn.XLOOKUP(1,([1]!hcahps[Facility ID] = clean[[#This Row],[Facility ID]]) * ([1]!hcahps[HCAHPS Measure ID] = "H_HSP_RATING_LINEAR_SCORE"), [1]!hcahps[HCAHPS Linear Mean Value]), "No Match")</f>
        <v>84</v>
      </c>
      <c r="F991" cm="1">
        <f t="array" ref="F991">_xlfn.IFNA(_xlfn.XLOOKUP(1,([1]!readmissions[Facility ID] = clean[[#This Row],[Facility ID]]) * ([1]!readmissions[Measure ID] = "Hybrid_HWR"), [1]!readmissions[Score]), "No Match")</f>
        <v>17.399999999999999</v>
      </c>
    </row>
    <row r="992" spans="1:6" x14ac:dyDescent="0.2">
      <c r="A992">
        <f>[1]!hospitalinfo[[#This Row],[Facility ID]]</f>
        <v>100275</v>
      </c>
      <c r="B992" t="str">
        <f>[1]!hospitalinfo[[#This Row],[State]]</f>
        <v>FL</v>
      </c>
      <c r="C992" t="str">
        <f>[1]!hospitalinfo[[#This Row],[Hospital Type]]</f>
        <v>Acute Care Hospitals</v>
      </c>
      <c r="D992" t="str">
        <f>[1]!hospitalinfo[[#This Row],[Hospital Ownership]]</f>
        <v>Proprietary</v>
      </c>
      <c r="E992" cm="1">
        <f t="array" ref="E992">_xlfn.IFNA(_xlfn.XLOOKUP(1,([1]!hcahps[Facility ID] = clean[[#This Row],[Facility ID]]) * ([1]!hcahps[HCAHPS Measure ID] = "H_HSP_RATING_LINEAR_SCORE"), [1]!hcahps[HCAHPS Linear Mean Value]), "No Match")</f>
        <v>81</v>
      </c>
      <c r="F992" cm="1">
        <f t="array" ref="F992">_xlfn.IFNA(_xlfn.XLOOKUP(1,([1]!readmissions[Facility ID] = clean[[#This Row],[Facility ID]]) * ([1]!readmissions[Measure ID] = "Hybrid_HWR"), [1]!readmissions[Score]), "No Match")</f>
        <v>16.399999999999999</v>
      </c>
    </row>
    <row r="993" spans="1:6" x14ac:dyDescent="0.2">
      <c r="A993">
        <f>[1]!hospitalinfo[[#This Row],[Facility ID]]</f>
        <v>100276</v>
      </c>
      <c r="B993" t="str">
        <f>[1]!hospitalinfo[[#This Row],[State]]</f>
        <v>FL</v>
      </c>
      <c r="C993" t="str">
        <f>[1]!hospitalinfo[[#This Row],[Hospital Type]]</f>
        <v>Acute Care Hospitals</v>
      </c>
      <c r="D993" t="str">
        <f>[1]!hospitalinfo[[#This Row],[Hospital Ownership]]</f>
        <v>Government - Hospital District or Authority</v>
      </c>
      <c r="E993" cm="1">
        <f t="array" ref="E993">_xlfn.IFNA(_xlfn.XLOOKUP(1,([1]!hcahps[Facility ID] = clean[[#This Row],[Facility ID]]) * ([1]!hcahps[HCAHPS Measure ID] = "H_HSP_RATING_LINEAR_SCORE"), [1]!hcahps[HCAHPS Linear Mean Value]), "No Match")</f>
        <v>87</v>
      </c>
      <c r="F993" cm="1">
        <f t="array" ref="F993">_xlfn.IFNA(_xlfn.XLOOKUP(1,([1]!readmissions[Facility ID] = clean[[#This Row],[Facility ID]]) * ([1]!readmissions[Measure ID] = "Hybrid_HWR"), [1]!readmissions[Score]), "No Match")</f>
        <v>15.2</v>
      </c>
    </row>
    <row r="994" spans="1:6" x14ac:dyDescent="0.2">
      <c r="A994">
        <f>[1]!hospitalinfo[[#This Row],[Facility ID]]</f>
        <v>100277</v>
      </c>
      <c r="B994" t="str">
        <f>[1]!hospitalinfo[[#This Row],[State]]</f>
        <v>FL</v>
      </c>
      <c r="C994" t="str">
        <f>[1]!hospitalinfo[[#This Row],[Hospital Type]]</f>
        <v>Acute Care Hospitals</v>
      </c>
      <c r="D994" t="str">
        <f>[1]!hospitalinfo[[#This Row],[Hospital Ownership]]</f>
        <v>Voluntary non-profit - Private</v>
      </c>
      <c r="E994" t="str" cm="1">
        <f t="array" ref="E994">_xlfn.IFNA(_xlfn.XLOOKUP(1,([1]!hcahps[Facility ID] = clean[[#This Row],[Facility ID]]) * ([1]!hcahps[HCAHPS Measure ID] = "H_HSP_RATING_LINEAR_SCORE"), [1]!hcahps[HCAHPS Linear Mean Value]), "No Match")</f>
        <v>Not Available</v>
      </c>
      <c r="F994" t="str" cm="1">
        <f t="array" ref="F994">_xlfn.IFNA(_xlfn.XLOOKUP(1,([1]!readmissions[Facility ID] = clean[[#This Row],[Facility ID]]) * ([1]!readmissions[Measure ID] = "Hybrid_HWR"), [1]!readmissions[Score]), "No Match")</f>
        <v>Not Available</v>
      </c>
    </row>
    <row r="995" spans="1:6" x14ac:dyDescent="0.2">
      <c r="A995">
        <f>[1]!hospitalinfo[[#This Row],[Facility ID]]</f>
        <v>100281</v>
      </c>
      <c r="B995" t="str">
        <f>[1]!hospitalinfo[[#This Row],[State]]</f>
        <v>FL</v>
      </c>
      <c r="C995" t="str">
        <f>[1]!hospitalinfo[[#This Row],[Hospital Type]]</f>
        <v>Acute Care Hospitals</v>
      </c>
      <c r="D995" t="str">
        <f>[1]!hospitalinfo[[#This Row],[Hospital Ownership]]</f>
        <v>Government - Hospital District or Authority</v>
      </c>
      <c r="E995" cm="1">
        <f t="array" ref="E995">_xlfn.IFNA(_xlfn.XLOOKUP(1,([1]!hcahps[Facility ID] = clean[[#This Row],[Facility ID]]) * ([1]!hcahps[HCAHPS Measure ID] = "H_HSP_RATING_LINEAR_SCORE"), [1]!hcahps[HCAHPS Linear Mean Value]), "No Match")</f>
        <v>89</v>
      </c>
      <c r="F995" cm="1">
        <f t="array" ref="F995">_xlfn.IFNA(_xlfn.XLOOKUP(1,([1]!readmissions[Facility ID] = clean[[#This Row],[Facility ID]]) * ([1]!readmissions[Measure ID] = "Hybrid_HWR"), [1]!readmissions[Score]), "No Match")</f>
        <v>16</v>
      </c>
    </row>
    <row r="996" spans="1:6" x14ac:dyDescent="0.2">
      <c r="A996">
        <f>[1]!hospitalinfo[[#This Row],[Facility ID]]</f>
        <v>100284</v>
      </c>
      <c r="B996" t="str">
        <f>[1]!hospitalinfo[[#This Row],[State]]</f>
        <v>FL</v>
      </c>
      <c r="C996" t="str">
        <f>[1]!hospitalinfo[[#This Row],[Hospital Type]]</f>
        <v>Acute Care Hospitals</v>
      </c>
      <c r="D996" t="str">
        <f>[1]!hospitalinfo[[#This Row],[Hospital Ownership]]</f>
        <v>Proprietary</v>
      </c>
      <c r="E996" t="str" cm="1">
        <f t="array" ref="E996">_xlfn.IFNA(_xlfn.XLOOKUP(1,([1]!hcahps[Facility ID] = clean[[#This Row],[Facility ID]]) * ([1]!hcahps[HCAHPS Measure ID] = "H_HSP_RATING_LINEAR_SCORE"), [1]!hcahps[HCAHPS Linear Mean Value]), "No Match")</f>
        <v>Not Available</v>
      </c>
      <c r="F996" cm="1">
        <f t="array" ref="F996">_xlfn.IFNA(_xlfn.XLOOKUP(1,([1]!readmissions[Facility ID] = clean[[#This Row],[Facility ID]]) * ([1]!readmissions[Measure ID] = "Hybrid_HWR"), [1]!readmissions[Score]), "No Match")</f>
        <v>16.3</v>
      </c>
    </row>
    <row r="997" spans="1:6" x14ac:dyDescent="0.2">
      <c r="A997">
        <f>[1]!hospitalinfo[[#This Row],[Facility ID]]</f>
        <v>100285</v>
      </c>
      <c r="B997" t="str">
        <f>[1]!hospitalinfo[[#This Row],[State]]</f>
        <v>FL</v>
      </c>
      <c r="C997" t="str">
        <f>[1]!hospitalinfo[[#This Row],[Hospital Type]]</f>
        <v>Acute Care Hospitals</v>
      </c>
      <c r="D997" t="str">
        <f>[1]!hospitalinfo[[#This Row],[Hospital Ownership]]</f>
        <v>Government - Hospital District or Authority</v>
      </c>
      <c r="E997" cm="1">
        <f t="array" ref="E997">_xlfn.IFNA(_xlfn.XLOOKUP(1,([1]!hcahps[Facility ID] = clean[[#This Row],[Facility ID]]) * ([1]!hcahps[HCAHPS Measure ID] = "H_HSP_RATING_LINEAR_SCORE"), [1]!hcahps[HCAHPS Linear Mean Value]), "No Match")</f>
        <v>90</v>
      </c>
      <c r="F997" cm="1">
        <f t="array" ref="F997">_xlfn.IFNA(_xlfn.XLOOKUP(1,([1]!readmissions[Facility ID] = clean[[#This Row],[Facility ID]]) * ([1]!readmissions[Measure ID] = "Hybrid_HWR"), [1]!readmissions[Score]), "No Match")</f>
        <v>14.7</v>
      </c>
    </row>
    <row r="998" spans="1:6" x14ac:dyDescent="0.2">
      <c r="A998">
        <f>[1]!hospitalinfo[[#This Row],[Facility ID]]</f>
        <v>100286</v>
      </c>
      <c r="B998" t="str">
        <f>[1]!hospitalinfo[[#This Row],[State]]</f>
        <v>FL</v>
      </c>
      <c r="C998" t="str">
        <f>[1]!hospitalinfo[[#This Row],[Hospital Type]]</f>
        <v>Acute Care Hospitals</v>
      </c>
      <c r="D998" t="str">
        <f>[1]!hospitalinfo[[#This Row],[Hospital Ownership]]</f>
        <v>Proprietary</v>
      </c>
      <c r="E998" cm="1">
        <f t="array" ref="E998">_xlfn.IFNA(_xlfn.XLOOKUP(1,([1]!hcahps[Facility ID] = clean[[#This Row],[Facility ID]]) * ([1]!hcahps[HCAHPS Measure ID] = "H_HSP_RATING_LINEAR_SCORE"), [1]!hcahps[HCAHPS Linear Mean Value]), "No Match")</f>
        <v>85</v>
      </c>
      <c r="F998" cm="1">
        <f t="array" ref="F998">_xlfn.IFNA(_xlfn.XLOOKUP(1,([1]!readmissions[Facility ID] = clean[[#This Row],[Facility ID]]) * ([1]!readmissions[Measure ID] = "Hybrid_HWR"), [1]!readmissions[Score]), "No Match")</f>
        <v>16.100000000000001</v>
      </c>
    </row>
    <row r="999" spans="1:6" x14ac:dyDescent="0.2">
      <c r="A999">
        <f>[1]!hospitalinfo[[#This Row],[Facility ID]]</f>
        <v>100287</v>
      </c>
      <c r="B999" t="str">
        <f>[1]!hospitalinfo[[#This Row],[State]]</f>
        <v>FL</v>
      </c>
      <c r="C999" t="str">
        <f>[1]!hospitalinfo[[#This Row],[Hospital Type]]</f>
        <v>Acute Care Hospitals</v>
      </c>
      <c r="D999" t="str">
        <f>[1]!hospitalinfo[[#This Row],[Hospital Ownership]]</f>
        <v>Proprietary</v>
      </c>
      <c r="E999" cm="1">
        <f t="array" ref="E999">_xlfn.IFNA(_xlfn.XLOOKUP(1,([1]!hcahps[Facility ID] = clean[[#This Row],[Facility ID]]) * ([1]!hcahps[HCAHPS Measure ID] = "H_HSP_RATING_LINEAR_SCORE"), [1]!hcahps[HCAHPS Linear Mean Value]), "No Match")</f>
        <v>83</v>
      </c>
      <c r="F999" cm="1">
        <f t="array" ref="F999">_xlfn.IFNA(_xlfn.XLOOKUP(1,([1]!readmissions[Facility ID] = clean[[#This Row],[Facility ID]]) * ([1]!readmissions[Measure ID] = "Hybrid_HWR"), [1]!readmissions[Score]), "No Match")</f>
        <v>15.8</v>
      </c>
    </row>
    <row r="1000" spans="1:6" x14ac:dyDescent="0.2">
      <c r="A1000">
        <f>[1]!hospitalinfo[[#This Row],[Facility ID]]</f>
        <v>100288</v>
      </c>
      <c r="B1000" t="str">
        <f>[1]!hospitalinfo[[#This Row],[State]]</f>
        <v>FL</v>
      </c>
      <c r="C1000" t="str">
        <f>[1]!hospitalinfo[[#This Row],[Hospital Type]]</f>
        <v>Acute Care Hospitals</v>
      </c>
      <c r="D1000" t="str">
        <f>[1]!hospitalinfo[[#This Row],[Hospital Ownership]]</f>
        <v>Proprietary</v>
      </c>
      <c r="E1000" cm="1">
        <f t="array" ref="E1000">_xlfn.IFNA(_xlfn.XLOOKUP(1,([1]!hcahps[Facility ID] = clean[[#This Row],[Facility ID]]) * ([1]!hcahps[HCAHPS Measure ID] = "H_HSP_RATING_LINEAR_SCORE"), [1]!hcahps[HCAHPS Linear Mean Value]), "No Match")</f>
        <v>80</v>
      </c>
      <c r="F1000" cm="1">
        <f t="array" ref="F1000">_xlfn.IFNA(_xlfn.XLOOKUP(1,([1]!readmissions[Facility ID] = clean[[#This Row],[Facility ID]]) * ([1]!readmissions[Measure ID] = "Hybrid_HWR"), [1]!readmissions[Score]), "No Match")</f>
        <v>15.2</v>
      </c>
    </row>
    <row r="1001" spans="1:6" x14ac:dyDescent="0.2">
      <c r="A1001">
        <f>[1]!hospitalinfo[[#This Row],[Facility ID]]</f>
        <v>100289</v>
      </c>
      <c r="B1001" t="str">
        <f>[1]!hospitalinfo[[#This Row],[State]]</f>
        <v>FL</v>
      </c>
      <c r="C1001" t="str">
        <f>[1]!hospitalinfo[[#This Row],[Hospital Type]]</f>
        <v>Acute Care Hospitals</v>
      </c>
      <c r="D1001" t="str">
        <f>[1]!hospitalinfo[[#This Row],[Hospital Ownership]]</f>
        <v>Voluntary non-profit - Private</v>
      </c>
      <c r="E1001" cm="1">
        <f t="array" ref="E1001">_xlfn.IFNA(_xlfn.XLOOKUP(1,([1]!hcahps[Facility ID] = clean[[#This Row],[Facility ID]]) * ([1]!hcahps[HCAHPS Measure ID] = "H_HSP_RATING_LINEAR_SCORE"), [1]!hcahps[HCAHPS Linear Mean Value]), "No Match")</f>
        <v>90</v>
      </c>
      <c r="F1001" cm="1">
        <f t="array" ref="F1001">_xlfn.IFNA(_xlfn.XLOOKUP(1,([1]!readmissions[Facility ID] = clean[[#This Row],[Facility ID]]) * ([1]!readmissions[Measure ID] = "Hybrid_HWR"), [1]!readmissions[Score]), "No Match")</f>
        <v>15.9</v>
      </c>
    </row>
    <row r="1002" spans="1:6" x14ac:dyDescent="0.2">
      <c r="A1002">
        <f>[1]!hospitalinfo[[#This Row],[Facility ID]]</f>
        <v>100290</v>
      </c>
      <c r="B1002" t="str">
        <f>[1]!hospitalinfo[[#This Row],[State]]</f>
        <v>FL</v>
      </c>
      <c r="C1002" t="str">
        <f>[1]!hospitalinfo[[#This Row],[Hospital Type]]</f>
        <v>Acute Care Hospitals</v>
      </c>
      <c r="D1002" t="str">
        <f>[1]!hospitalinfo[[#This Row],[Hospital Ownership]]</f>
        <v>Voluntary non-profit - Private</v>
      </c>
      <c r="E1002" cm="1">
        <f t="array" ref="E1002">_xlfn.IFNA(_xlfn.XLOOKUP(1,([1]!hcahps[Facility ID] = clean[[#This Row],[Facility ID]]) * ([1]!hcahps[HCAHPS Measure ID] = "H_HSP_RATING_LINEAR_SCORE"), [1]!hcahps[HCAHPS Linear Mean Value]), "No Match")</f>
        <v>86</v>
      </c>
      <c r="F1002" cm="1">
        <f t="array" ref="F1002">_xlfn.IFNA(_xlfn.XLOOKUP(1,([1]!readmissions[Facility ID] = clean[[#This Row],[Facility ID]]) * ([1]!readmissions[Measure ID] = "Hybrid_HWR"), [1]!readmissions[Score]), "No Match")</f>
        <v>13.9</v>
      </c>
    </row>
    <row r="1003" spans="1:6" x14ac:dyDescent="0.2">
      <c r="A1003">
        <f>[1]!hospitalinfo[[#This Row],[Facility ID]]</f>
        <v>100291</v>
      </c>
      <c r="B1003" t="str">
        <f>[1]!hospitalinfo[[#This Row],[State]]</f>
        <v>FL</v>
      </c>
      <c r="C1003" t="str">
        <f>[1]!hospitalinfo[[#This Row],[Hospital Type]]</f>
        <v>Acute Care Hospitals</v>
      </c>
      <c r="D1003" t="str">
        <f>[1]!hospitalinfo[[#This Row],[Hospital Ownership]]</f>
        <v>Voluntary non-profit - Private</v>
      </c>
      <c r="E1003" cm="1">
        <f t="array" ref="E1003">_xlfn.IFNA(_xlfn.XLOOKUP(1,([1]!hcahps[Facility ID] = clean[[#This Row],[Facility ID]]) * ([1]!hcahps[HCAHPS Measure ID] = "H_HSP_RATING_LINEAR_SCORE"), [1]!hcahps[HCAHPS Linear Mean Value]), "No Match")</f>
        <v>83</v>
      </c>
      <c r="F1003" cm="1">
        <f t="array" ref="F1003">_xlfn.IFNA(_xlfn.XLOOKUP(1,([1]!readmissions[Facility ID] = clean[[#This Row],[Facility ID]]) * ([1]!readmissions[Measure ID] = "Hybrid_HWR"), [1]!readmissions[Score]), "No Match")</f>
        <v>15.7</v>
      </c>
    </row>
    <row r="1004" spans="1:6" x14ac:dyDescent="0.2">
      <c r="A1004">
        <f>[1]!hospitalinfo[[#This Row],[Facility ID]]</f>
        <v>100292</v>
      </c>
      <c r="B1004" t="str">
        <f>[1]!hospitalinfo[[#This Row],[State]]</f>
        <v>FL</v>
      </c>
      <c r="C1004" t="str">
        <f>[1]!hospitalinfo[[#This Row],[Hospital Type]]</f>
        <v>Acute Care Hospitals</v>
      </c>
      <c r="D1004" t="str">
        <f>[1]!hospitalinfo[[#This Row],[Hospital Ownership]]</f>
        <v>Voluntary non-profit - Other</v>
      </c>
      <c r="E1004" cm="1">
        <f t="array" ref="E1004">_xlfn.IFNA(_xlfn.XLOOKUP(1,([1]!hcahps[Facility ID] = clean[[#This Row],[Facility ID]]) * ([1]!hcahps[HCAHPS Measure ID] = "H_HSP_RATING_LINEAR_SCORE"), [1]!hcahps[HCAHPS Linear Mean Value]), "No Match")</f>
        <v>89</v>
      </c>
      <c r="F1004" cm="1">
        <f t="array" ref="F1004">_xlfn.IFNA(_xlfn.XLOOKUP(1,([1]!readmissions[Facility ID] = clean[[#This Row],[Facility ID]]) * ([1]!readmissions[Measure ID] = "Hybrid_HWR"), [1]!readmissions[Score]), "No Match")</f>
        <v>14.6</v>
      </c>
    </row>
    <row r="1005" spans="1:6" x14ac:dyDescent="0.2">
      <c r="A1005">
        <f>[1]!hospitalinfo[[#This Row],[Facility ID]]</f>
        <v>100296</v>
      </c>
      <c r="B1005" t="str">
        <f>[1]!hospitalinfo[[#This Row],[State]]</f>
        <v>FL</v>
      </c>
      <c r="C1005" t="str">
        <f>[1]!hospitalinfo[[#This Row],[Hospital Type]]</f>
        <v>Acute Care Hospitals</v>
      </c>
      <c r="D1005" t="str">
        <f>[1]!hospitalinfo[[#This Row],[Hospital Ownership]]</f>
        <v>Voluntary non-profit - Other</v>
      </c>
      <c r="E1005" cm="1">
        <f t="array" ref="E1005">_xlfn.IFNA(_xlfn.XLOOKUP(1,([1]!hcahps[Facility ID] = clean[[#This Row],[Facility ID]]) * ([1]!hcahps[HCAHPS Measure ID] = "H_HSP_RATING_LINEAR_SCORE"), [1]!hcahps[HCAHPS Linear Mean Value]), "No Match")</f>
        <v>88</v>
      </c>
      <c r="F1005" cm="1">
        <f t="array" ref="F1005">_xlfn.IFNA(_xlfn.XLOOKUP(1,([1]!readmissions[Facility ID] = clean[[#This Row],[Facility ID]]) * ([1]!readmissions[Measure ID] = "Hybrid_HWR"), [1]!readmissions[Score]), "No Match")</f>
        <v>15.6</v>
      </c>
    </row>
    <row r="1006" spans="1:6" x14ac:dyDescent="0.2">
      <c r="A1006">
        <f>[1]!hospitalinfo[[#This Row],[Facility ID]]</f>
        <v>100298</v>
      </c>
      <c r="B1006" t="str">
        <f>[1]!hospitalinfo[[#This Row],[State]]</f>
        <v>FL</v>
      </c>
      <c r="C1006" t="str">
        <f>[1]!hospitalinfo[[#This Row],[Hospital Type]]</f>
        <v>Acute Care Hospitals</v>
      </c>
      <c r="D1006" t="str">
        <f>[1]!hospitalinfo[[#This Row],[Hospital Ownership]]</f>
        <v>Government - State</v>
      </c>
      <c r="E1006" t="str" cm="1">
        <f t="array" ref="E1006">_xlfn.IFNA(_xlfn.XLOOKUP(1,([1]!hcahps[Facility ID] = clean[[#This Row],[Facility ID]]) * ([1]!hcahps[HCAHPS Measure ID] = "H_HSP_RATING_LINEAR_SCORE"), [1]!hcahps[HCAHPS Linear Mean Value]), "No Match")</f>
        <v>Not Available</v>
      </c>
      <c r="F1006" t="str" cm="1">
        <f t="array" ref="F1006">_xlfn.IFNA(_xlfn.XLOOKUP(1,([1]!readmissions[Facility ID] = clean[[#This Row],[Facility ID]]) * ([1]!readmissions[Measure ID] = "Hybrid_HWR"), [1]!readmissions[Score]), "No Match")</f>
        <v>Not Available</v>
      </c>
    </row>
    <row r="1007" spans="1:6" x14ac:dyDescent="0.2">
      <c r="A1007">
        <f>[1]!hospitalinfo[[#This Row],[Facility ID]]</f>
        <v>100299</v>
      </c>
      <c r="B1007" t="str">
        <f>[1]!hospitalinfo[[#This Row],[State]]</f>
        <v>FL</v>
      </c>
      <c r="C1007" t="str">
        <f>[1]!hospitalinfo[[#This Row],[Hospital Type]]</f>
        <v>Acute Care Hospitals</v>
      </c>
      <c r="D1007" t="str">
        <f>[1]!hospitalinfo[[#This Row],[Hospital Ownership]]</f>
        <v>Proprietary</v>
      </c>
      <c r="E1007" cm="1">
        <f t="array" ref="E1007">_xlfn.IFNA(_xlfn.XLOOKUP(1,([1]!hcahps[Facility ID] = clean[[#This Row],[Facility ID]]) * ([1]!hcahps[HCAHPS Measure ID] = "H_HSP_RATING_LINEAR_SCORE"), [1]!hcahps[HCAHPS Linear Mean Value]), "No Match")</f>
        <v>86</v>
      </c>
      <c r="F1007" cm="1">
        <f t="array" ref="F1007">_xlfn.IFNA(_xlfn.XLOOKUP(1,([1]!readmissions[Facility ID] = clean[[#This Row],[Facility ID]]) * ([1]!readmissions[Measure ID] = "Hybrid_HWR"), [1]!readmissions[Score]), "No Match")</f>
        <v>15</v>
      </c>
    </row>
    <row r="1008" spans="1:6" x14ac:dyDescent="0.2">
      <c r="A1008">
        <f>[1]!hospitalinfo[[#This Row],[Facility ID]]</f>
        <v>100302</v>
      </c>
      <c r="B1008" t="str">
        <f>[1]!hospitalinfo[[#This Row],[State]]</f>
        <v>FL</v>
      </c>
      <c r="C1008" t="str">
        <f>[1]!hospitalinfo[[#This Row],[Hospital Type]]</f>
        <v>Acute Care Hospitals</v>
      </c>
      <c r="D1008" t="str">
        <f>[1]!hospitalinfo[[#This Row],[Hospital Ownership]]</f>
        <v>Proprietary</v>
      </c>
      <c r="E1008" cm="1">
        <f t="array" ref="E1008">_xlfn.IFNA(_xlfn.XLOOKUP(1,([1]!hcahps[Facility ID] = clean[[#This Row],[Facility ID]]) * ([1]!hcahps[HCAHPS Measure ID] = "H_HSP_RATING_LINEAR_SCORE"), [1]!hcahps[HCAHPS Linear Mean Value]), "No Match")</f>
        <v>85</v>
      </c>
      <c r="F1008" cm="1">
        <f t="array" ref="F1008">_xlfn.IFNA(_xlfn.XLOOKUP(1,([1]!readmissions[Facility ID] = clean[[#This Row],[Facility ID]]) * ([1]!readmissions[Measure ID] = "Hybrid_HWR"), [1]!readmissions[Score]), "No Match")</f>
        <v>17.2</v>
      </c>
    </row>
    <row r="1009" spans="1:6" x14ac:dyDescent="0.2">
      <c r="A1009">
        <f>[1]!hospitalinfo[[#This Row],[Facility ID]]</f>
        <v>100307</v>
      </c>
      <c r="B1009" t="str">
        <f>[1]!hospitalinfo[[#This Row],[State]]</f>
        <v>FL</v>
      </c>
      <c r="C1009" t="str">
        <f>[1]!hospitalinfo[[#This Row],[Hospital Type]]</f>
        <v>Acute Care Hospitals</v>
      </c>
      <c r="D1009" t="str">
        <f>[1]!hospitalinfo[[#This Row],[Hospital Ownership]]</f>
        <v>Voluntary non-profit - Private</v>
      </c>
      <c r="E1009" cm="1">
        <f t="array" ref="E1009">_xlfn.IFNA(_xlfn.XLOOKUP(1,([1]!hcahps[Facility ID] = clean[[#This Row],[Facility ID]]) * ([1]!hcahps[HCAHPS Measure ID] = "H_HSP_RATING_LINEAR_SCORE"), [1]!hcahps[HCAHPS Linear Mean Value]), "No Match")</f>
        <v>86</v>
      </c>
      <c r="F1009" cm="1">
        <f t="array" ref="F1009">_xlfn.IFNA(_xlfn.XLOOKUP(1,([1]!readmissions[Facility ID] = clean[[#This Row],[Facility ID]]) * ([1]!readmissions[Measure ID] = "Hybrid_HWR"), [1]!readmissions[Score]), "No Match")</f>
        <v>14.5</v>
      </c>
    </row>
    <row r="1010" spans="1:6" x14ac:dyDescent="0.2">
      <c r="A1010">
        <f>[1]!hospitalinfo[[#This Row],[Facility ID]]</f>
        <v>100313</v>
      </c>
      <c r="B1010" t="str">
        <f>[1]!hospitalinfo[[#This Row],[State]]</f>
        <v>FL</v>
      </c>
      <c r="C1010" t="str">
        <f>[1]!hospitalinfo[[#This Row],[Hospital Type]]</f>
        <v>Acute Care Hospitals</v>
      </c>
      <c r="D1010" t="str">
        <f>[1]!hospitalinfo[[#This Row],[Hospital Ownership]]</f>
        <v>Voluntary non-profit - Private</v>
      </c>
      <c r="E1010" t="str" cm="1">
        <f t="array" ref="E1010">_xlfn.IFNA(_xlfn.XLOOKUP(1,([1]!hcahps[Facility ID] = clean[[#This Row],[Facility ID]]) * ([1]!hcahps[HCAHPS Measure ID] = "H_HSP_RATING_LINEAR_SCORE"), [1]!hcahps[HCAHPS Linear Mean Value]), "No Match")</f>
        <v>Not Available</v>
      </c>
      <c r="F1010" cm="1">
        <f t="array" ref="F1010">_xlfn.IFNA(_xlfn.XLOOKUP(1,([1]!readmissions[Facility ID] = clean[[#This Row],[Facility ID]]) * ([1]!readmissions[Measure ID] = "Hybrid_HWR"), [1]!readmissions[Score]), "No Match")</f>
        <v>15.4</v>
      </c>
    </row>
    <row r="1011" spans="1:6" x14ac:dyDescent="0.2">
      <c r="A1011">
        <f>[1]!hospitalinfo[[#This Row],[Facility ID]]</f>
        <v>100314</v>
      </c>
      <c r="B1011" t="str">
        <f>[1]!hospitalinfo[[#This Row],[State]]</f>
        <v>FL</v>
      </c>
      <c r="C1011" t="str">
        <f>[1]!hospitalinfo[[#This Row],[Hospital Type]]</f>
        <v>Acute Care Hospitals</v>
      </c>
      <c r="D1011" t="str">
        <f>[1]!hospitalinfo[[#This Row],[Hospital Ownership]]</f>
        <v>Voluntary non-profit - Private</v>
      </c>
      <c r="E1011" cm="1">
        <f t="array" ref="E1011">_xlfn.IFNA(_xlfn.XLOOKUP(1,([1]!hcahps[Facility ID] = clean[[#This Row],[Facility ID]]) * ([1]!hcahps[HCAHPS Measure ID] = "H_HSP_RATING_LINEAR_SCORE"), [1]!hcahps[HCAHPS Linear Mean Value]), "No Match")</f>
        <v>87</v>
      </c>
      <c r="F1011" cm="1">
        <f t="array" ref="F1011">_xlfn.IFNA(_xlfn.XLOOKUP(1,([1]!readmissions[Facility ID] = clean[[#This Row],[Facility ID]]) * ([1]!readmissions[Measure ID] = "Hybrid_HWR"), [1]!readmissions[Score]), "No Match")</f>
        <v>15</v>
      </c>
    </row>
    <row r="1012" spans="1:6" x14ac:dyDescent="0.2">
      <c r="A1012">
        <f>[1]!hospitalinfo[[#This Row],[Facility ID]]</f>
        <v>100315</v>
      </c>
      <c r="B1012" t="str">
        <f>[1]!hospitalinfo[[#This Row],[State]]</f>
        <v>FL</v>
      </c>
      <c r="C1012" t="str">
        <f>[1]!hospitalinfo[[#This Row],[Hospital Type]]</f>
        <v>Acute Care Hospitals</v>
      </c>
      <c r="D1012" t="str">
        <f>[1]!hospitalinfo[[#This Row],[Hospital Ownership]]</f>
        <v>Voluntary non-profit - Private</v>
      </c>
      <c r="E1012" cm="1">
        <f t="array" ref="E1012">_xlfn.IFNA(_xlfn.XLOOKUP(1,([1]!hcahps[Facility ID] = clean[[#This Row],[Facility ID]]) * ([1]!hcahps[HCAHPS Measure ID] = "H_HSP_RATING_LINEAR_SCORE"), [1]!hcahps[HCAHPS Linear Mean Value]), "No Match")</f>
        <v>88</v>
      </c>
      <c r="F1012" cm="1">
        <f t="array" ref="F1012">_xlfn.IFNA(_xlfn.XLOOKUP(1,([1]!readmissions[Facility ID] = clean[[#This Row],[Facility ID]]) * ([1]!readmissions[Measure ID] = "Hybrid_HWR"), [1]!readmissions[Score]), "No Match")</f>
        <v>14.5</v>
      </c>
    </row>
    <row r="1013" spans="1:6" x14ac:dyDescent="0.2">
      <c r="A1013">
        <f>[1]!hospitalinfo[[#This Row],[Facility ID]]</f>
        <v>100316</v>
      </c>
      <c r="B1013" t="str">
        <f>[1]!hospitalinfo[[#This Row],[State]]</f>
        <v>FL</v>
      </c>
      <c r="C1013" t="str">
        <f>[1]!hospitalinfo[[#This Row],[Hospital Type]]</f>
        <v>Acute Care Hospitals</v>
      </c>
      <c r="D1013" t="str">
        <f>[1]!hospitalinfo[[#This Row],[Hospital Ownership]]</f>
        <v>Proprietary</v>
      </c>
      <c r="E1013" cm="1">
        <f t="array" ref="E1013">_xlfn.IFNA(_xlfn.XLOOKUP(1,([1]!hcahps[Facility ID] = clean[[#This Row],[Facility ID]]) * ([1]!hcahps[HCAHPS Measure ID] = "H_HSP_RATING_LINEAR_SCORE"), [1]!hcahps[HCAHPS Linear Mean Value]), "No Match")</f>
        <v>84</v>
      </c>
      <c r="F1013" cm="1">
        <f t="array" ref="F1013">_xlfn.IFNA(_xlfn.XLOOKUP(1,([1]!readmissions[Facility ID] = clean[[#This Row],[Facility ID]]) * ([1]!readmissions[Measure ID] = "Hybrid_HWR"), [1]!readmissions[Score]), "No Match")</f>
        <v>15.3</v>
      </c>
    </row>
    <row r="1014" spans="1:6" x14ac:dyDescent="0.2">
      <c r="A1014">
        <f>[1]!hospitalinfo[[#This Row],[Facility ID]]</f>
        <v>100319</v>
      </c>
      <c r="B1014" t="str">
        <f>[1]!hospitalinfo[[#This Row],[State]]</f>
        <v>FL</v>
      </c>
      <c r="C1014" t="str">
        <f>[1]!hospitalinfo[[#This Row],[Hospital Type]]</f>
        <v>Acute Care Hospitals</v>
      </c>
      <c r="D1014" t="str">
        <f>[1]!hospitalinfo[[#This Row],[Hospital Ownership]]</f>
        <v>Voluntary non-profit - Private</v>
      </c>
      <c r="E1014" cm="1">
        <f t="array" ref="E1014">_xlfn.IFNA(_xlfn.XLOOKUP(1,([1]!hcahps[Facility ID] = clean[[#This Row],[Facility ID]]) * ([1]!hcahps[HCAHPS Measure ID] = "H_HSP_RATING_LINEAR_SCORE"), [1]!hcahps[HCAHPS Linear Mean Value]), "No Match")</f>
        <v>91</v>
      </c>
      <c r="F1014" cm="1">
        <f t="array" ref="F1014">_xlfn.IFNA(_xlfn.XLOOKUP(1,([1]!readmissions[Facility ID] = clean[[#This Row],[Facility ID]]) * ([1]!readmissions[Measure ID] = "Hybrid_HWR"), [1]!readmissions[Score]), "No Match")</f>
        <v>15.2</v>
      </c>
    </row>
    <row r="1015" spans="1:6" x14ac:dyDescent="0.2">
      <c r="A1015">
        <f>[1]!hospitalinfo[[#This Row],[Facility ID]]</f>
        <v>100320</v>
      </c>
      <c r="B1015" t="str">
        <f>[1]!hospitalinfo[[#This Row],[State]]</f>
        <v>FL</v>
      </c>
      <c r="C1015" t="str">
        <f>[1]!hospitalinfo[[#This Row],[Hospital Type]]</f>
        <v>Acute Care Hospitals</v>
      </c>
      <c r="D1015" t="str">
        <f>[1]!hospitalinfo[[#This Row],[Hospital Ownership]]</f>
        <v>Proprietary</v>
      </c>
      <c r="E1015" cm="1">
        <f t="array" ref="E1015">_xlfn.IFNA(_xlfn.XLOOKUP(1,([1]!hcahps[Facility ID] = clean[[#This Row],[Facility ID]]) * ([1]!hcahps[HCAHPS Measure ID] = "H_HSP_RATING_LINEAR_SCORE"), [1]!hcahps[HCAHPS Linear Mean Value]), "No Match")</f>
        <v>85</v>
      </c>
      <c r="F1015" cm="1">
        <f t="array" ref="F1015">_xlfn.IFNA(_xlfn.XLOOKUP(1,([1]!readmissions[Facility ID] = clean[[#This Row],[Facility ID]]) * ([1]!readmissions[Measure ID] = "Hybrid_HWR"), [1]!readmissions[Score]), "No Match")</f>
        <v>16</v>
      </c>
    </row>
    <row r="1016" spans="1:6" x14ac:dyDescent="0.2">
      <c r="A1016">
        <f>[1]!hospitalinfo[[#This Row],[Facility ID]]</f>
        <v>100321</v>
      </c>
      <c r="B1016" t="str">
        <f>[1]!hospitalinfo[[#This Row],[State]]</f>
        <v>FL</v>
      </c>
      <c r="C1016" t="str">
        <f>[1]!hospitalinfo[[#This Row],[Hospital Type]]</f>
        <v>Acute Care Hospitals</v>
      </c>
      <c r="D1016" t="str">
        <f>[1]!hospitalinfo[[#This Row],[Hospital Ownership]]</f>
        <v>Voluntary non-profit - Private</v>
      </c>
      <c r="E1016" cm="1">
        <f t="array" ref="E1016">_xlfn.IFNA(_xlfn.XLOOKUP(1,([1]!hcahps[Facility ID] = clean[[#This Row],[Facility ID]]) * ([1]!hcahps[HCAHPS Measure ID] = "H_HSP_RATING_LINEAR_SCORE"), [1]!hcahps[HCAHPS Linear Mean Value]), "No Match")</f>
        <v>87</v>
      </c>
      <c r="F1016" cm="1">
        <f t="array" ref="F1016">_xlfn.IFNA(_xlfn.XLOOKUP(1,([1]!readmissions[Facility ID] = clean[[#This Row],[Facility ID]]) * ([1]!readmissions[Measure ID] = "Hybrid_HWR"), [1]!readmissions[Score]), "No Match")</f>
        <v>14.3</v>
      </c>
    </row>
    <row r="1017" spans="1:6" x14ac:dyDescent="0.2">
      <c r="A1017">
        <f>[1]!hospitalinfo[[#This Row],[Facility ID]]</f>
        <v>100329</v>
      </c>
      <c r="B1017" t="str">
        <f>[1]!hospitalinfo[[#This Row],[State]]</f>
        <v>FL</v>
      </c>
      <c r="C1017" t="str">
        <f>[1]!hospitalinfo[[#This Row],[Hospital Type]]</f>
        <v>Acute Care Hospitals</v>
      </c>
      <c r="D1017" t="str">
        <f>[1]!hospitalinfo[[#This Row],[Hospital Ownership]]</f>
        <v>Proprietary</v>
      </c>
      <c r="E1017" cm="1">
        <f t="array" ref="E1017">_xlfn.IFNA(_xlfn.XLOOKUP(1,([1]!hcahps[Facility ID] = clean[[#This Row],[Facility ID]]) * ([1]!hcahps[HCAHPS Measure ID] = "H_HSP_RATING_LINEAR_SCORE"), [1]!hcahps[HCAHPS Linear Mean Value]), "No Match")</f>
        <v>90</v>
      </c>
      <c r="F1017" cm="1">
        <f t="array" ref="F1017">_xlfn.IFNA(_xlfn.XLOOKUP(1,([1]!readmissions[Facility ID] = clean[[#This Row],[Facility ID]]) * ([1]!readmissions[Measure ID] = "Hybrid_HWR"), [1]!readmissions[Score]), "No Match")</f>
        <v>15.9</v>
      </c>
    </row>
    <row r="1018" spans="1:6" x14ac:dyDescent="0.2">
      <c r="A1018">
        <f>[1]!hospitalinfo[[#This Row],[Facility ID]]</f>
        <v>100330</v>
      </c>
      <c r="B1018" t="str">
        <f>[1]!hospitalinfo[[#This Row],[State]]</f>
        <v>FL</v>
      </c>
      <c r="C1018" t="str">
        <f>[1]!hospitalinfo[[#This Row],[Hospital Type]]</f>
        <v>Acute Care Hospitals</v>
      </c>
      <c r="D1018" t="str">
        <f>[1]!hospitalinfo[[#This Row],[Hospital Ownership]]</f>
        <v>Government - Local</v>
      </c>
      <c r="E1018" cm="1">
        <f t="array" ref="E1018">_xlfn.IFNA(_xlfn.XLOOKUP(1,([1]!hcahps[Facility ID] = clean[[#This Row],[Facility ID]]) * ([1]!hcahps[HCAHPS Measure ID] = "H_HSP_RATING_LINEAR_SCORE"), [1]!hcahps[HCAHPS Linear Mean Value]), "No Match")</f>
        <v>88</v>
      </c>
      <c r="F1018" cm="1">
        <f t="array" ref="F1018">_xlfn.IFNA(_xlfn.XLOOKUP(1,([1]!readmissions[Facility ID] = clean[[#This Row],[Facility ID]]) * ([1]!readmissions[Measure ID] = "Hybrid_HWR"), [1]!readmissions[Score]), "No Match")</f>
        <v>15.3</v>
      </c>
    </row>
    <row r="1019" spans="1:6" x14ac:dyDescent="0.2">
      <c r="A1019">
        <f>[1]!hospitalinfo[[#This Row],[Facility ID]]</f>
        <v>100350</v>
      </c>
      <c r="B1019" t="str">
        <f>[1]!hospitalinfo[[#This Row],[State]]</f>
        <v>FL</v>
      </c>
      <c r="C1019" t="str">
        <f>[1]!hospitalinfo[[#This Row],[Hospital Type]]</f>
        <v>Acute Care Hospitals</v>
      </c>
      <c r="D1019" t="str">
        <f>[1]!hospitalinfo[[#This Row],[Hospital Ownership]]</f>
        <v>Proprietary</v>
      </c>
      <c r="E1019" cm="1">
        <f t="array" ref="E1019">_xlfn.IFNA(_xlfn.XLOOKUP(1,([1]!hcahps[Facility ID] = clean[[#This Row],[Facility ID]]) * ([1]!hcahps[HCAHPS Measure ID] = "H_HSP_RATING_LINEAR_SCORE"), [1]!hcahps[HCAHPS Linear Mean Value]), "No Match")</f>
        <v>89</v>
      </c>
      <c r="F1019" cm="1">
        <f t="array" ref="F1019">_xlfn.IFNA(_xlfn.XLOOKUP(1,([1]!readmissions[Facility ID] = clean[[#This Row],[Facility ID]]) * ([1]!readmissions[Measure ID] = "Hybrid_HWR"), [1]!readmissions[Score]), "No Match")</f>
        <v>14.7</v>
      </c>
    </row>
    <row r="1020" spans="1:6" x14ac:dyDescent="0.2">
      <c r="A1020">
        <f>[1]!hospitalinfo[[#This Row],[Facility ID]]</f>
        <v>100359</v>
      </c>
      <c r="B1020" t="str">
        <f>[1]!hospitalinfo[[#This Row],[State]]</f>
        <v>FL</v>
      </c>
      <c r="C1020" t="str">
        <f>[1]!hospitalinfo[[#This Row],[Hospital Type]]</f>
        <v>Acute Care Hospitals</v>
      </c>
      <c r="D1020" t="str">
        <f>[1]!hospitalinfo[[#This Row],[Hospital Ownership]]</f>
        <v>Government - Hospital District or Authority</v>
      </c>
      <c r="E1020" cm="1">
        <f t="array" ref="E1020">_xlfn.IFNA(_xlfn.XLOOKUP(1,([1]!hcahps[Facility ID] = clean[[#This Row],[Facility ID]]) * ([1]!hcahps[HCAHPS Measure ID] = "H_HSP_RATING_LINEAR_SCORE"), [1]!hcahps[HCAHPS Linear Mean Value]), "No Match")</f>
        <v>92</v>
      </c>
      <c r="F1020" cm="1">
        <f t="array" ref="F1020">_xlfn.IFNA(_xlfn.XLOOKUP(1,([1]!readmissions[Facility ID] = clean[[#This Row],[Facility ID]]) * ([1]!readmissions[Measure ID] = "Hybrid_HWR"), [1]!readmissions[Score]), "No Match")</f>
        <v>15.4</v>
      </c>
    </row>
    <row r="1021" spans="1:6" x14ac:dyDescent="0.2">
      <c r="A1021">
        <f>[1]!hospitalinfo[[#This Row],[Facility ID]]</f>
        <v>100360</v>
      </c>
      <c r="B1021" t="str">
        <f>[1]!hospitalinfo[[#This Row],[State]]</f>
        <v>FL</v>
      </c>
      <c r="C1021" t="str">
        <f>[1]!hospitalinfo[[#This Row],[Hospital Type]]</f>
        <v>Acute Care Hospitals</v>
      </c>
      <c r="D1021" t="str">
        <f>[1]!hospitalinfo[[#This Row],[Hospital Ownership]]</f>
        <v>Proprietary</v>
      </c>
      <c r="E1021" cm="1">
        <f t="array" ref="E1021">_xlfn.IFNA(_xlfn.XLOOKUP(1,([1]!hcahps[Facility ID] = clean[[#This Row],[Facility ID]]) * ([1]!hcahps[HCAHPS Measure ID] = "H_HSP_RATING_LINEAR_SCORE"), [1]!hcahps[HCAHPS Linear Mean Value]), "No Match")</f>
        <v>87</v>
      </c>
      <c r="F1021" cm="1">
        <f t="array" ref="F1021">_xlfn.IFNA(_xlfn.XLOOKUP(1,([1]!readmissions[Facility ID] = clean[[#This Row],[Facility ID]]) * ([1]!readmissions[Measure ID] = "Hybrid_HWR"), [1]!readmissions[Score]), "No Match")</f>
        <v>16.399999999999999</v>
      </c>
    </row>
    <row r="1022" spans="1:6" x14ac:dyDescent="0.2">
      <c r="A1022">
        <f>[1]!hospitalinfo[[#This Row],[Facility ID]]</f>
        <v>100361</v>
      </c>
      <c r="B1022" t="str">
        <f>[1]!hospitalinfo[[#This Row],[State]]</f>
        <v>FL</v>
      </c>
      <c r="C1022" t="str">
        <f>[1]!hospitalinfo[[#This Row],[Hospital Type]]</f>
        <v>Acute Care Hospitals</v>
      </c>
      <c r="D1022" t="str">
        <f>[1]!hospitalinfo[[#This Row],[Hospital Ownership]]</f>
        <v>Voluntary non-profit - Private</v>
      </c>
      <c r="E1022" cm="1">
        <f t="array" ref="E1022">_xlfn.IFNA(_xlfn.XLOOKUP(1,([1]!hcahps[Facility ID] = clean[[#This Row],[Facility ID]]) * ([1]!hcahps[HCAHPS Measure ID] = "H_HSP_RATING_LINEAR_SCORE"), [1]!hcahps[HCAHPS Linear Mean Value]), "No Match")</f>
        <v>90</v>
      </c>
      <c r="F1022" cm="1">
        <f t="array" ref="F1022">_xlfn.IFNA(_xlfn.XLOOKUP(1,([1]!readmissions[Facility ID] = clean[[#This Row],[Facility ID]]) * ([1]!readmissions[Measure ID] = "Hybrid_HWR"), [1]!readmissions[Score]), "No Match")</f>
        <v>15.2</v>
      </c>
    </row>
    <row r="1023" spans="1:6" x14ac:dyDescent="0.2">
      <c r="A1023">
        <f>[1]!hospitalinfo[[#This Row],[Facility ID]]</f>
        <v>100362</v>
      </c>
      <c r="B1023" t="str">
        <f>[1]!hospitalinfo[[#This Row],[State]]</f>
        <v>FL</v>
      </c>
      <c r="C1023" t="str">
        <f>[1]!hospitalinfo[[#This Row],[Hospital Type]]</f>
        <v>Acute Care Hospitals</v>
      </c>
      <c r="D1023" t="str">
        <f>[1]!hospitalinfo[[#This Row],[Hospital Ownership]]</f>
        <v>Proprietary</v>
      </c>
      <c r="E1023" cm="1">
        <f t="array" ref="E1023">_xlfn.IFNA(_xlfn.XLOOKUP(1,([1]!hcahps[Facility ID] = clean[[#This Row],[Facility ID]]) * ([1]!hcahps[HCAHPS Measure ID] = "H_HSP_RATING_LINEAR_SCORE"), [1]!hcahps[HCAHPS Linear Mean Value]), "No Match")</f>
        <v>92</v>
      </c>
      <c r="F1023" cm="1">
        <f t="array" ref="F1023">_xlfn.IFNA(_xlfn.XLOOKUP(1,([1]!readmissions[Facility ID] = clean[[#This Row],[Facility ID]]) * ([1]!readmissions[Measure ID] = "Hybrid_HWR"), [1]!readmissions[Score]), "No Match")</f>
        <v>16.3</v>
      </c>
    </row>
    <row r="1024" spans="1:6" x14ac:dyDescent="0.2">
      <c r="A1024">
        <f>[1]!hospitalinfo[[#This Row],[Facility ID]]</f>
        <v>100363</v>
      </c>
      <c r="B1024" t="str">
        <f>[1]!hospitalinfo[[#This Row],[State]]</f>
        <v>FL</v>
      </c>
      <c r="C1024" t="str">
        <f>[1]!hospitalinfo[[#This Row],[Hospital Type]]</f>
        <v>Acute Care Hospitals</v>
      </c>
      <c r="D1024" t="str">
        <f>[1]!hospitalinfo[[#This Row],[Hospital Ownership]]</f>
        <v>Voluntary non-profit - Private</v>
      </c>
      <c r="E1024" cm="1">
        <f t="array" ref="E1024">_xlfn.IFNA(_xlfn.XLOOKUP(1,([1]!hcahps[Facility ID] = clean[[#This Row],[Facility ID]]) * ([1]!hcahps[HCAHPS Measure ID] = "H_HSP_RATING_LINEAR_SCORE"), [1]!hcahps[HCAHPS Linear Mean Value]), "No Match")</f>
        <v>90</v>
      </c>
      <c r="F1024" cm="1">
        <f t="array" ref="F1024">_xlfn.IFNA(_xlfn.XLOOKUP(1,([1]!readmissions[Facility ID] = clean[[#This Row],[Facility ID]]) * ([1]!readmissions[Measure ID] = "Hybrid_HWR"), [1]!readmissions[Score]), "No Match")</f>
        <v>14.6</v>
      </c>
    </row>
    <row r="1025" spans="1:6" x14ac:dyDescent="0.2">
      <c r="A1025">
        <f>[1]!hospitalinfo[[#This Row],[Facility ID]]</f>
        <v>100364</v>
      </c>
      <c r="B1025" t="str">
        <f>[1]!hospitalinfo[[#This Row],[State]]</f>
        <v>FL</v>
      </c>
      <c r="C1025" t="str">
        <f>[1]!hospitalinfo[[#This Row],[Hospital Type]]</f>
        <v>Acute Care Hospitals</v>
      </c>
      <c r="D1025" t="str">
        <f>[1]!hospitalinfo[[#This Row],[Hospital Ownership]]</f>
        <v>Voluntary non-profit - Private</v>
      </c>
      <c r="E1025" t="str" cm="1">
        <f t="array" ref="E1025">_xlfn.IFNA(_xlfn.XLOOKUP(1,([1]!hcahps[Facility ID] = clean[[#This Row],[Facility ID]]) * ([1]!hcahps[HCAHPS Measure ID] = "H_HSP_RATING_LINEAR_SCORE"), [1]!hcahps[HCAHPS Linear Mean Value]), "No Match")</f>
        <v>Not Available</v>
      </c>
      <c r="F1025" t="str" cm="1">
        <f t="array" ref="F1025">_xlfn.IFNA(_xlfn.XLOOKUP(1,([1]!readmissions[Facility ID] = clean[[#This Row],[Facility ID]]) * ([1]!readmissions[Measure ID] = "Hybrid_HWR"), [1]!readmissions[Score]), "No Match")</f>
        <v>Not Available</v>
      </c>
    </row>
    <row r="1026" spans="1:6" x14ac:dyDescent="0.2">
      <c r="A1026">
        <f>[1]!hospitalinfo[[#This Row],[Facility ID]]</f>
        <v>100365</v>
      </c>
      <c r="B1026" t="str">
        <f>[1]!hospitalinfo[[#This Row],[State]]</f>
        <v>FL</v>
      </c>
      <c r="C1026" t="str">
        <f>[1]!hospitalinfo[[#This Row],[Hospital Type]]</f>
        <v>Acute Care Hospitals</v>
      </c>
      <c r="D1026" t="str">
        <f>[1]!hospitalinfo[[#This Row],[Hospital Ownership]]</f>
        <v>Physician</v>
      </c>
      <c r="E1026" t="str" cm="1">
        <f t="array" ref="E1026">_xlfn.IFNA(_xlfn.XLOOKUP(1,([1]!hcahps[Facility ID] = clean[[#This Row],[Facility ID]]) * ([1]!hcahps[HCAHPS Measure ID] = "H_HSP_RATING_LINEAR_SCORE"), [1]!hcahps[HCAHPS Linear Mean Value]), "No Match")</f>
        <v>Not Available</v>
      </c>
      <c r="F1026" t="str" cm="1">
        <f t="array" ref="F1026">_xlfn.IFNA(_xlfn.XLOOKUP(1,([1]!readmissions[Facility ID] = clean[[#This Row],[Facility ID]]) * ([1]!readmissions[Measure ID] = "Hybrid_HWR"), [1]!readmissions[Score]), "No Match")</f>
        <v>Not Available</v>
      </c>
    </row>
    <row r="1027" spans="1:6" x14ac:dyDescent="0.2">
      <c r="A1027">
        <f>[1]!hospitalinfo[[#This Row],[Facility ID]]</f>
        <v>101300</v>
      </c>
      <c r="B1027" t="str">
        <f>[1]!hospitalinfo[[#This Row],[State]]</f>
        <v>FL</v>
      </c>
      <c r="C1027" t="str">
        <f>[1]!hospitalinfo[[#This Row],[Hospital Type]]</f>
        <v>Critical Access Hospitals</v>
      </c>
      <c r="D1027" t="str">
        <f>[1]!hospitalinfo[[#This Row],[Hospital Ownership]]</f>
        <v>Voluntary non-profit - Private</v>
      </c>
      <c r="E1027" t="str" cm="1">
        <f t="array" ref="E1027">_xlfn.IFNA(_xlfn.XLOOKUP(1,([1]!hcahps[Facility ID] = clean[[#This Row],[Facility ID]]) * ([1]!hcahps[HCAHPS Measure ID] = "H_HSP_RATING_LINEAR_SCORE"), [1]!hcahps[HCAHPS Linear Mean Value]), "No Match")</f>
        <v>Not Available</v>
      </c>
      <c r="F1027" t="str" cm="1">
        <f t="array" ref="F1027">_xlfn.IFNA(_xlfn.XLOOKUP(1,([1]!readmissions[Facility ID] = clean[[#This Row],[Facility ID]]) * ([1]!readmissions[Measure ID] = "Hybrid_HWR"), [1]!readmissions[Score]), "No Match")</f>
        <v>Not Available</v>
      </c>
    </row>
    <row r="1028" spans="1:6" x14ac:dyDescent="0.2">
      <c r="A1028">
        <f>[1]!hospitalinfo[[#This Row],[Facility ID]]</f>
        <v>101303</v>
      </c>
      <c r="B1028" t="str">
        <f>[1]!hospitalinfo[[#This Row],[State]]</f>
        <v>FL</v>
      </c>
      <c r="C1028" t="str">
        <f>[1]!hospitalinfo[[#This Row],[Hospital Type]]</f>
        <v>Critical Access Hospitals</v>
      </c>
      <c r="D1028" t="str">
        <f>[1]!hospitalinfo[[#This Row],[Hospital Ownership]]</f>
        <v>Proprietary</v>
      </c>
      <c r="E1028" t="str" cm="1">
        <f t="array" ref="E1028">_xlfn.IFNA(_xlfn.XLOOKUP(1,([1]!hcahps[Facility ID] = clean[[#This Row],[Facility ID]]) * ([1]!hcahps[HCAHPS Measure ID] = "H_HSP_RATING_LINEAR_SCORE"), [1]!hcahps[HCAHPS Linear Mean Value]), "No Match")</f>
        <v>Not Available</v>
      </c>
      <c r="F1028" t="str" cm="1">
        <f t="array" ref="F1028">_xlfn.IFNA(_xlfn.XLOOKUP(1,([1]!readmissions[Facility ID] = clean[[#This Row],[Facility ID]]) * ([1]!readmissions[Measure ID] = "Hybrid_HWR"), [1]!readmissions[Score]), "No Match")</f>
        <v>Not Available</v>
      </c>
    </row>
    <row r="1029" spans="1:6" x14ac:dyDescent="0.2">
      <c r="A1029">
        <f>[1]!hospitalinfo[[#This Row],[Facility ID]]</f>
        <v>101304</v>
      </c>
      <c r="B1029" t="str">
        <f>[1]!hospitalinfo[[#This Row],[State]]</f>
        <v>FL</v>
      </c>
      <c r="C1029" t="str">
        <f>[1]!hospitalinfo[[#This Row],[Hospital Type]]</f>
        <v>Critical Access Hospitals</v>
      </c>
      <c r="D1029" t="str">
        <f>[1]!hospitalinfo[[#This Row],[Hospital Ownership]]</f>
        <v>Voluntary non-profit - Private</v>
      </c>
      <c r="E1029" t="str" cm="1">
        <f t="array" ref="E1029">_xlfn.IFNA(_xlfn.XLOOKUP(1,([1]!hcahps[Facility ID] = clean[[#This Row],[Facility ID]]) * ([1]!hcahps[HCAHPS Measure ID] = "H_HSP_RATING_LINEAR_SCORE"), [1]!hcahps[HCAHPS Linear Mean Value]), "No Match")</f>
        <v>Not Available</v>
      </c>
      <c r="F1029" cm="1">
        <f t="array" ref="F1029">_xlfn.IFNA(_xlfn.XLOOKUP(1,([1]!readmissions[Facility ID] = clean[[#This Row],[Facility ID]]) * ([1]!readmissions[Measure ID] = "Hybrid_HWR"), [1]!readmissions[Score]), "No Match")</f>
        <v>14.6</v>
      </c>
    </row>
    <row r="1030" spans="1:6" x14ac:dyDescent="0.2">
      <c r="A1030">
        <f>[1]!hospitalinfo[[#This Row],[Facility ID]]</f>
        <v>101305</v>
      </c>
      <c r="B1030" t="str">
        <f>[1]!hospitalinfo[[#This Row],[State]]</f>
        <v>FL</v>
      </c>
      <c r="C1030" t="str">
        <f>[1]!hospitalinfo[[#This Row],[Hospital Type]]</f>
        <v>Critical Access Hospitals</v>
      </c>
      <c r="D1030" t="str">
        <f>[1]!hospitalinfo[[#This Row],[Hospital Ownership]]</f>
        <v>Government - Local</v>
      </c>
      <c r="E1030" t="str" cm="1">
        <f t="array" ref="E1030">_xlfn.IFNA(_xlfn.XLOOKUP(1,([1]!hcahps[Facility ID] = clean[[#This Row],[Facility ID]]) * ([1]!hcahps[HCAHPS Measure ID] = "H_HSP_RATING_LINEAR_SCORE"), [1]!hcahps[HCAHPS Linear Mean Value]), "No Match")</f>
        <v>Not Available</v>
      </c>
      <c r="F1030" t="str" cm="1">
        <f t="array" ref="F1030">_xlfn.IFNA(_xlfn.XLOOKUP(1,([1]!readmissions[Facility ID] = clean[[#This Row],[Facility ID]]) * ([1]!readmissions[Measure ID] = "Hybrid_HWR"), [1]!readmissions[Score]), "No Match")</f>
        <v>Not Available</v>
      </c>
    </row>
    <row r="1031" spans="1:6" x14ac:dyDescent="0.2">
      <c r="A1031">
        <f>[1]!hospitalinfo[[#This Row],[Facility ID]]</f>
        <v>101307</v>
      </c>
      <c r="B1031" t="str">
        <f>[1]!hospitalinfo[[#This Row],[State]]</f>
        <v>FL</v>
      </c>
      <c r="C1031" t="str">
        <f>[1]!hospitalinfo[[#This Row],[Hospital Type]]</f>
        <v>Critical Access Hospitals</v>
      </c>
      <c r="D1031" t="str">
        <f>[1]!hospitalinfo[[#This Row],[Hospital Ownership]]</f>
        <v>Government - Hospital District or Authority</v>
      </c>
      <c r="E1031" t="str" cm="1">
        <f t="array" ref="E1031">_xlfn.IFNA(_xlfn.XLOOKUP(1,([1]!hcahps[Facility ID] = clean[[#This Row],[Facility ID]]) * ([1]!hcahps[HCAHPS Measure ID] = "H_HSP_RATING_LINEAR_SCORE"), [1]!hcahps[HCAHPS Linear Mean Value]), "No Match")</f>
        <v>Not Available</v>
      </c>
      <c r="F1031" cm="1">
        <f t="array" ref="F1031">_xlfn.IFNA(_xlfn.XLOOKUP(1,([1]!readmissions[Facility ID] = clean[[#This Row],[Facility ID]]) * ([1]!readmissions[Measure ID] = "Hybrid_HWR"), [1]!readmissions[Score]), "No Match")</f>
        <v>15.3</v>
      </c>
    </row>
    <row r="1032" spans="1:6" x14ac:dyDescent="0.2">
      <c r="A1032">
        <f>[1]!hospitalinfo[[#This Row],[Facility ID]]</f>
        <v>101308</v>
      </c>
      <c r="B1032" t="str">
        <f>[1]!hospitalinfo[[#This Row],[State]]</f>
        <v>FL</v>
      </c>
      <c r="C1032" t="str">
        <f>[1]!hospitalinfo[[#This Row],[Hospital Type]]</f>
        <v>Critical Access Hospitals</v>
      </c>
      <c r="D1032" t="str">
        <f>[1]!hospitalinfo[[#This Row],[Hospital Ownership]]</f>
        <v>Voluntary non-profit - Private</v>
      </c>
      <c r="E1032" t="str" cm="1">
        <f t="array" ref="E1032">_xlfn.IFNA(_xlfn.XLOOKUP(1,([1]!hcahps[Facility ID] = clean[[#This Row],[Facility ID]]) * ([1]!hcahps[HCAHPS Measure ID] = "H_HSP_RATING_LINEAR_SCORE"), [1]!hcahps[HCAHPS Linear Mean Value]), "No Match")</f>
        <v>Not Available</v>
      </c>
      <c r="F1032" cm="1">
        <f t="array" ref="F1032">_xlfn.IFNA(_xlfn.XLOOKUP(1,([1]!readmissions[Facility ID] = clean[[#This Row],[Facility ID]]) * ([1]!readmissions[Measure ID] = "Hybrid_HWR"), [1]!readmissions[Score]), "No Match")</f>
        <v>14.3</v>
      </c>
    </row>
    <row r="1033" spans="1:6" x14ac:dyDescent="0.2">
      <c r="A1033">
        <f>[1]!hospitalinfo[[#This Row],[Facility ID]]</f>
        <v>101309</v>
      </c>
      <c r="B1033" t="str">
        <f>[1]!hospitalinfo[[#This Row],[State]]</f>
        <v>FL</v>
      </c>
      <c r="C1033" t="str">
        <f>[1]!hospitalinfo[[#This Row],[Hospital Type]]</f>
        <v>Critical Access Hospitals</v>
      </c>
      <c r="D1033" t="str">
        <f>[1]!hospitalinfo[[#This Row],[Hospital Ownership]]</f>
        <v>Voluntary non-profit - Other</v>
      </c>
      <c r="E1033" t="str" cm="1">
        <f t="array" ref="E1033">_xlfn.IFNA(_xlfn.XLOOKUP(1,([1]!hcahps[Facility ID] = clean[[#This Row],[Facility ID]]) * ([1]!hcahps[HCAHPS Measure ID] = "H_HSP_RATING_LINEAR_SCORE"), [1]!hcahps[HCAHPS Linear Mean Value]), "No Match")</f>
        <v>Not Available</v>
      </c>
      <c r="F1033" cm="1">
        <f t="array" ref="F1033">_xlfn.IFNA(_xlfn.XLOOKUP(1,([1]!readmissions[Facility ID] = clean[[#This Row],[Facility ID]]) * ([1]!readmissions[Measure ID] = "Hybrid_HWR"), [1]!readmissions[Score]), "No Match")</f>
        <v>14.8</v>
      </c>
    </row>
    <row r="1034" spans="1:6" x14ac:dyDescent="0.2">
      <c r="A1034">
        <f>[1]!hospitalinfo[[#This Row],[Facility ID]]</f>
        <v>101311</v>
      </c>
      <c r="B1034" t="str">
        <f>[1]!hospitalinfo[[#This Row],[State]]</f>
        <v>FL</v>
      </c>
      <c r="C1034" t="str">
        <f>[1]!hospitalinfo[[#This Row],[Hospital Type]]</f>
        <v>Critical Access Hospitals</v>
      </c>
      <c r="D1034" t="str">
        <f>[1]!hospitalinfo[[#This Row],[Hospital Ownership]]</f>
        <v>Government - Hospital District or Authority</v>
      </c>
      <c r="E1034" t="str" cm="1">
        <f t="array" ref="E1034">_xlfn.IFNA(_xlfn.XLOOKUP(1,([1]!hcahps[Facility ID] = clean[[#This Row],[Facility ID]]) * ([1]!hcahps[HCAHPS Measure ID] = "H_HSP_RATING_LINEAR_SCORE"), [1]!hcahps[HCAHPS Linear Mean Value]), "No Match")</f>
        <v>Not Available</v>
      </c>
      <c r="F1034" cm="1">
        <f t="array" ref="F1034">_xlfn.IFNA(_xlfn.XLOOKUP(1,([1]!readmissions[Facility ID] = clean[[#This Row],[Facility ID]]) * ([1]!readmissions[Measure ID] = "Hybrid_HWR"), [1]!readmissions[Score]), "No Match")</f>
        <v>14.7</v>
      </c>
    </row>
    <row r="1035" spans="1:6" x14ac:dyDescent="0.2">
      <c r="A1035">
        <f>[1]!hospitalinfo[[#This Row],[Facility ID]]</f>
        <v>101312</v>
      </c>
      <c r="B1035" t="str">
        <f>[1]!hospitalinfo[[#This Row],[State]]</f>
        <v>FL</v>
      </c>
      <c r="C1035" t="str">
        <f>[1]!hospitalinfo[[#This Row],[Hospital Type]]</f>
        <v>Critical Access Hospitals</v>
      </c>
      <c r="D1035" t="str">
        <f>[1]!hospitalinfo[[#This Row],[Hospital Ownership]]</f>
        <v>Voluntary non-profit - Private</v>
      </c>
      <c r="E1035" t="str" cm="1">
        <f t="array" ref="E1035">_xlfn.IFNA(_xlfn.XLOOKUP(1,([1]!hcahps[Facility ID] = clean[[#This Row],[Facility ID]]) * ([1]!hcahps[HCAHPS Measure ID] = "H_HSP_RATING_LINEAR_SCORE"), [1]!hcahps[HCAHPS Linear Mean Value]), "No Match")</f>
        <v>Not Available</v>
      </c>
      <c r="F1035" cm="1">
        <f t="array" ref="F1035">_xlfn.IFNA(_xlfn.XLOOKUP(1,([1]!readmissions[Facility ID] = clean[[#This Row],[Facility ID]]) * ([1]!readmissions[Measure ID] = "Hybrid_HWR"), [1]!readmissions[Score]), "No Match")</f>
        <v>15</v>
      </c>
    </row>
    <row r="1036" spans="1:6" x14ac:dyDescent="0.2">
      <c r="A1036">
        <f>[1]!hospitalinfo[[#This Row],[Facility ID]]</f>
        <v>101313</v>
      </c>
      <c r="B1036" t="str">
        <f>[1]!hospitalinfo[[#This Row],[State]]</f>
        <v>FL</v>
      </c>
      <c r="C1036" t="str">
        <f>[1]!hospitalinfo[[#This Row],[Hospital Type]]</f>
        <v>Critical Access Hospitals</v>
      </c>
      <c r="D1036" t="str">
        <f>[1]!hospitalinfo[[#This Row],[Hospital Ownership]]</f>
        <v>Voluntary non-profit - Private</v>
      </c>
      <c r="E1036" t="str" cm="1">
        <f t="array" ref="E1036">_xlfn.IFNA(_xlfn.XLOOKUP(1,([1]!hcahps[Facility ID] = clean[[#This Row],[Facility ID]]) * ([1]!hcahps[HCAHPS Measure ID] = "H_HSP_RATING_LINEAR_SCORE"), [1]!hcahps[HCAHPS Linear Mean Value]), "No Match")</f>
        <v>Not Available</v>
      </c>
      <c r="F1036" cm="1">
        <f t="array" ref="F1036">_xlfn.IFNA(_xlfn.XLOOKUP(1,([1]!readmissions[Facility ID] = clean[[#This Row],[Facility ID]]) * ([1]!readmissions[Measure ID] = "Hybrid_HWR"), [1]!readmissions[Score]), "No Match")</f>
        <v>15.7</v>
      </c>
    </row>
    <row r="1037" spans="1:6" x14ac:dyDescent="0.2">
      <c r="A1037">
        <f>[1]!hospitalinfo[[#This Row],[Facility ID]]</f>
        <v>101314</v>
      </c>
      <c r="B1037" t="str">
        <f>[1]!hospitalinfo[[#This Row],[State]]</f>
        <v>FL</v>
      </c>
      <c r="C1037" t="str">
        <f>[1]!hospitalinfo[[#This Row],[Hospital Type]]</f>
        <v>Critical Access Hospitals</v>
      </c>
      <c r="D1037" t="str">
        <f>[1]!hospitalinfo[[#This Row],[Hospital Ownership]]</f>
        <v>Voluntary non-profit - Private</v>
      </c>
      <c r="E1037" t="str" cm="1">
        <f t="array" ref="E1037">_xlfn.IFNA(_xlfn.XLOOKUP(1,([1]!hcahps[Facility ID] = clean[[#This Row],[Facility ID]]) * ([1]!hcahps[HCAHPS Measure ID] = "H_HSP_RATING_LINEAR_SCORE"), [1]!hcahps[HCAHPS Linear Mean Value]), "No Match")</f>
        <v>Not Available</v>
      </c>
      <c r="F1037" t="str" cm="1">
        <f t="array" ref="F1037">_xlfn.IFNA(_xlfn.XLOOKUP(1,([1]!readmissions[Facility ID] = clean[[#This Row],[Facility ID]]) * ([1]!readmissions[Measure ID] = "Hybrid_HWR"), [1]!readmissions[Score]), "No Match")</f>
        <v>Not Available</v>
      </c>
    </row>
    <row r="1038" spans="1:6" x14ac:dyDescent="0.2">
      <c r="A1038">
        <f>[1]!hospitalinfo[[#This Row],[Facility ID]]</f>
        <v>101315</v>
      </c>
      <c r="B1038" t="str">
        <f>[1]!hospitalinfo[[#This Row],[State]]</f>
        <v>FL</v>
      </c>
      <c r="C1038" t="str">
        <f>[1]!hospitalinfo[[#This Row],[Hospital Type]]</f>
        <v>Critical Access Hospitals</v>
      </c>
      <c r="D1038" t="str">
        <f>[1]!hospitalinfo[[#This Row],[Hospital Ownership]]</f>
        <v>Voluntary non-profit - Private</v>
      </c>
      <c r="E1038" t="str" cm="1">
        <f t="array" ref="E1038">_xlfn.IFNA(_xlfn.XLOOKUP(1,([1]!hcahps[Facility ID] = clean[[#This Row],[Facility ID]]) * ([1]!hcahps[HCAHPS Measure ID] = "H_HSP_RATING_LINEAR_SCORE"), [1]!hcahps[HCAHPS Linear Mean Value]), "No Match")</f>
        <v>Not Available</v>
      </c>
      <c r="F1038" cm="1">
        <f t="array" ref="F1038">_xlfn.IFNA(_xlfn.XLOOKUP(1,([1]!readmissions[Facility ID] = clean[[#This Row],[Facility ID]]) * ([1]!readmissions[Measure ID] = "Hybrid_HWR"), [1]!readmissions[Score]), "No Match")</f>
        <v>14.7</v>
      </c>
    </row>
    <row r="1039" spans="1:6" x14ac:dyDescent="0.2">
      <c r="A1039">
        <f>[1]!hospitalinfo[[#This Row],[Facility ID]]</f>
        <v>103300</v>
      </c>
      <c r="B1039" t="str">
        <f>[1]!hospitalinfo[[#This Row],[State]]</f>
        <v>FL</v>
      </c>
      <c r="C1039" t="str">
        <f>[1]!hospitalinfo[[#This Row],[Hospital Type]]</f>
        <v>Childrens</v>
      </c>
      <c r="D1039" t="str">
        <f>[1]!hospitalinfo[[#This Row],[Hospital Ownership]]</f>
        <v>Voluntary non-profit - Private</v>
      </c>
      <c r="E1039" t="str" cm="1">
        <f t="array" ref="E1039">_xlfn.IFNA(_xlfn.XLOOKUP(1,([1]!hcahps[Facility ID] = clean[[#This Row],[Facility ID]]) * ([1]!hcahps[HCAHPS Measure ID] = "H_HSP_RATING_LINEAR_SCORE"), [1]!hcahps[HCAHPS Linear Mean Value]), "No Match")</f>
        <v>Not Available</v>
      </c>
      <c r="F1039" t="str" cm="1">
        <f t="array" ref="F1039">_xlfn.IFNA(_xlfn.XLOOKUP(1,([1]!readmissions[Facility ID] = clean[[#This Row],[Facility ID]]) * ([1]!readmissions[Measure ID] = "Hybrid_HWR"), [1]!readmissions[Score]), "No Match")</f>
        <v>Not Available</v>
      </c>
    </row>
    <row r="1040" spans="1:6" x14ac:dyDescent="0.2">
      <c r="A1040">
        <f>[1]!hospitalinfo[[#This Row],[Facility ID]]</f>
        <v>103301</v>
      </c>
      <c r="B1040" t="str">
        <f>[1]!hospitalinfo[[#This Row],[State]]</f>
        <v>FL</v>
      </c>
      <c r="C1040" t="str">
        <f>[1]!hospitalinfo[[#This Row],[Hospital Type]]</f>
        <v>Childrens</v>
      </c>
      <c r="D1040" t="str">
        <f>[1]!hospitalinfo[[#This Row],[Hospital Ownership]]</f>
        <v>Voluntary non-profit - Private</v>
      </c>
      <c r="E1040" t="str" cm="1">
        <f t="array" ref="E1040">_xlfn.IFNA(_xlfn.XLOOKUP(1,([1]!hcahps[Facility ID] = clean[[#This Row],[Facility ID]]) * ([1]!hcahps[HCAHPS Measure ID] = "H_HSP_RATING_LINEAR_SCORE"), [1]!hcahps[HCAHPS Linear Mean Value]), "No Match")</f>
        <v>Not Available</v>
      </c>
      <c r="F1040" t="str" cm="1">
        <f t="array" ref="F1040">_xlfn.IFNA(_xlfn.XLOOKUP(1,([1]!readmissions[Facility ID] = clean[[#This Row],[Facility ID]]) * ([1]!readmissions[Measure ID] = "Hybrid_HWR"), [1]!readmissions[Score]), "No Match")</f>
        <v>Not Available</v>
      </c>
    </row>
    <row r="1041" spans="1:6" x14ac:dyDescent="0.2">
      <c r="A1041">
        <f>[1]!hospitalinfo[[#This Row],[Facility ID]]</f>
        <v>103304</v>
      </c>
      <c r="B1041" t="str">
        <f>[1]!hospitalinfo[[#This Row],[State]]</f>
        <v>FL</v>
      </c>
      <c r="C1041" t="str">
        <f>[1]!hospitalinfo[[#This Row],[Hospital Type]]</f>
        <v>Childrens</v>
      </c>
      <c r="D1041" t="str">
        <f>[1]!hospitalinfo[[#This Row],[Hospital Ownership]]</f>
        <v>Voluntary non-profit - Private</v>
      </c>
      <c r="E1041" t="str" cm="1">
        <f t="array" ref="E1041">_xlfn.IFNA(_xlfn.XLOOKUP(1,([1]!hcahps[Facility ID] = clean[[#This Row],[Facility ID]]) * ([1]!hcahps[HCAHPS Measure ID] = "H_HSP_RATING_LINEAR_SCORE"), [1]!hcahps[HCAHPS Linear Mean Value]), "No Match")</f>
        <v>Not Available</v>
      </c>
      <c r="F1041" t="str" cm="1">
        <f t="array" ref="F1041">_xlfn.IFNA(_xlfn.XLOOKUP(1,([1]!readmissions[Facility ID] = clean[[#This Row],[Facility ID]]) * ([1]!readmissions[Measure ID] = "Hybrid_HWR"), [1]!readmissions[Score]), "No Match")</f>
        <v>Not Available</v>
      </c>
    </row>
    <row r="1042" spans="1:6" x14ac:dyDescent="0.2">
      <c r="A1042">
        <f>[1]!hospitalinfo[[#This Row],[Facility ID]]</f>
        <v>104000</v>
      </c>
      <c r="B1042" t="str">
        <f>[1]!hospitalinfo[[#This Row],[State]]</f>
        <v>FL</v>
      </c>
      <c r="C1042" t="str">
        <f>[1]!hospitalinfo[[#This Row],[Hospital Type]]</f>
        <v>Psychiatric</v>
      </c>
      <c r="D1042" t="str">
        <f>[1]!hospitalinfo[[#This Row],[Hospital Ownership]]</f>
        <v>Government - State</v>
      </c>
      <c r="E1042" t="str" cm="1">
        <f t="array" ref="E1042">_xlfn.IFNA(_xlfn.XLOOKUP(1,([1]!hcahps[Facility ID] = clean[[#This Row],[Facility ID]]) * ([1]!hcahps[HCAHPS Measure ID] = "H_HSP_RATING_LINEAR_SCORE"), [1]!hcahps[HCAHPS Linear Mean Value]), "No Match")</f>
        <v>No Match</v>
      </c>
      <c r="F1042" t="str" cm="1">
        <f t="array" ref="F1042">_xlfn.IFNA(_xlfn.XLOOKUP(1,([1]!readmissions[Facility ID] = clean[[#This Row],[Facility ID]]) * ([1]!readmissions[Measure ID] = "Hybrid_HWR"), [1]!readmissions[Score]), "No Match")</f>
        <v>No Match</v>
      </c>
    </row>
    <row r="1043" spans="1:6" x14ac:dyDescent="0.2">
      <c r="A1043">
        <f>[1]!hospitalinfo[[#This Row],[Facility ID]]</f>
        <v>104001</v>
      </c>
      <c r="B1043" t="str">
        <f>[1]!hospitalinfo[[#This Row],[State]]</f>
        <v>FL</v>
      </c>
      <c r="C1043" t="str">
        <f>[1]!hospitalinfo[[#This Row],[Hospital Type]]</f>
        <v>Psychiatric</v>
      </c>
      <c r="D1043" t="str">
        <f>[1]!hospitalinfo[[#This Row],[Hospital Ownership]]</f>
        <v>Government - Local</v>
      </c>
      <c r="E1043" t="str" cm="1">
        <f t="array" ref="E1043">_xlfn.IFNA(_xlfn.XLOOKUP(1,([1]!hcahps[Facility ID] = clean[[#This Row],[Facility ID]]) * ([1]!hcahps[HCAHPS Measure ID] = "H_HSP_RATING_LINEAR_SCORE"), [1]!hcahps[HCAHPS Linear Mean Value]), "No Match")</f>
        <v>No Match</v>
      </c>
      <c r="F1043" t="str" cm="1">
        <f t="array" ref="F1043">_xlfn.IFNA(_xlfn.XLOOKUP(1,([1]!readmissions[Facility ID] = clean[[#This Row],[Facility ID]]) * ([1]!readmissions[Measure ID] = "Hybrid_HWR"), [1]!readmissions[Score]), "No Match")</f>
        <v>No Match</v>
      </c>
    </row>
    <row r="1044" spans="1:6" x14ac:dyDescent="0.2">
      <c r="A1044">
        <f>[1]!hospitalinfo[[#This Row],[Facility ID]]</f>
        <v>104007</v>
      </c>
      <c r="B1044" t="str">
        <f>[1]!hospitalinfo[[#This Row],[State]]</f>
        <v>FL</v>
      </c>
      <c r="C1044" t="str">
        <f>[1]!hospitalinfo[[#This Row],[Hospital Type]]</f>
        <v>Psychiatric</v>
      </c>
      <c r="D1044" t="str">
        <f>[1]!hospitalinfo[[#This Row],[Hospital Ownership]]</f>
        <v>Government - State</v>
      </c>
      <c r="E1044" t="str" cm="1">
        <f t="array" ref="E1044">_xlfn.IFNA(_xlfn.XLOOKUP(1,([1]!hcahps[Facility ID] = clean[[#This Row],[Facility ID]]) * ([1]!hcahps[HCAHPS Measure ID] = "H_HSP_RATING_LINEAR_SCORE"), [1]!hcahps[HCAHPS Linear Mean Value]), "No Match")</f>
        <v>No Match</v>
      </c>
      <c r="F1044" t="str" cm="1">
        <f t="array" ref="F1044">_xlfn.IFNA(_xlfn.XLOOKUP(1,([1]!readmissions[Facility ID] = clean[[#This Row],[Facility ID]]) * ([1]!readmissions[Measure ID] = "Hybrid_HWR"), [1]!readmissions[Score]), "No Match")</f>
        <v>No Match</v>
      </c>
    </row>
    <row r="1045" spans="1:6" x14ac:dyDescent="0.2">
      <c r="A1045">
        <f>[1]!hospitalinfo[[#This Row],[Facility ID]]</f>
        <v>104016</v>
      </c>
      <c r="B1045" t="str">
        <f>[1]!hospitalinfo[[#This Row],[State]]</f>
        <v>FL</v>
      </c>
      <c r="C1045" t="str">
        <f>[1]!hospitalinfo[[#This Row],[Hospital Type]]</f>
        <v>Psychiatric</v>
      </c>
      <c r="D1045" t="str">
        <f>[1]!hospitalinfo[[#This Row],[Hospital Ownership]]</f>
        <v>Proprietary</v>
      </c>
      <c r="E1045" t="str" cm="1">
        <f t="array" ref="E1045">_xlfn.IFNA(_xlfn.XLOOKUP(1,([1]!hcahps[Facility ID] = clean[[#This Row],[Facility ID]]) * ([1]!hcahps[HCAHPS Measure ID] = "H_HSP_RATING_LINEAR_SCORE"), [1]!hcahps[HCAHPS Linear Mean Value]), "No Match")</f>
        <v>No Match</v>
      </c>
      <c r="F1045" t="str" cm="1">
        <f t="array" ref="F1045">_xlfn.IFNA(_xlfn.XLOOKUP(1,([1]!readmissions[Facility ID] = clean[[#This Row],[Facility ID]]) * ([1]!readmissions[Measure ID] = "Hybrid_HWR"), [1]!readmissions[Score]), "No Match")</f>
        <v>No Match</v>
      </c>
    </row>
    <row r="1046" spans="1:6" x14ac:dyDescent="0.2">
      <c r="A1046">
        <f>[1]!hospitalinfo[[#This Row],[Facility ID]]</f>
        <v>104017</v>
      </c>
      <c r="B1046" t="str">
        <f>[1]!hospitalinfo[[#This Row],[State]]</f>
        <v>FL</v>
      </c>
      <c r="C1046" t="str">
        <f>[1]!hospitalinfo[[#This Row],[Hospital Type]]</f>
        <v>Psychiatric</v>
      </c>
      <c r="D1046" t="str">
        <f>[1]!hospitalinfo[[#This Row],[Hospital Ownership]]</f>
        <v>Proprietary</v>
      </c>
      <c r="E1046" t="str" cm="1">
        <f t="array" ref="E1046">_xlfn.IFNA(_xlfn.XLOOKUP(1,([1]!hcahps[Facility ID] = clean[[#This Row],[Facility ID]]) * ([1]!hcahps[HCAHPS Measure ID] = "H_HSP_RATING_LINEAR_SCORE"), [1]!hcahps[HCAHPS Linear Mean Value]), "No Match")</f>
        <v>No Match</v>
      </c>
      <c r="F1046" t="str" cm="1">
        <f t="array" ref="F1046">_xlfn.IFNA(_xlfn.XLOOKUP(1,([1]!readmissions[Facility ID] = clean[[#This Row],[Facility ID]]) * ([1]!readmissions[Measure ID] = "Hybrid_HWR"), [1]!readmissions[Score]), "No Match")</f>
        <v>No Match</v>
      </c>
    </row>
    <row r="1047" spans="1:6" x14ac:dyDescent="0.2">
      <c r="A1047">
        <f>[1]!hospitalinfo[[#This Row],[Facility ID]]</f>
        <v>104018</v>
      </c>
      <c r="B1047" t="str">
        <f>[1]!hospitalinfo[[#This Row],[State]]</f>
        <v>FL</v>
      </c>
      <c r="C1047" t="str">
        <f>[1]!hospitalinfo[[#This Row],[Hospital Type]]</f>
        <v>Psychiatric</v>
      </c>
      <c r="D1047" t="str">
        <f>[1]!hospitalinfo[[#This Row],[Hospital Ownership]]</f>
        <v>Proprietary</v>
      </c>
      <c r="E1047" t="str" cm="1">
        <f t="array" ref="E1047">_xlfn.IFNA(_xlfn.XLOOKUP(1,([1]!hcahps[Facility ID] = clean[[#This Row],[Facility ID]]) * ([1]!hcahps[HCAHPS Measure ID] = "H_HSP_RATING_LINEAR_SCORE"), [1]!hcahps[HCAHPS Linear Mean Value]), "No Match")</f>
        <v>No Match</v>
      </c>
      <c r="F1047" t="str" cm="1">
        <f t="array" ref="F1047">_xlfn.IFNA(_xlfn.XLOOKUP(1,([1]!readmissions[Facility ID] = clean[[#This Row],[Facility ID]]) * ([1]!readmissions[Measure ID] = "Hybrid_HWR"), [1]!readmissions[Score]), "No Match")</f>
        <v>No Match</v>
      </c>
    </row>
    <row r="1048" spans="1:6" x14ac:dyDescent="0.2">
      <c r="A1048">
        <f>[1]!hospitalinfo[[#This Row],[Facility ID]]</f>
        <v>104024</v>
      </c>
      <c r="B1048" t="str">
        <f>[1]!hospitalinfo[[#This Row],[State]]</f>
        <v>FL</v>
      </c>
      <c r="C1048" t="str">
        <f>[1]!hospitalinfo[[#This Row],[Hospital Type]]</f>
        <v>Psychiatric</v>
      </c>
      <c r="D1048" t="str">
        <f>[1]!hospitalinfo[[#This Row],[Hospital Ownership]]</f>
        <v>Voluntary non-profit - Private</v>
      </c>
      <c r="E1048" t="str" cm="1">
        <f t="array" ref="E1048">_xlfn.IFNA(_xlfn.XLOOKUP(1,([1]!hcahps[Facility ID] = clean[[#This Row],[Facility ID]]) * ([1]!hcahps[HCAHPS Measure ID] = "H_HSP_RATING_LINEAR_SCORE"), [1]!hcahps[HCAHPS Linear Mean Value]), "No Match")</f>
        <v>No Match</v>
      </c>
      <c r="F1048" t="str" cm="1">
        <f t="array" ref="F1048">_xlfn.IFNA(_xlfn.XLOOKUP(1,([1]!readmissions[Facility ID] = clean[[#This Row],[Facility ID]]) * ([1]!readmissions[Measure ID] = "Hybrid_HWR"), [1]!readmissions[Score]), "No Match")</f>
        <v>No Match</v>
      </c>
    </row>
    <row r="1049" spans="1:6" x14ac:dyDescent="0.2">
      <c r="A1049">
        <f>[1]!hospitalinfo[[#This Row],[Facility ID]]</f>
        <v>104026</v>
      </c>
      <c r="B1049" t="str">
        <f>[1]!hospitalinfo[[#This Row],[State]]</f>
        <v>FL</v>
      </c>
      <c r="C1049" t="str">
        <f>[1]!hospitalinfo[[#This Row],[Hospital Type]]</f>
        <v>Psychiatric</v>
      </c>
      <c r="D1049" t="str">
        <f>[1]!hospitalinfo[[#This Row],[Hospital Ownership]]</f>
        <v>Proprietary</v>
      </c>
      <c r="E1049" t="str" cm="1">
        <f t="array" ref="E1049">_xlfn.IFNA(_xlfn.XLOOKUP(1,([1]!hcahps[Facility ID] = clean[[#This Row],[Facility ID]]) * ([1]!hcahps[HCAHPS Measure ID] = "H_HSP_RATING_LINEAR_SCORE"), [1]!hcahps[HCAHPS Linear Mean Value]), "No Match")</f>
        <v>No Match</v>
      </c>
      <c r="F1049" t="str" cm="1">
        <f t="array" ref="F1049">_xlfn.IFNA(_xlfn.XLOOKUP(1,([1]!readmissions[Facility ID] = clean[[#This Row],[Facility ID]]) * ([1]!readmissions[Measure ID] = "Hybrid_HWR"), [1]!readmissions[Score]), "No Match")</f>
        <v>No Match</v>
      </c>
    </row>
    <row r="1050" spans="1:6" x14ac:dyDescent="0.2">
      <c r="A1050">
        <f>[1]!hospitalinfo[[#This Row],[Facility ID]]</f>
        <v>104040</v>
      </c>
      <c r="B1050" t="str">
        <f>[1]!hospitalinfo[[#This Row],[State]]</f>
        <v>FL</v>
      </c>
      <c r="C1050" t="str">
        <f>[1]!hospitalinfo[[#This Row],[Hospital Type]]</f>
        <v>Psychiatric</v>
      </c>
      <c r="D1050" t="str">
        <f>[1]!hospitalinfo[[#This Row],[Hospital Ownership]]</f>
        <v>Voluntary non-profit - Private</v>
      </c>
      <c r="E1050" t="str" cm="1">
        <f t="array" ref="E1050">_xlfn.IFNA(_xlfn.XLOOKUP(1,([1]!hcahps[Facility ID] = clean[[#This Row],[Facility ID]]) * ([1]!hcahps[HCAHPS Measure ID] = "H_HSP_RATING_LINEAR_SCORE"), [1]!hcahps[HCAHPS Linear Mean Value]), "No Match")</f>
        <v>No Match</v>
      </c>
      <c r="F1050" t="str" cm="1">
        <f t="array" ref="F1050">_xlfn.IFNA(_xlfn.XLOOKUP(1,([1]!readmissions[Facility ID] = clean[[#This Row],[Facility ID]]) * ([1]!readmissions[Measure ID] = "Hybrid_HWR"), [1]!readmissions[Score]), "No Match")</f>
        <v>No Match</v>
      </c>
    </row>
    <row r="1051" spans="1:6" x14ac:dyDescent="0.2">
      <c r="A1051">
        <f>[1]!hospitalinfo[[#This Row],[Facility ID]]</f>
        <v>104049</v>
      </c>
      <c r="B1051" t="str">
        <f>[1]!hospitalinfo[[#This Row],[State]]</f>
        <v>FL</v>
      </c>
      <c r="C1051" t="str">
        <f>[1]!hospitalinfo[[#This Row],[Hospital Type]]</f>
        <v>Psychiatric</v>
      </c>
      <c r="D1051" t="str">
        <f>[1]!hospitalinfo[[#This Row],[Hospital Ownership]]</f>
        <v>Proprietary</v>
      </c>
      <c r="E1051" t="str" cm="1">
        <f t="array" ref="E1051">_xlfn.IFNA(_xlfn.XLOOKUP(1,([1]!hcahps[Facility ID] = clean[[#This Row],[Facility ID]]) * ([1]!hcahps[HCAHPS Measure ID] = "H_HSP_RATING_LINEAR_SCORE"), [1]!hcahps[HCAHPS Linear Mean Value]), "No Match")</f>
        <v>No Match</v>
      </c>
      <c r="F1051" t="str" cm="1">
        <f t="array" ref="F1051">_xlfn.IFNA(_xlfn.XLOOKUP(1,([1]!readmissions[Facility ID] = clean[[#This Row],[Facility ID]]) * ([1]!readmissions[Measure ID] = "Hybrid_HWR"), [1]!readmissions[Score]), "No Match")</f>
        <v>No Match</v>
      </c>
    </row>
    <row r="1052" spans="1:6" x14ac:dyDescent="0.2">
      <c r="A1052">
        <f>[1]!hospitalinfo[[#This Row],[Facility ID]]</f>
        <v>104057</v>
      </c>
      <c r="B1052" t="str">
        <f>[1]!hospitalinfo[[#This Row],[State]]</f>
        <v>FL</v>
      </c>
      <c r="C1052" t="str">
        <f>[1]!hospitalinfo[[#This Row],[Hospital Type]]</f>
        <v>Psychiatric</v>
      </c>
      <c r="D1052" t="str">
        <f>[1]!hospitalinfo[[#This Row],[Hospital Ownership]]</f>
        <v>Voluntary non-profit - Private</v>
      </c>
      <c r="E1052" t="str" cm="1">
        <f t="array" ref="E1052">_xlfn.IFNA(_xlfn.XLOOKUP(1,([1]!hcahps[Facility ID] = clean[[#This Row],[Facility ID]]) * ([1]!hcahps[HCAHPS Measure ID] = "H_HSP_RATING_LINEAR_SCORE"), [1]!hcahps[HCAHPS Linear Mean Value]), "No Match")</f>
        <v>No Match</v>
      </c>
      <c r="F1052" t="str" cm="1">
        <f t="array" ref="F1052">_xlfn.IFNA(_xlfn.XLOOKUP(1,([1]!readmissions[Facility ID] = clean[[#This Row],[Facility ID]]) * ([1]!readmissions[Measure ID] = "Hybrid_HWR"), [1]!readmissions[Score]), "No Match")</f>
        <v>No Match</v>
      </c>
    </row>
    <row r="1053" spans="1:6" x14ac:dyDescent="0.2">
      <c r="A1053">
        <f>[1]!hospitalinfo[[#This Row],[Facility ID]]</f>
        <v>104059</v>
      </c>
      <c r="B1053" t="str">
        <f>[1]!hospitalinfo[[#This Row],[State]]</f>
        <v>FL</v>
      </c>
      <c r="C1053" t="str">
        <f>[1]!hospitalinfo[[#This Row],[Hospital Type]]</f>
        <v>Psychiatric</v>
      </c>
      <c r="D1053" t="str">
        <f>[1]!hospitalinfo[[#This Row],[Hospital Ownership]]</f>
        <v>Voluntary non-profit - Private</v>
      </c>
      <c r="E1053" t="str" cm="1">
        <f t="array" ref="E1053">_xlfn.IFNA(_xlfn.XLOOKUP(1,([1]!hcahps[Facility ID] = clean[[#This Row],[Facility ID]]) * ([1]!hcahps[HCAHPS Measure ID] = "H_HSP_RATING_LINEAR_SCORE"), [1]!hcahps[HCAHPS Linear Mean Value]), "No Match")</f>
        <v>No Match</v>
      </c>
      <c r="F1053" t="str" cm="1">
        <f t="array" ref="F1053">_xlfn.IFNA(_xlfn.XLOOKUP(1,([1]!readmissions[Facility ID] = clean[[#This Row],[Facility ID]]) * ([1]!readmissions[Measure ID] = "Hybrid_HWR"), [1]!readmissions[Score]), "No Match")</f>
        <v>No Match</v>
      </c>
    </row>
    <row r="1054" spans="1:6" x14ac:dyDescent="0.2">
      <c r="A1054">
        <f>[1]!hospitalinfo[[#This Row],[Facility ID]]</f>
        <v>104063</v>
      </c>
      <c r="B1054" t="str">
        <f>[1]!hospitalinfo[[#This Row],[State]]</f>
        <v>FL</v>
      </c>
      <c r="C1054" t="str">
        <f>[1]!hospitalinfo[[#This Row],[Hospital Type]]</f>
        <v>Psychiatric</v>
      </c>
      <c r="D1054" t="str">
        <f>[1]!hospitalinfo[[#This Row],[Hospital Ownership]]</f>
        <v>Proprietary</v>
      </c>
      <c r="E1054" t="str" cm="1">
        <f t="array" ref="E1054">_xlfn.IFNA(_xlfn.XLOOKUP(1,([1]!hcahps[Facility ID] = clean[[#This Row],[Facility ID]]) * ([1]!hcahps[HCAHPS Measure ID] = "H_HSP_RATING_LINEAR_SCORE"), [1]!hcahps[HCAHPS Linear Mean Value]), "No Match")</f>
        <v>No Match</v>
      </c>
      <c r="F1054" t="str" cm="1">
        <f t="array" ref="F1054">_xlfn.IFNA(_xlfn.XLOOKUP(1,([1]!readmissions[Facility ID] = clean[[#This Row],[Facility ID]]) * ([1]!readmissions[Measure ID] = "Hybrid_HWR"), [1]!readmissions[Score]), "No Match")</f>
        <v>No Match</v>
      </c>
    </row>
    <row r="1055" spans="1:6" x14ac:dyDescent="0.2">
      <c r="A1055">
        <f>[1]!hospitalinfo[[#This Row],[Facility ID]]</f>
        <v>104067</v>
      </c>
      <c r="B1055" t="str">
        <f>[1]!hospitalinfo[[#This Row],[State]]</f>
        <v>FL</v>
      </c>
      <c r="C1055" t="str">
        <f>[1]!hospitalinfo[[#This Row],[Hospital Type]]</f>
        <v>Psychiatric</v>
      </c>
      <c r="D1055" t="str">
        <f>[1]!hospitalinfo[[#This Row],[Hospital Ownership]]</f>
        <v>Voluntary non-profit - Private</v>
      </c>
      <c r="E1055" t="str" cm="1">
        <f t="array" ref="E1055">_xlfn.IFNA(_xlfn.XLOOKUP(1,([1]!hcahps[Facility ID] = clean[[#This Row],[Facility ID]]) * ([1]!hcahps[HCAHPS Measure ID] = "H_HSP_RATING_LINEAR_SCORE"), [1]!hcahps[HCAHPS Linear Mean Value]), "No Match")</f>
        <v>No Match</v>
      </c>
      <c r="F1055" t="str" cm="1">
        <f t="array" ref="F1055">_xlfn.IFNA(_xlfn.XLOOKUP(1,([1]!readmissions[Facility ID] = clean[[#This Row],[Facility ID]]) * ([1]!readmissions[Measure ID] = "Hybrid_HWR"), [1]!readmissions[Score]), "No Match")</f>
        <v>No Match</v>
      </c>
    </row>
    <row r="1056" spans="1:6" x14ac:dyDescent="0.2">
      <c r="A1056">
        <f>[1]!hospitalinfo[[#This Row],[Facility ID]]</f>
        <v>104069</v>
      </c>
      <c r="B1056" t="str">
        <f>[1]!hospitalinfo[[#This Row],[State]]</f>
        <v>FL</v>
      </c>
      <c r="C1056" t="str">
        <f>[1]!hospitalinfo[[#This Row],[Hospital Type]]</f>
        <v>Psychiatric</v>
      </c>
      <c r="D1056" t="str">
        <f>[1]!hospitalinfo[[#This Row],[Hospital Ownership]]</f>
        <v>Proprietary</v>
      </c>
      <c r="E1056" t="str" cm="1">
        <f t="array" ref="E1056">_xlfn.IFNA(_xlfn.XLOOKUP(1,([1]!hcahps[Facility ID] = clean[[#This Row],[Facility ID]]) * ([1]!hcahps[HCAHPS Measure ID] = "H_HSP_RATING_LINEAR_SCORE"), [1]!hcahps[HCAHPS Linear Mean Value]), "No Match")</f>
        <v>No Match</v>
      </c>
      <c r="F1056" t="str" cm="1">
        <f t="array" ref="F1056">_xlfn.IFNA(_xlfn.XLOOKUP(1,([1]!readmissions[Facility ID] = clean[[#This Row],[Facility ID]]) * ([1]!readmissions[Measure ID] = "Hybrid_HWR"), [1]!readmissions[Score]), "No Match")</f>
        <v>No Match</v>
      </c>
    </row>
    <row r="1057" spans="1:6" x14ac:dyDescent="0.2">
      <c r="A1057">
        <f>[1]!hospitalinfo[[#This Row],[Facility ID]]</f>
        <v>104070</v>
      </c>
      <c r="B1057" t="str">
        <f>[1]!hospitalinfo[[#This Row],[State]]</f>
        <v>FL</v>
      </c>
      <c r="C1057" t="str">
        <f>[1]!hospitalinfo[[#This Row],[Hospital Type]]</f>
        <v>Psychiatric</v>
      </c>
      <c r="D1057" t="str">
        <f>[1]!hospitalinfo[[#This Row],[Hospital Ownership]]</f>
        <v>Proprietary</v>
      </c>
      <c r="E1057" t="str" cm="1">
        <f t="array" ref="E1057">_xlfn.IFNA(_xlfn.XLOOKUP(1,([1]!hcahps[Facility ID] = clean[[#This Row],[Facility ID]]) * ([1]!hcahps[HCAHPS Measure ID] = "H_HSP_RATING_LINEAR_SCORE"), [1]!hcahps[HCAHPS Linear Mean Value]), "No Match")</f>
        <v>No Match</v>
      </c>
      <c r="F1057" t="str" cm="1">
        <f t="array" ref="F1057">_xlfn.IFNA(_xlfn.XLOOKUP(1,([1]!readmissions[Facility ID] = clean[[#This Row],[Facility ID]]) * ([1]!readmissions[Measure ID] = "Hybrid_HWR"), [1]!readmissions[Score]), "No Match")</f>
        <v>No Match</v>
      </c>
    </row>
    <row r="1058" spans="1:6" x14ac:dyDescent="0.2">
      <c r="A1058">
        <f>[1]!hospitalinfo[[#This Row],[Facility ID]]</f>
        <v>104071</v>
      </c>
      <c r="B1058" t="str">
        <f>[1]!hospitalinfo[[#This Row],[State]]</f>
        <v>FL</v>
      </c>
      <c r="C1058" t="str">
        <f>[1]!hospitalinfo[[#This Row],[Hospital Type]]</f>
        <v>Psychiatric</v>
      </c>
      <c r="D1058" t="str">
        <f>[1]!hospitalinfo[[#This Row],[Hospital Ownership]]</f>
        <v>Proprietary</v>
      </c>
      <c r="E1058" t="str" cm="1">
        <f t="array" ref="E1058">_xlfn.IFNA(_xlfn.XLOOKUP(1,([1]!hcahps[Facility ID] = clean[[#This Row],[Facility ID]]) * ([1]!hcahps[HCAHPS Measure ID] = "H_HSP_RATING_LINEAR_SCORE"), [1]!hcahps[HCAHPS Linear Mean Value]), "No Match")</f>
        <v>No Match</v>
      </c>
      <c r="F1058" t="str" cm="1">
        <f t="array" ref="F1058">_xlfn.IFNA(_xlfn.XLOOKUP(1,([1]!readmissions[Facility ID] = clean[[#This Row],[Facility ID]]) * ([1]!readmissions[Measure ID] = "Hybrid_HWR"), [1]!readmissions[Score]), "No Match")</f>
        <v>No Match</v>
      </c>
    </row>
    <row r="1059" spans="1:6" x14ac:dyDescent="0.2">
      <c r="A1059">
        <f>[1]!hospitalinfo[[#This Row],[Facility ID]]</f>
        <v>104072</v>
      </c>
      <c r="B1059" t="str">
        <f>[1]!hospitalinfo[[#This Row],[State]]</f>
        <v>FL</v>
      </c>
      <c r="C1059" t="str">
        <f>[1]!hospitalinfo[[#This Row],[Hospital Type]]</f>
        <v>Psychiatric</v>
      </c>
      <c r="D1059" t="str">
        <f>[1]!hospitalinfo[[#This Row],[Hospital Ownership]]</f>
        <v>Proprietary</v>
      </c>
      <c r="E1059" t="str" cm="1">
        <f t="array" ref="E1059">_xlfn.IFNA(_xlfn.XLOOKUP(1,([1]!hcahps[Facility ID] = clean[[#This Row],[Facility ID]]) * ([1]!hcahps[HCAHPS Measure ID] = "H_HSP_RATING_LINEAR_SCORE"), [1]!hcahps[HCAHPS Linear Mean Value]), "No Match")</f>
        <v>No Match</v>
      </c>
      <c r="F1059" t="str" cm="1">
        <f t="array" ref="F1059">_xlfn.IFNA(_xlfn.XLOOKUP(1,([1]!readmissions[Facility ID] = clean[[#This Row],[Facility ID]]) * ([1]!readmissions[Measure ID] = "Hybrid_HWR"), [1]!readmissions[Score]), "No Match")</f>
        <v>No Match</v>
      </c>
    </row>
    <row r="1060" spans="1:6" x14ac:dyDescent="0.2">
      <c r="A1060">
        <f>[1]!hospitalinfo[[#This Row],[Facility ID]]</f>
        <v>104073</v>
      </c>
      <c r="B1060" t="str">
        <f>[1]!hospitalinfo[[#This Row],[State]]</f>
        <v>FL</v>
      </c>
      <c r="C1060" t="str">
        <f>[1]!hospitalinfo[[#This Row],[Hospital Type]]</f>
        <v>Psychiatric</v>
      </c>
      <c r="D1060" t="str">
        <f>[1]!hospitalinfo[[#This Row],[Hospital Ownership]]</f>
        <v>Proprietary</v>
      </c>
      <c r="E1060" t="str" cm="1">
        <f t="array" ref="E1060">_xlfn.IFNA(_xlfn.XLOOKUP(1,([1]!hcahps[Facility ID] = clean[[#This Row],[Facility ID]]) * ([1]!hcahps[HCAHPS Measure ID] = "H_HSP_RATING_LINEAR_SCORE"), [1]!hcahps[HCAHPS Linear Mean Value]), "No Match")</f>
        <v>No Match</v>
      </c>
      <c r="F1060" t="str" cm="1">
        <f t="array" ref="F1060">_xlfn.IFNA(_xlfn.XLOOKUP(1,([1]!readmissions[Facility ID] = clean[[#This Row],[Facility ID]]) * ([1]!readmissions[Measure ID] = "Hybrid_HWR"), [1]!readmissions[Score]), "No Match")</f>
        <v>No Match</v>
      </c>
    </row>
    <row r="1061" spans="1:6" x14ac:dyDescent="0.2">
      <c r="A1061">
        <f>[1]!hospitalinfo[[#This Row],[Facility ID]]</f>
        <v>104074</v>
      </c>
      <c r="B1061" t="str">
        <f>[1]!hospitalinfo[[#This Row],[State]]</f>
        <v>FL</v>
      </c>
      <c r="C1061" t="str">
        <f>[1]!hospitalinfo[[#This Row],[Hospital Type]]</f>
        <v>Psychiatric</v>
      </c>
      <c r="D1061" t="str">
        <f>[1]!hospitalinfo[[#This Row],[Hospital Ownership]]</f>
        <v>Proprietary</v>
      </c>
      <c r="E1061" t="str" cm="1">
        <f t="array" ref="E1061">_xlfn.IFNA(_xlfn.XLOOKUP(1,([1]!hcahps[Facility ID] = clean[[#This Row],[Facility ID]]) * ([1]!hcahps[HCAHPS Measure ID] = "H_HSP_RATING_LINEAR_SCORE"), [1]!hcahps[HCAHPS Linear Mean Value]), "No Match")</f>
        <v>No Match</v>
      </c>
      <c r="F1061" t="str" cm="1">
        <f t="array" ref="F1061">_xlfn.IFNA(_xlfn.XLOOKUP(1,([1]!readmissions[Facility ID] = clean[[#This Row],[Facility ID]]) * ([1]!readmissions[Measure ID] = "Hybrid_HWR"), [1]!readmissions[Score]), "No Match")</f>
        <v>No Match</v>
      </c>
    </row>
    <row r="1062" spans="1:6" x14ac:dyDescent="0.2">
      <c r="A1062">
        <f>[1]!hospitalinfo[[#This Row],[Facility ID]]</f>
        <v>104075</v>
      </c>
      <c r="B1062" t="str">
        <f>[1]!hospitalinfo[[#This Row],[State]]</f>
        <v>FL</v>
      </c>
      <c r="C1062" t="str">
        <f>[1]!hospitalinfo[[#This Row],[Hospital Type]]</f>
        <v>Psychiatric</v>
      </c>
      <c r="D1062" t="str">
        <f>[1]!hospitalinfo[[#This Row],[Hospital Ownership]]</f>
        <v>Proprietary</v>
      </c>
      <c r="E1062" t="str" cm="1">
        <f t="array" ref="E1062">_xlfn.IFNA(_xlfn.XLOOKUP(1,([1]!hcahps[Facility ID] = clean[[#This Row],[Facility ID]]) * ([1]!hcahps[HCAHPS Measure ID] = "H_HSP_RATING_LINEAR_SCORE"), [1]!hcahps[HCAHPS Linear Mean Value]), "No Match")</f>
        <v>No Match</v>
      </c>
      <c r="F1062" t="str" cm="1">
        <f t="array" ref="F1062">_xlfn.IFNA(_xlfn.XLOOKUP(1,([1]!readmissions[Facility ID] = clean[[#This Row],[Facility ID]]) * ([1]!readmissions[Measure ID] = "Hybrid_HWR"), [1]!readmissions[Score]), "No Match")</f>
        <v>No Match</v>
      </c>
    </row>
    <row r="1063" spans="1:6" x14ac:dyDescent="0.2">
      <c r="A1063">
        <f>[1]!hospitalinfo[[#This Row],[Facility ID]]</f>
        <v>104076</v>
      </c>
      <c r="B1063" t="str">
        <f>[1]!hospitalinfo[[#This Row],[State]]</f>
        <v>FL</v>
      </c>
      <c r="C1063" t="str">
        <f>[1]!hospitalinfo[[#This Row],[Hospital Type]]</f>
        <v>Psychiatric</v>
      </c>
      <c r="D1063" t="str">
        <f>[1]!hospitalinfo[[#This Row],[Hospital Ownership]]</f>
        <v>Voluntary non-profit - Private</v>
      </c>
      <c r="E1063" t="str" cm="1">
        <f t="array" ref="E1063">_xlfn.IFNA(_xlfn.XLOOKUP(1,([1]!hcahps[Facility ID] = clean[[#This Row],[Facility ID]]) * ([1]!hcahps[HCAHPS Measure ID] = "H_HSP_RATING_LINEAR_SCORE"), [1]!hcahps[HCAHPS Linear Mean Value]), "No Match")</f>
        <v>No Match</v>
      </c>
      <c r="F1063" t="str" cm="1">
        <f t="array" ref="F1063">_xlfn.IFNA(_xlfn.XLOOKUP(1,([1]!readmissions[Facility ID] = clean[[#This Row],[Facility ID]]) * ([1]!readmissions[Measure ID] = "Hybrid_HWR"), [1]!readmissions[Score]), "No Match")</f>
        <v>No Match</v>
      </c>
    </row>
    <row r="1064" spans="1:6" x14ac:dyDescent="0.2">
      <c r="A1064">
        <f>[1]!hospitalinfo[[#This Row],[Facility ID]]</f>
        <v>104078</v>
      </c>
      <c r="B1064" t="str">
        <f>[1]!hospitalinfo[[#This Row],[State]]</f>
        <v>FL</v>
      </c>
      <c r="C1064" t="str">
        <f>[1]!hospitalinfo[[#This Row],[Hospital Type]]</f>
        <v>Psychiatric</v>
      </c>
      <c r="D1064" t="str">
        <f>[1]!hospitalinfo[[#This Row],[Hospital Ownership]]</f>
        <v>Proprietary</v>
      </c>
      <c r="E1064" t="str" cm="1">
        <f t="array" ref="E1064">_xlfn.IFNA(_xlfn.XLOOKUP(1,([1]!hcahps[Facility ID] = clean[[#This Row],[Facility ID]]) * ([1]!hcahps[HCAHPS Measure ID] = "H_HSP_RATING_LINEAR_SCORE"), [1]!hcahps[HCAHPS Linear Mean Value]), "No Match")</f>
        <v>No Match</v>
      </c>
      <c r="F1064" t="str" cm="1">
        <f t="array" ref="F1064">_xlfn.IFNA(_xlfn.XLOOKUP(1,([1]!readmissions[Facility ID] = clean[[#This Row],[Facility ID]]) * ([1]!readmissions[Measure ID] = "Hybrid_HWR"), [1]!readmissions[Score]), "No Match")</f>
        <v>No Match</v>
      </c>
    </row>
    <row r="1065" spans="1:6" x14ac:dyDescent="0.2">
      <c r="A1065">
        <f>[1]!hospitalinfo[[#This Row],[Facility ID]]</f>
        <v>104079</v>
      </c>
      <c r="B1065" t="str">
        <f>[1]!hospitalinfo[[#This Row],[State]]</f>
        <v>FL</v>
      </c>
      <c r="C1065" t="str">
        <f>[1]!hospitalinfo[[#This Row],[Hospital Type]]</f>
        <v>Psychiatric</v>
      </c>
      <c r="D1065" t="str">
        <f>[1]!hospitalinfo[[#This Row],[Hospital Ownership]]</f>
        <v>Proprietary</v>
      </c>
      <c r="E1065" t="str" cm="1">
        <f t="array" ref="E1065">_xlfn.IFNA(_xlfn.XLOOKUP(1,([1]!hcahps[Facility ID] = clean[[#This Row],[Facility ID]]) * ([1]!hcahps[HCAHPS Measure ID] = "H_HSP_RATING_LINEAR_SCORE"), [1]!hcahps[HCAHPS Linear Mean Value]), "No Match")</f>
        <v>No Match</v>
      </c>
      <c r="F1065" t="str" cm="1">
        <f t="array" ref="F1065">_xlfn.IFNA(_xlfn.XLOOKUP(1,([1]!readmissions[Facility ID] = clean[[#This Row],[Facility ID]]) * ([1]!readmissions[Measure ID] = "Hybrid_HWR"), [1]!readmissions[Score]), "No Match")</f>
        <v>No Match</v>
      </c>
    </row>
    <row r="1066" spans="1:6" x14ac:dyDescent="0.2">
      <c r="A1066">
        <f>[1]!hospitalinfo[[#This Row],[Facility ID]]</f>
        <v>104080</v>
      </c>
      <c r="B1066" t="str">
        <f>[1]!hospitalinfo[[#This Row],[State]]</f>
        <v>FL</v>
      </c>
      <c r="C1066" t="str">
        <f>[1]!hospitalinfo[[#This Row],[Hospital Type]]</f>
        <v>Psychiatric</v>
      </c>
      <c r="D1066" t="str">
        <f>[1]!hospitalinfo[[#This Row],[Hospital Ownership]]</f>
        <v>Voluntary non-profit - Other</v>
      </c>
      <c r="E1066" t="str" cm="1">
        <f t="array" ref="E1066">_xlfn.IFNA(_xlfn.XLOOKUP(1,([1]!hcahps[Facility ID] = clean[[#This Row],[Facility ID]]) * ([1]!hcahps[HCAHPS Measure ID] = "H_HSP_RATING_LINEAR_SCORE"), [1]!hcahps[HCAHPS Linear Mean Value]), "No Match")</f>
        <v>No Match</v>
      </c>
      <c r="F1066" t="str" cm="1">
        <f t="array" ref="F1066">_xlfn.IFNA(_xlfn.XLOOKUP(1,([1]!readmissions[Facility ID] = clean[[#This Row],[Facility ID]]) * ([1]!readmissions[Measure ID] = "Hybrid_HWR"), [1]!readmissions[Score]), "No Match")</f>
        <v>No Match</v>
      </c>
    </row>
    <row r="1067" spans="1:6" x14ac:dyDescent="0.2">
      <c r="A1067">
        <f>[1]!hospitalinfo[[#This Row],[Facility ID]]</f>
        <v>104081</v>
      </c>
      <c r="B1067" t="str">
        <f>[1]!hospitalinfo[[#This Row],[State]]</f>
        <v>FL</v>
      </c>
      <c r="C1067" t="str">
        <f>[1]!hospitalinfo[[#This Row],[Hospital Type]]</f>
        <v>Psychiatric</v>
      </c>
      <c r="D1067" t="str">
        <f>[1]!hospitalinfo[[#This Row],[Hospital Ownership]]</f>
        <v>Voluntary non-profit - Private</v>
      </c>
      <c r="E1067" t="str" cm="1">
        <f t="array" ref="E1067">_xlfn.IFNA(_xlfn.XLOOKUP(1,([1]!hcahps[Facility ID] = clean[[#This Row],[Facility ID]]) * ([1]!hcahps[HCAHPS Measure ID] = "H_HSP_RATING_LINEAR_SCORE"), [1]!hcahps[HCAHPS Linear Mean Value]), "No Match")</f>
        <v>No Match</v>
      </c>
      <c r="F1067" t="str" cm="1">
        <f t="array" ref="F1067">_xlfn.IFNA(_xlfn.XLOOKUP(1,([1]!readmissions[Facility ID] = clean[[#This Row],[Facility ID]]) * ([1]!readmissions[Measure ID] = "Hybrid_HWR"), [1]!readmissions[Score]), "No Match")</f>
        <v>No Match</v>
      </c>
    </row>
    <row r="1068" spans="1:6" x14ac:dyDescent="0.2">
      <c r="A1068">
        <f>[1]!hospitalinfo[[#This Row],[Facility ID]]</f>
        <v>104082</v>
      </c>
      <c r="B1068" t="str">
        <f>[1]!hospitalinfo[[#This Row],[State]]</f>
        <v>FL</v>
      </c>
      <c r="C1068" t="str">
        <f>[1]!hospitalinfo[[#This Row],[Hospital Type]]</f>
        <v>Psychiatric</v>
      </c>
      <c r="D1068" t="str">
        <f>[1]!hospitalinfo[[#This Row],[Hospital Ownership]]</f>
        <v>Proprietary</v>
      </c>
      <c r="E1068" t="str" cm="1">
        <f t="array" ref="E1068">_xlfn.IFNA(_xlfn.XLOOKUP(1,([1]!hcahps[Facility ID] = clean[[#This Row],[Facility ID]]) * ([1]!hcahps[HCAHPS Measure ID] = "H_HSP_RATING_LINEAR_SCORE"), [1]!hcahps[HCAHPS Linear Mean Value]), "No Match")</f>
        <v>No Match</v>
      </c>
      <c r="F1068" t="str" cm="1">
        <f t="array" ref="F1068">_xlfn.IFNA(_xlfn.XLOOKUP(1,([1]!readmissions[Facility ID] = clean[[#This Row],[Facility ID]]) * ([1]!readmissions[Measure ID] = "Hybrid_HWR"), [1]!readmissions[Score]), "No Match")</f>
        <v>No Match</v>
      </c>
    </row>
    <row r="1069" spans="1:6" x14ac:dyDescent="0.2">
      <c r="A1069">
        <f>[1]!hospitalinfo[[#This Row],[Facility ID]]</f>
        <v>104084</v>
      </c>
      <c r="B1069" t="str">
        <f>[1]!hospitalinfo[[#This Row],[State]]</f>
        <v>FL</v>
      </c>
      <c r="C1069" t="str">
        <f>[1]!hospitalinfo[[#This Row],[Hospital Type]]</f>
        <v>Psychiatric</v>
      </c>
      <c r="D1069" t="str">
        <f>[1]!hospitalinfo[[#This Row],[Hospital Ownership]]</f>
        <v>Voluntary non-profit - Private</v>
      </c>
      <c r="E1069" t="str" cm="1">
        <f t="array" ref="E1069">_xlfn.IFNA(_xlfn.XLOOKUP(1,([1]!hcahps[Facility ID] = clean[[#This Row],[Facility ID]]) * ([1]!hcahps[HCAHPS Measure ID] = "H_HSP_RATING_LINEAR_SCORE"), [1]!hcahps[HCAHPS Linear Mean Value]), "No Match")</f>
        <v>No Match</v>
      </c>
      <c r="F1069" t="str" cm="1">
        <f t="array" ref="F1069">_xlfn.IFNA(_xlfn.XLOOKUP(1,([1]!readmissions[Facility ID] = clean[[#This Row],[Facility ID]]) * ([1]!readmissions[Measure ID] = "Hybrid_HWR"), [1]!readmissions[Score]), "No Match")</f>
        <v>No Match</v>
      </c>
    </row>
    <row r="1070" spans="1:6" x14ac:dyDescent="0.2">
      <c r="A1070">
        <f>[1]!hospitalinfo[[#This Row],[Facility ID]]</f>
        <v>104085</v>
      </c>
      <c r="B1070" t="str">
        <f>[1]!hospitalinfo[[#This Row],[State]]</f>
        <v>FL</v>
      </c>
      <c r="C1070" t="str">
        <f>[1]!hospitalinfo[[#This Row],[Hospital Type]]</f>
        <v>Psychiatric</v>
      </c>
      <c r="D1070" t="str">
        <f>[1]!hospitalinfo[[#This Row],[Hospital Ownership]]</f>
        <v>Voluntary non-profit - Private</v>
      </c>
      <c r="E1070" t="str" cm="1">
        <f t="array" ref="E1070">_xlfn.IFNA(_xlfn.XLOOKUP(1,([1]!hcahps[Facility ID] = clean[[#This Row],[Facility ID]]) * ([1]!hcahps[HCAHPS Measure ID] = "H_HSP_RATING_LINEAR_SCORE"), [1]!hcahps[HCAHPS Linear Mean Value]), "No Match")</f>
        <v>No Match</v>
      </c>
      <c r="F1070" t="str" cm="1">
        <f t="array" ref="F1070">_xlfn.IFNA(_xlfn.XLOOKUP(1,([1]!readmissions[Facility ID] = clean[[#This Row],[Facility ID]]) * ([1]!readmissions[Measure ID] = "Hybrid_HWR"), [1]!readmissions[Score]), "No Match")</f>
        <v>No Match</v>
      </c>
    </row>
    <row r="1071" spans="1:6" x14ac:dyDescent="0.2">
      <c r="A1071">
        <f>[1]!hospitalinfo[[#This Row],[Facility ID]]</f>
        <v>104087</v>
      </c>
      <c r="B1071" t="str">
        <f>[1]!hospitalinfo[[#This Row],[State]]</f>
        <v>FL</v>
      </c>
      <c r="C1071" t="str">
        <f>[1]!hospitalinfo[[#This Row],[Hospital Type]]</f>
        <v>Psychiatric</v>
      </c>
      <c r="D1071" t="str">
        <f>[1]!hospitalinfo[[#This Row],[Hospital Ownership]]</f>
        <v>Proprietary</v>
      </c>
      <c r="E1071" t="str" cm="1">
        <f t="array" ref="E1071">_xlfn.IFNA(_xlfn.XLOOKUP(1,([1]!hcahps[Facility ID] = clean[[#This Row],[Facility ID]]) * ([1]!hcahps[HCAHPS Measure ID] = "H_HSP_RATING_LINEAR_SCORE"), [1]!hcahps[HCAHPS Linear Mean Value]), "No Match")</f>
        <v>No Match</v>
      </c>
      <c r="F1071" t="str" cm="1">
        <f t="array" ref="F1071">_xlfn.IFNA(_xlfn.XLOOKUP(1,([1]!readmissions[Facility ID] = clean[[#This Row],[Facility ID]]) * ([1]!readmissions[Measure ID] = "Hybrid_HWR"), [1]!readmissions[Score]), "No Match")</f>
        <v>No Match</v>
      </c>
    </row>
    <row r="1072" spans="1:6" x14ac:dyDescent="0.2">
      <c r="A1072" t="str">
        <f>[1]!hospitalinfo[[#This Row],[Facility ID]]</f>
        <v>10009F</v>
      </c>
      <c r="B1072" t="str">
        <f>[1]!hospitalinfo[[#This Row],[State]]</f>
        <v>FL</v>
      </c>
      <c r="C1072" t="str">
        <f>[1]!hospitalinfo[[#This Row],[Hospital Type]]</f>
        <v>Acute Care - Veterans Administration</v>
      </c>
      <c r="D1072" t="str">
        <f>[1]!hospitalinfo[[#This Row],[Hospital Ownership]]</f>
        <v>Veterans Health Administration</v>
      </c>
      <c r="E1072" cm="1">
        <f t="array" ref="E1072">_xlfn.IFNA(_xlfn.XLOOKUP(1,([1]!hcahps[Facility ID] = clean[[#This Row],[Facility ID]]) * ([1]!hcahps[HCAHPS Measure ID] = "H_HSP_RATING_LINEAR_SCORE"), [1]!hcahps[HCAHPS Linear Mean Value]), "No Match")</f>
        <v>91</v>
      </c>
      <c r="F1072" cm="1">
        <f t="array" ref="F1072">_xlfn.IFNA(_xlfn.XLOOKUP(1,([1]!readmissions[Facility ID] = clean[[#This Row],[Facility ID]]) * ([1]!readmissions[Measure ID] = "Hybrid_HWR"), [1]!readmissions[Score]), "No Match")</f>
        <v>16.3</v>
      </c>
    </row>
    <row r="1073" spans="1:6" x14ac:dyDescent="0.2">
      <c r="A1073" t="str">
        <f>[1]!hospitalinfo[[#This Row],[Facility ID]]</f>
        <v>10013F</v>
      </c>
      <c r="B1073" t="str">
        <f>[1]!hospitalinfo[[#This Row],[State]]</f>
        <v>FL</v>
      </c>
      <c r="C1073" t="str">
        <f>[1]!hospitalinfo[[#This Row],[Hospital Type]]</f>
        <v>Acute Care - Department of Defense</v>
      </c>
      <c r="D1073" t="str">
        <f>[1]!hospitalinfo[[#This Row],[Hospital Ownership]]</f>
        <v>Department of Defense</v>
      </c>
      <c r="E1073" cm="1">
        <f t="array" ref="E1073">_xlfn.IFNA(_xlfn.XLOOKUP(1,([1]!hcahps[Facility ID] = clean[[#This Row],[Facility ID]]) * ([1]!hcahps[HCAHPS Measure ID] = "H_HSP_RATING_LINEAR_SCORE"), [1]!hcahps[HCAHPS Linear Mean Value]), "No Match")</f>
        <v>88</v>
      </c>
      <c r="F1073" t="str" cm="1">
        <f t="array" ref="F1073">_xlfn.IFNA(_xlfn.XLOOKUP(1,([1]!readmissions[Facility ID] = clean[[#This Row],[Facility ID]]) * ([1]!readmissions[Measure ID] = "Hybrid_HWR"), [1]!readmissions[Score]), "No Match")</f>
        <v>Not Available</v>
      </c>
    </row>
    <row r="1074" spans="1:6" x14ac:dyDescent="0.2">
      <c r="A1074" t="str">
        <f>[1]!hospitalinfo[[#This Row],[Facility ID]]</f>
        <v>10015F</v>
      </c>
      <c r="B1074" t="str">
        <f>[1]!hospitalinfo[[#This Row],[State]]</f>
        <v>FL</v>
      </c>
      <c r="C1074" t="str">
        <f>[1]!hospitalinfo[[#This Row],[Hospital Type]]</f>
        <v>Acute Care - Veterans Administration</v>
      </c>
      <c r="D1074" t="str">
        <f>[1]!hospitalinfo[[#This Row],[Hospital Ownership]]</f>
        <v>Veterans Health Administration</v>
      </c>
      <c r="E1074" t="str" cm="1">
        <f t="array" ref="E1074">_xlfn.IFNA(_xlfn.XLOOKUP(1,([1]!hcahps[Facility ID] = clean[[#This Row],[Facility ID]]) * ([1]!hcahps[HCAHPS Measure ID] = "H_HSP_RATING_LINEAR_SCORE"), [1]!hcahps[HCAHPS Linear Mean Value]), "No Match")</f>
        <v>Not Available</v>
      </c>
      <c r="F1074" cm="1">
        <f t="array" ref="F1074">_xlfn.IFNA(_xlfn.XLOOKUP(1,([1]!readmissions[Facility ID] = clean[[#This Row],[Facility ID]]) * ([1]!readmissions[Measure ID] = "Hybrid_HWR"), [1]!readmissions[Score]), "No Match")</f>
        <v>16.5</v>
      </c>
    </row>
    <row r="1075" spans="1:6" x14ac:dyDescent="0.2">
      <c r="A1075" t="str">
        <f>[1]!hospitalinfo[[#This Row],[Facility ID]]</f>
        <v>10021F</v>
      </c>
      <c r="B1075" t="str">
        <f>[1]!hospitalinfo[[#This Row],[State]]</f>
        <v>FL</v>
      </c>
      <c r="C1075" t="str">
        <f>[1]!hospitalinfo[[#This Row],[Hospital Type]]</f>
        <v>Acute Care - Department of Defense</v>
      </c>
      <c r="D1075" t="str">
        <f>[1]!hospitalinfo[[#This Row],[Hospital Ownership]]</f>
        <v>Department of Defense</v>
      </c>
      <c r="E1075" cm="1">
        <f t="array" ref="E1075">_xlfn.IFNA(_xlfn.XLOOKUP(1,([1]!hcahps[Facility ID] = clean[[#This Row],[Facility ID]]) * ([1]!hcahps[HCAHPS Measure ID] = "H_HSP_RATING_LINEAR_SCORE"), [1]!hcahps[HCAHPS Linear Mean Value]), "No Match")</f>
        <v>92</v>
      </c>
      <c r="F1075" t="str" cm="1">
        <f t="array" ref="F1075">_xlfn.IFNA(_xlfn.XLOOKUP(1,([1]!readmissions[Facility ID] = clean[[#This Row],[Facility ID]]) * ([1]!readmissions[Measure ID] = "Hybrid_HWR"), [1]!readmissions[Score]), "No Match")</f>
        <v>Not Available</v>
      </c>
    </row>
    <row r="1076" spans="1:6" x14ac:dyDescent="0.2">
      <c r="A1076" t="str">
        <f>[1]!hospitalinfo[[#This Row],[Facility ID]]</f>
        <v>10057F</v>
      </c>
      <c r="B1076" t="str">
        <f>[1]!hospitalinfo[[#This Row],[State]]</f>
        <v>FL</v>
      </c>
      <c r="C1076" t="str">
        <f>[1]!hospitalinfo[[#This Row],[Hospital Type]]</f>
        <v>Acute Care - Veterans Administration</v>
      </c>
      <c r="D1076" t="str">
        <f>[1]!hospitalinfo[[#This Row],[Hospital Ownership]]</f>
        <v>Veterans Health Administration</v>
      </c>
      <c r="E1076" cm="1">
        <f t="array" ref="E1076">_xlfn.IFNA(_xlfn.XLOOKUP(1,([1]!hcahps[Facility ID] = clean[[#This Row],[Facility ID]]) * ([1]!hcahps[HCAHPS Measure ID] = "H_HSP_RATING_LINEAR_SCORE"), [1]!hcahps[HCAHPS Linear Mean Value]), "No Match")</f>
        <v>91</v>
      </c>
      <c r="F1076" cm="1">
        <f t="array" ref="F1076">_xlfn.IFNA(_xlfn.XLOOKUP(1,([1]!readmissions[Facility ID] = clean[[#This Row],[Facility ID]]) * ([1]!readmissions[Measure ID] = "Hybrid_HWR"), [1]!readmissions[Score]), "No Match")</f>
        <v>15.1</v>
      </c>
    </row>
    <row r="1077" spans="1:6" x14ac:dyDescent="0.2">
      <c r="A1077" t="str">
        <f>[1]!hospitalinfo[[#This Row],[Facility ID]]</f>
        <v>10063F</v>
      </c>
      <c r="B1077" t="str">
        <f>[1]!hospitalinfo[[#This Row],[State]]</f>
        <v>FL</v>
      </c>
      <c r="C1077" t="str">
        <f>[1]!hospitalinfo[[#This Row],[Hospital Type]]</f>
        <v>Acute Care - Veterans Administration</v>
      </c>
      <c r="D1077" t="str">
        <f>[1]!hospitalinfo[[#This Row],[Hospital Ownership]]</f>
        <v>Veterans Health Administration</v>
      </c>
      <c r="E1077" cm="1">
        <f t="array" ref="E1077">_xlfn.IFNA(_xlfn.XLOOKUP(1,([1]!hcahps[Facility ID] = clean[[#This Row],[Facility ID]]) * ([1]!hcahps[HCAHPS Measure ID] = "H_HSP_RATING_LINEAR_SCORE"), [1]!hcahps[HCAHPS Linear Mean Value]), "No Match")</f>
        <v>91</v>
      </c>
      <c r="F1077" cm="1">
        <f t="array" ref="F1077">_xlfn.IFNA(_xlfn.XLOOKUP(1,([1]!readmissions[Facility ID] = clean[[#This Row],[Facility ID]]) * ([1]!readmissions[Measure ID] = "Hybrid_HWR"), [1]!readmissions[Score]), "No Match")</f>
        <v>15.5</v>
      </c>
    </row>
    <row r="1078" spans="1:6" x14ac:dyDescent="0.2">
      <c r="A1078" t="str">
        <f>[1]!hospitalinfo[[#This Row],[Facility ID]]</f>
        <v>10064F</v>
      </c>
      <c r="B1078" t="str">
        <f>[1]!hospitalinfo[[#This Row],[State]]</f>
        <v>FL</v>
      </c>
      <c r="C1078" t="str">
        <f>[1]!hospitalinfo[[#This Row],[Hospital Type]]</f>
        <v>Acute Care - Veterans Administration</v>
      </c>
      <c r="D1078" t="str">
        <f>[1]!hospitalinfo[[#This Row],[Hospital Ownership]]</f>
        <v>Veterans Health Administration</v>
      </c>
      <c r="E1078" cm="1">
        <f t="array" ref="E1078">_xlfn.IFNA(_xlfn.XLOOKUP(1,([1]!hcahps[Facility ID] = clean[[#This Row],[Facility ID]]) * ([1]!hcahps[HCAHPS Measure ID] = "H_HSP_RATING_LINEAR_SCORE"), [1]!hcahps[HCAHPS Linear Mean Value]), "No Match")</f>
        <v>89</v>
      </c>
      <c r="F1078" cm="1">
        <f t="array" ref="F1078">_xlfn.IFNA(_xlfn.XLOOKUP(1,([1]!readmissions[Facility ID] = clean[[#This Row],[Facility ID]]) * ([1]!readmissions[Measure ID] = "Hybrid_HWR"), [1]!readmissions[Score]), "No Match")</f>
        <v>14.7</v>
      </c>
    </row>
    <row r="1079" spans="1:6" x14ac:dyDescent="0.2">
      <c r="A1079" t="str">
        <f>[1]!hospitalinfo[[#This Row],[Facility ID]]</f>
        <v>10065F</v>
      </c>
      <c r="B1079" t="str">
        <f>[1]!hospitalinfo[[#This Row],[State]]</f>
        <v>FL</v>
      </c>
      <c r="C1079" t="str">
        <f>[1]!hospitalinfo[[#This Row],[Hospital Type]]</f>
        <v>Acute Care - Veterans Administration</v>
      </c>
      <c r="D1079" t="str">
        <f>[1]!hospitalinfo[[#This Row],[Hospital Ownership]]</f>
        <v>Veterans Health Administration</v>
      </c>
      <c r="E1079" cm="1">
        <f t="array" ref="E1079">_xlfn.IFNA(_xlfn.XLOOKUP(1,([1]!hcahps[Facility ID] = clean[[#This Row],[Facility ID]]) * ([1]!hcahps[HCAHPS Measure ID] = "H_HSP_RATING_LINEAR_SCORE"), [1]!hcahps[HCAHPS Linear Mean Value]), "No Match")</f>
        <v>89</v>
      </c>
      <c r="F1079" cm="1">
        <f t="array" ref="F1079">_xlfn.IFNA(_xlfn.XLOOKUP(1,([1]!readmissions[Facility ID] = clean[[#This Row],[Facility ID]]) * ([1]!readmissions[Measure ID] = "Hybrid_HWR"), [1]!readmissions[Score]), "No Match")</f>
        <v>15.2</v>
      </c>
    </row>
    <row r="1080" spans="1:6" x14ac:dyDescent="0.2">
      <c r="A1080" t="str">
        <f>[1]!hospitalinfo[[#This Row],[Facility ID]]</f>
        <v>10099F</v>
      </c>
      <c r="B1080" t="str">
        <f>[1]!hospitalinfo[[#This Row],[State]]</f>
        <v>FL</v>
      </c>
      <c r="C1080" t="str">
        <f>[1]!hospitalinfo[[#This Row],[Hospital Type]]</f>
        <v>Acute Care - Veterans Administration</v>
      </c>
      <c r="D1080" t="str">
        <f>[1]!hospitalinfo[[#This Row],[Hospital Ownership]]</f>
        <v>Veterans Health Administration</v>
      </c>
      <c r="E1080" cm="1">
        <f t="array" ref="E1080">_xlfn.IFNA(_xlfn.XLOOKUP(1,([1]!hcahps[Facility ID] = clean[[#This Row],[Facility ID]]) * ([1]!hcahps[HCAHPS Measure ID] = "H_HSP_RATING_LINEAR_SCORE"), [1]!hcahps[HCAHPS Linear Mean Value]), "No Match")</f>
        <v>92</v>
      </c>
      <c r="F1080" cm="1">
        <f t="array" ref="F1080">_xlfn.IFNA(_xlfn.XLOOKUP(1,([1]!readmissions[Facility ID] = clean[[#This Row],[Facility ID]]) * ([1]!readmissions[Measure ID] = "Hybrid_HWR"), [1]!readmissions[Score]), "No Match")</f>
        <v>15.7</v>
      </c>
    </row>
    <row r="1081" spans="1:6" x14ac:dyDescent="0.2">
      <c r="A1081">
        <f>[1]!hospitalinfo[[#This Row],[Facility ID]]</f>
        <v>110001</v>
      </c>
      <c r="B1081" t="str">
        <f>[1]!hospitalinfo[[#This Row],[State]]</f>
        <v>GA</v>
      </c>
      <c r="C1081" t="str">
        <f>[1]!hospitalinfo[[#This Row],[Hospital Type]]</f>
        <v>Acute Care Hospitals</v>
      </c>
      <c r="D1081" t="str">
        <f>[1]!hospitalinfo[[#This Row],[Hospital Ownership]]</f>
        <v>Voluntary non-profit - Private</v>
      </c>
      <c r="E1081" cm="1">
        <f t="array" ref="E1081">_xlfn.IFNA(_xlfn.XLOOKUP(1,([1]!hcahps[Facility ID] = clean[[#This Row],[Facility ID]]) * ([1]!hcahps[HCAHPS Measure ID] = "H_HSP_RATING_LINEAR_SCORE"), [1]!hcahps[HCAHPS Linear Mean Value]), "No Match")</f>
        <v>87</v>
      </c>
      <c r="F1081" cm="1">
        <f t="array" ref="F1081">_xlfn.IFNA(_xlfn.XLOOKUP(1,([1]!readmissions[Facility ID] = clean[[#This Row],[Facility ID]]) * ([1]!readmissions[Measure ID] = "Hybrid_HWR"), [1]!readmissions[Score]), "No Match")</f>
        <v>15.3</v>
      </c>
    </row>
    <row r="1082" spans="1:6" x14ac:dyDescent="0.2">
      <c r="A1082">
        <f>[1]!hospitalinfo[[#This Row],[Facility ID]]</f>
        <v>110002</v>
      </c>
      <c r="B1082" t="str">
        <f>[1]!hospitalinfo[[#This Row],[State]]</f>
        <v>GA</v>
      </c>
      <c r="C1082" t="str">
        <f>[1]!hospitalinfo[[#This Row],[Hospital Type]]</f>
        <v>Acute Care Hospitals</v>
      </c>
      <c r="D1082" t="str">
        <f>[1]!hospitalinfo[[#This Row],[Hospital Ownership]]</f>
        <v>Voluntary non-profit - Other</v>
      </c>
      <c r="E1082" cm="1">
        <f t="array" ref="E1082">_xlfn.IFNA(_xlfn.XLOOKUP(1,([1]!hcahps[Facility ID] = clean[[#This Row],[Facility ID]]) * ([1]!hcahps[HCAHPS Measure ID] = "H_HSP_RATING_LINEAR_SCORE"), [1]!hcahps[HCAHPS Linear Mean Value]), "No Match")</f>
        <v>92</v>
      </c>
      <c r="F1082" cm="1">
        <f t="array" ref="F1082">_xlfn.IFNA(_xlfn.XLOOKUP(1,([1]!readmissions[Facility ID] = clean[[#This Row],[Facility ID]]) * ([1]!readmissions[Measure ID] = "Hybrid_HWR"), [1]!readmissions[Score]), "No Match")</f>
        <v>16.399999999999999</v>
      </c>
    </row>
    <row r="1083" spans="1:6" x14ac:dyDescent="0.2">
      <c r="A1083">
        <f>[1]!hospitalinfo[[#This Row],[Facility ID]]</f>
        <v>110003</v>
      </c>
      <c r="B1083" t="str">
        <f>[1]!hospitalinfo[[#This Row],[State]]</f>
        <v>GA</v>
      </c>
      <c r="C1083" t="str">
        <f>[1]!hospitalinfo[[#This Row],[Hospital Type]]</f>
        <v>Acute Care Hospitals</v>
      </c>
      <c r="D1083" t="str">
        <f>[1]!hospitalinfo[[#This Row],[Hospital Ownership]]</f>
        <v>Voluntary non-profit - Private</v>
      </c>
      <c r="E1083" cm="1">
        <f t="array" ref="E1083">_xlfn.IFNA(_xlfn.XLOOKUP(1,([1]!hcahps[Facility ID] = clean[[#This Row],[Facility ID]]) * ([1]!hcahps[HCAHPS Measure ID] = "H_HSP_RATING_LINEAR_SCORE"), [1]!hcahps[HCAHPS Linear Mean Value]), "No Match")</f>
        <v>89</v>
      </c>
      <c r="F1083" cm="1">
        <f t="array" ref="F1083">_xlfn.IFNA(_xlfn.XLOOKUP(1,([1]!readmissions[Facility ID] = clean[[#This Row],[Facility ID]]) * ([1]!readmissions[Measure ID] = "Hybrid_HWR"), [1]!readmissions[Score]), "No Match")</f>
        <v>16.7</v>
      </c>
    </row>
    <row r="1084" spans="1:6" x14ac:dyDescent="0.2">
      <c r="A1084">
        <f>[1]!hospitalinfo[[#This Row],[Facility ID]]</f>
        <v>110005</v>
      </c>
      <c r="B1084" t="str">
        <f>[1]!hospitalinfo[[#This Row],[State]]</f>
        <v>GA</v>
      </c>
      <c r="C1084" t="str">
        <f>[1]!hospitalinfo[[#This Row],[Hospital Type]]</f>
        <v>Acute Care Hospitals</v>
      </c>
      <c r="D1084" t="str">
        <f>[1]!hospitalinfo[[#This Row],[Hospital Ownership]]</f>
        <v>Voluntary non-profit - Private</v>
      </c>
      <c r="E1084" cm="1">
        <f t="array" ref="E1084">_xlfn.IFNA(_xlfn.XLOOKUP(1,([1]!hcahps[Facility ID] = clean[[#This Row],[Facility ID]]) * ([1]!hcahps[HCAHPS Measure ID] = "H_HSP_RATING_LINEAR_SCORE"), [1]!hcahps[HCAHPS Linear Mean Value]), "No Match")</f>
        <v>91</v>
      </c>
      <c r="F1084" cm="1">
        <f t="array" ref="F1084">_xlfn.IFNA(_xlfn.XLOOKUP(1,([1]!readmissions[Facility ID] = clean[[#This Row],[Facility ID]]) * ([1]!readmissions[Measure ID] = "Hybrid_HWR"), [1]!readmissions[Score]), "No Match")</f>
        <v>14.3</v>
      </c>
    </row>
    <row r="1085" spans="1:6" x14ac:dyDescent="0.2">
      <c r="A1085">
        <f>[1]!hospitalinfo[[#This Row],[Facility ID]]</f>
        <v>110006</v>
      </c>
      <c r="B1085" t="str">
        <f>[1]!hospitalinfo[[#This Row],[State]]</f>
        <v>GA</v>
      </c>
      <c r="C1085" t="str">
        <f>[1]!hospitalinfo[[#This Row],[Hospital Type]]</f>
        <v>Acute Care Hospitals</v>
      </c>
      <c r="D1085" t="str">
        <f>[1]!hospitalinfo[[#This Row],[Hospital Ownership]]</f>
        <v>Voluntary non-profit - Private</v>
      </c>
      <c r="E1085" cm="1">
        <f t="array" ref="E1085">_xlfn.IFNA(_xlfn.XLOOKUP(1,([1]!hcahps[Facility ID] = clean[[#This Row],[Facility ID]]) * ([1]!hcahps[HCAHPS Measure ID] = "H_HSP_RATING_LINEAR_SCORE"), [1]!hcahps[HCAHPS Linear Mean Value]), "No Match")</f>
        <v>87</v>
      </c>
      <c r="F1085" cm="1">
        <f t="array" ref="F1085">_xlfn.IFNA(_xlfn.XLOOKUP(1,([1]!readmissions[Facility ID] = clean[[#This Row],[Facility ID]]) * ([1]!readmissions[Measure ID] = "Hybrid_HWR"), [1]!readmissions[Score]), "No Match")</f>
        <v>14.9</v>
      </c>
    </row>
    <row r="1086" spans="1:6" x14ac:dyDescent="0.2">
      <c r="A1086">
        <f>[1]!hospitalinfo[[#This Row],[Facility ID]]</f>
        <v>110007</v>
      </c>
      <c r="B1086" t="str">
        <f>[1]!hospitalinfo[[#This Row],[State]]</f>
        <v>GA</v>
      </c>
      <c r="C1086" t="str">
        <f>[1]!hospitalinfo[[#This Row],[Hospital Type]]</f>
        <v>Acute Care Hospitals</v>
      </c>
      <c r="D1086" t="str">
        <f>[1]!hospitalinfo[[#This Row],[Hospital Ownership]]</f>
        <v>Government - Hospital District or Authority</v>
      </c>
      <c r="E1086" cm="1">
        <f t="array" ref="E1086">_xlfn.IFNA(_xlfn.XLOOKUP(1,([1]!hcahps[Facility ID] = clean[[#This Row],[Facility ID]]) * ([1]!hcahps[HCAHPS Measure ID] = "H_HSP_RATING_LINEAR_SCORE"), [1]!hcahps[HCAHPS Linear Mean Value]), "No Match")</f>
        <v>83</v>
      </c>
      <c r="F1086" cm="1">
        <f t="array" ref="F1086">_xlfn.IFNA(_xlfn.XLOOKUP(1,([1]!readmissions[Facility ID] = clean[[#This Row],[Facility ID]]) * ([1]!readmissions[Measure ID] = "Hybrid_HWR"), [1]!readmissions[Score]), "No Match")</f>
        <v>16</v>
      </c>
    </row>
    <row r="1087" spans="1:6" x14ac:dyDescent="0.2">
      <c r="A1087">
        <f>[1]!hospitalinfo[[#This Row],[Facility ID]]</f>
        <v>110008</v>
      </c>
      <c r="B1087" t="str">
        <f>[1]!hospitalinfo[[#This Row],[State]]</f>
        <v>GA</v>
      </c>
      <c r="C1087" t="str">
        <f>[1]!hospitalinfo[[#This Row],[Hospital Type]]</f>
        <v>Acute Care Hospitals</v>
      </c>
      <c r="D1087" t="str">
        <f>[1]!hospitalinfo[[#This Row],[Hospital Ownership]]</f>
        <v>Voluntary non-profit - Other</v>
      </c>
      <c r="E1087" cm="1">
        <f t="array" ref="E1087">_xlfn.IFNA(_xlfn.XLOOKUP(1,([1]!hcahps[Facility ID] = clean[[#This Row],[Facility ID]]) * ([1]!hcahps[HCAHPS Measure ID] = "H_HSP_RATING_LINEAR_SCORE"), [1]!hcahps[HCAHPS Linear Mean Value]), "No Match")</f>
        <v>94</v>
      </c>
      <c r="F1087" cm="1">
        <f t="array" ref="F1087">_xlfn.IFNA(_xlfn.XLOOKUP(1,([1]!readmissions[Facility ID] = clean[[#This Row],[Facility ID]]) * ([1]!readmissions[Measure ID] = "Hybrid_HWR"), [1]!readmissions[Score]), "No Match")</f>
        <v>14.8</v>
      </c>
    </row>
    <row r="1088" spans="1:6" x14ac:dyDescent="0.2">
      <c r="A1088">
        <f>[1]!hospitalinfo[[#This Row],[Facility ID]]</f>
        <v>110010</v>
      </c>
      <c r="B1088" t="str">
        <f>[1]!hospitalinfo[[#This Row],[State]]</f>
        <v>GA</v>
      </c>
      <c r="C1088" t="str">
        <f>[1]!hospitalinfo[[#This Row],[Hospital Type]]</f>
        <v>Acute Care Hospitals</v>
      </c>
      <c r="D1088" t="str">
        <f>[1]!hospitalinfo[[#This Row],[Hospital Ownership]]</f>
        <v>Voluntary non-profit - Private</v>
      </c>
      <c r="E1088" cm="1">
        <f t="array" ref="E1088">_xlfn.IFNA(_xlfn.XLOOKUP(1,([1]!hcahps[Facility ID] = clean[[#This Row],[Facility ID]]) * ([1]!hcahps[HCAHPS Measure ID] = "H_HSP_RATING_LINEAR_SCORE"), [1]!hcahps[HCAHPS Linear Mean Value]), "No Match")</f>
        <v>91</v>
      </c>
      <c r="F1088" cm="1">
        <f t="array" ref="F1088">_xlfn.IFNA(_xlfn.XLOOKUP(1,([1]!readmissions[Facility ID] = clean[[#This Row],[Facility ID]]) * ([1]!readmissions[Measure ID] = "Hybrid_HWR"), [1]!readmissions[Score]), "No Match")</f>
        <v>14.4</v>
      </c>
    </row>
    <row r="1089" spans="1:6" x14ac:dyDescent="0.2">
      <c r="A1089">
        <f>[1]!hospitalinfo[[#This Row],[Facility ID]]</f>
        <v>110011</v>
      </c>
      <c r="B1089" t="str">
        <f>[1]!hospitalinfo[[#This Row],[State]]</f>
        <v>GA</v>
      </c>
      <c r="C1089" t="str">
        <f>[1]!hospitalinfo[[#This Row],[Hospital Type]]</f>
        <v>Acute Care Hospitals</v>
      </c>
      <c r="D1089" t="str">
        <f>[1]!hospitalinfo[[#This Row],[Hospital Ownership]]</f>
        <v>Government - Hospital District or Authority</v>
      </c>
      <c r="E1089" cm="1">
        <f t="array" ref="E1089">_xlfn.IFNA(_xlfn.XLOOKUP(1,([1]!hcahps[Facility ID] = clean[[#This Row],[Facility ID]]) * ([1]!hcahps[HCAHPS Measure ID] = "H_HSP_RATING_LINEAR_SCORE"), [1]!hcahps[HCAHPS Linear Mean Value]), "No Match")</f>
        <v>88</v>
      </c>
      <c r="F1089" cm="1">
        <f t="array" ref="F1089">_xlfn.IFNA(_xlfn.XLOOKUP(1,([1]!readmissions[Facility ID] = clean[[#This Row],[Facility ID]]) * ([1]!readmissions[Measure ID] = "Hybrid_HWR"), [1]!readmissions[Score]), "No Match")</f>
        <v>15.6</v>
      </c>
    </row>
    <row r="1090" spans="1:6" x14ac:dyDescent="0.2">
      <c r="A1090">
        <f>[1]!hospitalinfo[[#This Row],[Facility ID]]</f>
        <v>110015</v>
      </c>
      <c r="B1090" t="str">
        <f>[1]!hospitalinfo[[#This Row],[State]]</f>
        <v>GA</v>
      </c>
      <c r="C1090" t="str">
        <f>[1]!hospitalinfo[[#This Row],[Hospital Type]]</f>
        <v>Acute Care Hospitals</v>
      </c>
      <c r="D1090" t="str">
        <f>[1]!hospitalinfo[[#This Row],[Hospital Ownership]]</f>
        <v>Government - Hospital District or Authority</v>
      </c>
      <c r="E1090" cm="1">
        <f t="array" ref="E1090">_xlfn.IFNA(_xlfn.XLOOKUP(1,([1]!hcahps[Facility ID] = clean[[#This Row],[Facility ID]]) * ([1]!hcahps[HCAHPS Measure ID] = "H_HSP_RATING_LINEAR_SCORE"), [1]!hcahps[HCAHPS Linear Mean Value]), "No Match")</f>
        <v>90</v>
      </c>
      <c r="F1090" cm="1">
        <f t="array" ref="F1090">_xlfn.IFNA(_xlfn.XLOOKUP(1,([1]!readmissions[Facility ID] = clean[[#This Row],[Facility ID]]) * ([1]!readmissions[Measure ID] = "Hybrid_HWR"), [1]!readmissions[Score]), "No Match")</f>
        <v>15.9</v>
      </c>
    </row>
    <row r="1091" spans="1:6" x14ac:dyDescent="0.2">
      <c r="A1091">
        <f>[1]!hospitalinfo[[#This Row],[Facility ID]]</f>
        <v>110016</v>
      </c>
      <c r="B1091" t="str">
        <f>[1]!hospitalinfo[[#This Row],[State]]</f>
        <v>GA</v>
      </c>
      <c r="C1091" t="str">
        <f>[1]!hospitalinfo[[#This Row],[Hospital Type]]</f>
        <v>Acute Care Hospitals</v>
      </c>
      <c r="D1091" t="str">
        <f>[1]!hospitalinfo[[#This Row],[Hospital Ownership]]</f>
        <v>Voluntary non-profit - Private</v>
      </c>
      <c r="E1091" cm="1">
        <f t="array" ref="E1091">_xlfn.IFNA(_xlfn.XLOOKUP(1,([1]!hcahps[Facility ID] = clean[[#This Row],[Facility ID]]) * ([1]!hcahps[HCAHPS Measure ID] = "H_HSP_RATING_LINEAR_SCORE"), [1]!hcahps[HCAHPS Linear Mean Value]), "No Match")</f>
        <v>92</v>
      </c>
      <c r="F1091" cm="1">
        <f t="array" ref="F1091">_xlfn.IFNA(_xlfn.XLOOKUP(1,([1]!readmissions[Facility ID] = clean[[#This Row],[Facility ID]]) * ([1]!readmissions[Measure ID] = "Hybrid_HWR"), [1]!readmissions[Score]), "No Match")</f>
        <v>14.8</v>
      </c>
    </row>
    <row r="1092" spans="1:6" x14ac:dyDescent="0.2">
      <c r="A1092">
        <f>[1]!hospitalinfo[[#This Row],[Facility ID]]</f>
        <v>110018</v>
      </c>
      <c r="B1092" t="str">
        <f>[1]!hospitalinfo[[#This Row],[State]]</f>
        <v>GA</v>
      </c>
      <c r="C1092" t="str">
        <f>[1]!hospitalinfo[[#This Row],[Hospital Type]]</f>
        <v>Acute Care Hospitals</v>
      </c>
      <c r="D1092" t="str">
        <f>[1]!hospitalinfo[[#This Row],[Hospital Ownership]]</f>
        <v>Voluntary non-profit - Private</v>
      </c>
      <c r="E1092" cm="1">
        <f t="array" ref="E1092">_xlfn.IFNA(_xlfn.XLOOKUP(1,([1]!hcahps[Facility ID] = clean[[#This Row],[Facility ID]]) * ([1]!hcahps[HCAHPS Measure ID] = "H_HSP_RATING_LINEAR_SCORE"), [1]!hcahps[HCAHPS Linear Mean Value]), "No Match")</f>
        <v>83</v>
      </c>
      <c r="F1092" cm="1">
        <f t="array" ref="F1092">_xlfn.IFNA(_xlfn.XLOOKUP(1,([1]!readmissions[Facility ID] = clean[[#This Row],[Facility ID]]) * ([1]!readmissions[Measure ID] = "Hybrid_HWR"), [1]!readmissions[Score]), "No Match")</f>
        <v>14.8</v>
      </c>
    </row>
    <row r="1093" spans="1:6" x14ac:dyDescent="0.2">
      <c r="A1093">
        <f>[1]!hospitalinfo[[#This Row],[Facility ID]]</f>
        <v>110023</v>
      </c>
      <c r="B1093" t="str">
        <f>[1]!hospitalinfo[[#This Row],[State]]</f>
        <v>GA</v>
      </c>
      <c r="C1093" t="str">
        <f>[1]!hospitalinfo[[#This Row],[Hospital Type]]</f>
        <v>Acute Care Hospitals</v>
      </c>
      <c r="D1093" t="str">
        <f>[1]!hospitalinfo[[#This Row],[Hospital Ownership]]</f>
        <v>Voluntary non-profit - Church</v>
      </c>
      <c r="E1093" cm="1">
        <f t="array" ref="E1093">_xlfn.IFNA(_xlfn.XLOOKUP(1,([1]!hcahps[Facility ID] = clean[[#This Row],[Facility ID]]) * ([1]!hcahps[HCAHPS Measure ID] = "H_HSP_RATING_LINEAR_SCORE"), [1]!hcahps[HCAHPS Linear Mean Value]), "No Match")</f>
        <v>91</v>
      </c>
      <c r="F1093" cm="1">
        <f t="array" ref="F1093">_xlfn.IFNA(_xlfn.XLOOKUP(1,([1]!readmissions[Facility ID] = clean[[#This Row],[Facility ID]]) * ([1]!readmissions[Measure ID] = "Hybrid_HWR"), [1]!readmissions[Score]), "No Match")</f>
        <v>14.2</v>
      </c>
    </row>
    <row r="1094" spans="1:6" x14ac:dyDescent="0.2">
      <c r="A1094">
        <f>[1]!hospitalinfo[[#This Row],[Facility ID]]</f>
        <v>110024</v>
      </c>
      <c r="B1094" t="str">
        <f>[1]!hospitalinfo[[#This Row],[State]]</f>
        <v>GA</v>
      </c>
      <c r="C1094" t="str">
        <f>[1]!hospitalinfo[[#This Row],[Hospital Type]]</f>
        <v>Acute Care Hospitals</v>
      </c>
      <c r="D1094" t="str">
        <f>[1]!hospitalinfo[[#This Row],[Hospital Ownership]]</f>
        <v>Voluntary non-profit - Other</v>
      </c>
      <c r="E1094" cm="1">
        <f t="array" ref="E1094">_xlfn.IFNA(_xlfn.XLOOKUP(1,([1]!hcahps[Facility ID] = clean[[#This Row],[Facility ID]]) * ([1]!hcahps[HCAHPS Measure ID] = "H_HSP_RATING_LINEAR_SCORE"), [1]!hcahps[HCAHPS Linear Mean Value]), "No Match")</f>
        <v>86</v>
      </c>
      <c r="F1094" cm="1">
        <f t="array" ref="F1094">_xlfn.IFNA(_xlfn.XLOOKUP(1,([1]!readmissions[Facility ID] = clean[[#This Row],[Facility ID]]) * ([1]!readmissions[Measure ID] = "Hybrid_HWR"), [1]!readmissions[Score]), "No Match")</f>
        <v>14.7</v>
      </c>
    </row>
    <row r="1095" spans="1:6" x14ac:dyDescent="0.2">
      <c r="A1095">
        <f>[1]!hospitalinfo[[#This Row],[Facility ID]]</f>
        <v>110025</v>
      </c>
      <c r="B1095" t="str">
        <f>[1]!hospitalinfo[[#This Row],[State]]</f>
        <v>GA</v>
      </c>
      <c r="C1095" t="str">
        <f>[1]!hospitalinfo[[#This Row],[Hospital Type]]</f>
        <v>Acute Care Hospitals</v>
      </c>
      <c r="D1095" t="str">
        <f>[1]!hospitalinfo[[#This Row],[Hospital Ownership]]</f>
        <v>Government - Hospital District or Authority</v>
      </c>
      <c r="E1095" cm="1">
        <f t="array" ref="E1095">_xlfn.IFNA(_xlfn.XLOOKUP(1,([1]!hcahps[Facility ID] = clean[[#This Row],[Facility ID]]) * ([1]!hcahps[HCAHPS Measure ID] = "H_HSP_RATING_LINEAR_SCORE"), [1]!hcahps[HCAHPS Linear Mean Value]), "No Match")</f>
        <v>86</v>
      </c>
      <c r="F1095" cm="1">
        <f t="array" ref="F1095">_xlfn.IFNA(_xlfn.XLOOKUP(1,([1]!readmissions[Facility ID] = clean[[#This Row],[Facility ID]]) * ([1]!readmissions[Measure ID] = "Hybrid_HWR"), [1]!readmissions[Score]), "No Match")</f>
        <v>14.7</v>
      </c>
    </row>
    <row r="1096" spans="1:6" x14ac:dyDescent="0.2">
      <c r="A1096">
        <f>[1]!hospitalinfo[[#This Row],[Facility ID]]</f>
        <v>110027</v>
      </c>
      <c r="B1096" t="str">
        <f>[1]!hospitalinfo[[#This Row],[State]]</f>
        <v>GA</v>
      </c>
      <c r="C1096" t="str">
        <f>[1]!hospitalinfo[[#This Row],[Hospital Type]]</f>
        <v>Acute Care Hospitals</v>
      </c>
      <c r="D1096" t="str">
        <f>[1]!hospitalinfo[[#This Row],[Hospital Ownership]]</f>
        <v>Voluntary non-profit - Private</v>
      </c>
      <c r="E1096" cm="1">
        <f t="array" ref="E1096">_xlfn.IFNA(_xlfn.XLOOKUP(1,([1]!hcahps[Facility ID] = clean[[#This Row],[Facility ID]]) * ([1]!hcahps[HCAHPS Measure ID] = "H_HSP_RATING_LINEAR_SCORE"), [1]!hcahps[HCAHPS Linear Mean Value]), "No Match")</f>
        <v>88</v>
      </c>
      <c r="F1096" cm="1">
        <f t="array" ref="F1096">_xlfn.IFNA(_xlfn.XLOOKUP(1,([1]!readmissions[Facility ID] = clean[[#This Row],[Facility ID]]) * ([1]!readmissions[Measure ID] = "Hybrid_HWR"), [1]!readmissions[Score]), "No Match")</f>
        <v>14.7</v>
      </c>
    </row>
    <row r="1097" spans="1:6" x14ac:dyDescent="0.2">
      <c r="A1097">
        <f>[1]!hospitalinfo[[#This Row],[Facility ID]]</f>
        <v>110028</v>
      </c>
      <c r="B1097" t="str">
        <f>[1]!hospitalinfo[[#This Row],[State]]</f>
        <v>GA</v>
      </c>
      <c r="C1097" t="str">
        <f>[1]!hospitalinfo[[#This Row],[Hospital Type]]</f>
        <v>Acute Care Hospitals</v>
      </c>
      <c r="D1097" t="str">
        <f>[1]!hospitalinfo[[#This Row],[Hospital Ownership]]</f>
        <v>Government - Hospital District or Authority</v>
      </c>
      <c r="E1097" cm="1">
        <f t="array" ref="E1097">_xlfn.IFNA(_xlfn.XLOOKUP(1,([1]!hcahps[Facility ID] = clean[[#This Row],[Facility ID]]) * ([1]!hcahps[HCAHPS Measure ID] = "H_HSP_RATING_LINEAR_SCORE"), [1]!hcahps[HCAHPS Linear Mean Value]), "No Match")</f>
        <v>85</v>
      </c>
      <c r="F1097" cm="1">
        <f t="array" ref="F1097">_xlfn.IFNA(_xlfn.XLOOKUP(1,([1]!readmissions[Facility ID] = clean[[#This Row],[Facility ID]]) * ([1]!readmissions[Measure ID] = "Hybrid_HWR"), [1]!readmissions[Score]), "No Match")</f>
        <v>15</v>
      </c>
    </row>
    <row r="1098" spans="1:6" x14ac:dyDescent="0.2">
      <c r="A1098">
        <f>[1]!hospitalinfo[[#This Row],[Facility ID]]</f>
        <v>110029</v>
      </c>
      <c r="B1098" t="str">
        <f>[1]!hospitalinfo[[#This Row],[State]]</f>
        <v>GA</v>
      </c>
      <c r="C1098" t="str">
        <f>[1]!hospitalinfo[[#This Row],[Hospital Type]]</f>
        <v>Acute Care Hospitals</v>
      </c>
      <c r="D1098" t="str">
        <f>[1]!hospitalinfo[[#This Row],[Hospital Ownership]]</f>
        <v>Government - Local</v>
      </c>
      <c r="E1098" cm="1">
        <f t="array" ref="E1098">_xlfn.IFNA(_xlfn.XLOOKUP(1,([1]!hcahps[Facility ID] = clean[[#This Row],[Facility ID]]) * ([1]!hcahps[HCAHPS Measure ID] = "H_HSP_RATING_LINEAR_SCORE"), [1]!hcahps[HCAHPS Linear Mean Value]), "No Match")</f>
        <v>87</v>
      </c>
      <c r="F1098" cm="1">
        <f t="array" ref="F1098">_xlfn.IFNA(_xlfn.XLOOKUP(1,([1]!readmissions[Facility ID] = clean[[#This Row],[Facility ID]]) * ([1]!readmissions[Measure ID] = "Hybrid_HWR"), [1]!readmissions[Score]), "No Match")</f>
        <v>14.7</v>
      </c>
    </row>
    <row r="1099" spans="1:6" x14ac:dyDescent="0.2">
      <c r="A1099">
        <f>[1]!hospitalinfo[[#This Row],[Facility ID]]</f>
        <v>110030</v>
      </c>
      <c r="B1099" t="str">
        <f>[1]!hospitalinfo[[#This Row],[State]]</f>
        <v>GA</v>
      </c>
      <c r="C1099" t="str">
        <f>[1]!hospitalinfo[[#This Row],[Hospital Type]]</f>
        <v>Acute Care Hospitals</v>
      </c>
      <c r="D1099" t="str">
        <f>[1]!hospitalinfo[[#This Row],[Hospital Ownership]]</f>
        <v>Voluntary non-profit - Private</v>
      </c>
      <c r="E1099" cm="1">
        <f t="array" ref="E1099">_xlfn.IFNA(_xlfn.XLOOKUP(1,([1]!hcahps[Facility ID] = clean[[#This Row],[Facility ID]]) * ([1]!hcahps[HCAHPS Measure ID] = "H_HSP_RATING_LINEAR_SCORE"), [1]!hcahps[HCAHPS Linear Mean Value]), "No Match")</f>
        <v>87</v>
      </c>
      <c r="F1099" cm="1">
        <f t="array" ref="F1099">_xlfn.IFNA(_xlfn.XLOOKUP(1,([1]!readmissions[Facility ID] = clean[[#This Row],[Facility ID]]) * ([1]!readmissions[Measure ID] = "Hybrid_HWR"), [1]!readmissions[Score]), "No Match")</f>
        <v>15.6</v>
      </c>
    </row>
    <row r="1100" spans="1:6" x14ac:dyDescent="0.2">
      <c r="A1100">
        <f>[1]!hospitalinfo[[#This Row],[Facility ID]]</f>
        <v>110031</v>
      </c>
      <c r="B1100" t="str">
        <f>[1]!hospitalinfo[[#This Row],[State]]</f>
        <v>GA</v>
      </c>
      <c r="C1100" t="str">
        <f>[1]!hospitalinfo[[#This Row],[Hospital Type]]</f>
        <v>Acute Care Hospitals</v>
      </c>
      <c r="D1100" t="str">
        <f>[1]!hospitalinfo[[#This Row],[Hospital Ownership]]</f>
        <v>Proprietary</v>
      </c>
      <c r="E1100" cm="1">
        <f t="array" ref="E1100">_xlfn.IFNA(_xlfn.XLOOKUP(1,([1]!hcahps[Facility ID] = clean[[#This Row],[Facility ID]]) * ([1]!hcahps[HCAHPS Measure ID] = "H_HSP_RATING_LINEAR_SCORE"), [1]!hcahps[HCAHPS Linear Mean Value]), "No Match")</f>
        <v>85</v>
      </c>
      <c r="F1100" cm="1">
        <f t="array" ref="F1100">_xlfn.IFNA(_xlfn.XLOOKUP(1,([1]!readmissions[Facility ID] = clean[[#This Row],[Facility ID]]) * ([1]!readmissions[Measure ID] = "Hybrid_HWR"), [1]!readmissions[Score]), "No Match")</f>
        <v>15.4</v>
      </c>
    </row>
    <row r="1101" spans="1:6" x14ac:dyDescent="0.2">
      <c r="A1101">
        <f>[1]!hospitalinfo[[#This Row],[Facility ID]]</f>
        <v>110032</v>
      </c>
      <c r="B1101" t="str">
        <f>[1]!hospitalinfo[[#This Row],[State]]</f>
        <v>GA</v>
      </c>
      <c r="C1101" t="str">
        <f>[1]!hospitalinfo[[#This Row],[Hospital Type]]</f>
        <v>Acute Care Hospitals</v>
      </c>
      <c r="D1101" t="str">
        <f>[1]!hospitalinfo[[#This Row],[Hospital Ownership]]</f>
        <v>Government - Hospital District or Authority</v>
      </c>
      <c r="E1101" cm="1">
        <f t="array" ref="E1101">_xlfn.IFNA(_xlfn.XLOOKUP(1,([1]!hcahps[Facility ID] = clean[[#This Row],[Facility ID]]) * ([1]!hcahps[HCAHPS Measure ID] = "H_HSP_RATING_LINEAR_SCORE"), [1]!hcahps[HCAHPS Linear Mean Value]), "No Match")</f>
        <v>89</v>
      </c>
      <c r="F1101" cm="1">
        <f t="array" ref="F1101">_xlfn.IFNA(_xlfn.XLOOKUP(1,([1]!readmissions[Facility ID] = clean[[#This Row],[Facility ID]]) * ([1]!readmissions[Measure ID] = "Hybrid_HWR"), [1]!readmissions[Score]), "No Match")</f>
        <v>15.3</v>
      </c>
    </row>
    <row r="1102" spans="1:6" x14ac:dyDescent="0.2">
      <c r="A1102">
        <f>[1]!hospitalinfo[[#This Row],[Facility ID]]</f>
        <v>110034</v>
      </c>
      <c r="B1102" t="str">
        <f>[1]!hospitalinfo[[#This Row],[State]]</f>
        <v>GA</v>
      </c>
      <c r="C1102" t="str">
        <f>[1]!hospitalinfo[[#This Row],[Hospital Type]]</f>
        <v>Acute Care Hospitals</v>
      </c>
      <c r="D1102" t="str">
        <f>[1]!hospitalinfo[[#This Row],[Hospital Ownership]]</f>
        <v>Voluntary non-profit - Other</v>
      </c>
      <c r="E1102" cm="1">
        <f t="array" ref="E1102">_xlfn.IFNA(_xlfn.XLOOKUP(1,([1]!hcahps[Facility ID] = clean[[#This Row],[Facility ID]]) * ([1]!hcahps[HCAHPS Measure ID] = "H_HSP_RATING_LINEAR_SCORE"), [1]!hcahps[HCAHPS Linear Mean Value]), "No Match")</f>
        <v>84</v>
      </c>
      <c r="F1102" cm="1">
        <f t="array" ref="F1102">_xlfn.IFNA(_xlfn.XLOOKUP(1,([1]!readmissions[Facility ID] = clean[[#This Row],[Facility ID]]) * ([1]!readmissions[Measure ID] = "Hybrid_HWR"), [1]!readmissions[Score]), "No Match")</f>
        <v>15.7</v>
      </c>
    </row>
    <row r="1103" spans="1:6" x14ac:dyDescent="0.2">
      <c r="A1103">
        <f>[1]!hospitalinfo[[#This Row],[Facility ID]]</f>
        <v>110035</v>
      </c>
      <c r="B1103" t="str">
        <f>[1]!hospitalinfo[[#This Row],[State]]</f>
        <v>GA</v>
      </c>
      <c r="C1103" t="str">
        <f>[1]!hospitalinfo[[#This Row],[Hospital Type]]</f>
        <v>Acute Care Hospitals</v>
      </c>
      <c r="D1103" t="str">
        <f>[1]!hospitalinfo[[#This Row],[Hospital Ownership]]</f>
        <v>Government - Hospital District or Authority</v>
      </c>
      <c r="E1103" cm="1">
        <f t="array" ref="E1103">_xlfn.IFNA(_xlfn.XLOOKUP(1,([1]!hcahps[Facility ID] = clean[[#This Row],[Facility ID]]) * ([1]!hcahps[HCAHPS Measure ID] = "H_HSP_RATING_LINEAR_SCORE"), [1]!hcahps[HCAHPS Linear Mean Value]), "No Match")</f>
        <v>86</v>
      </c>
      <c r="F1103" cm="1">
        <f t="array" ref="F1103">_xlfn.IFNA(_xlfn.XLOOKUP(1,([1]!readmissions[Facility ID] = clean[[#This Row],[Facility ID]]) * ([1]!readmissions[Measure ID] = "Hybrid_HWR"), [1]!readmissions[Score]), "No Match")</f>
        <v>14.1</v>
      </c>
    </row>
    <row r="1104" spans="1:6" x14ac:dyDescent="0.2">
      <c r="A1104">
        <f>[1]!hospitalinfo[[#This Row],[Facility ID]]</f>
        <v>110036</v>
      </c>
      <c r="B1104" t="str">
        <f>[1]!hospitalinfo[[#This Row],[State]]</f>
        <v>GA</v>
      </c>
      <c r="C1104" t="str">
        <f>[1]!hospitalinfo[[#This Row],[Hospital Type]]</f>
        <v>Acute Care Hospitals</v>
      </c>
      <c r="D1104" t="str">
        <f>[1]!hospitalinfo[[#This Row],[Hospital Ownership]]</f>
        <v>Voluntary non-profit - Other</v>
      </c>
      <c r="E1104" cm="1">
        <f t="array" ref="E1104">_xlfn.IFNA(_xlfn.XLOOKUP(1,([1]!hcahps[Facility ID] = clean[[#This Row],[Facility ID]]) * ([1]!hcahps[HCAHPS Measure ID] = "H_HSP_RATING_LINEAR_SCORE"), [1]!hcahps[HCAHPS Linear Mean Value]), "No Match")</f>
        <v>83</v>
      </c>
      <c r="F1104" cm="1">
        <f t="array" ref="F1104">_xlfn.IFNA(_xlfn.XLOOKUP(1,([1]!readmissions[Facility ID] = clean[[#This Row],[Facility ID]]) * ([1]!readmissions[Measure ID] = "Hybrid_HWR"), [1]!readmissions[Score]), "No Match")</f>
        <v>15.7</v>
      </c>
    </row>
    <row r="1105" spans="1:6" x14ac:dyDescent="0.2">
      <c r="A1105">
        <f>[1]!hospitalinfo[[#This Row],[Facility ID]]</f>
        <v>110038</v>
      </c>
      <c r="B1105" t="str">
        <f>[1]!hospitalinfo[[#This Row],[State]]</f>
        <v>GA</v>
      </c>
      <c r="C1105" t="str">
        <f>[1]!hospitalinfo[[#This Row],[Hospital Type]]</f>
        <v>Acute Care Hospitals</v>
      </c>
      <c r="D1105" t="str">
        <f>[1]!hospitalinfo[[#This Row],[Hospital Ownership]]</f>
        <v>Voluntary non-profit - Private</v>
      </c>
      <c r="E1105" cm="1">
        <f t="array" ref="E1105">_xlfn.IFNA(_xlfn.XLOOKUP(1,([1]!hcahps[Facility ID] = clean[[#This Row],[Facility ID]]) * ([1]!hcahps[HCAHPS Measure ID] = "H_HSP_RATING_LINEAR_SCORE"), [1]!hcahps[HCAHPS Linear Mean Value]), "No Match")</f>
        <v>88</v>
      </c>
      <c r="F1105" cm="1">
        <f t="array" ref="F1105">_xlfn.IFNA(_xlfn.XLOOKUP(1,([1]!readmissions[Facility ID] = clean[[#This Row],[Facility ID]]) * ([1]!readmissions[Measure ID] = "Hybrid_HWR"), [1]!readmissions[Score]), "No Match")</f>
        <v>14.2</v>
      </c>
    </row>
    <row r="1106" spans="1:6" x14ac:dyDescent="0.2">
      <c r="A1106">
        <f>[1]!hospitalinfo[[#This Row],[Facility ID]]</f>
        <v>110041</v>
      </c>
      <c r="B1106" t="str">
        <f>[1]!hospitalinfo[[#This Row],[State]]</f>
        <v>GA</v>
      </c>
      <c r="C1106" t="str">
        <f>[1]!hospitalinfo[[#This Row],[Hospital Type]]</f>
        <v>Acute Care Hospitals</v>
      </c>
      <c r="D1106" t="str">
        <f>[1]!hospitalinfo[[#This Row],[Hospital Ownership]]</f>
        <v>Government - Hospital District or Authority</v>
      </c>
      <c r="E1106" cm="1">
        <f t="array" ref="E1106">_xlfn.IFNA(_xlfn.XLOOKUP(1,([1]!hcahps[Facility ID] = clean[[#This Row],[Facility ID]]) * ([1]!hcahps[HCAHPS Measure ID] = "H_HSP_RATING_LINEAR_SCORE"), [1]!hcahps[HCAHPS Linear Mean Value]), "No Match")</f>
        <v>87</v>
      </c>
      <c r="F1106" cm="1">
        <f t="array" ref="F1106">_xlfn.IFNA(_xlfn.XLOOKUP(1,([1]!readmissions[Facility ID] = clean[[#This Row],[Facility ID]]) * ([1]!readmissions[Measure ID] = "Hybrid_HWR"), [1]!readmissions[Score]), "No Match")</f>
        <v>15.4</v>
      </c>
    </row>
    <row r="1107" spans="1:6" x14ac:dyDescent="0.2">
      <c r="A1107">
        <f>[1]!hospitalinfo[[#This Row],[Facility ID]]</f>
        <v>110042</v>
      </c>
      <c r="B1107" t="str">
        <f>[1]!hospitalinfo[[#This Row],[State]]</f>
        <v>GA</v>
      </c>
      <c r="C1107" t="str">
        <f>[1]!hospitalinfo[[#This Row],[Hospital Type]]</f>
        <v>Acute Care Hospitals</v>
      </c>
      <c r="D1107" t="str">
        <f>[1]!hospitalinfo[[#This Row],[Hospital Ownership]]</f>
        <v>Voluntary non-profit - Other</v>
      </c>
      <c r="E1107" cm="1">
        <f t="array" ref="E1107">_xlfn.IFNA(_xlfn.XLOOKUP(1,([1]!hcahps[Facility ID] = clean[[#This Row],[Facility ID]]) * ([1]!hcahps[HCAHPS Measure ID] = "H_HSP_RATING_LINEAR_SCORE"), [1]!hcahps[HCAHPS Linear Mean Value]), "No Match")</f>
        <v>90</v>
      </c>
      <c r="F1107" cm="1">
        <f t="array" ref="F1107">_xlfn.IFNA(_xlfn.XLOOKUP(1,([1]!readmissions[Facility ID] = clean[[#This Row],[Facility ID]]) * ([1]!readmissions[Measure ID] = "Hybrid_HWR"), [1]!readmissions[Score]), "No Match")</f>
        <v>15.7</v>
      </c>
    </row>
    <row r="1108" spans="1:6" x14ac:dyDescent="0.2">
      <c r="A1108">
        <f>[1]!hospitalinfo[[#This Row],[Facility ID]]</f>
        <v>110043</v>
      </c>
      <c r="B1108" t="str">
        <f>[1]!hospitalinfo[[#This Row],[State]]</f>
        <v>GA</v>
      </c>
      <c r="C1108" t="str">
        <f>[1]!hospitalinfo[[#This Row],[Hospital Type]]</f>
        <v>Acute Care Hospitals</v>
      </c>
      <c r="D1108" t="str">
        <f>[1]!hospitalinfo[[#This Row],[Hospital Ownership]]</f>
        <v>Voluntary non-profit - Private</v>
      </c>
      <c r="E1108" cm="1">
        <f t="array" ref="E1108">_xlfn.IFNA(_xlfn.XLOOKUP(1,([1]!hcahps[Facility ID] = clean[[#This Row],[Facility ID]]) * ([1]!hcahps[HCAHPS Measure ID] = "H_HSP_RATING_LINEAR_SCORE"), [1]!hcahps[HCAHPS Linear Mean Value]), "No Match")</f>
        <v>88</v>
      </c>
      <c r="F1108" cm="1">
        <f t="array" ref="F1108">_xlfn.IFNA(_xlfn.XLOOKUP(1,([1]!readmissions[Facility ID] = clean[[#This Row],[Facility ID]]) * ([1]!readmissions[Measure ID] = "Hybrid_HWR"), [1]!readmissions[Score]), "No Match")</f>
        <v>14.7</v>
      </c>
    </row>
    <row r="1109" spans="1:6" x14ac:dyDescent="0.2">
      <c r="A1109">
        <f>[1]!hospitalinfo[[#This Row],[Facility ID]]</f>
        <v>110044</v>
      </c>
      <c r="B1109" t="str">
        <f>[1]!hospitalinfo[[#This Row],[State]]</f>
        <v>GA</v>
      </c>
      <c r="C1109" t="str">
        <f>[1]!hospitalinfo[[#This Row],[Hospital Type]]</f>
        <v>Acute Care Hospitals</v>
      </c>
      <c r="D1109" t="str">
        <f>[1]!hospitalinfo[[#This Row],[Hospital Ownership]]</f>
        <v>Government - Hospital District or Authority</v>
      </c>
      <c r="E1109" cm="1">
        <f t="array" ref="E1109">_xlfn.IFNA(_xlfn.XLOOKUP(1,([1]!hcahps[Facility ID] = clean[[#This Row],[Facility ID]]) * ([1]!hcahps[HCAHPS Measure ID] = "H_HSP_RATING_LINEAR_SCORE"), [1]!hcahps[HCAHPS Linear Mean Value]), "No Match")</f>
        <v>88</v>
      </c>
      <c r="F1109" cm="1">
        <f t="array" ref="F1109">_xlfn.IFNA(_xlfn.XLOOKUP(1,([1]!readmissions[Facility ID] = clean[[#This Row],[Facility ID]]) * ([1]!readmissions[Measure ID] = "Hybrid_HWR"), [1]!readmissions[Score]), "No Match")</f>
        <v>15.5</v>
      </c>
    </row>
    <row r="1110" spans="1:6" x14ac:dyDescent="0.2">
      <c r="A1110">
        <f>[1]!hospitalinfo[[#This Row],[Facility ID]]</f>
        <v>110045</v>
      </c>
      <c r="B1110" t="str">
        <f>[1]!hospitalinfo[[#This Row],[State]]</f>
        <v>GA</v>
      </c>
      <c r="C1110" t="str">
        <f>[1]!hospitalinfo[[#This Row],[Hospital Type]]</f>
        <v>Acute Care Hospitals</v>
      </c>
      <c r="D1110" t="str">
        <f>[1]!hospitalinfo[[#This Row],[Hospital Ownership]]</f>
        <v>Proprietary</v>
      </c>
      <c r="E1110" cm="1">
        <f t="array" ref="E1110">_xlfn.IFNA(_xlfn.XLOOKUP(1,([1]!hcahps[Facility ID] = clean[[#This Row],[Facility ID]]) * ([1]!hcahps[HCAHPS Measure ID] = "H_HSP_RATING_LINEAR_SCORE"), [1]!hcahps[HCAHPS Linear Mean Value]), "No Match")</f>
        <v>87</v>
      </c>
      <c r="F1110" cm="1">
        <f t="array" ref="F1110">_xlfn.IFNA(_xlfn.XLOOKUP(1,([1]!readmissions[Facility ID] = clean[[#This Row],[Facility ID]]) * ([1]!readmissions[Measure ID] = "Hybrid_HWR"), [1]!readmissions[Score]), "No Match")</f>
        <v>14.9</v>
      </c>
    </row>
    <row r="1111" spans="1:6" x14ac:dyDescent="0.2">
      <c r="A1111">
        <f>[1]!hospitalinfo[[#This Row],[Facility ID]]</f>
        <v>110046</v>
      </c>
      <c r="B1111" t="str">
        <f>[1]!hospitalinfo[[#This Row],[State]]</f>
        <v>GA</v>
      </c>
      <c r="C1111" t="str">
        <f>[1]!hospitalinfo[[#This Row],[Hospital Type]]</f>
        <v>Acute Care Hospitals</v>
      </c>
      <c r="D1111" t="str">
        <f>[1]!hospitalinfo[[#This Row],[Hospital Ownership]]</f>
        <v>Proprietary</v>
      </c>
      <c r="E1111" cm="1">
        <f t="array" ref="E1111">_xlfn.IFNA(_xlfn.XLOOKUP(1,([1]!hcahps[Facility ID] = clean[[#This Row],[Facility ID]]) * ([1]!hcahps[HCAHPS Measure ID] = "H_HSP_RATING_LINEAR_SCORE"), [1]!hcahps[HCAHPS Linear Mean Value]), "No Match")</f>
        <v>87</v>
      </c>
      <c r="F1111" cm="1">
        <f t="array" ref="F1111">_xlfn.IFNA(_xlfn.XLOOKUP(1,([1]!readmissions[Facility ID] = clean[[#This Row],[Facility ID]]) * ([1]!readmissions[Measure ID] = "Hybrid_HWR"), [1]!readmissions[Score]), "No Match")</f>
        <v>15.5</v>
      </c>
    </row>
    <row r="1112" spans="1:6" x14ac:dyDescent="0.2">
      <c r="A1112">
        <f>[1]!hospitalinfo[[#This Row],[Facility ID]]</f>
        <v>110050</v>
      </c>
      <c r="B1112" t="str">
        <f>[1]!hospitalinfo[[#This Row],[State]]</f>
        <v>GA</v>
      </c>
      <c r="C1112" t="str">
        <f>[1]!hospitalinfo[[#This Row],[Hospital Type]]</f>
        <v>Acute Care Hospitals</v>
      </c>
      <c r="D1112" t="str">
        <f>[1]!hospitalinfo[[#This Row],[Hospital Ownership]]</f>
        <v>Voluntary non-profit - Private</v>
      </c>
      <c r="E1112" cm="1">
        <f t="array" ref="E1112">_xlfn.IFNA(_xlfn.XLOOKUP(1,([1]!hcahps[Facility ID] = clean[[#This Row],[Facility ID]]) * ([1]!hcahps[HCAHPS Measure ID] = "H_HSP_RATING_LINEAR_SCORE"), [1]!hcahps[HCAHPS Linear Mean Value]), "No Match")</f>
        <v>93</v>
      </c>
      <c r="F1112" cm="1">
        <f t="array" ref="F1112">_xlfn.IFNA(_xlfn.XLOOKUP(1,([1]!readmissions[Facility ID] = clean[[#This Row],[Facility ID]]) * ([1]!readmissions[Measure ID] = "Hybrid_HWR"), [1]!readmissions[Score]), "No Match")</f>
        <v>14.6</v>
      </c>
    </row>
    <row r="1113" spans="1:6" x14ac:dyDescent="0.2">
      <c r="A1113">
        <f>[1]!hospitalinfo[[#This Row],[Facility ID]]</f>
        <v>110051</v>
      </c>
      <c r="B1113" t="str">
        <f>[1]!hospitalinfo[[#This Row],[State]]</f>
        <v>GA</v>
      </c>
      <c r="C1113" t="str">
        <f>[1]!hospitalinfo[[#This Row],[Hospital Type]]</f>
        <v>Acute Care Hospitals</v>
      </c>
      <c r="D1113" t="str">
        <f>[1]!hospitalinfo[[#This Row],[Hospital Ownership]]</f>
        <v>Government - Local</v>
      </c>
      <c r="E1113" cm="1">
        <f t="array" ref="E1113">_xlfn.IFNA(_xlfn.XLOOKUP(1,([1]!hcahps[Facility ID] = clean[[#This Row],[Facility ID]]) * ([1]!hcahps[HCAHPS Measure ID] = "H_HSP_RATING_LINEAR_SCORE"), [1]!hcahps[HCAHPS Linear Mean Value]), "No Match")</f>
        <v>90</v>
      </c>
      <c r="F1113" cm="1">
        <f t="array" ref="F1113">_xlfn.IFNA(_xlfn.XLOOKUP(1,([1]!readmissions[Facility ID] = clean[[#This Row],[Facility ID]]) * ([1]!readmissions[Measure ID] = "Hybrid_HWR"), [1]!readmissions[Score]), "No Match")</f>
        <v>14.7</v>
      </c>
    </row>
    <row r="1114" spans="1:6" x14ac:dyDescent="0.2">
      <c r="A1114">
        <f>[1]!hospitalinfo[[#This Row],[Facility ID]]</f>
        <v>110054</v>
      </c>
      <c r="B1114" t="str">
        <f>[1]!hospitalinfo[[#This Row],[State]]</f>
        <v>GA</v>
      </c>
      <c r="C1114" t="str">
        <f>[1]!hospitalinfo[[#This Row],[Hospital Type]]</f>
        <v>Acute Care Hospitals</v>
      </c>
      <c r="D1114" t="str">
        <f>[1]!hospitalinfo[[#This Row],[Hospital Ownership]]</f>
        <v>Government - Hospital District or Authority</v>
      </c>
      <c r="E1114" cm="1">
        <f t="array" ref="E1114">_xlfn.IFNA(_xlfn.XLOOKUP(1,([1]!hcahps[Facility ID] = clean[[#This Row],[Facility ID]]) * ([1]!hcahps[HCAHPS Measure ID] = "H_HSP_RATING_LINEAR_SCORE"), [1]!hcahps[HCAHPS Linear Mean Value]), "No Match")</f>
        <v>88</v>
      </c>
      <c r="F1114" cm="1">
        <f t="array" ref="F1114">_xlfn.IFNA(_xlfn.XLOOKUP(1,([1]!readmissions[Facility ID] = clean[[#This Row],[Facility ID]]) * ([1]!readmissions[Measure ID] = "Hybrid_HWR"), [1]!readmissions[Score]), "No Match")</f>
        <v>15.2</v>
      </c>
    </row>
    <row r="1115" spans="1:6" x14ac:dyDescent="0.2">
      <c r="A1115">
        <f>[1]!hospitalinfo[[#This Row],[Facility ID]]</f>
        <v>110064</v>
      </c>
      <c r="B1115" t="str">
        <f>[1]!hospitalinfo[[#This Row],[State]]</f>
        <v>GA</v>
      </c>
      <c r="C1115" t="str">
        <f>[1]!hospitalinfo[[#This Row],[Hospital Type]]</f>
        <v>Acute Care Hospitals</v>
      </c>
      <c r="D1115" t="str">
        <f>[1]!hospitalinfo[[#This Row],[Hospital Ownership]]</f>
        <v>Voluntary non-profit - Other</v>
      </c>
      <c r="E1115" cm="1">
        <f t="array" ref="E1115">_xlfn.IFNA(_xlfn.XLOOKUP(1,([1]!hcahps[Facility ID] = clean[[#This Row],[Facility ID]]) * ([1]!hcahps[HCAHPS Measure ID] = "H_HSP_RATING_LINEAR_SCORE"), [1]!hcahps[HCAHPS Linear Mean Value]), "No Match")</f>
        <v>85</v>
      </c>
      <c r="F1115" cm="1">
        <f t="array" ref="F1115">_xlfn.IFNA(_xlfn.XLOOKUP(1,([1]!readmissions[Facility ID] = clean[[#This Row],[Facility ID]]) * ([1]!readmissions[Measure ID] = "Hybrid_HWR"), [1]!readmissions[Score]), "No Match")</f>
        <v>14.8</v>
      </c>
    </row>
    <row r="1116" spans="1:6" x14ac:dyDescent="0.2">
      <c r="A1116">
        <f>[1]!hospitalinfo[[#This Row],[Facility ID]]</f>
        <v>110069</v>
      </c>
      <c r="B1116" t="str">
        <f>[1]!hospitalinfo[[#This Row],[State]]</f>
        <v>GA</v>
      </c>
      <c r="C1116" t="str">
        <f>[1]!hospitalinfo[[#This Row],[Hospital Type]]</f>
        <v>Acute Care Hospitals</v>
      </c>
      <c r="D1116" t="str">
        <f>[1]!hospitalinfo[[#This Row],[Hospital Ownership]]</f>
        <v>Voluntary non-profit - Private</v>
      </c>
      <c r="E1116" cm="1">
        <f t="array" ref="E1116">_xlfn.IFNA(_xlfn.XLOOKUP(1,([1]!hcahps[Facility ID] = clean[[#This Row],[Facility ID]]) * ([1]!hcahps[HCAHPS Measure ID] = "H_HSP_RATING_LINEAR_SCORE"), [1]!hcahps[HCAHPS Linear Mean Value]), "No Match")</f>
        <v>82</v>
      </c>
      <c r="F1116" cm="1">
        <f t="array" ref="F1116">_xlfn.IFNA(_xlfn.XLOOKUP(1,([1]!readmissions[Facility ID] = clean[[#This Row],[Facility ID]]) * ([1]!readmissions[Measure ID] = "Hybrid_HWR"), [1]!readmissions[Score]), "No Match")</f>
        <v>15.3</v>
      </c>
    </row>
    <row r="1117" spans="1:6" x14ac:dyDescent="0.2">
      <c r="A1117">
        <f>[1]!hospitalinfo[[#This Row],[Facility ID]]</f>
        <v>110071</v>
      </c>
      <c r="B1117" t="str">
        <f>[1]!hospitalinfo[[#This Row],[State]]</f>
        <v>GA</v>
      </c>
      <c r="C1117" t="str">
        <f>[1]!hospitalinfo[[#This Row],[Hospital Type]]</f>
        <v>Acute Care Hospitals</v>
      </c>
      <c r="D1117" t="str">
        <f>[1]!hospitalinfo[[#This Row],[Hospital Ownership]]</f>
        <v>Government - Hospital District or Authority</v>
      </c>
      <c r="E1117" t="str" cm="1">
        <f t="array" ref="E1117">_xlfn.IFNA(_xlfn.XLOOKUP(1,([1]!hcahps[Facility ID] = clean[[#This Row],[Facility ID]]) * ([1]!hcahps[HCAHPS Measure ID] = "H_HSP_RATING_LINEAR_SCORE"), [1]!hcahps[HCAHPS Linear Mean Value]), "No Match")</f>
        <v>Not Available</v>
      </c>
      <c r="F1117" cm="1">
        <f t="array" ref="F1117">_xlfn.IFNA(_xlfn.XLOOKUP(1,([1]!readmissions[Facility ID] = clean[[#This Row],[Facility ID]]) * ([1]!readmissions[Measure ID] = "Hybrid_HWR"), [1]!readmissions[Score]), "No Match")</f>
        <v>15.3</v>
      </c>
    </row>
    <row r="1118" spans="1:6" x14ac:dyDescent="0.2">
      <c r="A1118">
        <f>[1]!hospitalinfo[[#This Row],[Facility ID]]</f>
        <v>110073</v>
      </c>
      <c r="B1118" t="str">
        <f>[1]!hospitalinfo[[#This Row],[State]]</f>
        <v>GA</v>
      </c>
      <c r="C1118" t="str">
        <f>[1]!hospitalinfo[[#This Row],[Hospital Type]]</f>
        <v>Acute Care Hospitals</v>
      </c>
      <c r="D1118" t="str">
        <f>[1]!hospitalinfo[[#This Row],[Hospital Ownership]]</f>
        <v>Government - Local</v>
      </c>
      <c r="E1118" t="str" cm="1">
        <f t="array" ref="E1118">_xlfn.IFNA(_xlfn.XLOOKUP(1,([1]!hcahps[Facility ID] = clean[[#This Row],[Facility ID]]) * ([1]!hcahps[HCAHPS Measure ID] = "H_HSP_RATING_LINEAR_SCORE"), [1]!hcahps[HCAHPS Linear Mean Value]), "No Match")</f>
        <v>Not Available</v>
      </c>
      <c r="F1118" cm="1">
        <f t="array" ref="F1118">_xlfn.IFNA(_xlfn.XLOOKUP(1,([1]!readmissions[Facility ID] = clean[[#This Row],[Facility ID]]) * ([1]!readmissions[Measure ID] = "Hybrid_HWR"), [1]!readmissions[Score]), "No Match")</f>
        <v>15.6</v>
      </c>
    </row>
    <row r="1119" spans="1:6" x14ac:dyDescent="0.2">
      <c r="A1119">
        <f>[1]!hospitalinfo[[#This Row],[Facility ID]]</f>
        <v>110074</v>
      </c>
      <c r="B1119" t="str">
        <f>[1]!hospitalinfo[[#This Row],[State]]</f>
        <v>GA</v>
      </c>
      <c r="C1119" t="str">
        <f>[1]!hospitalinfo[[#This Row],[Hospital Type]]</f>
        <v>Acute Care Hospitals</v>
      </c>
      <c r="D1119" t="str">
        <f>[1]!hospitalinfo[[#This Row],[Hospital Ownership]]</f>
        <v>Voluntary non-profit - Other</v>
      </c>
      <c r="E1119" cm="1">
        <f t="array" ref="E1119">_xlfn.IFNA(_xlfn.XLOOKUP(1,([1]!hcahps[Facility ID] = clean[[#This Row],[Facility ID]]) * ([1]!hcahps[HCAHPS Measure ID] = "H_HSP_RATING_LINEAR_SCORE"), [1]!hcahps[HCAHPS Linear Mean Value]), "No Match")</f>
        <v>90</v>
      </c>
      <c r="F1119" cm="1">
        <f t="array" ref="F1119">_xlfn.IFNA(_xlfn.XLOOKUP(1,([1]!readmissions[Facility ID] = clean[[#This Row],[Facility ID]]) * ([1]!readmissions[Measure ID] = "Hybrid_HWR"), [1]!readmissions[Score]), "No Match")</f>
        <v>15.5</v>
      </c>
    </row>
    <row r="1120" spans="1:6" x14ac:dyDescent="0.2">
      <c r="A1120">
        <f>[1]!hospitalinfo[[#This Row],[Facility ID]]</f>
        <v>110075</v>
      </c>
      <c r="B1120" t="str">
        <f>[1]!hospitalinfo[[#This Row],[State]]</f>
        <v>GA</v>
      </c>
      <c r="C1120" t="str">
        <f>[1]!hospitalinfo[[#This Row],[Hospital Type]]</f>
        <v>Acute Care Hospitals</v>
      </c>
      <c r="D1120" t="str">
        <f>[1]!hospitalinfo[[#This Row],[Hospital Ownership]]</f>
        <v>Proprietary</v>
      </c>
      <c r="E1120" cm="1">
        <f t="array" ref="E1120">_xlfn.IFNA(_xlfn.XLOOKUP(1,([1]!hcahps[Facility ID] = clean[[#This Row],[Facility ID]]) * ([1]!hcahps[HCAHPS Measure ID] = "H_HSP_RATING_LINEAR_SCORE"), [1]!hcahps[HCAHPS Linear Mean Value]), "No Match")</f>
        <v>89</v>
      </c>
      <c r="F1120" cm="1">
        <f t="array" ref="F1120">_xlfn.IFNA(_xlfn.XLOOKUP(1,([1]!readmissions[Facility ID] = clean[[#This Row],[Facility ID]]) * ([1]!readmissions[Measure ID] = "Hybrid_HWR"), [1]!readmissions[Score]), "No Match")</f>
        <v>15.6</v>
      </c>
    </row>
    <row r="1121" spans="1:6" x14ac:dyDescent="0.2">
      <c r="A1121">
        <f>[1]!hospitalinfo[[#This Row],[Facility ID]]</f>
        <v>110076</v>
      </c>
      <c r="B1121" t="str">
        <f>[1]!hospitalinfo[[#This Row],[State]]</f>
        <v>GA</v>
      </c>
      <c r="C1121" t="str">
        <f>[1]!hospitalinfo[[#This Row],[Hospital Type]]</f>
        <v>Acute Care Hospitals</v>
      </c>
      <c r="D1121" t="str">
        <f>[1]!hospitalinfo[[#This Row],[Hospital Ownership]]</f>
        <v>Voluntary non-profit - Private</v>
      </c>
      <c r="E1121" cm="1">
        <f t="array" ref="E1121">_xlfn.IFNA(_xlfn.XLOOKUP(1,([1]!hcahps[Facility ID] = clean[[#This Row],[Facility ID]]) * ([1]!hcahps[HCAHPS Measure ID] = "H_HSP_RATING_LINEAR_SCORE"), [1]!hcahps[HCAHPS Linear Mean Value]), "No Match")</f>
        <v>86</v>
      </c>
      <c r="F1121" cm="1">
        <f t="array" ref="F1121">_xlfn.IFNA(_xlfn.XLOOKUP(1,([1]!readmissions[Facility ID] = clean[[#This Row],[Facility ID]]) * ([1]!readmissions[Measure ID] = "Hybrid_HWR"), [1]!readmissions[Score]), "No Match")</f>
        <v>14.7</v>
      </c>
    </row>
    <row r="1122" spans="1:6" x14ac:dyDescent="0.2">
      <c r="A1122">
        <f>[1]!hospitalinfo[[#This Row],[Facility ID]]</f>
        <v>110078</v>
      </c>
      <c r="B1122" t="str">
        <f>[1]!hospitalinfo[[#This Row],[State]]</f>
        <v>GA</v>
      </c>
      <c r="C1122" t="str">
        <f>[1]!hospitalinfo[[#This Row],[Hospital Type]]</f>
        <v>Acute Care Hospitals</v>
      </c>
      <c r="D1122" t="str">
        <f>[1]!hospitalinfo[[#This Row],[Hospital Ownership]]</f>
        <v>Voluntary non-profit - Private</v>
      </c>
      <c r="E1122" cm="1">
        <f t="array" ref="E1122">_xlfn.IFNA(_xlfn.XLOOKUP(1,([1]!hcahps[Facility ID] = clean[[#This Row],[Facility ID]]) * ([1]!hcahps[HCAHPS Measure ID] = "H_HSP_RATING_LINEAR_SCORE"), [1]!hcahps[HCAHPS Linear Mean Value]), "No Match")</f>
        <v>86</v>
      </c>
      <c r="F1122" cm="1">
        <f t="array" ref="F1122">_xlfn.IFNA(_xlfn.XLOOKUP(1,([1]!readmissions[Facility ID] = clean[[#This Row],[Facility ID]]) * ([1]!readmissions[Measure ID] = "Hybrid_HWR"), [1]!readmissions[Score]), "No Match")</f>
        <v>15.3</v>
      </c>
    </row>
    <row r="1123" spans="1:6" x14ac:dyDescent="0.2">
      <c r="A1123">
        <f>[1]!hospitalinfo[[#This Row],[Facility ID]]</f>
        <v>110079</v>
      </c>
      <c r="B1123" t="str">
        <f>[1]!hospitalinfo[[#This Row],[State]]</f>
        <v>GA</v>
      </c>
      <c r="C1123" t="str">
        <f>[1]!hospitalinfo[[#This Row],[Hospital Type]]</f>
        <v>Acute Care Hospitals</v>
      </c>
      <c r="D1123" t="str">
        <f>[1]!hospitalinfo[[#This Row],[Hospital Ownership]]</f>
        <v>Voluntary non-profit - Private</v>
      </c>
      <c r="E1123" cm="1">
        <f t="array" ref="E1123">_xlfn.IFNA(_xlfn.XLOOKUP(1,([1]!hcahps[Facility ID] = clean[[#This Row],[Facility ID]]) * ([1]!hcahps[HCAHPS Measure ID] = "H_HSP_RATING_LINEAR_SCORE"), [1]!hcahps[HCAHPS Linear Mean Value]), "No Match")</f>
        <v>86</v>
      </c>
      <c r="F1123" cm="1">
        <f t="array" ref="F1123">_xlfn.IFNA(_xlfn.XLOOKUP(1,([1]!readmissions[Facility ID] = clean[[#This Row],[Facility ID]]) * ([1]!readmissions[Measure ID] = "Hybrid_HWR"), [1]!readmissions[Score]), "No Match")</f>
        <v>15.5</v>
      </c>
    </row>
    <row r="1124" spans="1:6" x14ac:dyDescent="0.2">
      <c r="A1124">
        <f>[1]!hospitalinfo[[#This Row],[Facility ID]]</f>
        <v>110082</v>
      </c>
      <c r="B1124" t="str">
        <f>[1]!hospitalinfo[[#This Row],[State]]</f>
        <v>GA</v>
      </c>
      <c r="C1124" t="str">
        <f>[1]!hospitalinfo[[#This Row],[Hospital Type]]</f>
        <v>Acute Care Hospitals</v>
      </c>
      <c r="D1124" t="str">
        <f>[1]!hospitalinfo[[#This Row],[Hospital Ownership]]</f>
        <v>Voluntary non-profit - Private</v>
      </c>
      <c r="E1124" cm="1">
        <f t="array" ref="E1124">_xlfn.IFNA(_xlfn.XLOOKUP(1,([1]!hcahps[Facility ID] = clean[[#This Row],[Facility ID]]) * ([1]!hcahps[HCAHPS Measure ID] = "H_HSP_RATING_LINEAR_SCORE"), [1]!hcahps[HCAHPS Linear Mean Value]), "No Match")</f>
        <v>88</v>
      </c>
      <c r="F1124" cm="1">
        <f t="array" ref="F1124">_xlfn.IFNA(_xlfn.XLOOKUP(1,([1]!readmissions[Facility ID] = clean[[#This Row],[Facility ID]]) * ([1]!readmissions[Measure ID] = "Hybrid_HWR"), [1]!readmissions[Score]), "No Match")</f>
        <v>15.3</v>
      </c>
    </row>
    <row r="1125" spans="1:6" x14ac:dyDescent="0.2">
      <c r="A1125">
        <f>[1]!hospitalinfo[[#This Row],[Facility ID]]</f>
        <v>110083</v>
      </c>
      <c r="B1125" t="str">
        <f>[1]!hospitalinfo[[#This Row],[State]]</f>
        <v>GA</v>
      </c>
      <c r="C1125" t="str">
        <f>[1]!hospitalinfo[[#This Row],[Hospital Type]]</f>
        <v>Acute Care Hospitals</v>
      </c>
      <c r="D1125" t="str">
        <f>[1]!hospitalinfo[[#This Row],[Hospital Ownership]]</f>
        <v>Government - Federal</v>
      </c>
      <c r="E1125" cm="1">
        <f t="array" ref="E1125">_xlfn.IFNA(_xlfn.XLOOKUP(1,([1]!hcahps[Facility ID] = clean[[#This Row],[Facility ID]]) * ([1]!hcahps[HCAHPS Measure ID] = "H_HSP_RATING_LINEAR_SCORE"), [1]!hcahps[HCAHPS Linear Mean Value]), "No Match")</f>
        <v>88</v>
      </c>
      <c r="F1125" cm="1">
        <f t="array" ref="F1125">_xlfn.IFNA(_xlfn.XLOOKUP(1,([1]!readmissions[Facility ID] = clean[[#This Row],[Facility ID]]) * ([1]!readmissions[Measure ID] = "Hybrid_HWR"), [1]!readmissions[Score]), "No Match")</f>
        <v>14.8</v>
      </c>
    </row>
    <row r="1126" spans="1:6" x14ac:dyDescent="0.2">
      <c r="A1126">
        <f>[1]!hospitalinfo[[#This Row],[Facility ID]]</f>
        <v>110086</v>
      </c>
      <c r="B1126" t="str">
        <f>[1]!hospitalinfo[[#This Row],[State]]</f>
        <v>GA</v>
      </c>
      <c r="C1126" t="str">
        <f>[1]!hospitalinfo[[#This Row],[Hospital Type]]</f>
        <v>Acute Care Hospitals</v>
      </c>
      <c r="D1126" t="str">
        <f>[1]!hospitalinfo[[#This Row],[Hospital Ownership]]</f>
        <v>Government - Hospital District or Authority</v>
      </c>
      <c r="E1126" t="str" cm="1">
        <f t="array" ref="E1126">_xlfn.IFNA(_xlfn.XLOOKUP(1,([1]!hcahps[Facility ID] = clean[[#This Row],[Facility ID]]) * ([1]!hcahps[HCAHPS Measure ID] = "H_HSP_RATING_LINEAR_SCORE"), [1]!hcahps[HCAHPS Linear Mean Value]), "No Match")</f>
        <v>Not Available</v>
      </c>
      <c r="F1126" cm="1">
        <f t="array" ref="F1126">_xlfn.IFNA(_xlfn.XLOOKUP(1,([1]!readmissions[Facility ID] = clean[[#This Row],[Facility ID]]) * ([1]!readmissions[Measure ID] = "Hybrid_HWR"), [1]!readmissions[Score]), "No Match")</f>
        <v>15.2</v>
      </c>
    </row>
    <row r="1127" spans="1:6" x14ac:dyDescent="0.2">
      <c r="A1127">
        <f>[1]!hospitalinfo[[#This Row],[Facility ID]]</f>
        <v>110087</v>
      </c>
      <c r="B1127" t="str">
        <f>[1]!hospitalinfo[[#This Row],[State]]</f>
        <v>GA</v>
      </c>
      <c r="C1127" t="str">
        <f>[1]!hospitalinfo[[#This Row],[Hospital Type]]</f>
        <v>Acute Care Hospitals</v>
      </c>
      <c r="D1127" t="str">
        <f>[1]!hospitalinfo[[#This Row],[Hospital Ownership]]</f>
        <v>Government - Hospital District or Authority</v>
      </c>
      <c r="E1127" cm="1">
        <f t="array" ref="E1127">_xlfn.IFNA(_xlfn.XLOOKUP(1,([1]!hcahps[Facility ID] = clean[[#This Row],[Facility ID]]) * ([1]!hcahps[HCAHPS Measure ID] = "H_HSP_RATING_LINEAR_SCORE"), [1]!hcahps[HCAHPS Linear Mean Value]), "No Match")</f>
        <v>87</v>
      </c>
      <c r="F1127" cm="1">
        <f t="array" ref="F1127">_xlfn.IFNA(_xlfn.XLOOKUP(1,([1]!readmissions[Facility ID] = clean[[#This Row],[Facility ID]]) * ([1]!readmissions[Measure ID] = "Hybrid_HWR"), [1]!readmissions[Score]), "No Match")</f>
        <v>14.5</v>
      </c>
    </row>
    <row r="1128" spans="1:6" x14ac:dyDescent="0.2">
      <c r="A1128">
        <f>[1]!hospitalinfo[[#This Row],[Facility ID]]</f>
        <v>110089</v>
      </c>
      <c r="B1128" t="str">
        <f>[1]!hospitalinfo[[#This Row],[State]]</f>
        <v>GA</v>
      </c>
      <c r="C1128" t="str">
        <f>[1]!hospitalinfo[[#This Row],[Hospital Type]]</f>
        <v>Acute Care Hospitals</v>
      </c>
      <c r="D1128" t="str">
        <f>[1]!hospitalinfo[[#This Row],[Hospital Ownership]]</f>
        <v>Government - Hospital District or Authority</v>
      </c>
      <c r="E1128" cm="1">
        <f t="array" ref="E1128">_xlfn.IFNA(_xlfn.XLOOKUP(1,([1]!hcahps[Facility ID] = clean[[#This Row],[Facility ID]]) * ([1]!hcahps[HCAHPS Measure ID] = "H_HSP_RATING_LINEAR_SCORE"), [1]!hcahps[HCAHPS Linear Mean Value]), "No Match")</f>
        <v>88</v>
      </c>
      <c r="F1128" cm="1">
        <f t="array" ref="F1128">_xlfn.IFNA(_xlfn.XLOOKUP(1,([1]!readmissions[Facility ID] = clean[[#This Row],[Facility ID]]) * ([1]!readmissions[Measure ID] = "Hybrid_HWR"), [1]!readmissions[Score]), "No Match")</f>
        <v>15.5</v>
      </c>
    </row>
    <row r="1129" spans="1:6" x14ac:dyDescent="0.2">
      <c r="A1129">
        <f>[1]!hospitalinfo[[#This Row],[Facility ID]]</f>
        <v>110091</v>
      </c>
      <c r="B1129" t="str">
        <f>[1]!hospitalinfo[[#This Row],[State]]</f>
        <v>GA</v>
      </c>
      <c r="C1129" t="str">
        <f>[1]!hospitalinfo[[#This Row],[Hospital Type]]</f>
        <v>Acute Care Hospitals</v>
      </c>
      <c r="D1129" t="str">
        <f>[1]!hospitalinfo[[#This Row],[Hospital Ownership]]</f>
        <v>Proprietary</v>
      </c>
      <c r="E1129" cm="1">
        <f t="array" ref="E1129">_xlfn.IFNA(_xlfn.XLOOKUP(1,([1]!hcahps[Facility ID] = clean[[#This Row],[Facility ID]]) * ([1]!hcahps[HCAHPS Measure ID] = "H_HSP_RATING_LINEAR_SCORE"), [1]!hcahps[HCAHPS Linear Mean Value]), "No Match")</f>
        <v>83</v>
      </c>
      <c r="F1129" cm="1">
        <f t="array" ref="F1129">_xlfn.IFNA(_xlfn.XLOOKUP(1,([1]!readmissions[Facility ID] = clean[[#This Row],[Facility ID]]) * ([1]!readmissions[Measure ID] = "Hybrid_HWR"), [1]!readmissions[Score]), "No Match")</f>
        <v>15.7</v>
      </c>
    </row>
    <row r="1130" spans="1:6" x14ac:dyDescent="0.2">
      <c r="A1130">
        <f>[1]!hospitalinfo[[#This Row],[Facility ID]]</f>
        <v>110092</v>
      </c>
      <c r="B1130" t="str">
        <f>[1]!hospitalinfo[[#This Row],[State]]</f>
        <v>GA</v>
      </c>
      <c r="C1130" t="str">
        <f>[1]!hospitalinfo[[#This Row],[Hospital Type]]</f>
        <v>Acute Care Hospitals</v>
      </c>
      <c r="D1130" t="str">
        <f>[1]!hospitalinfo[[#This Row],[Hospital Ownership]]</f>
        <v>Government - Hospital District or Authority</v>
      </c>
      <c r="E1130" t="str" cm="1">
        <f t="array" ref="E1130">_xlfn.IFNA(_xlfn.XLOOKUP(1,([1]!hcahps[Facility ID] = clean[[#This Row],[Facility ID]]) * ([1]!hcahps[HCAHPS Measure ID] = "H_HSP_RATING_LINEAR_SCORE"), [1]!hcahps[HCAHPS Linear Mean Value]), "No Match")</f>
        <v>Not Available</v>
      </c>
      <c r="F1130" cm="1">
        <f t="array" ref="F1130">_xlfn.IFNA(_xlfn.XLOOKUP(1,([1]!readmissions[Facility ID] = clean[[#This Row],[Facility ID]]) * ([1]!readmissions[Measure ID] = "Hybrid_HWR"), [1]!readmissions[Score]), "No Match")</f>
        <v>14.6</v>
      </c>
    </row>
    <row r="1131" spans="1:6" x14ac:dyDescent="0.2">
      <c r="A1131">
        <f>[1]!hospitalinfo[[#This Row],[Facility ID]]</f>
        <v>110095</v>
      </c>
      <c r="B1131" t="str">
        <f>[1]!hospitalinfo[[#This Row],[State]]</f>
        <v>GA</v>
      </c>
      <c r="C1131" t="str">
        <f>[1]!hospitalinfo[[#This Row],[Hospital Type]]</f>
        <v>Acute Care Hospitals</v>
      </c>
      <c r="D1131" t="str">
        <f>[1]!hospitalinfo[[#This Row],[Hospital Ownership]]</f>
        <v>Government - Hospital District or Authority</v>
      </c>
      <c r="E1131" cm="1">
        <f t="array" ref="E1131">_xlfn.IFNA(_xlfn.XLOOKUP(1,([1]!hcahps[Facility ID] = clean[[#This Row],[Facility ID]]) * ([1]!hcahps[HCAHPS Measure ID] = "H_HSP_RATING_LINEAR_SCORE"), [1]!hcahps[HCAHPS Linear Mean Value]), "No Match")</f>
        <v>87</v>
      </c>
      <c r="F1131" cm="1">
        <f t="array" ref="F1131">_xlfn.IFNA(_xlfn.XLOOKUP(1,([1]!readmissions[Facility ID] = clean[[#This Row],[Facility ID]]) * ([1]!readmissions[Measure ID] = "Hybrid_HWR"), [1]!readmissions[Score]), "No Match")</f>
        <v>15.7</v>
      </c>
    </row>
    <row r="1132" spans="1:6" x14ac:dyDescent="0.2">
      <c r="A1132">
        <f>[1]!hospitalinfo[[#This Row],[Facility ID]]</f>
        <v>110100</v>
      </c>
      <c r="B1132" t="str">
        <f>[1]!hospitalinfo[[#This Row],[State]]</f>
        <v>GA</v>
      </c>
      <c r="C1132" t="str">
        <f>[1]!hospitalinfo[[#This Row],[Hospital Type]]</f>
        <v>Acute Care Hospitals</v>
      </c>
      <c r="D1132" t="str">
        <f>[1]!hospitalinfo[[#This Row],[Hospital Ownership]]</f>
        <v>Government - Hospital District or Authority</v>
      </c>
      <c r="E1132" cm="1">
        <f t="array" ref="E1132">_xlfn.IFNA(_xlfn.XLOOKUP(1,([1]!hcahps[Facility ID] = clean[[#This Row],[Facility ID]]) * ([1]!hcahps[HCAHPS Measure ID] = "H_HSP_RATING_LINEAR_SCORE"), [1]!hcahps[HCAHPS Linear Mean Value]), "No Match")</f>
        <v>89</v>
      </c>
      <c r="F1132" cm="1">
        <f t="array" ref="F1132">_xlfn.IFNA(_xlfn.XLOOKUP(1,([1]!readmissions[Facility ID] = clean[[#This Row],[Facility ID]]) * ([1]!readmissions[Measure ID] = "Hybrid_HWR"), [1]!readmissions[Score]), "No Match")</f>
        <v>15.2</v>
      </c>
    </row>
    <row r="1133" spans="1:6" x14ac:dyDescent="0.2">
      <c r="A1133">
        <f>[1]!hospitalinfo[[#This Row],[Facility ID]]</f>
        <v>110101</v>
      </c>
      <c r="B1133" t="str">
        <f>[1]!hospitalinfo[[#This Row],[State]]</f>
        <v>GA</v>
      </c>
      <c r="C1133" t="str">
        <f>[1]!hospitalinfo[[#This Row],[Hospital Type]]</f>
        <v>Acute Care Hospitals</v>
      </c>
      <c r="D1133" t="str">
        <f>[1]!hospitalinfo[[#This Row],[Hospital Ownership]]</f>
        <v>Proprietary</v>
      </c>
      <c r="E1133" t="str" cm="1">
        <f t="array" ref="E1133">_xlfn.IFNA(_xlfn.XLOOKUP(1,([1]!hcahps[Facility ID] = clean[[#This Row],[Facility ID]]) * ([1]!hcahps[HCAHPS Measure ID] = "H_HSP_RATING_LINEAR_SCORE"), [1]!hcahps[HCAHPS Linear Mean Value]), "No Match")</f>
        <v>Not Available</v>
      </c>
      <c r="F1133" cm="1">
        <f t="array" ref="F1133">_xlfn.IFNA(_xlfn.XLOOKUP(1,([1]!readmissions[Facility ID] = clean[[#This Row],[Facility ID]]) * ([1]!readmissions[Measure ID] = "Hybrid_HWR"), [1]!readmissions[Score]), "No Match")</f>
        <v>15</v>
      </c>
    </row>
    <row r="1134" spans="1:6" x14ac:dyDescent="0.2">
      <c r="A1134">
        <f>[1]!hospitalinfo[[#This Row],[Facility ID]]</f>
        <v>110104</v>
      </c>
      <c r="B1134" t="str">
        <f>[1]!hospitalinfo[[#This Row],[State]]</f>
        <v>GA</v>
      </c>
      <c r="C1134" t="str">
        <f>[1]!hospitalinfo[[#This Row],[Hospital Type]]</f>
        <v>Acute Care Hospitals</v>
      </c>
      <c r="D1134" t="str">
        <f>[1]!hospitalinfo[[#This Row],[Hospital Ownership]]</f>
        <v>Proprietary</v>
      </c>
      <c r="E1134" cm="1">
        <f t="array" ref="E1134">_xlfn.IFNA(_xlfn.XLOOKUP(1,([1]!hcahps[Facility ID] = clean[[#This Row],[Facility ID]]) * ([1]!hcahps[HCAHPS Measure ID] = "H_HSP_RATING_LINEAR_SCORE"), [1]!hcahps[HCAHPS Linear Mean Value]), "No Match")</f>
        <v>85</v>
      </c>
      <c r="F1134" cm="1">
        <f t="array" ref="F1134">_xlfn.IFNA(_xlfn.XLOOKUP(1,([1]!readmissions[Facility ID] = clean[[#This Row],[Facility ID]]) * ([1]!readmissions[Measure ID] = "Hybrid_HWR"), [1]!readmissions[Score]), "No Match")</f>
        <v>15.5</v>
      </c>
    </row>
    <row r="1135" spans="1:6" x14ac:dyDescent="0.2">
      <c r="A1135">
        <f>[1]!hospitalinfo[[#This Row],[Facility ID]]</f>
        <v>110105</v>
      </c>
      <c r="B1135" t="str">
        <f>[1]!hospitalinfo[[#This Row],[State]]</f>
        <v>GA</v>
      </c>
      <c r="C1135" t="str">
        <f>[1]!hospitalinfo[[#This Row],[Hospital Type]]</f>
        <v>Acute Care Hospitals</v>
      </c>
      <c r="D1135" t="str">
        <f>[1]!hospitalinfo[[#This Row],[Hospital Ownership]]</f>
        <v>Government - Hospital District or Authority</v>
      </c>
      <c r="E1135" cm="1">
        <f t="array" ref="E1135">_xlfn.IFNA(_xlfn.XLOOKUP(1,([1]!hcahps[Facility ID] = clean[[#This Row],[Facility ID]]) * ([1]!hcahps[HCAHPS Measure ID] = "H_HSP_RATING_LINEAR_SCORE"), [1]!hcahps[HCAHPS Linear Mean Value]), "No Match")</f>
        <v>93</v>
      </c>
      <c r="F1135" cm="1">
        <f t="array" ref="F1135">_xlfn.IFNA(_xlfn.XLOOKUP(1,([1]!readmissions[Facility ID] = clean[[#This Row],[Facility ID]]) * ([1]!readmissions[Measure ID] = "Hybrid_HWR"), [1]!readmissions[Score]), "No Match")</f>
        <v>16.3</v>
      </c>
    </row>
    <row r="1136" spans="1:6" x14ac:dyDescent="0.2">
      <c r="A1136">
        <f>[1]!hospitalinfo[[#This Row],[Facility ID]]</f>
        <v>110107</v>
      </c>
      <c r="B1136" t="str">
        <f>[1]!hospitalinfo[[#This Row],[State]]</f>
        <v>GA</v>
      </c>
      <c r="C1136" t="str">
        <f>[1]!hospitalinfo[[#This Row],[Hospital Type]]</f>
        <v>Acute Care Hospitals</v>
      </c>
      <c r="D1136" t="str">
        <f>[1]!hospitalinfo[[#This Row],[Hospital Ownership]]</f>
        <v>Government - Hospital District or Authority</v>
      </c>
      <c r="E1136" cm="1">
        <f t="array" ref="E1136">_xlfn.IFNA(_xlfn.XLOOKUP(1,([1]!hcahps[Facility ID] = clean[[#This Row],[Facility ID]]) * ([1]!hcahps[HCAHPS Measure ID] = "H_HSP_RATING_LINEAR_SCORE"), [1]!hcahps[HCAHPS Linear Mean Value]), "No Match")</f>
        <v>83</v>
      </c>
      <c r="F1136" cm="1">
        <f t="array" ref="F1136">_xlfn.IFNA(_xlfn.XLOOKUP(1,([1]!readmissions[Facility ID] = clean[[#This Row],[Facility ID]]) * ([1]!readmissions[Measure ID] = "Hybrid_HWR"), [1]!readmissions[Score]), "No Match")</f>
        <v>15</v>
      </c>
    </row>
    <row r="1137" spans="1:6" x14ac:dyDescent="0.2">
      <c r="A1137">
        <f>[1]!hospitalinfo[[#This Row],[Facility ID]]</f>
        <v>110109</v>
      </c>
      <c r="B1137" t="str">
        <f>[1]!hospitalinfo[[#This Row],[State]]</f>
        <v>GA</v>
      </c>
      <c r="C1137" t="str">
        <f>[1]!hospitalinfo[[#This Row],[Hospital Type]]</f>
        <v>Acute Care Hospitals</v>
      </c>
      <c r="D1137" t="str">
        <f>[1]!hospitalinfo[[#This Row],[Hospital Ownership]]</f>
        <v>Government - Hospital District or Authority</v>
      </c>
      <c r="E1137" cm="1">
        <f t="array" ref="E1137">_xlfn.IFNA(_xlfn.XLOOKUP(1,([1]!hcahps[Facility ID] = clean[[#This Row],[Facility ID]]) * ([1]!hcahps[HCAHPS Measure ID] = "H_HSP_RATING_LINEAR_SCORE"), [1]!hcahps[HCAHPS Linear Mean Value]), "No Match")</f>
        <v>90</v>
      </c>
      <c r="F1137" cm="1">
        <f t="array" ref="F1137">_xlfn.IFNA(_xlfn.XLOOKUP(1,([1]!readmissions[Facility ID] = clean[[#This Row],[Facility ID]]) * ([1]!readmissions[Measure ID] = "Hybrid_HWR"), [1]!readmissions[Score]), "No Match")</f>
        <v>14.7</v>
      </c>
    </row>
    <row r="1138" spans="1:6" x14ac:dyDescent="0.2">
      <c r="A1138">
        <f>[1]!hospitalinfo[[#This Row],[Facility ID]]</f>
        <v>110111</v>
      </c>
      <c r="B1138" t="str">
        <f>[1]!hospitalinfo[[#This Row],[State]]</f>
        <v>GA</v>
      </c>
      <c r="C1138" t="str">
        <f>[1]!hospitalinfo[[#This Row],[Hospital Type]]</f>
        <v>Acute Care Hospitals</v>
      </c>
      <c r="D1138" t="str">
        <f>[1]!hospitalinfo[[#This Row],[Hospital Ownership]]</f>
        <v>Government - Hospital District or Authority</v>
      </c>
      <c r="E1138" cm="1">
        <f t="array" ref="E1138">_xlfn.IFNA(_xlfn.XLOOKUP(1,([1]!hcahps[Facility ID] = clean[[#This Row],[Facility ID]]) * ([1]!hcahps[HCAHPS Measure ID] = "H_HSP_RATING_LINEAR_SCORE"), [1]!hcahps[HCAHPS Linear Mean Value]), "No Match")</f>
        <v>91</v>
      </c>
      <c r="F1138" cm="1">
        <f t="array" ref="F1138">_xlfn.IFNA(_xlfn.XLOOKUP(1,([1]!readmissions[Facility ID] = clean[[#This Row],[Facility ID]]) * ([1]!readmissions[Measure ID] = "Hybrid_HWR"), [1]!readmissions[Score]), "No Match")</f>
        <v>14.8</v>
      </c>
    </row>
    <row r="1139" spans="1:6" x14ac:dyDescent="0.2">
      <c r="A1139">
        <f>[1]!hospitalinfo[[#This Row],[Facility ID]]</f>
        <v>110113</v>
      </c>
      <c r="B1139" t="str">
        <f>[1]!hospitalinfo[[#This Row],[State]]</f>
        <v>GA</v>
      </c>
      <c r="C1139" t="str">
        <f>[1]!hospitalinfo[[#This Row],[Hospital Type]]</f>
        <v>Acute Care Hospitals</v>
      </c>
      <c r="D1139" t="str">
        <f>[1]!hospitalinfo[[#This Row],[Hospital Ownership]]</f>
        <v>Proprietary</v>
      </c>
      <c r="E1139" cm="1">
        <f t="array" ref="E1139">_xlfn.IFNA(_xlfn.XLOOKUP(1,([1]!hcahps[Facility ID] = clean[[#This Row],[Facility ID]]) * ([1]!hcahps[HCAHPS Measure ID] = "H_HSP_RATING_LINEAR_SCORE"), [1]!hcahps[HCAHPS Linear Mean Value]), "No Match")</f>
        <v>92</v>
      </c>
      <c r="F1139" cm="1">
        <f t="array" ref="F1139">_xlfn.IFNA(_xlfn.XLOOKUP(1,([1]!readmissions[Facility ID] = clean[[#This Row],[Facility ID]]) * ([1]!readmissions[Measure ID] = "Hybrid_HWR"), [1]!readmissions[Score]), "No Match")</f>
        <v>14.7</v>
      </c>
    </row>
    <row r="1140" spans="1:6" x14ac:dyDescent="0.2">
      <c r="A1140">
        <f>[1]!hospitalinfo[[#This Row],[Facility ID]]</f>
        <v>110121</v>
      </c>
      <c r="B1140" t="str">
        <f>[1]!hospitalinfo[[#This Row],[State]]</f>
        <v>GA</v>
      </c>
      <c r="C1140" t="str">
        <f>[1]!hospitalinfo[[#This Row],[Hospital Type]]</f>
        <v>Acute Care Hospitals</v>
      </c>
      <c r="D1140" t="str">
        <f>[1]!hospitalinfo[[#This Row],[Hospital Ownership]]</f>
        <v>Voluntary non-profit - Private</v>
      </c>
      <c r="E1140" t="str" cm="1">
        <f t="array" ref="E1140">_xlfn.IFNA(_xlfn.XLOOKUP(1,([1]!hcahps[Facility ID] = clean[[#This Row],[Facility ID]]) * ([1]!hcahps[HCAHPS Measure ID] = "H_HSP_RATING_LINEAR_SCORE"), [1]!hcahps[HCAHPS Linear Mean Value]), "No Match")</f>
        <v>Not Available</v>
      </c>
      <c r="F1140" cm="1">
        <f t="array" ref="F1140">_xlfn.IFNA(_xlfn.XLOOKUP(1,([1]!readmissions[Facility ID] = clean[[#This Row],[Facility ID]]) * ([1]!readmissions[Measure ID] = "Hybrid_HWR"), [1]!readmissions[Score]), "No Match")</f>
        <v>14.4</v>
      </c>
    </row>
    <row r="1141" spans="1:6" x14ac:dyDescent="0.2">
      <c r="A1141">
        <f>[1]!hospitalinfo[[#This Row],[Facility ID]]</f>
        <v>110122</v>
      </c>
      <c r="B1141" t="str">
        <f>[1]!hospitalinfo[[#This Row],[State]]</f>
        <v>GA</v>
      </c>
      <c r="C1141" t="str">
        <f>[1]!hospitalinfo[[#This Row],[Hospital Type]]</f>
        <v>Acute Care Hospitals</v>
      </c>
      <c r="D1141" t="str">
        <f>[1]!hospitalinfo[[#This Row],[Hospital Ownership]]</f>
        <v>Government - Hospital District or Authority</v>
      </c>
      <c r="E1141" cm="1">
        <f t="array" ref="E1141">_xlfn.IFNA(_xlfn.XLOOKUP(1,([1]!hcahps[Facility ID] = clean[[#This Row],[Facility ID]]) * ([1]!hcahps[HCAHPS Measure ID] = "H_HSP_RATING_LINEAR_SCORE"), [1]!hcahps[HCAHPS Linear Mean Value]), "No Match")</f>
        <v>87</v>
      </c>
      <c r="F1141" cm="1">
        <f t="array" ref="F1141">_xlfn.IFNA(_xlfn.XLOOKUP(1,([1]!readmissions[Facility ID] = clean[[#This Row],[Facility ID]]) * ([1]!readmissions[Measure ID] = "Hybrid_HWR"), [1]!readmissions[Score]), "No Match")</f>
        <v>16.7</v>
      </c>
    </row>
    <row r="1142" spans="1:6" x14ac:dyDescent="0.2">
      <c r="A1142">
        <f>[1]!hospitalinfo[[#This Row],[Facility ID]]</f>
        <v>110124</v>
      </c>
      <c r="B1142" t="str">
        <f>[1]!hospitalinfo[[#This Row],[State]]</f>
        <v>GA</v>
      </c>
      <c r="C1142" t="str">
        <f>[1]!hospitalinfo[[#This Row],[Hospital Type]]</f>
        <v>Acute Care Hospitals</v>
      </c>
      <c r="D1142" t="str">
        <f>[1]!hospitalinfo[[#This Row],[Hospital Ownership]]</f>
        <v>Government - Hospital District or Authority</v>
      </c>
      <c r="E1142" cm="1">
        <f t="array" ref="E1142">_xlfn.IFNA(_xlfn.XLOOKUP(1,([1]!hcahps[Facility ID] = clean[[#This Row],[Facility ID]]) * ([1]!hcahps[HCAHPS Measure ID] = "H_HSP_RATING_LINEAR_SCORE"), [1]!hcahps[HCAHPS Linear Mean Value]), "No Match")</f>
        <v>89</v>
      </c>
      <c r="F1142" cm="1">
        <f t="array" ref="F1142">_xlfn.IFNA(_xlfn.XLOOKUP(1,([1]!readmissions[Facility ID] = clean[[#This Row],[Facility ID]]) * ([1]!readmissions[Measure ID] = "Hybrid_HWR"), [1]!readmissions[Score]), "No Match")</f>
        <v>15.4</v>
      </c>
    </row>
    <row r="1143" spans="1:6" x14ac:dyDescent="0.2">
      <c r="A1143">
        <f>[1]!hospitalinfo[[#This Row],[Facility ID]]</f>
        <v>110125</v>
      </c>
      <c r="B1143" t="str">
        <f>[1]!hospitalinfo[[#This Row],[State]]</f>
        <v>GA</v>
      </c>
      <c r="C1143" t="str">
        <f>[1]!hospitalinfo[[#This Row],[Hospital Type]]</f>
        <v>Acute Care Hospitals</v>
      </c>
      <c r="D1143" t="str">
        <f>[1]!hospitalinfo[[#This Row],[Hospital Ownership]]</f>
        <v>Proprietary</v>
      </c>
      <c r="E1143" cm="1">
        <f t="array" ref="E1143">_xlfn.IFNA(_xlfn.XLOOKUP(1,([1]!hcahps[Facility ID] = clean[[#This Row],[Facility ID]]) * ([1]!hcahps[HCAHPS Measure ID] = "H_HSP_RATING_LINEAR_SCORE"), [1]!hcahps[HCAHPS Linear Mean Value]), "No Match")</f>
        <v>90</v>
      </c>
      <c r="F1143" cm="1">
        <f t="array" ref="F1143">_xlfn.IFNA(_xlfn.XLOOKUP(1,([1]!readmissions[Facility ID] = clean[[#This Row],[Facility ID]]) * ([1]!readmissions[Measure ID] = "Hybrid_HWR"), [1]!readmissions[Score]), "No Match")</f>
        <v>15.3</v>
      </c>
    </row>
    <row r="1144" spans="1:6" x14ac:dyDescent="0.2">
      <c r="A1144">
        <f>[1]!hospitalinfo[[#This Row],[Facility ID]]</f>
        <v>110128</v>
      </c>
      <c r="B1144" t="str">
        <f>[1]!hospitalinfo[[#This Row],[State]]</f>
        <v>GA</v>
      </c>
      <c r="C1144" t="str">
        <f>[1]!hospitalinfo[[#This Row],[Hospital Type]]</f>
        <v>Acute Care Hospitals</v>
      </c>
      <c r="D1144" t="str">
        <f>[1]!hospitalinfo[[#This Row],[Hospital Ownership]]</f>
        <v>Proprietary</v>
      </c>
      <c r="E1144" cm="1">
        <f t="array" ref="E1144">_xlfn.IFNA(_xlfn.XLOOKUP(1,([1]!hcahps[Facility ID] = clean[[#This Row],[Facility ID]]) * ([1]!hcahps[HCAHPS Measure ID] = "H_HSP_RATING_LINEAR_SCORE"), [1]!hcahps[HCAHPS Linear Mean Value]), "No Match")</f>
        <v>91</v>
      </c>
      <c r="F1144" cm="1">
        <f t="array" ref="F1144">_xlfn.IFNA(_xlfn.XLOOKUP(1,([1]!readmissions[Facility ID] = clean[[#This Row],[Facility ID]]) * ([1]!readmissions[Measure ID] = "Hybrid_HWR"), [1]!readmissions[Score]), "No Match")</f>
        <v>15.2</v>
      </c>
    </row>
    <row r="1145" spans="1:6" x14ac:dyDescent="0.2">
      <c r="A1145">
        <f>[1]!hospitalinfo[[#This Row],[Facility ID]]</f>
        <v>110129</v>
      </c>
      <c r="B1145" t="str">
        <f>[1]!hospitalinfo[[#This Row],[State]]</f>
        <v>GA</v>
      </c>
      <c r="C1145" t="str">
        <f>[1]!hospitalinfo[[#This Row],[Hospital Type]]</f>
        <v>Acute Care Hospitals</v>
      </c>
      <c r="D1145" t="str">
        <f>[1]!hospitalinfo[[#This Row],[Hospital Ownership]]</f>
        <v>Voluntary non-profit - Private</v>
      </c>
      <c r="E1145" cm="1">
        <f t="array" ref="E1145">_xlfn.IFNA(_xlfn.XLOOKUP(1,([1]!hcahps[Facility ID] = clean[[#This Row],[Facility ID]]) * ([1]!hcahps[HCAHPS Measure ID] = "H_HSP_RATING_LINEAR_SCORE"), [1]!hcahps[HCAHPS Linear Mean Value]), "No Match")</f>
        <v>86</v>
      </c>
      <c r="F1145" cm="1">
        <f t="array" ref="F1145">_xlfn.IFNA(_xlfn.XLOOKUP(1,([1]!readmissions[Facility ID] = clean[[#This Row],[Facility ID]]) * ([1]!readmissions[Measure ID] = "Hybrid_HWR"), [1]!readmissions[Score]), "No Match")</f>
        <v>14.6</v>
      </c>
    </row>
    <row r="1146" spans="1:6" x14ac:dyDescent="0.2">
      <c r="A1146">
        <f>[1]!hospitalinfo[[#This Row],[Facility ID]]</f>
        <v>110132</v>
      </c>
      <c r="B1146" t="str">
        <f>[1]!hospitalinfo[[#This Row],[State]]</f>
        <v>GA</v>
      </c>
      <c r="C1146" t="str">
        <f>[1]!hospitalinfo[[#This Row],[Hospital Type]]</f>
        <v>Acute Care Hospitals</v>
      </c>
      <c r="D1146" t="str">
        <f>[1]!hospitalinfo[[#This Row],[Hospital Ownership]]</f>
        <v>Government - Hospital District or Authority</v>
      </c>
      <c r="E1146" cm="1">
        <f t="array" ref="E1146">_xlfn.IFNA(_xlfn.XLOOKUP(1,([1]!hcahps[Facility ID] = clean[[#This Row],[Facility ID]]) * ([1]!hcahps[HCAHPS Measure ID] = "H_HSP_RATING_LINEAR_SCORE"), [1]!hcahps[HCAHPS Linear Mean Value]), "No Match")</f>
        <v>84</v>
      </c>
      <c r="F1146" cm="1">
        <f t="array" ref="F1146">_xlfn.IFNA(_xlfn.XLOOKUP(1,([1]!readmissions[Facility ID] = clean[[#This Row],[Facility ID]]) * ([1]!readmissions[Measure ID] = "Hybrid_HWR"), [1]!readmissions[Score]), "No Match")</f>
        <v>15.4</v>
      </c>
    </row>
    <row r="1147" spans="1:6" x14ac:dyDescent="0.2">
      <c r="A1147">
        <f>[1]!hospitalinfo[[#This Row],[Facility ID]]</f>
        <v>110142</v>
      </c>
      <c r="B1147" t="str">
        <f>[1]!hospitalinfo[[#This Row],[State]]</f>
        <v>GA</v>
      </c>
      <c r="C1147" t="str">
        <f>[1]!hospitalinfo[[#This Row],[Hospital Type]]</f>
        <v>Acute Care Hospitals</v>
      </c>
      <c r="D1147" t="str">
        <f>[1]!hospitalinfo[[#This Row],[Hospital Ownership]]</f>
        <v>Government - Hospital District or Authority</v>
      </c>
      <c r="E1147" cm="1">
        <f t="array" ref="E1147">_xlfn.IFNA(_xlfn.XLOOKUP(1,([1]!hcahps[Facility ID] = clean[[#This Row],[Facility ID]]) * ([1]!hcahps[HCAHPS Measure ID] = "H_HSP_RATING_LINEAR_SCORE"), [1]!hcahps[HCAHPS Linear Mean Value]), "No Match")</f>
        <v>91</v>
      </c>
      <c r="F1147" cm="1">
        <f t="array" ref="F1147">_xlfn.IFNA(_xlfn.XLOOKUP(1,([1]!readmissions[Facility ID] = clean[[#This Row],[Facility ID]]) * ([1]!readmissions[Measure ID] = "Hybrid_HWR"), [1]!readmissions[Score]), "No Match")</f>
        <v>14.7</v>
      </c>
    </row>
    <row r="1148" spans="1:6" x14ac:dyDescent="0.2">
      <c r="A1148">
        <f>[1]!hospitalinfo[[#This Row],[Facility ID]]</f>
        <v>110143</v>
      </c>
      <c r="B1148" t="str">
        <f>[1]!hospitalinfo[[#This Row],[State]]</f>
        <v>GA</v>
      </c>
      <c r="C1148" t="str">
        <f>[1]!hospitalinfo[[#This Row],[Hospital Type]]</f>
        <v>Acute Care Hospitals</v>
      </c>
      <c r="D1148" t="str">
        <f>[1]!hospitalinfo[[#This Row],[Hospital Ownership]]</f>
        <v>Voluntary non-profit - Other</v>
      </c>
      <c r="E1148" cm="1">
        <f t="array" ref="E1148">_xlfn.IFNA(_xlfn.XLOOKUP(1,([1]!hcahps[Facility ID] = clean[[#This Row],[Facility ID]]) * ([1]!hcahps[HCAHPS Measure ID] = "H_HSP_RATING_LINEAR_SCORE"), [1]!hcahps[HCAHPS Linear Mean Value]), "No Match")</f>
        <v>87</v>
      </c>
      <c r="F1148" cm="1">
        <f t="array" ref="F1148">_xlfn.IFNA(_xlfn.XLOOKUP(1,([1]!readmissions[Facility ID] = clean[[#This Row],[Facility ID]]) * ([1]!readmissions[Measure ID] = "Hybrid_HWR"), [1]!readmissions[Score]), "No Match")</f>
        <v>14.5</v>
      </c>
    </row>
    <row r="1149" spans="1:6" x14ac:dyDescent="0.2">
      <c r="A1149">
        <f>[1]!hospitalinfo[[#This Row],[Facility ID]]</f>
        <v>110146</v>
      </c>
      <c r="B1149" t="str">
        <f>[1]!hospitalinfo[[#This Row],[State]]</f>
        <v>GA</v>
      </c>
      <c r="C1149" t="str">
        <f>[1]!hospitalinfo[[#This Row],[Hospital Type]]</f>
        <v>Acute Care Hospitals</v>
      </c>
      <c r="D1149" t="str">
        <f>[1]!hospitalinfo[[#This Row],[Hospital Ownership]]</f>
        <v>Government - Hospital District or Authority</v>
      </c>
      <c r="E1149" cm="1">
        <f t="array" ref="E1149">_xlfn.IFNA(_xlfn.XLOOKUP(1,([1]!hcahps[Facility ID] = clean[[#This Row],[Facility ID]]) * ([1]!hcahps[HCAHPS Measure ID] = "H_HSP_RATING_LINEAR_SCORE"), [1]!hcahps[HCAHPS Linear Mean Value]), "No Match")</f>
        <v>89</v>
      </c>
      <c r="F1149" cm="1">
        <f t="array" ref="F1149">_xlfn.IFNA(_xlfn.XLOOKUP(1,([1]!readmissions[Facility ID] = clean[[#This Row],[Facility ID]]) * ([1]!readmissions[Measure ID] = "Hybrid_HWR"), [1]!readmissions[Score]), "No Match")</f>
        <v>15.1</v>
      </c>
    </row>
    <row r="1150" spans="1:6" x14ac:dyDescent="0.2">
      <c r="A1150">
        <f>[1]!hospitalinfo[[#This Row],[Facility ID]]</f>
        <v>110150</v>
      </c>
      <c r="B1150" t="str">
        <f>[1]!hospitalinfo[[#This Row],[State]]</f>
        <v>GA</v>
      </c>
      <c r="C1150" t="str">
        <f>[1]!hospitalinfo[[#This Row],[Hospital Type]]</f>
        <v>Acute Care Hospitals</v>
      </c>
      <c r="D1150" t="str">
        <f>[1]!hospitalinfo[[#This Row],[Hospital Ownership]]</f>
        <v>Proprietary</v>
      </c>
      <c r="E1150" cm="1">
        <f t="array" ref="E1150">_xlfn.IFNA(_xlfn.XLOOKUP(1,([1]!hcahps[Facility ID] = clean[[#This Row],[Facility ID]]) * ([1]!hcahps[HCAHPS Measure ID] = "H_HSP_RATING_LINEAR_SCORE"), [1]!hcahps[HCAHPS Linear Mean Value]), "No Match")</f>
        <v>84</v>
      </c>
      <c r="F1150" cm="1">
        <f t="array" ref="F1150">_xlfn.IFNA(_xlfn.XLOOKUP(1,([1]!readmissions[Facility ID] = clean[[#This Row],[Facility ID]]) * ([1]!readmissions[Measure ID] = "Hybrid_HWR"), [1]!readmissions[Score]), "No Match")</f>
        <v>14.8</v>
      </c>
    </row>
    <row r="1151" spans="1:6" x14ac:dyDescent="0.2">
      <c r="A1151">
        <f>[1]!hospitalinfo[[#This Row],[Facility ID]]</f>
        <v>110161</v>
      </c>
      <c r="B1151" t="str">
        <f>[1]!hospitalinfo[[#This Row],[State]]</f>
        <v>GA</v>
      </c>
      <c r="C1151" t="str">
        <f>[1]!hospitalinfo[[#This Row],[Hospital Type]]</f>
        <v>Acute Care Hospitals</v>
      </c>
      <c r="D1151" t="str">
        <f>[1]!hospitalinfo[[#This Row],[Hospital Ownership]]</f>
        <v>Voluntary non-profit - Private</v>
      </c>
      <c r="E1151" cm="1">
        <f t="array" ref="E1151">_xlfn.IFNA(_xlfn.XLOOKUP(1,([1]!hcahps[Facility ID] = clean[[#This Row],[Facility ID]]) * ([1]!hcahps[HCAHPS Measure ID] = "H_HSP_RATING_LINEAR_SCORE"), [1]!hcahps[HCAHPS Linear Mean Value]), "No Match")</f>
        <v>89</v>
      </c>
      <c r="F1151" cm="1">
        <f t="array" ref="F1151">_xlfn.IFNA(_xlfn.XLOOKUP(1,([1]!readmissions[Facility ID] = clean[[#This Row],[Facility ID]]) * ([1]!readmissions[Measure ID] = "Hybrid_HWR"), [1]!readmissions[Score]), "No Match")</f>
        <v>15.1</v>
      </c>
    </row>
    <row r="1152" spans="1:6" x14ac:dyDescent="0.2">
      <c r="A1152">
        <f>[1]!hospitalinfo[[#This Row],[Facility ID]]</f>
        <v>110164</v>
      </c>
      <c r="B1152" t="str">
        <f>[1]!hospitalinfo[[#This Row],[State]]</f>
        <v>GA</v>
      </c>
      <c r="C1152" t="str">
        <f>[1]!hospitalinfo[[#This Row],[Hospital Type]]</f>
        <v>Acute Care Hospitals</v>
      </c>
      <c r="D1152" t="str">
        <f>[1]!hospitalinfo[[#This Row],[Hospital Ownership]]</f>
        <v>Voluntary non-profit - Private</v>
      </c>
      <c r="E1152" cm="1">
        <f t="array" ref="E1152">_xlfn.IFNA(_xlfn.XLOOKUP(1,([1]!hcahps[Facility ID] = clean[[#This Row],[Facility ID]]) * ([1]!hcahps[HCAHPS Measure ID] = "H_HSP_RATING_LINEAR_SCORE"), [1]!hcahps[HCAHPS Linear Mean Value]), "No Match")</f>
        <v>86</v>
      </c>
      <c r="F1152" cm="1">
        <f t="array" ref="F1152">_xlfn.IFNA(_xlfn.XLOOKUP(1,([1]!readmissions[Facility ID] = clean[[#This Row],[Facility ID]]) * ([1]!readmissions[Measure ID] = "Hybrid_HWR"), [1]!readmissions[Score]), "No Match")</f>
        <v>15.2</v>
      </c>
    </row>
    <row r="1153" spans="1:6" x14ac:dyDescent="0.2">
      <c r="A1153">
        <f>[1]!hospitalinfo[[#This Row],[Facility ID]]</f>
        <v>110165</v>
      </c>
      <c r="B1153" t="str">
        <f>[1]!hospitalinfo[[#This Row],[State]]</f>
        <v>GA</v>
      </c>
      <c r="C1153" t="str">
        <f>[1]!hospitalinfo[[#This Row],[Hospital Type]]</f>
        <v>Acute Care Hospitals</v>
      </c>
      <c r="D1153" t="str">
        <f>[1]!hospitalinfo[[#This Row],[Hospital Ownership]]</f>
        <v>Voluntary non-profit - Private</v>
      </c>
      <c r="E1153" cm="1">
        <f t="array" ref="E1153">_xlfn.IFNA(_xlfn.XLOOKUP(1,([1]!hcahps[Facility ID] = clean[[#This Row],[Facility ID]]) * ([1]!hcahps[HCAHPS Measure ID] = "H_HSP_RATING_LINEAR_SCORE"), [1]!hcahps[HCAHPS Linear Mean Value]), "No Match")</f>
        <v>80</v>
      </c>
      <c r="F1153" cm="1">
        <f t="array" ref="F1153">_xlfn.IFNA(_xlfn.XLOOKUP(1,([1]!readmissions[Facility ID] = clean[[#This Row],[Facility ID]]) * ([1]!readmissions[Measure ID] = "Hybrid_HWR"), [1]!readmissions[Score]), "No Match")</f>
        <v>15.5</v>
      </c>
    </row>
    <row r="1154" spans="1:6" x14ac:dyDescent="0.2">
      <c r="A1154">
        <f>[1]!hospitalinfo[[#This Row],[Facility ID]]</f>
        <v>110168</v>
      </c>
      <c r="B1154" t="str">
        <f>[1]!hospitalinfo[[#This Row],[State]]</f>
        <v>GA</v>
      </c>
      <c r="C1154" t="str">
        <f>[1]!hospitalinfo[[#This Row],[Hospital Type]]</f>
        <v>Acute Care Hospitals</v>
      </c>
      <c r="D1154" t="str">
        <f>[1]!hospitalinfo[[#This Row],[Hospital Ownership]]</f>
        <v>Proprietary</v>
      </c>
      <c r="E1154" cm="1">
        <f t="array" ref="E1154">_xlfn.IFNA(_xlfn.XLOOKUP(1,([1]!hcahps[Facility ID] = clean[[#This Row],[Facility ID]]) * ([1]!hcahps[HCAHPS Measure ID] = "H_HSP_RATING_LINEAR_SCORE"), [1]!hcahps[HCAHPS Linear Mean Value]), "No Match")</f>
        <v>90</v>
      </c>
      <c r="F1154" cm="1">
        <f t="array" ref="F1154">_xlfn.IFNA(_xlfn.XLOOKUP(1,([1]!readmissions[Facility ID] = clean[[#This Row],[Facility ID]]) * ([1]!readmissions[Measure ID] = "Hybrid_HWR"), [1]!readmissions[Score]), "No Match")</f>
        <v>14.6</v>
      </c>
    </row>
    <row r="1155" spans="1:6" x14ac:dyDescent="0.2">
      <c r="A1155">
        <f>[1]!hospitalinfo[[#This Row],[Facility ID]]</f>
        <v>110177</v>
      </c>
      <c r="B1155" t="str">
        <f>[1]!hospitalinfo[[#This Row],[State]]</f>
        <v>GA</v>
      </c>
      <c r="C1155" t="str">
        <f>[1]!hospitalinfo[[#This Row],[Hospital Type]]</f>
        <v>Acute Care Hospitals</v>
      </c>
      <c r="D1155" t="str">
        <f>[1]!hospitalinfo[[#This Row],[Hospital Ownership]]</f>
        <v>Proprietary</v>
      </c>
      <c r="E1155" cm="1">
        <f t="array" ref="E1155">_xlfn.IFNA(_xlfn.XLOOKUP(1,([1]!hcahps[Facility ID] = clean[[#This Row],[Facility ID]]) * ([1]!hcahps[HCAHPS Measure ID] = "H_HSP_RATING_LINEAR_SCORE"), [1]!hcahps[HCAHPS Linear Mean Value]), "No Match")</f>
        <v>87</v>
      </c>
      <c r="F1155" cm="1">
        <f t="array" ref="F1155">_xlfn.IFNA(_xlfn.XLOOKUP(1,([1]!readmissions[Facility ID] = clean[[#This Row],[Facility ID]]) * ([1]!readmissions[Measure ID] = "Hybrid_HWR"), [1]!readmissions[Score]), "No Match")</f>
        <v>14.9</v>
      </c>
    </row>
    <row r="1156" spans="1:6" x14ac:dyDescent="0.2">
      <c r="A1156">
        <f>[1]!hospitalinfo[[#This Row],[Facility ID]]</f>
        <v>110184</v>
      </c>
      <c r="B1156" t="str">
        <f>[1]!hospitalinfo[[#This Row],[State]]</f>
        <v>GA</v>
      </c>
      <c r="C1156" t="str">
        <f>[1]!hospitalinfo[[#This Row],[Hospital Type]]</f>
        <v>Acute Care Hospitals</v>
      </c>
      <c r="D1156" t="str">
        <f>[1]!hospitalinfo[[#This Row],[Hospital Ownership]]</f>
        <v>Voluntary non-profit - Private</v>
      </c>
      <c r="E1156" cm="1">
        <f t="array" ref="E1156">_xlfn.IFNA(_xlfn.XLOOKUP(1,([1]!hcahps[Facility ID] = clean[[#This Row],[Facility ID]]) * ([1]!hcahps[HCAHPS Measure ID] = "H_HSP_RATING_LINEAR_SCORE"), [1]!hcahps[HCAHPS Linear Mean Value]), "No Match")</f>
        <v>86</v>
      </c>
      <c r="F1156" cm="1">
        <f t="array" ref="F1156">_xlfn.IFNA(_xlfn.XLOOKUP(1,([1]!readmissions[Facility ID] = clean[[#This Row],[Facility ID]]) * ([1]!readmissions[Measure ID] = "Hybrid_HWR"), [1]!readmissions[Score]), "No Match")</f>
        <v>14.3</v>
      </c>
    </row>
    <row r="1157" spans="1:6" x14ac:dyDescent="0.2">
      <c r="A1157">
        <f>[1]!hospitalinfo[[#This Row],[Facility ID]]</f>
        <v>110190</v>
      </c>
      <c r="B1157" t="str">
        <f>[1]!hospitalinfo[[#This Row],[State]]</f>
        <v>GA</v>
      </c>
      <c r="C1157" t="str">
        <f>[1]!hospitalinfo[[#This Row],[Hospital Type]]</f>
        <v>Acute Care Hospitals</v>
      </c>
      <c r="D1157" t="str">
        <f>[1]!hospitalinfo[[#This Row],[Hospital Ownership]]</f>
        <v>Voluntary non-profit - Private</v>
      </c>
      <c r="E1157" t="str" cm="1">
        <f t="array" ref="E1157">_xlfn.IFNA(_xlfn.XLOOKUP(1,([1]!hcahps[Facility ID] = clean[[#This Row],[Facility ID]]) * ([1]!hcahps[HCAHPS Measure ID] = "H_HSP_RATING_LINEAR_SCORE"), [1]!hcahps[HCAHPS Linear Mean Value]), "No Match")</f>
        <v>Not Available</v>
      </c>
      <c r="F1157" t="str" cm="1">
        <f t="array" ref="F1157">_xlfn.IFNA(_xlfn.XLOOKUP(1,([1]!readmissions[Facility ID] = clean[[#This Row],[Facility ID]]) * ([1]!readmissions[Measure ID] = "Hybrid_HWR"), [1]!readmissions[Score]), "No Match")</f>
        <v>Not Available</v>
      </c>
    </row>
    <row r="1158" spans="1:6" x14ac:dyDescent="0.2">
      <c r="A1158">
        <f>[1]!hospitalinfo[[#This Row],[Facility ID]]</f>
        <v>110191</v>
      </c>
      <c r="B1158" t="str">
        <f>[1]!hospitalinfo[[#This Row],[State]]</f>
        <v>GA</v>
      </c>
      <c r="C1158" t="str">
        <f>[1]!hospitalinfo[[#This Row],[Hospital Type]]</f>
        <v>Acute Care Hospitals</v>
      </c>
      <c r="D1158" t="str">
        <f>[1]!hospitalinfo[[#This Row],[Hospital Ownership]]</f>
        <v>Government - Hospital District or Authority</v>
      </c>
      <c r="E1158" cm="1">
        <f t="array" ref="E1158">_xlfn.IFNA(_xlfn.XLOOKUP(1,([1]!hcahps[Facility ID] = clean[[#This Row],[Facility ID]]) * ([1]!hcahps[HCAHPS Measure ID] = "H_HSP_RATING_LINEAR_SCORE"), [1]!hcahps[HCAHPS Linear Mean Value]), "No Match")</f>
        <v>83</v>
      </c>
      <c r="F1158" cm="1">
        <f t="array" ref="F1158">_xlfn.IFNA(_xlfn.XLOOKUP(1,([1]!readmissions[Facility ID] = clean[[#This Row],[Facility ID]]) * ([1]!readmissions[Measure ID] = "Hybrid_HWR"), [1]!readmissions[Score]), "No Match")</f>
        <v>14.7</v>
      </c>
    </row>
    <row r="1159" spans="1:6" x14ac:dyDescent="0.2">
      <c r="A1159">
        <f>[1]!hospitalinfo[[#This Row],[Facility ID]]</f>
        <v>110192</v>
      </c>
      <c r="B1159" t="str">
        <f>[1]!hospitalinfo[[#This Row],[State]]</f>
        <v>GA</v>
      </c>
      <c r="C1159" t="str">
        <f>[1]!hospitalinfo[[#This Row],[Hospital Type]]</f>
        <v>Acute Care Hospitals</v>
      </c>
      <c r="D1159" t="str">
        <f>[1]!hospitalinfo[[#This Row],[Hospital Ownership]]</f>
        <v>Proprietary</v>
      </c>
      <c r="E1159" cm="1">
        <f t="array" ref="E1159">_xlfn.IFNA(_xlfn.XLOOKUP(1,([1]!hcahps[Facility ID] = clean[[#This Row],[Facility ID]]) * ([1]!hcahps[HCAHPS Measure ID] = "H_HSP_RATING_LINEAR_SCORE"), [1]!hcahps[HCAHPS Linear Mean Value]), "No Match")</f>
        <v>83</v>
      </c>
      <c r="F1159" cm="1">
        <f t="array" ref="F1159">_xlfn.IFNA(_xlfn.XLOOKUP(1,([1]!readmissions[Facility ID] = clean[[#This Row],[Facility ID]]) * ([1]!readmissions[Measure ID] = "Hybrid_HWR"), [1]!readmissions[Score]), "No Match")</f>
        <v>14.9</v>
      </c>
    </row>
    <row r="1160" spans="1:6" x14ac:dyDescent="0.2">
      <c r="A1160">
        <f>[1]!hospitalinfo[[#This Row],[Facility ID]]</f>
        <v>110194</v>
      </c>
      <c r="B1160" t="str">
        <f>[1]!hospitalinfo[[#This Row],[State]]</f>
        <v>GA</v>
      </c>
      <c r="C1160" t="str">
        <f>[1]!hospitalinfo[[#This Row],[Hospital Type]]</f>
        <v>Acute Care Hospitals</v>
      </c>
      <c r="D1160" t="str">
        <f>[1]!hospitalinfo[[#This Row],[Hospital Ownership]]</f>
        <v>Voluntary non-profit - Private</v>
      </c>
      <c r="E1160" t="str" cm="1">
        <f t="array" ref="E1160">_xlfn.IFNA(_xlfn.XLOOKUP(1,([1]!hcahps[Facility ID] = clean[[#This Row],[Facility ID]]) * ([1]!hcahps[HCAHPS Measure ID] = "H_HSP_RATING_LINEAR_SCORE"), [1]!hcahps[HCAHPS Linear Mean Value]), "No Match")</f>
        <v>Not Available</v>
      </c>
      <c r="F1160" cm="1">
        <f t="array" ref="F1160">_xlfn.IFNA(_xlfn.XLOOKUP(1,([1]!readmissions[Facility ID] = clean[[#This Row],[Facility ID]]) * ([1]!readmissions[Measure ID] = "Hybrid_HWR"), [1]!readmissions[Score]), "No Match")</f>
        <v>14.8</v>
      </c>
    </row>
    <row r="1161" spans="1:6" x14ac:dyDescent="0.2">
      <c r="A1161">
        <f>[1]!hospitalinfo[[#This Row],[Facility ID]]</f>
        <v>110198</v>
      </c>
      <c r="B1161" t="str">
        <f>[1]!hospitalinfo[[#This Row],[State]]</f>
        <v>GA</v>
      </c>
      <c r="C1161" t="str">
        <f>[1]!hospitalinfo[[#This Row],[Hospital Type]]</f>
        <v>Acute Care Hospitals</v>
      </c>
      <c r="D1161" t="str">
        <f>[1]!hospitalinfo[[#This Row],[Hospital Ownership]]</f>
        <v>Proprietary</v>
      </c>
      <c r="E1161" cm="1">
        <f t="array" ref="E1161">_xlfn.IFNA(_xlfn.XLOOKUP(1,([1]!hcahps[Facility ID] = clean[[#This Row],[Facility ID]]) * ([1]!hcahps[HCAHPS Measure ID] = "H_HSP_RATING_LINEAR_SCORE"), [1]!hcahps[HCAHPS Linear Mean Value]), "No Match")</f>
        <v>84</v>
      </c>
      <c r="F1161" cm="1">
        <f t="array" ref="F1161">_xlfn.IFNA(_xlfn.XLOOKUP(1,([1]!readmissions[Facility ID] = clean[[#This Row],[Facility ID]]) * ([1]!readmissions[Measure ID] = "Hybrid_HWR"), [1]!readmissions[Score]), "No Match")</f>
        <v>14.5</v>
      </c>
    </row>
    <row r="1162" spans="1:6" x14ac:dyDescent="0.2">
      <c r="A1162">
        <f>[1]!hospitalinfo[[#This Row],[Facility ID]]</f>
        <v>110200</v>
      </c>
      <c r="B1162" t="str">
        <f>[1]!hospitalinfo[[#This Row],[State]]</f>
        <v>GA</v>
      </c>
      <c r="C1162" t="str">
        <f>[1]!hospitalinfo[[#This Row],[Hospital Type]]</f>
        <v>Acute Care Hospitals</v>
      </c>
      <c r="D1162" t="str">
        <f>[1]!hospitalinfo[[#This Row],[Hospital Ownership]]</f>
        <v>Proprietary</v>
      </c>
      <c r="E1162" cm="1">
        <f t="array" ref="E1162">_xlfn.IFNA(_xlfn.XLOOKUP(1,([1]!hcahps[Facility ID] = clean[[#This Row],[Facility ID]]) * ([1]!hcahps[HCAHPS Measure ID] = "H_HSP_RATING_LINEAR_SCORE"), [1]!hcahps[HCAHPS Linear Mean Value]), "No Match")</f>
        <v>91</v>
      </c>
      <c r="F1162" cm="1">
        <f t="array" ref="F1162">_xlfn.IFNA(_xlfn.XLOOKUP(1,([1]!readmissions[Facility ID] = clean[[#This Row],[Facility ID]]) * ([1]!readmissions[Measure ID] = "Hybrid_HWR"), [1]!readmissions[Score]), "No Match")</f>
        <v>14.7</v>
      </c>
    </row>
    <row r="1163" spans="1:6" x14ac:dyDescent="0.2">
      <c r="A1163">
        <f>[1]!hospitalinfo[[#This Row],[Facility ID]]</f>
        <v>110201</v>
      </c>
      <c r="B1163" t="str">
        <f>[1]!hospitalinfo[[#This Row],[State]]</f>
        <v>GA</v>
      </c>
      <c r="C1163" t="str">
        <f>[1]!hospitalinfo[[#This Row],[Hospital Type]]</f>
        <v>Acute Care Hospitals</v>
      </c>
      <c r="D1163" t="str">
        <f>[1]!hospitalinfo[[#This Row],[Hospital Ownership]]</f>
        <v>Proprietary</v>
      </c>
      <c r="E1163" cm="1">
        <f t="array" ref="E1163">_xlfn.IFNA(_xlfn.XLOOKUP(1,([1]!hcahps[Facility ID] = clean[[#This Row],[Facility ID]]) * ([1]!hcahps[HCAHPS Measure ID] = "H_HSP_RATING_LINEAR_SCORE"), [1]!hcahps[HCAHPS Linear Mean Value]), "No Match")</f>
        <v>88</v>
      </c>
      <c r="F1163" cm="1">
        <f t="array" ref="F1163">_xlfn.IFNA(_xlfn.XLOOKUP(1,([1]!readmissions[Facility ID] = clean[[#This Row],[Facility ID]]) * ([1]!readmissions[Measure ID] = "Hybrid_HWR"), [1]!readmissions[Score]), "No Match")</f>
        <v>15</v>
      </c>
    </row>
    <row r="1164" spans="1:6" x14ac:dyDescent="0.2">
      <c r="A1164">
        <f>[1]!hospitalinfo[[#This Row],[Facility ID]]</f>
        <v>110209</v>
      </c>
      <c r="B1164" t="str">
        <f>[1]!hospitalinfo[[#This Row],[State]]</f>
        <v>GA</v>
      </c>
      <c r="C1164" t="str">
        <f>[1]!hospitalinfo[[#This Row],[Hospital Type]]</f>
        <v>Acute Care Hospitals</v>
      </c>
      <c r="D1164" t="str">
        <f>[1]!hospitalinfo[[#This Row],[Hospital Ownership]]</f>
        <v>Proprietary</v>
      </c>
      <c r="E1164" t="str" cm="1">
        <f t="array" ref="E1164">_xlfn.IFNA(_xlfn.XLOOKUP(1,([1]!hcahps[Facility ID] = clean[[#This Row],[Facility ID]]) * ([1]!hcahps[HCAHPS Measure ID] = "H_HSP_RATING_LINEAR_SCORE"), [1]!hcahps[HCAHPS Linear Mean Value]), "No Match")</f>
        <v>Not Available</v>
      </c>
      <c r="F1164" cm="1">
        <f t="array" ref="F1164">_xlfn.IFNA(_xlfn.XLOOKUP(1,([1]!readmissions[Facility ID] = clean[[#This Row],[Facility ID]]) * ([1]!readmissions[Measure ID] = "Hybrid_HWR"), [1]!readmissions[Score]), "No Match")</f>
        <v>13.3</v>
      </c>
    </row>
    <row r="1165" spans="1:6" x14ac:dyDescent="0.2">
      <c r="A1165">
        <f>[1]!hospitalinfo[[#This Row],[Facility ID]]</f>
        <v>110215</v>
      </c>
      <c r="B1165" t="str">
        <f>[1]!hospitalinfo[[#This Row],[State]]</f>
        <v>GA</v>
      </c>
      <c r="C1165" t="str">
        <f>[1]!hospitalinfo[[#This Row],[Hospital Type]]</f>
        <v>Acute Care Hospitals</v>
      </c>
      <c r="D1165" t="str">
        <f>[1]!hospitalinfo[[#This Row],[Hospital Ownership]]</f>
        <v>Voluntary non-profit - Private</v>
      </c>
      <c r="E1165" cm="1">
        <f t="array" ref="E1165">_xlfn.IFNA(_xlfn.XLOOKUP(1,([1]!hcahps[Facility ID] = clean[[#This Row],[Facility ID]]) * ([1]!hcahps[HCAHPS Measure ID] = "H_HSP_RATING_LINEAR_SCORE"), [1]!hcahps[HCAHPS Linear Mean Value]), "No Match")</f>
        <v>88</v>
      </c>
      <c r="F1165" cm="1">
        <f t="array" ref="F1165">_xlfn.IFNA(_xlfn.XLOOKUP(1,([1]!readmissions[Facility ID] = clean[[#This Row],[Facility ID]]) * ([1]!readmissions[Measure ID] = "Hybrid_HWR"), [1]!readmissions[Score]), "No Match")</f>
        <v>15.3</v>
      </c>
    </row>
    <row r="1166" spans="1:6" x14ac:dyDescent="0.2">
      <c r="A1166">
        <f>[1]!hospitalinfo[[#This Row],[Facility ID]]</f>
        <v>110225</v>
      </c>
      <c r="B1166" t="str">
        <f>[1]!hospitalinfo[[#This Row],[State]]</f>
        <v>GA</v>
      </c>
      <c r="C1166" t="str">
        <f>[1]!hospitalinfo[[#This Row],[Hospital Type]]</f>
        <v>Acute Care Hospitals</v>
      </c>
      <c r="D1166" t="str">
        <f>[1]!hospitalinfo[[#This Row],[Hospital Ownership]]</f>
        <v>Voluntary non-profit - Other</v>
      </c>
      <c r="E1166" cm="1">
        <f t="array" ref="E1166">_xlfn.IFNA(_xlfn.XLOOKUP(1,([1]!hcahps[Facility ID] = clean[[#This Row],[Facility ID]]) * ([1]!hcahps[HCAHPS Measure ID] = "H_HSP_RATING_LINEAR_SCORE"), [1]!hcahps[HCAHPS Linear Mean Value]), "No Match")</f>
        <v>88</v>
      </c>
      <c r="F1166" cm="1">
        <f t="array" ref="F1166">_xlfn.IFNA(_xlfn.XLOOKUP(1,([1]!readmissions[Facility ID] = clean[[#This Row],[Facility ID]]) * ([1]!readmissions[Measure ID] = "Hybrid_HWR"), [1]!readmissions[Score]), "No Match")</f>
        <v>14.5</v>
      </c>
    </row>
    <row r="1167" spans="1:6" x14ac:dyDescent="0.2">
      <c r="A1167">
        <f>[1]!hospitalinfo[[#This Row],[Facility ID]]</f>
        <v>110226</v>
      </c>
      <c r="B1167" t="str">
        <f>[1]!hospitalinfo[[#This Row],[State]]</f>
        <v>GA</v>
      </c>
      <c r="C1167" t="str">
        <f>[1]!hospitalinfo[[#This Row],[Hospital Type]]</f>
        <v>Acute Care Hospitals</v>
      </c>
      <c r="D1167" t="str">
        <f>[1]!hospitalinfo[[#This Row],[Hospital Ownership]]</f>
        <v>Government - Hospital District or Authority</v>
      </c>
      <c r="E1167" cm="1">
        <f t="array" ref="E1167">_xlfn.IFNA(_xlfn.XLOOKUP(1,([1]!hcahps[Facility ID] = clean[[#This Row],[Facility ID]]) * ([1]!hcahps[HCAHPS Measure ID] = "H_HSP_RATING_LINEAR_SCORE"), [1]!hcahps[HCAHPS Linear Mean Value]), "No Match")</f>
        <v>86</v>
      </c>
      <c r="F1167" cm="1">
        <f t="array" ref="F1167">_xlfn.IFNA(_xlfn.XLOOKUP(1,([1]!readmissions[Facility ID] = clean[[#This Row],[Facility ID]]) * ([1]!readmissions[Measure ID] = "Hybrid_HWR"), [1]!readmissions[Score]), "No Match")</f>
        <v>15.6</v>
      </c>
    </row>
    <row r="1168" spans="1:6" x14ac:dyDescent="0.2">
      <c r="A1168">
        <f>[1]!hospitalinfo[[#This Row],[Facility ID]]</f>
        <v>110229</v>
      </c>
      <c r="B1168" t="str">
        <f>[1]!hospitalinfo[[#This Row],[State]]</f>
        <v>GA</v>
      </c>
      <c r="C1168" t="str">
        <f>[1]!hospitalinfo[[#This Row],[Hospital Type]]</f>
        <v>Acute Care Hospitals</v>
      </c>
      <c r="D1168" t="str">
        <f>[1]!hospitalinfo[[#This Row],[Hospital Ownership]]</f>
        <v>Voluntary non-profit - Private</v>
      </c>
      <c r="E1168" cm="1">
        <f t="array" ref="E1168">_xlfn.IFNA(_xlfn.XLOOKUP(1,([1]!hcahps[Facility ID] = clean[[#This Row],[Facility ID]]) * ([1]!hcahps[HCAHPS Measure ID] = "H_HSP_RATING_LINEAR_SCORE"), [1]!hcahps[HCAHPS Linear Mean Value]), "No Match")</f>
        <v>88</v>
      </c>
      <c r="F1168" cm="1">
        <f t="array" ref="F1168">_xlfn.IFNA(_xlfn.XLOOKUP(1,([1]!readmissions[Facility ID] = clean[[#This Row],[Facility ID]]) * ([1]!readmissions[Measure ID] = "Hybrid_HWR"), [1]!readmissions[Score]), "No Match")</f>
        <v>14.4</v>
      </c>
    </row>
    <row r="1169" spans="1:6" x14ac:dyDescent="0.2">
      <c r="A1169">
        <f>[1]!hospitalinfo[[#This Row],[Facility ID]]</f>
        <v>110230</v>
      </c>
      <c r="B1169" t="str">
        <f>[1]!hospitalinfo[[#This Row],[State]]</f>
        <v>GA</v>
      </c>
      <c r="C1169" t="str">
        <f>[1]!hospitalinfo[[#This Row],[Hospital Type]]</f>
        <v>Acute Care Hospitals</v>
      </c>
      <c r="D1169" t="str">
        <f>[1]!hospitalinfo[[#This Row],[Hospital Ownership]]</f>
        <v>Proprietary</v>
      </c>
      <c r="E1169" cm="1">
        <f t="array" ref="E1169">_xlfn.IFNA(_xlfn.XLOOKUP(1,([1]!hcahps[Facility ID] = clean[[#This Row],[Facility ID]]) * ([1]!hcahps[HCAHPS Measure ID] = "H_HSP_RATING_LINEAR_SCORE"), [1]!hcahps[HCAHPS Linear Mean Value]), "No Match")</f>
        <v>87</v>
      </c>
      <c r="F1169" cm="1">
        <f t="array" ref="F1169">_xlfn.IFNA(_xlfn.XLOOKUP(1,([1]!readmissions[Facility ID] = clean[[#This Row],[Facility ID]]) * ([1]!readmissions[Measure ID] = "Hybrid_HWR"), [1]!readmissions[Score]), "No Match")</f>
        <v>14.5</v>
      </c>
    </row>
    <row r="1170" spans="1:6" x14ac:dyDescent="0.2">
      <c r="A1170">
        <f>[1]!hospitalinfo[[#This Row],[Facility ID]]</f>
        <v>110233</v>
      </c>
      <c r="B1170" t="str">
        <f>[1]!hospitalinfo[[#This Row],[State]]</f>
        <v>GA</v>
      </c>
      <c r="C1170" t="str">
        <f>[1]!hospitalinfo[[#This Row],[Hospital Type]]</f>
        <v>Acute Care Hospitals</v>
      </c>
      <c r="D1170" t="str">
        <f>[1]!hospitalinfo[[#This Row],[Hospital Ownership]]</f>
        <v>Proprietary</v>
      </c>
      <c r="E1170" cm="1">
        <f t="array" ref="E1170">_xlfn.IFNA(_xlfn.XLOOKUP(1,([1]!hcahps[Facility ID] = clean[[#This Row],[Facility ID]]) * ([1]!hcahps[HCAHPS Measure ID] = "H_HSP_RATING_LINEAR_SCORE"), [1]!hcahps[HCAHPS Linear Mean Value]), "No Match")</f>
        <v>96</v>
      </c>
      <c r="F1170" cm="1">
        <f t="array" ref="F1170">_xlfn.IFNA(_xlfn.XLOOKUP(1,([1]!readmissions[Facility ID] = clean[[#This Row],[Facility ID]]) * ([1]!readmissions[Measure ID] = "Hybrid_HWR"), [1]!readmissions[Score]), "No Match")</f>
        <v>15.7</v>
      </c>
    </row>
    <row r="1171" spans="1:6" x14ac:dyDescent="0.2">
      <c r="A1171">
        <f>[1]!hospitalinfo[[#This Row],[Facility ID]]</f>
        <v>110234</v>
      </c>
      <c r="B1171" t="str">
        <f>[1]!hospitalinfo[[#This Row],[State]]</f>
        <v>GA</v>
      </c>
      <c r="C1171" t="str">
        <f>[1]!hospitalinfo[[#This Row],[Hospital Type]]</f>
        <v>Acute Care Hospitals</v>
      </c>
      <c r="D1171" t="str">
        <f>[1]!hospitalinfo[[#This Row],[Hospital Ownership]]</f>
        <v>Government - Hospital District or Authority</v>
      </c>
      <c r="E1171" t="str" cm="1">
        <f t="array" ref="E1171">_xlfn.IFNA(_xlfn.XLOOKUP(1,([1]!hcahps[Facility ID] = clean[[#This Row],[Facility ID]]) * ([1]!hcahps[HCAHPS Measure ID] = "H_HSP_RATING_LINEAR_SCORE"), [1]!hcahps[HCAHPS Linear Mean Value]), "No Match")</f>
        <v>Not Available</v>
      </c>
      <c r="F1171" t="str" cm="1">
        <f t="array" ref="F1171">_xlfn.IFNA(_xlfn.XLOOKUP(1,([1]!readmissions[Facility ID] = clean[[#This Row],[Facility ID]]) * ([1]!readmissions[Measure ID] = "Hybrid_HWR"), [1]!readmissions[Score]), "No Match")</f>
        <v>Not Available</v>
      </c>
    </row>
    <row r="1172" spans="1:6" x14ac:dyDescent="0.2">
      <c r="A1172">
        <f>[1]!hospitalinfo[[#This Row],[Facility ID]]</f>
        <v>110236</v>
      </c>
      <c r="B1172" t="str">
        <f>[1]!hospitalinfo[[#This Row],[State]]</f>
        <v>GA</v>
      </c>
      <c r="C1172" t="str">
        <f>[1]!hospitalinfo[[#This Row],[Hospital Type]]</f>
        <v>Acute Care Hospitals</v>
      </c>
      <c r="D1172" t="str">
        <f>[1]!hospitalinfo[[#This Row],[Hospital Ownership]]</f>
        <v>Voluntary non-profit - Private</v>
      </c>
      <c r="E1172" t="str" cm="1">
        <f t="array" ref="E1172">_xlfn.IFNA(_xlfn.XLOOKUP(1,([1]!hcahps[Facility ID] = clean[[#This Row],[Facility ID]]) * ([1]!hcahps[HCAHPS Measure ID] = "H_HSP_RATING_LINEAR_SCORE"), [1]!hcahps[HCAHPS Linear Mean Value]), "No Match")</f>
        <v>Not Available</v>
      </c>
      <c r="F1172" cm="1">
        <f t="array" ref="F1172">_xlfn.IFNA(_xlfn.XLOOKUP(1,([1]!readmissions[Facility ID] = clean[[#This Row],[Facility ID]]) * ([1]!readmissions[Measure ID] = "Hybrid_HWR"), [1]!readmissions[Score]), "No Match")</f>
        <v>14.8</v>
      </c>
    </row>
    <row r="1173" spans="1:6" x14ac:dyDescent="0.2">
      <c r="A1173">
        <f>[1]!hospitalinfo[[#This Row],[Facility ID]]</f>
        <v>110237</v>
      </c>
      <c r="B1173" t="str">
        <f>[1]!hospitalinfo[[#This Row],[State]]</f>
        <v>GA</v>
      </c>
      <c r="C1173" t="str">
        <f>[1]!hospitalinfo[[#This Row],[Hospital Type]]</f>
        <v>Acute Care Hospitals</v>
      </c>
      <c r="D1173" t="str">
        <f>[1]!hospitalinfo[[#This Row],[Hospital Ownership]]</f>
        <v>Voluntary non-profit - Other</v>
      </c>
      <c r="E1173" cm="1">
        <f t="array" ref="E1173">_xlfn.IFNA(_xlfn.XLOOKUP(1,([1]!hcahps[Facility ID] = clean[[#This Row],[Facility ID]]) * ([1]!hcahps[HCAHPS Measure ID] = "H_HSP_RATING_LINEAR_SCORE"), [1]!hcahps[HCAHPS Linear Mean Value]), "No Match")</f>
        <v>92</v>
      </c>
      <c r="F1173" cm="1">
        <f t="array" ref="F1173">_xlfn.IFNA(_xlfn.XLOOKUP(1,([1]!readmissions[Facility ID] = clean[[#This Row],[Facility ID]]) * ([1]!readmissions[Measure ID] = "Hybrid_HWR"), [1]!readmissions[Score]), "No Match")</f>
        <v>14.7</v>
      </c>
    </row>
    <row r="1174" spans="1:6" x14ac:dyDescent="0.2">
      <c r="A1174">
        <f>[1]!hospitalinfo[[#This Row],[Facility ID]]</f>
        <v>110252</v>
      </c>
      <c r="B1174" t="str">
        <f>[1]!hospitalinfo[[#This Row],[State]]</f>
        <v>GA</v>
      </c>
      <c r="C1174" t="str">
        <f>[1]!hospitalinfo[[#This Row],[Hospital Type]]</f>
        <v>Acute Care Hospitals</v>
      </c>
      <c r="D1174" t="str">
        <f>[1]!hospitalinfo[[#This Row],[Hospital Ownership]]</f>
        <v>Voluntary non-profit - Private</v>
      </c>
      <c r="E1174" cm="1">
        <f t="array" ref="E1174">_xlfn.IFNA(_xlfn.XLOOKUP(1,([1]!hcahps[Facility ID] = clean[[#This Row],[Facility ID]]) * ([1]!hcahps[HCAHPS Measure ID] = "H_HSP_RATING_LINEAR_SCORE"), [1]!hcahps[HCAHPS Linear Mean Value]), "No Match")</f>
        <v>87</v>
      </c>
      <c r="F1174" cm="1">
        <f t="array" ref="F1174">_xlfn.IFNA(_xlfn.XLOOKUP(1,([1]!readmissions[Facility ID] = clean[[#This Row],[Facility ID]]) * ([1]!readmissions[Measure ID] = "Hybrid_HWR"), [1]!readmissions[Score]), "No Match")</f>
        <v>14.6</v>
      </c>
    </row>
    <row r="1175" spans="1:6" x14ac:dyDescent="0.2">
      <c r="A1175">
        <f>[1]!hospitalinfo[[#This Row],[Facility ID]]</f>
        <v>110253</v>
      </c>
      <c r="B1175" t="str">
        <f>[1]!hospitalinfo[[#This Row],[State]]</f>
        <v>GA</v>
      </c>
      <c r="C1175" t="str">
        <f>[1]!hospitalinfo[[#This Row],[Hospital Type]]</f>
        <v>Acute Care Hospitals</v>
      </c>
      <c r="D1175" t="str">
        <f>[1]!hospitalinfo[[#This Row],[Hospital Ownership]]</f>
        <v>Proprietary</v>
      </c>
      <c r="E1175" t="str" cm="1">
        <f t="array" ref="E1175">_xlfn.IFNA(_xlfn.XLOOKUP(1,([1]!hcahps[Facility ID] = clean[[#This Row],[Facility ID]]) * ([1]!hcahps[HCAHPS Measure ID] = "H_HSP_RATING_LINEAR_SCORE"), [1]!hcahps[HCAHPS Linear Mean Value]), "No Match")</f>
        <v>Not Available</v>
      </c>
      <c r="F1175" t="str" cm="1">
        <f t="array" ref="F1175">_xlfn.IFNA(_xlfn.XLOOKUP(1,([1]!readmissions[Facility ID] = clean[[#This Row],[Facility ID]]) * ([1]!readmissions[Measure ID] = "Hybrid_HWR"), [1]!readmissions[Score]), "No Match")</f>
        <v>Not Available</v>
      </c>
    </row>
    <row r="1176" spans="1:6" x14ac:dyDescent="0.2">
      <c r="A1176">
        <f>[1]!hospitalinfo[[#This Row],[Facility ID]]</f>
        <v>110256</v>
      </c>
      <c r="B1176" t="str">
        <f>[1]!hospitalinfo[[#This Row],[State]]</f>
        <v>GA</v>
      </c>
      <c r="C1176" t="str">
        <f>[1]!hospitalinfo[[#This Row],[Hospital Type]]</f>
        <v>Acute Care Hospitals</v>
      </c>
      <c r="D1176" t="str">
        <f>[1]!hospitalinfo[[#This Row],[Hospital Ownership]]</f>
        <v>Voluntary non-profit - Private</v>
      </c>
      <c r="E1176" t="str" cm="1">
        <f t="array" ref="E1176">_xlfn.IFNA(_xlfn.XLOOKUP(1,([1]!hcahps[Facility ID] = clean[[#This Row],[Facility ID]]) * ([1]!hcahps[HCAHPS Measure ID] = "H_HSP_RATING_LINEAR_SCORE"), [1]!hcahps[HCAHPS Linear Mean Value]), "No Match")</f>
        <v>Not Available</v>
      </c>
      <c r="F1176" t="str" cm="1">
        <f t="array" ref="F1176">_xlfn.IFNA(_xlfn.XLOOKUP(1,([1]!readmissions[Facility ID] = clean[[#This Row],[Facility ID]]) * ([1]!readmissions[Measure ID] = "Hybrid_HWR"), [1]!readmissions[Score]), "No Match")</f>
        <v>Not Available</v>
      </c>
    </row>
    <row r="1177" spans="1:6" x14ac:dyDescent="0.2">
      <c r="A1177">
        <f>[1]!hospitalinfo[[#This Row],[Facility ID]]</f>
        <v>110779</v>
      </c>
      <c r="B1177" t="str">
        <f>[1]!hospitalinfo[[#This Row],[State]]</f>
        <v>GA</v>
      </c>
      <c r="C1177" t="str">
        <f>[1]!hospitalinfo[[#This Row],[Hospital Type]]</f>
        <v>Rural Emergency Hospital</v>
      </c>
      <c r="D1177" t="str">
        <f>[1]!hospitalinfo[[#This Row],[Hospital Ownership]]</f>
        <v>Government - Hospital District or Authority</v>
      </c>
      <c r="E1177" t="str" cm="1">
        <f t="array" ref="E1177">_xlfn.IFNA(_xlfn.XLOOKUP(1,([1]!hcahps[Facility ID] = clean[[#This Row],[Facility ID]]) * ([1]!hcahps[HCAHPS Measure ID] = "H_HSP_RATING_LINEAR_SCORE"), [1]!hcahps[HCAHPS Linear Mean Value]), "No Match")</f>
        <v>Not Available</v>
      </c>
      <c r="F1177" t="str" cm="1">
        <f t="array" ref="F1177">_xlfn.IFNA(_xlfn.XLOOKUP(1,([1]!readmissions[Facility ID] = clean[[#This Row],[Facility ID]]) * ([1]!readmissions[Measure ID] = "Hybrid_HWR"), [1]!readmissions[Score]), "No Match")</f>
        <v>Not Available</v>
      </c>
    </row>
    <row r="1178" spans="1:6" x14ac:dyDescent="0.2">
      <c r="A1178">
        <f>[1]!hospitalinfo[[#This Row],[Facility ID]]</f>
        <v>111302</v>
      </c>
      <c r="B1178" t="str">
        <f>[1]!hospitalinfo[[#This Row],[State]]</f>
        <v>GA</v>
      </c>
      <c r="C1178" t="str">
        <f>[1]!hospitalinfo[[#This Row],[Hospital Type]]</f>
        <v>Critical Access Hospitals</v>
      </c>
      <c r="D1178" t="str">
        <f>[1]!hospitalinfo[[#This Row],[Hospital Ownership]]</f>
        <v>Government - Hospital District or Authority</v>
      </c>
      <c r="E1178" t="str" cm="1">
        <f t="array" ref="E1178">_xlfn.IFNA(_xlfn.XLOOKUP(1,([1]!hcahps[Facility ID] = clean[[#This Row],[Facility ID]]) * ([1]!hcahps[HCAHPS Measure ID] = "H_HSP_RATING_LINEAR_SCORE"), [1]!hcahps[HCAHPS Linear Mean Value]), "No Match")</f>
        <v>Not Available</v>
      </c>
      <c r="F1178" cm="1">
        <f t="array" ref="F1178">_xlfn.IFNA(_xlfn.XLOOKUP(1,([1]!readmissions[Facility ID] = clean[[#This Row],[Facility ID]]) * ([1]!readmissions[Measure ID] = "Hybrid_HWR"), [1]!readmissions[Score]), "No Match")</f>
        <v>14.9</v>
      </c>
    </row>
    <row r="1179" spans="1:6" x14ac:dyDescent="0.2">
      <c r="A1179">
        <f>[1]!hospitalinfo[[#This Row],[Facility ID]]</f>
        <v>111303</v>
      </c>
      <c r="B1179" t="str">
        <f>[1]!hospitalinfo[[#This Row],[State]]</f>
        <v>GA</v>
      </c>
      <c r="C1179" t="str">
        <f>[1]!hospitalinfo[[#This Row],[Hospital Type]]</f>
        <v>Critical Access Hospitals</v>
      </c>
      <c r="D1179" t="str">
        <f>[1]!hospitalinfo[[#This Row],[Hospital Ownership]]</f>
        <v>Government - Local</v>
      </c>
      <c r="E1179" t="str" cm="1">
        <f t="array" ref="E1179">_xlfn.IFNA(_xlfn.XLOOKUP(1,([1]!hcahps[Facility ID] = clean[[#This Row],[Facility ID]]) * ([1]!hcahps[HCAHPS Measure ID] = "H_HSP_RATING_LINEAR_SCORE"), [1]!hcahps[HCAHPS Linear Mean Value]), "No Match")</f>
        <v>Not Available</v>
      </c>
      <c r="F1179" t="str" cm="1">
        <f t="array" ref="F1179">_xlfn.IFNA(_xlfn.XLOOKUP(1,([1]!readmissions[Facility ID] = clean[[#This Row],[Facility ID]]) * ([1]!readmissions[Measure ID] = "Hybrid_HWR"), [1]!readmissions[Score]), "No Match")</f>
        <v>Not Available</v>
      </c>
    </row>
    <row r="1180" spans="1:6" x14ac:dyDescent="0.2">
      <c r="A1180">
        <f>[1]!hospitalinfo[[#This Row],[Facility ID]]</f>
        <v>111304</v>
      </c>
      <c r="B1180" t="str">
        <f>[1]!hospitalinfo[[#This Row],[State]]</f>
        <v>GA</v>
      </c>
      <c r="C1180" t="str">
        <f>[1]!hospitalinfo[[#This Row],[Hospital Type]]</f>
        <v>Critical Access Hospitals</v>
      </c>
      <c r="D1180" t="str">
        <f>[1]!hospitalinfo[[#This Row],[Hospital Ownership]]</f>
        <v>Government - Hospital District or Authority</v>
      </c>
      <c r="E1180" cm="1">
        <f t="array" ref="E1180">_xlfn.IFNA(_xlfn.XLOOKUP(1,([1]!hcahps[Facility ID] = clean[[#This Row],[Facility ID]]) * ([1]!hcahps[HCAHPS Measure ID] = "H_HSP_RATING_LINEAR_SCORE"), [1]!hcahps[HCAHPS Linear Mean Value]), "No Match")</f>
        <v>93</v>
      </c>
      <c r="F1180" cm="1">
        <f t="array" ref="F1180">_xlfn.IFNA(_xlfn.XLOOKUP(1,([1]!readmissions[Facility ID] = clean[[#This Row],[Facility ID]]) * ([1]!readmissions[Measure ID] = "Hybrid_HWR"), [1]!readmissions[Score]), "No Match")</f>
        <v>15.2</v>
      </c>
    </row>
    <row r="1181" spans="1:6" x14ac:dyDescent="0.2">
      <c r="A1181">
        <f>[1]!hospitalinfo[[#This Row],[Facility ID]]</f>
        <v>111305</v>
      </c>
      <c r="B1181" t="str">
        <f>[1]!hospitalinfo[[#This Row],[State]]</f>
        <v>GA</v>
      </c>
      <c r="C1181" t="str">
        <f>[1]!hospitalinfo[[#This Row],[Hospital Type]]</f>
        <v>Critical Access Hospitals</v>
      </c>
      <c r="D1181" t="str">
        <f>[1]!hospitalinfo[[#This Row],[Hospital Ownership]]</f>
        <v>Government - Hospital District or Authority</v>
      </c>
      <c r="E1181" t="str" cm="1">
        <f t="array" ref="E1181">_xlfn.IFNA(_xlfn.XLOOKUP(1,([1]!hcahps[Facility ID] = clean[[#This Row],[Facility ID]]) * ([1]!hcahps[HCAHPS Measure ID] = "H_HSP_RATING_LINEAR_SCORE"), [1]!hcahps[HCAHPS Linear Mean Value]), "No Match")</f>
        <v>Not Available</v>
      </c>
      <c r="F1181" cm="1">
        <f t="array" ref="F1181">_xlfn.IFNA(_xlfn.XLOOKUP(1,([1]!readmissions[Facility ID] = clean[[#This Row],[Facility ID]]) * ([1]!readmissions[Measure ID] = "Hybrid_HWR"), [1]!readmissions[Score]), "No Match")</f>
        <v>15.1</v>
      </c>
    </row>
    <row r="1182" spans="1:6" x14ac:dyDescent="0.2">
      <c r="A1182">
        <f>[1]!hospitalinfo[[#This Row],[Facility ID]]</f>
        <v>111306</v>
      </c>
      <c r="B1182" t="str">
        <f>[1]!hospitalinfo[[#This Row],[State]]</f>
        <v>GA</v>
      </c>
      <c r="C1182" t="str">
        <f>[1]!hospitalinfo[[#This Row],[Hospital Type]]</f>
        <v>Critical Access Hospitals</v>
      </c>
      <c r="D1182" t="str">
        <f>[1]!hospitalinfo[[#This Row],[Hospital Ownership]]</f>
        <v>Government - Hospital District or Authority</v>
      </c>
      <c r="E1182" t="str" cm="1">
        <f t="array" ref="E1182">_xlfn.IFNA(_xlfn.XLOOKUP(1,([1]!hcahps[Facility ID] = clean[[#This Row],[Facility ID]]) * ([1]!hcahps[HCAHPS Measure ID] = "H_HSP_RATING_LINEAR_SCORE"), [1]!hcahps[HCAHPS Linear Mean Value]), "No Match")</f>
        <v>Not Available</v>
      </c>
      <c r="F1182" cm="1">
        <f t="array" ref="F1182">_xlfn.IFNA(_xlfn.XLOOKUP(1,([1]!readmissions[Facility ID] = clean[[#This Row],[Facility ID]]) * ([1]!readmissions[Measure ID] = "Hybrid_HWR"), [1]!readmissions[Score]), "No Match")</f>
        <v>14.9</v>
      </c>
    </row>
    <row r="1183" spans="1:6" x14ac:dyDescent="0.2">
      <c r="A1183">
        <f>[1]!hospitalinfo[[#This Row],[Facility ID]]</f>
        <v>111308</v>
      </c>
      <c r="B1183" t="str">
        <f>[1]!hospitalinfo[[#This Row],[State]]</f>
        <v>GA</v>
      </c>
      <c r="C1183" t="str">
        <f>[1]!hospitalinfo[[#This Row],[Hospital Type]]</f>
        <v>Critical Access Hospitals</v>
      </c>
      <c r="D1183" t="str">
        <f>[1]!hospitalinfo[[#This Row],[Hospital Ownership]]</f>
        <v>Government - Hospital District or Authority</v>
      </c>
      <c r="E1183" t="str" cm="1">
        <f t="array" ref="E1183">_xlfn.IFNA(_xlfn.XLOOKUP(1,([1]!hcahps[Facility ID] = clean[[#This Row],[Facility ID]]) * ([1]!hcahps[HCAHPS Measure ID] = "H_HSP_RATING_LINEAR_SCORE"), [1]!hcahps[HCAHPS Linear Mean Value]), "No Match")</f>
        <v>Not Available</v>
      </c>
      <c r="F1183" t="str" cm="1">
        <f t="array" ref="F1183">_xlfn.IFNA(_xlfn.XLOOKUP(1,([1]!readmissions[Facility ID] = clean[[#This Row],[Facility ID]]) * ([1]!readmissions[Measure ID] = "Hybrid_HWR"), [1]!readmissions[Score]), "No Match")</f>
        <v>Not Available</v>
      </c>
    </row>
    <row r="1184" spans="1:6" x14ac:dyDescent="0.2">
      <c r="A1184">
        <f>[1]!hospitalinfo[[#This Row],[Facility ID]]</f>
        <v>111310</v>
      </c>
      <c r="B1184" t="str">
        <f>[1]!hospitalinfo[[#This Row],[State]]</f>
        <v>GA</v>
      </c>
      <c r="C1184" t="str">
        <f>[1]!hospitalinfo[[#This Row],[Hospital Type]]</f>
        <v>Critical Access Hospitals</v>
      </c>
      <c r="D1184" t="str">
        <f>[1]!hospitalinfo[[#This Row],[Hospital Ownership]]</f>
        <v>Voluntary non-profit - Private</v>
      </c>
      <c r="E1184" cm="1">
        <f t="array" ref="E1184">_xlfn.IFNA(_xlfn.XLOOKUP(1,([1]!hcahps[Facility ID] = clean[[#This Row],[Facility ID]]) * ([1]!hcahps[HCAHPS Measure ID] = "H_HSP_RATING_LINEAR_SCORE"), [1]!hcahps[HCAHPS Linear Mean Value]), "No Match")</f>
        <v>90</v>
      </c>
      <c r="F1184" cm="1">
        <f t="array" ref="F1184">_xlfn.IFNA(_xlfn.XLOOKUP(1,([1]!readmissions[Facility ID] = clean[[#This Row],[Facility ID]]) * ([1]!readmissions[Measure ID] = "Hybrid_HWR"), [1]!readmissions[Score]), "No Match")</f>
        <v>15.8</v>
      </c>
    </row>
    <row r="1185" spans="1:6" x14ac:dyDescent="0.2">
      <c r="A1185">
        <f>[1]!hospitalinfo[[#This Row],[Facility ID]]</f>
        <v>111311</v>
      </c>
      <c r="B1185" t="str">
        <f>[1]!hospitalinfo[[#This Row],[State]]</f>
        <v>GA</v>
      </c>
      <c r="C1185" t="str">
        <f>[1]!hospitalinfo[[#This Row],[Hospital Type]]</f>
        <v>Critical Access Hospitals</v>
      </c>
      <c r="D1185" t="str">
        <f>[1]!hospitalinfo[[#This Row],[Hospital Ownership]]</f>
        <v>Proprietary</v>
      </c>
      <c r="E1185" t="str" cm="1">
        <f t="array" ref="E1185">_xlfn.IFNA(_xlfn.XLOOKUP(1,([1]!hcahps[Facility ID] = clean[[#This Row],[Facility ID]]) * ([1]!hcahps[HCAHPS Measure ID] = "H_HSP_RATING_LINEAR_SCORE"), [1]!hcahps[HCAHPS Linear Mean Value]), "No Match")</f>
        <v>Not Available</v>
      </c>
      <c r="F1185" t="str" cm="1">
        <f t="array" ref="F1185">_xlfn.IFNA(_xlfn.XLOOKUP(1,([1]!readmissions[Facility ID] = clean[[#This Row],[Facility ID]]) * ([1]!readmissions[Measure ID] = "Hybrid_HWR"), [1]!readmissions[Score]), "No Match")</f>
        <v>Not Available</v>
      </c>
    </row>
    <row r="1186" spans="1:6" x14ac:dyDescent="0.2">
      <c r="A1186">
        <f>[1]!hospitalinfo[[#This Row],[Facility ID]]</f>
        <v>111312</v>
      </c>
      <c r="B1186" t="str">
        <f>[1]!hospitalinfo[[#This Row],[State]]</f>
        <v>GA</v>
      </c>
      <c r="C1186" t="str">
        <f>[1]!hospitalinfo[[#This Row],[Hospital Type]]</f>
        <v>Critical Access Hospitals</v>
      </c>
      <c r="D1186" t="str">
        <f>[1]!hospitalinfo[[#This Row],[Hospital Ownership]]</f>
        <v>Proprietary</v>
      </c>
      <c r="E1186" t="str" cm="1">
        <f t="array" ref="E1186">_xlfn.IFNA(_xlfn.XLOOKUP(1,([1]!hcahps[Facility ID] = clean[[#This Row],[Facility ID]]) * ([1]!hcahps[HCAHPS Measure ID] = "H_HSP_RATING_LINEAR_SCORE"), [1]!hcahps[HCAHPS Linear Mean Value]), "No Match")</f>
        <v>Not Available</v>
      </c>
      <c r="F1186" t="str" cm="1">
        <f t="array" ref="F1186">_xlfn.IFNA(_xlfn.XLOOKUP(1,([1]!readmissions[Facility ID] = clean[[#This Row],[Facility ID]]) * ([1]!readmissions[Measure ID] = "Hybrid_HWR"), [1]!readmissions[Score]), "No Match")</f>
        <v>Not Available</v>
      </c>
    </row>
    <row r="1187" spans="1:6" x14ac:dyDescent="0.2">
      <c r="A1187">
        <f>[1]!hospitalinfo[[#This Row],[Facility ID]]</f>
        <v>111313</v>
      </c>
      <c r="B1187" t="str">
        <f>[1]!hospitalinfo[[#This Row],[State]]</f>
        <v>GA</v>
      </c>
      <c r="C1187" t="str">
        <f>[1]!hospitalinfo[[#This Row],[Hospital Type]]</f>
        <v>Critical Access Hospitals</v>
      </c>
      <c r="D1187" t="str">
        <f>[1]!hospitalinfo[[#This Row],[Hospital Ownership]]</f>
        <v>Government - Hospital District or Authority</v>
      </c>
      <c r="E1187" t="str" cm="1">
        <f t="array" ref="E1187">_xlfn.IFNA(_xlfn.XLOOKUP(1,([1]!hcahps[Facility ID] = clean[[#This Row],[Facility ID]]) * ([1]!hcahps[HCAHPS Measure ID] = "H_HSP_RATING_LINEAR_SCORE"), [1]!hcahps[HCAHPS Linear Mean Value]), "No Match")</f>
        <v>Not Available</v>
      </c>
      <c r="F1187" cm="1">
        <f t="array" ref="F1187">_xlfn.IFNA(_xlfn.XLOOKUP(1,([1]!readmissions[Facility ID] = clean[[#This Row],[Facility ID]]) * ([1]!readmissions[Measure ID] = "Hybrid_HWR"), [1]!readmissions[Score]), "No Match")</f>
        <v>15.4</v>
      </c>
    </row>
    <row r="1188" spans="1:6" x14ac:dyDescent="0.2">
      <c r="A1188">
        <f>[1]!hospitalinfo[[#This Row],[Facility ID]]</f>
        <v>111314</v>
      </c>
      <c r="B1188" t="str">
        <f>[1]!hospitalinfo[[#This Row],[State]]</f>
        <v>GA</v>
      </c>
      <c r="C1188" t="str">
        <f>[1]!hospitalinfo[[#This Row],[Hospital Type]]</f>
        <v>Critical Access Hospitals</v>
      </c>
      <c r="D1188" t="str">
        <f>[1]!hospitalinfo[[#This Row],[Hospital Ownership]]</f>
        <v>Voluntary non-profit - Private</v>
      </c>
      <c r="E1188" t="str" cm="1">
        <f t="array" ref="E1188">_xlfn.IFNA(_xlfn.XLOOKUP(1,([1]!hcahps[Facility ID] = clean[[#This Row],[Facility ID]]) * ([1]!hcahps[HCAHPS Measure ID] = "H_HSP_RATING_LINEAR_SCORE"), [1]!hcahps[HCAHPS Linear Mean Value]), "No Match")</f>
        <v>Not Available</v>
      </c>
      <c r="F1188" t="str" cm="1">
        <f t="array" ref="F1188">_xlfn.IFNA(_xlfn.XLOOKUP(1,([1]!readmissions[Facility ID] = clean[[#This Row],[Facility ID]]) * ([1]!readmissions[Measure ID] = "Hybrid_HWR"), [1]!readmissions[Score]), "No Match")</f>
        <v>Not Available</v>
      </c>
    </row>
    <row r="1189" spans="1:6" x14ac:dyDescent="0.2">
      <c r="A1189">
        <f>[1]!hospitalinfo[[#This Row],[Facility ID]]</f>
        <v>111316</v>
      </c>
      <c r="B1189" t="str">
        <f>[1]!hospitalinfo[[#This Row],[State]]</f>
        <v>GA</v>
      </c>
      <c r="C1189" t="str">
        <f>[1]!hospitalinfo[[#This Row],[Hospital Type]]</f>
        <v>Critical Access Hospitals</v>
      </c>
      <c r="D1189" t="str">
        <f>[1]!hospitalinfo[[#This Row],[Hospital Ownership]]</f>
        <v>Voluntary non-profit - Other</v>
      </c>
      <c r="E1189" t="str" cm="1">
        <f t="array" ref="E1189">_xlfn.IFNA(_xlfn.XLOOKUP(1,([1]!hcahps[Facility ID] = clean[[#This Row],[Facility ID]]) * ([1]!hcahps[HCAHPS Measure ID] = "H_HSP_RATING_LINEAR_SCORE"), [1]!hcahps[HCAHPS Linear Mean Value]), "No Match")</f>
        <v>Not Available</v>
      </c>
      <c r="F1189" t="str" cm="1">
        <f t="array" ref="F1189">_xlfn.IFNA(_xlfn.XLOOKUP(1,([1]!readmissions[Facility ID] = clean[[#This Row],[Facility ID]]) * ([1]!readmissions[Measure ID] = "Hybrid_HWR"), [1]!readmissions[Score]), "No Match")</f>
        <v>Not Available</v>
      </c>
    </row>
    <row r="1190" spans="1:6" x14ac:dyDescent="0.2">
      <c r="A1190">
        <f>[1]!hospitalinfo[[#This Row],[Facility ID]]</f>
        <v>111318</v>
      </c>
      <c r="B1190" t="str">
        <f>[1]!hospitalinfo[[#This Row],[State]]</f>
        <v>GA</v>
      </c>
      <c r="C1190" t="str">
        <f>[1]!hospitalinfo[[#This Row],[Hospital Type]]</f>
        <v>Critical Access Hospitals</v>
      </c>
      <c r="D1190" t="str">
        <f>[1]!hospitalinfo[[#This Row],[Hospital Ownership]]</f>
        <v>Government - Hospital District or Authority</v>
      </c>
      <c r="E1190" t="str" cm="1">
        <f t="array" ref="E1190">_xlfn.IFNA(_xlfn.XLOOKUP(1,([1]!hcahps[Facility ID] = clean[[#This Row],[Facility ID]]) * ([1]!hcahps[HCAHPS Measure ID] = "H_HSP_RATING_LINEAR_SCORE"), [1]!hcahps[HCAHPS Linear Mean Value]), "No Match")</f>
        <v>Not Available</v>
      </c>
      <c r="F1190" cm="1">
        <f t="array" ref="F1190">_xlfn.IFNA(_xlfn.XLOOKUP(1,([1]!readmissions[Facility ID] = clean[[#This Row],[Facility ID]]) * ([1]!readmissions[Measure ID] = "Hybrid_HWR"), [1]!readmissions[Score]), "No Match")</f>
        <v>15.2</v>
      </c>
    </row>
    <row r="1191" spans="1:6" x14ac:dyDescent="0.2">
      <c r="A1191">
        <f>[1]!hospitalinfo[[#This Row],[Facility ID]]</f>
        <v>111319</v>
      </c>
      <c r="B1191" t="str">
        <f>[1]!hospitalinfo[[#This Row],[State]]</f>
        <v>GA</v>
      </c>
      <c r="C1191" t="str">
        <f>[1]!hospitalinfo[[#This Row],[Hospital Type]]</f>
        <v>Critical Access Hospitals</v>
      </c>
      <c r="D1191" t="str">
        <f>[1]!hospitalinfo[[#This Row],[Hospital Ownership]]</f>
        <v>Government - Hospital District or Authority</v>
      </c>
      <c r="E1191" t="str" cm="1">
        <f t="array" ref="E1191">_xlfn.IFNA(_xlfn.XLOOKUP(1,([1]!hcahps[Facility ID] = clean[[#This Row],[Facility ID]]) * ([1]!hcahps[HCAHPS Measure ID] = "H_HSP_RATING_LINEAR_SCORE"), [1]!hcahps[HCAHPS Linear Mean Value]), "No Match")</f>
        <v>Not Available</v>
      </c>
      <c r="F1191" t="str" cm="1">
        <f t="array" ref="F1191">_xlfn.IFNA(_xlfn.XLOOKUP(1,([1]!readmissions[Facility ID] = clean[[#This Row],[Facility ID]]) * ([1]!readmissions[Measure ID] = "Hybrid_HWR"), [1]!readmissions[Score]), "No Match")</f>
        <v>Not Available</v>
      </c>
    </row>
    <row r="1192" spans="1:6" x14ac:dyDescent="0.2">
      <c r="A1192">
        <f>[1]!hospitalinfo[[#This Row],[Facility ID]]</f>
        <v>111320</v>
      </c>
      <c r="B1192" t="str">
        <f>[1]!hospitalinfo[[#This Row],[State]]</f>
        <v>GA</v>
      </c>
      <c r="C1192" t="str">
        <f>[1]!hospitalinfo[[#This Row],[Hospital Type]]</f>
        <v>Critical Access Hospitals</v>
      </c>
      <c r="D1192" t="str">
        <f>[1]!hospitalinfo[[#This Row],[Hospital Ownership]]</f>
        <v>Government - Hospital District or Authority</v>
      </c>
      <c r="E1192" cm="1">
        <f t="array" ref="E1192">_xlfn.IFNA(_xlfn.XLOOKUP(1,([1]!hcahps[Facility ID] = clean[[#This Row],[Facility ID]]) * ([1]!hcahps[HCAHPS Measure ID] = "H_HSP_RATING_LINEAR_SCORE"), [1]!hcahps[HCAHPS Linear Mean Value]), "No Match")</f>
        <v>94</v>
      </c>
      <c r="F1192" t="str" cm="1">
        <f t="array" ref="F1192">_xlfn.IFNA(_xlfn.XLOOKUP(1,([1]!readmissions[Facility ID] = clean[[#This Row],[Facility ID]]) * ([1]!readmissions[Measure ID] = "Hybrid_HWR"), [1]!readmissions[Score]), "No Match")</f>
        <v>Not Available</v>
      </c>
    </row>
    <row r="1193" spans="1:6" x14ac:dyDescent="0.2">
      <c r="A1193">
        <f>[1]!hospitalinfo[[#This Row],[Facility ID]]</f>
        <v>111323</v>
      </c>
      <c r="B1193" t="str">
        <f>[1]!hospitalinfo[[#This Row],[State]]</f>
        <v>GA</v>
      </c>
      <c r="C1193" t="str">
        <f>[1]!hospitalinfo[[#This Row],[Hospital Type]]</f>
        <v>Critical Access Hospitals</v>
      </c>
      <c r="D1193" t="str">
        <f>[1]!hospitalinfo[[#This Row],[Hospital Ownership]]</f>
        <v>Proprietary</v>
      </c>
      <c r="E1193" cm="1">
        <f t="array" ref="E1193">_xlfn.IFNA(_xlfn.XLOOKUP(1,([1]!hcahps[Facility ID] = clean[[#This Row],[Facility ID]]) * ([1]!hcahps[HCAHPS Measure ID] = "H_HSP_RATING_LINEAR_SCORE"), [1]!hcahps[HCAHPS Linear Mean Value]), "No Match")</f>
        <v>93</v>
      </c>
      <c r="F1193" cm="1">
        <f t="array" ref="F1193">_xlfn.IFNA(_xlfn.XLOOKUP(1,([1]!readmissions[Facility ID] = clean[[#This Row],[Facility ID]]) * ([1]!readmissions[Measure ID] = "Hybrid_HWR"), [1]!readmissions[Score]), "No Match")</f>
        <v>15.2</v>
      </c>
    </row>
    <row r="1194" spans="1:6" x14ac:dyDescent="0.2">
      <c r="A1194">
        <f>[1]!hospitalinfo[[#This Row],[Facility ID]]</f>
        <v>111324</v>
      </c>
      <c r="B1194" t="str">
        <f>[1]!hospitalinfo[[#This Row],[State]]</f>
        <v>GA</v>
      </c>
      <c r="C1194" t="str">
        <f>[1]!hospitalinfo[[#This Row],[Hospital Type]]</f>
        <v>Critical Access Hospitals</v>
      </c>
      <c r="D1194" t="str">
        <f>[1]!hospitalinfo[[#This Row],[Hospital Ownership]]</f>
        <v>Government - Hospital District or Authority</v>
      </c>
      <c r="E1194" t="str" cm="1">
        <f t="array" ref="E1194">_xlfn.IFNA(_xlfn.XLOOKUP(1,([1]!hcahps[Facility ID] = clean[[#This Row],[Facility ID]]) * ([1]!hcahps[HCAHPS Measure ID] = "H_HSP_RATING_LINEAR_SCORE"), [1]!hcahps[HCAHPS Linear Mean Value]), "No Match")</f>
        <v>Not Available</v>
      </c>
      <c r="F1194" cm="1">
        <f t="array" ref="F1194">_xlfn.IFNA(_xlfn.XLOOKUP(1,([1]!readmissions[Facility ID] = clean[[#This Row],[Facility ID]]) * ([1]!readmissions[Measure ID] = "Hybrid_HWR"), [1]!readmissions[Score]), "No Match")</f>
        <v>15.1</v>
      </c>
    </row>
    <row r="1195" spans="1:6" x14ac:dyDescent="0.2">
      <c r="A1195">
        <f>[1]!hospitalinfo[[#This Row],[Facility ID]]</f>
        <v>111325</v>
      </c>
      <c r="B1195" t="str">
        <f>[1]!hospitalinfo[[#This Row],[State]]</f>
        <v>GA</v>
      </c>
      <c r="C1195" t="str">
        <f>[1]!hospitalinfo[[#This Row],[Hospital Type]]</f>
        <v>Critical Access Hospitals</v>
      </c>
      <c r="D1195" t="str">
        <f>[1]!hospitalinfo[[#This Row],[Hospital Ownership]]</f>
        <v>Government - Hospital District or Authority</v>
      </c>
      <c r="E1195" t="str" cm="1">
        <f t="array" ref="E1195">_xlfn.IFNA(_xlfn.XLOOKUP(1,([1]!hcahps[Facility ID] = clean[[#This Row],[Facility ID]]) * ([1]!hcahps[HCAHPS Measure ID] = "H_HSP_RATING_LINEAR_SCORE"), [1]!hcahps[HCAHPS Linear Mean Value]), "No Match")</f>
        <v>Not Available</v>
      </c>
      <c r="F1195" cm="1">
        <f t="array" ref="F1195">_xlfn.IFNA(_xlfn.XLOOKUP(1,([1]!readmissions[Facility ID] = clean[[#This Row],[Facility ID]]) * ([1]!readmissions[Measure ID] = "Hybrid_HWR"), [1]!readmissions[Score]), "No Match")</f>
        <v>14.7</v>
      </c>
    </row>
    <row r="1196" spans="1:6" x14ac:dyDescent="0.2">
      <c r="A1196">
        <f>[1]!hospitalinfo[[#This Row],[Facility ID]]</f>
        <v>111326</v>
      </c>
      <c r="B1196" t="str">
        <f>[1]!hospitalinfo[[#This Row],[State]]</f>
        <v>GA</v>
      </c>
      <c r="C1196" t="str">
        <f>[1]!hospitalinfo[[#This Row],[Hospital Type]]</f>
        <v>Critical Access Hospitals</v>
      </c>
      <c r="D1196" t="str">
        <f>[1]!hospitalinfo[[#This Row],[Hospital Ownership]]</f>
        <v>Government - Hospital District or Authority</v>
      </c>
      <c r="E1196" t="str" cm="1">
        <f t="array" ref="E1196">_xlfn.IFNA(_xlfn.XLOOKUP(1,([1]!hcahps[Facility ID] = clean[[#This Row],[Facility ID]]) * ([1]!hcahps[HCAHPS Measure ID] = "H_HSP_RATING_LINEAR_SCORE"), [1]!hcahps[HCAHPS Linear Mean Value]), "No Match")</f>
        <v>Not Available</v>
      </c>
      <c r="F1196" t="str" cm="1">
        <f t="array" ref="F1196">_xlfn.IFNA(_xlfn.XLOOKUP(1,([1]!readmissions[Facility ID] = clean[[#This Row],[Facility ID]]) * ([1]!readmissions[Measure ID] = "Hybrid_HWR"), [1]!readmissions[Score]), "No Match")</f>
        <v>Not Available</v>
      </c>
    </row>
    <row r="1197" spans="1:6" x14ac:dyDescent="0.2">
      <c r="A1197">
        <f>[1]!hospitalinfo[[#This Row],[Facility ID]]</f>
        <v>111327</v>
      </c>
      <c r="B1197" t="str">
        <f>[1]!hospitalinfo[[#This Row],[State]]</f>
        <v>GA</v>
      </c>
      <c r="C1197" t="str">
        <f>[1]!hospitalinfo[[#This Row],[Hospital Type]]</f>
        <v>Critical Access Hospitals</v>
      </c>
      <c r="D1197" t="str">
        <f>[1]!hospitalinfo[[#This Row],[Hospital Ownership]]</f>
        <v>Voluntary non-profit - Other</v>
      </c>
      <c r="E1197" cm="1">
        <f t="array" ref="E1197">_xlfn.IFNA(_xlfn.XLOOKUP(1,([1]!hcahps[Facility ID] = clean[[#This Row],[Facility ID]]) * ([1]!hcahps[HCAHPS Measure ID] = "H_HSP_RATING_LINEAR_SCORE"), [1]!hcahps[HCAHPS Linear Mean Value]), "No Match")</f>
        <v>90</v>
      </c>
      <c r="F1197" cm="1">
        <f t="array" ref="F1197">_xlfn.IFNA(_xlfn.XLOOKUP(1,([1]!readmissions[Facility ID] = clean[[#This Row],[Facility ID]]) * ([1]!readmissions[Measure ID] = "Hybrid_HWR"), [1]!readmissions[Score]), "No Match")</f>
        <v>15.3</v>
      </c>
    </row>
    <row r="1198" spans="1:6" x14ac:dyDescent="0.2">
      <c r="A1198">
        <f>[1]!hospitalinfo[[#This Row],[Facility ID]]</f>
        <v>111328</v>
      </c>
      <c r="B1198" t="str">
        <f>[1]!hospitalinfo[[#This Row],[State]]</f>
        <v>GA</v>
      </c>
      <c r="C1198" t="str">
        <f>[1]!hospitalinfo[[#This Row],[Hospital Type]]</f>
        <v>Critical Access Hospitals</v>
      </c>
      <c r="D1198" t="str">
        <f>[1]!hospitalinfo[[#This Row],[Hospital Ownership]]</f>
        <v>Voluntary non-profit - Private</v>
      </c>
      <c r="E1198" t="str" cm="1">
        <f t="array" ref="E1198">_xlfn.IFNA(_xlfn.XLOOKUP(1,([1]!hcahps[Facility ID] = clean[[#This Row],[Facility ID]]) * ([1]!hcahps[HCAHPS Measure ID] = "H_HSP_RATING_LINEAR_SCORE"), [1]!hcahps[HCAHPS Linear Mean Value]), "No Match")</f>
        <v>Not Available</v>
      </c>
      <c r="F1198" cm="1">
        <f t="array" ref="F1198">_xlfn.IFNA(_xlfn.XLOOKUP(1,([1]!readmissions[Facility ID] = clean[[#This Row],[Facility ID]]) * ([1]!readmissions[Measure ID] = "Hybrid_HWR"), [1]!readmissions[Score]), "No Match")</f>
        <v>15.7</v>
      </c>
    </row>
    <row r="1199" spans="1:6" x14ac:dyDescent="0.2">
      <c r="A1199">
        <f>[1]!hospitalinfo[[#This Row],[Facility ID]]</f>
        <v>111329</v>
      </c>
      <c r="B1199" t="str">
        <f>[1]!hospitalinfo[[#This Row],[State]]</f>
        <v>GA</v>
      </c>
      <c r="C1199" t="str">
        <f>[1]!hospitalinfo[[#This Row],[Hospital Type]]</f>
        <v>Critical Access Hospitals</v>
      </c>
      <c r="D1199" t="str">
        <f>[1]!hospitalinfo[[#This Row],[Hospital Ownership]]</f>
        <v>Proprietary</v>
      </c>
      <c r="E1199" cm="1">
        <f t="array" ref="E1199">_xlfn.IFNA(_xlfn.XLOOKUP(1,([1]!hcahps[Facility ID] = clean[[#This Row],[Facility ID]]) * ([1]!hcahps[HCAHPS Measure ID] = "H_HSP_RATING_LINEAR_SCORE"), [1]!hcahps[HCAHPS Linear Mean Value]), "No Match")</f>
        <v>94</v>
      </c>
      <c r="F1199" cm="1">
        <f t="array" ref="F1199">_xlfn.IFNA(_xlfn.XLOOKUP(1,([1]!readmissions[Facility ID] = clean[[#This Row],[Facility ID]]) * ([1]!readmissions[Measure ID] = "Hybrid_HWR"), [1]!readmissions[Score]), "No Match")</f>
        <v>15.6</v>
      </c>
    </row>
    <row r="1200" spans="1:6" x14ac:dyDescent="0.2">
      <c r="A1200">
        <f>[1]!hospitalinfo[[#This Row],[Facility ID]]</f>
        <v>111330</v>
      </c>
      <c r="B1200" t="str">
        <f>[1]!hospitalinfo[[#This Row],[State]]</f>
        <v>GA</v>
      </c>
      <c r="C1200" t="str">
        <f>[1]!hospitalinfo[[#This Row],[Hospital Type]]</f>
        <v>Critical Access Hospitals</v>
      </c>
      <c r="D1200" t="str">
        <f>[1]!hospitalinfo[[#This Row],[Hospital Ownership]]</f>
        <v>Voluntary non-profit - Private</v>
      </c>
      <c r="E1200" t="str" cm="1">
        <f t="array" ref="E1200">_xlfn.IFNA(_xlfn.XLOOKUP(1,([1]!hcahps[Facility ID] = clean[[#This Row],[Facility ID]]) * ([1]!hcahps[HCAHPS Measure ID] = "H_HSP_RATING_LINEAR_SCORE"), [1]!hcahps[HCAHPS Linear Mean Value]), "No Match")</f>
        <v>Not Available</v>
      </c>
      <c r="F1200" cm="1">
        <f t="array" ref="F1200">_xlfn.IFNA(_xlfn.XLOOKUP(1,([1]!readmissions[Facility ID] = clean[[#This Row],[Facility ID]]) * ([1]!readmissions[Measure ID] = "Hybrid_HWR"), [1]!readmissions[Score]), "No Match")</f>
        <v>15.1</v>
      </c>
    </row>
    <row r="1201" spans="1:6" x14ac:dyDescent="0.2">
      <c r="A1201">
        <f>[1]!hospitalinfo[[#This Row],[Facility ID]]</f>
        <v>111331</v>
      </c>
      <c r="B1201" t="str">
        <f>[1]!hospitalinfo[[#This Row],[State]]</f>
        <v>GA</v>
      </c>
      <c r="C1201" t="str">
        <f>[1]!hospitalinfo[[#This Row],[Hospital Type]]</f>
        <v>Critical Access Hospitals</v>
      </c>
      <c r="D1201" t="str">
        <f>[1]!hospitalinfo[[#This Row],[Hospital Ownership]]</f>
        <v>Government - Hospital District or Authority</v>
      </c>
      <c r="E1201" t="str" cm="1">
        <f t="array" ref="E1201">_xlfn.IFNA(_xlfn.XLOOKUP(1,([1]!hcahps[Facility ID] = clean[[#This Row],[Facility ID]]) * ([1]!hcahps[HCAHPS Measure ID] = "H_HSP_RATING_LINEAR_SCORE"), [1]!hcahps[HCAHPS Linear Mean Value]), "No Match")</f>
        <v>Not Available</v>
      </c>
      <c r="F1201" t="str" cm="1">
        <f t="array" ref="F1201">_xlfn.IFNA(_xlfn.XLOOKUP(1,([1]!readmissions[Facility ID] = clean[[#This Row],[Facility ID]]) * ([1]!readmissions[Measure ID] = "Hybrid_HWR"), [1]!readmissions[Score]), "No Match")</f>
        <v>Not Available</v>
      </c>
    </row>
    <row r="1202" spans="1:6" x14ac:dyDescent="0.2">
      <c r="A1202">
        <f>[1]!hospitalinfo[[#This Row],[Facility ID]]</f>
        <v>111332</v>
      </c>
      <c r="B1202" t="str">
        <f>[1]!hospitalinfo[[#This Row],[State]]</f>
        <v>GA</v>
      </c>
      <c r="C1202" t="str">
        <f>[1]!hospitalinfo[[#This Row],[Hospital Type]]</f>
        <v>Critical Access Hospitals</v>
      </c>
      <c r="D1202" t="str">
        <f>[1]!hospitalinfo[[#This Row],[Hospital Ownership]]</f>
        <v>Government - Hospital District or Authority</v>
      </c>
      <c r="E1202" t="str" cm="1">
        <f t="array" ref="E1202">_xlfn.IFNA(_xlfn.XLOOKUP(1,([1]!hcahps[Facility ID] = clean[[#This Row],[Facility ID]]) * ([1]!hcahps[HCAHPS Measure ID] = "H_HSP_RATING_LINEAR_SCORE"), [1]!hcahps[HCAHPS Linear Mean Value]), "No Match")</f>
        <v>Not Available</v>
      </c>
      <c r="F1202" t="str" cm="1">
        <f t="array" ref="F1202">_xlfn.IFNA(_xlfn.XLOOKUP(1,([1]!readmissions[Facility ID] = clean[[#This Row],[Facility ID]]) * ([1]!readmissions[Measure ID] = "Hybrid_HWR"), [1]!readmissions[Score]), "No Match")</f>
        <v>Not Available</v>
      </c>
    </row>
    <row r="1203" spans="1:6" x14ac:dyDescent="0.2">
      <c r="A1203">
        <f>[1]!hospitalinfo[[#This Row],[Facility ID]]</f>
        <v>111333</v>
      </c>
      <c r="B1203" t="str">
        <f>[1]!hospitalinfo[[#This Row],[State]]</f>
        <v>GA</v>
      </c>
      <c r="C1203" t="str">
        <f>[1]!hospitalinfo[[#This Row],[Hospital Type]]</f>
        <v>Critical Access Hospitals</v>
      </c>
      <c r="D1203" t="str">
        <f>[1]!hospitalinfo[[#This Row],[Hospital Ownership]]</f>
        <v>Government - Hospital District or Authority</v>
      </c>
      <c r="E1203" t="str" cm="1">
        <f t="array" ref="E1203">_xlfn.IFNA(_xlfn.XLOOKUP(1,([1]!hcahps[Facility ID] = clean[[#This Row],[Facility ID]]) * ([1]!hcahps[HCAHPS Measure ID] = "H_HSP_RATING_LINEAR_SCORE"), [1]!hcahps[HCAHPS Linear Mean Value]), "No Match")</f>
        <v>Not Available</v>
      </c>
      <c r="F1203" cm="1">
        <f t="array" ref="F1203">_xlfn.IFNA(_xlfn.XLOOKUP(1,([1]!readmissions[Facility ID] = clean[[#This Row],[Facility ID]]) * ([1]!readmissions[Measure ID] = "Hybrid_HWR"), [1]!readmissions[Score]), "No Match")</f>
        <v>15</v>
      </c>
    </row>
    <row r="1204" spans="1:6" x14ac:dyDescent="0.2">
      <c r="A1204">
        <f>[1]!hospitalinfo[[#This Row],[Facility ID]]</f>
        <v>111334</v>
      </c>
      <c r="B1204" t="str">
        <f>[1]!hospitalinfo[[#This Row],[State]]</f>
        <v>GA</v>
      </c>
      <c r="C1204" t="str">
        <f>[1]!hospitalinfo[[#This Row],[Hospital Type]]</f>
        <v>Critical Access Hospitals</v>
      </c>
      <c r="D1204" t="str">
        <f>[1]!hospitalinfo[[#This Row],[Hospital Ownership]]</f>
        <v>Proprietary</v>
      </c>
      <c r="E1204" t="str" cm="1">
        <f t="array" ref="E1204">_xlfn.IFNA(_xlfn.XLOOKUP(1,([1]!hcahps[Facility ID] = clean[[#This Row],[Facility ID]]) * ([1]!hcahps[HCAHPS Measure ID] = "H_HSP_RATING_LINEAR_SCORE"), [1]!hcahps[HCAHPS Linear Mean Value]), "No Match")</f>
        <v>Not Available</v>
      </c>
      <c r="F1204" cm="1">
        <f t="array" ref="F1204">_xlfn.IFNA(_xlfn.XLOOKUP(1,([1]!readmissions[Facility ID] = clean[[#This Row],[Facility ID]]) * ([1]!readmissions[Measure ID] = "Hybrid_HWR"), [1]!readmissions[Score]), "No Match")</f>
        <v>15.8</v>
      </c>
    </row>
    <row r="1205" spans="1:6" x14ac:dyDescent="0.2">
      <c r="A1205">
        <f>[1]!hospitalinfo[[#This Row],[Facility ID]]</f>
        <v>111335</v>
      </c>
      <c r="B1205" t="str">
        <f>[1]!hospitalinfo[[#This Row],[State]]</f>
        <v>GA</v>
      </c>
      <c r="C1205" t="str">
        <f>[1]!hospitalinfo[[#This Row],[Hospital Type]]</f>
        <v>Critical Access Hospitals</v>
      </c>
      <c r="D1205" t="str">
        <f>[1]!hospitalinfo[[#This Row],[Hospital Ownership]]</f>
        <v>Government - Hospital District or Authority</v>
      </c>
      <c r="E1205" t="str" cm="1">
        <f t="array" ref="E1205">_xlfn.IFNA(_xlfn.XLOOKUP(1,([1]!hcahps[Facility ID] = clean[[#This Row],[Facility ID]]) * ([1]!hcahps[HCAHPS Measure ID] = "H_HSP_RATING_LINEAR_SCORE"), [1]!hcahps[HCAHPS Linear Mean Value]), "No Match")</f>
        <v>Not Available</v>
      </c>
      <c r="F1205" cm="1">
        <f t="array" ref="F1205">_xlfn.IFNA(_xlfn.XLOOKUP(1,([1]!readmissions[Facility ID] = clean[[#This Row],[Facility ID]]) * ([1]!readmissions[Measure ID] = "Hybrid_HWR"), [1]!readmissions[Score]), "No Match")</f>
        <v>14.8</v>
      </c>
    </row>
    <row r="1206" spans="1:6" x14ac:dyDescent="0.2">
      <c r="A1206">
        <f>[1]!hospitalinfo[[#This Row],[Facility ID]]</f>
        <v>111336</v>
      </c>
      <c r="B1206" t="str">
        <f>[1]!hospitalinfo[[#This Row],[State]]</f>
        <v>GA</v>
      </c>
      <c r="C1206" t="str">
        <f>[1]!hospitalinfo[[#This Row],[Hospital Type]]</f>
        <v>Critical Access Hospitals</v>
      </c>
      <c r="D1206" t="str">
        <f>[1]!hospitalinfo[[#This Row],[Hospital Ownership]]</f>
        <v>Proprietary</v>
      </c>
      <c r="E1206" t="str" cm="1">
        <f t="array" ref="E1206">_xlfn.IFNA(_xlfn.XLOOKUP(1,([1]!hcahps[Facility ID] = clean[[#This Row],[Facility ID]]) * ([1]!hcahps[HCAHPS Measure ID] = "H_HSP_RATING_LINEAR_SCORE"), [1]!hcahps[HCAHPS Linear Mean Value]), "No Match")</f>
        <v>Not Available</v>
      </c>
      <c r="F1206" cm="1">
        <f t="array" ref="F1206">_xlfn.IFNA(_xlfn.XLOOKUP(1,([1]!readmissions[Facility ID] = clean[[#This Row],[Facility ID]]) * ([1]!readmissions[Measure ID] = "Hybrid_HWR"), [1]!readmissions[Score]), "No Match")</f>
        <v>15.2</v>
      </c>
    </row>
    <row r="1207" spans="1:6" x14ac:dyDescent="0.2">
      <c r="A1207">
        <f>[1]!hospitalinfo[[#This Row],[Facility ID]]</f>
        <v>111337</v>
      </c>
      <c r="B1207" t="str">
        <f>[1]!hospitalinfo[[#This Row],[State]]</f>
        <v>GA</v>
      </c>
      <c r="C1207" t="str">
        <f>[1]!hospitalinfo[[#This Row],[Hospital Type]]</f>
        <v>Critical Access Hospitals</v>
      </c>
      <c r="D1207" t="str">
        <f>[1]!hospitalinfo[[#This Row],[Hospital Ownership]]</f>
        <v>Government - Hospital District or Authority</v>
      </c>
      <c r="E1207" t="str" cm="1">
        <f t="array" ref="E1207">_xlfn.IFNA(_xlfn.XLOOKUP(1,([1]!hcahps[Facility ID] = clean[[#This Row],[Facility ID]]) * ([1]!hcahps[HCAHPS Measure ID] = "H_HSP_RATING_LINEAR_SCORE"), [1]!hcahps[HCAHPS Linear Mean Value]), "No Match")</f>
        <v>Not Available</v>
      </c>
      <c r="F1207" cm="1">
        <f t="array" ref="F1207">_xlfn.IFNA(_xlfn.XLOOKUP(1,([1]!readmissions[Facility ID] = clean[[#This Row],[Facility ID]]) * ([1]!readmissions[Measure ID] = "Hybrid_HWR"), [1]!readmissions[Score]), "No Match")</f>
        <v>15</v>
      </c>
    </row>
    <row r="1208" spans="1:6" x14ac:dyDescent="0.2">
      <c r="A1208">
        <f>[1]!hospitalinfo[[#This Row],[Facility ID]]</f>
        <v>111338</v>
      </c>
      <c r="B1208" t="str">
        <f>[1]!hospitalinfo[[#This Row],[State]]</f>
        <v>GA</v>
      </c>
      <c r="C1208" t="str">
        <f>[1]!hospitalinfo[[#This Row],[Hospital Type]]</f>
        <v>Critical Access Hospitals</v>
      </c>
      <c r="D1208" t="str">
        <f>[1]!hospitalinfo[[#This Row],[Hospital Ownership]]</f>
        <v>Voluntary non-profit - Other</v>
      </c>
      <c r="E1208" t="str" cm="1">
        <f t="array" ref="E1208">_xlfn.IFNA(_xlfn.XLOOKUP(1,([1]!hcahps[Facility ID] = clean[[#This Row],[Facility ID]]) * ([1]!hcahps[HCAHPS Measure ID] = "H_HSP_RATING_LINEAR_SCORE"), [1]!hcahps[HCAHPS Linear Mean Value]), "No Match")</f>
        <v>Not Available</v>
      </c>
      <c r="F1208" t="str" cm="1">
        <f t="array" ref="F1208">_xlfn.IFNA(_xlfn.XLOOKUP(1,([1]!readmissions[Facility ID] = clean[[#This Row],[Facility ID]]) * ([1]!readmissions[Measure ID] = "Hybrid_HWR"), [1]!readmissions[Score]), "No Match")</f>
        <v>Not Available</v>
      </c>
    </row>
    <row r="1209" spans="1:6" x14ac:dyDescent="0.2">
      <c r="A1209">
        <f>[1]!hospitalinfo[[#This Row],[Facility ID]]</f>
        <v>113300</v>
      </c>
      <c r="B1209" t="str">
        <f>[1]!hospitalinfo[[#This Row],[State]]</f>
        <v>GA</v>
      </c>
      <c r="C1209" t="str">
        <f>[1]!hospitalinfo[[#This Row],[Hospital Type]]</f>
        <v>Childrens</v>
      </c>
      <c r="D1209" t="str">
        <f>[1]!hospitalinfo[[#This Row],[Hospital Ownership]]</f>
        <v>Voluntary non-profit - Private</v>
      </c>
      <c r="E1209" t="str" cm="1">
        <f t="array" ref="E1209">_xlfn.IFNA(_xlfn.XLOOKUP(1,([1]!hcahps[Facility ID] = clean[[#This Row],[Facility ID]]) * ([1]!hcahps[HCAHPS Measure ID] = "H_HSP_RATING_LINEAR_SCORE"), [1]!hcahps[HCAHPS Linear Mean Value]), "No Match")</f>
        <v>Not Available</v>
      </c>
      <c r="F1209" t="str" cm="1">
        <f t="array" ref="F1209">_xlfn.IFNA(_xlfn.XLOOKUP(1,([1]!readmissions[Facility ID] = clean[[#This Row],[Facility ID]]) * ([1]!readmissions[Measure ID] = "Hybrid_HWR"), [1]!readmissions[Score]), "No Match")</f>
        <v>Not Available</v>
      </c>
    </row>
    <row r="1210" spans="1:6" x14ac:dyDescent="0.2">
      <c r="A1210">
        <f>[1]!hospitalinfo[[#This Row],[Facility ID]]</f>
        <v>113301</v>
      </c>
      <c r="B1210" t="str">
        <f>[1]!hospitalinfo[[#This Row],[State]]</f>
        <v>GA</v>
      </c>
      <c r="C1210" t="str">
        <f>[1]!hospitalinfo[[#This Row],[Hospital Type]]</f>
        <v>Childrens</v>
      </c>
      <c r="D1210" t="str">
        <f>[1]!hospitalinfo[[#This Row],[Hospital Ownership]]</f>
        <v>Voluntary non-profit - Other</v>
      </c>
      <c r="E1210" t="str" cm="1">
        <f t="array" ref="E1210">_xlfn.IFNA(_xlfn.XLOOKUP(1,([1]!hcahps[Facility ID] = clean[[#This Row],[Facility ID]]) * ([1]!hcahps[HCAHPS Measure ID] = "H_HSP_RATING_LINEAR_SCORE"), [1]!hcahps[HCAHPS Linear Mean Value]), "No Match")</f>
        <v>Not Available</v>
      </c>
      <c r="F1210" t="str" cm="1">
        <f t="array" ref="F1210">_xlfn.IFNA(_xlfn.XLOOKUP(1,([1]!readmissions[Facility ID] = clean[[#This Row],[Facility ID]]) * ([1]!readmissions[Measure ID] = "Hybrid_HWR"), [1]!readmissions[Score]), "No Match")</f>
        <v>Not Available</v>
      </c>
    </row>
    <row r="1211" spans="1:6" x14ac:dyDescent="0.2">
      <c r="A1211">
        <f>[1]!hospitalinfo[[#This Row],[Facility ID]]</f>
        <v>114004</v>
      </c>
      <c r="B1211" t="str">
        <f>[1]!hospitalinfo[[#This Row],[State]]</f>
        <v>GA</v>
      </c>
      <c r="C1211" t="str">
        <f>[1]!hospitalinfo[[#This Row],[Hospital Type]]</f>
        <v>Psychiatric</v>
      </c>
      <c r="D1211" t="str">
        <f>[1]!hospitalinfo[[#This Row],[Hospital Ownership]]</f>
        <v>Proprietary</v>
      </c>
      <c r="E1211" t="str" cm="1">
        <f t="array" ref="E1211">_xlfn.IFNA(_xlfn.XLOOKUP(1,([1]!hcahps[Facility ID] = clean[[#This Row],[Facility ID]]) * ([1]!hcahps[HCAHPS Measure ID] = "H_HSP_RATING_LINEAR_SCORE"), [1]!hcahps[HCAHPS Linear Mean Value]), "No Match")</f>
        <v>No Match</v>
      </c>
      <c r="F1211" t="str" cm="1">
        <f t="array" ref="F1211">_xlfn.IFNA(_xlfn.XLOOKUP(1,([1]!readmissions[Facility ID] = clean[[#This Row],[Facility ID]]) * ([1]!readmissions[Measure ID] = "Hybrid_HWR"), [1]!readmissions[Score]), "No Match")</f>
        <v>No Match</v>
      </c>
    </row>
    <row r="1212" spans="1:6" x14ac:dyDescent="0.2">
      <c r="A1212">
        <f>[1]!hospitalinfo[[#This Row],[Facility ID]]</f>
        <v>114008</v>
      </c>
      <c r="B1212" t="str">
        <f>[1]!hospitalinfo[[#This Row],[State]]</f>
        <v>GA</v>
      </c>
      <c r="C1212" t="str">
        <f>[1]!hospitalinfo[[#This Row],[Hospital Type]]</f>
        <v>Psychiatric</v>
      </c>
      <c r="D1212" t="str">
        <f>[1]!hospitalinfo[[#This Row],[Hospital Ownership]]</f>
        <v>Proprietary</v>
      </c>
      <c r="E1212" t="str" cm="1">
        <f t="array" ref="E1212">_xlfn.IFNA(_xlfn.XLOOKUP(1,([1]!hcahps[Facility ID] = clean[[#This Row],[Facility ID]]) * ([1]!hcahps[HCAHPS Measure ID] = "H_HSP_RATING_LINEAR_SCORE"), [1]!hcahps[HCAHPS Linear Mean Value]), "No Match")</f>
        <v>No Match</v>
      </c>
      <c r="F1212" t="str" cm="1">
        <f t="array" ref="F1212">_xlfn.IFNA(_xlfn.XLOOKUP(1,([1]!readmissions[Facility ID] = clean[[#This Row],[Facility ID]]) * ([1]!readmissions[Measure ID] = "Hybrid_HWR"), [1]!readmissions[Score]), "No Match")</f>
        <v>No Match</v>
      </c>
    </row>
    <row r="1213" spans="1:6" x14ac:dyDescent="0.2">
      <c r="A1213">
        <f>[1]!hospitalinfo[[#This Row],[Facility ID]]</f>
        <v>114010</v>
      </c>
      <c r="B1213" t="str">
        <f>[1]!hospitalinfo[[#This Row],[State]]</f>
        <v>GA</v>
      </c>
      <c r="C1213" t="str">
        <f>[1]!hospitalinfo[[#This Row],[Hospital Type]]</f>
        <v>Psychiatric</v>
      </c>
      <c r="D1213" t="str">
        <f>[1]!hospitalinfo[[#This Row],[Hospital Ownership]]</f>
        <v>Proprietary</v>
      </c>
      <c r="E1213" t="str" cm="1">
        <f t="array" ref="E1213">_xlfn.IFNA(_xlfn.XLOOKUP(1,([1]!hcahps[Facility ID] = clean[[#This Row],[Facility ID]]) * ([1]!hcahps[HCAHPS Measure ID] = "H_HSP_RATING_LINEAR_SCORE"), [1]!hcahps[HCAHPS Linear Mean Value]), "No Match")</f>
        <v>No Match</v>
      </c>
      <c r="F1213" t="str" cm="1">
        <f t="array" ref="F1213">_xlfn.IFNA(_xlfn.XLOOKUP(1,([1]!readmissions[Facility ID] = clean[[#This Row],[Facility ID]]) * ([1]!readmissions[Measure ID] = "Hybrid_HWR"), [1]!readmissions[Score]), "No Match")</f>
        <v>No Match</v>
      </c>
    </row>
    <row r="1214" spans="1:6" x14ac:dyDescent="0.2">
      <c r="A1214">
        <f>[1]!hospitalinfo[[#This Row],[Facility ID]]</f>
        <v>114012</v>
      </c>
      <c r="B1214" t="str">
        <f>[1]!hospitalinfo[[#This Row],[State]]</f>
        <v>GA</v>
      </c>
      <c r="C1214" t="str">
        <f>[1]!hospitalinfo[[#This Row],[Hospital Type]]</f>
        <v>Psychiatric</v>
      </c>
      <c r="D1214" t="str">
        <f>[1]!hospitalinfo[[#This Row],[Hospital Ownership]]</f>
        <v>Proprietary</v>
      </c>
      <c r="E1214" t="str" cm="1">
        <f t="array" ref="E1214">_xlfn.IFNA(_xlfn.XLOOKUP(1,([1]!hcahps[Facility ID] = clean[[#This Row],[Facility ID]]) * ([1]!hcahps[HCAHPS Measure ID] = "H_HSP_RATING_LINEAR_SCORE"), [1]!hcahps[HCAHPS Linear Mean Value]), "No Match")</f>
        <v>No Match</v>
      </c>
      <c r="F1214" t="str" cm="1">
        <f t="array" ref="F1214">_xlfn.IFNA(_xlfn.XLOOKUP(1,([1]!readmissions[Facility ID] = clean[[#This Row],[Facility ID]]) * ([1]!readmissions[Measure ID] = "Hybrid_HWR"), [1]!readmissions[Score]), "No Match")</f>
        <v>No Match</v>
      </c>
    </row>
    <row r="1215" spans="1:6" x14ac:dyDescent="0.2">
      <c r="A1215">
        <f>[1]!hospitalinfo[[#This Row],[Facility ID]]</f>
        <v>114013</v>
      </c>
      <c r="B1215" t="str">
        <f>[1]!hospitalinfo[[#This Row],[State]]</f>
        <v>GA</v>
      </c>
      <c r="C1215" t="str">
        <f>[1]!hospitalinfo[[#This Row],[Hospital Type]]</f>
        <v>Psychiatric</v>
      </c>
      <c r="D1215" t="str">
        <f>[1]!hospitalinfo[[#This Row],[Hospital Ownership]]</f>
        <v>Government - State</v>
      </c>
      <c r="E1215" t="str" cm="1">
        <f t="array" ref="E1215">_xlfn.IFNA(_xlfn.XLOOKUP(1,([1]!hcahps[Facility ID] = clean[[#This Row],[Facility ID]]) * ([1]!hcahps[HCAHPS Measure ID] = "H_HSP_RATING_LINEAR_SCORE"), [1]!hcahps[HCAHPS Linear Mean Value]), "No Match")</f>
        <v>No Match</v>
      </c>
      <c r="F1215" t="str" cm="1">
        <f t="array" ref="F1215">_xlfn.IFNA(_xlfn.XLOOKUP(1,([1]!readmissions[Facility ID] = clean[[#This Row],[Facility ID]]) * ([1]!readmissions[Measure ID] = "Hybrid_HWR"), [1]!readmissions[Score]), "No Match")</f>
        <v>No Match</v>
      </c>
    </row>
    <row r="1216" spans="1:6" x14ac:dyDescent="0.2">
      <c r="A1216">
        <f>[1]!hospitalinfo[[#This Row],[Facility ID]]</f>
        <v>114016</v>
      </c>
      <c r="B1216" t="str">
        <f>[1]!hospitalinfo[[#This Row],[State]]</f>
        <v>GA</v>
      </c>
      <c r="C1216" t="str">
        <f>[1]!hospitalinfo[[#This Row],[Hospital Type]]</f>
        <v>Psychiatric</v>
      </c>
      <c r="D1216" t="str">
        <f>[1]!hospitalinfo[[#This Row],[Hospital Ownership]]</f>
        <v>Government - Federal</v>
      </c>
      <c r="E1216" t="str" cm="1">
        <f t="array" ref="E1216">_xlfn.IFNA(_xlfn.XLOOKUP(1,([1]!hcahps[Facility ID] = clean[[#This Row],[Facility ID]]) * ([1]!hcahps[HCAHPS Measure ID] = "H_HSP_RATING_LINEAR_SCORE"), [1]!hcahps[HCAHPS Linear Mean Value]), "No Match")</f>
        <v>No Match</v>
      </c>
      <c r="F1216" t="str" cm="1">
        <f t="array" ref="F1216">_xlfn.IFNA(_xlfn.XLOOKUP(1,([1]!readmissions[Facility ID] = clean[[#This Row],[Facility ID]]) * ([1]!readmissions[Measure ID] = "Hybrid_HWR"), [1]!readmissions[Score]), "No Match")</f>
        <v>No Match</v>
      </c>
    </row>
    <row r="1217" spans="1:6" x14ac:dyDescent="0.2">
      <c r="A1217">
        <f>[1]!hospitalinfo[[#This Row],[Facility ID]]</f>
        <v>114019</v>
      </c>
      <c r="B1217" t="str">
        <f>[1]!hospitalinfo[[#This Row],[State]]</f>
        <v>GA</v>
      </c>
      <c r="C1217" t="str">
        <f>[1]!hospitalinfo[[#This Row],[Hospital Type]]</f>
        <v>Psychiatric</v>
      </c>
      <c r="D1217" t="str">
        <f>[1]!hospitalinfo[[#This Row],[Hospital Ownership]]</f>
        <v>Government - State</v>
      </c>
      <c r="E1217" t="str" cm="1">
        <f t="array" ref="E1217">_xlfn.IFNA(_xlfn.XLOOKUP(1,([1]!hcahps[Facility ID] = clean[[#This Row],[Facility ID]]) * ([1]!hcahps[HCAHPS Measure ID] = "H_HSP_RATING_LINEAR_SCORE"), [1]!hcahps[HCAHPS Linear Mean Value]), "No Match")</f>
        <v>No Match</v>
      </c>
      <c r="F1217" t="str" cm="1">
        <f t="array" ref="F1217">_xlfn.IFNA(_xlfn.XLOOKUP(1,([1]!readmissions[Facility ID] = clean[[#This Row],[Facility ID]]) * ([1]!readmissions[Measure ID] = "Hybrid_HWR"), [1]!readmissions[Score]), "No Match")</f>
        <v>No Match</v>
      </c>
    </row>
    <row r="1218" spans="1:6" x14ac:dyDescent="0.2">
      <c r="A1218">
        <f>[1]!hospitalinfo[[#This Row],[Facility ID]]</f>
        <v>114028</v>
      </c>
      <c r="B1218" t="str">
        <f>[1]!hospitalinfo[[#This Row],[State]]</f>
        <v>GA</v>
      </c>
      <c r="C1218" t="str">
        <f>[1]!hospitalinfo[[#This Row],[Hospital Type]]</f>
        <v>Psychiatric</v>
      </c>
      <c r="D1218" t="str">
        <f>[1]!hospitalinfo[[#This Row],[Hospital Ownership]]</f>
        <v>Government - State</v>
      </c>
      <c r="E1218" t="str" cm="1">
        <f t="array" ref="E1218">_xlfn.IFNA(_xlfn.XLOOKUP(1,([1]!hcahps[Facility ID] = clean[[#This Row],[Facility ID]]) * ([1]!hcahps[HCAHPS Measure ID] = "H_HSP_RATING_LINEAR_SCORE"), [1]!hcahps[HCAHPS Linear Mean Value]), "No Match")</f>
        <v>No Match</v>
      </c>
      <c r="F1218" t="str" cm="1">
        <f t="array" ref="F1218">_xlfn.IFNA(_xlfn.XLOOKUP(1,([1]!readmissions[Facility ID] = clean[[#This Row],[Facility ID]]) * ([1]!readmissions[Measure ID] = "Hybrid_HWR"), [1]!readmissions[Score]), "No Match")</f>
        <v>No Match</v>
      </c>
    </row>
    <row r="1219" spans="1:6" x14ac:dyDescent="0.2">
      <c r="A1219">
        <f>[1]!hospitalinfo[[#This Row],[Facility ID]]</f>
        <v>114029</v>
      </c>
      <c r="B1219" t="str">
        <f>[1]!hospitalinfo[[#This Row],[State]]</f>
        <v>GA</v>
      </c>
      <c r="C1219" t="str">
        <f>[1]!hospitalinfo[[#This Row],[Hospital Type]]</f>
        <v>Psychiatric</v>
      </c>
      <c r="D1219" t="str">
        <f>[1]!hospitalinfo[[#This Row],[Hospital Ownership]]</f>
        <v>Government - State</v>
      </c>
      <c r="E1219" t="str" cm="1">
        <f t="array" ref="E1219">_xlfn.IFNA(_xlfn.XLOOKUP(1,([1]!hcahps[Facility ID] = clean[[#This Row],[Facility ID]]) * ([1]!hcahps[HCAHPS Measure ID] = "H_HSP_RATING_LINEAR_SCORE"), [1]!hcahps[HCAHPS Linear Mean Value]), "No Match")</f>
        <v>No Match</v>
      </c>
      <c r="F1219" t="str" cm="1">
        <f t="array" ref="F1219">_xlfn.IFNA(_xlfn.XLOOKUP(1,([1]!readmissions[Facility ID] = clean[[#This Row],[Facility ID]]) * ([1]!readmissions[Measure ID] = "Hybrid_HWR"), [1]!readmissions[Score]), "No Match")</f>
        <v>No Match</v>
      </c>
    </row>
    <row r="1220" spans="1:6" x14ac:dyDescent="0.2">
      <c r="A1220">
        <f>[1]!hospitalinfo[[#This Row],[Facility ID]]</f>
        <v>114032</v>
      </c>
      <c r="B1220" t="str">
        <f>[1]!hospitalinfo[[#This Row],[State]]</f>
        <v>GA</v>
      </c>
      <c r="C1220" t="str">
        <f>[1]!hospitalinfo[[#This Row],[Hospital Type]]</f>
        <v>Psychiatric</v>
      </c>
      <c r="D1220" t="str">
        <f>[1]!hospitalinfo[[#This Row],[Hospital Ownership]]</f>
        <v>Government - Hospital District or Authority</v>
      </c>
      <c r="E1220" t="str" cm="1">
        <f t="array" ref="E1220">_xlfn.IFNA(_xlfn.XLOOKUP(1,([1]!hcahps[Facility ID] = clean[[#This Row],[Facility ID]]) * ([1]!hcahps[HCAHPS Measure ID] = "H_HSP_RATING_LINEAR_SCORE"), [1]!hcahps[HCAHPS Linear Mean Value]), "No Match")</f>
        <v>No Match</v>
      </c>
      <c r="F1220" t="str" cm="1">
        <f t="array" ref="F1220">_xlfn.IFNA(_xlfn.XLOOKUP(1,([1]!readmissions[Facility ID] = clean[[#This Row],[Facility ID]]) * ([1]!readmissions[Measure ID] = "Hybrid_HWR"), [1]!readmissions[Score]), "No Match")</f>
        <v>No Match</v>
      </c>
    </row>
    <row r="1221" spans="1:6" x14ac:dyDescent="0.2">
      <c r="A1221">
        <f>[1]!hospitalinfo[[#This Row],[Facility ID]]</f>
        <v>114035</v>
      </c>
      <c r="B1221" t="str">
        <f>[1]!hospitalinfo[[#This Row],[State]]</f>
        <v>GA</v>
      </c>
      <c r="C1221" t="str">
        <f>[1]!hospitalinfo[[#This Row],[Hospital Type]]</f>
        <v>Psychiatric</v>
      </c>
      <c r="D1221" t="str">
        <f>[1]!hospitalinfo[[#This Row],[Hospital Ownership]]</f>
        <v>Proprietary</v>
      </c>
      <c r="E1221" t="str" cm="1">
        <f t="array" ref="E1221">_xlfn.IFNA(_xlfn.XLOOKUP(1,([1]!hcahps[Facility ID] = clean[[#This Row],[Facility ID]]) * ([1]!hcahps[HCAHPS Measure ID] = "H_HSP_RATING_LINEAR_SCORE"), [1]!hcahps[HCAHPS Linear Mean Value]), "No Match")</f>
        <v>No Match</v>
      </c>
      <c r="F1221" t="str" cm="1">
        <f t="array" ref="F1221">_xlfn.IFNA(_xlfn.XLOOKUP(1,([1]!readmissions[Facility ID] = clean[[#This Row],[Facility ID]]) * ([1]!readmissions[Measure ID] = "Hybrid_HWR"), [1]!readmissions[Score]), "No Match")</f>
        <v>No Match</v>
      </c>
    </row>
    <row r="1222" spans="1:6" x14ac:dyDescent="0.2">
      <c r="A1222">
        <f>[1]!hospitalinfo[[#This Row],[Facility ID]]</f>
        <v>114036</v>
      </c>
      <c r="B1222" t="str">
        <f>[1]!hospitalinfo[[#This Row],[State]]</f>
        <v>GA</v>
      </c>
      <c r="C1222" t="str">
        <f>[1]!hospitalinfo[[#This Row],[Hospital Type]]</f>
        <v>Psychiatric</v>
      </c>
      <c r="D1222" t="str">
        <f>[1]!hospitalinfo[[#This Row],[Hospital Ownership]]</f>
        <v>Proprietary</v>
      </c>
      <c r="E1222" t="str" cm="1">
        <f t="array" ref="E1222">_xlfn.IFNA(_xlfn.XLOOKUP(1,([1]!hcahps[Facility ID] = clean[[#This Row],[Facility ID]]) * ([1]!hcahps[HCAHPS Measure ID] = "H_HSP_RATING_LINEAR_SCORE"), [1]!hcahps[HCAHPS Linear Mean Value]), "No Match")</f>
        <v>No Match</v>
      </c>
      <c r="F1222" t="str" cm="1">
        <f t="array" ref="F1222">_xlfn.IFNA(_xlfn.XLOOKUP(1,([1]!readmissions[Facility ID] = clean[[#This Row],[Facility ID]]) * ([1]!readmissions[Measure ID] = "Hybrid_HWR"), [1]!readmissions[Score]), "No Match")</f>
        <v>No Match</v>
      </c>
    </row>
    <row r="1223" spans="1:6" x14ac:dyDescent="0.2">
      <c r="A1223">
        <f>[1]!hospitalinfo[[#This Row],[Facility ID]]</f>
        <v>114037</v>
      </c>
      <c r="B1223" t="str">
        <f>[1]!hospitalinfo[[#This Row],[State]]</f>
        <v>GA</v>
      </c>
      <c r="C1223" t="str">
        <f>[1]!hospitalinfo[[#This Row],[Hospital Type]]</f>
        <v>Psychiatric</v>
      </c>
      <c r="D1223" t="str">
        <f>[1]!hospitalinfo[[#This Row],[Hospital Ownership]]</f>
        <v>Proprietary</v>
      </c>
      <c r="E1223" t="str" cm="1">
        <f t="array" ref="E1223">_xlfn.IFNA(_xlfn.XLOOKUP(1,([1]!hcahps[Facility ID] = clean[[#This Row],[Facility ID]]) * ([1]!hcahps[HCAHPS Measure ID] = "H_HSP_RATING_LINEAR_SCORE"), [1]!hcahps[HCAHPS Linear Mean Value]), "No Match")</f>
        <v>No Match</v>
      </c>
      <c r="F1223" t="str" cm="1">
        <f t="array" ref="F1223">_xlfn.IFNA(_xlfn.XLOOKUP(1,([1]!readmissions[Facility ID] = clean[[#This Row],[Facility ID]]) * ([1]!readmissions[Measure ID] = "Hybrid_HWR"), [1]!readmissions[Score]), "No Match")</f>
        <v>No Match</v>
      </c>
    </row>
    <row r="1224" spans="1:6" x14ac:dyDescent="0.2">
      <c r="A1224" t="str">
        <f>[1]!hospitalinfo[[#This Row],[Facility ID]]</f>
        <v>11029F</v>
      </c>
      <c r="B1224" t="str">
        <f>[1]!hospitalinfo[[#This Row],[State]]</f>
        <v>GA</v>
      </c>
      <c r="C1224" t="str">
        <f>[1]!hospitalinfo[[#This Row],[Hospital Type]]</f>
        <v>Acute Care - Veterans Administration</v>
      </c>
      <c r="D1224" t="str">
        <f>[1]!hospitalinfo[[#This Row],[Hospital Ownership]]</f>
        <v>Veterans Health Administration</v>
      </c>
      <c r="E1224" cm="1">
        <f t="array" ref="E1224">_xlfn.IFNA(_xlfn.XLOOKUP(1,([1]!hcahps[Facility ID] = clean[[#This Row],[Facility ID]]) * ([1]!hcahps[HCAHPS Measure ID] = "H_HSP_RATING_LINEAR_SCORE"), [1]!hcahps[HCAHPS Linear Mean Value]), "No Match")</f>
        <v>85</v>
      </c>
      <c r="F1224" cm="1">
        <f t="array" ref="F1224">_xlfn.IFNA(_xlfn.XLOOKUP(1,([1]!readmissions[Facility ID] = clean[[#This Row],[Facility ID]]) * ([1]!readmissions[Measure ID] = "Hybrid_HWR"), [1]!readmissions[Score]), "No Match")</f>
        <v>14.5</v>
      </c>
    </row>
    <row r="1225" spans="1:6" x14ac:dyDescent="0.2">
      <c r="A1225" t="str">
        <f>[1]!hospitalinfo[[#This Row],[Facility ID]]</f>
        <v>11030F</v>
      </c>
      <c r="B1225" t="str">
        <f>[1]!hospitalinfo[[#This Row],[State]]</f>
        <v>GA</v>
      </c>
      <c r="C1225" t="str">
        <f>[1]!hospitalinfo[[#This Row],[Hospital Type]]</f>
        <v>Acute Care - Veterans Administration</v>
      </c>
      <c r="D1225" t="str">
        <f>[1]!hospitalinfo[[#This Row],[Hospital Ownership]]</f>
        <v>Veterans Health Administration</v>
      </c>
      <c r="E1225" cm="1">
        <f t="array" ref="E1225">_xlfn.IFNA(_xlfn.XLOOKUP(1,([1]!hcahps[Facility ID] = clean[[#This Row],[Facility ID]]) * ([1]!hcahps[HCAHPS Measure ID] = "H_HSP_RATING_LINEAR_SCORE"), [1]!hcahps[HCAHPS Linear Mean Value]), "No Match")</f>
        <v>89</v>
      </c>
      <c r="F1225" cm="1">
        <f t="array" ref="F1225">_xlfn.IFNA(_xlfn.XLOOKUP(1,([1]!readmissions[Facility ID] = clean[[#This Row],[Facility ID]]) * ([1]!readmissions[Measure ID] = "Hybrid_HWR"), [1]!readmissions[Score]), "No Match")</f>
        <v>15.1</v>
      </c>
    </row>
    <row r="1226" spans="1:6" x14ac:dyDescent="0.2">
      <c r="A1226" t="str">
        <f>[1]!hospitalinfo[[#This Row],[Facility ID]]</f>
        <v>11031F</v>
      </c>
      <c r="B1226" t="str">
        <f>[1]!hospitalinfo[[#This Row],[State]]</f>
        <v>GA</v>
      </c>
      <c r="C1226" t="str">
        <f>[1]!hospitalinfo[[#This Row],[Hospital Type]]</f>
        <v>Acute Care - Veterans Administration</v>
      </c>
      <c r="D1226" t="str">
        <f>[1]!hospitalinfo[[#This Row],[Hospital Ownership]]</f>
        <v>Veterans Health Administration</v>
      </c>
      <c r="E1226" t="str" cm="1">
        <f t="array" ref="E1226">_xlfn.IFNA(_xlfn.XLOOKUP(1,([1]!hcahps[Facility ID] = clean[[#This Row],[Facility ID]]) * ([1]!hcahps[HCAHPS Measure ID] = "H_HSP_RATING_LINEAR_SCORE"), [1]!hcahps[HCAHPS Linear Mean Value]), "No Match")</f>
        <v>Not Available</v>
      </c>
      <c r="F1226" cm="1">
        <f t="array" ref="F1226">_xlfn.IFNA(_xlfn.XLOOKUP(1,([1]!readmissions[Facility ID] = clean[[#This Row],[Facility ID]]) * ([1]!readmissions[Measure ID] = "Hybrid_HWR"), [1]!readmissions[Score]), "No Match")</f>
        <v>13.7</v>
      </c>
    </row>
    <row r="1227" spans="1:6" x14ac:dyDescent="0.2">
      <c r="A1227" t="str">
        <f>[1]!hospitalinfo[[#This Row],[Facility ID]]</f>
        <v>11032F</v>
      </c>
      <c r="B1227" t="str">
        <f>[1]!hospitalinfo[[#This Row],[State]]</f>
        <v>GA</v>
      </c>
      <c r="C1227" t="str">
        <f>[1]!hospitalinfo[[#This Row],[Hospital Type]]</f>
        <v>Acute Care - Department of Defense</v>
      </c>
      <c r="D1227" t="str">
        <f>[1]!hospitalinfo[[#This Row],[Hospital Ownership]]</f>
        <v>Department of Defense</v>
      </c>
      <c r="E1227" cm="1">
        <f t="array" ref="E1227">_xlfn.IFNA(_xlfn.XLOOKUP(1,([1]!hcahps[Facility ID] = clean[[#This Row],[Facility ID]]) * ([1]!hcahps[HCAHPS Measure ID] = "H_HSP_RATING_LINEAR_SCORE"), [1]!hcahps[HCAHPS Linear Mean Value]), "No Match")</f>
        <v>93</v>
      </c>
      <c r="F1227" t="str" cm="1">
        <f t="array" ref="F1227">_xlfn.IFNA(_xlfn.XLOOKUP(1,([1]!readmissions[Facility ID] = clean[[#This Row],[Facility ID]]) * ([1]!readmissions[Measure ID] = "Hybrid_HWR"), [1]!readmissions[Score]), "No Match")</f>
        <v>Not Available</v>
      </c>
    </row>
    <row r="1228" spans="1:6" x14ac:dyDescent="0.2">
      <c r="A1228" t="str">
        <f>[1]!hospitalinfo[[#This Row],[Facility ID]]</f>
        <v>11033F</v>
      </c>
      <c r="B1228" t="str">
        <f>[1]!hospitalinfo[[#This Row],[State]]</f>
        <v>GA</v>
      </c>
      <c r="C1228" t="str">
        <f>[1]!hospitalinfo[[#This Row],[Hospital Type]]</f>
        <v>Acute Care - Department of Defense</v>
      </c>
      <c r="D1228" t="str">
        <f>[1]!hospitalinfo[[#This Row],[Hospital Ownership]]</f>
        <v>Department of Defense</v>
      </c>
      <c r="E1228" cm="1">
        <f t="array" ref="E1228">_xlfn.IFNA(_xlfn.XLOOKUP(1,([1]!hcahps[Facility ID] = clean[[#This Row],[Facility ID]]) * ([1]!hcahps[HCAHPS Measure ID] = "H_HSP_RATING_LINEAR_SCORE"), [1]!hcahps[HCAHPS Linear Mean Value]), "No Match")</f>
        <v>93</v>
      </c>
      <c r="F1228" t="str" cm="1">
        <f t="array" ref="F1228">_xlfn.IFNA(_xlfn.XLOOKUP(1,([1]!readmissions[Facility ID] = clean[[#This Row],[Facility ID]]) * ([1]!readmissions[Measure ID] = "Hybrid_HWR"), [1]!readmissions[Score]), "No Match")</f>
        <v>Not Available</v>
      </c>
    </row>
    <row r="1229" spans="1:6" x14ac:dyDescent="0.2">
      <c r="A1229" t="str">
        <f>[1]!hospitalinfo[[#This Row],[Facility ID]]</f>
        <v>11035F</v>
      </c>
      <c r="B1229" t="str">
        <f>[1]!hospitalinfo[[#This Row],[State]]</f>
        <v>GA</v>
      </c>
      <c r="C1229" t="str">
        <f>[1]!hospitalinfo[[#This Row],[Hospital Type]]</f>
        <v>Acute Care - Department of Defense</v>
      </c>
      <c r="D1229" t="str">
        <f>[1]!hospitalinfo[[#This Row],[Hospital Ownership]]</f>
        <v>Department of Defense</v>
      </c>
      <c r="E1229" cm="1">
        <f t="array" ref="E1229">_xlfn.IFNA(_xlfn.XLOOKUP(1,([1]!hcahps[Facility ID] = clean[[#This Row],[Facility ID]]) * ([1]!hcahps[HCAHPS Measure ID] = "H_HSP_RATING_LINEAR_SCORE"), [1]!hcahps[HCAHPS Linear Mean Value]), "No Match")</f>
        <v>88</v>
      </c>
      <c r="F1229" t="str" cm="1">
        <f t="array" ref="F1229">_xlfn.IFNA(_xlfn.XLOOKUP(1,([1]!readmissions[Facility ID] = clean[[#This Row],[Facility ID]]) * ([1]!readmissions[Measure ID] = "Hybrid_HWR"), [1]!readmissions[Score]), "No Match")</f>
        <v>Not Available</v>
      </c>
    </row>
    <row r="1230" spans="1:6" x14ac:dyDescent="0.2">
      <c r="A1230">
        <f>[1]!hospitalinfo[[#This Row],[Facility ID]]</f>
        <v>650001</v>
      </c>
      <c r="B1230" t="str">
        <f>[1]!hospitalinfo[[#This Row],[State]]</f>
        <v>GU</v>
      </c>
      <c r="C1230" t="str">
        <f>[1]!hospitalinfo[[#This Row],[Hospital Type]]</f>
        <v>Acute Care Hospitals</v>
      </c>
      <c r="D1230" t="str">
        <f>[1]!hospitalinfo[[#This Row],[Hospital Ownership]]</f>
        <v>Government - Local</v>
      </c>
      <c r="E1230" t="str" cm="1">
        <f t="array" ref="E1230">_xlfn.IFNA(_xlfn.XLOOKUP(1,([1]!hcahps[Facility ID] = clean[[#This Row],[Facility ID]]) * ([1]!hcahps[HCAHPS Measure ID] = "H_HSP_RATING_LINEAR_SCORE"), [1]!hcahps[HCAHPS Linear Mean Value]), "No Match")</f>
        <v>Not Available</v>
      </c>
      <c r="F1230" cm="1">
        <f t="array" ref="F1230">_xlfn.IFNA(_xlfn.XLOOKUP(1,([1]!readmissions[Facility ID] = clean[[#This Row],[Facility ID]]) * ([1]!readmissions[Measure ID] = "Hybrid_HWR"), [1]!readmissions[Score]), "No Match")</f>
        <v>15.6</v>
      </c>
    </row>
    <row r="1231" spans="1:6" x14ac:dyDescent="0.2">
      <c r="A1231">
        <f>[1]!hospitalinfo[[#This Row],[Facility ID]]</f>
        <v>650003</v>
      </c>
      <c r="B1231" t="str">
        <f>[1]!hospitalinfo[[#This Row],[State]]</f>
        <v>GU</v>
      </c>
      <c r="C1231" t="str">
        <f>[1]!hospitalinfo[[#This Row],[Hospital Type]]</f>
        <v>Acute Care Hospitals</v>
      </c>
      <c r="D1231" t="str">
        <f>[1]!hospitalinfo[[#This Row],[Hospital Ownership]]</f>
        <v>Voluntary non-profit - Private</v>
      </c>
      <c r="E1231" t="str" cm="1">
        <f t="array" ref="E1231">_xlfn.IFNA(_xlfn.XLOOKUP(1,([1]!hcahps[Facility ID] = clean[[#This Row],[Facility ID]]) * ([1]!hcahps[HCAHPS Measure ID] = "H_HSP_RATING_LINEAR_SCORE"), [1]!hcahps[HCAHPS Linear Mean Value]), "No Match")</f>
        <v>Not Available</v>
      </c>
      <c r="F1231" t="str" cm="1">
        <f t="array" ref="F1231">_xlfn.IFNA(_xlfn.XLOOKUP(1,([1]!readmissions[Facility ID] = clean[[#This Row],[Facility ID]]) * ([1]!readmissions[Measure ID] = "Hybrid_HWR"), [1]!readmissions[Score]), "No Match")</f>
        <v>Not Available</v>
      </c>
    </row>
    <row r="1232" spans="1:6" x14ac:dyDescent="0.2">
      <c r="A1232">
        <f>[1]!hospitalinfo[[#This Row],[Facility ID]]</f>
        <v>120001</v>
      </c>
      <c r="B1232" t="str">
        <f>[1]!hospitalinfo[[#This Row],[State]]</f>
        <v>HI</v>
      </c>
      <c r="C1232" t="str">
        <f>[1]!hospitalinfo[[#This Row],[Hospital Type]]</f>
        <v>Acute Care Hospitals</v>
      </c>
      <c r="D1232" t="str">
        <f>[1]!hospitalinfo[[#This Row],[Hospital Ownership]]</f>
        <v>Voluntary non-profit - Private</v>
      </c>
      <c r="E1232" cm="1">
        <f t="array" ref="E1232">_xlfn.IFNA(_xlfn.XLOOKUP(1,([1]!hcahps[Facility ID] = clean[[#This Row],[Facility ID]]) * ([1]!hcahps[HCAHPS Measure ID] = "H_HSP_RATING_LINEAR_SCORE"), [1]!hcahps[HCAHPS Linear Mean Value]), "No Match")</f>
        <v>89</v>
      </c>
      <c r="F1232" cm="1">
        <f t="array" ref="F1232">_xlfn.IFNA(_xlfn.XLOOKUP(1,([1]!readmissions[Facility ID] = clean[[#This Row],[Facility ID]]) * ([1]!readmissions[Measure ID] = "Hybrid_HWR"), [1]!readmissions[Score]), "No Match")</f>
        <v>14.3</v>
      </c>
    </row>
    <row r="1233" spans="1:6" x14ac:dyDescent="0.2">
      <c r="A1233">
        <f>[1]!hospitalinfo[[#This Row],[Facility ID]]</f>
        <v>120002</v>
      </c>
      <c r="B1233" t="str">
        <f>[1]!hospitalinfo[[#This Row],[State]]</f>
        <v>HI</v>
      </c>
      <c r="C1233" t="str">
        <f>[1]!hospitalinfo[[#This Row],[Hospital Type]]</f>
        <v>Acute Care Hospitals</v>
      </c>
      <c r="D1233" t="str">
        <f>[1]!hospitalinfo[[#This Row],[Hospital Ownership]]</f>
        <v>Government - State</v>
      </c>
      <c r="E1233" cm="1">
        <f t="array" ref="E1233">_xlfn.IFNA(_xlfn.XLOOKUP(1,([1]!hcahps[Facility ID] = clean[[#This Row],[Facility ID]]) * ([1]!hcahps[HCAHPS Measure ID] = "H_HSP_RATING_LINEAR_SCORE"), [1]!hcahps[HCAHPS Linear Mean Value]), "No Match")</f>
        <v>85</v>
      </c>
      <c r="F1233" cm="1">
        <f t="array" ref="F1233">_xlfn.IFNA(_xlfn.XLOOKUP(1,([1]!readmissions[Facility ID] = clean[[#This Row],[Facility ID]]) * ([1]!readmissions[Measure ID] = "Hybrid_HWR"), [1]!readmissions[Score]), "No Match")</f>
        <v>14.1</v>
      </c>
    </row>
    <row r="1234" spans="1:6" x14ac:dyDescent="0.2">
      <c r="A1234">
        <f>[1]!hospitalinfo[[#This Row],[Facility ID]]</f>
        <v>120005</v>
      </c>
      <c r="B1234" t="str">
        <f>[1]!hospitalinfo[[#This Row],[State]]</f>
        <v>HI</v>
      </c>
      <c r="C1234" t="str">
        <f>[1]!hospitalinfo[[#This Row],[Hospital Type]]</f>
        <v>Acute Care Hospitals</v>
      </c>
      <c r="D1234" t="str">
        <f>[1]!hospitalinfo[[#This Row],[Hospital Ownership]]</f>
        <v>Government - State</v>
      </c>
      <c r="E1234" cm="1">
        <f t="array" ref="E1234">_xlfn.IFNA(_xlfn.XLOOKUP(1,([1]!hcahps[Facility ID] = clean[[#This Row],[Facility ID]]) * ([1]!hcahps[HCAHPS Measure ID] = "H_HSP_RATING_LINEAR_SCORE"), [1]!hcahps[HCAHPS Linear Mean Value]), "No Match")</f>
        <v>85</v>
      </c>
      <c r="F1234" cm="1">
        <f t="array" ref="F1234">_xlfn.IFNA(_xlfn.XLOOKUP(1,([1]!readmissions[Facility ID] = clean[[#This Row],[Facility ID]]) * ([1]!readmissions[Measure ID] = "Hybrid_HWR"), [1]!readmissions[Score]), "No Match")</f>
        <v>14.1</v>
      </c>
    </row>
    <row r="1235" spans="1:6" x14ac:dyDescent="0.2">
      <c r="A1235">
        <f>[1]!hospitalinfo[[#This Row],[Facility ID]]</f>
        <v>120006</v>
      </c>
      <c r="B1235" t="str">
        <f>[1]!hospitalinfo[[#This Row],[State]]</f>
        <v>HI</v>
      </c>
      <c r="C1235" t="str">
        <f>[1]!hospitalinfo[[#This Row],[Hospital Type]]</f>
        <v>Acute Care Hospitals</v>
      </c>
      <c r="D1235" t="str">
        <f>[1]!hospitalinfo[[#This Row],[Hospital Ownership]]</f>
        <v>Voluntary non-profit - Church</v>
      </c>
      <c r="E1235" cm="1">
        <f t="array" ref="E1235">_xlfn.IFNA(_xlfn.XLOOKUP(1,([1]!hcahps[Facility ID] = clean[[#This Row],[Facility ID]]) * ([1]!hcahps[HCAHPS Measure ID] = "H_HSP_RATING_LINEAR_SCORE"), [1]!hcahps[HCAHPS Linear Mean Value]), "No Match")</f>
        <v>92</v>
      </c>
      <c r="F1235" cm="1">
        <f t="array" ref="F1235">_xlfn.IFNA(_xlfn.XLOOKUP(1,([1]!readmissions[Facility ID] = clean[[#This Row],[Facility ID]]) * ([1]!readmissions[Measure ID] = "Hybrid_HWR"), [1]!readmissions[Score]), "No Match")</f>
        <v>15.1</v>
      </c>
    </row>
    <row r="1236" spans="1:6" x14ac:dyDescent="0.2">
      <c r="A1236">
        <f>[1]!hospitalinfo[[#This Row],[Facility ID]]</f>
        <v>120007</v>
      </c>
      <c r="B1236" t="str">
        <f>[1]!hospitalinfo[[#This Row],[State]]</f>
        <v>HI</v>
      </c>
      <c r="C1236" t="str">
        <f>[1]!hospitalinfo[[#This Row],[Hospital Type]]</f>
        <v>Acute Care Hospitals</v>
      </c>
      <c r="D1236" t="str">
        <f>[1]!hospitalinfo[[#This Row],[Hospital Ownership]]</f>
        <v>Voluntary non-profit - Private</v>
      </c>
      <c r="E1236" cm="1">
        <f t="array" ref="E1236">_xlfn.IFNA(_xlfn.XLOOKUP(1,([1]!hcahps[Facility ID] = clean[[#This Row],[Facility ID]]) * ([1]!hcahps[HCAHPS Measure ID] = "H_HSP_RATING_LINEAR_SCORE"), [1]!hcahps[HCAHPS Linear Mean Value]), "No Match")</f>
        <v>84</v>
      </c>
      <c r="F1236" cm="1">
        <f t="array" ref="F1236">_xlfn.IFNA(_xlfn.XLOOKUP(1,([1]!readmissions[Facility ID] = clean[[#This Row],[Facility ID]]) * ([1]!readmissions[Measure ID] = "Hybrid_HWR"), [1]!readmissions[Score]), "No Match")</f>
        <v>14.1</v>
      </c>
    </row>
    <row r="1237" spans="1:6" x14ac:dyDescent="0.2">
      <c r="A1237">
        <f>[1]!hospitalinfo[[#This Row],[Facility ID]]</f>
        <v>120011</v>
      </c>
      <c r="B1237" t="str">
        <f>[1]!hospitalinfo[[#This Row],[State]]</f>
        <v>HI</v>
      </c>
      <c r="C1237" t="str">
        <f>[1]!hospitalinfo[[#This Row],[Hospital Type]]</f>
        <v>Acute Care Hospitals</v>
      </c>
      <c r="D1237" t="str">
        <f>[1]!hospitalinfo[[#This Row],[Hospital Ownership]]</f>
        <v>Voluntary non-profit - Private</v>
      </c>
      <c r="E1237" cm="1">
        <f t="array" ref="E1237">_xlfn.IFNA(_xlfn.XLOOKUP(1,([1]!hcahps[Facility ID] = clean[[#This Row],[Facility ID]]) * ([1]!hcahps[HCAHPS Measure ID] = "H_HSP_RATING_LINEAR_SCORE"), [1]!hcahps[HCAHPS Linear Mean Value]), "No Match")</f>
        <v>92</v>
      </c>
      <c r="F1237" cm="1">
        <f t="array" ref="F1237">_xlfn.IFNA(_xlfn.XLOOKUP(1,([1]!readmissions[Facility ID] = clean[[#This Row],[Facility ID]]) * ([1]!readmissions[Measure ID] = "Hybrid_HWR"), [1]!readmissions[Score]), "No Match")</f>
        <v>15.3</v>
      </c>
    </row>
    <row r="1238" spans="1:6" x14ac:dyDescent="0.2">
      <c r="A1238">
        <f>[1]!hospitalinfo[[#This Row],[Facility ID]]</f>
        <v>120014</v>
      </c>
      <c r="B1238" t="str">
        <f>[1]!hospitalinfo[[#This Row],[State]]</f>
        <v>HI</v>
      </c>
      <c r="C1238" t="str">
        <f>[1]!hospitalinfo[[#This Row],[Hospital Type]]</f>
        <v>Acute Care Hospitals</v>
      </c>
      <c r="D1238" t="str">
        <f>[1]!hospitalinfo[[#This Row],[Hospital Ownership]]</f>
        <v>Government - Federal</v>
      </c>
      <c r="E1238" cm="1">
        <f t="array" ref="E1238">_xlfn.IFNA(_xlfn.XLOOKUP(1,([1]!hcahps[Facility ID] = clean[[#This Row],[Facility ID]]) * ([1]!hcahps[HCAHPS Measure ID] = "H_HSP_RATING_LINEAR_SCORE"), [1]!hcahps[HCAHPS Linear Mean Value]), "No Match")</f>
        <v>89</v>
      </c>
      <c r="F1238" cm="1">
        <f t="array" ref="F1238">_xlfn.IFNA(_xlfn.XLOOKUP(1,([1]!readmissions[Facility ID] = clean[[#This Row],[Facility ID]]) * ([1]!readmissions[Measure ID] = "Hybrid_HWR"), [1]!readmissions[Score]), "No Match")</f>
        <v>14.4</v>
      </c>
    </row>
    <row r="1239" spans="1:6" x14ac:dyDescent="0.2">
      <c r="A1239">
        <f>[1]!hospitalinfo[[#This Row],[Facility ID]]</f>
        <v>120019</v>
      </c>
      <c r="B1239" t="str">
        <f>[1]!hospitalinfo[[#This Row],[State]]</f>
        <v>HI</v>
      </c>
      <c r="C1239" t="str">
        <f>[1]!hospitalinfo[[#This Row],[Hospital Type]]</f>
        <v>Acute Care Hospitals</v>
      </c>
      <c r="D1239" t="str">
        <f>[1]!hospitalinfo[[#This Row],[Hospital Ownership]]</f>
        <v>Government - State</v>
      </c>
      <c r="E1239" cm="1">
        <f t="array" ref="E1239">_xlfn.IFNA(_xlfn.XLOOKUP(1,([1]!hcahps[Facility ID] = clean[[#This Row],[Facility ID]]) * ([1]!hcahps[HCAHPS Measure ID] = "H_HSP_RATING_LINEAR_SCORE"), [1]!hcahps[HCAHPS Linear Mean Value]), "No Match")</f>
        <v>85</v>
      </c>
      <c r="F1239" cm="1">
        <f t="array" ref="F1239">_xlfn.IFNA(_xlfn.XLOOKUP(1,([1]!readmissions[Facility ID] = clean[[#This Row],[Facility ID]]) * ([1]!readmissions[Measure ID] = "Hybrid_HWR"), [1]!readmissions[Score]), "No Match")</f>
        <v>14.6</v>
      </c>
    </row>
    <row r="1240" spans="1:6" x14ac:dyDescent="0.2">
      <c r="A1240">
        <f>[1]!hospitalinfo[[#This Row],[Facility ID]]</f>
        <v>120022</v>
      </c>
      <c r="B1240" t="str">
        <f>[1]!hospitalinfo[[#This Row],[State]]</f>
        <v>HI</v>
      </c>
      <c r="C1240" t="str">
        <f>[1]!hospitalinfo[[#This Row],[Hospital Type]]</f>
        <v>Acute Care Hospitals</v>
      </c>
      <c r="D1240" t="str">
        <f>[1]!hospitalinfo[[#This Row],[Hospital Ownership]]</f>
        <v>Proprietary</v>
      </c>
      <c r="E1240" cm="1">
        <f t="array" ref="E1240">_xlfn.IFNA(_xlfn.XLOOKUP(1,([1]!hcahps[Facility ID] = clean[[#This Row],[Facility ID]]) * ([1]!hcahps[HCAHPS Measure ID] = "H_HSP_RATING_LINEAR_SCORE"), [1]!hcahps[HCAHPS Linear Mean Value]), "No Match")</f>
        <v>90</v>
      </c>
      <c r="F1240" cm="1">
        <f t="array" ref="F1240">_xlfn.IFNA(_xlfn.XLOOKUP(1,([1]!readmissions[Facility ID] = clean[[#This Row],[Facility ID]]) * ([1]!readmissions[Measure ID] = "Hybrid_HWR"), [1]!readmissions[Score]), "No Match")</f>
        <v>13.8</v>
      </c>
    </row>
    <row r="1241" spans="1:6" x14ac:dyDescent="0.2">
      <c r="A1241">
        <f>[1]!hospitalinfo[[#This Row],[Facility ID]]</f>
        <v>120026</v>
      </c>
      <c r="B1241" t="str">
        <f>[1]!hospitalinfo[[#This Row],[State]]</f>
        <v>HI</v>
      </c>
      <c r="C1241" t="str">
        <f>[1]!hospitalinfo[[#This Row],[Hospital Type]]</f>
        <v>Acute Care Hospitals</v>
      </c>
      <c r="D1241" t="str">
        <f>[1]!hospitalinfo[[#This Row],[Hospital Ownership]]</f>
        <v>Proprietary</v>
      </c>
      <c r="E1241" cm="1">
        <f t="array" ref="E1241">_xlfn.IFNA(_xlfn.XLOOKUP(1,([1]!hcahps[Facility ID] = clean[[#This Row],[Facility ID]]) * ([1]!hcahps[HCAHPS Measure ID] = "H_HSP_RATING_LINEAR_SCORE"), [1]!hcahps[HCAHPS Linear Mean Value]), "No Match")</f>
        <v>91</v>
      </c>
      <c r="F1241" cm="1">
        <f t="array" ref="F1241">_xlfn.IFNA(_xlfn.XLOOKUP(1,([1]!readmissions[Facility ID] = clean[[#This Row],[Facility ID]]) * ([1]!readmissions[Measure ID] = "Hybrid_HWR"), [1]!readmissions[Score]), "No Match")</f>
        <v>13.9</v>
      </c>
    </row>
    <row r="1242" spans="1:6" x14ac:dyDescent="0.2">
      <c r="A1242">
        <f>[1]!hospitalinfo[[#This Row],[Facility ID]]</f>
        <v>120028</v>
      </c>
      <c r="B1242" t="str">
        <f>[1]!hospitalinfo[[#This Row],[State]]</f>
        <v>HI</v>
      </c>
      <c r="C1242" t="str">
        <f>[1]!hospitalinfo[[#This Row],[Hospital Type]]</f>
        <v>Acute Care Hospitals</v>
      </c>
      <c r="D1242" t="str">
        <f>[1]!hospitalinfo[[#This Row],[Hospital Ownership]]</f>
        <v>Voluntary non-profit - Private</v>
      </c>
      <c r="E1242" cm="1">
        <f t="array" ref="E1242">_xlfn.IFNA(_xlfn.XLOOKUP(1,([1]!hcahps[Facility ID] = clean[[#This Row],[Facility ID]]) * ([1]!hcahps[HCAHPS Measure ID] = "H_HSP_RATING_LINEAR_SCORE"), [1]!hcahps[HCAHPS Linear Mean Value]), "No Match")</f>
        <v>89</v>
      </c>
      <c r="F1242" cm="1">
        <f t="array" ref="F1242">_xlfn.IFNA(_xlfn.XLOOKUP(1,([1]!readmissions[Facility ID] = clean[[#This Row],[Facility ID]]) * ([1]!readmissions[Measure ID] = "Hybrid_HWR"), [1]!readmissions[Score]), "No Match")</f>
        <v>14.4</v>
      </c>
    </row>
    <row r="1243" spans="1:6" x14ac:dyDescent="0.2">
      <c r="A1243">
        <f>[1]!hospitalinfo[[#This Row],[Facility ID]]</f>
        <v>121300</v>
      </c>
      <c r="B1243" t="str">
        <f>[1]!hospitalinfo[[#This Row],[State]]</f>
        <v>HI</v>
      </c>
      <c r="C1243" t="str">
        <f>[1]!hospitalinfo[[#This Row],[Hospital Type]]</f>
        <v>Critical Access Hospitals</v>
      </c>
      <c r="D1243" t="str">
        <f>[1]!hospitalinfo[[#This Row],[Hospital Ownership]]</f>
        <v>Government - State</v>
      </c>
      <c r="E1243" cm="1">
        <f t="array" ref="E1243">_xlfn.IFNA(_xlfn.XLOOKUP(1,([1]!hcahps[Facility ID] = clean[[#This Row],[Facility ID]]) * ([1]!hcahps[HCAHPS Measure ID] = "H_HSP_RATING_LINEAR_SCORE"), [1]!hcahps[HCAHPS Linear Mean Value]), "No Match")</f>
        <v>93</v>
      </c>
      <c r="F1243" cm="1">
        <f t="array" ref="F1243">_xlfn.IFNA(_xlfn.XLOOKUP(1,([1]!readmissions[Facility ID] = clean[[#This Row],[Facility ID]]) * ([1]!readmissions[Measure ID] = "Hybrid_HWR"), [1]!readmissions[Score]), "No Match")</f>
        <v>14.6</v>
      </c>
    </row>
    <row r="1244" spans="1:6" x14ac:dyDescent="0.2">
      <c r="A1244">
        <f>[1]!hospitalinfo[[#This Row],[Facility ID]]</f>
        <v>121301</v>
      </c>
      <c r="B1244" t="str">
        <f>[1]!hospitalinfo[[#This Row],[State]]</f>
        <v>HI</v>
      </c>
      <c r="C1244" t="str">
        <f>[1]!hospitalinfo[[#This Row],[Hospital Type]]</f>
        <v>Critical Access Hospitals</v>
      </c>
      <c r="D1244" t="str">
        <f>[1]!hospitalinfo[[#This Row],[Hospital Ownership]]</f>
        <v>Government - State</v>
      </c>
      <c r="E1244" t="str" cm="1">
        <f t="array" ref="E1244">_xlfn.IFNA(_xlfn.XLOOKUP(1,([1]!hcahps[Facility ID] = clean[[#This Row],[Facility ID]]) * ([1]!hcahps[HCAHPS Measure ID] = "H_HSP_RATING_LINEAR_SCORE"), [1]!hcahps[HCAHPS Linear Mean Value]), "No Match")</f>
        <v>Not Available</v>
      </c>
      <c r="F1244" t="str" cm="1">
        <f t="array" ref="F1244">_xlfn.IFNA(_xlfn.XLOOKUP(1,([1]!readmissions[Facility ID] = clean[[#This Row],[Facility ID]]) * ([1]!readmissions[Measure ID] = "Hybrid_HWR"), [1]!readmissions[Score]), "No Match")</f>
        <v>Not Available</v>
      </c>
    </row>
    <row r="1245" spans="1:6" x14ac:dyDescent="0.2">
      <c r="A1245">
        <f>[1]!hospitalinfo[[#This Row],[Facility ID]]</f>
        <v>121302</v>
      </c>
      <c r="B1245" t="str">
        <f>[1]!hospitalinfo[[#This Row],[State]]</f>
        <v>HI</v>
      </c>
      <c r="C1245" t="str">
        <f>[1]!hospitalinfo[[#This Row],[Hospital Type]]</f>
        <v>Critical Access Hospitals</v>
      </c>
      <c r="D1245" t="str">
        <f>[1]!hospitalinfo[[#This Row],[Hospital Ownership]]</f>
        <v>Government - State</v>
      </c>
      <c r="E1245" t="str" cm="1">
        <f t="array" ref="E1245">_xlfn.IFNA(_xlfn.XLOOKUP(1,([1]!hcahps[Facility ID] = clean[[#This Row],[Facility ID]]) * ([1]!hcahps[HCAHPS Measure ID] = "H_HSP_RATING_LINEAR_SCORE"), [1]!hcahps[HCAHPS Linear Mean Value]), "No Match")</f>
        <v>Not Available</v>
      </c>
      <c r="F1245" t="str" cm="1">
        <f t="array" ref="F1245">_xlfn.IFNA(_xlfn.XLOOKUP(1,([1]!readmissions[Facility ID] = clean[[#This Row],[Facility ID]]) * ([1]!readmissions[Measure ID] = "Hybrid_HWR"), [1]!readmissions[Score]), "No Match")</f>
        <v>Not Available</v>
      </c>
    </row>
    <row r="1246" spans="1:6" x14ac:dyDescent="0.2">
      <c r="A1246">
        <f>[1]!hospitalinfo[[#This Row],[Facility ID]]</f>
        <v>121303</v>
      </c>
      <c r="B1246" t="str">
        <f>[1]!hospitalinfo[[#This Row],[State]]</f>
        <v>HI</v>
      </c>
      <c r="C1246" t="str">
        <f>[1]!hospitalinfo[[#This Row],[Hospital Type]]</f>
        <v>Critical Access Hospitals</v>
      </c>
      <c r="D1246" t="str">
        <f>[1]!hospitalinfo[[#This Row],[Hospital Ownership]]</f>
        <v>Voluntary non-profit - Private</v>
      </c>
      <c r="E1246" t="str" cm="1">
        <f t="array" ref="E1246">_xlfn.IFNA(_xlfn.XLOOKUP(1,([1]!hcahps[Facility ID] = clean[[#This Row],[Facility ID]]) * ([1]!hcahps[HCAHPS Measure ID] = "H_HSP_RATING_LINEAR_SCORE"), [1]!hcahps[HCAHPS Linear Mean Value]), "No Match")</f>
        <v>Not Available</v>
      </c>
      <c r="F1246" t="str" cm="1">
        <f t="array" ref="F1246">_xlfn.IFNA(_xlfn.XLOOKUP(1,([1]!readmissions[Facility ID] = clean[[#This Row],[Facility ID]]) * ([1]!readmissions[Measure ID] = "Hybrid_HWR"), [1]!readmissions[Score]), "No Match")</f>
        <v>Not Available</v>
      </c>
    </row>
    <row r="1247" spans="1:6" x14ac:dyDescent="0.2">
      <c r="A1247">
        <f>[1]!hospitalinfo[[#This Row],[Facility ID]]</f>
        <v>121304</v>
      </c>
      <c r="B1247" t="str">
        <f>[1]!hospitalinfo[[#This Row],[State]]</f>
        <v>HI</v>
      </c>
      <c r="C1247" t="str">
        <f>[1]!hospitalinfo[[#This Row],[Hospital Type]]</f>
        <v>Critical Access Hospitals</v>
      </c>
      <c r="D1247" t="str">
        <f>[1]!hospitalinfo[[#This Row],[Hospital Ownership]]</f>
        <v>Voluntary non-profit - Other</v>
      </c>
      <c r="E1247" t="str" cm="1">
        <f t="array" ref="E1247">_xlfn.IFNA(_xlfn.XLOOKUP(1,([1]!hcahps[Facility ID] = clean[[#This Row],[Facility ID]]) * ([1]!hcahps[HCAHPS Measure ID] = "H_HSP_RATING_LINEAR_SCORE"), [1]!hcahps[HCAHPS Linear Mean Value]), "No Match")</f>
        <v>Not Available</v>
      </c>
      <c r="F1247" t="str" cm="1">
        <f t="array" ref="F1247">_xlfn.IFNA(_xlfn.XLOOKUP(1,([1]!readmissions[Facility ID] = clean[[#This Row],[Facility ID]]) * ([1]!readmissions[Measure ID] = "Hybrid_HWR"), [1]!readmissions[Score]), "No Match")</f>
        <v>Not Available</v>
      </c>
    </row>
    <row r="1248" spans="1:6" x14ac:dyDescent="0.2">
      <c r="A1248">
        <f>[1]!hospitalinfo[[#This Row],[Facility ID]]</f>
        <v>121305</v>
      </c>
      <c r="B1248" t="str">
        <f>[1]!hospitalinfo[[#This Row],[State]]</f>
        <v>HI</v>
      </c>
      <c r="C1248" t="str">
        <f>[1]!hospitalinfo[[#This Row],[Hospital Type]]</f>
        <v>Critical Access Hospitals</v>
      </c>
      <c r="D1248" t="str">
        <f>[1]!hospitalinfo[[#This Row],[Hospital Ownership]]</f>
        <v>Voluntary non-profit - Private</v>
      </c>
      <c r="E1248" t="str" cm="1">
        <f t="array" ref="E1248">_xlfn.IFNA(_xlfn.XLOOKUP(1,([1]!hcahps[Facility ID] = clean[[#This Row],[Facility ID]]) * ([1]!hcahps[HCAHPS Measure ID] = "H_HSP_RATING_LINEAR_SCORE"), [1]!hcahps[HCAHPS Linear Mean Value]), "No Match")</f>
        <v>Not Available</v>
      </c>
      <c r="F1248" t="str" cm="1">
        <f t="array" ref="F1248">_xlfn.IFNA(_xlfn.XLOOKUP(1,([1]!readmissions[Facility ID] = clean[[#This Row],[Facility ID]]) * ([1]!readmissions[Measure ID] = "Hybrid_HWR"), [1]!readmissions[Score]), "No Match")</f>
        <v>Not Available</v>
      </c>
    </row>
    <row r="1249" spans="1:6" x14ac:dyDescent="0.2">
      <c r="A1249">
        <f>[1]!hospitalinfo[[#This Row],[Facility ID]]</f>
        <v>121306</v>
      </c>
      <c r="B1249" t="str">
        <f>[1]!hospitalinfo[[#This Row],[State]]</f>
        <v>HI</v>
      </c>
      <c r="C1249" t="str">
        <f>[1]!hospitalinfo[[#This Row],[Hospital Type]]</f>
        <v>Critical Access Hospitals</v>
      </c>
      <c r="D1249" t="str">
        <f>[1]!hospitalinfo[[#This Row],[Hospital Ownership]]</f>
        <v>Government - State</v>
      </c>
      <c r="E1249" t="str" cm="1">
        <f t="array" ref="E1249">_xlfn.IFNA(_xlfn.XLOOKUP(1,([1]!hcahps[Facility ID] = clean[[#This Row],[Facility ID]]) * ([1]!hcahps[HCAHPS Measure ID] = "H_HSP_RATING_LINEAR_SCORE"), [1]!hcahps[HCAHPS Linear Mean Value]), "No Match")</f>
        <v>Not Available</v>
      </c>
      <c r="F1249" t="str" cm="1">
        <f t="array" ref="F1249">_xlfn.IFNA(_xlfn.XLOOKUP(1,([1]!readmissions[Facility ID] = clean[[#This Row],[Facility ID]]) * ([1]!readmissions[Measure ID] = "Hybrid_HWR"), [1]!readmissions[Score]), "No Match")</f>
        <v>Not Available</v>
      </c>
    </row>
    <row r="1250" spans="1:6" x14ac:dyDescent="0.2">
      <c r="A1250">
        <f>[1]!hospitalinfo[[#This Row],[Facility ID]]</f>
        <v>121307</v>
      </c>
      <c r="B1250" t="str">
        <f>[1]!hospitalinfo[[#This Row],[State]]</f>
        <v>HI</v>
      </c>
      <c r="C1250" t="str">
        <f>[1]!hospitalinfo[[#This Row],[Hospital Type]]</f>
        <v>Critical Access Hospitals</v>
      </c>
      <c r="D1250" t="str">
        <f>[1]!hospitalinfo[[#This Row],[Hospital Ownership]]</f>
        <v>Government - State</v>
      </c>
      <c r="E1250" t="str" cm="1">
        <f t="array" ref="E1250">_xlfn.IFNA(_xlfn.XLOOKUP(1,([1]!hcahps[Facility ID] = clean[[#This Row],[Facility ID]]) * ([1]!hcahps[HCAHPS Measure ID] = "H_HSP_RATING_LINEAR_SCORE"), [1]!hcahps[HCAHPS Linear Mean Value]), "No Match")</f>
        <v>Not Available</v>
      </c>
      <c r="F1250" t="str" cm="1">
        <f t="array" ref="F1250">_xlfn.IFNA(_xlfn.XLOOKUP(1,([1]!readmissions[Facility ID] = clean[[#This Row],[Facility ID]]) * ([1]!readmissions[Measure ID] = "Hybrid_HWR"), [1]!readmissions[Score]), "No Match")</f>
        <v>Not Available</v>
      </c>
    </row>
    <row r="1251" spans="1:6" x14ac:dyDescent="0.2">
      <c r="A1251">
        <f>[1]!hospitalinfo[[#This Row],[Facility ID]]</f>
        <v>121308</v>
      </c>
      <c r="B1251" t="str">
        <f>[1]!hospitalinfo[[#This Row],[State]]</f>
        <v>HI</v>
      </c>
      <c r="C1251" t="str">
        <f>[1]!hospitalinfo[[#This Row],[Hospital Type]]</f>
        <v>Critical Access Hospitals</v>
      </c>
      <c r="D1251" t="str">
        <f>[1]!hospitalinfo[[#This Row],[Hospital Ownership]]</f>
        <v>Voluntary non-profit - Private</v>
      </c>
      <c r="E1251" t="str" cm="1">
        <f t="array" ref="E1251">_xlfn.IFNA(_xlfn.XLOOKUP(1,([1]!hcahps[Facility ID] = clean[[#This Row],[Facility ID]]) * ([1]!hcahps[HCAHPS Measure ID] = "H_HSP_RATING_LINEAR_SCORE"), [1]!hcahps[HCAHPS Linear Mean Value]), "No Match")</f>
        <v>Not Available</v>
      </c>
      <c r="F1251" t="str" cm="1">
        <f t="array" ref="F1251">_xlfn.IFNA(_xlfn.XLOOKUP(1,([1]!readmissions[Facility ID] = clean[[#This Row],[Facility ID]]) * ([1]!readmissions[Measure ID] = "Hybrid_HWR"), [1]!readmissions[Score]), "No Match")</f>
        <v>Not Available</v>
      </c>
    </row>
    <row r="1252" spans="1:6" x14ac:dyDescent="0.2">
      <c r="A1252">
        <f>[1]!hospitalinfo[[#This Row],[Facility ID]]</f>
        <v>123300</v>
      </c>
      <c r="B1252" t="str">
        <f>[1]!hospitalinfo[[#This Row],[State]]</f>
        <v>HI</v>
      </c>
      <c r="C1252" t="str">
        <f>[1]!hospitalinfo[[#This Row],[Hospital Type]]</f>
        <v>Childrens</v>
      </c>
      <c r="D1252" t="str">
        <f>[1]!hospitalinfo[[#This Row],[Hospital Ownership]]</f>
        <v>Voluntary non-profit - Private</v>
      </c>
      <c r="E1252" t="str" cm="1">
        <f t="array" ref="E1252">_xlfn.IFNA(_xlfn.XLOOKUP(1,([1]!hcahps[Facility ID] = clean[[#This Row],[Facility ID]]) * ([1]!hcahps[HCAHPS Measure ID] = "H_HSP_RATING_LINEAR_SCORE"), [1]!hcahps[HCAHPS Linear Mean Value]), "No Match")</f>
        <v>Not Available</v>
      </c>
      <c r="F1252" t="str" cm="1">
        <f t="array" ref="F1252">_xlfn.IFNA(_xlfn.XLOOKUP(1,([1]!readmissions[Facility ID] = clean[[#This Row],[Facility ID]]) * ([1]!readmissions[Measure ID] = "Hybrid_HWR"), [1]!readmissions[Score]), "No Match")</f>
        <v>Not Available</v>
      </c>
    </row>
    <row r="1253" spans="1:6" x14ac:dyDescent="0.2">
      <c r="A1253">
        <f>[1]!hospitalinfo[[#This Row],[Facility ID]]</f>
        <v>123301</v>
      </c>
      <c r="B1253" t="str">
        <f>[1]!hospitalinfo[[#This Row],[State]]</f>
        <v>HI</v>
      </c>
      <c r="C1253" t="str">
        <f>[1]!hospitalinfo[[#This Row],[Hospital Type]]</f>
        <v>Childrens</v>
      </c>
      <c r="D1253" t="str">
        <f>[1]!hospitalinfo[[#This Row],[Hospital Ownership]]</f>
        <v>Voluntary non-profit - Private</v>
      </c>
      <c r="E1253" t="str" cm="1">
        <f t="array" ref="E1253">_xlfn.IFNA(_xlfn.XLOOKUP(1,([1]!hcahps[Facility ID] = clean[[#This Row],[Facility ID]]) * ([1]!hcahps[HCAHPS Measure ID] = "H_HSP_RATING_LINEAR_SCORE"), [1]!hcahps[HCAHPS Linear Mean Value]), "No Match")</f>
        <v>Not Available</v>
      </c>
      <c r="F1253" t="str" cm="1">
        <f t="array" ref="F1253">_xlfn.IFNA(_xlfn.XLOOKUP(1,([1]!readmissions[Facility ID] = clean[[#This Row],[Facility ID]]) * ([1]!readmissions[Measure ID] = "Hybrid_HWR"), [1]!readmissions[Score]), "No Match")</f>
        <v>Not Available</v>
      </c>
    </row>
    <row r="1254" spans="1:6" x14ac:dyDescent="0.2">
      <c r="A1254">
        <f>[1]!hospitalinfo[[#This Row],[Facility ID]]</f>
        <v>124001</v>
      </c>
      <c r="B1254" t="str">
        <f>[1]!hospitalinfo[[#This Row],[State]]</f>
        <v>HI</v>
      </c>
      <c r="C1254" t="str">
        <f>[1]!hospitalinfo[[#This Row],[Hospital Type]]</f>
        <v>Psychiatric</v>
      </c>
      <c r="D1254" t="str">
        <f>[1]!hospitalinfo[[#This Row],[Hospital Ownership]]</f>
        <v>Voluntary non-profit - Private</v>
      </c>
      <c r="E1254" t="str" cm="1">
        <f t="array" ref="E1254">_xlfn.IFNA(_xlfn.XLOOKUP(1,([1]!hcahps[Facility ID] = clean[[#This Row],[Facility ID]]) * ([1]!hcahps[HCAHPS Measure ID] = "H_HSP_RATING_LINEAR_SCORE"), [1]!hcahps[HCAHPS Linear Mean Value]), "No Match")</f>
        <v>No Match</v>
      </c>
      <c r="F1254" t="str" cm="1">
        <f t="array" ref="F1254">_xlfn.IFNA(_xlfn.XLOOKUP(1,([1]!readmissions[Facility ID] = clean[[#This Row],[Facility ID]]) * ([1]!readmissions[Measure ID] = "Hybrid_HWR"), [1]!readmissions[Score]), "No Match")</f>
        <v>No Match</v>
      </c>
    </row>
    <row r="1255" spans="1:6" x14ac:dyDescent="0.2">
      <c r="A1255" t="str">
        <f>[1]!hospitalinfo[[#This Row],[Facility ID]]</f>
        <v>12001F</v>
      </c>
      <c r="B1255" t="str">
        <f>[1]!hospitalinfo[[#This Row],[State]]</f>
        <v>HI</v>
      </c>
      <c r="C1255" t="str">
        <f>[1]!hospitalinfo[[#This Row],[Hospital Type]]</f>
        <v>Acute Care - Department of Defense</v>
      </c>
      <c r="D1255" t="str">
        <f>[1]!hospitalinfo[[#This Row],[Hospital Ownership]]</f>
        <v>Department of Defense</v>
      </c>
      <c r="E1255" cm="1">
        <f t="array" ref="E1255">_xlfn.IFNA(_xlfn.XLOOKUP(1,([1]!hcahps[Facility ID] = clean[[#This Row],[Facility ID]]) * ([1]!hcahps[HCAHPS Measure ID] = "H_HSP_RATING_LINEAR_SCORE"), [1]!hcahps[HCAHPS Linear Mean Value]), "No Match")</f>
        <v>88</v>
      </c>
      <c r="F1255" t="str" cm="1">
        <f t="array" ref="F1255">_xlfn.IFNA(_xlfn.XLOOKUP(1,([1]!readmissions[Facility ID] = clean[[#This Row],[Facility ID]]) * ([1]!readmissions[Measure ID] = "Hybrid_HWR"), [1]!readmissions[Score]), "No Match")</f>
        <v>Not Available</v>
      </c>
    </row>
    <row r="1256" spans="1:6" x14ac:dyDescent="0.2">
      <c r="A1256">
        <f>[1]!hospitalinfo[[#This Row],[Facility ID]]</f>
        <v>160001</v>
      </c>
      <c r="B1256" t="str">
        <f>[1]!hospitalinfo[[#This Row],[State]]</f>
        <v>IA</v>
      </c>
      <c r="C1256" t="str">
        <f>[1]!hospitalinfo[[#This Row],[Hospital Type]]</f>
        <v>Acute Care Hospitals</v>
      </c>
      <c r="D1256" t="str">
        <f>[1]!hospitalinfo[[#This Row],[Hospital Ownership]]</f>
        <v>Voluntary non-profit - Private</v>
      </c>
      <c r="E1256" cm="1">
        <f t="array" ref="E1256">_xlfn.IFNA(_xlfn.XLOOKUP(1,([1]!hcahps[Facility ID] = clean[[#This Row],[Facility ID]]) * ([1]!hcahps[HCAHPS Measure ID] = "H_HSP_RATING_LINEAR_SCORE"), [1]!hcahps[HCAHPS Linear Mean Value]), "No Match")</f>
        <v>88</v>
      </c>
      <c r="F1256" cm="1">
        <f t="array" ref="F1256">_xlfn.IFNA(_xlfn.XLOOKUP(1,([1]!readmissions[Facility ID] = clean[[#This Row],[Facility ID]]) * ([1]!readmissions[Measure ID] = "Hybrid_HWR"), [1]!readmissions[Score]), "No Match")</f>
        <v>15.2</v>
      </c>
    </row>
    <row r="1257" spans="1:6" x14ac:dyDescent="0.2">
      <c r="A1257">
        <f>[1]!hospitalinfo[[#This Row],[Facility ID]]</f>
        <v>160013</v>
      </c>
      <c r="B1257" t="str">
        <f>[1]!hospitalinfo[[#This Row],[State]]</f>
        <v>IA</v>
      </c>
      <c r="C1257" t="str">
        <f>[1]!hospitalinfo[[#This Row],[Hospital Type]]</f>
        <v>Acute Care Hospitals</v>
      </c>
      <c r="D1257" t="str">
        <f>[1]!hospitalinfo[[#This Row],[Hospital Ownership]]</f>
        <v>Voluntary non-profit - Private</v>
      </c>
      <c r="E1257" cm="1">
        <f t="array" ref="E1257">_xlfn.IFNA(_xlfn.XLOOKUP(1,([1]!hcahps[Facility ID] = clean[[#This Row],[Facility ID]]) * ([1]!hcahps[HCAHPS Measure ID] = "H_HSP_RATING_LINEAR_SCORE"), [1]!hcahps[HCAHPS Linear Mean Value]), "No Match")</f>
        <v>85</v>
      </c>
      <c r="F1257" cm="1">
        <f t="array" ref="F1257">_xlfn.IFNA(_xlfn.XLOOKUP(1,([1]!readmissions[Facility ID] = clean[[#This Row],[Facility ID]]) * ([1]!readmissions[Measure ID] = "Hybrid_HWR"), [1]!readmissions[Score]), "No Match")</f>
        <v>13.9</v>
      </c>
    </row>
    <row r="1258" spans="1:6" x14ac:dyDescent="0.2">
      <c r="A1258">
        <f>[1]!hospitalinfo[[#This Row],[Facility ID]]</f>
        <v>160016</v>
      </c>
      <c r="B1258" t="str">
        <f>[1]!hospitalinfo[[#This Row],[State]]</f>
        <v>IA</v>
      </c>
      <c r="C1258" t="str">
        <f>[1]!hospitalinfo[[#This Row],[Hospital Type]]</f>
        <v>Acute Care Hospitals</v>
      </c>
      <c r="D1258" t="str">
        <f>[1]!hospitalinfo[[#This Row],[Hospital Ownership]]</f>
        <v>Voluntary non-profit - Private</v>
      </c>
      <c r="E1258" cm="1">
        <f t="array" ref="E1258">_xlfn.IFNA(_xlfn.XLOOKUP(1,([1]!hcahps[Facility ID] = clean[[#This Row],[Facility ID]]) * ([1]!hcahps[HCAHPS Measure ID] = "H_HSP_RATING_LINEAR_SCORE"), [1]!hcahps[HCAHPS Linear Mean Value]), "No Match")</f>
        <v>86</v>
      </c>
      <c r="F1258" cm="1">
        <f t="array" ref="F1258">_xlfn.IFNA(_xlfn.XLOOKUP(1,([1]!readmissions[Facility ID] = clean[[#This Row],[Facility ID]]) * ([1]!readmissions[Measure ID] = "Hybrid_HWR"), [1]!readmissions[Score]), "No Match")</f>
        <v>15.2</v>
      </c>
    </row>
    <row r="1259" spans="1:6" x14ac:dyDescent="0.2">
      <c r="A1259">
        <f>[1]!hospitalinfo[[#This Row],[Facility ID]]</f>
        <v>160028</v>
      </c>
      <c r="B1259" t="str">
        <f>[1]!hospitalinfo[[#This Row],[State]]</f>
        <v>IA</v>
      </c>
      <c r="C1259" t="str">
        <f>[1]!hospitalinfo[[#This Row],[Hospital Type]]</f>
        <v>Acute Care Hospitals</v>
      </c>
      <c r="D1259" t="str">
        <f>[1]!hospitalinfo[[#This Row],[Hospital Ownership]]</f>
        <v>Voluntary non-profit - Private</v>
      </c>
      <c r="E1259" cm="1">
        <f t="array" ref="E1259">_xlfn.IFNA(_xlfn.XLOOKUP(1,([1]!hcahps[Facility ID] = clean[[#This Row],[Facility ID]]) * ([1]!hcahps[HCAHPS Measure ID] = "H_HSP_RATING_LINEAR_SCORE"), [1]!hcahps[HCAHPS Linear Mean Value]), "No Match")</f>
        <v>85</v>
      </c>
      <c r="F1259" cm="1">
        <f t="array" ref="F1259">_xlfn.IFNA(_xlfn.XLOOKUP(1,([1]!readmissions[Facility ID] = clean[[#This Row],[Facility ID]]) * ([1]!readmissions[Measure ID] = "Hybrid_HWR"), [1]!readmissions[Score]), "No Match")</f>
        <v>15.1</v>
      </c>
    </row>
    <row r="1260" spans="1:6" x14ac:dyDescent="0.2">
      <c r="A1260">
        <f>[1]!hospitalinfo[[#This Row],[Facility ID]]</f>
        <v>160029</v>
      </c>
      <c r="B1260" t="str">
        <f>[1]!hospitalinfo[[#This Row],[State]]</f>
        <v>IA</v>
      </c>
      <c r="C1260" t="str">
        <f>[1]!hospitalinfo[[#This Row],[Hospital Type]]</f>
        <v>Acute Care Hospitals</v>
      </c>
      <c r="D1260" t="str">
        <f>[1]!hospitalinfo[[#This Row],[Hospital Ownership]]</f>
        <v>Voluntary non-profit - Church</v>
      </c>
      <c r="E1260" cm="1">
        <f t="array" ref="E1260">_xlfn.IFNA(_xlfn.XLOOKUP(1,([1]!hcahps[Facility ID] = clean[[#This Row],[Facility ID]]) * ([1]!hcahps[HCAHPS Measure ID] = "H_HSP_RATING_LINEAR_SCORE"), [1]!hcahps[HCAHPS Linear Mean Value]), "No Match")</f>
        <v>86</v>
      </c>
      <c r="F1260" cm="1">
        <f t="array" ref="F1260">_xlfn.IFNA(_xlfn.XLOOKUP(1,([1]!readmissions[Facility ID] = clean[[#This Row],[Facility ID]]) * ([1]!readmissions[Measure ID] = "Hybrid_HWR"), [1]!readmissions[Score]), "No Match")</f>
        <v>15</v>
      </c>
    </row>
    <row r="1261" spans="1:6" x14ac:dyDescent="0.2">
      <c r="A1261">
        <f>[1]!hospitalinfo[[#This Row],[Facility ID]]</f>
        <v>160030</v>
      </c>
      <c r="B1261" t="str">
        <f>[1]!hospitalinfo[[#This Row],[State]]</f>
        <v>IA</v>
      </c>
      <c r="C1261" t="str">
        <f>[1]!hospitalinfo[[#This Row],[Hospital Type]]</f>
        <v>Acute Care Hospitals</v>
      </c>
      <c r="D1261" t="str">
        <f>[1]!hospitalinfo[[#This Row],[Hospital Ownership]]</f>
        <v>Government - Local</v>
      </c>
      <c r="E1261" cm="1">
        <f t="array" ref="E1261">_xlfn.IFNA(_xlfn.XLOOKUP(1,([1]!hcahps[Facility ID] = clean[[#This Row],[Facility ID]]) * ([1]!hcahps[HCAHPS Measure ID] = "H_HSP_RATING_LINEAR_SCORE"), [1]!hcahps[HCAHPS Linear Mean Value]), "No Match")</f>
        <v>92</v>
      </c>
      <c r="F1261" cm="1">
        <f t="array" ref="F1261">_xlfn.IFNA(_xlfn.XLOOKUP(1,([1]!readmissions[Facility ID] = clean[[#This Row],[Facility ID]]) * ([1]!readmissions[Measure ID] = "Hybrid_HWR"), [1]!readmissions[Score]), "No Match")</f>
        <v>15.2</v>
      </c>
    </row>
    <row r="1262" spans="1:6" x14ac:dyDescent="0.2">
      <c r="A1262">
        <f>[1]!hospitalinfo[[#This Row],[Facility ID]]</f>
        <v>160032</v>
      </c>
      <c r="B1262" t="str">
        <f>[1]!hospitalinfo[[#This Row],[State]]</f>
        <v>IA</v>
      </c>
      <c r="C1262" t="str">
        <f>[1]!hospitalinfo[[#This Row],[Hospital Type]]</f>
        <v>Acute Care Hospitals</v>
      </c>
      <c r="D1262" t="str">
        <f>[1]!hospitalinfo[[#This Row],[Hospital Ownership]]</f>
        <v>Voluntary non-profit - Private</v>
      </c>
      <c r="E1262" t="str" cm="1">
        <f t="array" ref="E1262">_xlfn.IFNA(_xlfn.XLOOKUP(1,([1]!hcahps[Facility ID] = clean[[#This Row],[Facility ID]]) * ([1]!hcahps[HCAHPS Measure ID] = "H_HSP_RATING_LINEAR_SCORE"), [1]!hcahps[HCAHPS Linear Mean Value]), "No Match")</f>
        <v>Not Available</v>
      </c>
      <c r="F1262" cm="1">
        <f t="array" ref="F1262">_xlfn.IFNA(_xlfn.XLOOKUP(1,([1]!readmissions[Facility ID] = clean[[#This Row],[Facility ID]]) * ([1]!readmissions[Measure ID] = "Hybrid_HWR"), [1]!readmissions[Score]), "No Match")</f>
        <v>13.4</v>
      </c>
    </row>
    <row r="1263" spans="1:6" x14ac:dyDescent="0.2">
      <c r="A1263">
        <f>[1]!hospitalinfo[[#This Row],[Facility ID]]</f>
        <v>160033</v>
      </c>
      <c r="B1263" t="str">
        <f>[1]!hospitalinfo[[#This Row],[State]]</f>
        <v>IA</v>
      </c>
      <c r="C1263" t="str">
        <f>[1]!hospitalinfo[[#This Row],[Hospital Type]]</f>
        <v>Acute Care Hospitals</v>
      </c>
      <c r="D1263" t="str">
        <f>[1]!hospitalinfo[[#This Row],[Hospital Ownership]]</f>
        <v>Voluntary non-profit - Private</v>
      </c>
      <c r="E1263" cm="1">
        <f t="array" ref="E1263">_xlfn.IFNA(_xlfn.XLOOKUP(1,([1]!hcahps[Facility ID] = clean[[#This Row],[Facility ID]]) * ([1]!hcahps[HCAHPS Measure ID] = "H_HSP_RATING_LINEAR_SCORE"), [1]!hcahps[HCAHPS Linear Mean Value]), "No Match")</f>
        <v>85</v>
      </c>
      <c r="F1263" cm="1">
        <f t="array" ref="F1263">_xlfn.IFNA(_xlfn.XLOOKUP(1,([1]!readmissions[Facility ID] = clean[[#This Row],[Facility ID]]) * ([1]!readmissions[Measure ID] = "Hybrid_HWR"), [1]!readmissions[Score]), "No Match")</f>
        <v>15.7</v>
      </c>
    </row>
    <row r="1264" spans="1:6" x14ac:dyDescent="0.2">
      <c r="A1264">
        <f>[1]!hospitalinfo[[#This Row],[Facility ID]]</f>
        <v>160040</v>
      </c>
      <c r="B1264" t="str">
        <f>[1]!hospitalinfo[[#This Row],[State]]</f>
        <v>IA</v>
      </c>
      <c r="C1264" t="str">
        <f>[1]!hospitalinfo[[#This Row],[Hospital Type]]</f>
        <v>Acute Care Hospitals</v>
      </c>
      <c r="D1264" t="str">
        <f>[1]!hospitalinfo[[#This Row],[Hospital Ownership]]</f>
        <v>Voluntary non-profit - Church</v>
      </c>
      <c r="E1264" t="str" cm="1">
        <f t="array" ref="E1264">_xlfn.IFNA(_xlfn.XLOOKUP(1,([1]!hcahps[Facility ID] = clean[[#This Row],[Facility ID]]) * ([1]!hcahps[HCAHPS Measure ID] = "H_HSP_RATING_LINEAR_SCORE"), [1]!hcahps[HCAHPS Linear Mean Value]), "No Match")</f>
        <v>Not Available</v>
      </c>
      <c r="F1264" cm="1">
        <f t="array" ref="F1264">_xlfn.IFNA(_xlfn.XLOOKUP(1,([1]!readmissions[Facility ID] = clean[[#This Row],[Facility ID]]) * ([1]!readmissions[Measure ID] = "Hybrid_HWR"), [1]!readmissions[Score]), "No Match")</f>
        <v>14.3</v>
      </c>
    </row>
    <row r="1265" spans="1:6" x14ac:dyDescent="0.2">
      <c r="A1265">
        <f>[1]!hospitalinfo[[#This Row],[Facility ID]]</f>
        <v>160045</v>
      </c>
      <c r="B1265" t="str">
        <f>[1]!hospitalinfo[[#This Row],[State]]</f>
        <v>IA</v>
      </c>
      <c r="C1265" t="str">
        <f>[1]!hospitalinfo[[#This Row],[Hospital Type]]</f>
        <v>Acute Care Hospitals</v>
      </c>
      <c r="D1265" t="str">
        <f>[1]!hospitalinfo[[#This Row],[Hospital Ownership]]</f>
        <v>Voluntary non-profit - Private</v>
      </c>
      <c r="E1265" cm="1">
        <f t="array" ref="E1265">_xlfn.IFNA(_xlfn.XLOOKUP(1,([1]!hcahps[Facility ID] = clean[[#This Row],[Facility ID]]) * ([1]!hcahps[HCAHPS Measure ID] = "H_HSP_RATING_LINEAR_SCORE"), [1]!hcahps[HCAHPS Linear Mean Value]), "No Match")</f>
        <v>91</v>
      </c>
      <c r="F1265" cm="1">
        <f t="array" ref="F1265">_xlfn.IFNA(_xlfn.XLOOKUP(1,([1]!readmissions[Facility ID] = clean[[#This Row],[Facility ID]]) * ([1]!readmissions[Measure ID] = "Hybrid_HWR"), [1]!readmissions[Score]), "No Match")</f>
        <v>15.1</v>
      </c>
    </row>
    <row r="1266" spans="1:6" x14ac:dyDescent="0.2">
      <c r="A1266">
        <f>[1]!hospitalinfo[[#This Row],[Facility ID]]</f>
        <v>160047</v>
      </c>
      <c r="B1266" t="str">
        <f>[1]!hospitalinfo[[#This Row],[State]]</f>
        <v>IA</v>
      </c>
      <c r="C1266" t="str">
        <f>[1]!hospitalinfo[[#This Row],[Hospital Type]]</f>
        <v>Acute Care Hospitals</v>
      </c>
      <c r="D1266" t="str">
        <f>[1]!hospitalinfo[[#This Row],[Hospital Ownership]]</f>
        <v>Voluntary non-profit - Private</v>
      </c>
      <c r="E1266" cm="1">
        <f t="array" ref="E1266">_xlfn.IFNA(_xlfn.XLOOKUP(1,([1]!hcahps[Facility ID] = clean[[#This Row],[Facility ID]]) * ([1]!hcahps[HCAHPS Measure ID] = "H_HSP_RATING_LINEAR_SCORE"), [1]!hcahps[HCAHPS Linear Mean Value]), "No Match")</f>
        <v>89</v>
      </c>
      <c r="F1266" cm="1">
        <f t="array" ref="F1266">_xlfn.IFNA(_xlfn.XLOOKUP(1,([1]!readmissions[Facility ID] = clean[[#This Row],[Facility ID]]) * ([1]!readmissions[Measure ID] = "Hybrid_HWR"), [1]!readmissions[Score]), "No Match")</f>
        <v>15.8</v>
      </c>
    </row>
    <row r="1267" spans="1:6" x14ac:dyDescent="0.2">
      <c r="A1267">
        <f>[1]!hospitalinfo[[#This Row],[Facility ID]]</f>
        <v>160057</v>
      </c>
      <c r="B1267" t="str">
        <f>[1]!hospitalinfo[[#This Row],[State]]</f>
        <v>IA</v>
      </c>
      <c r="C1267" t="str">
        <f>[1]!hospitalinfo[[#This Row],[Hospital Type]]</f>
        <v>Acute Care Hospitals</v>
      </c>
      <c r="D1267" t="str">
        <f>[1]!hospitalinfo[[#This Row],[Hospital Ownership]]</f>
        <v>Voluntary non-profit - Private</v>
      </c>
      <c r="E1267" cm="1">
        <f t="array" ref="E1267">_xlfn.IFNA(_xlfn.XLOOKUP(1,([1]!hcahps[Facility ID] = clean[[#This Row],[Facility ID]]) * ([1]!hcahps[HCAHPS Measure ID] = "H_HSP_RATING_LINEAR_SCORE"), [1]!hcahps[HCAHPS Linear Mean Value]), "No Match")</f>
        <v>84</v>
      </c>
      <c r="F1267" cm="1">
        <f t="array" ref="F1267">_xlfn.IFNA(_xlfn.XLOOKUP(1,([1]!readmissions[Facility ID] = clean[[#This Row],[Facility ID]]) * ([1]!readmissions[Measure ID] = "Hybrid_HWR"), [1]!readmissions[Score]), "No Match")</f>
        <v>13.4</v>
      </c>
    </row>
    <row r="1268" spans="1:6" x14ac:dyDescent="0.2">
      <c r="A1268">
        <f>[1]!hospitalinfo[[#This Row],[Facility ID]]</f>
        <v>160058</v>
      </c>
      <c r="B1268" t="str">
        <f>[1]!hospitalinfo[[#This Row],[State]]</f>
        <v>IA</v>
      </c>
      <c r="C1268" t="str">
        <f>[1]!hospitalinfo[[#This Row],[Hospital Type]]</f>
        <v>Acute Care Hospitals</v>
      </c>
      <c r="D1268" t="str">
        <f>[1]!hospitalinfo[[#This Row],[Hospital Ownership]]</f>
        <v>Government - State</v>
      </c>
      <c r="E1268" cm="1">
        <f t="array" ref="E1268">_xlfn.IFNA(_xlfn.XLOOKUP(1,([1]!hcahps[Facility ID] = clean[[#This Row],[Facility ID]]) * ([1]!hcahps[HCAHPS Measure ID] = "H_HSP_RATING_LINEAR_SCORE"), [1]!hcahps[HCAHPS Linear Mean Value]), "No Match")</f>
        <v>87</v>
      </c>
      <c r="F1268" cm="1">
        <f t="array" ref="F1268">_xlfn.IFNA(_xlfn.XLOOKUP(1,([1]!readmissions[Facility ID] = clean[[#This Row],[Facility ID]]) * ([1]!readmissions[Measure ID] = "Hybrid_HWR"), [1]!readmissions[Score]), "No Match")</f>
        <v>13.5</v>
      </c>
    </row>
    <row r="1269" spans="1:6" x14ac:dyDescent="0.2">
      <c r="A1269">
        <f>[1]!hospitalinfo[[#This Row],[Facility ID]]</f>
        <v>160064</v>
      </c>
      <c r="B1269" t="str">
        <f>[1]!hospitalinfo[[#This Row],[State]]</f>
        <v>IA</v>
      </c>
      <c r="C1269" t="str">
        <f>[1]!hospitalinfo[[#This Row],[Hospital Type]]</f>
        <v>Acute Care Hospitals</v>
      </c>
      <c r="D1269" t="str">
        <f>[1]!hospitalinfo[[#This Row],[Hospital Ownership]]</f>
        <v>Voluntary non-profit - Private</v>
      </c>
      <c r="E1269" cm="1">
        <f t="array" ref="E1269">_xlfn.IFNA(_xlfn.XLOOKUP(1,([1]!hcahps[Facility ID] = clean[[#This Row],[Facility ID]]) * ([1]!hcahps[HCAHPS Measure ID] = "H_HSP_RATING_LINEAR_SCORE"), [1]!hcahps[HCAHPS Linear Mean Value]), "No Match")</f>
        <v>85</v>
      </c>
      <c r="F1269" cm="1">
        <f t="array" ref="F1269">_xlfn.IFNA(_xlfn.XLOOKUP(1,([1]!readmissions[Facility ID] = clean[[#This Row],[Facility ID]]) * ([1]!readmissions[Measure ID] = "Hybrid_HWR"), [1]!readmissions[Score]), "No Match")</f>
        <v>14.3</v>
      </c>
    </row>
    <row r="1270" spans="1:6" x14ac:dyDescent="0.2">
      <c r="A1270">
        <f>[1]!hospitalinfo[[#This Row],[Facility ID]]</f>
        <v>160067</v>
      </c>
      <c r="B1270" t="str">
        <f>[1]!hospitalinfo[[#This Row],[State]]</f>
        <v>IA</v>
      </c>
      <c r="C1270" t="str">
        <f>[1]!hospitalinfo[[#This Row],[Hospital Type]]</f>
        <v>Acute Care Hospitals</v>
      </c>
      <c r="D1270" t="str">
        <f>[1]!hospitalinfo[[#This Row],[Hospital Ownership]]</f>
        <v>Voluntary non-profit - Church</v>
      </c>
      <c r="E1270" cm="1">
        <f t="array" ref="E1270">_xlfn.IFNA(_xlfn.XLOOKUP(1,([1]!hcahps[Facility ID] = clean[[#This Row],[Facility ID]]) * ([1]!hcahps[HCAHPS Measure ID] = "H_HSP_RATING_LINEAR_SCORE"), [1]!hcahps[HCAHPS Linear Mean Value]), "No Match")</f>
        <v>86</v>
      </c>
      <c r="F1270" cm="1">
        <f t="array" ref="F1270">_xlfn.IFNA(_xlfn.XLOOKUP(1,([1]!readmissions[Facility ID] = clean[[#This Row],[Facility ID]]) * ([1]!readmissions[Measure ID] = "Hybrid_HWR"), [1]!readmissions[Score]), "No Match")</f>
        <v>13.9</v>
      </c>
    </row>
    <row r="1271" spans="1:6" x14ac:dyDescent="0.2">
      <c r="A1271">
        <f>[1]!hospitalinfo[[#This Row],[Facility ID]]</f>
        <v>160069</v>
      </c>
      <c r="B1271" t="str">
        <f>[1]!hospitalinfo[[#This Row],[State]]</f>
        <v>IA</v>
      </c>
      <c r="C1271" t="str">
        <f>[1]!hospitalinfo[[#This Row],[Hospital Type]]</f>
        <v>Acute Care Hospitals</v>
      </c>
      <c r="D1271" t="str">
        <f>[1]!hospitalinfo[[#This Row],[Hospital Ownership]]</f>
        <v>Voluntary non-profit - Church</v>
      </c>
      <c r="E1271" cm="1">
        <f t="array" ref="E1271">_xlfn.IFNA(_xlfn.XLOOKUP(1,([1]!hcahps[Facility ID] = clean[[#This Row],[Facility ID]]) * ([1]!hcahps[HCAHPS Measure ID] = "H_HSP_RATING_LINEAR_SCORE"), [1]!hcahps[HCAHPS Linear Mean Value]), "No Match")</f>
        <v>89</v>
      </c>
      <c r="F1271" cm="1">
        <f t="array" ref="F1271">_xlfn.IFNA(_xlfn.XLOOKUP(1,([1]!readmissions[Facility ID] = clean[[#This Row],[Facility ID]]) * ([1]!readmissions[Measure ID] = "Hybrid_HWR"), [1]!readmissions[Score]), "No Match")</f>
        <v>15.6</v>
      </c>
    </row>
    <row r="1272" spans="1:6" x14ac:dyDescent="0.2">
      <c r="A1272">
        <f>[1]!hospitalinfo[[#This Row],[Facility ID]]</f>
        <v>160079</v>
      </c>
      <c r="B1272" t="str">
        <f>[1]!hospitalinfo[[#This Row],[State]]</f>
        <v>IA</v>
      </c>
      <c r="C1272" t="str">
        <f>[1]!hospitalinfo[[#This Row],[Hospital Type]]</f>
        <v>Acute Care Hospitals</v>
      </c>
      <c r="D1272" t="str">
        <f>[1]!hospitalinfo[[#This Row],[Hospital Ownership]]</f>
        <v>Voluntary non-profit - Church</v>
      </c>
      <c r="E1272" cm="1">
        <f t="array" ref="E1272">_xlfn.IFNA(_xlfn.XLOOKUP(1,([1]!hcahps[Facility ID] = clean[[#This Row],[Facility ID]]) * ([1]!hcahps[HCAHPS Measure ID] = "H_HSP_RATING_LINEAR_SCORE"), [1]!hcahps[HCAHPS Linear Mean Value]), "No Match")</f>
        <v>90</v>
      </c>
      <c r="F1272" cm="1">
        <f t="array" ref="F1272">_xlfn.IFNA(_xlfn.XLOOKUP(1,([1]!readmissions[Facility ID] = clean[[#This Row],[Facility ID]]) * ([1]!readmissions[Measure ID] = "Hybrid_HWR"), [1]!readmissions[Score]), "No Match")</f>
        <v>15.1</v>
      </c>
    </row>
    <row r="1273" spans="1:6" x14ac:dyDescent="0.2">
      <c r="A1273">
        <f>[1]!hospitalinfo[[#This Row],[Facility ID]]</f>
        <v>160080</v>
      </c>
      <c r="B1273" t="str">
        <f>[1]!hospitalinfo[[#This Row],[State]]</f>
        <v>IA</v>
      </c>
      <c r="C1273" t="str">
        <f>[1]!hospitalinfo[[#This Row],[Hospital Type]]</f>
        <v>Acute Care Hospitals</v>
      </c>
      <c r="D1273" t="str">
        <f>[1]!hospitalinfo[[#This Row],[Hospital Ownership]]</f>
        <v>Voluntary non-profit - Private</v>
      </c>
      <c r="E1273" cm="1">
        <f t="array" ref="E1273">_xlfn.IFNA(_xlfn.XLOOKUP(1,([1]!hcahps[Facility ID] = clean[[#This Row],[Facility ID]]) * ([1]!hcahps[HCAHPS Measure ID] = "H_HSP_RATING_LINEAR_SCORE"), [1]!hcahps[HCAHPS Linear Mean Value]), "No Match")</f>
        <v>88</v>
      </c>
      <c r="F1273" cm="1">
        <f t="array" ref="F1273">_xlfn.IFNA(_xlfn.XLOOKUP(1,([1]!readmissions[Facility ID] = clean[[#This Row],[Facility ID]]) * ([1]!readmissions[Measure ID] = "Hybrid_HWR"), [1]!readmissions[Score]), "No Match")</f>
        <v>14.5</v>
      </c>
    </row>
    <row r="1274" spans="1:6" x14ac:dyDescent="0.2">
      <c r="A1274">
        <f>[1]!hospitalinfo[[#This Row],[Facility ID]]</f>
        <v>160082</v>
      </c>
      <c r="B1274" t="str">
        <f>[1]!hospitalinfo[[#This Row],[State]]</f>
        <v>IA</v>
      </c>
      <c r="C1274" t="str">
        <f>[1]!hospitalinfo[[#This Row],[Hospital Type]]</f>
        <v>Acute Care Hospitals</v>
      </c>
      <c r="D1274" t="str">
        <f>[1]!hospitalinfo[[#This Row],[Hospital Ownership]]</f>
        <v>Voluntary non-profit - Private</v>
      </c>
      <c r="E1274" cm="1">
        <f t="array" ref="E1274">_xlfn.IFNA(_xlfn.XLOOKUP(1,([1]!hcahps[Facility ID] = clean[[#This Row],[Facility ID]]) * ([1]!hcahps[HCAHPS Measure ID] = "H_HSP_RATING_LINEAR_SCORE"), [1]!hcahps[HCAHPS Linear Mean Value]), "No Match")</f>
        <v>87</v>
      </c>
      <c r="F1274" cm="1">
        <f t="array" ref="F1274">_xlfn.IFNA(_xlfn.XLOOKUP(1,([1]!readmissions[Facility ID] = clean[[#This Row],[Facility ID]]) * ([1]!readmissions[Measure ID] = "Hybrid_HWR"), [1]!readmissions[Score]), "No Match")</f>
        <v>13.5</v>
      </c>
    </row>
    <row r="1275" spans="1:6" x14ac:dyDescent="0.2">
      <c r="A1275">
        <f>[1]!hospitalinfo[[#This Row],[Facility ID]]</f>
        <v>160083</v>
      </c>
      <c r="B1275" t="str">
        <f>[1]!hospitalinfo[[#This Row],[State]]</f>
        <v>IA</v>
      </c>
      <c r="C1275" t="str">
        <f>[1]!hospitalinfo[[#This Row],[Hospital Type]]</f>
        <v>Acute Care Hospitals</v>
      </c>
      <c r="D1275" t="str">
        <f>[1]!hospitalinfo[[#This Row],[Hospital Ownership]]</f>
        <v>Voluntary non-profit - Private</v>
      </c>
      <c r="E1275" cm="1">
        <f t="array" ref="E1275">_xlfn.IFNA(_xlfn.XLOOKUP(1,([1]!hcahps[Facility ID] = clean[[#This Row],[Facility ID]]) * ([1]!hcahps[HCAHPS Measure ID] = "H_HSP_RATING_LINEAR_SCORE"), [1]!hcahps[HCAHPS Linear Mean Value]), "No Match")</f>
        <v>82</v>
      </c>
      <c r="F1275" cm="1">
        <f t="array" ref="F1275">_xlfn.IFNA(_xlfn.XLOOKUP(1,([1]!readmissions[Facility ID] = clean[[#This Row],[Facility ID]]) * ([1]!readmissions[Measure ID] = "Hybrid_HWR"), [1]!readmissions[Score]), "No Match")</f>
        <v>13.6</v>
      </c>
    </row>
    <row r="1276" spans="1:6" x14ac:dyDescent="0.2">
      <c r="A1276">
        <f>[1]!hospitalinfo[[#This Row],[Facility ID]]</f>
        <v>160089</v>
      </c>
      <c r="B1276" t="str">
        <f>[1]!hospitalinfo[[#This Row],[State]]</f>
        <v>IA</v>
      </c>
      <c r="C1276" t="str">
        <f>[1]!hospitalinfo[[#This Row],[Hospital Type]]</f>
        <v>Acute Care Hospitals</v>
      </c>
      <c r="D1276" t="str">
        <f>[1]!hospitalinfo[[#This Row],[Hospital Ownership]]</f>
        <v>Proprietary</v>
      </c>
      <c r="E1276" cm="1">
        <f t="array" ref="E1276">_xlfn.IFNA(_xlfn.XLOOKUP(1,([1]!hcahps[Facility ID] = clean[[#This Row],[Facility ID]]) * ([1]!hcahps[HCAHPS Measure ID] = "H_HSP_RATING_LINEAR_SCORE"), [1]!hcahps[HCAHPS Linear Mean Value]), "No Match")</f>
        <v>76</v>
      </c>
      <c r="F1276" cm="1">
        <f t="array" ref="F1276">_xlfn.IFNA(_xlfn.XLOOKUP(1,([1]!readmissions[Facility ID] = clean[[#This Row],[Facility ID]]) * ([1]!readmissions[Measure ID] = "Hybrid_HWR"), [1]!readmissions[Score]), "No Match")</f>
        <v>14.6</v>
      </c>
    </row>
    <row r="1277" spans="1:6" x14ac:dyDescent="0.2">
      <c r="A1277">
        <f>[1]!hospitalinfo[[#This Row],[Facility ID]]</f>
        <v>160101</v>
      </c>
      <c r="B1277" t="str">
        <f>[1]!hospitalinfo[[#This Row],[State]]</f>
        <v>IA</v>
      </c>
      <c r="C1277" t="str">
        <f>[1]!hospitalinfo[[#This Row],[Hospital Type]]</f>
        <v>Acute Care Hospitals</v>
      </c>
      <c r="D1277" t="str">
        <f>[1]!hospitalinfo[[#This Row],[Hospital Ownership]]</f>
        <v>Government - Local</v>
      </c>
      <c r="E1277" cm="1">
        <f t="array" ref="E1277">_xlfn.IFNA(_xlfn.XLOOKUP(1,([1]!hcahps[Facility ID] = clean[[#This Row],[Facility ID]]) * ([1]!hcahps[HCAHPS Measure ID] = "H_HSP_RATING_LINEAR_SCORE"), [1]!hcahps[HCAHPS Linear Mean Value]), "No Match")</f>
        <v>89</v>
      </c>
      <c r="F1277" cm="1">
        <f t="array" ref="F1277">_xlfn.IFNA(_xlfn.XLOOKUP(1,([1]!readmissions[Facility ID] = clean[[#This Row],[Facility ID]]) * ([1]!readmissions[Measure ID] = "Hybrid_HWR"), [1]!readmissions[Score]), "No Match")</f>
        <v>14.6</v>
      </c>
    </row>
    <row r="1278" spans="1:6" x14ac:dyDescent="0.2">
      <c r="A1278">
        <f>[1]!hospitalinfo[[#This Row],[Facility ID]]</f>
        <v>160104</v>
      </c>
      <c r="B1278" t="str">
        <f>[1]!hospitalinfo[[#This Row],[State]]</f>
        <v>IA</v>
      </c>
      <c r="C1278" t="str">
        <f>[1]!hospitalinfo[[#This Row],[Hospital Type]]</f>
        <v>Acute Care Hospitals</v>
      </c>
      <c r="D1278" t="str">
        <f>[1]!hospitalinfo[[#This Row],[Hospital Ownership]]</f>
        <v>Voluntary non-profit - Private</v>
      </c>
      <c r="E1278" cm="1">
        <f t="array" ref="E1278">_xlfn.IFNA(_xlfn.XLOOKUP(1,([1]!hcahps[Facility ID] = clean[[#This Row],[Facility ID]]) * ([1]!hcahps[HCAHPS Measure ID] = "H_HSP_RATING_LINEAR_SCORE"), [1]!hcahps[HCAHPS Linear Mean Value]), "No Match")</f>
        <v>87</v>
      </c>
      <c r="F1278" cm="1">
        <f t="array" ref="F1278">_xlfn.IFNA(_xlfn.XLOOKUP(1,([1]!readmissions[Facility ID] = clean[[#This Row],[Facility ID]]) * ([1]!readmissions[Measure ID] = "Hybrid_HWR"), [1]!readmissions[Score]), "No Match")</f>
        <v>15.2</v>
      </c>
    </row>
    <row r="1279" spans="1:6" x14ac:dyDescent="0.2">
      <c r="A1279">
        <f>[1]!hospitalinfo[[#This Row],[Facility ID]]</f>
        <v>160110</v>
      </c>
      <c r="B1279" t="str">
        <f>[1]!hospitalinfo[[#This Row],[State]]</f>
        <v>IA</v>
      </c>
      <c r="C1279" t="str">
        <f>[1]!hospitalinfo[[#This Row],[Hospital Type]]</f>
        <v>Acute Care Hospitals</v>
      </c>
      <c r="D1279" t="str">
        <f>[1]!hospitalinfo[[#This Row],[Hospital Ownership]]</f>
        <v>Voluntary non-profit - Private</v>
      </c>
      <c r="E1279" cm="1">
        <f t="array" ref="E1279">_xlfn.IFNA(_xlfn.XLOOKUP(1,([1]!hcahps[Facility ID] = clean[[#This Row],[Facility ID]]) * ([1]!hcahps[HCAHPS Measure ID] = "H_HSP_RATING_LINEAR_SCORE"), [1]!hcahps[HCAHPS Linear Mean Value]), "No Match")</f>
        <v>87</v>
      </c>
      <c r="F1279" cm="1">
        <f t="array" ref="F1279">_xlfn.IFNA(_xlfn.XLOOKUP(1,([1]!readmissions[Facility ID] = clean[[#This Row],[Facility ID]]) * ([1]!readmissions[Measure ID] = "Hybrid_HWR"), [1]!readmissions[Score]), "No Match")</f>
        <v>15.6</v>
      </c>
    </row>
    <row r="1280" spans="1:6" x14ac:dyDescent="0.2">
      <c r="A1280">
        <f>[1]!hospitalinfo[[#This Row],[Facility ID]]</f>
        <v>160112</v>
      </c>
      <c r="B1280" t="str">
        <f>[1]!hospitalinfo[[#This Row],[State]]</f>
        <v>IA</v>
      </c>
      <c r="C1280" t="str">
        <f>[1]!hospitalinfo[[#This Row],[Hospital Type]]</f>
        <v>Acute Care Hospitals</v>
      </c>
      <c r="D1280" t="str">
        <f>[1]!hospitalinfo[[#This Row],[Hospital Ownership]]</f>
        <v>Government - Local</v>
      </c>
      <c r="E1280" cm="1">
        <f t="array" ref="E1280">_xlfn.IFNA(_xlfn.XLOOKUP(1,([1]!hcahps[Facility ID] = clean[[#This Row],[Facility ID]]) * ([1]!hcahps[HCAHPS Measure ID] = "H_HSP_RATING_LINEAR_SCORE"), [1]!hcahps[HCAHPS Linear Mean Value]), "No Match")</f>
        <v>92</v>
      </c>
      <c r="F1280" cm="1">
        <f t="array" ref="F1280">_xlfn.IFNA(_xlfn.XLOOKUP(1,([1]!readmissions[Facility ID] = clean[[#This Row],[Facility ID]]) * ([1]!readmissions[Measure ID] = "Hybrid_HWR"), [1]!readmissions[Score]), "No Match")</f>
        <v>14.4</v>
      </c>
    </row>
    <row r="1281" spans="1:6" x14ac:dyDescent="0.2">
      <c r="A1281">
        <f>[1]!hospitalinfo[[#This Row],[Facility ID]]</f>
        <v>160117</v>
      </c>
      <c r="B1281" t="str">
        <f>[1]!hospitalinfo[[#This Row],[State]]</f>
        <v>IA</v>
      </c>
      <c r="C1281" t="str">
        <f>[1]!hospitalinfo[[#This Row],[Hospital Type]]</f>
        <v>Acute Care Hospitals</v>
      </c>
      <c r="D1281" t="str">
        <f>[1]!hospitalinfo[[#This Row],[Hospital Ownership]]</f>
        <v>Voluntary non-profit - Private</v>
      </c>
      <c r="E1281" cm="1">
        <f t="array" ref="E1281">_xlfn.IFNA(_xlfn.XLOOKUP(1,([1]!hcahps[Facility ID] = clean[[#This Row],[Facility ID]]) * ([1]!hcahps[HCAHPS Measure ID] = "H_HSP_RATING_LINEAR_SCORE"), [1]!hcahps[HCAHPS Linear Mean Value]), "No Match")</f>
        <v>89</v>
      </c>
      <c r="F1281" cm="1">
        <f t="array" ref="F1281">_xlfn.IFNA(_xlfn.XLOOKUP(1,([1]!readmissions[Facility ID] = clean[[#This Row],[Facility ID]]) * ([1]!readmissions[Measure ID] = "Hybrid_HWR"), [1]!readmissions[Score]), "No Match")</f>
        <v>16</v>
      </c>
    </row>
    <row r="1282" spans="1:6" x14ac:dyDescent="0.2">
      <c r="A1282">
        <f>[1]!hospitalinfo[[#This Row],[Facility ID]]</f>
        <v>160124</v>
      </c>
      <c r="B1282" t="str">
        <f>[1]!hospitalinfo[[#This Row],[State]]</f>
        <v>IA</v>
      </c>
      <c r="C1282" t="str">
        <f>[1]!hospitalinfo[[#This Row],[Hospital Type]]</f>
        <v>Acute Care Hospitals</v>
      </c>
      <c r="D1282" t="str">
        <f>[1]!hospitalinfo[[#This Row],[Hospital Ownership]]</f>
        <v>Government - Local</v>
      </c>
      <c r="E1282" cm="1">
        <f t="array" ref="E1282">_xlfn.IFNA(_xlfn.XLOOKUP(1,([1]!hcahps[Facility ID] = clean[[#This Row],[Facility ID]]) * ([1]!hcahps[HCAHPS Measure ID] = "H_HSP_RATING_LINEAR_SCORE"), [1]!hcahps[HCAHPS Linear Mean Value]), "No Match")</f>
        <v>93</v>
      </c>
      <c r="F1282" cm="1">
        <f t="array" ref="F1282">_xlfn.IFNA(_xlfn.XLOOKUP(1,([1]!readmissions[Facility ID] = clean[[#This Row],[Facility ID]]) * ([1]!readmissions[Measure ID] = "Hybrid_HWR"), [1]!readmissions[Score]), "No Match")</f>
        <v>14.4</v>
      </c>
    </row>
    <row r="1283" spans="1:6" x14ac:dyDescent="0.2">
      <c r="A1283">
        <f>[1]!hospitalinfo[[#This Row],[Facility ID]]</f>
        <v>160146</v>
      </c>
      <c r="B1283" t="str">
        <f>[1]!hospitalinfo[[#This Row],[State]]</f>
        <v>IA</v>
      </c>
      <c r="C1283" t="str">
        <f>[1]!hospitalinfo[[#This Row],[Hospital Type]]</f>
        <v>Acute Care Hospitals</v>
      </c>
      <c r="D1283" t="str">
        <f>[1]!hospitalinfo[[#This Row],[Hospital Ownership]]</f>
        <v>Voluntary non-profit - Private</v>
      </c>
      <c r="E1283" cm="1">
        <f t="array" ref="E1283">_xlfn.IFNA(_xlfn.XLOOKUP(1,([1]!hcahps[Facility ID] = clean[[#This Row],[Facility ID]]) * ([1]!hcahps[HCAHPS Measure ID] = "H_HSP_RATING_LINEAR_SCORE"), [1]!hcahps[HCAHPS Linear Mean Value]), "No Match")</f>
        <v>87</v>
      </c>
      <c r="F1283" cm="1">
        <f t="array" ref="F1283">_xlfn.IFNA(_xlfn.XLOOKUP(1,([1]!readmissions[Facility ID] = clean[[#This Row],[Facility ID]]) * ([1]!readmissions[Measure ID] = "Hybrid_HWR"), [1]!readmissions[Score]), "No Match")</f>
        <v>15.6</v>
      </c>
    </row>
    <row r="1284" spans="1:6" x14ac:dyDescent="0.2">
      <c r="A1284">
        <f>[1]!hospitalinfo[[#This Row],[Facility ID]]</f>
        <v>160147</v>
      </c>
      <c r="B1284" t="str">
        <f>[1]!hospitalinfo[[#This Row],[State]]</f>
        <v>IA</v>
      </c>
      <c r="C1284" t="str">
        <f>[1]!hospitalinfo[[#This Row],[Hospital Type]]</f>
        <v>Acute Care Hospitals</v>
      </c>
      <c r="D1284" t="str">
        <f>[1]!hospitalinfo[[#This Row],[Hospital Ownership]]</f>
        <v>Voluntary non-profit - Private</v>
      </c>
      <c r="E1284" cm="1">
        <f t="array" ref="E1284">_xlfn.IFNA(_xlfn.XLOOKUP(1,([1]!hcahps[Facility ID] = clean[[#This Row],[Facility ID]]) * ([1]!hcahps[HCAHPS Measure ID] = "H_HSP_RATING_LINEAR_SCORE"), [1]!hcahps[HCAHPS Linear Mean Value]), "No Match")</f>
        <v>90</v>
      </c>
      <c r="F1284" cm="1">
        <f t="array" ref="F1284">_xlfn.IFNA(_xlfn.XLOOKUP(1,([1]!readmissions[Facility ID] = clean[[#This Row],[Facility ID]]) * ([1]!readmissions[Measure ID] = "Hybrid_HWR"), [1]!readmissions[Score]), "No Match")</f>
        <v>14.9</v>
      </c>
    </row>
    <row r="1285" spans="1:6" x14ac:dyDescent="0.2">
      <c r="A1285">
        <f>[1]!hospitalinfo[[#This Row],[Facility ID]]</f>
        <v>160153</v>
      </c>
      <c r="B1285" t="str">
        <f>[1]!hospitalinfo[[#This Row],[State]]</f>
        <v>IA</v>
      </c>
      <c r="C1285" t="str">
        <f>[1]!hospitalinfo[[#This Row],[Hospital Type]]</f>
        <v>Acute Care Hospitals</v>
      </c>
      <c r="D1285" t="str">
        <f>[1]!hospitalinfo[[#This Row],[Hospital Ownership]]</f>
        <v>Voluntary non-profit - Private</v>
      </c>
      <c r="E1285" cm="1">
        <f t="array" ref="E1285">_xlfn.IFNA(_xlfn.XLOOKUP(1,([1]!hcahps[Facility ID] = clean[[#This Row],[Facility ID]]) * ([1]!hcahps[HCAHPS Measure ID] = "H_HSP_RATING_LINEAR_SCORE"), [1]!hcahps[HCAHPS Linear Mean Value]), "No Match")</f>
        <v>82</v>
      </c>
      <c r="F1285" cm="1">
        <f t="array" ref="F1285">_xlfn.IFNA(_xlfn.XLOOKUP(1,([1]!readmissions[Facility ID] = clean[[#This Row],[Facility ID]]) * ([1]!readmissions[Measure ID] = "Hybrid_HWR"), [1]!readmissions[Score]), "No Match")</f>
        <v>15.1</v>
      </c>
    </row>
    <row r="1286" spans="1:6" x14ac:dyDescent="0.2">
      <c r="A1286">
        <f>[1]!hospitalinfo[[#This Row],[Facility ID]]</f>
        <v>161301</v>
      </c>
      <c r="B1286" t="str">
        <f>[1]!hospitalinfo[[#This Row],[State]]</f>
        <v>IA</v>
      </c>
      <c r="C1286" t="str">
        <f>[1]!hospitalinfo[[#This Row],[Hospital Type]]</f>
        <v>Critical Access Hospitals</v>
      </c>
      <c r="D1286" t="str">
        <f>[1]!hospitalinfo[[#This Row],[Hospital Ownership]]</f>
        <v>Government - Local</v>
      </c>
      <c r="E1286" t="str" cm="1">
        <f t="array" ref="E1286">_xlfn.IFNA(_xlfn.XLOOKUP(1,([1]!hcahps[Facility ID] = clean[[#This Row],[Facility ID]]) * ([1]!hcahps[HCAHPS Measure ID] = "H_HSP_RATING_LINEAR_SCORE"), [1]!hcahps[HCAHPS Linear Mean Value]), "No Match")</f>
        <v>Not Available</v>
      </c>
      <c r="F1286" cm="1">
        <f t="array" ref="F1286">_xlfn.IFNA(_xlfn.XLOOKUP(1,([1]!readmissions[Facility ID] = clean[[#This Row],[Facility ID]]) * ([1]!readmissions[Measure ID] = "Hybrid_HWR"), [1]!readmissions[Score]), "No Match")</f>
        <v>14.7</v>
      </c>
    </row>
    <row r="1287" spans="1:6" x14ac:dyDescent="0.2">
      <c r="A1287">
        <f>[1]!hospitalinfo[[#This Row],[Facility ID]]</f>
        <v>161302</v>
      </c>
      <c r="B1287" t="str">
        <f>[1]!hospitalinfo[[#This Row],[State]]</f>
        <v>IA</v>
      </c>
      <c r="C1287" t="str">
        <f>[1]!hospitalinfo[[#This Row],[Hospital Type]]</f>
        <v>Critical Access Hospitals</v>
      </c>
      <c r="D1287" t="str">
        <f>[1]!hospitalinfo[[#This Row],[Hospital Ownership]]</f>
        <v>Government - Local</v>
      </c>
      <c r="E1287" cm="1">
        <f t="array" ref="E1287">_xlfn.IFNA(_xlfn.XLOOKUP(1,([1]!hcahps[Facility ID] = clean[[#This Row],[Facility ID]]) * ([1]!hcahps[HCAHPS Measure ID] = "H_HSP_RATING_LINEAR_SCORE"), [1]!hcahps[HCAHPS Linear Mean Value]), "No Match")</f>
        <v>93</v>
      </c>
      <c r="F1287" cm="1">
        <f t="array" ref="F1287">_xlfn.IFNA(_xlfn.XLOOKUP(1,([1]!readmissions[Facility ID] = clean[[#This Row],[Facility ID]]) * ([1]!readmissions[Measure ID] = "Hybrid_HWR"), [1]!readmissions[Score]), "No Match")</f>
        <v>14.8</v>
      </c>
    </row>
    <row r="1288" spans="1:6" x14ac:dyDescent="0.2">
      <c r="A1288">
        <f>[1]!hospitalinfo[[#This Row],[Facility ID]]</f>
        <v>161303</v>
      </c>
      <c r="B1288" t="str">
        <f>[1]!hospitalinfo[[#This Row],[State]]</f>
        <v>IA</v>
      </c>
      <c r="C1288" t="str">
        <f>[1]!hospitalinfo[[#This Row],[Hospital Type]]</f>
        <v>Critical Access Hospitals</v>
      </c>
      <c r="D1288" t="str">
        <f>[1]!hospitalinfo[[#This Row],[Hospital Ownership]]</f>
        <v>Voluntary non-profit - Other</v>
      </c>
      <c r="E1288" t="str" cm="1">
        <f t="array" ref="E1288">_xlfn.IFNA(_xlfn.XLOOKUP(1,([1]!hcahps[Facility ID] = clean[[#This Row],[Facility ID]]) * ([1]!hcahps[HCAHPS Measure ID] = "H_HSP_RATING_LINEAR_SCORE"), [1]!hcahps[HCAHPS Linear Mean Value]), "No Match")</f>
        <v>Not Available</v>
      </c>
      <c r="F1288" cm="1">
        <f t="array" ref="F1288">_xlfn.IFNA(_xlfn.XLOOKUP(1,([1]!readmissions[Facility ID] = clean[[#This Row],[Facility ID]]) * ([1]!readmissions[Measure ID] = "Hybrid_HWR"), [1]!readmissions[Score]), "No Match")</f>
        <v>15</v>
      </c>
    </row>
    <row r="1289" spans="1:6" x14ac:dyDescent="0.2">
      <c r="A1289">
        <f>[1]!hospitalinfo[[#This Row],[Facility ID]]</f>
        <v>161304</v>
      </c>
      <c r="B1289" t="str">
        <f>[1]!hospitalinfo[[#This Row],[State]]</f>
        <v>IA</v>
      </c>
      <c r="C1289" t="str">
        <f>[1]!hospitalinfo[[#This Row],[Hospital Type]]</f>
        <v>Critical Access Hospitals</v>
      </c>
      <c r="D1289" t="str">
        <f>[1]!hospitalinfo[[#This Row],[Hospital Ownership]]</f>
        <v>Voluntary non-profit - Church</v>
      </c>
      <c r="E1289" t="str" cm="1">
        <f t="array" ref="E1289">_xlfn.IFNA(_xlfn.XLOOKUP(1,([1]!hcahps[Facility ID] = clean[[#This Row],[Facility ID]]) * ([1]!hcahps[HCAHPS Measure ID] = "H_HSP_RATING_LINEAR_SCORE"), [1]!hcahps[HCAHPS Linear Mean Value]), "No Match")</f>
        <v>Not Available</v>
      </c>
      <c r="F1289" cm="1">
        <f t="array" ref="F1289">_xlfn.IFNA(_xlfn.XLOOKUP(1,([1]!readmissions[Facility ID] = clean[[#This Row],[Facility ID]]) * ([1]!readmissions[Measure ID] = "Hybrid_HWR"), [1]!readmissions[Score]), "No Match")</f>
        <v>14.8</v>
      </c>
    </row>
    <row r="1290" spans="1:6" x14ac:dyDescent="0.2">
      <c r="A1290">
        <f>[1]!hospitalinfo[[#This Row],[Facility ID]]</f>
        <v>161305</v>
      </c>
      <c r="B1290" t="str">
        <f>[1]!hospitalinfo[[#This Row],[State]]</f>
        <v>IA</v>
      </c>
      <c r="C1290" t="str">
        <f>[1]!hospitalinfo[[#This Row],[Hospital Type]]</f>
        <v>Critical Access Hospitals</v>
      </c>
      <c r="D1290" t="str">
        <f>[1]!hospitalinfo[[#This Row],[Hospital Ownership]]</f>
        <v>Government - Local</v>
      </c>
      <c r="E1290" t="str" cm="1">
        <f t="array" ref="E1290">_xlfn.IFNA(_xlfn.XLOOKUP(1,([1]!hcahps[Facility ID] = clean[[#This Row],[Facility ID]]) * ([1]!hcahps[HCAHPS Measure ID] = "H_HSP_RATING_LINEAR_SCORE"), [1]!hcahps[HCAHPS Linear Mean Value]), "No Match")</f>
        <v>Not Available</v>
      </c>
      <c r="F1290" t="str" cm="1">
        <f t="array" ref="F1290">_xlfn.IFNA(_xlfn.XLOOKUP(1,([1]!readmissions[Facility ID] = clean[[#This Row],[Facility ID]]) * ([1]!readmissions[Measure ID] = "Hybrid_HWR"), [1]!readmissions[Score]), "No Match")</f>
        <v>Not Available</v>
      </c>
    </row>
    <row r="1291" spans="1:6" x14ac:dyDescent="0.2">
      <c r="A1291">
        <f>[1]!hospitalinfo[[#This Row],[Facility ID]]</f>
        <v>161306</v>
      </c>
      <c r="B1291" t="str">
        <f>[1]!hospitalinfo[[#This Row],[State]]</f>
        <v>IA</v>
      </c>
      <c r="C1291" t="str">
        <f>[1]!hospitalinfo[[#This Row],[Hospital Type]]</f>
        <v>Critical Access Hospitals</v>
      </c>
      <c r="D1291" t="str">
        <f>[1]!hospitalinfo[[#This Row],[Hospital Ownership]]</f>
        <v>Voluntary non-profit - Private</v>
      </c>
      <c r="E1291" t="str" cm="1">
        <f t="array" ref="E1291">_xlfn.IFNA(_xlfn.XLOOKUP(1,([1]!hcahps[Facility ID] = clean[[#This Row],[Facility ID]]) * ([1]!hcahps[HCAHPS Measure ID] = "H_HSP_RATING_LINEAR_SCORE"), [1]!hcahps[HCAHPS Linear Mean Value]), "No Match")</f>
        <v>Not Available</v>
      </c>
      <c r="F1291" cm="1">
        <f t="array" ref="F1291">_xlfn.IFNA(_xlfn.XLOOKUP(1,([1]!readmissions[Facility ID] = clean[[#This Row],[Facility ID]]) * ([1]!readmissions[Measure ID] = "Hybrid_HWR"), [1]!readmissions[Score]), "No Match")</f>
        <v>14.7</v>
      </c>
    </row>
    <row r="1292" spans="1:6" x14ac:dyDescent="0.2">
      <c r="A1292">
        <f>[1]!hospitalinfo[[#This Row],[Facility ID]]</f>
        <v>161307</v>
      </c>
      <c r="B1292" t="str">
        <f>[1]!hospitalinfo[[#This Row],[State]]</f>
        <v>IA</v>
      </c>
      <c r="C1292" t="str">
        <f>[1]!hospitalinfo[[#This Row],[Hospital Type]]</f>
        <v>Critical Access Hospitals</v>
      </c>
      <c r="D1292" t="str">
        <f>[1]!hospitalinfo[[#This Row],[Hospital Ownership]]</f>
        <v>Government - Local</v>
      </c>
      <c r="E1292" t="str" cm="1">
        <f t="array" ref="E1292">_xlfn.IFNA(_xlfn.XLOOKUP(1,([1]!hcahps[Facility ID] = clean[[#This Row],[Facility ID]]) * ([1]!hcahps[HCAHPS Measure ID] = "H_HSP_RATING_LINEAR_SCORE"), [1]!hcahps[HCAHPS Linear Mean Value]), "No Match")</f>
        <v>Not Available</v>
      </c>
      <c r="F1292" cm="1">
        <f t="array" ref="F1292">_xlfn.IFNA(_xlfn.XLOOKUP(1,([1]!readmissions[Facility ID] = clean[[#This Row],[Facility ID]]) * ([1]!readmissions[Measure ID] = "Hybrid_HWR"), [1]!readmissions[Score]), "No Match")</f>
        <v>14.5</v>
      </c>
    </row>
    <row r="1293" spans="1:6" x14ac:dyDescent="0.2">
      <c r="A1293">
        <f>[1]!hospitalinfo[[#This Row],[Facility ID]]</f>
        <v>161308</v>
      </c>
      <c r="B1293" t="str">
        <f>[1]!hospitalinfo[[#This Row],[State]]</f>
        <v>IA</v>
      </c>
      <c r="C1293" t="str">
        <f>[1]!hospitalinfo[[#This Row],[Hospital Type]]</f>
        <v>Critical Access Hospitals</v>
      </c>
      <c r="D1293" t="str">
        <f>[1]!hospitalinfo[[#This Row],[Hospital Ownership]]</f>
        <v>Government - Local</v>
      </c>
      <c r="E1293" t="str" cm="1">
        <f t="array" ref="E1293">_xlfn.IFNA(_xlfn.XLOOKUP(1,([1]!hcahps[Facility ID] = clean[[#This Row],[Facility ID]]) * ([1]!hcahps[HCAHPS Measure ID] = "H_HSP_RATING_LINEAR_SCORE"), [1]!hcahps[HCAHPS Linear Mean Value]), "No Match")</f>
        <v>Not Available</v>
      </c>
      <c r="F1293" cm="1">
        <f t="array" ref="F1293">_xlfn.IFNA(_xlfn.XLOOKUP(1,([1]!readmissions[Facility ID] = clean[[#This Row],[Facility ID]]) * ([1]!readmissions[Measure ID] = "Hybrid_HWR"), [1]!readmissions[Score]), "No Match")</f>
        <v>14.5</v>
      </c>
    </row>
    <row r="1294" spans="1:6" x14ac:dyDescent="0.2">
      <c r="A1294">
        <f>[1]!hospitalinfo[[#This Row],[Facility ID]]</f>
        <v>161309</v>
      </c>
      <c r="B1294" t="str">
        <f>[1]!hospitalinfo[[#This Row],[State]]</f>
        <v>IA</v>
      </c>
      <c r="C1294" t="str">
        <f>[1]!hospitalinfo[[#This Row],[Hospital Type]]</f>
        <v>Critical Access Hospitals</v>
      </c>
      <c r="D1294" t="str">
        <f>[1]!hospitalinfo[[#This Row],[Hospital Ownership]]</f>
        <v>Voluntary non-profit - Private</v>
      </c>
      <c r="E1294" t="str" cm="1">
        <f t="array" ref="E1294">_xlfn.IFNA(_xlfn.XLOOKUP(1,([1]!hcahps[Facility ID] = clean[[#This Row],[Facility ID]]) * ([1]!hcahps[HCAHPS Measure ID] = "H_HSP_RATING_LINEAR_SCORE"), [1]!hcahps[HCAHPS Linear Mean Value]), "No Match")</f>
        <v>Not Available</v>
      </c>
      <c r="F1294" cm="1">
        <f t="array" ref="F1294">_xlfn.IFNA(_xlfn.XLOOKUP(1,([1]!readmissions[Facility ID] = clean[[#This Row],[Facility ID]]) * ([1]!readmissions[Measure ID] = "Hybrid_HWR"), [1]!readmissions[Score]), "No Match")</f>
        <v>14.9</v>
      </c>
    </row>
    <row r="1295" spans="1:6" x14ac:dyDescent="0.2">
      <c r="A1295">
        <f>[1]!hospitalinfo[[#This Row],[Facility ID]]</f>
        <v>161310</v>
      </c>
      <c r="B1295" t="str">
        <f>[1]!hospitalinfo[[#This Row],[State]]</f>
        <v>IA</v>
      </c>
      <c r="C1295" t="str">
        <f>[1]!hospitalinfo[[#This Row],[Hospital Type]]</f>
        <v>Critical Access Hospitals</v>
      </c>
      <c r="D1295" t="str">
        <f>[1]!hospitalinfo[[#This Row],[Hospital Ownership]]</f>
        <v>Government - Local</v>
      </c>
      <c r="E1295" t="str" cm="1">
        <f t="array" ref="E1295">_xlfn.IFNA(_xlfn.XLOOKUP(1,([1]!hcahps[Facility ID] = clean[[#This Row],[Facility ID]]) * ([1]!hcahps[HCAHPS Measure ID] = "H_HSP_RATING_LINEAR_SCORE"), [1]!hcahps[HCAHPS Linear Mean Value]), "No Match")</f>
        <v>Not Available</v>
      </c>
      <c r="F1295" cm="1">
        <f t="array" ref="F1295">_xlfn.IFNA(_xlfn.XLOOKUP(1,([1]!readmissions[Facility ID] = clean[[#This Row],[Facility ID]]) * ([1]!readmissions[Measure ID] = "Hybrid_HWR"), [1]!readmissions[Score]), "No Match")</f>
        <v>14.8</v>
      </c>
    </row>
    <row r="1296" spans="1:6" x14ac:dyDescent="0.2">
      <c r="A1296">
        <f>[1]!hospitalinfo[[#This Row],[Facility ID]]</f>
        <v>161311</v>
      </c>
      <c r="B1296" t="str">
        <f>[1]!hospitalinfo[[#This Row],[State]]</f>
        <v>IA</v>
      </c>
      <c r="C1296" t="str">
        <f>[1]!hospitalinfo[[#This Row],[Hospital Type]]</f>
        <v>Critical Access Hospitals</v>
      </c>
      <c r="D1296" t="str">
        <f>[1]!hospitalinfo[[#This Row],[Hospital Ownership]]</f>
        <v>Government - Local</v>
      </c>
      <c r="E1296" t="str" cm="1">
        <f t="array" ref="E1296">_xlfn.IFNA(_xlfn.XLOOKUP(1,([1]!hcahps[Facility ID] = clean[[#This Row],[Facility ID]]) * ([1]!hcahps[HCAHPS Measure ID] = "H_HSP_RATING_LINEAR_SCORE"), [1]!hcahps[HCAHPS Linear Mean Value]), "No Match")</f>
        <v>Not Available</v>
      </c>
      <c r="F1296" cm="1">
        <f t="array" ref="F1296">_xlfn.IFNA(_xlfn.XLOOKUP(1,([1]!readmissions[Facility ID] = clean[[#This Row],[Facility ID]]) * ([1]!readmissions[Measure ID] = "Hybrid_HWR"), [1]!readmissions[Score]), "No Match")</f>
        <v>15</v>
      </c>
    </row>
    <row r="1297" spans="1:6" x14ac:dyDescent="0.2">
      <c r="A1297">
        <f>[1]!hospitalinfo[[#This Row],[Facility ID]]</f>
        <v>161312</v>
      </c>
      <c r="B1297" t="str">
        <f>[1]!hospitalinfo[[#This Row],[State]]</f>
        <v>IA</v>
      </c>
      <c r="C1297" t="str">
        <f>[1]!hospitalinfo[[#This Row],[Hospital Type]]</f>
        <v>Critical Access Hospitals</v>
      </c>
      <c r="D1297" t="str">
        <f>[1]!hospitalinfo[[#This Row],[Hospital Ownership]]</f>
        <v>Government - Local</v>
      </c>
      <c r="E1297" t="str" cm="1">
        <f t="array" ref="E1297">_xlfn.IFNA(_xlfn.XLOOKUP(1,([1]!hcahps[Facility ID] = clean[[#This Row],[Facility ID]]) * ([1]!hcahps[HCAHPS Measure ID] = "H_HSP_RATING_LINEAR_SCORE"), [1]!hcahps[HCAHPS Linear Mean Value]), "No Match")</f>
        <v>Not Available</v>
      </c>
      <c r="F1297" cm="1">
        <f t="array" ref="F1297">_xlfn.IFNA(_xlfn.XLOOKUP(1,([1]!readmissions[Facility ID] = clean[[#This Row],[Facility ID]]) * ([1]!readmissions[Measure ID] = "Hybrid_HWR"), [1]!readmissions[Score]), "No Match")</f>
        <v>14.6</v>
      </c>
    </row>
    <row r="1298" spans="1:6" x14ac:dyDescent="0.2">
      <c r="A1298">
        <f>[1]!hospitalinfo[[#This Row],[Facility ID]]</f>
        <v>161313</v>
      </c>
      <c r="B1298" t="str">
        <f>[1]!hospitalinfo[[#This Row],[State]]</f>
        <v>IA</v>
      </c>
      <c r="C1298" t="str">
        <f>[1]!hospitalinfo[[#This Row],[Hospital Type]]</f>
        <v>Critical Access Hospitals</v>
      </c>
      <c r="D1298" t="str">
        <f>[1]!hospitalinfo[[#This Row],[Hospital Ownership]]</f>
        <v>Voluntary non-profit - Private</v>
      </c>
      <c r="E1298" t="str" cm="1">
        <f t="array" ref="E1298">_xlfn.IFNA(_xlfn.XLOOKUP(1,([1]!hcahps[Facility ID] = clean[[#This Row],[Facility ID]]) * ([1]!hcahps[HCAHPS Measure ID] = "H_HSP_RATING_LINEAR_SCORE"), [1]!hcahps[HCAHPS Linear Mean Value]), "No Match")</f>
        <v>Not Available</v>
      </c>
      <c r="F1298" cm="1">
        <f t="array" ref="F1298">_xlfn.IFNA(_xlfn.XLOOKUP(1,([1]!readmissions[Facility ID] = clean[[#This Row],[Facility ID]]) * ([1]!readmissions[Measure ID] = "Hybrid_HWR"), [1]!readmissions[Score]), "No Match")</f>
        <v>14.7</v>
      </c>
    </row>
    <row r="1299" spans="1:6" x14ac:dyDescent="0.2">
      <c r="A1299">
        <f>[1]!hospitalinfo[[#This Row],[Facility ID]]</f>
        <v>161314</v>
      </c>
      <c r="B1299" t="str">
        <f>[1]!hospitalinfo[[#This Row],[State]]</f>
        <v>IA</v>
      </c>
      <c r="C1299" t="str">
        <f>[1]!hospitalinfo[[#This Row],[Hospital Type]]</f>
        <v>Critical Access Hospitals</v>
      </c>
      <c r="D1299" t="str">
        <f>[1]!hospitalinfo[[#This Row],[Hospital Ownership]]</f>
        <v>Voluntary non-profit - Other</v>
      </c>
      <c r="E1299" t="str" cm="1">
        <f t="array" ref="E1299">_xlfn.IFNA(_xlfn.XLOOKUP(1,([1]!hcahps[Facility ID] = clean[[#This Row],[Facility ID]]) * ([1]!hcahps[HCAHPS Measure ID] = "H_HSP_RATING_LINEAR_SCORE"), [1]!hcahps[HCAHPS Linear Mean Value]), "No Match")</f>
        <v>Not Available</v>
      </c>
      <c r="F1299" cm="1">
        <f t="array" ref="F1299">_xlfn.IFNA(_xlfn.XLOOKUP(1,([1]!readmissions[Facility ID] = clean[[#This Row],[Facility ID]]) * ([1]!readmissions[Measure ID] = "Hybrid_HWR"), [1]!readmissions[Score]), "No Match")</f>
        <v>14.7</v>
      </c>
    </row>
    <row r="1300" spans="1:6" x14ac:dyDescent="0.2">
      <c r="A1300">
        <f>[1]!hospitalinfo[[#This Row],[Facility ID]]</f>
        <v>161315</v>
      </c>
      <c r="B1300" t="str">
        <f>[1]!hospitalinfo[[#This Row],[State]]</f>
        <v>IA</v>
      </c>
      <c r="C1300" t="str">
        <f>[1]!hospitalinfo[[#This Row],[Hospital Type]]</f>
        <v>Critical Access Hospitals</v>
      </c>
      <c r="D1300" t="str">
        <f>[1]!hospitalinfo[[#This Row],[Hospital Ownership]]</f>
        <v>Government - Hospital District or Authority</v>
      </c>
      <c r="E1300" t="str" cm="1">
        <f t="array" ref="E1300">_xlfn.IFNA(_xlfn.XLOOKUP(1,([1]!hcahps[Facility ID] = clean[[#This Row],[Facility ID]]) * ([1]!hcahps[HCAHPS Measure ID] = "H_HSP_RATING_LINEAR_SCORE"), [1]!hcahps[HCAHPS Linear Mean Value]), "No Match")</f>
        <v>Not Available</v>
      </c>
      <c r="F1300" cm="1">
        <f t="array" ref="F1300">_xlfn.IFNA(_xlfn.XLOOKUP(1,([1]!readmissions[Facility ID] = clean[[#This Row],[Facility ID]]) * ([1]!readmissions[Measure ID] = "Hybrid_HWR"), [1]!readmissions[Score]), "No Match")</f>
        <v>15</v>
      </c>
    </row>
    <row r="1301" spans="1:6" x14ac:dyDescent="0.2">
      <c r="A1301">
        <f>[1]!hospitalinfo[[#This Row],[Facility ID]]</f>
        <v>161316</v>
      </c>
      <c r="B1301" t="str">
        <f>[1]!hospitalinfo[[#This Row],[State]]</f>
        <v>IA</v>
      </c>
      <c r="C1301" t="str">
        <f>[1]!hospitalinfo[[#This Row],[Hospital Type]]</f>
        <v>Critical Access Hospitals</v>
      </c>
      <c r="D1301" t="str">
        <f>[1]!hospitalinfo[[#This Row],[Hospital Ownership]]</f>
        <v>Voluntary non-profit - Private</v>
      </c>
      <c r="E1301" t="str" cm="1">
        <f t="array" ref="E1301">_xlfn.IFNA(_xlfn.XLOOKUP(1,([1]!hcahps[Facility ID] = clean[[#This Row],[Facility ID]]) * ([1]!hcahps[HCAHPS Measure ID] = "H_HSP_RATING_LINEAR_SCORE"), [1]!hcahps[HCAHPS Linear Mean Value]), "No Match")</f>
        <v>Not Available</v>
      </c>
      <c r="F1301" cm="1">
        <f t="array" ref="F1301">_xlfn.IFNA(_xlfn.XLOOKUP(1,([1]!readmissions[Facility ID] = clean[[#This Row],[Facility ID]]) * ([1]!readmissions[Measure ID] = "Hybrid_HWR"), [1]!readmissions[Score]), "No Match")</f>
        <v>14.4</v>
      </c>
    </row>
    <row r="1302" spans="1:6" x14ac:dyDescent="0.2">
      <c r="A1302">
        <f>[1]!hospitalinfo[[#This Row],[Facility ID]]</f>
        <v>161317</v>
      </c>
      <c r="B1302" t="str">
        <f>[1]!hospitalinfo[[#This Row],[State]]</f>
        <v>IA</v>
      </c>
      <c r="C1302" t="str">
        <f>[1]!hospitalinfo[[#This Row],[Hospital Type]]</f>
        <v>Critical Access Hospitals</v>
      </c>
      <c r="D1302" t="str">
        <f>[1]!hospitalinfo[[#This Row],[Hospital Ownership]]</f>
        <v>Voluntary non-profit - Private</v>
      </c>
      <c r="E1302" cm="1">
        <f t="array" ref="E1302">_xlfn.IFNA(_xlfn.XLOOKUP(1,([1]!hcahps[Facility ID] = clean[[#This Row],[Facility ID]]) * ([1]!hcahps[HCAHPS Measure ID] = "H_HSP_RATING_LINEAR_SCORE"), [1]!hcahps[HCAHPS Linear Mean Value]), "No Match")</f>
        <v>94</v>
      </c>
      <c r="F1302" cm="1">
        <f t="array" ref="F1302">_xlfn.IFNA(_xlfn.XLOOKUP(1,([1]!readmissions[Facility ID] = clean[[#This Row],[Facility ID]]) * ([1]!readmissions[Measure ID] = "Hybrid_HWR"), [1]!readmissions[Score]), "No Match")</f>
        <v>14.7</v>
      </c>
    </row>
    <row r="1303" spans="1:6" x14ac:dyDescent="0.2">
      <c r="A1303">
        <f>[1]!hospitalinfo[[#This Row],[Facility ID]]</f>
        <v>161318</v>
      </c>
      <c r="B1303" t="str">
        <f>[1]!hospitalinfo[[#This Row],[State]]</f>
        <v>IA</v>
      </c>
      <c r="C1303" t="str">
        <f>[1]!hospitalinfo[[#This Row],[Hospital Type]]</f>
        <v>Critical Access Hospitals</v>
      </c>
      <c r="D1303" t="str">
        <f>[1]!hospitalinfo[[#This Row],[Hospital Ownership]]</f>
        <v>Government - Local</v>
      </c>
      <c r="E1303" cm="1">
        <f t="array" ref="E1303">_xlfn.IFNA(_xlfn.XLOOKUP(1,([1]!hcahps[Facility ID] = clean[[#This Row],[Facility ID]]) * ([1]!hcahps[HCAHPS Measure ID] = "H_HSP_RATING_LINEAR_SCORE"), [1]!hcahps[HCAHPS Linear Mean Value]), "No Match")</f>
        <v>92</v>
      </c>
      <c r="F1303" cm="1">
        <f t="array" ref="F1303">_xlfn.IFNA(_xlfn.XLOOKUP(1,([1]!readmissions[Facility ID] = clean[[#This Row],[Facility ID]]) * ([1]!readmissions[Measure ID] = "Hybrid_HWR"), [1]!readmissions[Score]), "No Match")</f>
        <v>14.9</v>
      </c>
    </row>
    <row r="1304" spans="1:6" x14ac:dyDescent="0.2">
      <c r="A1304">
        <f>[1]!hospitalinfo[[#This Row],[Facility ID]]</f>
        <v>161319</v>
      </c>
      <c r="B1304" t="str">
        <f>[1]!hospitalinfo[[#This Row],[State]]</f>
        <v>IA</v>
      </c>
      <c r="C1304" t="str">
        <f>[1]!hospitalinfo[[#This Row],[Hospital Type]]</f>
        <v>Critical Access Hospitals</v>
      </c>
      <c r="D1304" t="str">
        <f>[1]!hospitalinfo[[#This Row],[Hospital Ownership]]</f>
        <v>Voluntary non-profit - Private</v>
      </c>
      <c r="E1304" t="str" cm="1">
        <f t="array" ref="E1304">_xlfn.IFNA(_xlfn.XLOOKUP(1,([1]!hcahps[Facility ID] = clean[[#This Row],[Facility ID]]) * ([1]!hcahps[HCAHPS Measure ID] = "H_HSP_RATING_LINEAR_SCORE"), [1]!hcahps[HCAHPS Linear Mean Value]), "No Match")</f>
        <v>Not Available</v>
      </c>
      <c r="F1304" cm="1">
        <f t="array" ref="F1304">_xlfn.IFNA(_xlfn.XLOOKUP(1,([1]!readmissions[Facility ID] = clean[[#This Row],[Facility ID]]) * ([1]!readmissions[Measure ID] = "Hybrid_HWR"), [1]!readmissions[Score]), "No Match")</f>
        <v>15.5</v>
      </c>
    </row>
    <row r="1305" spans="1:6" x14ac:dyDescent="0.2">
      <c r="A1305">
        <f>[1]!hospitalinfo[[#This Row],[Facility ID]]</f>
        <v>161320</v>
      </c>
      <c r="B1305" t="str">
        <f>[1]!hospitalinfo[[#This Row],[State]]</f>
        <v>IA</v>
      </c>
      <c r="C1305" t="str">
        <f>[1]!hospitalinfo[[#This Row],[Hospital Type]]</f>
        <v>Critical Access Hospitals</v>
      </c>
      <c r="D1305" t="str">
        <f>[1]!hospitalinfo[[#This Row],[Hospital Ownership]]</f>
        <v>Voluntary non-profit - Private</v>
      </c>
      <c r="E1305" t="str" cm="1">
        <f t="array" ref="E1305">_xlfn.IFNA(_xlfn.XLOOKUP(1,([1]!hcahps[Facility ID] = clean[[#This Row],[Facility ID]]) * ([1]!hcahps[HCAHPS Measure ID] = "H_HSP_RATING_LINEAR_SCORE"), [1]!hcahps[HCAHPS Linear Mean Value]), "No Match")</f>
        <v>Not Available</v>
      </c>
      <c r="F1305" cm="1">
        <f t="array" ref="F1305">_xlfn.IFNA(_xlfn.XLOOKUP(1,([1]!readmissions[Facility ID] = clean[[#This Row],[Facility ID]]) * ([1]!readmissions[Measure ID] = "Hybrid_HWR"), [1]!readmissions[Score]), "No Match")</f>
        <v>14.7</v>
      </c>
    </row>
    <row r="1306" spans="1:6" x14ac:dyDescent="0.2">
      <c r="A1306">
        <f>[1]!hospitalinfo[[#This Row],[Facility ID]]</f>
        <v>161321</v>
      </c>
      <c r="B1306" t="str">
        <f>[1]!hospitalinfo[[#This Row],[State]]</f>
        <v>IA</v>
      </c>
      <c r="C1306" t="str">
        <f>[1]!hospitalinfo[[#This Row],[Hospital Type]]</f>
        <v>Critical Access Hospitals</v>
      </c>
      <c r="D1306" t="str">
        <f>[1]!hospitalinfo[[#This Row],[Hospital Ownership]]</f>
        <v>Voluntary non-profit - Private</v>
      </c>
      <c r="E1306" t="str" cm="1">
        <f t="array" ref="E1306">_xlfn.IFNA(_xlfn.XLOOKUP(1,([1]!hcahps[Facility ID] = clean[[#This Row],[Facility ID]]) * ([1]!hcahps[HCAHPS Measure ID] = "H_HSP_RATING_LINEAR_SCORE"), [1]!hcahps[HCAHPS Linear Mean Value]), "No Match")</f>
        <v>Not Available</v>
      </c>
      <c r="F1306" cm="1">
        <f t="array" ref="F1306">_xlfn.IFNA(_xlfn.XLOOKUP(1,([1]!readmissions[Facility ID] = clean[[#This Row],[Facility ID]]) * ([1]!readmissions[Measure ID] = "Hybrid_HWR"), [1]!readmissions[Score]), "No Match")</f>
        <v>14.9</v>
      </c>
    </row>
    <row r="1307" spans="1:6" x14ac:dyDescent="0.2">
      <c r="A1307">
        <f>[1]!hospitalinfo[[#This Row],[Facility ID]]</f>
        <v>161322</v>
      </c>
      <c r="B1307" t="str">
        <f>[1]!hospitalinfo[[#This Row],[State]]</f>
        <v>IA</v>
      </c>
      <c r="C1307" t="str">
        <f>[1]!hospitalinfo[[#This Row],[Hospital Type]]</f>
        <v>Critical Access Hospitals</v>
      </c>
      <c r="D1307" t="str">
        <f>[1]!hospitalinfo[[#This Row],[Hospital Ownership]]</f>
        <v>Government - Local</v>
      </c>
      <c r="E1307" t="str" cm="1">
        <f t="array" ref="E1307">_xlfn.IFNA(_xlfn.XLOOKUP(1,([1]!hcahps[Facility ID] = clean[[#This Row],[Facility ID]]) * ([1]!hcahps[HCAHPS Measure ID] = "H_HSP_RATING_LINEAR_SCORE"), [1]!hcahps[HCAHPS Linear Mean Value]), "No Match")</f>
        <v>Not Available</v>
      </c>
      <c r="F1307" cm="1">
        <f t="array" ref="F1307">_xlfn.IFNA(_xlfn.XLOOKUP(1,([1]!readmissions[Facility ID] = clean[[#This Row],[Facility ID]]) * ([1]!readmissions[Measure ID] = "Hybrid_HWR"), [1]!readmissions[Score]), "No Match")</f>
        <v>15.1</v>
      </c>
    </row>
    <row r="1308" spans="1:6" x14ac:dyDescent="0.2">
      <c r="A1308">
        <f>[1]!hospitalinfo[[#This Row],[Facility ID]]</f>
        <v>161323</v>
      </c>
      <c r="B1308" t="str">
        <f>[1]!hospitalinfo[[#This Row],[State]]</f>
        <v>IA</v>
      </c>
      <c r="C1308" t="str">
        <f>[1]!hospitalinfo[[#This Row],[Hospital Type]]</f>
        <v>Critical Access Hospitals</v>
      </c>
      <c r="D1308" t="str">
        <f>[1]!hospitalinfo[[#This Row],[Hospital Ownership]]</f>
        <v>Government - Federal</v>
      </c>
      <c r="E1308" t="str" cm="1">
        <f t="array" ref="E1308">_xlfn.IFNA(_xlfn.XLOOKUP(1,([1]!hcahps[Facility ID] = clean[[#This Row],[Facility ID]]) * ([1]!hcahps[HCAHPS Measure ID] = "H_HSP_RATING_LINEAR_SCORE"), [1]!hcahps[HCAHPS Linear Mean Value]), "No Match")</f>
        <v>Not Available</v>
      </c>
      <c r="F1308" cm="1">
        <f t="array" ref="F1308">_xlfn.IFNA(_xlfn.XLOOKUP(1,([1]!readmissions[Facility ID] = clean[[#This Row],[Facility ID]]) * ([1]!readmissions[Measure ID] = "Hybrid_HWR"), [1]!readmissions[Score]), "No Match")</f>
        <v>14.9</v>
      </c>
    </row>
    <row r="1309" spans="1:6" x14ac:dyDescent="0.2">
      <c r="A1309">
        <f>[1]!hospitalinfo[[#This Row],[Facility ID]]</f>
        <v>161324</v>
      </c>
      <c r="B1309" t="str">
        <f>[1]!hospitalinfo[[#This Row],[State]]</f>
        <v>IA</v>
      </c>
      <c r="C1309" t="str">
        <f>[1]!hospitalinfo[[#This Row],[Hospital Type]]</f>
        <v>Critical Access Hospitals</v>
      </c>
      <c r="D1309" t="str">
        <f>[1]!hospitalinfo[[#This Row],[Hospital Ownership]]</f>
        <v>Voluntary non-profit - Private</v>
      </c>
      <c r="E1309" t="str" cm="1">
        <f t="array" ref="E1309">_xlfn.IFNA(_xlfn.XLOOKUP(1,([1]!hcahps[Facility ID] = clean[[#This Row],[Facility ID]]) * ([1]!hcahps[HCAHPS Measure ID] = "H_HSP_RATING_LINEAR_SCORE"), [1]!hcahps[HCAHPS Linear Mean Value]), "No Match")</f>
        <v>Not Available</v>
      </c>
      <c r="F1309" cm="1">
        <f t="array" ref="F1309">_xlfn.IFNA(_xlfn.XLOOKUP(1,([1]!readmissions[Facility ID] = clean[[#This Row],[Facility ID]]) * ([1]!readmissions[Measure ID] = "Hybrid_HWR"), [1]!readmissions[Score]), "No Match")</f>
        <v>14.6</v>
      </c>
    </row>
    <row r="1310" spans="1:6" x14ac:dyDescent="0.2">
      <c r="A1310">
        <f>[1]!hospitalinfo[[#This Row],[Facility ID]]</f>
        <v>161325</v>
      </c>
      <c r="B1310" t="str">
        <f>[1]!hospitalinfo[[#This Row],[State]]</f>
        <v>IA</v>
      </c>
      <c r="C1310" t="str">
        <f>[1]!hospitalinfo[[#This Row],[Hospital Type]]</f>
        <v>Critical Access Hospitals</v>
      </c>
      <c r="D1310" t="str">
        <f>[1]!hospitalinfo[[#This Row],[Hospital Ownership]]</f>
        <v>Government - Local</v>
      </c>
      <c r="E1310" t="str" cm="1">
        <f t="array" ref="E1310">_xlfn.IFNA(_xlfn.XLOOKUP(1,([1]!hcahps[Facility ID] = clean[[#This Row],[Facility ID]]) * ([1]!hcahps[HCAHPS Measure ID] = "H_HSP_RATING_LINEAR_SCORE"), [1]!hcahps[HCAHPS Linear Mean Value]), "No Match")</f>
        <v>Not Available</v>
      </c>
      <c r="F1310" cm="1">
        <f t="array" ref="F1310">_xlfn.IFNA(_xlfn.XLOOKUP(1,([1]!readmissions[Facility ID] = clean[[#This Row],[Facility ID]]) * ([1]!readmissions[Measure ID] = "Hybrid_HWR"), [1]!readmissions[Score]), "No Match")</f>
        <v>15</v>
      </c>
    </row>
    <row r="1311" spans="1:6" x14ac:dyDescent="0.2">
      <c r="A1311">
        <f>[1]!hospitalinfo[[#This Row],[Facility ID]]</f>
        <v>161326</v>
      </c>
      <c r="B1311" t="str">
        <f>[1]!hospitalinfo[[#This Row],[State]]</f>
        <v>IA</v>
      </c>
      <c r="C1311" t="str">
        <f>[1]!hospitalinfo[[#This Row],[Hospital Type]]</f>
        <v>Critical Access Hospitals</v>
      </c>
      <c r="D1311" t="str">
        <f>[1]!hospitalinfo[[#This Row],[Hospital Ownership]]</f>
        <v>Government - Local</v>
      </c>
      <c r="E1311" t="str" cm="1">
        <f t="array" ref="E1311">_xlfn.IFNA(_xlfn.XLOOKUP(1,([1]!hcahps[Facility ID] = clean[[#This Row],[Facility ID]]) * ([1]!hcahps[HCAHPS Measure ID] = "H_HSP_RATING_LINEAR_SCORE"), [1]!hcahps[HCAHPS Linear Mean Value]), "No Match")</f>
        <v>Not Available</v>
      </c>
      <c r="F1311" cm="1">
        <f t="array" ref="F1311">_xlfn.IFNA(_xlfn.XLOOKUP(1,([1]!readmissions[Facility ID] = clean[[#This Row],[Facility ID]]) * ([1]!readmissions[Measure ID] = "Hybrid_HWR"), [1]!readmissions[Score]), "No Match")</f>
        <v>15</v>
      </c>
    </row>
    <row r="1312" spans="1:6" x14ac:dyDescent="0.2">
      <c r="A1312">
        <f>[1]!hospitalinfo[[#This Row],[Facility ID]]</f>
        <v>161327</v>
      </c>
      <c r="B1312" t="str">
        <f>[1]!hospitalinfo[[#This Row],[State]]</f>
        <v>IA</v>
      </c>
      <c r="C1312" t="str">
        <f>[1]!hospitalinfo[[#This Row],[Hospital Type]]</f>
        <v>Critical Access Hospitals</v>
      </c>
      <c r="D1312" t="str">
        <f>[1]!hospitalinfo[[#This Row],[Hospital Ownership]]</f>
        <v>Government - Local</v>
      </c>
      <c r="E1312" t="str" cm="1">
        <f t="array" ref="E1312">_xlfn.IFNA(_xlfn.XLOOKUP(1,([1]!hcahps[Facility ID] = clean[[#This Row],[Facility ID]]) * ([1]!hcahps[HCAHPS Measure ID] = "H_HSP_RATING_LINEAR_SCORE"), [1]!hcahps[HCAHPS Linear Mean Value]), "No Match")</f>
        <v>Not Available</v>
      </c>
      <c r="F1312" cm="1">
        <f t="array" ref="F1312">_xlfn.IFNA(_xlfn.XLOOKUP(1,([1]!readmissions[Facility ID] = clean[[#This Row],[Facility ID]]) * ([1]!readmissions[Measure ID] = "Hybrid_HWR"), [1]!readmissions[Score]), "No Match")</f>
        <v>14.9</v>
      </c>
    </row>
    <row r="1313" spans="1:6" x14ac:dyDescent="0.2">
      <c r="A1313">
        <f>[1]!hospitalinfo[[#This Row],[Facility ID]]</f>
        <v>161328</v>
      </c>
      <c r="B1313" t="str">
        <f>[1]!hospitalinfo[[#This Row],[State]]</f>
        <v>IA</v>
      </c>
      <c r="C1313" t="str">
        <f>[1]!hospitalinfo[[#This Row],[Hospital Type]]</f>
        <v>Critical Access Hospitals</v>
      </c>
      <c r="D1313" t="str">
        <f>[1]!hospitalinfo[[#This Row],[Hospital Ownership]]</f>
        <v>Government - Local</v>
      </c>
      <c r="E1313" t="str" cm="1">
        <f t="array" ref="E1313">_xlfn.IFNA(_xlfn.XLOOKUP(1,([1]!hcahps[Facility ID] = clean[[#This Row],[Facility ID]]) * ([1]!hcahps[HCAHPS Measure ID] = "H_HSP_RATING_LINEAR_SCORE"), [1]!hcahps[HCAHPS Linear Mean Value]), "No Match")</f>
        <v>Not Available</v>
      </c>
      <c r="F1313" cm="1">
        <f t="array" ref="F1313">_xlfn.IFNA(_xlfn.XLOOKUP(1,([1]!readmissions[Facility ID] = clean[[#This Row],[Facility ID]]) * ([1]!readmissions[Measure ID] = "Hybrid_HWR"), [1]!readmissions[Score]), "No Match")</f>
        <v>14.7</v>
      </c>
    </row>
    <row r="1314" spans="1:6" x14ac:dyDescent="0.2">
      <c r="A1314">
        <f>[1]!hospitalinfo[[#This Row],[Facility ID]]</f>
        <v>161329</v>
      </c>
      <c r="B1314" t="str">
        <f>[1]!hospitalinfo[[#This Row],[State]]</f>
        <v>IA</v>
      </c>
      <c r="C1314" t="str">
        <f>[1]!hospitalinfo[[#This Row],[Hospital Type]]</f>
        <v>Critical Access Hospitals</v>
      </c>
      <c r="D1314" t="str">
        <f>[1]!hospitalinfo[[#This Row],[Hospital Ownership]]</f>
        <v>Government - Local</v>
      </c>
      <c r="E1314" t="str" cm="1">
        <f t="array" ref="E1314">_xlfn.IFNA(_xlfn.XLOOKUP(1,([1]!hcahps[Facility ID] = clean[[#This Row],[Facility ID]]) * ([1]!hcahps[HCAHPS Measure ID] = "H_HSP_RATING_LINEAR_SCORE"), [1]!hcahps[HCAHPS Linear Mean Value]), "No Match")</f>
        <v>Not Available</v>
      </c>
      <c r="F1314" cm="1">
        <f t="array" ref="F1314">_xlfn.IFNA(_xlfn.XLOOKUP(1,([1]!readmissions[Facility ID] = clean[[#This Row],[Facility ID]]) * ([1]!readmissions[Measure ID] = "Hybrid_HWR"), [1]!readmissions[Score]), "No Match")</f>
        <v>15.1</v>
      </c>
    </row>
    <row r="1315" spans="1:6" x14ac:dyDescent="0.2">
      <c r="A1315">
        <f>[1]!hospitalinfo[[#This Row],[Facility ID]]</f>
        <v>161330</v>
      </c>
      <c r="B1315" t="str">
        <f>[1]!hospitalinfo[[#This Row],[State]]</f>
        <v>IA</v>
      </c>
      <c r="C1315" t="str">
        <f>[1]!hospitalinfo[[#This Row],[Hospital Type]]</f>
        <v>Critical Access Hospitals</v>
      </c>
      <c r="D1315" t="str">
        <f>[1]!hospitalinfo[[#This Row],[Hospital Ownership]]</f>
        <v>Government - Local</v>
      </c>
      <c r="E1315" t="str" cm="1">
        <f t="array" ref="E1315">_xlfn.IFNA(_xlfn.XLOOKUP(1,([1]!hcahps[Facility ID] = clean[[#This Row],[Facility ID]]) * ([1]!hcahps[HCAHPS Measure ID] = "H_HSP_RATING_LINEAR_SCORE"), [1]!hcahps[HCAHPS Linear Mean Value]), "No Match")</f>
        <v>Not Available</v>
      </c>
      <c r="F1315" cm="1">
        <f t="array" ref="F1315">_xlfn.IFNA(_xlfn.XLOOKUP(1,([1]!readmissions[Facility ID] = clean[[#This Row],[Facility ID]]) * ([1]!readmissions[Measure ID] = "Hybrid_HWR"), [1]!readmissions[Score]), "No Match")</f>
        <v>14.7</v>
      </c>
    </row>
    <row r="1316" spans="1:6" x14ac:dyDescent="0.2">
      <c r="A1316">
        <f>[1]!hospitalinfo[[#This Row],[Facility ID]]</f>
        <v>161331</v>
      </c>
      <c r="B1316" t="str">
        <f>[1]!hospitalinfo[[#This Row],[State]]</f>
        <v>IA</v>
      </c>
      <c r="C1316" t="str">
        <f>[1]!hospitalinfo[[#This Row],[Hospital Type]]</f>
        <v>Critical Access Hospitals</v>
      </c>
      <c r="D1316" t="str">
        <f>[1]!hospitalinfo[[#This Row],[Hospital Ownership]]</f>
        <v>Voluntary non-profit - Church</v>
      </c>
      <c r="E1316" t="str" cm="1">
        <f t="array" ref="E1316">_xlfn.IFNA(_xlfn.XLOOKUP(1,([1]!hcahps[Facility ID] = clean[[#This Row],[Facility ID]]) * ([1]!hcahps[HCAHPS Measure ID] = "H_HSP_RATING_LINEAR_SCORE"), [1]!hcahps[HCAHPS Linear Mean Value]), "No Match")</f>
        <v>Not Available</v>
      </c>
      <c r="F1316" cm="1">
        <f t="array" ref="F1316">_xlfn.IFNA(_xlfn.XLOOKUP(1,([1]!readmissions[Facility ID] = clean[[#This Row],[Facility ID]]) * ([1]!readmissions[Measure ID] = "Hybrid_HWR"), [1]!readmissions[Score]), "No Match")</f>
        <v>15.5</v>
      </c>
    </row>
    <row r="1317" spans="1:6" x14ac:dyDescent="0.2">
      <c r="A1317">
        <f>[1]!hospitalinfo[[#This Row],[Facility ID]]</f>
        <v>161332</v>
      </c>
      <c r="B1317" t="str">
        <f>[1]!hospitalinfo[[#This Row],[State]]</f>
        <v>IA</v>
      </c>
      <c r="C1317" t="str">
        <f>[1]!hospitalinfo[[#This Row],[Hospital Type]]</f>
        <v>Critical Access Hospitals</v>
      </c>
      <c r="D1317" t="str">
        <f>[1]!hospitalinfo[[#This Row],[Hospital Ownership]]</f>
        <v>Voluntary non-profit - Private</v>
      </c>
      <c r="E1317" t="str" cm="1">
        <f t="array" ref="E1317">_xlfn.IFNA(_xlfn.XLOOKUP(1,([1]!hcahps[Facility ID] = clean[[#This Row],[Facility ID]]) * ([1]!hcahps[HCAHPS Measure ID] = "H_HSP_RATING_LINEAR_SCORE"), [1]!hcahps[HCAHPS Linear Mean Value]), "No Match")</f>
        <v>Not Available</v>
      </c>
      <c r="F1317" cm="1">
        <f t="array" ref="F1317">_xlfn.IFNA(_xlfn.XLOOKUP(1,([1]!readmissions[Facility ID] = clean[[#This Row],[Facility ID]]) * ([1]!readmissions[Measure ID] = "Hybrid_HWR"), [1]!readmissions[Score]), "No Match")</f>
        <v>15.1</v>
      </c>
    </row>
    <row r="1318" spans="1:6" x14ac:dyDescent="0.2">
      <c r="A1318">
        <f>[1]!hospitalinfo[[#This Row],[Facility ID]]</f>
        <v>161333</v>
      </c>
      <c r="B1318" t="str">
        <f>[1]!hospitalinfo[[#This Row],[State]]</f>
        <v>IA</v>
      </c>
      <c r="C1318" t="str">
        <f>[1]!hospitalinfo[[#This Row],[Hospital Type]]</f>
        <v>Critical Access Hospitals</v>
      </c>
      <c r="D1318" t="str">
        <f>[1]!hospitalinfo[[#This Row],[Hospital Ownership]]</f>
        <v>Government - Local</v>
      </c>
      <c r="E1318" t="str" cm="1">
        <f t="array" ref="E1318">_xlfn.IFNA(_xlfn.XLOOKUP(1,([1]!hcahps[Facility ID] = clean[[#This Row],[Facility ID]]) * ([1]!hcahps[HCAHPS Measure ID] = "H_HSP_RATING_LINEAR_SCORE"), [1]!hcahps[HCAHPS Linear Mean Value]), "No Match")</f>
        <v>Not Available</v>
      </c>
      <c r="F1318" cm="1">
        <f t="array" ref="F1318">_xlfn.IFNA(_xlfn.XLOOKUP(1,([1]!readmissions[Facility ID] = clean[[#This Row],[Facility ID]]) * ([1]!readmissions[Measure ID] = "Hybrid_HWR"), [1]!readmissions[Score]), "No Match")</f>
        <v>15.2</v>
      </c>
    </row>
    <row r="1319" spans="1:6" x14ac:dyDescent="0.2">
      <c r="A1319">
        <f>[1]!hospitalinfo[[#This Row],[Facility ID]]</f>
        <v>161334</v>
      </c>
      <c r="B1319" t="str">
        <f>[1]!hospitalinfo[[#This Row],[State]]</f>
        <v>IA</v>
      </c>
      <c r="C1319" t="str">
        <f>[1]!hospitalinfo[[#This Row],[Hospital Type]]</f>
        <v>Critical Access Hospitals</v>
      </c>
      <c r="D1319" t="str">
        <f>[1]!hospitalinfo[[#This Row],[Hospital Ownership]]</f>
        <v>Voluntary non-profit - Other</v>
      </c>
      <c r="E1319" t="str" cm="1">
        <f t="array" ref="E1319">_xlfn.IFNA(_xlfn.XLOOKUP(1,([1]!hcahps[Facility ID] = clean[[#This Row],[Facility ID]]) * ([1]!hcahps[HCAHPS Measure ID] = "H_HSP_RATING_LINEAR_SCORE"), [1]!hcahps[HCAHPS Linear Mean Value]), "No Match")</f>
        <v>Not Available</v>
      </c>
      <c r="F1319" cm="1">
        <f t="array" ref="F1319">_xlfn.IFNA(_xlfn.XLOOKUP(1,([1]!readmissions[Facility ID] = clean[[#This Row],[Facility ID]]) * ([1]!readmissions[Measure ID] = "Hybrid_HWR"), [1]!readmissions[Score]), "No Match")</f>
        <v>14.8</v>
      </c>
    </row>
    <row r="1320" spans="1:6" x14ac:dyDescent="0.2">
      <c r="A1320">
        <f>[1]!hospitalinfo[[#This Row],[Facility ID]]</f>
        <v>161335</v>
      </c>
      <c r="B1320" t="str">
        <f>[1]!hospitalinfo[[#This Row],[State]]</f>
        <v>IA</v>
      </c>
      <c r="C1320" t="str">
        <f>[1]!hospitalinfo[[#This Row],[Hospital Type]]</f>
        <v>Critical Access Hospitals</v>
      </c>
      <c r="D1320" t="str">
        <f>[1]!hospitalinfo[[#This Row],[Hospital Ownership]]</f>
        <v>Government - Local</v>
      </c>
      <c r="E1320" t="str" cm="1">
        <f t="array" ref="E1320">_xlfn.IFNA(_xlfn.XLOOKUP(1,([1]!hcahps[Facility ID] = clean[[#This Row],[Facility ID]]) * ([1]!hcahps[HCAHPS Measure ID] = "H_HSP_RATING_LINEAR_SCORE"), [1]!hcahps[HCAHPS Linear Mean Value]), "No Match")</f>
        <v>Not Available</v>
      </c>
      <c r="F1320" cm="1">
        <f t="array" ref="F1320">_xlfn.IFNA(_xlfn.XLOOKUP(1,([1]!readmissions[Facility ID] = clean[[#This Row],[Facility ID]]) * ([1]!readmissions[Measure ID] = "Hybrid_HWR"), [1]!readmissions[Score]), "No Match")</f>
        <v>15</v>
      </c>
    </row>
    <row r="1321" spans="1:6" x14ac:dyDescent="0.2">
      <c r="A1321">
        <f>[1]!hospitalinfo[[#This Row],[Facility ID]]</f>
        <v>161336</v>
      </c>
      <c r="B1321" t="str">
        <f>[1]!hospitalinfo[[#This Row],[State]]</f>
        <v>IA</v>
      </c>
      <c r="C1321" t="str">
        <f>[1]!hospitalinfo[[#This Row],[Hospital Type]]</f>
        <v>Critical Access Hospitals</v>
      </c>
      <c r="D1321" t="str">
        <f>[1]!hospitalinfo[[#This Row],[Hospital Ownership]]</f>
        <v>Voluntary non-profit - Private</v>
      </c>
      <c r="E1321" t="str" cm="1">
        <f t="array" ref="E1321">_xlfn.IFNA(_xlfn.XLOOKUP(1,([1]!hcahps[Facility ID] = clean[[#This Row],[Facility ID]]) * ([1]!hcahps[HCAHPS Measure ID] = "H_HSP_RATING_LINEAR_SCORE"), [1]!hcahps[HCAHPS Linear Mean Value]), "No Match")</f>
        <v>Not Available</v>
      </c>
      <c r="F1321" cm="1">
        <f t="array" ref="F1321">_xlfn.IFNA(_xlfn.XLOOKUP(1,([1]!readmissions[Facility ID] = clean[[#This Row],[Facility ID]]) * ([1]!readmissions[Measure ID] = "Hybrid_HWR"), [1]!readmissions[Score]), "No Match")</f>
        <v>14.5</v>
      </c>
    </row>
    <row r="1322" spans="1:6" x14ac:dyDescent="0.2">
      <c r="A1322">
        <f>[1]!hospitalinfo[[#This Row],[Facility ID]]</f>
        <v>161337</v>
      </c>
      <c r="B1322" t="str">
        <f>[1]!hospitalinfo[[#This Row],[State]]</f>
        <v>IA</v>
      </c>
      <c r="C1322" t="str">
        <f>[1]!hospitalinfo[[#This Row],[Hospital Type]]</f>
        <v>Critical Access Hospitals</v>
      </c>
      <c r="D1322" t="str">
        <f>[1]!hospitalinfo[[#This Row],[Hospital Ownership]]</f>
        <v>Government - Local</v>
      </c>
      <c r="E1322" t="str" cm="1">
        <f t="array" ref="E1322">_xlfn.IFNA(_xlfn.XLOOKUP(1,([1]!hcahps[Facility ID] = clean[[#This Row],[Facility ID]]) * ([1]!hcahps[HCAHPS Measure ID] = "H_HSP_RATING_LINEAR_SCORE"), [1]!hcahps[HCAHPS Linear Mean Value]), "No Match")</f>
        <v>Not Available</v>
      </c>
      <c r="F1322" cm="1">
        <f t="array" ref="F1322">_xlfn.IFNA(_xlfn.XLOOKUP(1,([1]!readmissions[Facility ID] = clean[[#This Row],[Facility ID]]) * ([1]!readmissions[Measure ID] = "Hybrid_HWR"), [1]!readmissions[Score]), "No Match")</f>
        <v>15.6</v>
      </c>
    </row>
    <row r="1323" spans="1:6" x14ac:dyDescent="0.2">
      <c r="A1323">
        <f>[1]!hospitalinfo[[#This Row],[Facility ID]]</f>
        <v>161338</v>
      </c>
      <c r="B1323" t="str">
        <f>[1]!hospitalinfo[[#This Row],[State]]</f>
        <v>IA</v>
      </c>
      <c r="C1323" t="str">
        <f>[1]!hospitalinfo[[#This Row],[Hospital Type]]</f>
        <v>Critical Access Hospitals</v>
      </c>
      <c r="D1323" t="str">
        <f>[1]!hospitalinfo[[#This Row],[Hospital Ownership]]</f>
        <v>Voluntary non-profit - Private</v>
      </c>
      <c r="E1323" t="str" cm="1">
        <f t="array" ref="E1323">_xlfn.IFNA(_xlfn.XLOOKUP(1,([1]!hcahps[Facility ID] = clean[[#This Row],[Facility ID]]) * ([1]!hcahps[HCAHPS Measure ID] = "H_HSP_RATING_LINEAR_SCORE"), [1]!hcahps[HCAHPS Linear Mean Value]), "No Match")</f>
        <v>Not Available</v>
      </c>
      <c r="F1323" cm="1">
        <f t="array" ref="F1323">_xlfn.IFNA(_xlfn.XLOOKUP(1,([1]!readmissions[Facility ID] = clean[[#This Row],[Facility ID]]) * ([1]!readmissions[Measure ID] = "Hybrid_HWR"), [1]!readmissions[Score]), "No Match")</f>
        <v>14.7</v>
      </c>
    </row>
    <row r="1324" spans="1:6" x14ac:dyDescent="0.2">
      <c r="A1324">
        <f>[1]!hospitalinfo[[#This Row],[Facility ID]]</f>
        <v>161339</v>
      </c>
      <c r="B1324" t="str">
        <f>[1]!hospitalinfo[[#This Row],[State]]</f>
        <v>IA</v>
      </c>
      <c r="C1324" t="str">
        <f>[1]!hospitalinfo[[#This Row],[Hospital Type]]</f>
        <v>Critical Access Hospitals</v>
      </c>
      <c r="D1324" t="str">
        <f>[1]!hospitalinfo[[#This Row],[Hospital Ownership]]</f>
        <v>Government - Local</v>
      </c>
      <c r="E1324" cm="1">
        <f t="array" ref="E1324">_xlfn.IFNA(_xlfn.XLOOKUP(1,([1]!hcahps[Facility ID] = clean[[#This Row],[Facility ID]]) * ([1]!hcahps[HCAHPS Measure ID] = "H_HSP_RATING_LINEAR_SCORE"), [1]!hcahps[HCAHPS Linear Mean Value]), "No Match")</f>
        <v>93</v>
      </c>
      <c r="F1324" cm="1">
        <f t="array" ref="F1324">_xlfn.IFNA(_xlfn.XLOOKUP(1,([1]!readmissions[Facility ID] = clean[[#This Row],[Facility ID]]) * ([1]!readmissions[Measure ID] = "Hybrid_HWR"), [1]!readmissions[Score]), "No Match")</f>
        <v>14.2</v>
      </c>
    </row>
    <row r="1325" spans="1:6" x14ac:dyDescent="0.2">
      <c r="A1325">
        <f>[1]!hospitalinfo[[#This Row],[Facility ID]]</f>
        <v>161340</v>
      </c>
      <c r="B1325" t="str">
        <f>[1]!hospitalinfo[[#This Row],[State]]</f>
        <v>IA</v>
      </c>
      <c r="C1325" t="str">
        <f>[1]!hospitalinfo[[#This Row],[Hospital Type]]</f>
        <v>Critical Access Hospitals</v>
      </c>
      <c r="D1325" t="str">
        <f>[1]!hospitalinfo[[#This Row],[Hospital Ownership]]</f>
        <v>Government - Local</v>
      </c>
      <c r="E1325" t="str" cm="1">
        <f t="array" ref="E1325">_xlfn.IFNA(_xlfn.XLOOKUP(1,([1]!hcahps[Facility ID] = clean[[#This Row],[Facility ID]]) * ([1]!hcahps[HCAHPS Measure ID] = "H_HSP_RATING_LINEAR_SCORE"), [1]!hcahps[HCAHPS Linear Mean Value]), "No Match")</f>
        <v>Not Available</v>
      </c>
      <c r="F1325" cm="1">
        <f t="array" ref="F1325">_xlfn.IFNA(_xlfn.XLOOKUP(1,([1]!readmissions[Facility ID] = clean[[#This Row],[Facility ID]]) * ([1]!readmissions[Measure ID] = "Hybrid_HWR"), [1]!readmissions[Score]), "No Match")</f>
        <v>14.7</v>
      </c>
    </row>
    <row r="1326" spans="1:6" x14ac:dyDescent="0.2">
      <c r="A1326">
        <f>[1]!hospitalinfo[[#This Row],[Facility ID]]</f>
        <v>161341</v>
      </c>
      <c r="B1326" t="str">
        <f>[1]!hospitalinfo[[#This Row],[State]]</f>
        <v>IA</v>
      </c>
      <c r="C1326" t="str">
        <f>[1]!hospitalinfo[[#This Row],[Hospital Type]]</f>
        <v>Critical Access Hospitals</v>
      </c>
      <c r="D1326" t="str">
        <f>[1]!hospitalinfo[[#This Row],[Hospital Ownership]]</f>
        <v>Voluntary non-profit - Other</v>
      </c>
      <c r="E1326" t="str" cm="1">
        <f t="array" ref="E1326">_xlfn.IFNA(_xlfn.XLOOKUP(1,([1]!hcahps[Facility ID] = clean[[#This Row],[Facility ID]]) * ([1]!hcahps[HCAHPS Measure ID] = "H_HSP_RATING_LINEAR_SCORE"), [1]!hcahps[HCAHPS Linear Mean Value]), "No Match")</f>
        <v>Not Available</v>
      </c>
      <c r="F1326" cm="1">
        <f t="array" ref="F1326">_xlfn.IFNA(_xlfn.XLOOKUP(1,([1]!readmissions[Facility ID] = clean[[#This Row],[Facility ID]]) * ([1]!readmissions[Measure ID] = "Hybrid_HWR"), [1]!readmissions[Score]), "No Match")</f>
        <v>14.9</v>
      </c>
    </row>
    <row r="1327" spans="1:6" x14ac:dyDescent="0.2">
      <c r="A1327">
        <f>[1]!hospitalinfo[[#This Row],[Facility ID]]</f>
        <v>161342</v>
      </c>
      <c r="B1327" t="str">
        <f>[1]!hospitalinfo[[#This Row],[State]]</f>
        <v>IA</v>
      </c>
      <c r="C1327" t="str">
        <f>[1]!hospitalinfo[[#This Row],[Hospital Type]]</f>
        <v>Critical Access Hospitals</v>
      </c>
      <c r="D1327" t="str">
        <f>[1]!hospitalinfo[[#This Row],[Hospital Ownership]]</f>
        <v>Government - Local</v>
      </c>
      <c r="E1327" t="str" cm="1">
        <f t="array" ref="E1327">_xlfn.IFNA(_xlfn.XLOOKUP(1,([1]!hcahps[Facility ID] = clean[[#This Row],[Facility ID]]) * ([1]!hcahps[HCAHPS Measure ID] = "H_HSP_RATING_LINEAR_SCORE"), [1]!hcahps[HCAHPS Linear Mean Value]), "No Match")</f>
        <v>Not Available</v>
      </c>
      <c r="F1327" cm="1">
        <f t="array" ref="F1327">_xlfn.IFNA(_xlfn.XLOOKUP(1,([1]!readmissions[Facility ID] = clean[[#This Row],[Facility ID]]) * ([1]!readmissions[Measure ID] = "Hybrid_HWR"), [1]!readmissions[Score]), "No Match")</f>
        <v>14.6</v>
      </c>
    </row>
    <row r="1328" spans="1:6" x14ac:dyDescent="0.2">
      <c r="A1328">
        <f>[1]!hospitalinfo[[#This Row],[Facility ID]]</f>
        <v>161343</v>
      </c>
      <c r="B1328" t="str">
        <f>[1]!hospitalinfo[[#This Row],[State]]</f>
        <v>IA</v>
      </c>
      <c r="C1328" t="str">
        <f>[1]!hospitalinfo[[#This Row],[Hospital Type]]</f>
        <v>Critical Access Hospitals</v>
      </c>
      <c r="D1328" t="str">
        <f>[1]!hospitalinfo[[#This Row],[Hospital Ownership]]</f>
        <v>Government - Local</v>
      </c>
      <c r="E1328" cm="1">
        <f t="array" ref="E1328">_xlfn.IFNA(_xlfn.XLOOKUP(1,([1]!hcahps[Facility ID] = clean[[#This Row],[Facility ID]]) * ([1]!hcahps[HCAHPS Measure ID] = "H_HSP_RATING_LINEAR_SCORE"), [1]!hcahps[HCAHPS Linear Mean Value]), "No Match")</f>
        <v>93</v>
      </c>
      <c r="F1328" cm="1">
        <f t="array" ref="F1328">_xlfn.IFNA(_xlfn.XLOOKUP(1,([1]!readmissions[Facility ID] = clean[[#This Row],[Facility ID]]) * ([1]!readmissions[Measure ID] = "Hybrid_HWR"), [1]!readmissions[Score]), "No Match")</f>
        <v>14.3</v>
      </c>
    </row>
    <row r="1329" spans="1:6" x14ac:dyDescent="0.2">
      <c r="A1329">
        <f>[1]!hospitalinfo[[#This Row],[Facility ID]]</f>
        <v>161344</v>
      </c>
      <c r="B1329" t="str">
        <f>[1]!hospitalinfo[[#This Row],[State]]</f>
        <v>IA</v>
      </c>
      <c r="C1329" t="str">
        <f>[1]!hospitalinfo[[#This Row],[Hospital Type]]</f>
        <v>Critical Access Hospitals</v>
      </c>
      <c r="D1329" t="str">
        <f>[1]!hospitalinfo[[#This Row],[Hospital Ownership]]</f>
        <v>Government - Local</v>
      </c>
      <c r="E1329" t="str" cm="1">
        <f t="array" ref="E1329">_xlfn.IFNA(_xlfn.XLOOKUP(1,([1]!hcahps[Facility ID] = clean[[#This Row],[Facility ID]]) * ([1]!hcahps[HCAHPS Measure ID] = "H_HSP_RATING_LINEAR_SCORE"), [1]!hcahps[HCAHPS Linear Mean Value]), "No Match")</f>
        <v>Not Available</v>
      </c>
      <c r="F1329" cm="1">
        <f t="array" ref="F1329">_xlfn.IFNA(_xlfn.XLOOKUP(1,([1]!readmissions[Facility ID] = clean[[#This Row],[Facility ID]]) * ([1]!readmissions[Measure ID] = "Hybrid_HWR"), [1]!readmissions[Score]), "No Match")</f>
        <v>15.5</v>
      </c>
    </row>
    <row r="1330" spans="1:6" x14ac:dyDescent="0.2">
      <c r="A1330">
        <f>[1]!hospitalinfo[[#This Row],[Facility ID]]</f>
        <v>161345</v>
      </c>
      <c r="B1330" t="str">
        <f>[1]!hospitalinfo[[#This Row],[State]]</f>
        <v>IA</v>
      </c>
      <c r="C1330" t="str">
        <f>[1]!hospitalinfo[[#This Row],[Hospital Type]]</f>
        <v>Critical Access Hospitals</v>
      </c>
      <c r="D1330" t="str">
        <f>[1]!hospitalinfo[[#This Row],[Hospital Ownership]]</f>
        <v>Voluntary non-profit - Private</v>
      </c>
      <c r="E1330" t="str" cm="1">
        <f t="array" ref="E1330">_xlfn.IFNA(_xlfn.XLOOKUP(1,([1]!hcahps[Facility ID] = clean[[#This Row],[Facility ID]]) * ([1]!hcahps[HCAHPS Measure ID] = "H_HSP_RATING_LINEAR_SCORE"), [1]!hcahps[HCAHPS Linear Mean Value]), "No Match")</f>
        <v>Not Available</v>
      </c>
      <c r="F1330" cm="1">
        <f t="array" ref="F1330">_xlfn.IFNA(_xlfn.XLOOKUP(1,([1]!readmissions[Facility ID] = clean[[#This Row],[Facility ID]]) * ([1]!readmissions[Measure ID] = "Hybrid_HWR"), [1]!readmissions[Score]), "No Match")</f>
        <v>14.6</v>
      </c>
    </row>
    <row r="1331" spans="1:6" x14ac:dyDescent="0.2">
      <c r="A1331">
        <f>[1]!hospitalinfo[[#This Row],[Facility ID]]</f>
        <v>161346</v>
      </c>
      <c r="B1331" t="str">
        <f>[1]!hospitalinfo[[#This Row],[State]]</f>
        <v>IA</v>
      </c>
      <c r="C1331" t="str">
        <f>[1]!hospitalinfo[[#This Row],[Hospital Type]]</f>
        <v>Critical Access Hospitals</v>
      </c>
      <c r="D1331" t="str">
        <f>[1]!hospitalinfo[[#This Row],[Hospital Ownership]]</f>
        <v>Voluntary non-profit - Private</v>
      </c>
      <c r="E1331" cm="1">
        <f t="array" ref="E1331">_xlfn.IFNA(_xlfn.XLOOKUP(1,([1]!hcahps[Facility ID] = clean[[#This Row],[Facility ID]]) * ([1]!hcahps[HCAHPS Measure ID] = "H_HSP_RATING_LINEAR_SCORE"), [1]!hcahps[HCAHPS Linear Mean Value]), "No Match")</f>
        <v>93</v>
      </c>
      <c r="F1331" cm="1">
        <f t="array" ref="F1331">_xlfn.IFNA(_xlfn.XLOOKUP(1,([1]!readmissions[Facility ID] = clean[[#This Row],[Facility ID]]) * ([1]!readmissions[Measure ID] = "Hybrid_HWR"), [1]!readmissions[Score]), "No Match")</f>
        <v>14.8</v>
      </c>
    </row>
    <row r="1332" spans="1:6" x14ac:dyDescent="0.2">
      <c r="A1332">
        <f>[1]!hospitalinfo[[#This Row],[Facility ID]]</f>
        <v>161347</v>
      </c>
      <c r="B1332" t="str">
        <f>[1]!hospitalinfo[[#This Row],[State]]</f>
        <v>IA</v>
      </c>
      <c r="C1332" t="str">
        <f>[1]!hospitalinfo[[#This Row],[Hospital Type]]</f>
        <v>Critical Access Hospitals</v>
      </c>
      <c r="D1332" t="str">
        <f>[1]!hospitalinfo[[#This Row],[Hospital Ownership]]</f>
        <v>Government - Local</v>
      </c>
      <c r="E1332" t="str" cm="1">
        <f t="array" ref="E1332">_xlfn.IFNA(_xlfn.XLOOKUP(1,([1]!hcahps[Facility ID] = clean[[#This Row],[Facility ID]]) * ([1]!hcahps[HCAHPS Measure ID] = "H_HSP_RATING_LINEAR_SCORE"), [1]!hcahps[HCAHPS Linear Mean Value]), "No Match")</f>
        <v>Not Available</v>
      </c>
      <c r="F1332" cm="1">
        <f t="array" ref="F1332">_xlfn.IFNA(_xlfn.XLOOKUP(1,([1]!readmissions[Facility ID] = clean[[#This Row],[Facility ID]]) * ([1]!readmissions[Measure ID] = "Hybrid_HWR"), [1]!readmissions[Score]), "No Match")</f>
        <v>14.7</v>
      </c>
    </row>
    <row r="1333" spans="1:6" x14ac:dyDescent="0.2">
      <c r="A1333">
        <f>[1]!hospitalinfo[[#This Row],[Facility ID]]</f>
        <v>161348</v>
      </c>
      <c r="B1333" t="str">
        <f>[1]!hospitalinfo[[#This Row],[State]]</f>
        <v>IA</v>
      </c>
      <c r="C1333" t="str">
        <f>[1]!hospitalinfo[[#This Row],[Hospital Type]]</f>
        <v>Critical Access Hospitals</v>
      </c>
      <c r="D1333" t="str">
        <f>[1]!hospitalinfo[[#This Row],[Hospital Ownership]]</f>
        <v>Voluntary non-profit - Other</v>
      </c>
      <c r="E1333" t="str" cm="1">
        <f t="array" ref="E1333">_xlfn.IFNA(_xlfn.XLOOKUP(1,([1]!hcahps[Facility ID] = clean[[#This Row],[Facility ID]]) * ([1]!hcahps[HCAHPS Measure ID] = "H_HSP_RATING_LINEAR_SCORE"), [1]!hcahps[HCAHPS Linear Mean Value]), "No Match")</f>
        <v>Not Available</v>
      </c>
      <c r="F1333" cm="1">
        <f t="array" ref="F1333">_xlfn.IFNA(_xlfn.XLOOKUP(1,([1]!readmissions[Facility ID] = clean[[#This Row],[Facility ID]]) * ([1]!readmissions[Measure ID] = "Hybrid_HWR"), [1]!readmissions[Score]), "No Match")</f>
        <v>14.8</v>
      </c>
    </row>
    <row r="1334" spans="1:6" x14ac:dyDescent="0.2">
      <c r="A1334">
        <f>[1]!hospitalinfo[[#This Row],[Facility ID]]</f>
        <v>161349</v>
      </c>
      <c r="B1334" t="str">
        <f>[1]!hospitalinfo[[#This Row],[State]]</f>
        <v>IA</v>
      </c>
      <c r="C1334" t="str">
        <f>[1]!hospitalinfo[[#This Row],[Hospital Type]]</f>
        <v>Critical Access Hospitals</v>
      </c>
      <c r="D1334" t="str">
        <f>[1]!hospitalinfo[[#This Row],[Hospital Ownership]]</f>
        <v>Voluntary non-profit - Private</v>
      </c>
      <c r="E1334" t="str" cm="1">
        <f t="array" ref="E1334">_xlfn.IFNA(_xlfn.XLOOKUP(1,([1]!hcahps[Facility ID] = clean[[#This Row],[Facility ID]]) * ([1]!hcahps[HCAHPS Measure ID] = "H_HSP_RATING_LINEAR_SCORE"), [1]!hcahps[HCAHPS Linear Mean Value]), "No Match")</f>
        <v>Not Available</v>
      </c>
      <c r="F1334" cm="1">
        <f t="array" ref="F1334">_xlfn.IFNA(_xlfn.XLOOKUP(1,([1]!readmissions[Facility ID] = clean[[#This Row],[Facility ID]]) * ([1]!readmissions[Measure ID] = "Hybrid_HWR"), [1]!readmissions[Score]), "No Match")</f>
        <v>14.8</v>
      </c>
    </row>
    <row r="1335" spans="1:6" x14ac:dyDescent="0.2">
      <c r="A1335">
        <f>[1]!hospitalinfo[[#This Row],[Facility ID]]</f>
        <v>161350</v>
      </c>
      <c r="B1335" t="str">
        <f>[1]!hospitalinfo[[#This Row],[State]]</f>
        <v>IA</v>
      </c>
      <c r="C1335" t="str">
        <f>[1]!hospitalinfo[[#This Row],[Hospital Type]]</f>
        <v>Critical Access Hospitals</v>
      </c>
      <c r="D1335" t="str">
        <f>[1]!hospitalinfo[[#This Row],[Hospital Ownership]]</f>
        <v>Voluntary non-profit - Private</v>
      </c>
      <c r="E1335" t="str" cm="1">
        <f t="array" ref="E1335">_xlfn.IFNA(_xlfn.XLOOKUP(1,([1]!hcahps[Facility ID] = clean[[#This Row],[Facility ID]]) * ([1]!hcahps[HCAHPS Measure ID] = "H_HSP_RATING_LINEAR_SCORE"), [1]!hcahps[HCAHPS Linear Mean Value]), "No Match")</f>
        <v>Not Available</v>
      </c>
      <c r="F1335" cm="1">
        <f t="array" ref="F1335">_xlfn.IFNA(_xlfn.XLOOKUP(1,([1]!readmissions[Facility ID] = clean[[#This Row],[Facility ID]]) * ([1]!readmissions[Measure ID] = "Hybrid_HWR"), [1]!readmissions[Score]), "No Match")</f>
        <v>15</v>
      </c>
    </row>
    <row r="1336" spans="1:6" x14ac:dyDescent="0.2">
      <c r="A1336">
        <f>[1]!hospitalinfo[[#This Row],[Facility ID]]</f>
        <v>161351</v>
      </c>
      <c r="B1336" t="str">
        <f>[1]!hospitalinfo[[#This Row],[State]]</f>
        <v>IA</v>
      </c>
      <c r="C1336" t="str">
        <f>[1]!hospitalinfo[[#This Row],[Hospital Type]]</f>
        <v>Critical Access Hospitals</v>
      </c>
      <c r="D1336" t="str">
        <f>[1]!hospitalinfo[[#This Row],[Hospital Ownership]]</f>
        <v>Voluntary non-profit - Private</v>
      </c>
      <c r="E1336" t="str" cm="1">
        <f t="array" ref="E1336">_xlfn.IFNA(_xlfn.XLOOKUP(1,([1]!hcahps[Facility ID] = clean[[#This Row],[Facility ID]]) * ([1]!hcahps[HCAHPS Measure ID] = "H_HSP_RATING_LINEAR_SCORE"), [1]!hcahps[HCAHPS Linear Mean Value]), "No Match")</f>
        <v>Not Available</v>
      </c>
      <c r="F1336" cm="1">
        <f t="array" ref="F1336">_xlfn.IFNA(_xlfn.XLOOKUP(1,([1]!readmissions[Facility ID] = clean[[#This Row],[Facility ID]]) * ([1]!readmissions[Measure ID] = "Hybrid_HWR"), [1]!readmissions[Score]), "No Match")</f>
        <v>15.3</v>
      </c>
    </row>
    <row r="1337" spans="1:6" x14ac:dyDescent="0.2">
      <c r="A1337">
        <f>[1]!hospitalinfo[[#This Row],[Facility ID]]</f>
        <v>161352</v>
      </c>
      <c r="B1337" t="str">
        <f>[1]!hospitalinfo[[#This Row],[State]]</f>
        <v>IA</v>
      </c>
      <c r="C1337" t="str">
        <f>[1]!hospitalinfo[[#This Row],[Hospital Type]]</f>
        <v>Critical Access Hospitals</v>
      </c>
      <c r="D1337" t="str">
        <f>[1]!hospitalinfo[[#This Row],[Hospital Ownership]]</f>
        <v>Government - Local</v>
      </c>
      <c r="E1337" t="str" cm="1">
        <f t="array" ref="E1337">_xlfn.IFNA(_xlfn.XLOOKUP(1,([1]!hcahps[Facility ID] = clean[[#This Row],[Facility ID]]) * ([1]!hcahps[HCAHPS Measure ID] = "H_HSP_RATING_LINEAR_SCORE"), [1]!hcahps[HCAHPS Linear Mean Value]), "No Match")</f>
        <v>Not Available</v>
      </c>
      <c r="F1337" cm="1">
        <f t="array" ref="F1337">_xlfn.IFNA(_xlfn.XLOOKUP(1,([1]!readmissions[Facility ID] = clean[[#This Row],[Facility ID]]) * ([1]!readmissions[Measure ID] = "Hybrid_HWR"), [1]!readmissions[Score]), "No Match")</f>
        <v>14.5</v>
      </c>
    </row>
    <row r="1338" spans="1:6" x14ac:dyDescent="0.2">
      <c r="A1338">
        <f>[1]!hospitalinfo[[#This Row],[Facility ID]]</f>
        <v>161353</v>
      </c>
      <c r="B1338" t="str">
        <f>[1]!hospitalinfo[[#This Row],[State]]</f>
        <v>IA</v>
      </c>
      <c r="C1338" t="str">
        <f>[1]!hospitalinfo[[#This Row],[Hospital Type]]</f>
        <v>Critical Access Hospitals</v>
      </c>
      <c r="D1338" t="str">
        <f>[1]!hospitalinfo[[#This Row],[Hospital Ownership]]</f>
        <v>Government - Local</v>
      </c>
      <c r="E1338" t="str" cm="1">
        <f t="array" ref="E1338">_xlfn.IFNA(_xlfn.XLOOKUP(1,([1]!hcahps[Facility ID] = clean[[#This Row],[Facility ID]]) * ([1]!hcahps[HCAHPS Measure ID] = "H_HSP_RATING_LINEAR_SCORE"), [1]!hcahps[HCAHPS Linear Mean Value]), "No Match")</f>
        <v>Not Available</v>
      </c>
      <c r="F1338" cm="1">
        <f t="array" ref="F1338">_xlfn.IFNA(_xlfn.XLOOKUP(1,([1]!readmissions[Facility ID] = clean[[#This Row],[Facility ID]]) * ([1]!readmissions[Measure ID] = "Hybrid_HWR"), [1]!readmissions[Score]), "No Match")</f>
        <v>15.4</v>
      </c>
    </row>
    <row r="1339" spans="1:6" x14ac:dyDescent="0.2">
      <c r="A1339">
        <f>[1]!hospitalinfo[[#This Row],[Facility ID]]</f>
        <v>161354</v>
      </c>
      <c r="B1339" t="str">
        <f>[1]!hospitalinfo[[#This Row],[State]]</f>
        <v>IA</v>
      </c>
      <c r="C1339" t="str">
        <f>[1]!hospitalinfo[[#This Row],[Hospital Type]]</f>
        <v>Critical Access Hospitals</v>
      </c>
      <c r="D1339" t="str">
        <f>[1]!hospitalinfo[[#This Row],[Hospital Ownership]]</f>
        <v>Voluntary non-profit - Private</v>
      </c>
      <c r="E1339" t="str" cm="1">
        <f t="array" ref="E1339">_xlfn.IFNA(_xlfn.XLOOKUP(1,([1]!hcahps[Facility ID] = clean[[#This Row],[Facility ID]]) * ([1]!hcahps[HCAHPS Measure ID] = "H_HSP_RATING_LINEAR_SCORE"), [1]!hcahps[HCAHPS Linear Mean Value]), "No Match")</f>
        <v>Not Available</v>
      </c>
      <c r="F1339" cm="1">
        <f t="array" ref="F1339">_xlfn.IFNA(_xlfn.XLOOKUP(1,([1]!readmissions[Facility ID] = clean[[#This Row],[Facility ID]]) * ([1]!readmissions[Measure ID] = "Hybrid_HWR"), [1]!readmissions[Score]), "No Match")</f>
        <v>14.9</v>
      </c>
    </row>
    <row r="1340" spans="1:6" x14ac:dyDescent="0.2">
      <c r="A1340">
        <f>[1]!hospitalinfo[[#This Row],[Facility ID]]</f>
        <v>161355</v>
      </c>
      <c r="B1340" t="str">
        <f>[1]!hospitalinfo[[#This Row],[State]]</f>
        <v>IA</v>
      </c>
      <c r="C1340" t="str">
        <f>[1]!hospitalinfo[[#This Row],[Hospital Type]]</f>
        <v>Critical Access Hospitals</v>
      </c>
      <c r="D1340" t="str">
        <f>[1]!hospitalinfo[[#This Row],[Hospital Ownership]]</f>
        <v>Voluntary non-profit - Private</v>
      </c>
      <c r="E1340" t="str" cm="1">
        <f t="array" ref="E1340">_xlfn.IFNA(_xlfn.XLOOKUP(1,([1]!hcahps[Facility ID] = clean[[#This Row],[Facility ID]]) * ([1]!hcahps[HCAHPS Measure ID] = "H_HSP_RATING_LINEAR_SCORE"), [1]!hcahps[HCAHPS Linear Mean Value]), "No Match")</f>
        <v>Not Available</v>
      </c>
      <c r="F1340" cm="1">
        <f t="array" ref="F1340">_xlfn.IFNA(_xlfn.XLOOKUP(1,([1]!readmissions[Facility ID] = clean[[#This Row],[Facility ID]]) * ([1]!readmissions[Measure ID] = "Hybrid_HWR"), [1]!readmissions[Score]), "No Match")</f>
        <v>14.6</v>
      </c>
    </row>
    <row r="1341" spans="1:6" x14ac:dyDescent="0.2">
      <c r="A1341">
        <f>[1]!hospitalinfo[[#This Row],[Facility ID]]</f>
        <v>161356</v>
      </c>
      <c r="B1341" t="str">
        <f>[1]!hospitalinfo[[#This Row],[State]]</f>
        <v>IA</v>
      </c>
      <c r="C1341" t="str">
        <f>[1]!hospitalinfo[[#This Row],[Hospital Type]]</f>
        <v>Critical Access Hospitals</v>
      </c>
      <c r="D1341" t="str">
        <f>[1]!hospitalinfo[[#This Row],[Hospital Ownership]]</f>
        <v>Physician</v>
      </c>
      <c r="E1341" t="str" cm="1">
        <f t="array" ref="E1341">_xlfn.IFNA(_xlfn.XLOOKUP(1,([1]!hcahps[Facility ID] = clean[[#This Row],[Facility ID]]) * ([1]!hcahps[HCAHPS Measure ID] = "H_HSP_RATING_LINEAR_SCORE"), [1]!hcahps[HCAHPS Linear Mean Value]), "No Match")</f>
        <v>Not Available</v>
      </c>
      <c r="F1341" cm="1">
        <f t="array" ref="F1341">_xlfn.IFNA(_xlfn.XLOOKUP(1,([1]!readmissions[Facility ID] = clean[[#This Row],[Facility ID]]) * ([1]!readmissions[Measure ID] = "Hybrid_HWR"), [1]!readmissions[Score]), "No Match")</f>
        <v>14.7</v>
      </c>
    </row>
    <row r="1342" spans="1:6" x14ac:dyDescent="0.2">
      <c r="A1342">
        <f>[1]!hospitalinfo[[#This Row],[Facility ID]]</f>
        <v>161357</v>
      </c>
      <c r="B1342" t="str">
        <f>[1]!hospitalinfo[[#This Row],[State]]</f>
        <v>IA</v>
      </c>
      <c r="C1342" t="str">
        <f>[1]!hospitalinfo[[#This Row],[Hospital Type]]</f>
        <v>Critical Access Hospitals</v>
      </c>
      <c r="D1342" t="str">
        <f>[1]!hospitalinfo[[#This Row],[Hospital Ownership]]</f>
        <v>Government - Local</v>
      </c>
      <c r="E1342" t="str" cm="1">
        <f t="array" ref="E1342">_xlfn.IFNA(_xlfn.XLOOKUP(1,([1]!hcahps[Facility ID] = clean[[#This Row],[Facility ID]]) * ([1]!hcahps[HCAHPS Measure ID] = "H_HSP_RATING_LINEAR_SCORE"), [1]!hcahps[HCAHPS Linear Mean Value]), "No Match")</f>
        <v>Not Available</v>
      </c>
      <c r="F1342" cm="1">
        <f t="array" ref="F1342">_xlfn.IFNA(_xlfn.XLOOKUP(1,([1]!readmissions[Facility ID] = clean[[#This Row],[Facility ID]]) * ([1]!readmissions[Measure ID] = "Hybrid_HWR"), [1]!readmissions[Score]), "No Match")</f>
        <v>14.8</v>
      </c>
    </row>
    <row r="1343" spans="1:6" x14ac:dyDescent="0.2">
      <c r="A1343">
        <f>[1]!hospitalinfo[[#This Row],[Facility ID]]</f>
        <v>161358</v>
      </c>
      <c r="B1343" t="str">
        <f>[1]!hospitalinfo[[#This Row],[State]]</f>
        <v>IA</v>
      </c>
      <c r="C1343" t="str">
        <f>[1]!hospitalinfo[[#This Row],[Hospital Type]]</f>
        <v>Critical Access Hospitals</v>
      </c>
      <c r="D1343" t="str">
        <f>[1]!hospitalinfo[[#This Row],[Hospital Ownership]]</f>
        <v>Government - Local</v>
      </c>
      <c r="E1343" t="str" cm="1">
        <f t="array" ref="E1343">_xlfn.IFNA(_xlfn.XLOOKUP(1,([1]!hcahps[Facility ID] = clean[[#This Row],[Facility ID]]) * ([1]!hcahps[HCAHPS Measure ID] = "H_HSP_RATING_LINEAR_SCORE"), [1]!hcahps[HCAHPS Linear Mean Value]), "No Match")</f>
        <v>Not Available</v>
      </c>
      <c r="F1343" cm="1">
        <f t="array" ref="F1343">_xlfn.IFNA(_xlfn.XLOOKUP(1,([1]!readmissions[Facility ID] = clean[[#This Row],[Facility ID]]) * ([1]!readmissions[Measure ID] = "Hybrid_HWR"), [1]!readmissions[Score]), "No Match")</f>
        <v>15.2</v>
      </c>
    </row>
    <row r="1344" spans="1:6" x14ac:dyDescent="0.2">
      <c r="A1344">
        <f>[1]!hospitalinfo[[#This Row],[Facility ID]]</f>
        <v>161359</v>
      </c>
      <c r="B1344" t="str">
        <f>[1]!hospitalinfo[[#This Row],[State]]</f>
        <v>IA</v>
      </c>
      <c r="C1344" t="str">
        <f>[1]!hospitalinfo[[#This Row],[Hospital Type]]</f>
        <v>Critical Access Hospitals</v>
      </c>
      <c r="D1344" t="str">
        <f>[1]!hospitalinfo[[#This Row],[Hospital Ownership]]</f>
        <v>Voluntary non-profit - Private</v>
      </c>
      <c r="E1344" cm="1">
        <f t="array" ref="E1344">_xlfn.IFNA(_xlfn.XLOOKUP(1,([1]!hcahps[Facility ID] = clean[[#This Row],[Facility ID]]) * ([1]!hcahps[HCAHPS Measure ID] = "H_HSP_RATING_LINEAR_SCORE"), [1]!hcahps[HCAHPS Linear Mean Value]), "No Match")</f>
        <v>93</v>
      </c>
      <c r="F1344" cm="1">
        <f t="array" ref="F1344">_xlfn.IFNA(_xlfn.XLOOKUP(1,([1]!readmissions[Facility ID] = clean[[#This Row],[Facility ID]]) * ([1]!readmissions[Measure ID] = "Hybrid_HWR"), [1]!readmissions[Score]), "No Match")</f>
        <v>14.5</v>
      </c>
    </row>
    <row r="1345" spans="1:6" x14ac:dyDescent="0.2">
      <c r="A1345">
        <f>[1]!hospitalinfo[[#This Row],[Facility ID]]</f>
        <v>161360</v>
      </c>
      <c r="B1345" t="str">
        <f>[1]!hospitalinfo[[#This Row],[State]]</f>
        <v>IA</v>
      </c>
      <c r="C1345" t="str">
        <f>[1]!hospitalinfo[[#This Row],[Hospital Type]]</f>
        <v>Critical Access Hospitals</v>
      </c>
      <c r="D1345" t="str">
        <f>[1]!hospitalinfo[[#This Row],[Hospital Ownership]]</f>
        <v>Voluntary non-profit - Other</v>
      </c>
      <c r="E1345" cm="1">
        <f t="array" ref="E1345">_xlfn.IFNA(_xlfn.XLOOKUP(1,([1]!hcahps[Facility ID] = clean[[#This Row],[Facility ID]]) * ([1]!hcahps[HCAHPS Measure ID] = "H_HSP_RATING_LINEAR_SCORE"), [1]!hcahps[HCAHPS Linear Mean Value]), "No Match")</f>
        <v>94</v>
      </c>
      <c r="F1345" cm="1">
        <f t="array" ref="F1345">_xlfn.IFNA(_xlfn.XLOOKUP(1,([1]!readmissions[Facility ID] = clean[[#This Row],[Facility ID]]) * ([1]!readmissions[Measure ID] = "Hybrid_HWR"), [1]!readmissions[Score]), "No Match")</f>
        <v>15.1</v>
      </c>
    </row>
    <row r="1346" spans="1:6" x14ac:dyDescent="0.2">
      <c r="A1346">
        <f>[1]!hospitalinfo[[#This Row],[Facility ID]]</f>
        <v>161361</v>
      </c>
      <c r="B1346" t="str">
        <f>[1]!hospitalinfo[[#This Row],[State]]</f>
        <v>IA</v>
      </c>
      <c r="C1346" t="str">
        <f>[1]!hospitalinfo[[#This Row],[Hospital Type]]</f>
        <v>Critical Access Hospitals</v>
      </c>
      <c r="D1346" t="str">
        <f>[1]!hospitalinfo[[#This Row],[Hospital Ownership]]</f>
        <v>Voluntary non-profit - Other</v>
      </c>
      <c r="E1346" cm="1">
        <f t="array" ref="E1346">_xlfn.IFNA(_xlfn.XLOOKUP(1,([1]!hcahps[Facility ID] = clean[[#This Row],[Facility ID]]) * ([1]!hcahps[HCAHPS Measure ID] = "H_HSP_RATING_LINEAR_SCORE"), [1]!hcahps[HCAHPS Linear Mean Value]), "No Match")</f>
        <v>95</v>
      </c>
      <c r="F1346" cm="1">
        <f t="array" ref="F1346">_xlfn.IFNA(_xlfn.XLOOKUP(1,([1]!readmissions[Facility ID] = clean[[#This Row],[Facility ID]]) * ([1]!readmissions[Measure ID] = "Hybrid_HWR"), [1]!readmissions[Score]), "No Match")</f>
        <v>14.4</v>
      </c>
    </row>
    <row r="1347" spans="1:6" x14ac:dyDescent="0.2">
      <c r="A1347">
        <f>[1]!hospitalinfo[[#This Row],[Facility ID]]</f>
        <v>161362</v>
      </c>
      <c r="B1347" t="str">
        <f>[1]!hospitalinfo[[#This Row],[State]]</f>
        <v>IA</v>
      </c>
      <c r="C1347" t="str">
        <f>[1]!hospitalinfo[[#This Row],[Hospital Type]]</f>
        <v>Critical Access Hospitals</v>
      </c>
      <c r="D1347" t="str">
        <f>[1]!hospitalinfo[[#This Row],[Hospital Ownership]]</f>
        <v>Voluntary non-profit - Private</v>
      </c>
      <c r="E1347" t="str" cm="1">
        <f t="array" ref="E1347">_xlfn.IFNA(_xlfn.XLOOKUP(1,([1]!hcahps[Facility ID] = clean[[#This Row],[Facility ID]]) * ([1]!hcahps[HCAHPS Measure ID] = "H_HSP_RATING_LINEAR_SCORE"), [1]!hcahps[HCAHPS Linear Mean Value]), "No Match")</f>
        <v>Not Available</v>
      </c>
      <c r="F1347" cm="1">
        <f t="array" ref="F1347">_xlfn.IFNA(_xlfn.XLOOKUP(1,([1]!readmissions[Facility ID] = clean[[#This Row],[Facility ID]]) * ([1]!readmissions[Measure ID] = "Hybrid_HWR"), [1]!readmissions[Score]), "No Match")</f>
        <v>14.8</v>
      </c>
    </row>
    <row r="1348" spans="1:6" x14ac:dyDescent="0.2">
      <c r="A1348">
        <f>[1]!hospitalinfo[[#This Row],[Facility ID]]</f>
        <v>161363</v>
      </c>
      <c r="B1348" t="str">
        <f>[1]!hospitalinfo[[#This Row],[State]]</f>
        <v>IA</v>
      </c>
      <c r="C1348" t="str">
        <f>[1]!hospitalinfo[[#This Row],[Hospital Type]]</f>
        <v>Critical Access Hospitals</v>
      </c>
      <c r="D1348" t="str">
        <f>[1]!hospitalinfo[[#This Row],[Hospital Ownership]]</f>
        <v>Government - Local</v>
      </c>
      <c r="E1348" t="str" cm="1">
        <f t="array" ref="E1348">_xlfn.IFNA(_xlfn.XLOOKUP(1,([1]!hcahps[Facility ID] = clean[[#This Row],[Facility ID]]) * ([1]!hcahps[HCAHPS Measure ID] = "H_HSP_RATING_LINEAR_SCORE"), [1]!hcahps[HCAHPS Linear Mean Value]), "No Match")</f>
        <v>Not Available</v>
      </c>
      <c r="F1348" cm="1">
        <f t="array" ref="F1348">_xlfn.IFNA(_xlfn.XLOOKUP(1,([1]!readmissions[Facility ID] = clean[[#This Row],[Facility ID]]) * ([1]!readmissions[Measure ID] = "Hybrid_HWR"), [1]!readmissions[Score]), "No Match")</f>
        <v>15.2</v>
      </c>
    </row>
    <row r="1349" spans="1:6" x14ac:dyDescent="0.2">
      <c r="A1349">
        <f>[1]!hospitalinfo[[#This Row],[Facility ID]]</f>
        <v>161364</v>
      </c>
      <c r="B1349" t="str">
        <f>[1]!hospitalinfo[[#This Row],[State]]</f>
        <v>IA</v>
      </c>
      <c r="C1349" t="str">
        <f>[1]!hospitalinfo[[#This Row],[Hospital Type]]</f>
        <v>Critical Access Hospitals</v>
      </c>
      <c r="D1349" t="str">
        <f>[1]!hospitalinfo[[#This Row],[Hospital Ownership]]</f>
        <v>Government - Local</v>
      </c>
      <c r="E1349" cm="1">
        <f t="array" ref="E1349">_xlfn.IFNA(_xlfn.XLOOKUP(1,([1]!hcahps[Facility ID] = clean[[#This Row],[Facility ID]]) * ([1]!hcahps[HCAHPS Measure ID] = "H_HSP_RATING_LINEAR_SCORE"), [1]!hcahps[HCAHPS Linear Mean Value]), "No Match")</f>
        <v>92</v>
      </c>
      <c r="F1349" cm="1">
        <f t="array" ref="F1349">_xlfn.IFNA(_xlfn.XLOOKUP(1,([1]!readmissions[Facility ID] = clean[[#This Row],[Facility ID]]) * ([1]!readmissions[Measure ID] = "Hybrid_HWR"), [1]!readmissions[Score]), "No Match")</f>
        <v>15</v>
      </c>
    </row>
    <row r="1350" spans="1:6" x14ac:dyDescent="0.2">
      <c r="A1350">
        <f>[1]!hospitalinfo[[#This Row],[Facility ID]]</f>
        <v>161365</v>
      </c>
      <c r="B1350" t="str">
        <f>[1]!hospitalinfo[[#This Row],[State]]</f>
        <v>IA</v>
      </c>
      <c r="C1350" t="str">
        <f>[1]!hospitalinfo[[#This Row],[Hospital Type]]</f>
        <v>Critical Access Hospitals</v>
      </c>
      <c r="D1350" t="str">
        <f>[1]!hospitalinfo[[#This Row],[Hospital Ownership]]</f>
        <v>Government - Local</v>
      </c>
      <c r="E1350" cm="1">
        <f t="array" ref="E1350">_xlfn.IFNA(_xlfn.XLOOKUP(1,([1]!hcahps[Facility ID] = clean[[#This Row],[Facility ID]]) * ([1]!hcahps[HCAHPS Measure ID] = "H_HSP_RATING_LINEAR_SCORE"), [1]!hcahps[HCAHPS Linear Mean Value]), "No Match")</f>
        <v>91</v>
      </c>
      <c r="F1350" cm="1">
        <f t="array" ref="F1350">_xlfn.IFNA(_xlfn.XLOOKUP(1,([1]!readmissions[Facility ID] = clean[[#This Row],[Facility ID]]) * ([1]!readmissions[Measure ID] = "Hybrid_HWR"), [1]!readmissions[Score]), "No Match")</f>
        <v>14.5</v>
      </c>
    </row>
    <row r="1351" spans="1:6" x14ac:dyDescent="0.2">
      <c r="A1351">
        <f>[1]!hospitalinfo[[#This Row],[Facility ID]]</f>
        <v>161366</v>
      </c>
      <c r="B1351" t="str">
        <f>[1]!hospitalinfo[[#This Row],[State]]</f>
        <v>IA</v>
      </c>
      <c r="C1351" t="str">
        <f>[1]!hospitalinfo[[#This Row],[Hospital Type]]</f>
        <v>Critical Access Hospitals</v>
      </c>
      <c r="D1351" t="str">
        <f>[1]!hospitalinfo[[#This Row],[Hospital Ownership]]</f>
        <v>Voluntary non-profit - Private</v>
      </c>
      <c r="E1351" t="str" cm="1">
        <f t="array" ref="E1351">_xlfn.IFNA(_xlfn.XLOOKUP(1,([1]!hcahps[Facility ID] = clean[[#This Row],[Facility ID]]) * ([1]!hcahps[HCAHPS Measure ID] = "H_HSP_RATING_LINEAR_SCORE"), [1]!hcahps[HCAHPS Linear Mean Value]), "No Match")</f>
        <v>Not Available</v>
      </c>
      <c r="F1351" cm="1">
        <f t="array" ref="F1351">_xlfn.IFNA(_xlfn.XLOOKUP(1,([1]!readmissions[Facility ID] = clean[[#This Row],[Facility ID]]) * ([1]!readmissions[Measure ID] = "Hybrid_HWR"), [1]!readmissions[Score]), "No Match")</f>
        <v>15.5</v>
      </c>
    </row>
    <row r="1352" spans="1:6" x14ac:dyDescent="0.2">
      <c r="A1352">
        <f>[1]!hospitalinfo[[#This Row],[Facility ID]]</f>
        <v>161367</v>
      </c>
      <c r="B1352" t="str">
        <f>[1]!hospitalinfo[[#This Row],[State]]</f>
        <v>IA</v>
      </c>
      <c r="C1352" t="str">
        <f>[1]!hospitalinfo[[#This Row],[Hospital Type]]</f>
        <v>Critical Access Hospitals</v>
      </c>
      <c r="D1352" t="str">
        <f>[1]!hospitalinfo[[#This Row],[Hospital Ownership]]</f>
        <v>Voluntary non-profit - Private</v>
      </c>
      <c r="E1352" cm="1">
        <f t="array" ref="E1352">_xlfn.IFNA(_xlfn.XLOOKUP(1,([1]!hcahps[Facility ID] = clean[[#This Row],[Facility ID]]) * ([1]!hcahps[HCAHPS Measure ID] = "H_HSP_RATING_LINEAR_SCORE"), [1]!hcahps[HCAHPS Linear Mean Value]), "No Match")</f>
        <v>91</v>
      </c>
      <c r="F1352" cm="1">
        <f t="array" ref="F1352">_xlfn.IFNA(_xlfn.XLOOKUP(1,([1]!readmissions[Facility ID] = clean[[#This Row],[Facility ID]]) * ([1]!readmissions[Measure ID] = "Hybrid_HWR"), [1]!readmissions[Score]), "No Match")</f>
        <v>14.2</v>
      </c>
    </row>
    <row r="1353" spans="1:6" x14ac:dyDescent="0.2">
      <c r="A1353">
        <f>[1]!hospitalinfo[[#This Row],[Facility ID]]</f>
        <v>161368</v>
      </c>
      <c r="B1353" t="str">
        <f>[1]!hospitalinfo[[#This Row],[State]]</f>
        <v>IA</v>
      </c>
      <c r="C1353" t="str">
        <f>[1]!hospitalinfo[[#This Row],[Hospital Type]]</f>
        <v>Critical Access Hospitals</v>
      </c>
      <c r="D1353" t="str">
        <f>[1]!hospitalinfo[[#This Row],[Hospital Ownership]]</f>
        <v>Government - Local</v>
      </c>
      <c r="E1353" cm="1">
        <f t="array" ref="E1353">_xlfn.IFNA(_xlfn.XLOOKUP(1,([1]!hcahps[Facility ID] = clean[[#This Row],[Facility ID]]) * ([1]!hcahps[HCAHPS Measure ID] = "H_HSP_RATING_LINEAR_SCORE"), [1]!hcahps[HCAHPS Linear Mean Value]), "No Match")</f>
        <v>91</v>
      </c>
      <c r="F1353" cm="1">
        <f t="array" ref="F1353">_xlfn.IFNA(_xlfn.XLOOKUP(1,([1]!readmissions[Facility ID] = clean[[#This Row],[Facility ID]]) * ([1]!readmissions[Measure ID] = "Hybrid_HWR"), [1]!readmissions[Score]), "No Match")</f>
        <v>15</v>
      </c>
    </row>
    <row r="1354" spans="1:6" x14ac:dyDescent="0.2">
      <c r="A1354">
        <f>[1]!hospitalinfo[[#This Row],[Facility ID]]</f>
        <v>161369</v>
      </c>
      <c r="B1354" t="str">
        <f>[1]!hospitalinfo[[#This Row],[State]]</f>
        <v>IA</v>
      </c>
      <c r="C1354" t="str">
        <f>[1]!hospitalinfo[[#This Row],[Hospital Type]]</f>
        <v>Critical Access Hospitals</v>
      </c>
      <c r="D1354" t="str">
        <f>[1]!hospitalinfo[[#This Row],[Hospital Ownership]]</f>
        <v>Government - Local</v>
      </c>
      <c r="E1354" t="str" cm="1">
        <f t="array" ref="E1354">_xlfn.IFNA(_xlfn.XLOOKUP(1,([1]!hcahps[Facility ID] = clean[[#This Row],[Facility ID]]) * ([1]!hcahps[HCAHPS Measure ID] = "H_HSP_RATING_LINEAR_SCORE"), [1]!hcahps[HCAHPS Linear Mean Value]), "No Match")</f>
        <v>Not Available</v>
      </c>
      <c r="F1354" cm="1">
        <f t="array" ref="F1354">_xlfn.IFNA(_xlfn.XLOOKUP(1,([1]!readmissions[Facility ID] = clean[[#This Row],[Facility ID]]) * ([1]!readmissions[Measure ID] = "Hybrid_HWR"), [1]!readmissions[Score]), "No Match")</f>
        <v>15.2</v>
      </c>
    </row>
    <row r="1355" spans="1:6" x14ac:dyDescent="0.2">
      <c r="A1355">
        <f>[1]!hospitalinfo[[#This Row],[Facility ID]]</f>
        <v>161370</v>
      </c>
      <c r="B1355" t="str">
        <f>[1]!hospitalinfo[[#This Row],[State]]</f>
        <v>IA</v>
      </c>
      <c r="C1355" t="str">
        <f>[1]!hospitalinfo[[#This Row],[Hospital Type]]</f>
        <v>Critical Access Hospitals</v>
      </c>
      <c r="D1355" t="str">
        <f>[1]!hospitalinfo[[#This Row],[Hospital Ownership]]</f>
        <v>Voluntary non-profit - Private</v>
      </c>
      <c r="E1355" t="str" cm="1">
        <f t="array" ref="E1355">_xlfn.IFNA(_xlfn.XLOOKUP(1,([1]!hcahps[Facility ID] = clean[[#This Row],[Facility ID]]) * ([1]!hcahps[HCAHPS Measure ID] = "H_HSP_RATING_LINEAR_SCORE"), [1]!hcahps[HCAHPS Linear Mean Value]), "No Match")</f>
        <v>Not Available</v>
      </c>
      <c r="F1355" cm="1">
        <f t="array" ref="F1355">_xlfn.IFNA(_xlfn.XLOOKUP(1,([1]!readmissions[Facility ID] = clean[[#This Row],[Facility ID]]) * ([1]!readmissions[Measure ID] = "Hybrid_HWR"), [1]!readmissions[Score]), "No Match")</f>
        <v>14.6</v>
      </c>
    </row>
    <row r="1356" spans="1:6" x14ac:dyDescent="0.2">
      <c r="A1356">
        <f>[1]!hospitalinfo[[#This Row],[Facility ID]]</f>
        <v>161371</v>
      </c>
      <c r="B1356" t="str">
        <f>[1]!hospitalinfo[[#This Row],[State]]</f>
        <v>IA</v>
      </c>
      <c r="C1356" t="str">
        <f>[1]!hospitalinfo[[#This Row],[Hospital Type]]</f>
        <v>Critical Access Hospitals</v>
      </c>
      <c r="D1356" t="str">
        <f>[1]!hospitalinfo[[#This Row],[Hospital Ownership]]</f>
        <v>Government - Local</v>
      </c>
      <c r="E1356" cm="1">
        <f t="array" ref="E1356">_xlfn.IFNA(_xlfn.XLOOKUP(1,([1]!hcahps[Facility ID] = clean[[#This Row],[Facility ID]]) * ([1]!hcahps[HCAHPS Measure ID] = "H_HSP_RATING_LINEAR_SCORE"), [1]!hcahps[HCAHPS Linear Mean Value]), "No Match")</f>
        <v>91</v>
      </c>
      <c r="F1356" cm="1">
        <f t="array" ref="F1356">_xlfn.IFNA(_xlfn.XLOOKUP(1,([1]!readmissions[Facility ID] = clean[[#This Row],[Facility ID]]) * ([1]!readmissions[Measure ID] = "Hybrid_HWR"), [1]!readmissions[Score]), "No Match")</f>
        <v>14.5</v>
      </c>
    </row>
    <row r="1357" spans="1:6" x14ac:dyDescent="0.2">
      <c r="A1357">
        <f>[1]!hospitalinfo[[#This Row],[Facility ID]]</f>
        <v>161372</v>
      </c>
      <c r="B1357" t="str">
        <f>[1]!hospitalinfo[[#This Row],[State]]</f>
        <v>IA</v>
      </c>
      <c r="C1357" t="str">
        <f>[1]!hospitalinfo[[#This Row],[Hospital Type]]</f>
        <v>Critical Access Hospitals</v>
      </c>
      <c r="D1357" t="str">
        <f>[1]!hospitalinfo[[#This Row],[Hospital Ownership]]</f>
        <v>Voluntary non-profit - Other</v>
      </c>
      <c r="E1357" t="str" cm="1">
        <f t="array" ref="E1357">_xlfn.IFNA(_xlfn.XLOOKUP(1,([1]!hcahps[Facility ID] = clean[[#This Row],[Facility ID]]) * ([1]!hcahps[HCAHPS Measure ID] = "H_HSP_RATING_LINEAR_SCORE"), [1]!hcahps[HCAHPS Linear Mean Value]), "No Match")</f>
        <v>Not Available</v>
      </c>
      <c r="F1357" cm="1">
        <f t="array" ref="F1357">_xlfn.IFNA(_xlfn.XLOOKUP(1,([1]!readmissions[Facility ID] = clean[[#This Row],[Facility ID]]) * ([1]!readmissions[Measure ID] = "Hybrid_HWR"), [1]!readmissions[Score]), "No Match")</f>
        <v>14.9</v>
      </c>
    </row>
    <row r="1358" spans="1:6" x14ac:dyDescent="0.2">
      <c r="A1358">
        <f>[1]!hospitalinfo[[#This Row],[Facility ID]]</f>
        <v>161373</v>
      </c>
      <c r="B1358" t="str">
        <f>[1]!hospitalinfo[[#This Row],[State]]</f>
        <v>IA</v>
      </c>
      <c r="C1358" t="str">
        <f>[1]!hospitalinfo[[#This Row],[Hospital Type]]</f>
        <v>Critical Access Hospitals</v>
      </c>
      <c r="D1358" t="str">
        <f>[1]!hospitalinfo[[#This Row],[Hospital Ownership]]</f>
        <v>Government - State</v>
      </c>
      <c r="E1358" t="str" cm="1">
        <f t="array" ref="E1358">_xlfn.IFNA(_xlfn.XLOOKUP(1,([1]!hcahps[Facility ID] = clean[[#This Row],[Facility ID]]) * ([1]!hcahps[HCAHPS Measure ID] = "H_HSP_RATING_LINEAR_SCORE"), [1]!hcahps[HCAHPS Linear Mean Value]), "No Match")</f>
        <v>Not Available</v>
      </c>
      <c r="F1358" cm="1">
        <f t="array" ref="F1358">_xlfn.IFNA(_xlfn.XLOOKUP(1,([1]!readmissions[Facility ID] = clean[[#This Row],[Facility ID]]) * ([1]!readmissions[Measure ID] = "Hybrid_HWR"), [1]!readmissions[Score]), "No Match")</f>
        <v>14.7</v>
      </c>
    </row>
    <row r="1359" spans="1:6" x14ac:dyDescent="0.2">
      <c r="A1359">
        <f>[1]!hospitalinfo[[#This Row],[Facility ID]]</f>
        <v>161374</v>
      </c>
      <c r="B1359" t="str">
        <f>[1]!hospitalinfo[[#This Row],[State]]</f>
        <v>IA</v>
      </c>
      <c r="C1359" t="str">
        <f>[1]!hospitalinfo[[#This Row],[Hospital Type]]</f>
        <v>Critical Access Hospitals</v>
      </c>
      <c r="D1359" t="str">
        <f>[1]!hospitalinfo[[#This Row],[Hospital Ownership]]</f>
        <v>Voluntary non-profit - Other</v>
      </c>
      <c r="E1359" cm="1">
        <f t="array" ref="E1359">_xlfn.IFNA(_xlfn.XLOOKUP(1,([1]!hcahps[Facility ID] = clean[[#This Row],[Facility ID]]) * ([1]!hcahps[HCAHPS Measure ID] = "H_HSP_RATING_LINEAR_SCORE"), [1]!hcahps[HCAHPS Linear Mean Value]), "No Match")</f>
        <v>92</v>
      </c>
      <c r="F1359" cm="1">
        <f t="array" ref="F1359">_xlfn.IFNA(_xlfn.XLOOKUP(1,([1]!readmissions[Facility ID] = clean[[#This Row],[Facility ID]]) * ([1]!readmissions[Measure ID] = "Hybrid_HWR"), [1]!readmissions[Score]), "No Match")</f>
        <v>14.6</v>
      </c>
    </row>
    <row r="1360" spans="1:6" x14ac:dyDescent="0.2">
      <c r="A1360">
        <f>[1]!hospitalinfo[[#This Row],[Facility ID]]</f>
        <v>161375</v>
      </c>
      <c r="B1360" t="str">
        <f>[1]!hospitalinfo[[#This Row],[State]]</f>
        <v>IA</v>
      </c>
      <c r="C1360" t="str">
        <f>[1]!hospitalinfo[[#This Row],[Hospital Type]]</f>
        <v>Critical Access Hospitals</v>
      </c>
      <c r="D1360" t="str">
        <f>[1]!hospitalinfo[[#This Row],[Hospital Ownership]]</f>
        <v>Government - Local</v>
      </c>
      <c r="E1360" cm="1">
        <f t="array" ref="E1360">_xlfn.IFNA(_xlfn.XLOOKUP(1,([1]!hcahps[Facility ID] = clean[[#This Row],[Facility ID]]) * ([1]!hcahps[HCAHPS Measure ID] = "H_HSP_RATING_LINEAR_SCORE"), [1]!hcahps[HCAHPS Linear Mean Value]), "No Match")</f>
        <v>92</v>
      </c>
      <c r="F1360" cm="1">
        <f t="array" ref="F1360">_xlfn.IFNA(_xlfn.XLOOKUP(1,([1]!readmissions[Facility ID] = clean[[#This Row],[Facility ID]]) * ([1]!readmissions[Measure ID] = "Hybrid_HWR"), [1]!readmissions[Score]), "No Match")</f>
        <v>15</v>
      </c>
    </row>
    <row r="1361" spans="1:6" x14ac:dyDescent="0.2">
      <c r="A1361">
        <f>[1]!hospitalinfo[[#This Row],[Facility ID]]</f>
        <v>161376</v>
      </c>
      <c r="B1361" t="str">
        <f>[1]!hospitalinfo[[#This Row],[State]]</f>
        <v>IA</v>
      </c>
      <c r="C1361" t="str">
        <f>[1]!hospitalinfo[[#This Row],[Hospital Type]]</f>
        <v>Critical Access Hospitals</v>
      </c>
      <c r="D1361" t="str">
        <f>[1]!hospitalinfo[[#This Row],[Hospital Ownership]]</f>
        <v>Government - Local</v>
      </c>
      <c r="E1361" cm="1">
        <f t="array" ref="E1361">_xlfn.IFNA(_xlfn.XLOOKUP(1,([1]!hcahps[Facility ID] = clean[[#This Row],[Facility ID]]) * ([1]!hcahps[HCAHPS Measure ID] = "H_HSP_RATING_LINEAR_SCORE"), [1]!hcahps[HCAHPS Linear Mean Value]), "No Match")</f>
        <v>92</v>
      </c>
      <c r="F1361" cm="1">
        <f t="array" ref="F1361">_xlfn.IFNA(_xlfn.XLOOKUP(1,([1]!readmissions[Facility ID] = clean[[#This Row],[Facility ID]]) * ([1]!readmissions[Measure ID] = "Hybrid_HWR"), [1]!readmissions[Score]), "No Match")</f>
        <v>14</v>
      </c>
    </row>
    <row r="1362" spans="1:6" x14ac:dyDescent="0.2">
      <c r="A1362">
        <f>[1]!hospitalinfo[[#This Row],[Facility ID]]</f>
        <v>161377</v>
      </c>
      <c r="B1362" t="str">
        <f>[1]!hospitalinfo[[#This Row],[State]]</f>
        <v>IA</v>
      </c>
      <c r="C1362" t="str">
        <f>[1]!hospitalinfo[[#This Row],[Hospital Type]]</f>
        <v>Critical Access Hospitals</v>
      </c>
      <c r="D1362" t="str">
        <f>[1]!hospitalinfo[[#This Row],[Hospital Ownership]]</f>
        <v>Voluntary non-profit - Private</v>
      </c>
      <c r="E1362" t="str" cm="1">
        <f t="array" ref="E1362">_xlfn.IFNA(_xlfn.XLOOKUP(1,([1]!hcahps[Facility ID] = clean[[#This Row],[Facility ID]]) * ([1]!hcahps[HCAHPS Measure ID] = "H_HSP_RATING_LINEAR_SCORE"), [1]!hcahps[HCAHPS Linear Mean Value]), "No Match")</f>
        <v>Not Available</v>
      </c>
      <c r="F1362" cm="1">
        <f t="array" ref="F1362">_xlfn.IFNA(_xlfn.XLOOKUP(1,([1]!readmissions[Facility ID] = clean[[#This Row],[Facility ID]]) * ([1]!readmissions[Measure ID] = "Hybrid_HWR"), [1]!readmissions[Score]), "No Match")</f>
        <v>14.9</v>
      </c>
    </row>
    <row r="1363" spans="1:6" x14ac:dyDescent="0.2">
      <c r="A1363">
        <f>[1]!hospitalinfo[[#This Row],[Facility ID]]</f>
        <v>161378</v>
      </c>
      <c r="B1363" t="str">
        <f>[1]!hospitalinfo[[#This Row],[State]]</f>
        <v>IA</v>
      </c>
      <c r="C1363" t="str">
        <f>[1]!hospitalinfo[[#This Row],[Hospital Type]]</f>
        <v>Critical Access Hospitals</v>
      </c>
      <c r="D1363" t="str">
        <f>[1]!hospitalinfo[[#This Row],[Hospital Ownership]]</f>
        <v>Voluntary non-profit - Private</v>
      </c>
      <c r="E1363" t="str" cm="1">
        <f t="array" ref="E1363">_xlfn.IFNA(_xlfn.XLOOKUP(1,([1]!hcahps[Facility ID] = clean[[#This Row],[Facility ID]]) * ([1]!hcahps[HCAHPS Measure ID] = "H_HSP_RATING_LINEAR_SCORE"), [1]!hcahps[HCAHPS Linear Mean Value]), "No Match")</f>
        <v>Not Available</v>
      </c>
      <c r="F1363" t="str" cm="1">
        <f t="array" ref="F1363">_xlfn.IFNA(_xlfn.XLOOKUP(1,([1]!readmissions[Facility ID] = clean[[#This Row],[Facility ID]]) * ([1]!readmissions[Measure ID] = "Hybrid_HWR"), [1]!readmissions[Score]), "No Match")</f>
        <v>Not Available</v>
      </c>
    </row>
    <row r="1364" spans="1:6" x14ac:dyDescent="0.2">
      <c r="A1364">
        <f>[1]!hospitalinfo[[#This Row],[Facility ID]]</f>
        <v>161379</v>
      </c>
      <c r="B1364" t="str">
        <f>[1]!hospitalinfo[[#This Row],[State]]</f>
        <v>IA</v>
      </c>
      <c r="C1364" t="str">
        <f>[1]!hospitalinfo[[#This Row],[Hospital Type]]</f>
        <v>Critical Access Hospitals</v>
      </c>
      <c r="D1364" t="str">
        <f>[1]!hospitalinfo[[#This Row],[Hospital Ownership]]</f>
        <v>Government - Local</v>
      </c>
      <c r="E1364" cm="1">
        <f t="array" ref="E1364">_xlfn.IFNA(_xlfn.XLOOKUP(1,([1]!hcahps[Facility ID] = clean[[#This Row],[Facility ID]]) * ([1]!hcahps[HCAHPS Measure ID] = "H_HSP_RATING_LINEAR_SCORE"), [1]!hcahps[HCAHPS Linear Mean Value]), "No Match")</f>
        <v>93</v>
      </c>
      <c r="F1364" cm="1">
        <f t="array" ref="F1364">_xlfn.IFNA(_xlfn.XLOOKUP(1,([1]!readmissions[Facility ID] = clean[[#This Row],[Facility ID]]) * ([1]!readmissions[Measure ID] = "Hybrid_HWR"), [1]!readmissions[Score]), "No Match")</f>
        <v>14.4</v>
      </c>
    </row>
    <row r="1365" spans="1:6" x14ac:dyDescent="0.2">
      <c r="A1365">
        <f>[1]!hospitalinfo[[#This Row],[Facility ID]]</f>
        <v>161380</v>
      </c>
      <c r="B1365" t="str">
        <f>[1]!hospitalinfo[[#This Row],[State]]</f>
        <v>IA</v>
      </c>
      <c r="C1365" t="str">
        <f>[1]!hospitalinfo[[#This Row],[Hospital Type]]</f>
        <v>Critical Access Hospitals</v>
      </c>
      <c r="D1365" t="str">
        <f>[1]!hospitalinfo[[#This Row],[Hospital Ownership]]</f>
        <v>Government - Local</v>
      </c>
      <c r="E1365" t="str" cm="1">
        <f t="array" ref="E1365">_xlfn.IFNA(_xlfn.XLOOKUP(1,([1]!hcahps[Facility ID] = clean[[#This Row],[Facility ID]]) * ([1]!hcahps[HCAHPS Measure ID] = "H_HSP_RATING_LINEAR_SCORE"), [1]!hcahps[HCAHPS Linear Mean Value]), "No Match")</f>
        <v>Not Available</v>
      </c>
      <c r="F1365" cm="1">
        <f t="array" ref="F1365">_xlfn.IFNA(_xlfn.XLOOKUP(1,([1]!readmissions[Facility ID] = clean[[#This Row],[Facility ID]]) * ([1]!readmissions[Measure ID] = "Hybrid_HWR"), [1]!readmissions[Score]), "No Match")</f>
        <v>14.6</v>
      </c>
    </row>
    <row r="1366" spans="1:6" x14ac:dyDescent="0.2">
      <c r="A1366">
        <f>[1]!hospitalinfo[[#This Row],[Facility ID]]</f>
        <v>161381</v>
      </c>
      <c r="B1366" t="str">
        <f>[1]!hospitalinfo[[#This Row],[State]]</f>
        <v>IA</v>
      </c>
      <c r="C1366" t="str">
        <f>[1]!hospitalinfo[[#This Row],[Hospital Type]]</f>
        <v>Critical Access Hospitals</v>
      </c>
      <c r="D1366" t="str">
        <f>[1]!hospitalinfo[[#This Row],[Hospital Ownership]]</f>
        <v>Voluntary non-profit - Private</v>
      </c>
      <c r="E1366" t="str" cm="1">
        <f t="array" ref="E1366">_xlfn.IFNA(_xlfn.XLOOKUP(1,([1]!hcahps[Facility ID] = clean[[#This Row],[Facility ID]]) * ([1]!hcahps[HCAHPS Measure ID] = "H_HSP_RATING_LINEAR_SCORE"), [1]!hcahps[HCAHPS Linear Mean Value]), "No Match")</f>
        <v>Not Available</v>
      </c>
      <c r="F1366" cm="1">
        <f t="array" ref="F1366">_xlfn.IFNA(_xlfn.XLOOKUP(1,([1]!readmissions[Facility ID] = clean[[#This Row],[Facility ID]]) * ([1]!readmissions[Measure ID] = "Hybrid_HWR"), [1]!readmissions[Score]), "No Match")</f>
        <v>14.4</v>
      </c>
    </row>
    <row r="1367" spans="1:6" x14ac:dyDescent="0.2">
      <c r="A1367">
        <f>[1]!hospitalinfo[[#This Row],[Facility ID]]</f>
        <v>161382</v>
      </c>
      <c r="B1367" t="str">
        <f>[1]!hospitalinfo[[#This Row],[State]]</f>
        <v>IA</v>
      </c>
      <c r="C1367" t="str">
        <f>[1]!hospitalinfo[[#This Row],[Hospital Type]]</f>
        <v>Critical Access Hospitals</v>
      </c>
      <c r="D1367" t="str">
        <f>[1]!hospitalinfo[[#This Row],[Hospital Ownership]]</f>
        <v>Voluntary non-profit - Private</v>
      </c>
      <c r="E1367" cm="1">
        <f t="array" ref="E1367">_xlfn.IFNA(_xlfn.XLOOKUP(1,([1]!hcahps[Facility ID] = clean[[#This Row],[Facility ID]]) * ([1]!hcahps[HCAHPS Measure ID] = "H_HSP_RATING_LINEAR_SCORE"), [1]!hcahps[HCAHPS Linear Mean Value]), "No Match")</f>
        <v>92</v>
      </c>
      <c r="F1367" cm="1">
        <f t="array" ref="F1367">_xlfn.IFNA(_xlfn.XLOOKUP(1,([1]!readmissions[Facility ID] = clean[[#This Row],[Facility ID]]) * ([1]!readmissions[Measure ID] = "Hybrid_HWR"), [1]!readmissions[Score]), "No Match")</f>
        <v>14.7</v>
      </c>
    </row>
    <row r="1368" spans="1:6" x14ac:dyDescent="0.2">
      <c r="A1368">
        <f>[1]!hospitalinfo[[#This Row],[Facility ID]]</f>
        <v>164002</v>
      </c>
      <c r="B1368" t="str">
        <f>[1]!hospitalinfo[[#This Row],[State]]</f>
        <v>IA</v>
      </c>
      <c r="C1368" t="str">
        <f>[1]!hospitalinfo[[#This Row],[Hospital Type]]</f>
        <v>Psychiatric</v>
      </c>
      <c r="D1368" t="str">
        <f>[1]!hospitalinfo[[#This Row],[Hospital Ownership]]</f>
        <v>Government - State</v>
      </c>
      <c r="E1368" t="str" cm="1">
        <f t="array" ref="E1368">_xlfn.IFNA(_xlfn.XLOOKUP(1,([1]!hcahps[Facility ID] = clean[[#This Row],[Facility ID]]) * ([1]!hcahps[HCAHPS Measure ID] = "H_HSP_RATING_LINEAR_SCORE"), [1]!hcahps[HCAHPS Linear Mean Value]), "No Match")</f>
        <v>No Match</v>
      </c>
      <c r="F1368" t="str" cm="1">
        <f t="array" ref="F1368">_xlfn.IFNA(_xlfn.XLOOKUP(1,([1]!readmissions[Facility ID] = clean[[#This Row],[Facility ID]]) * ([1]!readmissions[Measure ID] = "Hybrid_HWR"), [1]!readmissions[Score]), "No Match")</f>
        <v>No Match</v>
      </c>
    </row>
    <row r="1369" spans="1:6" x14ac:dyDescent="0.2">
      <c r="A1369">
        <f>[1]!hospitalinfo[[#This Row],[Facility ID]]</f>
        <v>164003</v>
      </c>
      <c r="B1369" t="str">
        <f>[1]!hospitalinfo[[#This Row],[State]]</f>
        <v>IA</v>
      </c>
      <c r="C1369" t="str">
        <f>[1]!hospitalinfo[[#This Row],[Hospital Type]]</f>
        <v>Psychiatric</v>
      </c>
      <c r="D1369" t="str">
        <f>[1]!hospitalinfo[[#This Row],[Hospital Ownership]]</f>
        <v>Government - State</v>
      </c>
      <c r="E1369" t="str" cm="1">
        <f t="array" ref="E1369">_xlfn.IFNA(_xlfn.XLOOKUP(1,([1]!hcahps[Facility ID] = clean[[#This Row],[Facility ID]]) * ([1]!hcahps[HCAHPS Measure ID] = "H_HSP_RATING_LINEAR_SCORE"), [1]!hcahps[HCAHPS Linear Mean Value]), "No Match")</f>
        <v>No Match</v>
      </c>
      <c r="F1369" t="str" cm="1">
        <f t="array" ref="F1369">_xlfn.IFNA(_xlfn.XLOOKUP(1,([1]!readmissions[Facility ID] = clean[[#This Row],[Facility ID]]) * ([1]!readmissions[Measure ID] = "Hybrid_HWR"), [1]!readmissions[Score]), "No Match")</f>
        <v>No Match</v>
      </c>
    </row>
    <row r="1370" spans="1:6" x14ac:dyDescent="0.2">
      <c r="A1370">
        <f>[1]!hospitalinfo[[#This Row],[Facility ID]]</f>
        <v>164006</v>
      </c>
      <c r="B1370" t="str">
        <f>[1]!hospitalinfo[[#This Row],[State]]</f>
        <v>IA</v>
      </c>
      <c r="C1370" t="str">
        <f>[1]!hospitalinfo[[#This Row],[Hospital Type]]</f>
        <v>Psychiatric</v>
      </c>
      <c r="D1370" t="str">
        <f>[1]!hospitalinfo[[#This Row],[Hospital Ownership]]</f>
        <v>Proprietary</v>
      </c>
      <c r="E1370" t="str" cm="1">
        <f t="array" ref="E1370">_xlfn.IFNA(_xlfn.XLOOKUP(1,([1]!hcahps[Facility ID] = clean[[#This Row],[Facility ID]]) * ([1]!hcahps[HCAHPS Measure ID] = "H_HSP_RATING_LINEAR_SCORE"), [1]!hcahps[HCAHPS Linear Mean Value]), "No Match")</f>
        <v>No Match</v>
      </c>
      <c r="F1370" t="str" cm="1">
        <f t="array" ref="F1370">_xlfn.IFNA(_xlfn.XLOOKUP(1,([1]!readmissions[Facility ID] = clean[[#This Row],[Facility ID]]) * ([1]!readmissions[Measure ID] = "Hybrid_HWR"), [1]!readmissions[Score]), "No Match")</f>
        <v>No Match</v>
      </c>
    </row>
    <row r="1371" spans="1:6" x14ac:dyDescent="0.2">
      <c r="A1371">
        <f>[1]!hospitalinfo[[#This Row],[Facility ID]]</f>
        <v>164007</v>
      </c>
      <c r="B1371" t="str">
        <f>[1]!hospitalinfo[[#This Row],[State]]</f>
        <v>IA</v>
      </c>
      <c r="C1371" t="str">
        <f>[1]!hospitalinfo[[#This Row],[Hospital Type]]</f>
        <v>Psychiatric</v>
      </c>
      <c r="D1371" t="str">
        <f>[1]!hospitalinfo[[#This Row],[Hospital Ownership]]</f>
        <v>Proprietary</v>
      </c>
      <c r="E1371" t="str" cm="1">
        <f t="array" ref="E1371">_xlfn.IFNA(_xlfn.XLOOKUP(1,([1]!hcahps[Facility ID] = clean[[#This Row],[Facility ID]]) * ([1]!hcahps[HCAHPS Measure ID] = "H_HSP_RATING_LINEAR_SCORE"), [1]!hcahps[HCAHPS Linear Mean Value]), "No Match")</f>
        <v>No Match</v>
      </c>
      <c r="F1371" t="str" cm="1">
        <f t="array" ref="F1371">_xlfn.IFNA(_xlfn.XLOOKUP(1,([1]!readmissions[Facility ID] = clean[[#This Row],[Facility ID]]) * ([1]!readmissions[Measure ID] = "Hybrid_HWR"), [1]!readmissions[Score]), "No Match")</f>
        <v>No Match</v>
      </c>
    </row>
    <row r="1372" spans="1:6" x14ac:dyDescent="0.2">
      <c r="A1372" t="str">
        <f>[1]!hospitalinfo[[#This Row],[Facility ID]]</f>
        <v>16003F</v>
      </c>
      <c r="B1372" t="str">
        <f>[1]!hospitalinfo[[#This Row],[State]]</f>
        <v>IA</v>
      </c>
      <c r="C1372" t="str">
        <f>[1]!hospitalinfo[[#This Row],[Hospital Type]]</f>
        <v>Acute Care - Veterans Administration</v>
      </c>
      <c r="D1372" t="str">
        <f>[1]!hospitalinfo[[#This Row],[Hospital Ownership]]</f>
        <v>Veterans Health Administration</v>
      </c>
      <c r="E1372" cm="1">
        <f t="array" ref="E1372">_xlfn.IFNA(_xlfn.XLOOKUP(1,([1]!hcahps[Facility ID] = clean[[#This Row],[Facility ID]]) * ([1]!hcahps[HCAHPS Measure ID] = "H_HSP_RATING_LINEAR_SCORE"), [1]!hcahps[HCAHPS Linear Mean Value]), "No Match")</f>
        <v>89</v>
      </c>
      <c r="F1372" cm="1">
        <f t="array" ref="F1372">_xlfn.IFNA(_xlfn.XLOOKUP(1,([1]!readmissions[Facility ID] = clean[[#This Row],[Facility ID]]) * ([1]!readmissions[Measure ID] = "Hybrid_HWR"), [1]!readmissions[Score]), "No Match")</f>
        <v>14.8</v>
      </c>
    </row>
    <row r="1373" spans="1:6" x14ac:dyDescent="0.2">
      <c r="A1373" t="str">
        <f>[1]!hospitalinfo[[#This Row],[Facility ID]]</f>
        <v>16004F</v>
      </c>
      <c r="B1373" t="str">
        <f>[1]!hospitalinfo[[#This Row],[State]]</f>
        <v>IA</v>
      </c>
      <c r="C1373" t="str">
        <f>[1]!hospitalinfo[[#This Row],[Hospital Type]]</f>
        <v>Acute Care - Veterans Administration</v>
      </c>
      <c r="D1373" t="str">
        <f>[1]!hospitalinfo[[#This Row],[Hospital Ownership]]</f>
        <v>Veterans Health Administration</v>
      </c>
      <c r="E1373" cm="1">
        <f t="array" ref="E1373">_xlfn.IFNA(_xlfn.XLOOKUP(1,([1]!hcahps[Facility ID] = clean[[#This Row],[Facility ID]]) * ([1]!hcahps[HCAHPS Measure ID] = "H_HSP_RATING_LINEAR_SCORE"), [1]!hcahps[HCAHPS Linear Mean Value]), "No Match")</f>
        <v>92</v>
      </c>
      <c r="F1373" cm="1">
        <f t="array" ref="F1373">_xlfn.IFNA(_xlfn.XLOOKUP(1,([1]!readmissions[Facility ID] = clean[[#This Row],[Facility ID]]) * ([1]!readmissions[Measure ID] = "Hybrid_HWR"), [1]!readmissions[Score]), "No Match")</f>
        <v>13.8</v>
      </c>
    </row>
    <row r="1374" spans="1:6" x14ac:dyDescent="0.2">
      <c r="A1374">
        <f>[1]!hospitalinfo[[#This Row],[Facility ID]]</f>
        <v>130002</v>
      </c>
      <c r="B1374" t="str">
        <f>[1]!hospitalinfo[[#This Row],[State]]</f>
        <v>ID</v>
      </c>
      <c r="C1374" t="str">
        <f>[1]!hospitalinfo[[#This Row],[Hospital Type]]</f>
        <v>Acute Care Hospitals</v>
      </c>
      <c r="D1374" t="str">
        <f>[1]!hospitalinfo[[#This Row],[Hospital Ownership]]</f>
        <v>Voluntary non-profit - Private</v>
      </c>
      <c r="E1374" cm="1">
        <f t="array" ref="E1374">_xlfn.IFNA(_xlfn.XLOOKUP(1,([1]!hcahps[Facility ID] = clean[[#This Row],[Facility ID]]) * ([1]!hcahps[HCAHPS Measure ID] = "H_HSP_RATING_LINEAR_SCORE"), [1]!hcahps[HCAHPS Linear Mean Value]), "No Match")</f>
        <v>87</v>
      </c>
      <c r="F1374" cm="1">
        <f t="array" ref="F1374">_xlfn.IFNA(_xlfn.XLOOKUP(1,([1]!readmissions[Facility ID] = clean[[#This Row],[Facility ID]]) * ([1]!readmissions[Measure ID] = "Hybrid_HWR"), [1]!readmissions[Score]), "No Match")</f>
        <v>14.3</v>
      </c>
    </row>
    <row r="1375" spans="1:6" x14ac:dyDescent="0.2">
      <c r="A1375">
        <f>[1]!hospitalinfo[[#This Row],[Facility ID]]</f>
        <v>130003</v>
      </c>
      <c r="B1375" t="str">
        <f>[1]!hospitalinfo[[#This Row],[State]]</f>
        <v>ID</v>
      </c>
      <c r="C1375" t="str">
        <f>[1]!hospitalinfo[[#This Row],[Hospital Type]]</f>
        <v>Acute Care Hospitals</v>
      </c>
      <c r="D1375" t="str">
        <f>[1]!hospitalinfo[[#This Row],[Hospital Ownership]]</f>
        <v>Voluntary non-profit - Private</v>
      </c>
      <c r="E1375" cm="1">
        <f t="array" ref="E1375">_xlfn.IFNA(_xlfn.XLOOKUP(1,([1]!hcahps[Facility ID] = clean[[#This Row],[Facility ID]]) * ([1]!hcahps[HCAHPS Measure ID] = "H_HSP_RATING_LINEAR_SCORE"), [1]!hcahps[HCAHPS Linear Mean Value]), "No Match")</f>
        <v>85</v>
      </c>
      <c r="F1375" cm="1">
        <f t="array" ref="F1375">_xlfn.IFNA(_xlfn.XLOOKUP(1,([1]!readmissions[Facility ID] = clean[[#This Row],[Facility ID]]) * ([1]!readmissions[Measure ID] = "Hybrid_HWR"), [1]!readmissions[Score]), "No Match")</f>
        <v>14.1</v>
      </c>
    </row>
    <row r="1376" spans="1:6" x14ac:dyDescent="0.2">
      <c r="A1376">
        <f>[1]!hospitalinfo[[#This Row],[Facility ID]]</f>
        <v>130006</v>
      </c>
      <c r="B1376" t="str">
        <f>[1]!hospitalinfo[[#This Row],[State]]</f>
        <v>ID</v>
      </c>
      <c r="C1376" t="str">
        <f>[1]!hospitalinfo[[#This Row],[Hospital Type]]</f>
        <v>Acute Care Hospitals</v>
      </c>
      <c r="D1376" t="str">
        <f>[1]!hospitalinfo[[#This Row],[Hospital Ownership]]</f>
        <v>Voluntary non-profit - Private</v>
      </c>
      <c r="E1376" cm="1">
        <f t="array" ref="E1376">_xlfn.IFNA(_xlfn.XLOOKUP(1,([1]!hcahps[Facility ID] = clean[[#This Row],[Facility ID]]) * ([1]!hcahps[HCAHPS Measure ID] = "H_HSP_RATING_LINEAR_SCORE"), [1]!hcahps[HCAHPS Linear Mean Value]), "No Match")</f>
        <v>91</v>
      </c>
      <c r="F1376" cm="1">
        <f t="array" ref="F1376">_xlfn.IFNA(_xlfn.XLOOKUP(1,([1]!readmissions[Facility ID] = clean[[#This Row],[Facility ID]]) * ([1]!readmissions[Measure ID] = "Hybrid_HWR"), [1]!readmissions[Score]), "No Match")</f>
        <v>12.4</v>
      </c>
    </row>
    <row r="1377" spans="1:6" x14ac:dyDescent="0.2">
      <c r="A1377">
        <f>[1]!hospitalinfo[[#This Row],[Facility ID]]</f>
        <v>130007</v>
      </c>
      <c r="B1377" t="str">
        <f>[1]!hospitalinfo[[#This Row],[State]]</f>
        <v>ID</v>
      </c>
      <c r="C1377" t="str">
        <f>[1]!hospitalinfo[[#This Row],[Hospital Type]]</f>
        <v>Acute Care Hospitals</v>
      </c>
      <c r="D1377" t="str">
        <f>[1]!hospitalinfo[[#This Row],[Hospital Ownership]]</f>
        <v>Voluntary non-profit - Church</v>
      </c>
      <c r="E1377" cm="1">
        <f t="array" ref="E1377">_xlfn.IFNA(_xlfn.XLOOKUP(1,([1]!hcahps[Facility ID] = clean[[#This Row],[Facility ID]]) * ([1]!hcahps[HCAHPS Measure ID] = "H_HSP_RATING_LINEAR_SCORE"), [1]!hcahps[HCAHPS Linear Mean Value]), "No Match")</f>
        <v>90</v>
      </c>
      <c r="F1377" cm="1">
        <f t="array" ref="F1377">_xlfn.IFNA(_xlfn.XLOOKUP(1,([1]!readmissions[Facility ID] = clean[[#This Row],[Facility ID]]) * ([1]!readmissions[Measure ID] = "Hybrid_HWR"), [1]!readmissions[Score]), "No Match")</f>
        <v>13.8</v>
      </c>
    </row>
    <row r="1378" spans="1:6" x14ac:dyDescent="0.2">
      <c r="A1378">
        <f>[1]!hospitalinfo[[#This Row],[Facility ID]]</f>
        <v>130013</v>
      </c>
      <c r="B1378" t="str">
        <f>[1]!hospitalinfo[[#This Row],[State]]</f>
        <v>ID</v>
      </c>
      <c r="C1378" t="str">
        <f>[1]!hospitalinfo[[#This Row],[Hospital Type]]</f>
        <v>Acute Care Hospitals</v>
      </c>
      <c r="D1378" t="str">
        <f>[1]!hospitalinfo[[#This Row],[Hospital Ownership]]</f>
        <v>Voluntary non-profit - Church</v>
      </c>
      <c r="E1378" cm="1">
        <f t="array" ref="E1378">_xlfn.IFNA(_xlfn.XLOOKUP(1,([1]!hcahps[Facility ID] = clean[[#This Row],[Facility ID]]) * ([1]!hcahps[HCAHPS Measure ID] = "H_HSP_RATING_LINEAR_SCORE"), [1]!hcahps[HCAHPS Linear Mean Value]), "No Match")</f>
        <v>90</v>
      </c>
      <c r="F1378" cm="1">
        <f t="array" ref="F1378">_xlfn.IFNA(_xlfn.XLOOKUP(1,([1]!readmissions[Facility ID] = clean[[#This Row],[Facility ID]]) * ([1]!readmissions[Measure ID] = "Hybrid_HWR"), [1]!readmissions[Score]), "No Match")</f>
        <v>13.9</v>
      </c>
    </row>
    <row r="1379" spans="1:6" x14ac:dyDescent="0.2">
      <c r="A1379">
        <f>[1]!hospitalinfo[[#This Row],[Facility ID]]</f>
        <v>130014</v>
      </c>
      <c r="B1379" t="str">
        <f>[1]!hospitalinfo[[#This Row],[State]]</f>
        <v>ID</v>
      </c>
      <c r="C1379" t="str">
        <f>[1]!hospitalinfo[[#This Row],[Hospital Type]]</f>
        <v>Acute Care Hospitals</v>
      </c>
      <c r="D1379" t="str">
        <f>[1]!hospitalinfo[[#This Row],[Hospital Ownership]]</f>
        <v>Proprietary</v>
      </c>
      <c r="E1379" cm="1">
        <f t="array" ref="E1379">_xlfn.IFNA(_xlfn.XLOOKUP(1,([1]!hcahps[Facility ID] = clean[[#This Row],[Facility ID]]) * ([1]!hcahps[HCAHPS Measure ID] = "H_HSP_RATING_LINEAR_SCORE"), [1]!hcahps[HCAHPS Linear Mean Value]), "No Match")</f>
        <v>89</v>
      </c>
      <c r="F1379" cm="1">
        <f t="array" ref="F1379">_xlfn.IFNA(_xlfn.XLOOKUP(1,([1]!readmissions[Facility ID] = clean[[#This Row],[Facility ID]]) * ([1]!readmissions[Measure ID] = "Hybrid_HWR"), [1]!readmissions[Score]), "No Match")</f>
        <v>15.1</v>
      </c>
    </row>
    <row r="1380" spans="1:6" x14ac:dyDescent="0.2">
      <c r="A1380">
        <f>[1]!hospitalinfo[[#This Row],[Facility ID]]</f>
        <v>130018</v>
      </c>
      <c r="B1380" t="str">
        <f>[1]!hospitalinfo[[#This Row],[State]]</f>
        <v>ID</v>
      </c>
      <c r="C1380" t="str">
        <f>[1]!hospitalinfo[[#This Row],[Hospital Type]]</f>
        <v>Acute Care Hospitals</v>
      </c>
      <c r="D1380" t="str">
        <f>[1]!hospitalinfo[[#This Row],[Hospital Ownership]]</f>
        <v>Proprietary</v>
      </c>
      <c r="E1380" cm="1">
        <f t="array" ref="E1380">_xlfn.IFNA(_xlfn.XLOOKUP(1,([1]!hcahps[Facility ID] = clean[[#This Row],[Facility ID]]) * ([1]!hcahps[HCAHPS Measure ID] = "H_HSP_RATING_LINEAR_SCORE"), [1]!hcahps[HCAHPS Linear Mean Value]), "No Match")</f>
        <v>86</v>
      </c>
      <c r="F1380" cm="1">
        <f t="array" ref="F1380">_xlfn.IFNA(_xlfn.XLOOKUP(1,([1]!readmissions[Facility ID] = clean[[#This Row],[Facility ID]]) * ([1]!readmissions[Measure ID] = "Hybrid_HWR"), [1]!readmissions[Score]), "No Match")</f>
        <v>12.9</v>
      </c>
    </row>
    <row r="1381" spans="1:6" x14ac:dyDescent="0.2">
      <c r="A1381">
        <f>[1]!hospitalinfo[[#This Row],[Facility ID]]</f>
        <v>130025</v>
      </c>
      <c r="B1381" t="str">
        <f>[1]!hospitalinfo[[#This Row],[State]]</f>
        <v>ID</v>
      </c>
      <c r="C1381" t="str">
        <f>[1]!hospitalinfo[[#This Row],[Hospital Type]]</f>
        <v>Acute Care Hospitals</v>
      </c>
      <c r="D1381" t="str">
        <f>[1]!hospitalinfo[[#This Row],[Hospital Ownership]]</f>
        <v>Government - Local</v>
      </c>
      <c r="E1381" cm="1">
        <f t="array" ref="E1381">_xlfn.IFNA(_xlfn.XLOOKUP(1,([1]!hcahps[Facility ID] = clean[[#This Row],[Facility ID]]) * ([1]!hcahps[HCAHPS Measure ID] = "H_HSP_RATING_LINEAR_SCORE"), [1]!hcahps[HCAHPS Linear Mean Value]), "No Match")</f>
        <v>87</v>
      </c>
      <c r="F1381" cm="1">
        <f t="array" ref="F1381">_xlfn.IFNA(_xlfn.XLOOKUP(1,([1]!readmissions[Facility ID] = clean[[#This Row],[Facility ID]]) * ([1]!readmissions[Measure ID] = "Hybrid_HWR"), [1]!readmissions[Score]), "No Match")</f>
        <v>14.5</v>
      </c>
    </row>
    <row r="1382" spans="1:6" x14ac:dyDescent="0.2">
      <c r="A1382">
        <f>[1]!hospitalinfo[[#This Row],[Facility ID]]</f>
        <v>130028</v>
      </c>
      <c r="B1382" t="str">
        <f>[1]!hospitalinfo[[#This Row],[State]]</f>
        <v>ID</v>
      </c>
      <c r="C1382" t="str">
        <f>[1]!hospitalinfo[[#This Row],[Hospital Type]]</f>
        <v>Acute Care Hospitals</v>
      </c>
      <c r="D1382" t="str">
        <f>[1]!hospitalinfo[[#This Row],[Hospital Ownership]]</f>
        <v>Proprietary</v>
      </c>
      <c r="E1382" cm="1">
        <f t="array" ref="E1382">_xlfn.IFNA(_xlfn.XLOOKUP(1,([1]!hcahps[Facility ID] = clean[[#This Row],[Facility ID]]) * ([1]!hcahps[HCAHPS Measure ID] = "H_HSP_RATING_LINEAR_SCORE"), [1]!hcahps[HCAHPS Linear Mean Value]), "No Match")</f>
        <v>86</v>
      </c>
      <c r="F1382" cm="1">
        <f t="array" ref="F1382">_xlfn.IFNA(_xlfn.XLOOKUP(1,([1]!readmissions[Facility ID] = clean[[#This Row],[Facility ID]]) * ([1]!readmissions[Measure ID] = "Hybrid_HWR"), [1]!readmissions[Score]), "No Match")</f>
        <v>13.8</v>
      </c>
    </row>
    <row r="1383" spans="1:6" x14ac:dyDescent="0.2">
      <c r="A1383">
        <f>[1]!hospitalinfo[[#This Row],[Facility ID]]</f>
        <v>130049</v>
      </c>
      <c r="B1383" t="str">
        <f>[1]!hospitalinfo[[#This Row],[State]]</f>
        <v>ID</v>
      </c>
      <c r="C1383" t="str">
        <f>[1]!hospitalinfo[[#This Row],[Hospital Type]]</f>
        <v>Acute Care Hospitals</v>
      </c>
      <c r="D1383" t="str">
        <f>[1]!hospitalinfo[[#This Row],[Hospital Ownership]]</f>
        <v>Government - Hospital District or Authority</v>
      </c>
      <c r="E1383" cm="1">
        <f t="array" ref="E1383">_xlfn.IFNA(_xlfn.XLOOKUP(1,([1]!hcahps[Facility ID] = clean[[#This Row],[Facility ID]]) * ([1]!hcahps[HCAHPS Measure ID] = "H_HSP_RATING_LINEAR_SCORE"), [1]!hcahps[HCAHPS Linear Mean Value]), "No Match")</f>
        <v>88</v>
      </c>
      <c r="F1383" cm="1">
        <f t="array" ref="F1383">_xlfn.IFNA(_xlfn.XLOOKUP(1,([1]!readmissions[Facility ID] = clean[[#This Row],[Facility ID]]) * ([1]!readmissions[Measure ID] = "Hybrid_HWR"), [1]!readmissions[Score]), "No Match")</f>
        <v>14</v>
      </c>
    </row>
    <row r="1384" spans="1:6" x14ac:dyDescent="0.2">
      <c r="A1384">
        <f>[1]!hospitalinfo[[#This Row],[Facility ID]]</f>
        <v>130063</v>
      </c>
      <c r="B1384" t="str">
        <f>[1]!hospitalinfo[[#This Row],[State]]</f>
        <v>ID</v>
      </c>
      <c r="C1384" t="str">
        <f>[1]!hospitalinfo[[#This Row],[Hospital Type]]</f>
        <v>Acute Care Hospitals</v>
      </c>
      <c r="D1384" t="str">
        <f>[1]!hospitalinfo[[#This Row],[Hospital Ownership]]</f>
        <v>Proprietary</v>
      </c>
      <c r="E1384" cm="1">
        <f t="array" ref="E1384">_xlfn.IFNA(_xlfn.XLOOKUP(1,([1]!hcahps[Facility ID] = clean[[#This Row],[Facility ID]]) * ([1]!hcahps[HCAHPS Measure ID] = "H_HSP_RATING_LINEAR_SCORE"), [1]!hcahps[HCAHPS Linear Mean Value]), "No Match")</f>
        <v>95</v>
      </c>
      <c r="F1384" cm="1">
        <f t="array" ref="F1384">_xlfn.IFNA(_xlfn.XLOOKUP(1,([1]!readmissions[Facility ID] = clean[[#This Row],[Facility ID]]) * ([1]!readmissions[Measure ID] = "Hybrid_HWR"), [1]!readmissions[Score]), "No Match")</f>
        <v>14.8</v>
      </c>
    </row>
    <row r="1385" spans="1:6" x14ac:dyDescent="0.2">
      <c r="A1385">
        <f>[1]!hospitalinfo[[#This Row],[Facility ID]]</f>
        <v>130065</v>
      </c>
      <c r="B1385" t="str">
        <f>[1]!hospitalinfo[[#This Row],[State]]</f>
        <v>ID</v>
      </c>
      <c r="C1385" t="str">
        <f>[1]!hospitalinfo[[#This Row],[Hospital Type]]</f>
        <v>Acute Care Hospitals</v>
      </c>
      <c r="D1385" t="str">
        <f>[1]!hospitalinfo[[#This Row],[Hospital Ownership]]</f>
        <v>Physician</v>
      </c>
      <c r="E1385" cm="1">
        <f t="array" ref="E1385">_xlfn.IFNA(_xlfn.XLOOKUP(1,([1]!hcahps[Facility ID] = clean[[#This Row],[Facility ID]]) * ([1]!hcahps[HCAHPS Measure ID] = "H_HSP_RATING_LINEAR_SCORE"), [1]!hcahps[HCAHPS Linear Mean Value]), "No Match")</f>
        <v>90</v>
      </c>
      <c r="F1385" cm="1">
        <f t="array" ref="F1385">_xlfn.IFNA(_xlfn.XLOOKUP(1,([1]!readmissions[Facility ID] = clean[[#This Row],[Facility ID]]) * ([1]!readmissions[Measure ID] = "Hybrid_HWR"), [1]!readmissions[Score]), "No Match")</f>
        <v>14.8</v>
      </c>
    </row>
    <row r="1386" spans="1:6" x14ac:dyDescent="0.2">
      <c r="A1386">
        <f>[1]!hospitalinfo[[#This Row],[Facility ID]]</f>
        <v>130066</v>
      </c>
      <c r="B1386" t="str">
        <f>[1]!hospitalinfo[[#This Row],[State]]</f>
        <v>ID</v>
      </c>
      <c r="C1386" t="str">
        <f>[1]!hospitalinfo[[#This Row],[Hospital Type]]</f>
        <v>Acute Care Hospitals</v>
      </c>
      <c r="D1386" t="str">
        <f>[1]!hospitalinfo[[#This Row],[Hospital Ownership]]</f>
        <v>Proprietary</v>
      </c>
      <c r="E1386" cm="1">
        <f t="array" ref="E1386">_xlfn.IFNA(_xlfn.XLOOKUP(1,([1]!hcahps[Facility ID] = clean[[#This Row],[Facility ID]]) * ([1]!hcahps[HCAHPS Measure ID] = "H_HSP_RATING_LINEAR_SCORE"), [1]!hcahps[HCAHPS Linear Mean Value]), "No Match")</f>
        <v>92</v>
      </c>
      <c r="F1386" cm="1">
        <f t="array" ref="F1386">_xlfn.IFNA(_xlfn.XLOOKUP(1,([1]!readmissions[Facility ID] = clean[[#This Row],[Facility ID]]) * ([1]!readmissions[Measure ID] = "Hybrid_HWR"), [1]!readmissions[Score]), "No Match")</f>
        <v>13.7</v>
      </c>
    </row>
    <row r="1387" spans="1:6" x14ac:dyDescent="0.2">
      <c r="A1387">
        <f>[1]!hospitalinfo[[#This Row],[Facility ID]]</f>
        <v>130071</v>
      </c>
      <c r="B1387" t="str">
        <f>[1]!hospitalinfo[[#This Row],[State]]</f>
        <v>ID</v>
      </c>
      <c r="C1387" t="str">
        <f>[1]!hospitalinfo[[#This Row],[Hospital Type]]</f>
        <v>Acute Care Hospitals</v>
      </c>
      <c r="D1387" t="str">
        <f>[1]!hospitalinfo[[#This Row],[Hospital Ownership]]</f>
        <v>Voluntary non-profit - Private</v>
      </c>
      <c r="E1387" cm="1">
        <f t="array" ref="E1387">_xlfn.IFNA(_xlfn.XLOOKUP(1,([1]!hcahps[Facility ID] = clean[[#This Row],[Facility ID]]) * ([1]!hcahps[HCAHPS Measure ID] = "H_HSP_RATING_LINEAR_SCORE"), [1]!hcahps[HCAHPS Linear Mean Value]), "No Match")</f>
        <v>91</v>
      </c>
      <c r="F1387" cm="1">
        <f t="array" ref="F1387">_xlfn.IFNA(_xlfn.XLOOKUP(1,([1]!readmissions[Facility ID] = clean[[#This Row],[Facility ID]]) * ([1]!readmissions[Measure ID] = "Hybrid_HWR"), [1]!readmissions[Score]), "No Match")</f>
        <v>13.9</v>
      </c>
    </row>
    <row r="1388" spans="1:6" x14ac:dyDescent="0.2">
      <c r="A1388">
        <f>[1]!hospitalinfo[[#This Row],[Facility ID]]</f>
        <v>130073</v>
      </c>
      <c r="B1388" t="str">
        <f>[1]!hospitalinfo[[#This Row],[State]]</f>
        <v>ID</v>
      </c>
      <c r="C1388" t="str">
        <f>[1]!hospitalinfo[[#This Row],[Hospital Type]]</f>
        <v>Acute Care Hospitals</v>
      </c>
      <c r="D1388" t="str">
        <f>[1]!hospitalinfo[[#This Row],[Hospital Ownership]]</f>
        <v>Voluntary non-profit - Private</v>
      </c>
      <c r="E1388" t="str" cm="1">
        <f t="array" ref="E1388">_xlfn.IFNA(_xlfn.XLOOKUP(1,([1]!hcahps[Facility ID] = clean[[#This Row],[Facility ID]]) * ([1]!hcahps[HCAHPS Measure ID] = "H_HSP_RATING_LINEAR_SCORE"), [1]!hcahps[HCAHPS Linear Mean Value]), "No Match")</f>
        <v>Not Available</v>
      </c>
      <c r="F1388" t="str" cm="1">
        <f t="array" ref="F1388">_xlfn.IFNA(_xlfn.XLOOKUP(1,([1]!readmissions[Facility ID] = clean[[#This Row],[Facility ID]]) * ([1]!readmissions[Measure ID] = "Hybrid_HWR"), [1]!readmissions[Score]), "No Match")</f>
        <v>Not Available</v>
      </c>
    </row>
    <row r="1389" spans="1:6" x14ac:dyDescent="0.2">
      <c r="A1389">
        <f>[1]!hospitalinfo[[#This Row],[Facility ID]]</f>
        <v>130074</v>
      </c>
      <c r="B1389" t="str">
        <f>[1]!hospitalinfo[[#This Row],[State]]</f>
        <v>ID</v>
      </c>
      <c r="C1389" t="str">
        <f>[1]!hospitalinfo[[#This Row],[Hospital Type]]</f>
        <v>Acute Care Hospitals</v>
      </c>
      <c r="D1389" t="str">
        <f>[1]!hospitalinfo[[#This Row],[Hospital Ownership]]</f>
        <v>Proprietary</v>
      </c>
      <c r="E1389" cm="1">
        <f t="array" ref="E1389">_xlfn.IFNA(_xlfn.XLOOKUP(1,([1]!hcahps[Facility ID] = clean[[#This Row],[Facility ID]]) * ([1]!hcahps[HCAHPS Measure ID] = "H_HSP_RATING_LINEAR_SCORE"), [1]!hcahps[HCAHPS Linear Mean Value]), "No Match")</f>
        <v>91</v>
      </c>
      <c r="F1389" cm="1">
        <f t="array" ref="F1389">_xlfn.IFNA(_xlfn.XLOOKUP(1,([1]!readmissions[Facility ID] = clean[[#This Row],[Facility ID]]) * ([1]!readmissions[Measure ID] = "Hybrid_HWR"), [1]!readmissions[Score]), "No Match")</f>
        <v>14.6</v>
      </c>
    </row>
    <row r="1390" spans="1:6" x14ac:dyDescent="0.2">
      <c r="A1390">
        <f>[1]!hospitalinfo[[#This Row],[Facility ID]]</f>
        <v>130779</v>
      </c>
      <c r="B1390" t="str">
        <f>[1]!hospitalinfo[[#This Row],[State]]</f>
        <v>ID</v>
      </c>
      <c r="C1390" t="str">
        <f>[1]!hospitalinfo[[#This Row],[Hospital Type]]</f>
        <v>Rural Emergency Hospital</v>
      </c>
      <c r="D1390" t="str">
        <f>[1]!hospitalinfo[[#This Row],[Hospital Ownership]]</f>
        <v>Government - Hospital District or Authority</v>
      </c>
      <c r="E1390" t="str" cm="1">
        <f t="array" ref="E1390">_xlfn.IFNA(_xlfn.XLOOKUP(1,([1]!hcahps[Facility ID] = clean[[#This Row],[Facility ID]]) * ([1]!hcahps[HCAHPS Measure ID] = "H_HSP_RATING_LINEAR_SCORE"), [1]!hcahps[HCAHPS Linear Mean Value]), "No Match")</f>
        <v>Not Available</v>
      </c>
      <c r="F1390" t="str" cm="1">
        <f t="array" ref="F1390">_xlfn.IFNA(_xlfn.XLOOKUP(1,([1]!readmissions[Facility ID] = clean[[#This Row],[Facility ID]]) * ([1]!readmissions[Measure ID] = "Hybrid_HWR"), [1]!readmissions[Score]), "No Match")</f>
        <v>Not Available</v>
      </c>
    </row>
    <row r="1391" spans="1:6" x14ac:dyDescent="0.2">
      <c r="A1391">
        <f>[1]!hospitalinfo[[#This Row],[Facility ID]]</f>
        <v>131301</v>
      </c>
      <c r="B1391" t="str">
        <f>[1]!hospitalinfo[[#This Row],[State]]</f>
        <v>ID</v>
      </c>
      <c r="C1391" t="str">
        <f>[1]!hospitalinfo[[#This Row],[Hospital Type]]</f>
        <v>Critical Access Hospitals</v>
      </c>
      <c r="D1391" t="str">
        <f>[1]!hospitalinfo[[#This Row],[Hospital Ownership]]</f>
        <v>Voluntary non-profit - Other</v>
      </c>
      <c r="E1391" t="str" cm="1">
        <f t="array" ref="E1391">_xlfn.IFNA(_xlfn.XLOOKUP(1,([1]!hcahps[Facility ID] = clean[[#This Row],[Facility ID]]) * ([1]!hcahps[HCAHPS Measure ID] = "H_HSP_RATING_LINEAR_SCORE"), [1]!hcahps[HCAHPS Linear Mean Value]), "No Match")</f>
        <v>Not Available</v>
      </c>
      <c r="F1391" cm="1">
        <f t="array" ref="F1391">_xlfn.IFNA(_xlfn.XLOOKUP(1,([1]!readmissions[Facility ID] = clean[[#This Row],[Facility ID]]) * ([1]!readmissions[Measure ID] = "Hybrid_HWR"), [1]!readmissions[Score]), "No Match")</f>
        <v>14.7</v>
      </c>
    </row>
    <row r="1392" spans="1:6" x14ac:dyDescent="0.2">
      <c r="A1392">
        <f>[1]!hospitalinfo[[#This Row],[Facility ID]]</f>
        <v>131302</v>
      </c>
      <c r="B1392" t="str">
        <f>[1]!hospitalinfo[[#This Row],[State]]</f>
        <v>ID</v>
      </c>
      <c r="C1392" t="str">
        <f>[1]!hospitalinfo[[#This Row],[Hospital Type]]</f>
        <v>Critical Access Hospitals</v>
      </c>
      <c r="D1392" t="str">
        <f>[1]!hospitalinfo[[#This Row],[Hospital Ownership]]</f>
        <v>Voluntary non-profit - Private</v>
      </c>
      <c r="E1392" t="str" cm="1">
        <f t="array" ref="E1392">_xlfn.IFNA(_xlfn.XLOOKUP(1,([1]!hcahps[Facility ID] = clean[[#This Row],[Facility ID]]) * ([1]!hcahps[HCAHPS Measure ID] = "H_HSP_RATING_LINEAR_SCORE"), [1]!hcahps[HCAHPS Linear Mean Value]), "No Match")</f>
        <v>Not Available</v>
      </c>
      <c r="F1392" cm="1">
        <f t="array" ref="F1392">_xlfn.IFNA(_xlfn.XLOOKUP(1,([1]!readmissions[Facility ID] = clean[[#This Row],[Facility ID]]) * ([1]!readmissions[Measure ID] = "Hybrid_HWR"), [1]!readmissions[Score]), "No Match")</f>
        <v>14.9</v>
      </c>
    </row>
    <row r="1393" spans="1:6" x14ac:dyDescent="0.2">
      <c r="A1393">
        <f>[1]!hospitalinfo[[#This Row],[Facility ID]]</f>
        <v>131303</v>
      </c>
      <c r="B1393" t="str">
        <f>[1]!hospitalinfo[[#This Row],[State]]</f>
        <v>ID</v>
      </c>
      <c r="C1393" t="str">
        <f>[1]!hospitalinfo[[#This Row],[Hospital Type]]</f>
        <v>Critical Access Hospitals</v>
      </c>
      <c r="D1393" t="str">
        <f>[1]!hospitalinfo[[#This Row],[Hospital Ownership]]</f>
        <v>Government - Local</v>
      </c>
      <c r="E1393" t="str" cm="1">
        <f t="array" ref="E1393">_xlfn.IFNA(_xlfn.XLOOKUP(1,([1]!hcahps[Facility ID] = clean[[#This Row],[Facility ID]]) * ([1]!hcahps[HCAHPS Measure ID] = "H_HSP_RATING_LINEAR_SCORE"), [1]!hcahps[HCAHPS Linear Mean Value]), "No Match")</f>
        <v>Not Available</v>
      </c>
      <c r="F1393" cm="1">
        <f t="array" ref="F1393">_xlfn.IFNA(_xlfn.XLOOKUP(1,([1]!readmissions[Facility ID] = clean[[#This Row],[Facility ID]]) * ([1]!readmissions[Measure ID] = "Hybrid_HWR"), [1]!readmissions[Score]), "No Match")</f>
        <v>14.7</v>
      </c>
    </row>
    <row r="1394" spans="1:6" x14ac:dyDescent="0.2">
      <c r="A1394">
        <f>[1]!hospitalinfo[[#This Row],[Facility ID]]</f>
        <v>131304</v>
      </c>
      <c r="B1394" t="str">
        <f>[1]!hospitalinfo[[#This Row],[State]]</f>
        <v>ID</v>
      </c>
      <c r="C1394" t="str">
        <f>[1]!hospitalinfo[[#This Row],[Hospital Type]]</f>
        <v>Critical Access Hospitals</v>
      </c>
      <c r="D1394" t="str">
        <f>[1]!hospitalinfo[[#This Row],[Hospital Ownership]]</f>
        <v>Government - Hospital District or Authority</v>
      </c>
      <c r="E1394" t="str" cm="1">
        <f t="array" ref="E1394">_xlfn.IFNA(_xlfn.XLOOKUP(1,([1]!hcahps[Facility ID] = clean[[#This Row],[Facility ID]]) * ([1]!hcahps[HCAHPS Measure ID] = "H_HSP_RATING_LINEAR_SCORE"), [1]!hcahps[HCAHPS Linear Mean Value]), "No Match")</f>
        <v>Not Available</v>
      </c>
      <c r="F1394" t="str" cm="1">
        <f t="array" ref="F1394">_xlfn.IFNA(_xlfn.XLOOKUP(1,([1]!readmissions[Facility ID] = clean[[#This Row],[Facility ID]]) * ([1]!readmissions[Measure ID] = "Hybrid_HWR"), [1]!readmissions[Score]), "No Match")</f>
        <v>Not Available</v>
      </c>
    </row>
    <row r="1395" spans="1:6" x14ac:dyDescent="0.2">
      <c r="A1395">
        <f>[1]!hospitalinfo[[#This Row],[Facility ID]]</f>
        <v>131305</v>
      </c>
      <c r="B1395" t="str">
        <f>[1]!hospitalinfo[[#This Row],[State]]</f>
        <v>ID</v>
      </c>
      <c r="C1395" t="str">
        <f>[1]!hospitalinfo[[#This Row],[Hospital Type]]</f>
        <v>Critical Access Hospitals</v>
      </c>
      <c r="D1395" t="str">
        <f>[1]!hospitalinfo[[#This Row],[Hospital Ownership]]</f>
        <v>Government - Local</v>
      </c>
      <c r="E1395" t="str" cm="1">
        <f t="array" ref="E1395">_xlfn.IFNA(_xlfn.XLOOKUP(1,([1]!hcahps[Facility ID] = clean[[#This Row],[Facility ID]]) * ([1]!hcahps[HCAHPS Measure ID] = "H_HSP_RATING_LINEAR_SCORE"), [1]!hcahps[HCAHPS Linear Mean Value]), "No Match")</f>
        <v>Not Available</v>
      </c>
      <c r="F1395" cm="1">
        <f t="array" ref="F1395">_xlfn.IFNA(_xlfn.XLOOKUP(1,([1]!readmissions[Facility ID] = clean[[#This Row],[Facility ID]]) * ([1]!readmissions[Measure ID] = "Hybrid_HWR"), [1]!readmissions[Score]), "No Match")</f>
        <v>14.9</v>
      </c>
    </row>
    <row r="1396" spans="1:6" x14ac:dyDescent="0.2">
      <c r="A1396">
        <f>[1]!hospitalinfo[[#This Row],[Facility ID]]</f>
        <v>131307</v>
      </c>
      <c r="B1396" t="str">
        <f>[1]!hospitalinfo[[#This Row],[State]]</f>
        <v>ID</v>
      </c>
      <c r="C1396" t="str">
        <f>[1]!hospitalinfo[[#This Row],[Hospital Type]]</f>
        <v>Critical Access Hospitals</v>
      </c>
      <c r="D1396" t="str">
        <f>[1]!hospitalinfo[[#This Row],[Hospital Ownership]]</f>
        <v>Government - Hospital District or Authority</v>
      </c>
      <c r="E1396" t="str" cm="1">
        <f t="array" ref="E1396">_xlfn.IFNA(_xlfn.XLOOKUP(1,([1]!hcahps[Facility ID] = clean[[#This Row],[Facility ID]]) * ([1]!hcahps[HCAHPS Measure ID] = "H_HSP_RATING_LINEAR_SCORE"), [1]!hcahps[HCAHPS Linear Mean Value]), "No Match")</f>
        <v>Not Available</v>
      </c>
      <c r="F1396" cm="1">
        <f t="array" ref="F1396">_xlfn.IFNA(_xlfn.XLOOKUP(1,([1]!readmissions[Facility ID] = clean[[#This Row],[Facility ID]]) * ([1]!readmissions[Measure ID] = "Hybrid_HWR"), [1]!readmissions[Score]), "No Match")</f>
        <v>14.9</v>
      </c>
    </row>
    <row r="1397" spans="1:6" x14ac:dyDescent="0.2">
      <c r="A1397">
        <f>[1]!hospitalinfo[[#This Row],[Facility ID]]</f>
        <v>131309</v>
      </c>
      <c r="B1397" t="str">
        <f>[1]!hospitalinfo[[#This Row],[State]]</f>
        <v>ID</v>
      </c>
      <c r="C1397" t="str">
        <f>[1]!hospitalinfo[[#This Row],[Hospital Type]]</f>
        <v>Critical Access Hospitals</v>
      </c>
      <c r="D1397" t="str">
        <f>[1]!hospitalinfo[[#This Row],[Hospital Ownership]]</f>
        <v>Government - Local</v>
      </c>
      <c r="E1397" t="str" cm="1">
        <f t="array" ref="E1397">_xlfn.IFNA(_xlfn.XLOOKUP(1,([1]!hcahps[Facility ID] = clean[[#This Row],[Facility ID]]) * ([1]!hcahps[HCAHPS Measure ID] = "H_HSP_RATING_LINEAR_SCORE"), [1]!hcahps[HCAHPS Linear Mean Value]), "No Match")</f>
        <v>Not Available</v>
      </c>
      <c r="F1397" cm="1">
        <f t="array" ref="F1397">_xlfn.IFNA(_xlfn.XLOOKUP(1,([1]!readmissions[Facility ID] = clean[[#This Row],[Facility ID]]) * ([1]!readmissions[Measure ID] = "Hybrid_HWR"), [1]!readmissions[Score]), "No Match")</f>
        <v>15</v>
      </c>
    </row>
    <row r="1398" spans="1:6" x14ac:dyDescent="0.2">
      <c r="A1398">
        <f>[1]!hospitalinfo[[#This Row],[Facility ID]]</f>
        <v>131310</v>
      </c>
      <c r="B1398" t="str">
        <f>[1]!hospitalinfo[[#This Row],[State]]</f>
        <v>ID</v>
      </c>
      <c r="C1398" t="str">
        <f>[1]!hospitalinfo[[#This Row],[Hospital Type]]</f>
        <v>Critical Access Hospitals</v>
      </c>
      <c r="D1398" t="str">
        <f>[1]!hospitalinfo[[#This Row],[Hospital Ownership]]</f>
        <v>Voluntary non-profit - Private</v>
      </c>
      <c r="E1398" t="str" cm="1">
        <f t="array" ref="E1398">_xlfn.IFNA(_xlfn.XLOOKUP(1,([1]!hcahps[Facility ID] = clean[[#This Row],[Facility ID]]) * ([1]!hcahps[HCAHPS Measure ID] = "H_HSP_RATING_LINEAR_SCORE"), [1]!hcahps[HCAHPS Linear Mean Value]), "No Match")</f>
        <v>Not Available</v>
      </c>
      <c r="F1398" cm="1">
        <f t="array" ref="F1398">_xlfn.IFNA(_xlfn.XLOOKUP(1,([1]!readmissions[Facility ID] = clean[[#This Row],[Facility ID]]) * ([1]!readmissions[Measure ID] = "Hybrid_HWR"), [1]!readmissions[Score]), "No Match")</f>
        <v>14.8</v>
      </c>
    </row>
    <row r="1399" spans="1:6" x14ac:dyDescent="0.2">
      <c r="A1399">
        <f>[1]!hospitalinfo[[#This Row],[Facility ID]]</f>
        <v>131311</v>
      </c>
      <c r="B1399" t="str">
        <f>[1]!hospitalinfo[[#This Row],[State]]</f>
        <v>ID</v>
      </c>
      <c r="C1399" t="str">
        <f>[1]!hospitalinfo[[#This Row],[Hospital Type]]</f>
        <v>Critical Access Hospitals</v>
      </c>
      <c r="D1399" t="str">
        <f>[1]!hospitalinfo[[#This Row],[Hospital Ownership]]</f>
        <v>Voluntary non-profit - Private</v>
      </c>
      <c r="E1399" cm="1">
        <f t="array" ref="E1399">_xlfn.IFNA(_xlfn.XLOOKUP(1,([1]!hcahps[Facility ID] = clean[[#This Row],[Facility ID]]) * ([1]!hcahps[HCAHPS Measure ID] = "H_HSP_RATING_LINEAR_SCORE"), [1]!hcahps[HCAHPS Linear Mean Value]), "No Match")</f>
        <v>92</v>
      </c>
      <c r="F1399" cm="1">
        <f t="array" ref="F1399">_xlfn.IFNA(_xlfn.XLOOKUP(1,([1]!readmissions[Facility ID] = clean[[#This Row],[Facility ID]]) * ([1]!readmissions[Measure ID] = "Hybrid_HWR"), [1]!readmissions[Score]), "No Match")</f>
        <v>15.1</v>
      </c>
    </row>
    <row r="1400" spans="1:6" x14ac:dyDescent="0.2">
      <c r="A1400">
        <f>[1]!hospitalinfo[[#This Row],[Facility ID]]</f>
        <v>131312</v>
      </c>
      <c r="B1400" t="str">
        <f>[1]!hospitalinfo[[#This Row],[State]]</f>
        <v>ID</v>
      </c>
      <c r="C1400" t="str">
        <f>[1]!hospitalinfo[[#This Row],[Hospital Type]]</f>
        <v>Critical Access Hospitals</v>
      </c>
      <c r="D1400" t="str">
        <f>[1]!hospitalinfo[[#This Row],[Hospital Ownership]]</f>
        <v>Proprietary</v>
      </c>
      <c r="E1400" cm="1">
        <f t="array" ref="E1400">_xlfn.IFNA(_xlfn.XLOOKUP(1,([1]!hcahps[Facility ID] = clean[[#This Row],[Facility ID]]) * ([1]!hcahps[HCAHPS Measure ID] = "H_HSP_RATING_LINEAR_SCORE"), [1]!hcahps[HCAHPS Linear Mean Value]), "No Match")</f>
        <v>93</v>
      </c>
      <c r="F1400" cm="1">
        <f t="array" ref="F1400">_xlfn.IFNA(_xlfn.XLOOKUP(1,([1]!readmissions[Facility ID] = clean[[#This Row],[Facility ID]]) * ([1]!readmissions[Measure ID] = "Hybrid_HWR"), [1]!readmissions[Score]), "No Match")</f>
        <v>14.8</v>
      </c>
    </row>
    <row r="1401" spans="1:6" x14ac:dyDescent="0.2">
      <c r="A1401">
        <f>[1]!hospitalinfo[[#This Row],[Facility ID]]</f>
        <v>131313</v>
      </c>
      <c r="B1401" t="str">
        <f>[1]!hospitalinfo[[#This Row],[State]]</f>
        <v>ID</v>
      </c>
      <c r="C1401" t="str">
        <f>[1]!hospitalinfo[[#This Row],[Hospital Type]]</f>
        <v>Critical Access Hospitals</v>
      </c>
      <c r="D1401" t="str">
        <f>[1]!hospitalinfo[[#This Row],[Hospital Ownership]]</f>
        <v>Voluntary non-profit - Private</v>
      </c>
      <c r="E1401" t="str" cm="1">
        <f t="array" ref="E1401">_xlfn.IFNA(_xlfn.XLOOKUP(1,([1]!hcahps[Facility ID] = clean[[#This Row],[Facility ID]]) * ([1]!hcahps[HCAHPS Measure ID] = "H_HSP_RATING_LINEAR_SCORE"), [1]!hcahps[HCAHPS Linear Mean Value]), "No Match")</f>
        <v>Not Available</v>
      </c>
      <c r="F1401" cm="1">
        <f t="array" ref="F1401">_xlfn.IFNA(_xlfn.XLOOKUP(1,([1]!readmissions[Facility ID] = clean[[#This Row],[Facility ID]]) * ([1]!readmissions[Measure ID] = "Hybrid_HWR"), [1]!readmissions[Score]), "No Match")</f>
        <v>14.7</v>
      </c>
    </row>
    <row r="1402" spans="1:6" x14ac:dyDescent="0.2">
      <c r="A1402">
        <f>[1]!hospitalinfo[[#This Row],[Facility ID]]</f>
        <v>131314</v>
      </c>
      <c r="B1402" t="str">
        <f>[1]!hospitalinfo[[#This Row],[State]]</f>
        <v>ID</v>
      </c>
      <c r="C1402" t="str">
        <f>[1]!hospitalinfo[[#This Row],[Hospital Type]]</f>
        <v>Critical Access Hospitals</v>
      </c>
      <c r="D1402" t="str">
        <f>[1]!hospitalinfo[[#This Row],[Hospital Ownership]]</f>
        <v>Government - Hospital District or Authority</v>
      </c>
      <c r="E1402" t="str" cm="1">
        <f t="array" ref="E1402">_xlfn.IFNA(_xlfn.XLOOKUP(1,([1]!hcahps[Facility ID] = clean[[#This Row],[Facility ID]]) * ([1]!hcahps[HCAHPS Measure ID] = "H_HSP_RATING_LINEAR_SCORE"), [1]!hcahps[HCAHPS Linear Mean Value]), "No Match")</f>
        <v>Not Available</v>
      </c>
      <c r="F1402" cm="1">
        <f t="array" ref="F1402">_xlfn.IFNA(_xlfn.XLOOKUP(1,([1]!readmissions[Facility ID] = clean[[#This Row],[Facility ID]]) * ([1]!readmissions[Measure ID] = "Hybrid_HWR"), [1]!readmissions[Score]), "No Match")</f>
        <v>14.6</v>
      </c>
    </row>
    <row r="1403" spans="1:6" x14ac:dyDescent="0.2">
      <c r="A1403">
        <f>[1]!hospitalinfo[[#This Row],[Facility ID]]</f>
        <v>131315</v>
      </c>
      <c r="B1403" t="str">
        <f>[1]!hospitalinfo[[#This Row],[State]]</f>
        <v>ID</v>
      </c>
      <c r="C1403" t="str">
        <f>[1]!hospitalinfo[[#This Row],[Hospital Type]]</f>
        <v>Critical Access Hospitals</v>
      </c>
      <c r="D1403" t="str">
        <f>[1]!hospitalinfo[[#This Row],[Hospital Ownership]]</f>
        <v>Voluntary non-profit - Private</v>
      </c>
      <c r="E1403" t="str" cm="1">
        <f t="array" ref="E1403">_xlfn.IFNA(_xlfn.XLOOKUP(1,([1]!hcahps[Facility ID] = clean[[#This Row],[Facility ID]]) * ([1]!hcahps[HCAHPS Measure ID] = "H_HSP_RATING_LINEAR_SCORE"), [1]!hcahps[HCAHPS Linear Mean Value]), "No Match")</f>
        <v>Not Available</v>
      </c>
      <c r="F1403" cm="1">
        <f t="array" ref="F1403">_xlfn.IFNA(_xlfn.XLOOKUP(1,([1]!readmissions[Facility ID] = clean[[#This Row],[Facility ID]]) * ([1]!readmissions[Measure ID] = "Hybrid_HWR"), [1]!readmissions[Score]), "No Match")</f>
        <v>15.4</v>
      </c>
    </row>
    <row r="1404" spans="1:6" x14ac:dyDescent="0.2">
      <c r="A1404">
        <f>[1]!hospitalinfo[[#This Row],[Facility ID]]</f>
        <v>131316</v>
      </c>
      <c r="B1404" t="str">
        <f>[1]!hospitalinfo[[#This Row],[State]]</f>
        <v>ID</v>
      </c>
      <c r="C1404" t="str">
        <f>[1]!hospitalinfo[[#This Row],[Hospital Type]]</f>
        <v>Critical Access Hospitals</v>
      </c>
      <c r="D1404" t="str">
        <f>[1]!hospitalinfo[[#This Row],[Hospital Ownership]]</f>
        <v>Government - Local</v>
      </c>
      <c r="E1404" t="str" cm="1">
        <f t="array" ref="E1404">_xlfn.IFNA(_xlfn.XLOOKUP(1,([1]!hcahps[Facility ID] = clean[[#This Row],[Facility ID]]) * ([1]!hcahps[HCAHPS Measure ID] = "H_HSP_RATING_LINEAR_SCORE"), [1]!hcahps[HCAHPS Linear Mean Value]), "No Match")</f>
        <v>Not Available</v>
      </c>
      <c r="F1404" cm="1">
        <f t="array" ref="F1404">_xlfn.IFNA(_xlfn.XLOOKUP(1,([1]!readmissions[Facility ID] = clean[[#This Row],[Facility ID]]) * ([1]!readmissions[Measure ID] = "Hybrid_HWR"), [1]!readmissions[Score]), "No Match")</f>
        <v>14.8</v>
      </c>
    </row>
    <row r="1405" spans="1:6" x14ac:dyDescent="0.2">
      <c r="A1405">
        <f>[1]!hospitalinfo[[#This Row],[Facility ID]]</f>
        <v>131317</v>
      </c>
      <c r="B1405" t="str">
        <f>[1]!hospitalinfo[[#This Row],[State]]</f>
        <v>ID</v>
      </c>
      <c r="C1405" t="str">
        <f>[1]!hospitalinfo[[#This Row],[Hospital Type]]</f>
        <v>Critical Access Hospitals</v>
      </c>
      <c r="D1405" t="str">
        <f>[1]!hospitalinfo[[#This Row],[Hospital Ownership]]</f>
        <v>Government - Local</v>
      </c>
      <c r="E1405" t="str" cm="1">
        <f t="array" ref="E1405">_xlfn.IFNA(_xlfn.XLOOKUP(1,([1]!hcahps[Facility ID] = clean[[#This Row],[Facility ID]]) * ([1]!hcahps[HCAHPS Measure ID] = "H_HSP_RATING_LINEAR_SCORE"), [1]!hcahps[HCAHPS Linear Mean Value]), "No Match")</f>
        <v>Not Available</v>
      </c>
      <c r="F1405" cm="1">
        <f t="array" ref="F1405">_xlfn.IFNA(_xlfn.XLOOKUP(1,([1]!readmissions[Facility ID] = clean[[#This Row],[Facility ID]]) * ([1]!readmissions[Measure ID] = "Hybrid_HWR"), [1]!readmissions[Score]), "No Match")</f>
        <v>14.6</v>
      </c>
    </row>
    <row r="1406" spans="1:6" x14ac:dyDescent="0.2">
      <c r="A1406">
        <f>[1]!hospitalinfo[[#This Row],[Facility ID]]</f>
        <v>131318</v>
      </c>
      <c r="B1406" t="str">
        <f>[1]!hospitalinfo[[#This Row],[State]]</f>
        <v>ID</v>
      </c>
      <c r="C1406" t="str">
        <f>[1]!hospitalinfo[[#This Row],[Hospital Type]]</f>
        <v>Critical Access Hospitals</v>
      </c>
      <c r="D1406" t="str">
        <f>[1]!hospitalinfo[[#This Row],[Hospital Ownership]]</f>
        <v>Government - Local</v>
      </c>
      <c r="E1406" t="str" cm="1">
        <f t="array" ref="E1406">_xlfn.IFNA(_xlfn.XLOOKUP(1,([1]!hcahps[Facility ID] = clean[[#This Row],[Facility ID]]) * ([1]!hcahps[HCAHPS Measure ID] = "H_HSP_RATING_LINEAR_SCORE"), [1]!hcahps[HCAHPS Linear Mean Value]), "No Match")</f>
        <v>Not Available</v>
      </c>
      <c r="F1406" t="str" cm="1">
        <f t="array" ref="F1406">_xlfn.IFNA(_xlfn.XLOOKUP(1,([1]!readmissions[Facility ID] = clean[[#This Row],[Facility ID]]) * ([1]!readmissions[Measure ID] = "Hybrid_HWR"), [1]!readmissions[Score]), "No Match")</f>
        <v>Not Available</v>
      </c>
    </row>
    <row r="1407" spans="1:6" x14ac:dyDescent="0.2">
      <c r="A1407">
        <f>[1]!hospitalinfo[[#This Row],[Facility ID]]</f>
        <v>131319</v>
      </c>
      <c r="B1407" t="str">
        <f>[1]!hospitalinfo[[#This Row],[State]]</f>
        <v>ID</v>
      </c>
      <c r="C1407" t="str">
        <f>[1]!hospitalinfo[[#This Row],[Hospital Type]]</f>
        <v>Critical Access Hospitals</v>
      </c>
      <c r="D1407" t="str">
        <f>[1]!hospitalinfo[[#This Row],[Hospital Ownership]]</f>
        <v>Government - Local</v>
      </c>
      <c r="E1407" t="str" cm="1">
        <f t="array" ref="E1407">_xlfn.IFNA(_xlfn.XLOOKUP(1,([1]!hcahps[Facility ID] = clean[[#This Row],[Facility ID]]) * ([1]!hcahps[HCAHPS Measure ID] = "H_HSP_RATING_LINEAR_SCORE"), [1]!hcahps[HCAHPS Linear Mean Value]), "No Match")</f>
        <v>Not Available</v>
      </c>
      <c r="F1407" cm="1">
        <f t="array" ref="F1407">_xlfn.IFNA(_xlfn.XLOOKUP(1,([1]!readmissions[Facility ID] = clean[[#This Row],[Facility ID]]) * ([1]!readmissions[Measure ID] = "Hybrid_HWR"), [1]!readmissions[Score]), "No Match")</f>
        <v>14.8</v>
      </c>
    </row>
    <row r="1408" spans="1:6" x14ac:dyDescent="0.2">
      <c r="A1408">
        <f>[1]!hospitalinfo[[#This Row],[Facility ID]]</f>
        <v>131320</v>
      </c>
      <c r="B1408" t="str">
        <f>[1]!hospitalinfo[[#This Row],[State]]</f>
        <v>ID</v>
      </c>
      <c r="C1408" t="str">
        <f>[1]!hospitalinfo[[#This Row],[Hospital Type]]</f>
        <v>Critical Access Hospitals</v>
      </c>
      <c r="D1408" t="str">
        <f>[1]!hospitalinfo[[#This Row],[Hospital Ownership]]</f>
        <v>Voluntary non-profit - Private</v>
      </c>
      <c r="E1408" cm="1">
        <f t="array" ref="E1408">_xlfn.IFNA(_xlfn.XLOOKUP(1,([1]!hcahps[Facility ID] = clean[[#This Row],[Facility ID]]) * ([1]!hcahps[HCAHPS Measure ID] = "H_HSP_RATING_LINEAR_SCORE"), [1]!hcahps[HCAHPS Linear Mean Value]), "No Match")</f>
        <v>86</v>
      </c>
      <c r="F1408" cm="1">
        <f t="array" ref="F1408">_xlfn.IFNA(_xlfn.XLOOKUP(1,([1]!readmissions[Facility ID] = clean[[#This Row],[Facility ID]]) * ([1]!readmissions[Measure ID] = "Hybrid_HWR"), [1]!readmissions[Score]), "No Match")</f>
        <v>15.4</v>
      </c>
    </row>
    <row r="1409" spans="1:6" x14ac:dyDescent="0.2">
      <c r="A1409">
        <f>[1]!hospitalinfo[[#This Row],[Facility ID]]</f>
        <v>131321</v>
      </c>
      <c r="B1409" t="str">
        <f>[1]!hospitalinfo[[#This Row],[State]]</f>
        <v>ID</v>
      </c>
      <c r="C1409" t="str">
        <f>[1]!hospitalinfo[[#This Row],[Hospital Type]]</f>
        <v>Critical Access Hospitals</v>
      </c>
      <c r="D1409" t="str">
        <f>[1]!hospitalinfo[[#This Row],[Hospital Ownership]]</f>
        <v>Voluntary non-profit - Private</v>
      </c>
      <c r="E1409" t="str" cm="1">
        <f t="array" ref="E1409">_xlfn.IFNA(_xlfn.XLOOKUP(1,([1]!hcahps[Facility ID] = clean[[#This Row],[Facility ID]]) * ([1]!hcahps[HCAHPS Measure ID] = "H_HSP_RATING_LINEAR_SCORE"), [1]!hcahps[HCAHPS Linear Mean Value]), "No Match")</f>
        <v>Not Available</v>
      </c>
      <c r="F1409" cm="1">
        <f t="array" ref="F1409">_xlfn.IFNA(_xlfn.XLOOKUP(1,([1]!readmissions[Facility ID] = clean[[#This Row],[Facility ID]]) * ([1]!readmissions[Measure ID] = "Hybrid_HWR"), [1]!readmissions[Score]), "No Match")</f>
        <v>15.1</v>
      </c>
    </row>
    <row r="1410" spans="1:6" x14ac:dyDescent="0.2">
      <c r="A1410">
        <f>[1]!hospitalinfo[[#This Row],[Facility ID]]</f>
        <v>131322</v>
      </c>
      <c r="B1410" t="str">
        <f>[1]!hospitalinfo[[#This Row],[State]]</f>
        <v>ID</v>
      </c>
      <c r="C1410" t="str">
        <f>[1]!hospitalinfo[[#This Row],[Hospital Type]]</f>
        <v>Critical Access Hospitals</v>
      </c>
      <c r="D1410" t="str">
        <f>[1]!hospitalinfo[[#This Row],[Hospital Ownership]]</f>
        <v>Voluntary non-profit - Other</v>
      </c>
      <c r="E1410" t="str" cm="1">
        <f t="array" ref="E1410">_xlfn.IFNA(_xlfn.XLOOKUP(1,([1]!hcahps[Facility ID] = clean[[#This Row],[Facility ID]]) * ([1]!hcahps[HCAHPS Measure ID] = "H_HSP_RATING_LINEAR_SCORE"), [1]!hcahps[HCAHPS Linear Mean Value]), "No Match")</f>
        <v>Not Available</v>
      </c>
      <c r="F1410" cm="1">
        <f t="array" ref="F1410">_xlfn.IFNA(_xlfn.XLOOKUP(1,([1]!readmissions[Facility ID] = clean[[#This Row],[Facility ID]]) * ([1]!readmissions[Measure ID] = "Hybrid_HWR"), [1]!readmissions[Score]), "No Match")</f>
        <v>14.4</v>
      </c>
    </row>
    <row r="1411" spans="1:6" x14ac:dyDescent="0.2">
      <c r="A1411">
        <f>[1]!hospitalinfo[[#This Row],[Facility ID]]</f>
        <v>131323</v>
      </c>
      <c r="B1411" t="str">
        <f>[1]!hospitalinfo[[#This Row],[State]]</f>
        <v>ID</v>
      </c>
      <c r="C1411" t="str">
        <f>[1]!hospitalinfo[[#This Row],[Hospital Type]]</f>
        <v>Critical Access Hospitals</v>
      </c>
      <c r="D1411" t="str">
        <f>[1]!hospitalinfo[[#This Row],[Hospital Ownership]]</f>
        <v>Voluntary non-profit - Private</v>
      </c>
      <c r="E1411" cm="1">
        <f t="array" ref="E1411">_xlfn.IFNA(_xlfn.XLOOKUP(1,([1]!hcahps[Facility ID] = clean[[#This Row],[Facility ID]]) * ([1]!hcahps[HCAHPS Measure ID] = "H_HSP_RATING_LINEAR_SCORE"), [1]!hcahps[HCAHPS Linear Mean Value]), "No Match")</f>
        <v>93</v>
      </c>
      <c r="F1411" cm="1">
        <f t="array" ref="F1411">_xlfn.IFNA(_xlfn.XLOOKUP(1,([1]!readmissions[Facility ID] = clean[[#This Row],[Facility ID]]) * ([1]!readmissions[Measure ID] = "Hybrid_HWR"), [1]!readmissions[Score]), "No Match")</f>
        <v>14.9</v>
      </c>
    </row>
    <row r="1412" spans="1:6" x14ac:dyDescent="0.2">
      <c r="A1412">
        <f>[1]!hospitalinfo[[#This Row],[Facility ID]]</f>
        <v>131324</v>
      </c>
      <c r="B1412" t="str">
        <f>[1]!hospitalinfo[[#This Row],[State]]</f>
        <v>ID</v>
      </c>
      <c r="C1412" t="str">
        <f>[1]!hospitalinfo[[#This Row],[Hospital Type]]</f>
        <v>Critical Access Hospitals</v>
      </c>
      <c r="D1412" t="str">
        <f>[1]!hospitalinfo[[#This Row],[Hospital Ownership]]</f>
        <v>Government - Hospital District or Authority</v>
      </c>
      <c r="E1412" t="str" cm="1">
        <f t="array" ref="E1412">_xlfn.IFNA(_xlfn.XLOOKUP(1,([1]!hcahps[Facility ID] = clean[[#This Row],[Facility ID]]) * ([1]!hcahps[HCAHPS Measure ID] = "H_HSP_RATING_LINEAR_SCORE"), [1]!hcahps[HCAHPS Linear Mean Value]), "No Match")</f>
        <v>Not Available</v>
      </c>
      <c r="F1412" t="str" cm="1">
        <f t="array" ref="F1412">_xlfn.IFNA(_xlfn.XLOOKUP(1,([1]!readmissions[Facility ID] = clean[[#This Row],[Facility ID]]) * ([1]!readmissions[Measure ID] = "Hybrid_HWR"), [1]!readmissions[Score]), "No Match")</f>
        <v>Not Available</v>
      </c>
    </row>
    <row r="1413" spans="1:6" x14ac:dyDescent="0.2">
      <c r="A1413">
        <f>[1]!hospitalinfo[[#This Row],[Facility ID]]</f>
        <v>131325</v>
      </c>
      <c r="B1413" t="str">
        <f>[1]!hospitalinfo[[#This Row],[State]]</f>
        <v>ID</v>
      </c>
      <c r="C1413" t="str">
        <f>[1]!hospitalinfo[[#This Row],[Hospital Type]]</f>
        <v>Critical Access Hospitals</v>
      </c>
      <c r="D1413" t="str">
        <f>[1]!hospitalinfo[[#This Row],[Hospital Ownership]]</f>
        <v>Voluntary non-profit - Private</v>
      </c>
      <c r="E1413" cm="1">
        <f t="array" ref="E1413">_xlfn.IFNA(_xlfn.XLOOKUP(1,([1]!hcahps[Facility ID] = clean[[#This Row],[Facility ID]]) * ([1]!hcahps[HCAHPS Measure ID] = "H_HSP_RATING_LINEAR_SCORE"), [1]!hcahps[HCAHPS Linear Mean Value]), "No Match")</f>
        <v>88</v>
      </c>
      <c r="F1413" cm="1">
        <f t="array" ref="F1413">_xlfn.IFNA(_xlfn.XLOOKUP(1,([1]!readmissions[Facility ID] = clean[[#This Row],[Facility ID]]) * ([1]!readmissions[Measure ID] = "Hybrid_HWR"), [1]!readmissions[Score]), "No Match")</f>
        <v>14.7</v>
      </c>
    </row>
    <row r="1414" spans="1:6" x14ac:dyDescent="0.2">
      <c r="A1414">
        <f>[1]!hospitalinfo[[#This Row],[Facility ID]]</f>
        <v>131326</v>
      </c>
      <c r="B1414" t="str">
        <f>[1]!hospitalinfo[[#This Row],[State]]</f>
        <v>ID</v>
      </c>
      <c r="C1414" t="str">
        <f>[1]!hospitalinfo[[#This Row],[Hospital Type]]</f>
        <v>Critical Access Hospitals</v>
      </c>
      <c r="D1414" t="str">
        <f>[1]!hospitalinfo[[#This Row],[Hospital Ownership]]</f>
        <v>Voluntary non-profit - Private</v>
      </c>
      <c r="E1414" cm="1">
        <f t="array" ref="E1414">_xlfn.IFNA(_xlfn.XLOOKUP(1,([1]!hcahps[Facility ID] = clean[[#This Row],[Facility ID]]) * ([1]!hcahps[HCAHPS Measure ID] = "H_HSP_RATING_LINEAR_SCORE"), [1]!hcahps[HCAHPS Linear Mean Value]), "No Match")</f>
        <v>90</v>
      </c>
      <c r="F1414" cm="1">
        <f t="array" ref="F1414">_xlfn.IFNA(_xlfn.XLOOKUP(1,([1]!readmissions[Facility ID] = clean[[#This Row],[Facility ID]]) * ([1]!readmissions[Measure ID] = "Hybrid_HWR"), [1]!readmissions[Score]), "No Match")</f>
        <v>14.2</v>
      </c>
    </row>
    <row r="1415" spans="1:6" x14ac:dyDescent="0.2">
      <c r="A1415">
        <f>[1]!hospitalinfo[[#This Row],[Facility ID]]</f>
        <v>131327</v>
      </c>
      <c r="B1415" t="str">
        <f>[1]!hospitalinfo[[#This Row],[State]]</f>
        <v>ID</v>
      </c>
      <c r="C1415" t="str">
        <f>[1]!hospitalinfo[[#This Row],[Hospital Type]]</f>
        <v>Critical Access Hospitals</v>
      </c>
      <c r="D1415" t="str">
        <f>[1]!hospitalinfo[[#This Row],[Hospital Ownership]]</f>
        <v>Voluntary non-profit - Private</v>
      </c>
      <c r="E1415" cm="1">
        <f t="array" ref="E1415">_xlfn.IFNA(_xlfn.XLOOKUP(1,([1]!hcahps[Facility ID] = clean[[#This Row],[Facility ID]]) * ([1]!hcahps[HCAHPS Measure ID] = "H_HSP_RATING_LINEAR_SCORE"), [1]!hcahps[HCAHPS Linear Mean Value]), "No Match")</f>
        <v>90</v>
      </c>
      <c r="F1415" cm="1">
        <f t="array" ref="F1415">_xlfn.IFNA(_xlfn.XLOOKUP(1,([1]!readmissions[Facility ID] = clean[[#This Row],[Facility ID]]) * ([1]!readmissions[Measure ID] = "Hybrid_HWR"), [1]!readmissions[Score]), "No Match")</f>
        <v>15.1</v>
      </c>
    </row>
    <row r="1416" spans="1:6" x14ac:dyDescent="0.2">
      <c r="A1416">
        <f>[1]!hospitalinfo[[#This Row],[Facility ID]]</f>
        <v>131328</v>
      </c>
      <c r="B1416" t="str">
        <f>[1]!hospitalinfo[[#This Row],[State]]</f>
        <v>ID</v>
      </c>
      <c r="C1416" t="str">
        <f>[1]!hospitalinfo[[#This Row],[Hospital Type]]</f>
        <v>Critical Access Hospitals</v>
      </c>
      <c r="D1416" t="str">
        <f>[1]!hospitalinfo[[#This Row],[Hospital Ownership]]</f>
        <v>Voluntary non-profit - Private</v>
      </c>
      <c r="E1416" cm="1">
        <f t="array" ref="E1416">_xlfn.IFNA(_xlfn.XLOOKUP(1,([1]!hcahps[Facility ID] = clean[[#This Row],[Facility ID]]) * ([1]!hcahps[HCAHPS Measure ID] = "H_HSP_RATING_LINEAR_SCORE"), [1]!hcahps[HCAHPS Linear Mean Value]), "No Match")</f>
        <v>90</v>
      </c>
      <c r="F1416" cm="1">
        <f t="array" ref="F1416">_xlfn.IFNA(_xlfn.XLOOKUP(1,([1]!readmissions[Facility ID] = clean[[#This Row],[Facility ID]]) * ([1]!readmissions[Measure ID] = "Hybrid_HWR"), [1]!readmissions[Score]), "No Match")</f>
        <v>15.1</v>
      </c>
    </row>
    <row r="1417" spans="1:6" x14ac:dyDescent="0.2">
      <c r="A1417">
        <f>[1]!hospitalinfo[[#This Row],[Facility ID]]</f>
        <v>134002</v>
      </c>
      <c r="B1417" t="str">
        <f>[1]!hospitalinfo[[#This Row],[State]]</f>
        <v>ID</v>
      </c>
      <c r="C1417" t="str">
        <f>[1]!hospitalinfo[[#This Row],[Hospital Type]]</f>
        <v>Psychiatric</v>
      </c>
      <c r="D1417" t="str">
        <f>[1]!hospitalinfo[[#This Row],[Hospital Ownership]]</f>
        <v>Proprietary</v>
      </c>
      <c r="E1417" t="str" cm="1">
        <f t="array" ref="E1417">_xlfn.IFNA(_xlfn.XLOOKUP(1,([1]!hcahps[Facility ID] = clean[[#This Row],[Facility ID]]) * ([1]!hcahps[HCAHPS Measure ID] = "H_HSP_RATING_LINEAR_SCORE"), [1]!hcahps[HCAHPS Linear Mean Value]), "No Match")</f>
        <v>No Match</v>
      </c>
      <c r="F1417" t="str" cm="1">
        <f t="array" ref="F1417">_xlfn.IFNA(_xlfn.XLOOKUP(1,([1]!readmissions[Facility ID] = clean[[#This Row],[Facility ID]]) * ([1]!readmissions[Measure ID] = "Hybrid_HWR"), [1]!readmissions[Score]), "No Match")</f>
        <v>No Match</v>
      </c>
    </row>
    <row r="1418" spans="1:6" x14ac:dyDescent="0.2">
      <c r="A1418">
        <f>[1]!hospitalinfo[[#This Row],[Facility ID]]</f>
        <v>134009</v>
      </c>
      <c r="B1418" t="str">
        <f>[1]!hospitalinfo[[#This Row],[State]]</f>
        <v>ID</v>
      </c>
      <c r="C1418" t="str">
        <f>[1]!hospitalinfo[[#This Row],[Hospital Type]]</f>
        <v>Psychiatric</v>
      </c>
      <c r="D1418" t="str">
        <f>[1]!hospitalinfo[[#This Row],[Hospital Ownership]]</f>
        <v>Voluntary non-profit - Private</v>
      </c>
      <c r="E1418" t="str" cm="1">
        <f t="array" ref="E1418">_xlfn.IFNA(_xlfn.XLOOKUP(1,([1]!hcahps[Facility ID] = clean[[#This Row],[Facility ID]]) * ([1]!hcahps[HCAHPS Measure ID] = "H_HSP_RATING_LINEAR_SCORE"), [1]!hcahps[HCAHPS Linear Mean Value]), "No Match")</f>
        <v>No Match</v>
      </c>
      <c r="F1418" t="str" cm="1">
        <f t="array" ref="F1418">_xlfn.IFNA(_xlfn.XLOOKUP(1,([1]!readmissions[Facility ID] = clean[[#This Row],[Facility ID]]) * ([1]!readmissions[Measure ID] = "Hybrid_HWR"), [1]!readmissions[Score]), "No Match")</f>
        <v>No Match</v>
      </c>
    </row>
    <row r="1419" spans="1:6" x14ac:dyDescent="0.2">
      <c r="A1419">
        <f>[1]!hospitalinfo[[#This Row],[Facility ID]]</f>
        <v>134010</v>
      </c>
      <c r="B1419" t="str">
        <f>[1]!hospitalinfo[[#This Row],[State]]</f>
        <v>ID</v>
      </c>
      <c r="C1419" t="str">
        <f>[1]!hospitalinfo[[#This Row],[Hospital Type]]</f>
        <v>Psychiatric</v>
      </c>
      <c r="D1419" t="str">
        <f>[1]!hospitalinfo[[#This Row],[Hospital Ownership]]</f>
        <v>Government - State</v>
      </c>
      <c r="E1419" t="str" cm="1">
        <f t="array" ref="E1419">_xlfn.IFNA(_xlfn.XLOOKUP(1,([1]!hcahps[Facility ID] = clean[[#This Row],[Facility ID]]) * ([1]!hcahps[HCAHPS Measure ID] = "H_HSP_RATING_LINEAR_SCORE"), [1]!hcahps[HCAHPS Linear Mean Value]), "No Match")</f>
        <v>No Match</v>
      </c>
      <c r="F1419" t="str" cm="1">
        <f t="array" ref="F1419">_xlfn.IFNA(_xlfn.XLOOKUP(1,([1]!readmissions[Facility ID] = clean[[#This Row],[Facility ID]]) * ([1]!readmissions[Measure ID] = "Hybrid_HWR"), [1]!readmissions[Score]), "No Match")</f>
        <v>No Match</v>
      </c>
    </row>
    <row r="1420" spans="1:6" x14ac:dyDescent="0.2">
      <c r="A1420">
        <f>[1]!hospitalinfo[[#This Row],[Facility ID]]</f>
        <v>134017</v>
      </c>
      <c r="B1420" t="str">
        <f>[1]!hospitalinfo[[#This Row],[State]]</f>
        <v>ID</v>
      </c>
      <c r="C1420" t="str">
        <f>[1]!hospitalinfo[[#This Row],[Hospital Type]]</f>
        <v>Psychiatric</v>
      </c>
      <c r="D1420" t="str">
        <f>[1]!hospitalinfo[[#This Row],[Hospital Ownership]]</f>
        <v>Proprietary</v>
      </c>
      <c r="E1420" t="str" cm="1">
        <f t="array" ref="E1420">_xlfn.IFNA(_xlfn.XLOOKUP(1,([1]!hcahps[Facility ID] = clean[[#This Row],[Facility ID]]) * ([1]!hcahps[HCAHPS Measure ID] = "H_HSP_RATING_LINEAR_SCORE"), [1]!hcahps[HCAHPS Linear Mean Value]), "No Match")</f>
        <v>No Match</v>
      </c>
      <c r="F1420" t="str" cm="1">
        <f t="array" ref="F1420">_xlfn.IFNA(_xlfn.XLOOKUP(1,([1]!readmissions[Facility ID] = clean[[#This Row],[Facility ID]]) * ([1]!readmissions[Measure ID] = "Hybrid_HWR"), [1]!readmissions[Score]), "No Match")</f>
        <v>No Match</v>
      </c>
    </row>
    <row r="1421" spans="1:6" x14ac:dyDescent="0.2">
      <c r="A1421" t="str">
        <f>[1]!hospitalinfo[[#This Row],[Facility ID]]</f>
        <v>13003F</v>
      </c>
      <c r="B1421" t="str">
        <f>[1]!hospitalinfo[[#This Row],[State]]</f>
        <v>ID</v>
      </c>
      <c r="C1421" t="str">
        <f>[1]!hospitalinfo[[#This Row],[Hospital Type]]</f>
        <v>Acute Care - Veterans Administration</v>
      </c>
      <c r="D1421" t="str">
        <f>[1]!hospitalinfo[[#This Row],[Hospital Ownership]]</f>
        <v>Veterans Health Administration</v>
      </c>
      <c r="E1421" cm="1">
        <f t="array" ref="E1421">_xlfn.IFNA(_xlfn.XLOOKUP(1,([1]!hcahps[Facility ID] = clean[[#This Row],[Facility ID]]) * ([1]!hcahps[HCAHPS Measure ID] = "H_HSP_RATING_LINEAR_SCORE"), [1]!hcahps[HCAHPS Linear Mean Value]), "No Match")</f>
        <v>95</v>
      </c>
      <c r="F1421" cm="1">
        <f t="array" ref="F1421">_xlfn.IFNA(_xlfn.XLOOKUP(1,([1]!readmissions[Facility ID] = clean[[#This Row],[Facility ID]]) * ([1]!readmissions[Measure ID] = "Hybrid_HWR"), [1]!readmissions[Score]), "No Match")</f>
        <v>15</v>
      </c>
    </row>
    <row r="1422" spans="1:6" x14ac:dyDescent="0.2">
      <c r="A1422">
        <f>[1]!hospitalinfo[[#This Row],[Facility ID]]</f>
        <v>140001</v>
      </c>
      <c r="B1422" t="str">
        <f>[1]!hospitalinfo[[#This Row],[State]]</f>
        <v>IL</v>
      </c>
      <c r="C1422" t="str">
        <f>[1]!hospitalinfo[[#This Row],[Hospital Type]]</f>
        <v>Acute Care Hospitals</v>
      </c>
      <c r="D1422" t="str">
        <f>[1]!hospitalinfo[[#This Row],[Hospital Ownership]]</f>
        <v>Voluntary non-profit - Private</v>
      </c>
      <c r="E1422" cm="1">
        <f t="array" ref="E1422">_xlfn.IFNA(_xlfn.XLOOKUP(1,([1]!hcahps[Facility ID] = clean[[#This Row],[Facility ID]]) * ([1]!hcahps[HCAHPS Measure ID] = "H_HSP_RATING_LINEAR_SCORE"), [1]!hcahps[HCAHPS Linear Mean Value]), "No Match")</f>
        <v>87</v>
      </c>
      <c r="F1422" cm="1">
        <f t="array" ref="F1422">_xlfn.IFNA(_xlfn.XLOOKUP(1,([1]!readmissions[Facility ID] = clean[[#This Row],[Facility ID]]) * ([1]!readmissions[Measure ID] = "Hybrid_HWR"), [1]!readmissions[Score]), "No Match")</f>
        <v>15.2</v>
      </c>
    </row>
    <row r="1423" spans="1:6" x14ac:dyDescent="0.2">
      <c r="A1423">
        <f>[1]!hospitalinfo[[#This Row],[Facility ID]]</f>
        <v>140002</v>
      </c>
      <c r="B1423" t="str">
        <f>[1]!hospitalinfo[[#This Row],[State]]</f>
        <v>IL</v>
      </c>
      <c r="C1423" t="str">
        <f>[1]!hospitalinfo[[#This Row],[Hospital Type]]</f>
        <v>Acute Care Hospitals</v>
      </c>
      <c r="D1423" t="str">
        <f>[1]!hospitalinfo[[#This Row],[Hospital Ownership]]</f>
        <v>Voluntary non-profit - Private</v>
      </c>
      <c r="E1423" cm="1">
        <f t="array" ref="E1423">_xlfn.IFNA(_xlfn.XLOOKUP(1,([1]!hcahps[Facility ID] = clean[[#This Row],[Facility ID]]) * ([1]!hcahps[HCAHPS Measure ID] = "H_HSP_RATING_LINEAR_SCORE"), [1]!hcahps[HCAHPS Linear Mean Value]), "No Match")</f>
        <v>90</v>
      </c>
      <c r="F1423" cm="1">
        <f t="array" ref="F1423">_xlfn.IFNA(_xlfn.XLOOKUP(1,([1]!readmissions[Facility ID] = clean[[#This Row],[Facility ID]]) * ([1]!readmissions[Measure ID] = "Hybrid_HWR"), [1]!readmissions[Score]), "No Match")</f>
        <v>15.1</v>
      </c>
    </row>
    <row r="1424" spans="1:6" x14ac:dyDescent="0.2">
      <c r="A1424">
        <f>[1]!hospitalinfo[[#This Row],[Facility ID]]</f>
        <v>140007</v>
      </c>
      <c r="B1424" t="str">
        <f>[1]!hospitalinfo[[#This Row],[State]]</f>
        <v>IL</v>
      </c>
      <c r="C1424" t="str">
        <f>[1]!hospitalinfo[[#This Row],[Hospital Type]]</f>
        <v>Acute Care Hospitals</v>
      </c>
      <c r="D1424" t="str">
        <f>[1]!hospitalinfo[[#This Row],[Hospital Ownership]]</f>
        <v>Voluntary non-profit - Church</v>
      </c>
      <c r="E1424" cm="1">
        <f t="array" ref="E1424">_xlfn.IFNA(_xlfn.XLOOKUP(1,([1]!hcahps[Facility ID] = clean[[#This Row],[Facility ID]]) * ([1]!hcahps[HCAHPS Measure ID] = "H_HSP_RATING_LINEAR_SCORE"), [1]!hcahps[HCAHPS Linear Mean Value]), "No Match")</f>
        <v>82</v>
      </c>
      <c r="F1424" cm="1">
        <f t="array" ref="F1424">_xlfn.IFNA(_xlfn.XLOOKUP(1,([1]!readmissions[Facility ID] = clean[[#This Row],[Facility ID]]) * ([1]!readmissions[Measure ID] = "Hybrid_HWR"), [1]!readmissions[Score]), "No Match")</f>
        <v>15.6</v>
      </c>
    </row>
    <row r="1425" spans="1:6" x14ac:dyDescent="0.2">
      <c r="A1425">
        <f>[1]!hospitalinfo[[#This Row],[Facility ID]]</f>
        <v>140008</v>
      </c>
      <c r="B1425" t="str">
        <f>[1]!hospitalinfo[[#This Row],[State]]</f>
        <v>IL</v>
      </c>
      <c r="C1425" t="str">
        <f>[1]!hospitalinfo[[#This Row],[Hospital Type]]</f>
        <v>Acute Care Hospitals</v>
      </c>
      <c r="D1425" t="str">
        <f>[1]!hospitalinfo[[#This Row],[Hospital Ownership]]</f>
        <v>Voluntary non-profit - Private</v>
      </c>
      <c r="E1425" cm="1">
        <f t="array" ref="E1425">_xlfn.IFNA(_xlfn.XLOOKUP(1,([1]!hcahps[Facility ID] = clean[[#This Row],[Facility ID]]) * ([1]!hcahps[HCAHPS Measure ID] = "H_HSP_RATING_LINEAR_SCORE"), [1]!hcahps[HCAHPS Linear Mean Value]), "No Match")</f>
        <v>85</v>
      </c>
      <c r="F1425" cm="1">
        <f t="array" ref="F1425">_xlfn.IFNA(_xlfn.XLOOKUP(1,([1]!readmissions[Facility ID] = clean[[#This Row],[Facility ID]]) * ([1]!readmissions[Measure ID] = "Hybrid_HWR"), [1]!readmissions[Score]), "No Match")</f>
        <v>15.1</v>
      </c>
    </row>
    <row r="1426" spans="1:6" x14ac:dyDescent="0.2">
      <c r="A1426">
        <f>[1]!hospitalinfo[[#This Row],[Facility ID]]</f>
        <v>140010</v>
      </c>
      <c r="B1426" t="str">
        <f>[1]!hospitalinfo[[#This Row],[State]]</f>
        <v>IL</v>
      </c>
      <c r="C1426" t="str">
        <f>[1]!hospitalinfo[[#This Row],[Hospital Type]]</f>
        <v>Acute Care Hospitals</v>
      </c>
      <c r="D1426" t="str">
        <f>[1]!hospitalinfo[[#This Row],[Hospital Ownership]]</f>
        <v>Voluntary non-profit - Other</v>
      </c>
      <c r="E1426" cm="1">
        <f t="array" ref="E1426">_xlfn.IFNA(_xlfn.XLOOKUP(1,([1]!hcahps[Facility ID] = clean[[#This Row],[Facility ID]]) * ([1]!hcahps[HCAHPS Measure ID] = "H_HSP_RATING_LINEAR_SCORE"), [1]!hcahps[HCAHPS Linear Mean Value]), "No Match")</f>
        <v>87</v>
      </c>
      <c r="F1426" cm="1">
        <f t="array" ref="F1426">_xlfn.IFNA(_xlfn.XLOOKUP(1,([1]!readmissions[Facility ID] = clean[[#This Row],[Facility ID]]) * ([1]!readmissions[Measure ID] = "Hybrid_HWR"), [1]!readmissions[Score]), "No Match")</f>
        <v>15</v>
      </c>
    </row>
    <row r="1427" spans="1:6" x14ac:dyDescent="0.2">
      <c r="A1427">
        <f>[1]!hospitalinfo[[#This Row],[Facility ID]]</f>
        <v>140011</v>
      </c>
      <c r="B1427" t="str">
        <f>[1]!hospitalinfo[[#This Row],[State]]</f>
        <v>IL</v>
      </c>
      <c r="C1427" t="str">
        <f>[1]!hospitalinfo[[#This Row],[Hospital Type]]</f>
        <v>Acute Care Hospitals</v>
      </c>
      <c r="D1427" t="str">
        <f>[1]!hospitalinfo[[#This Row],[Hospital Ownership]]</f>
        <v>Voluntary non-profit - Private</v>
      </c>
      <c r="E1427" cm="1">
        <f t="array" ref="E1427">_xlfn.IFNA(_xlfn.XLOOKUP(1,([1]!hcahps[Facility ID] = clean[[#This Row],[Facility ID]]) * ([1]!hcahps[HCAHPS Measure ID] = "H_HSP_RATING_LINEAR_SCORE"), [1]!hcahps[HCAHPS Linear Mean Value]), "No Match")</f>
        <v>87</v>
      </c>
      <c r="F1427" cm="1">
        <f t="array" ref="F1427">_xlfn.IFNA(_xlfn.XLOOKUP(1,([1]!readmissions[Facility ID] = clean[[#This Row],[Facility ID]]) * ([1]!readmissions[Measure ID] = "Hybrid_HWR"), [1]!readmissions[Score]), "No Match")</f>
        <v>17</v>
      </c>
    </row>
    <row r="1428" spans="1:6" x14ac:dyDescent="0.2">
      <c r="A1428">
        <f>[1]!hospitalinfo[[#This Row],[Facility ID]]</f>
        <v>140012</v>
      </c>
      <c r="B1428" t="str">
        <f>[1]!hospitalinfo[[#This Row],[State]]</f>
        <v>IL</v>
      </c>
      <c r="C1428" t="str">
        <f>[1]!hospitalinfo[[#This Row],[Hospital Type]]</f>
        <v>Acute Care Hospitals</v>
      </c>
      <c r="D1428" t="str">
        <f>[1]!hospitalinfo[[#This Row],[Hospital Ownership]]</f>
        <v>Voluntary non-profit - Private</v>
      </c>
      <c r="E1428" cm="1">
        <f t="array" ref="E1428">_xlfn.IFNA(_xlfn.XLOOKUP(1,([1]!hcahps[Facility ID] = clean[[#This Row],[Facility ID]]) * ([1]!hcahps[HCAHPS Measure ID] = "H_HSP_RATING_LINEAR_SCORE"), [1]!hcahps[HCAHPS Linear Mean Value]), "No Match")</f>
        <v>86</v>
      </c>
      <c r="F1428" cm="1">
        <f t="array" ref="F1428">_xlfn.IFNA(_xlfn.XLOOKUP(1,([1]!readmissions[Facility ID] = clean[[#This Row],[Facility ID]]) * ([1]!readmissions[Measure ID] = "Hybrid_HWR"), [1]!readmissions[Score]), "No Match")</f>
        <v>14.6</v>
      </c>
    </row>
    <row r="1429" spans="1:6" x14ac:dyDescent="0.2">
      <c r="A1429">
        <f>[1]!hospitalinfo[[#This Row],[Facility ID]]</f>
        <v>140013</v>
      </c>
      <c r="B1429" t="str">
        <f>[1]!hospitalinfo[[#This Row],[State]]</f>
        <v>IL</v>
      </c>
      <c r="C1429" t="str">
        <f>[1]!hospitalinfo[[#This Row],[Hospital Type]]</f>
        <v>Acute Care Hospitals</v>
      </c>
      <c r="D1429" t="str">
        <f>[1]!hospitalinfo[[#This Row],[Hospital Ownership]]</f>
        <v>Voluntary non-profit - Private</v>
      </c>
      <c r="E1429" cm="1">
        <f t="array" ref="E1429">_xlfn.IFNA(_xlfn.XLOOKUP(1,([1]!hcahps[Facility ID] = clean[[#This Row],[Facility ID]]) * ([1]!hcahps[HCAHPS Measure ID] = "H_HSP_RATING_LINEAR_SCORE"), [1]!hcahps[HCAHPS Linear Mean Value]), "No Match")</f>
        <v>84</v>
      </c>
      <c r="F1429" cm="1">
        <f t="array" ref="F1429">_xlfn.IFNA(_xlfn.XLOOKUP(1,([1]!readmissions[Facility ID] = clean[[#This Row],[Facility ID]]) * ([1]!readmissions[Measure ID] = "Hybrid_HWR"), [1]!readmissions[Score]), "No Match")</f>
        <v>13.3</v>
      </c>
    </row>
    <row r="1430" spans="1:6" x14ac:dyDescent="0.2">
      <c r="A1430">
        <f>[1]!hospitalinfo[[#This Row],[Facility ID]]</f>
        <v>140015</v>
      </c>
      <c r="B1430" t="str">
        <f>[1]!hospitalinfo[[#This Row],[State]]</f>
        <v>IL</v>
      </c>
      <c r="C1430" t="str">
        <f>[1]!hospitalinfo[[#This Row],[Hospital Type]]</f>
        <v>Acute Care Hospitals</v>
      </c>
      <c r="D1430" t="str">
        <f>[1]!hospitalinfo[[#This Row],[Hospital Ownership]]</f>
        <v>Voluntary non-profit - Private</v>
      </c>
      <c r="E1430" cm="1">
        <f t="array" ref="E1430">_xlfn.IFNA(_xlfn.XLOOKUP(1,([1]!hcahps[Facility ID] = clean[[#This Row],[Facility ID]]) * ([1]!hcahps[HCAHPS Measure ID] = "H_HSP_RATING_LINEAR_SCORE"), [1]!hcahps[HCAHPS Linear Mean Value]), "No Match")</f>
        <v>88</v>
      </c>
      <c r="F1430" cm="1">
        <f t="array" ref="F1430">_xlfn.IFNA(_xlfn.XLOOKUP(1,([1]!readmissions[Facility ID] = clean[[#This Row],[Facility ID]]) * ([1]!readmissions[Measure ID] = "Hybrid_HWR"), [1]!readmissions[Score]), "No Match")</f>
        <v>15.3</v>
      </c>
    </row>
    <row r="1431" spans="1:6" x14ac:dyDescent="0.2">
      <c r="A1431">
        <f>[1]!hospitalinfo[[#This Row],[Facility ID]]</f>
        <v>140018</v>
      </c>
      <c r="B1431" t="str">
        <f>[1]!hospitalinfo[[#This Row],[State]]</f>
        <v>IL</v>
      </c>
      <c r="C1431" t="str">
        <f>[1]!hospitalinfo[[#This Row],[Hospital Type]]</f>
        <v>Acute Care Hospitals</v>
      </c>
      <c r="D1431" t="str">
        <f>[1]!hospitalinfo[[#This Row],[Hospital Ownership]]</f>
        <v>Voluntary non-profit - Private</v>
      </c>
      <c r="E1431" cm="1">
        <f t="array" ref="E1431">_xlfn.IFNA(_xlfn.XLOOKUP(1,([1]!hcahps[Facility ID] = clean[[#This Row],[Facility ID]]) * ([1]!hcahps[HCAHPS Measure ID] = "H_HSP_RATING_LINEAR_SCORE"), [1]!hcahps[HCAHPS Linear Mean Value]), "No Match")</f>
        <v>81</v>
      </c>
      <c r="F1431" cm="1">
        <f t="array" ref="F1431">_xlfn.IFNA(_xlfn.XLOOKUP(1,([1]!readmissions[Facility ID] = clean[[#This Row],[Facility ID]]) * ([1]!readmissions[Measure ID] = "Hybrid_HWR"), [1]!readmissions[Score]), "No Match")</f>
        <v>16.3</v>
      </c>
    </row>
    <row r="1432" spans="1:6" x14ac:dyDescent="0.2">
      <c r="A1432">
        <f>[1]!hospitalinfo[[#This Row],[Facility ID]]</f>
        <v>140029</v>
      </c>
      <c r="B1432" t="str">
        <f>[1]!hospitalinfo[[#This Row],[State]]</f>
        <v>IL</v>
      </c>
      <c r="C1432" t="str">
        <f>[1]!hospitalinfo[[#This Row],[Hospital Type]]</f>
        <v>Acute Care Hospitals</v>
      </c>
      <c r="D1432" t="str">
        <f>[1]!hospitalinfo[[#This Row],[Hospital Ownership]]</f>
        <v>Voluntary non-profit - Private</v>
      </c>
      <c r="E1432" cm="1">
        <f t="array" ref="E1432">_xlfn.IFNA(_xlfn.XLOOKUP(1,([1]!hcahps[Facility ID] = clean[[#This Row],[Facility ID]]) * ([1]!hcahps[HCAHPS Measure ID] = "H_HSP_RATING_LINEAR_SCORE"), [1]!hcahps[HCAHPS Linear Mean Value]), "No Match")</f>
        <v>87</v>
      </c>
      <c r="F1432" cm="1">
        <f t="array" ref="F1432">_xlfn.IFNA(_xlfn.XLOOKUP(1,([1]!readmissions[Facility ID] = clean[[#This Row],[Facility ID]]) * ([1]!readmissions[Measure ID] = "Hybrid_HWR"), [1]!readmissions[Score]), "No Match")</f>
        <v>14.5</v>
      </c>
    </row>
    <row r="1433" spans="1:6" x14ac:dyDescent="0.2">
      <c r="A1433">
        <f>[1]!hospitalinfo[[#This Row],[Facility ID]]</f>
        <v>140030</v>
      </c>
      <c r="B1433" t="str">
        <f>[1]!hospitalinfo[[#This Row],[State]]</f>
        <v>IL</v>
      </c>
      <c r="C1433" t="str">
        <f>[1]!hospitalinfo[[#This Row],[Hospital Type]]</f>
        <v>Acute Care Hospitals</v>
      </c>
      <c r="D1433" t="str">
        <f>[1]!hospitalinfo[[#This Row],[Hospital Ownership]]</f>
        <v>Voluntary non-profit - Private</v>
      </c>
      <c r="E1433" cm="1">
        <f t="array" ref="E1433">_xlfn.IFNA(_xlfn.XLOOKUP(1,([1]!hcahps[Facility ID] = clean[[#This Row],[Facility ID]]) * ([1]!hcahps[HCAHPS Measure ID] = "H_HSP_RATING_LINEAR_SCORE"), [1]!hcahps[HCAHPS Linear Mean Value]), "No Match")</f>
        <v>90</v>
      </c>
      <c r="F1433" cm="1">
        <f t="array" ref="F1433">_xlfn.IFNA(_xlfn.XLOOKUP(1,([1]!readmissions[Facility ID] = clean[[#This Row],[Facility ID]]) * ([1]!readmissions[Measure ID] = "Hybrid_HWR"), [1]!readmissions[Score]), "No Match")</f>
        <v>15.4</v>
      </c>
    </row>
    <row r="1434" spans="1:6" x14ac:dyDescent="0.2">
      <c r="A1434">
        <f>[1]!hospitalinfo[[#This Row],[Facility ID]]</f>
        <v>140032</v>
      </c>
      <c r="B1434" t="str">
        <f>[1]!hospitalinfo[[#This Row],[State]]</f>
        <v>IL</v>
      </c>
      <c r="C1434" t="str">
        <f>[1]!hospitalinfo[[#This Row],[Hospital Type]]</f>
        <v>Acute Care Hospitals</v>
      </c>
      <c r="D1434" t="str">
        <f>[1]!hospitalinfo[[#This Row],[Hospital Ownership]]</f>
        <v>Voluntary non-profit - Church</v>
      </c>
      <c r="E1434" cm="1">
        <f t="array" ref="E1434">_xlfn.IFNA(_xlfn.XLOOKUP(1,([1]!hcahps[Facility ID] = clean[[#This Row],[Facility ID]]) * ([1]!hcahps[HCAHPS Measure ID] = "H_HSP_RATING_LINEAR_SCORE"), [1]!hcahps[HCAHPS Linear Mean Value]), "No Match")</f>
        <v>90</v>
      </c>
      <c r="F1434" cm="1">
        <f t="array" ref="F1434">_xlfn.IFNA(_xlfn.XLOOKUP(1,([1]!readmissions[Facility ID] = clean[[#This Row],[Facility ID]]) * ([1]!readmissions[Measure ID] = "Hybrid_HWR"), [1]!readmissions[Score]), "No Match")</f>
        <v>15.3</v>
      </c>
    </row>
    <row r="1435" spans="1:6" x14ac:dyDescent="0.2">
      <c r="A1435">
        <f>[1]!hospitalinfo[[#This Row],[Facility ID]]</f>
        <v>140034</v>
      </c>
      <c r="B1435" t="str">
        <f>[1]!hospitalinfo[[#This Row],[State]]</f>
        <v>IL</v>
      </c>
      <c r="C1435" t="str">
        <f>[1]!hospitalinfo[[#This Row],[Hospital Type]]</f>
        <v>Acute Care Hospitals</v>
      </c>
      <c r="D1435" t="str">
        <f>[1]!hospitalinfo[[#This Row],[Hospital Ownership]]</f>
        <v>Voluntary non-profit - Church</v>
      </c>
      <c r="E1435" cm="1">
        <f t="array" ref="E1435">_xlfn.IFNA(_xlfn.XLOOKUP(1,([1]!hcahps[Facility ID] = clean[[#This Row],[Facility ID]]) * ([1]!hcahps[HCAHPS Measure ID] = "H_HSP_RATING_LINEAR_SCORE"), [1]!hcahps[HCAHPS Linear Mean Value]), "No Match")</f>
        <v>88</v>
      </c>
      <c r="F1435" cm="1">
        <f t="array" ref="F1435">_xlfn.IFNA(_xlfn.XLOOKUP(1,([1]!readmissions[Facility ID] = clean[[#This Row],[Facility ID]]) * ([1]!readmissions[Measure ID] = "Hybrid_HWR"), [1]!readmissions[Score]), "No Match")</f>
        <v>14</v>
      </c>
    </row>
    <row r="1436" spans="1:6" x14ac:dyDescent="0.2">
      <c r="A1436">
        <f>[1]!hospitalinfo[[#This Row],[Facility ID]]</f>
        <v>140043</v>
      </c>
      <c r="B1436" t="str">
        <f>[1]!hospitalinfo[[#This Row],[State]]</f>
        <v>IL</v>
      </c>
      <c r="C1436" t="str">
        <f>[1]!hospitalinfo[[#This Row],[Hospital Type]]</f>
        <v>Acute Care Hospitals</v>
      </c>
      <c r="D1436" t="str">
        <f>[1]!hospitalinfo[[#This Row],[Hospital Ownership]]</f>
        <v>Government - Local</v>
      </c>
      <c r="E1436" cm="1">
        <f t="array" ref="E1436">_xlfn.IFNA(_xlfn.XLOOKUP(1,([1]!hcahps[Facility ID] = clean[[#This Row],[Facility ID]]) * ([1]!hcahps[HCAHPS Measure ID] = "H_HSP_RATING_LINEAR_SCORE"), [1]!hcahps[HCAHPS Linear Mean Value]), "No Match")</f>
        <v>89</v>
      </c>
      <c r="F1436" cm="1">
        <f t="array" ref="F1436">_xlfn.IFNA(_xlfn.XLOOKUP(1,([1]!readmissions[Facility ID] = clean[[#This Row],[Facility ID]]) * ([1]!readmissions[Measure ID] = "Hybrid_HWR"), [1]!readmissions[Score]), "No Match")</f>
        <v>15.6</v>
      </c>
    </row>
    <row r="1437" spans="1:6" x14ac:dyDescent="0.2">
      <c r="A1437">
        <f>[1]!hospitalinfo[[#This Row],[Facility ID]]</f>
        <v>140046</v>
      </c>
      <c r="B1437" t="str">
        <f>[1]!hospitalinfo[[#This Row],[State]]</f>
        <v>IL</v>
      </c>
      <c r="C1437" t="str">
        <f>[1]!hospitalinfo[[#This Row],[Hospital Type]]</f>
        <v>Acute Care Hospitals</v>
      </c>
      <c r="D1437" t="str">
        <f>[1]!hospitalinfo[[#This Row],[Hospital Ownership]]</f>
        <v>Voluntary non-profit - Private</v>
      </c>
      <c r="E1437" cm="1">
        <f t="array" ref="E1437">_xlfn.IFNA(_xlfn.XLOOKUP(1,([1]!hcahps[Facility ID] = clean[[#This Row],[Facility ID]]) * ([1]!hcahps[HCAHPS Measure ID] = "H_HSP_RATING_LINEAR_SCORE"), [1]!hcahps[HCAHPS Linear Mean Value]), "No Match")</f>
        <v>88</v>
      </c>
      <c r="F1437" cm="1">
        <f t="array" ref="F1437">_xlfn.IFNA(_xlfn.XLOOKUP(1,([1]!readmissions[Facility ID] = clean[[#This Row],[Facility ID]]) * ([1]!readmissions[Measure ID] = "Hybrid_HWR"), [1]!readmissions[Score]), "No Match")</f>
        <v>15.4</v>
      </c>
    </row>
    <row r="1438" spans="1:6" x14ac:dyDescent="0.2">
      <c r="A1438">
        <f>[1]!hospitalinfo[[#This Row],[Facility ID]]</f>
        <v>140048</v>
      </c>
      <c r="B1438" t="str">
        <f>[1]!hospitalinfo[[#This Row],[State]]</f>
        <v>IL</v>
      </c>
      <c r="C1438" t="str">
        <f>[1]!hospitalinfo[[#This Row],[Hospital Type]]</f>
        <v>Acute Care Hospitals</v>
      </c>
      <c r="D1438" t="str">
        <f>[1]!hospitalinfo[[#This Row],[Hospital Ownership]]</f>
        <v>Voluntary non-profit - Church</v>
      </c>
      <c r="E1438" cm="1">
        <f t="array" ref="E1438">_xlfn.IFNA(_xlfn.XLOOKUP(1,([1]!hcahps[Facility ID] = clean[[#This Row],[Facility ID]]) * ([1]!hcahps[HCAHPS Measure ID] = "H_HSP_RATING_LINEAR_SCORE"), [1]!hcahps[HCAHPS Linear Mean Value]), "No Match")</f>
        <v>84</v>
      </c>
      <c r="F1438" cm="1">
        <f t="array" ref="F1438">_xlfn.IFNA(_xlfn.XLOOKUP(1,([1]!readmissions[Facility ID] = clean[[#This Row],[Facility ID]]) * ([1]!readmissions[Measure ID] = "Hybrid_HWR"), [1]!readmissions[Score]), "No Match")</f>
        <v>16</v>
      </c>
    </row>
    <row r="1439" spans="1:6" x14ac:dyDescent="0.2">
      <c r="A1439">
        <f>[1]!hospitalinfo[[#This Row],[Facility ID]]</f>
        <v>140049</v>
      </c>
      <c r="B1439" t="str">
        <f>[1]!hospitalinfo[[#This Row],[State]]</f>
        <v>IL</v>
      </c>
      <c r="C1439" t="str">
        <f>[1]!hospitalinfo[[#This Row],[Hospital Type]]</f>
        <v>Acute Care Hospitals</v>
      </c>
      <c r="D1439" t="str">
        <f>[1]!hospitalinfo[[#This Row],[Hospital Ownership]]</f>
        <v>Voluntary non-profit - Other</v>
      </c>
      <c r="E1439" cm="1">
        <f t="array" ref="E1439">_xlfn.IFNA(_xlfn.XLOOKUP(1,([1]!hcahps[Facility ID] = clean[[#This Row],[Facility ID]]) * ([1]!hcahps[HCAHPS Measure ID] = "H_HSP_RATING_LINEAR_SCORE"), [1]!hcahps[HCAHPS Linear Mean Value]), "No Match")</f>
        <v>79</v>
      </c>
      <c r="F1439" cm="1">
        <f t="array" ref="F1439">_xlfn.IFNA(_xlfn.XLOOKUP(1,([1]!readmissions[Facility ID] = clean[[#This Row],[Facility ID]]) * ([1]!readmissions[Measure ID] = "Hybrid_HWR"), [1]!readmissions[Score]), "No Match")</f>
        <v>16</v>
      </c>
    </row>
    <row r="1440" spans="1:6" x14ac:dyDescent="0.2">
      <c r="A1440">
        <f>[1]!hospitalinfo[[#This Row],[Facility ID]]</f>
        <v>140052</v>
      </c>
      <c r="B1440" t="str">
        <f>[1]!hospitalinfo[[#This Row],[State]]</f>
        <v>IL</v>
      </c>
      <c r="C1440" t="str">
        <f>[1]!hospitalinfo[[#This Row],[Hospital Type]]</f>
        <v>Acute Care Hospitals</v>
      </c>
      <c r="D1440" t="str">
        <f>[1]!hospitalinfo[[#This Row],[Hospital Ownership]]</f>
        <v>Voluntary non-profit - Church</v>
      </c>
      <c r="E1440" cm="1">
        <f t="array" ref="E1440">_xlfn.IFNA(_xlfn.XLOOKUP(1,([1]!hcahps[Facility ID] = clean[[#This Row],[Facility ID]]) * ([1]!hcahps[HCAHPS Measure ID] = "H_HSP_RATING_LINEAR_SCORE"), [1]!hcahps[HCAHPS Linear Mean Value]), "No Match")</f>
        <v>90</v>
      </c>
      <c r="F1440" cm="1">
        <f t="array" ref="F1440">_xlfn.IFNA(_xlfn.XLOOKUP(1,([1]!readmissions[Facility ID] = clean[[#This Row],[Facility ID]]) * ([1]!readmissions[Measure ID] = "Hybrid_HWR"), [1]!readmissions[Score]), "No Match")</f>
        <v>15.2</v>
      </c>
    </row>
    <row r="1441" spans="1:6" x14ac:dyDescent="0.2">
      <c r="A1441">
        <f>[1]!hospitalinfo[[#This Row],[Facility ID]]</f>
        <v>140053</v>
      </c>
      <c r="B1441" t="str">
        <f>[1]!hospitalinfo[[#This Row],[State]]</f>
        <v>IL</v>
      </c>
      <c r="C1441" t="str">
        <f>[1]!hospitalinfo[[#This Row],[Hospital Type]]</f>
        <v>Acute Care Hospitals</v>
      </c>
      <c r="D1441" t="str">
        <f>[1]!hospitalinfo[[#This Row],[Hospital Ownership]]</f>
        <v>Voluntary non-profit - Church</v>
      </c>
      <c r="E1441" cm="1">
        <f t="array" ref="E1441">_xlfn.IFNA(_xlfn.XLOOKUP(1,([1]!hcahps[Facility ID] = clean[[#This Row],[Facility ID]]) * ([1]!hcahps[HCAHPS Measure ID] = "H_HSP_RATING_LINEAR_SCORE"), [1]!hcahps[HCAHPS Linear Mean Value]), "No Match")</f>
        <v>84</v>
      </c>
      <c r="F1441" cm="1">
        <f t="array" ref="F1441">_xlfn.IFNA(_xlfn.XLOOKUP(1,([1]!readmissions[Facility ID] = clean[[#This Row],[Facility ID]]) * ([1]!readmissions[Measure ID] = "Hybrid_HWR"), [1]!readmissions[Score]), "No Match")</f>
        <v>14.9</v>
      </c>
    </row>
    <row r="1442" spans="1:6" x14ac:dyDescent="0.2">
      <c r="A1442">
        <f>[1]!hospitalinfo[[#This Row],[Facility ID]]</f>
        <v>140054</v>
      </c>
      <c r="B1442" t="str">
        <f>[1]!hospitalinfo[[#This Row],[State]]</f>
        <v>IL</v>
      </c>
      <c r="C1442" t="str">
        <f>[1]!hospitalinfo[[#This Row],[Hospital Type]]</f>
        <v>Acute Care Hospitals</v>
      </c>
      <c r="D1442" t="str">
        <f>[1]!hospitalinfo[[#This Row],[Hospital Ownership]]</f>
        <v>Proprietary</v>
      </c>
      <c r="E1442" cm="1">
        <f t="array" ref="E1442">_xlfn.IFNA(_xlfn.XLOOKUP(1,([1]!hcahps[Facility ID] = clean[[#This Row],[Facility ID]]) * ([1]!hcahps[HCAHPS Measure ID] = "H_HSP_RATING_LINEAR_SCORE"), [1]!hcahps[HCAHPS Linear Mean Value]), "No Match")</f>
        <v>86</v>
      </c>
      <c r="F1442" cm="1">
        <f t="array" ref="F1442">_xlfn.IFNA(_xlfn.XLOOKUP(1,([1]!readmissions[Facility ID] = clean[[#This Row],[Facility ID]]) * ([1]!readmissions[Measure ID] = "Hybrid_HWR"), [1]!readmissions[Score]), "No Match")</f>
        <v>15.9</v>
      </c>
    </row>
    <row r="1443" spans="1:6" x14ac:dyDescent="0.2">
      <c r="A1443">
        <f>[1]!hospitalinfo[[#This Row],[Facility ID]]</f>
        <v>140059</v>
      </c>
      <c r="B1443" t="str">
        <f>[1]!hospitalinfo[[#This Row],[State]]</f>
        <v>IL</v>
      </c>
      <c r="C1443" t="str">
        <f>[1]!hospitalinfo[[#This Row],[Hospital Type]]</f>
        <v>Acute Care Hospitals</v>
      </c>
      <c r="D1443" t="str">
        <f>[1]!hospitalinfo[[#This Row],[Hospital Ownership]]</f>
        <v>Government - Local</v>
      </c>
      <c r="E1443" t="str" cm="1">
        <f t="array" ref="E1443">_xlfn.IFNA(_xlfn.XLOOKUP(1,([1]!hcahps[Facility ID] = clean[[#This Row],[Facility ID]]) * ([1]!hcahps[HCAHPS Measure ID] = "H_HSP_RATING_LINEAR_SCORE"), [1]!hcahps[HCAHPS Linear Mean Value]), "No Match")</f>
        <v>Not Available</v>
      </c>
      <c r="F1443" cm="1">
        <f t="array" ref="F1443">_xlfn.IFNA(_xlfn.XLOOKUP(1,([1]!readmissions[Facility ID] = clean[[#This Row],[Facility ID]]) * ([1]!readmissions[Measure ID] = "Hybrid_HWR"), [1]!readmissions[Score]), "No Match")</f>
        <v>14.8</v>
      </c>
    </row>
    <row r="1444" spans="1:6" x14ac:dyDescent="0.2">
      <c r="A1444">
        <f>[1]!hospitalinfo[[#This Row],[Facility ID]]</f>
        <v>140062</v>
      </c>
      <c r="B1444" t="str">
        <f>[1]!hospitalinfo[[#This Row],[State]]</f>
        <v>IL</v>
      </c>
      <c r="C1444" t="str">
        <f>[1]!hospitalinfo[[#This Row],[Hospital Type]]</f>
        <v>Acute Care Hospitals</v>
      </c>
      <c r="D1444" t="str">
        <f>[1]!hospitalinfo[[#This Row],[Hospital Ownership]]</f>
        <v>Voluntary non-profit - Private</v>
      </c>
      <c r="E1444" cm="1">
        <f t="array" ref="E1444">_xlfn.IFNA(_xlfn.XLOOKUP(1,([1]!hcahps[Facility ID] = clean[[#This Row],[Facility ID]]) * ([1]!hcahps[HCAHPS Measure ID] = "H_HSP_RATING_LINEAR_SCORE"), [1]!hcahps[HCAHPS Linear Mean Value]), "No Match")</f>
        <v>87</v>
      </c>
      <c r="F1444" cm="1">
        <f t="array" ref="F1444">_xlfn.IFNA(_xlfn.XLOOKUP(1,([1]!readmissions[Facility ID] = clean[[#This Row],[Facility ID]]) * ([1]!readmissions[Measure ID] = "Hybrid_HWR"), [1]!readmissions[Score]), "No Match")</f>
        <v>15.5</v>
      </c>
    </row>
    <row r="1445" spans="1:6" x14ac:dyDescent="0.2">
      <c r="A1445">
        <f>[1]!hospitalinfo[[#This Row],[Facility ID]]</f>
        <v>140063</v>
      </c>
      <c r="B1445" t="str">
        <f>[1]!hospitalinfo[[#This Row],[State]]</f>
        <v>IL</v>
      </c>
      <c r="C1445" t="str">
        <f>[1]!hospitalinfo[[#This Row],[Hospital Type]]</f>
        <v>Acute Care Hospitals</v>
      </c>
      <c r="D1445" t="str">
        <f>[1]!hospitalinfo[[#This Row],[Hospital Ownership]]</f>
        <v>Voluntary non-profit - Church</v>
      </c>
      <c r="E1445" cm="1">
        <f t="array" ref="E1445">_xlfn.IFNA(_xlfn.XLOOKUP(1,([1]!hcahps[Facility ID] = clean[[#This Row],[Facility ID]]) * ([1]!hcahps[HCAHPS Measure ID] = "H_HSP_RATING_LINEAR_SCORE"), [1]!hcahps[HCAHPS Linear Mean Value]), "No Match")</f>
        <v>84</v>
      </c>
      <c r="F1445" cm="1">
        <f t="array" ref="F1445">_xlfn.IFNA(_xlfn.XLOOKUP(1,([1]!readmissions[Facility ID] = clean[[#This Row],[Facility ID]]) * ([1]!readmissions[Measure ID] = "Hybrid_HWR"), [1]!readmissions[Score]), "No Match")</f>
        <v>14.9</v>
      </c>
    </row>
    <row r="1446" spans="1:6" x14ac:dyDescent="0.2">
      <c r="A1446">
        <f>[1]!hospitalinfo[[#This Row],[Facility ID]]</f>
        <v>140064</v>
      </c>
      <c r="B1446" t="str">
        <f>[1]!hospitalinfo[[#This Row],[State]]</f>
        <v>IL</v>
      </c>
      <c r="C1446" t="str">
        <f>[1]!hospitalinfo[[#This Row],[Hospital Type]]</f>
        <v>Acute Care Hospitals</v>
      </c>
      <c r="D1446" t="str">
        <f>[1]!hospitalinfo[[#This Row],[Hospital Ownership]]</f>
        <v>Voluntary non-profit - Church</v>
      </c>
      <c r="E1446" cm="1">
        <f t="array" ref="E1446">_xlfn.IFNA(_xlfn.XLOOKUP(1,([1]!hcahps[Facility ID] = clean[[#This Row],[Facility ID]]) * ([1]!hcahps[HCAHPS Measure ID] = "H_HSP_RATING_LINEAR_SCORE"), [1]!hcahps[HCAHPS Linear Mean Value]), "No Match")</f>
        <v>86</v>
      </c>
      <c r="F1446" cm="1">
        <f t="array" ref="F1446">_xlfn.IFNA(_xlfn.XLOOKUP(1,([1]!readmissions[Facility ID] = clean[[#This Row],[Facility ID]]) * ([1]!readmissions[Measure ID] = "Hybrid_HWR"), [1]!readmissions[Score]), "No Match")</f>
        <v>14.8</v>
      </c>
    </row>
    <row r="1447" spans="1:6" x14ac:dyDescent="0.2">
      <c r="A1447">
        <f>[1]!hospitalinfo[[#This Row],[Facility ID]]</f>
        <v>140065</v>
      </c>
      <c r="B1447" t="str">
        <f>[1]!hospitalinfo[[#This Row],[State]]</f>
        <v>IL</v>
      </c>
      <c r="C1447" t="str">
        <f>[1]!hospitalinfo[[#This Row],[Hospital Type]]</f>
        <v>Acute Care Hospitals</v>
      </c>
      <c r="D1447" t="str">
        <f>[1]!hospitalinfo[[#This Row],[Hospital Ownership]]</f>
        <v>Voluntary non-profit - Church</v>
      </c>
      <c r="E1447" cm="1">
        <f t="array" ref="E1447">_xlfn.IFNA(_xlfn.XLOOKUP(1,([1]!hcahps[Facility ID] = clean[[#This Row],[Facility ID]]) * ([1]!hcahps[HCAHPS Measure ID] = "H_HSP_RATING_LINEAR_SCORE"), [1]!hcahps[HCAHPS Linear Mean Value]), "No Match")</f>
        <v>90</v>
      </c>
      <c r="F1447" cm="1">
        <f t="array" ref="F1447">_xlfn.IFNA(_xlfn.XLOOKUP(1,([1]!readmissions[Facility ID] = clean[[#This Row],[Facility ID]]) * ([1]!readmissions[Measure ID] = "Hybrid_HWR"), [1]!readmissions[Score]), "No Match")</f>
        <v>15</v>
      </c>
    </row>
    <row r="1448" spans="1:6" x14ac:dyDescent="0.2">
      <c r="A1448">
        <f>[1]!hospitalinfo[[#This Row],[Facility ID]]</f>
        <v>140067</v>
      </c>
      <c r="B1448" t="str">
        <f>[1]!hospitalinfo[[#This Row],[State]]</f>
        <v>IL</v>
      </c>
      <c r="C1448" t="str">
        <f>[1]!hospitalinfo[[#This Row],[Hospital Type]]</f>
        <v>Acute Care Hospitals</v>
      </c>
      <c r="D1448" t="str">
        <f>[1]!hospitalinfo[[#This Row],[Hospital Ownership]]</f>
        <v>Voluntary non-profit - Private</v>
      </c>
      <c r="E1448" cm="1">
        <f t="array" ref="E1448">_xlfn.IFNA(_xlfn.XLOOKUP(1,([1]!hcahps[Facility ID] = clean[[#This Row],[Facility ID]]) * ([1]!hcahps[HCAHPS Measure ID] = "H_HSP_RATING_LINEAR_SCORE"), [1]!hcahps[HCAHPS Linear Mean Value]), "No Match")</f>
        <v>85</v>
      </c>
      <c r="F1448" cm="1">
        <f t="array" ref="F1448">_xlfn.IFNA(_xlfn.XLOOKUP(1,([1]!readmissions[Facility ID] = clean[[#This Row],[Facility ID]]) * ([1]!readmissions[Measure ID] = "Hybrid_HWR"), [1]!readmissions[Score]), "No Match")</f>
        <v>16</v>
      </c>
    </row>
    <row r="1449" spans="1:6" x14ac:dyDescent="0.2">
      <c r="A1449">
        <f>[1]!hospitalinfo[[#This Row],[Facility ID]]</f>
        <v>140068</v>
      </c>
      <c r="B1449" t="str">
        <f>[1]!hospitalinfo[[#This Row],[State]]</f>
        <v>IL</v>
      </c>
      <c r="C1449" t="str">
        <f>[1]!hospitalinfo[[#This Row],[Hospital Type]]</f>
        <v>Acute Care Hospitals</v>
      </c>
      <c r="D1449" t="str">
        <f>[1]!hospitalinfo[[#This Row],[Hospital Ownership]]</f>
        <v>Voluntary non-profit - Private</v>
      </c>
      <c r="E1449" cm="1">
        <f t="array" ref="E1449">_xlfn.IFNA(_xlfn.XLOOKUP(1,([1]!hcahps[Facility ID] = clean[[#This Row],[Facility ID]]) * ([1]!hcahps[HCAHPS Measure ID] = "H_HSP_RATING_LINEAR_SCORE"), [1]!hcahps[HCAHPS Linear Mean Value]), "No Match")</f>
        <v>76</v>
      </c>
      <c r="F1449" cm="1">
        <f t="array" ref="F1449">_xlfn.IFNA(_xlfn.XLOOKUP(1,([1]!readmissions[Facility ID] = clean[[#This Row],[Facility ID]]) * ([1]!readmissions[Measure ID] = "Hybrid_HWR"), [1]!readmissions[Score]), "No Match")</f>
        <v>15.9</v>
      </c>
    </row>
    <row r="1450" spans="1:6" x14ac:dyDescent="0.2">
      <c r="A1450">
        <f>[1]!hospitalinfo[[#This Row],[Facility ID]]</f>
        <v>140077</v>
      </c>
      <c r="B1450" t="str">
        <f>[1]!hospitalinfo[[#This Row],[State]]</f>
        <v>IL</v>
      </c>
      <c r="C1450" t="str">
        <f>[1]!hospitalinfo[[#This Row],[Hospital Type]]</f>
        <v>Acute Care Hospitals</v>
      </c>
      <c r="D1450" t="str">
        <f>[1]!hospitalinfo[[#This Row],[Hospital Ownership]]</f>
        <v>Voluntary non-profit - Private</v>
      </c>
      <c r="E1450" t="str" cm="1">
        <f t="array" ref="E1450">_xlfn.IFNA(_xlfn.XLOOKUP(1,([1]!hcahps[Facility ID] = clean[[#This Row],[Facility ID]]) * ([1]!hcahps[HCAHPS Measure ID] = "H_HSP_RATING_LINEAR_SCORE"), [1]!hcahps[HCAHPS Linear Mean Value]), "No Match")</f>
        <v>Not Available</v>
      </c>
      <c r="F1450" t="str" cm="1">
        <f t="array" ref="F1450">_xlfn.IFNA(_xlfn.XLOOKUP(1,([1]!readmissions[Facility ID] = clean[[#This Row],[Facility ID]]) * ([1]!readmissions[Measure ID] = "Hybrid_HWR"), [1]!readmissions[Score]), "No Match")</f>
        <v>Not Available</v>
      </c>
    </row>
    <row r="1451" spans="1:6" x14ac:dyDescent="0.2">
      <c r="A1451">
        <f>[1]!hospitalinfo[[#This Row],[Facility ID]]</f>
        <v>140080</v>
      </c>
      <c r="B1451" t="str">
        <f>[1]!hospitalinfo[[#This Row],[State]]</f>
        <v>IL</v>
      </c>
      <c r="C1451" t="str">
        <f>[1]!hospitalinfo[[#This Row],[Hospital Type]]</f>
        <v>Acute Care Hospitals</v>
      </c>
      <c r="D1451" t="str">
        <f>[1]!hospitalinfo[[#This Row],[Hospital Ownership]]</f>
        <v>Voluntary non-profit - Church</v>
      </c>
      <c r="E1451" cm="1">
        <f t="array" ref="E1451">_xlfn.IFNA(_xlfn.XLOOKUP(1,([1]!hcahps[Facility ID] = clean[[#This Row],[Facility ID]]) * ([1]!hcahps[HCAHPS Measure ID] = "H_HSP_RATING_LINEAR_SCORE"), [1]!hcahps[HCAHPS Linear Mean Value]), "No Match")</f>
        <v>86</v>
      </c>
      <c r="F1451" cm="1">
        <f t="array" ref="F1451">_xlfn.IFNA(_xlfn.XLOOKUP(1,([1]!readmissions[Facility ID] = clean[[#This Row],[Facility ID]]) * ([1]!readmissions[Measure ID] = "Hybrid_HWR"), [1]!readmissions[Score]), "No Match")</f>
        <v>15.9</v>
      </c>
    </row>
    <row r="1452" spans="1:6" x14ac:dyDescent="0.2">
      <c r="A1452">
        <f>[1]!hospitalinfo[[#This Row],[Facility ID]]</f>
        <v>140082</v>
      </c>
      <c r="B1452" t="str">
        <f>[1]!hospitalinfo[[#This Row],[State]]</f>
        <v>IL</v>
      </c>
      <c r="C1452" t="str">
        <f>[1]!hospitalinfo[[#This Row],[Hospital Type]]</f>
        <v>Acute Care Hospitals</v>
      </c>
      <c r="D1452" t="str">
        <f>[1]!hospitalinfo[[#This Row],[Hospital Ownership]]</f>
        <v>Proprietary</v>
      </c>
      <c r="E1452" t="str" cm="1">
        <f t="array" ref="E1452">_xlfn.IFNA(_xlfn.XLOOKUP(1,([1]!hcahps[Facility ID] = clean[[#This Row],[Facility ID]]) * ([1]!hcahps[HCAHPS Measure ID] = "H_HSP_RATING_LINEAR_SCORE"), [1]!hcahps[HCAHPS Linear Mean Value]), "No Match")</f>
        <v>Not Available</v>
      </c>
      <c r="F1452" cm="1">
        <f t="array" ref="F1452">_xlfn.IFNA(_xlfn.XLOOKUP(1,([1]!readmissions[Facility ID] = clean[[#This Row],[Facility ID]]) * ([1]!readmissions[Measure ID] = "Hybrid_HWR"), [1]!readmissions[Score]), "No Match")</f>
        <v>16.100000000000001</v>
      </c>
    </row>
    <row r="1453" spans="1:6" x14ac:dyDescent="0.2">
      <c r="A1453">
        <f>[1]!hospitalinfo[[#This Row],[Facility ID]]</f>
        <v>140083</v>
      </c>
      <c r="B1453" t="str">
        <f>[1]!hospitalinfo[[#This Row],[State]]</f>
        <v>IL</v>
      </c>
      <c r="C1453" t="str">
        <f>[1]!hospitalinfo[[#This Row],[Hospital Type]]</f>
        <v>Acute Care Hospitals</v>
      </c>
      <c r="D1453" t="str">
        <f>[1]!hospitalinfo[[#This Row],[Hospital Ownership]]</f>
        <v>Voluntary non-profit - Other</v>
      </c>
      <c r="E1453" t="str" cm="1">
        <f t="array" ref="E1453">_xlfn.IFNA(_xlfn.XLOOKUP(1,([1]!hcahps[Facility ID] = clean[[#This Row],[Facility ID]]) * ([1]!hcahps[HCAHPS Measure ID] = "H_HSP_RATING_LINEAR_SCORE"), [1]!hcahps[HCAHPS Linear Mean Value]), "No Match")</f>
        <v>Not Available</v>
      </c>
      <c r="F1453" cm="1">
        <f t="array" ref="F1453">_xlfn.IFNA(_xlfn.XLOOKUP(1,([1]!readmissions[Facility ID] = clean[[#This Row],[Facility ID]]) * ([1]!readmissions[Measure ID] = "Hybrid_HWR"), [1]!readmissions[Score]), "No Match")</f>
        <v>15.3</v>
      </c>
    </row>
    <row r="1454" spans="1:6" x14ac:dyDescent="0.2">
      <c r="A1454">
        <f>[1]!hospitalinfo[[#This Row],[Facility ID]]</f>
        <v>140084</v>
      </c>
      <c r="B1454" t="str">
        <f>[1]!hospitalinfo[[#This Row],[State]]</f>
        <v>IL</v>
      </c>
      <c r="C1454" t="str">
        <f>[1]!hospitalinfo[[#This Row],[Hospital Type]]</f>
        <v>Acute Care Hospitals</v>
      </c>
      <c r="D1454" t="str">
        <f>[1]!hospitalinfo[[#This Row],[Hospital Ownership]]</f>
        <v>Proprietary</v>
      </c>
      <c r="E1454" cm="1">
        <f t="array" ref="E1454">_xlfn.IFNA(_xlfn.XLOOKUP(1,([1]!hcahps[Facility ID] = clean[[#This Row],[Facility ID]]) * ([1]!hcahps[HCAHPS Measure ID] = "H_HSP_RATING_LINEAR_SCORE"), [1]!hcahps[HCAHPS Linear Mean Value]), "No Match")</f>
        <v>70</v>
      </c>
      <c r="F1454" cm="1">
        <f t="array" ref="F1454">_xlfn.IFNA(_xlfn.XLOOKUP(1,([1]!readmissions[Facility ID] = clean[[#This Row],[Facility ID]]) * ([1]!readmissions[Measure ID] = "Hybrid_HWR"), [1]!readmissions[Score]), "No Match")</f>
        <v>15.4</v>
      </c>
    </row>
    <row r="1455" spans="1:6" x14ac:dyDescent="0.2">
      <c r="A1455">
        <f>[1]!hospitalinfo[[#This Row],[Facility ID]]</f>
        <v>140088</v>
      </c>
      <c r="B1455" t="str">
        <f>[1]!hospitalinfo[[#This Row],[State]]</f>
        <v>IL</v>
      </c>
      <c r="C1455" t="str">
        <f>[1]!hospitalinfo[[#This Row],[Hospital Type]]</f>
        <v>Acute Care Hospitals</v>
      </c>
      <c r="D1455" t="str">
        <f>[1]!hospitalinfo[[#This Row],[Hospital Ownership]]</f>
        <v>Voluntary non-profit - Private</v>
      </c>
      <c r="E1455" cm="1">
        <f t="array" ref="E1455">_xlfn.IFNA(_xlfn.XLOOKUP(1,([1]!hcahps[Facility ID] = clean[[#This Row],[Facility ID]]) * ([1]!hcahps[HCAHPS Measure ID] = "H_HSP_RATING_LINEAR_SCORE"), [1]!hcahps[HCAHPS Linear Mean Value]), "No Match")</f>
        <v>88</v>
      </c>
      <c r="F1455" cm="1">
        <f t="array" ref="F1455">_xlfn.IFNA(_xlfn.XLOOKUP(1,([1]!readmissions[Facility ID] = clean[[#This Row],[Facility ID]]) * ([1]!readmissions[Measure ID] = "Hybrid_HWR"), [1]!readmissions[Score]), "No Match")</f>
        <v>16</v>
      </c>
    </row>
    <row r="1456" spans="1:6" x14ac:dyDescent="0.2">
      <c r="A1456">
        <f>[1]!hospitalinfo[[#This Row],[Facility ID]]</f>
        <v>140089</v>
      </c>
      <c r="B1456" t="str">
        <f>[1]!hospitalinfo[[#This Row],[State]]</f>
        <v>IL</v>
      </c>
      <c r="C1456" t="str">
        <f>[1]!hospitalinfo[[#This Row],[Hospital Type]]</f>
        <v>Acute Care Hospitals</v>
      </c>
      <c r="D1456" t="str">
        <f>[1]!hospitalinfo[[#This Row],[Hospital Ownership]]</f>
        <v>Government - Hospital District or Authority</v>
      </c>
      <c r="E1456" cm="1">
        <f t="array" ref="E1456">_xlfn.IFNA(_xlfn.XLOOKUP(1,([1]!hcahps[Facility ID] = clean[[#This Row],[Facility ID]]) * ([1]!hcahps[HCAHPS Measure ID] = "H_HSP_RATING_LINEAR_SCORE"), [1]!hcahps[HCAHPS Linear Mean Value]), "No Match")</f>
        <v>89</v>
      </c>
      <c r="F1456" cm="1">
        <f t="array" ref="F1456">_xlfn.IFNA(_xlfn.XLOOKUP(1,([1]!readmissions[Facility ID] = clean[[#This Row],[Facility ID]]) * ([1]!readmissions[Measure ID] = "Hybrid_HWR"), [1]!readmissions[Score]), "No Match")</f>
        <v>15.1</v>
      </c>
    </row>
    <row r="1457" spans="1:6" x14ac:dyDescent="0.2">
      <c r="A1457">
        <f>[1]!hospitalinfo[[#This Row],[Facility ID]]</f>
        <v>140091</v>
      </c>
      <c r="B1457" t="str">
        <f>[1]!hospitalinfo[[#This Row],[State]]</f>
        <v>IL</v>
      </c>
      <c r="C1457" t="str">
        <f>[1]!hospitalinfo[[#This Row],[Hospital Type]]</f>
        <v>Acute Care Hospitals</v>
      </c>
      <c r="D1457" t="str">
        <f>[1]!hospitalinfo[[#This Row],[Hospital Ownership]]</f>
        <v>Voluntary non-profit - Private</v>
      </c>
      <c r="E1457" cm="1">
        <f t="array" ref="E1457">_xlfn.IFNA(_xlfn.XLOOKUP(1,([1]!hcahps[Facility ID] = clean[[#This Row],[Facility ID]]) * ([1]!hcahps[HCAHPS Measure ID] = "H_HSP_RATING_LINEAR_SCORE"), [1]!hcahps[HCAHPS Linear Mean Value]), "No Match")</f>
        <v>88</v>
      </c>
      <c r="F1457" cm="1">
        <f t="array" ref="F1457">_xlfn.IFNA(_xlfn.XLOOKUP(1,([1]!readmissions[Facility ID] = clean[[#This Row],[Facility ID]]) * ([1]!readmissions[Measure ID] = "Hybrid_HWR"), [1]!readmissions[Score]), "No Match")</f>
        <v>15.9</v>
      </c>
    </row>
    <row r="1458" spans="1:6" x14ac:dyDescent="0.2">
      <c r="A1458">
        <f>[1]!hospitalinfo[[#This Row],[Facility ID]]</f>
        <v>140093</v>
      </c>
      <c r="B1458" t="str">
        <f>[1]!hospitalinfo[[#This Row],[State]]</f>
        <v>IL</v>
      </c>
      <c r="C1458" t="str">
        <f>[1]!hospitalinfo[[#This Row],[Hospital Type]]</f>
        <v>Acute Care Hospitals</v>
      </c>
      <c r="D1458" t="str">
        <f>[1]!hospitalinfo[[#This Row],[Hospital Ownership]]</f>
        <v>Voluntary non-profit - Church</v>
      </c>
      <c r="E1458" cm="1">
        <f t="array" ref="E1458">_xlfn.IFNA(_xlfn.XLOOKUP(1,([1]!hcahps[Facility ID] = clean[[#This Row],[Facility ID]]) * ([1]!hcahps[HCAHPS Measure ID] = "H_HSP_RATING_LINEAR_SCORE"), [1]!hcahps[HCAHPS Linear Mean Value]), "No Match")</f>
        <v>83</v>
      </c>
      <c r="F1458" cm="1">
        <f t="array" ref="F1458">_xlfn.IFNA(_xlfn.XLOOKUP(1,([1]!readmissions[Facility ID] = clean[[#This Row],[Facility ID]]) * ([1]!readmissions[Measure ID] = "Hybrid_HWR"), [1]!readmissions[Score]), "No Match")</f>
        <v>16.2</v>
      </c>
    </row>
    <row r="1459" spans="1:6" x14ac:dyDescent="0.2">
      <c r="A1459">
        <f>[1]!hospitalinfo[[#This Row],[Facility ID]]</f>
        <v>140095</v>
      </c>
      <c r="B1459" t="str">
        <f>[1]!hospitalinfo[[#This Row],[State]]</f>
        <v>IL</v>
      </c>
      <c r="C1459" t="str">
        <f>[1]!hospitalinfo[[#This Row],[Hospital Type]]</f>
        <v>Acute Care Hospitals</v>
      </c>
      <c r="D1459" t="str">
        <f>[1]!hospitalinfo[[#This Row],[Hospital Ownership]]</f>
        <v>Voluntary non-profit - Private</v>
      </c>
      <c r="E1459" cm="1">
        <f t="array" ref="E1459">_xlfn.IFNA(_xlfn.XLOOKUP(1,([1]!hcahps[Facility ID] = clean[[#This Row],[Facility ID]]) * ([1]!hcahps[HCAHPS Measure ID] = "H_HSP_RATING_LINEAR_SCORE"), [1]!hcahps[HCAHPS Linear Mean Value]), "No Match")</f>
        <v>89</v>
      </c>
      <c r="F1459" cm="1">
        <f t="array" ref="F1459">_xlfn.IFNA(_xlfn.XLOOKUP(1,([1]!readmissions[Facility ID] = clean[[#This Row],[Facility ID]]) * ([1]!readmissions[Measure ID] = "Hybrid_HWR"), [1]!readmissions[Score]), "No Match")</f>
        <v>16.5</v>
      </c>
    </row>
    <row r="1460" spans="1:6" x14ac:dyDescent="0.2">
      <c r="A1460">
        <f>[1]!hospitalinfo[[#This Row],[Facility ID]]</f>
        <v>140100</v>
      </c>
      <c r="B1460" t="str">
        <f>[1]!hospitalinfo[[#This Row],[State]]</f>
        <v>IL</v>
      </c>
      <c r="C1460" t="str">
        <f>[1]!hospitalinfo[[#This Row],[Hospital Type]]</f>
        <v>Acute Care Hospitals</v>
      </c>
      <c r="D1460" t="str">
        <f>[1]!hospitalinfo[[#This Row],[Hospital Ownership]]</f>
        <v>Proprietary</v>
      </c>
      <c r="E1460" cm="1">
        <f t="array" ref="E1460">_xlfn.IFNA(_xlfn.XLOOKUP(1,([1]!hcahps[Facility ID] = clean[[#This Row],[Facility ID]]) * ([1]!hcahps[HCAHPS Measure ID] = "H_HSP_RATING_LINEAR_SCORE"), [1]!hcahps[HCAHPS Linear Mean Value]), "No Match")</f>
        <v>96</v>
      </c>
      <c r="F1460" cm="1">
        <f t="array" ref="F1460">_xlfn.IFNA(_xlfn.XLOOKUP(1,([1]!readmissions[Facility ID] = clean[[#This Row],[Facility ID]]) * ([1]!readmissions[Measure ID] = "Hybrid_HWR"), [1]!readmissions[Score]), "No Match")</f>
        <v>15</v>
      </c>
    </row>
    <row r="1461" spans="1:6" x14ac:dyDescent="0.2">
      <c r="A1461">
        <f>[1]!hospitalinfo[[#This Row],[Facility ID]]</f>
        <v>140101</v>
      </c>
      <c r="B1461" t="str">
        <f>[1]!hospitalinfo[[#This Row],[State]]</f>
        <v>IL</v>
      </c>
      <c r="C1461" t="str">
        <f>[1]!hospitalinfo[[#This Row],[Hospital Type]]</f>
        <v>Acute Care Hospitals</v>
      </c>
      <c r="D1461" t="str">
        <f>[1]!hospitalinfo[[#This Row],[Hospital Ownership]]</f>
        <v>Voluntary non-profit - Private</v>
      </c>
      <c r="E1461" cm="1">
        <f t="array" ref="E1461">_xlfn.IFNA(_xlfn.XLOOKUP(1,([1]!hcahps[Facility ID] = clean[[#This Row],[Facility ID]]) * ([1]!hcahps[HCAHPS Measure ID] = "H_HSP_RATING_LINEAR_SCORE"), [1]!hcahps[HCAHPS Linear Mean Value]), "No Match")</f>
        <v>92</v>
      </c>
      <c r="F1461" cm="1">
        <f t="array" ref="F1461">_xlfn.IFNA(_xlfn.XLOOKUP(1,([1]!readmissions[Facility ID] = clean[[#This Row],[Facility ID]]) * ([1]!readmissions[Measure ID] = "Hybrid_HWR"), [1]!readmissions[Score]), "No Match")</f>
        <v>15</v>
      </c>
    </row>
    <row r="1462" spans="1:6" x14ac:dyDescent="0.2">
      <c r="A1462">
        <f>[1]!hospitalinfo[[#This Row],[Facility ID]]</f>
        <v>140103</v>
      </c>
      <c r="B1462" t="str">
        <f>[1]!hospitalinfo[[#This Row],[State]]</f>
        <v>IL</v>
      </c>
      <c r="C1462" t="str">
        <f>[1]!hospitalinfo[[#This Row],[Hospital Type]]</f>
        <v>Acute Care Hospitals</v>
      </c>
      <c r="D1462" t="str">
        <f>[1]!hospitalinfo[[#This Row],[Hospital Ownership]]</f>
        <v>Voluntary non-profit - Church</v>
      </c>
      <c r="E1462" t="str" cm="1">
        <f t="array" ref="E1462">_xlfn.IFNA(_xlfn.XLOOKUP(1,([1]!hcahps[Facility ID] = clean[[#This Row],[Facility ID]]) * ([1]!hcahps[HCAHPS Measure ID] = "H_HSP_RATING_LINEAR_SCORE"), [1]!hcahps[HCAHPS Linear Mean Value]), "No Match")</f>
        <v>Not Available</v>
      </c>
      <c r="F1462" cm="1">
        <f t="array" ref="F1462">_xlfn.IFNA(_xlfn.XLOOKUP(1,([1]!readmissions[Facility ID] = clean[[#This Row],[Facility ID]]) * ([1]!readmissions[Measure ID] = "Hybrid_HWR"), [1]!readmissions[Score]), "No Match")</f>
        <v>15.8</v>
      </c>
    </row>
    <row r="1463" spans="1:6" x14ac:dyDescent="0.2">
      <c r="A1463">
        <f>[1]!hospitalinfo[[#This Row],[Facility ID]]</f>
        <v>140110</v>
      </c>
      <c r="B1463" t="str">
        <f>[1]!hospitalinfo[[#This Row],[State]]</f>
        <v>IL</v>
      </c>
      <c r="C1463" t="str">
        <f>[1]!hospitalinfo[[#This Row],[Hospital Type]]</f>
        <v>Acute Care Hospitals</v>
      </c>
      <c r="D1463" t="str">
        <f>[1]!hospitalinfo[[#This Row],[Hospital Ownership]]</f>
        <v>Voluntary non-profit - Private</v>
      </c>
      <c r="E1463" cm="1">
        <f t="array" ref="E1463">_xlfn.IFNA(_xlfn.XLOOKUP(1,([1]!hcahps[Facility ID] = clean[[#This Row],[Facility ID]]) * ([1]!hcahps[HCAHPS Measure ID] = "H_HSP_RATING_LINEAR_SCORE"), [1]!hcahps[HCAHPS Linear Mean Value]), "No Match")</f>
        <v>85</v>
      </c>
      <c r="F1463" cm="1">
        <f t="array" ref="F1463">_xlfn.IFNA(_xlfn.XLOOKUP(1,([1]!readmissions[Facility ID] = clean[[#This Row],[Facility ID]]) * ([1]!readmissions[Measure ID] = "Hybrid_HWR"), [1]!readmissions[Score]), "No Match")</f>
        <v>14.4</v>
      </c>
    </row>
    <row r="1464" spans="1:6" x14ac:dyDescent="0.2">
      <c r="A1464">
        <f>[1]!hospitalinfo[[#This Row],[Facility ID]]</f>
        <v>140113</v>
      </c>
      <c r="B1464" t="str">
        <f>[1]!hospitalinfo[[#This Row],[State]]</f>
        <v>IL</v>
      </c>
      <c r="C1464" t="str">
        <f>[1]!hospitalinfo[[#This Row],[Hospital Type]]</f>
        <v>Acute Care Hospitals</v>
      </c>
      <c r="D1464" t="str">
        <f>[1]!hospitalinfo[[#This Row],[Hospital Ownership]]</f>
        <v>Voluntary non-profit - Church</v>
      </c>
      <c r="E1464" cm="1">
        <f t="array" ref="E1464">_xlfn.IFNA(_xlfn.XLOOKUP(1,([1]!hcahps[Facility ID] = clean[[#This Row],[Facility ID]]) * ([1]!hcahps[HCAHPS Measure ID] = "H_HSP_RATING_LINEAR_SCORE"), [1]!hcahps[HCAHPS Linear Mean Value]), "No Match")</f>
        <v>88</v>
      </c>
      <c r="F1464" cm="1">
        <f t="array" ref="F1464">_xlfn.IFNA(_xlfn.XLOOKUP(1,([1]!readmissions[Facility ID] = clean[[#This Row],[Facility ID]]) * ([1]!readmissions[Measure ID] = "Hybrid_HWR"), [1]!readmissions[Score]), "No Match")</f>
        <v>14.9</v>
      </c>
    </row>
    <row r="1465" spans="1:6" x14ac:dyDescent="0.2">
      <c r="A1465">
        <f>[1]!hospitalinfo[[#This Row],[Facility ID]]</f>
        <v>140114</v>
      </c>
      <c r="B1465" t="str">
        <f>[1]!hospitalinfo[[#This Row],[State]]</f>
        <v>IL</v>
      </c>
      <c r="C1465" t="str">
        <f>[1]!hospitalinfo[[#This Row],[Hospital Type]]</f>
        <v>Acute Care Hospitals</v>
      </c>
      <c r="D1465" t="str">
        <f>[1]!hospitalinfo[[#This Row],[Hospital Ownership]]</f>
        <v>Voluntary non-profit - Church</v>
      </c>
      <c r="E1465" cm="1">
        <f t="array" ref="E1465">_xlfn.IFNA(_xlfn.XLOOKUP(1,([1]!hcahps[Facility ID] = clean[[#This Row],[Facility ID]]) * ([1]!hcahps[HCAHPS Measure ID] = "H_HSP_RATING_LINEAR_SCORE"), [1]!hcahps[HCAHPS Linear Mean Value]), "No Match")</f>
        <v>84</v>
      </c>
      <c r="F1465" cm="1">
        <f t="array" ref="F1465">_xlfn.IFNA(_xlfn.XLOOKUP(1,([1]!readmissions[Facility ID] = clean[[#This Row],[Facility ID]]) * ([1]!readmissions[Measure ID] = "Hybrid_HWR"), [1]!readmissions[Score]), "No Match")</f>
        <v>14.7</v>
      </c>
    </row>
    <row r="1466" spans="1:6" x14ac:dyDescent="0.2">
      <c r="A1466">
        <f>[1]!hospitalinfo[[#This Row],[Facility ID]]</f>
        <v>140115</v>
      </c>
      <c r="B1466" t="str">
        <f>[1]!hospitalinfo[[#This Row],[State]]</f>
        <v>IL</v>
      </c>
      <c r="C1466" t="str">
        <f>[1]!hospitalinfo[[#This Row],[Hospital Type]]</f>
        <v>Acute Care Hospitals</v>
      </c>
      <c r="D1466" t="str">
        <f>[1]!hospitalinfo[[#This Row],[Hospital Ownership]]</f>
        <v>Voluntary non-profit - Private</v>
      </c>
      <c r="E1466" t="str" cm="1">
        <f t="array" ref="E1466">_xlfn.IFNA(_xlfn.XLOOKUP(1,([1]!hcahps[Facility ID] = clean[[#This Row],[Facility ID]]) * ([1]!hcahps[HCAHPS Measure ID] = "H_HSP_RATING_LINEAR_SCORE"), [1]!hcahps[HCAHPS Linear Mean Value]), "No Match")</f>
        <v>Not Available</v>
      </c>
      <c r="F1466" cm="1">
        <f t="array" ref="F1466">_xlfn.IFNA(_xlfn.XLOOKUP(1,([1]!readmissions[Facility ID] = clean[[#This Row],[Facility ID]]) * ([1]!readmissions[Measure ID] = "Hybrid_HWR"), [1]!readmissions[Score]), "No Match")</f>
        <v>16.399999999999999</v>
      </c>
    </row>
    <row r="1467" spans="1:6" x14ac:dyDescent="0.2">
      <c r="A1467">
        <f>[1]!hospitalinfo[[#This Row],[Facility ID]]</f>
        <v>140116</v>
      </c>
      <c r="B1467" t="str">
        <f>[1]!hospitalinfo[[#This Row],[State]]</f>
        <v>IL</v>
      </c>
      <c r="C1467" t="str">
        <f>[1]!hospitalinfo[[#This Row],[Hospital Type]]</f>
        <v>Acute Care Hospitals</v>
      </c>
      <c r="D1467" t="str">
        <f>[1]!hospitalinfo[[#This Row],[Hospital Ownership]]</f>
        <v>Voluntary non-profit - Other</v>
      </c>
      <c r="E1467" cm="1">
        <f t="array" ref="E1467">_xlfn.IFNA(_xlfn.XLOOKUP(1,([1]!hcahps[Facility ID] = clean[[#This Row],[Facility ID]]) * ([1]!hcahps[HCAHPS Measure ID] = "H_HSP_RATING_LINEAR_SCORE"), [1]!hcahps[HCAHPS Linear Mean Value]), "No Match")</f>
        <v>89</v>
      </c>
      <c r="F1467" cm="1">
        <f t="array" ref="F1467">_xlfn.IFNA(_xlfn.XLOOKUP(1,([1]!readmissions[Facility ID] = clean[[#This Row],[Facility ID]]) * ([1]!readmissions[Measure ID] = "Hybrid_HWR"), [1]!readmissions[Score]), "No Match")</f>
        <v>15</v>
      </c>
    </row>
    <row r="1468" spans="1:6" x14ac:dyDescent="0.2">
      <c r="A1468">
        <f>[1]!hospitalinfo[[#This Row],[Facility ID]]</f>
        <v>140117</v>
      </c>
      <c r="B1468" t="str">
        <f>[1]!hospitalinfo[[#This Row],[State]]</f>
        <v>IL</v>
      </c>
      <c r="C1468" t="str">
        <f>[1]!hospitalinfo[[#This Row],[Hospital Type]]</f>
        <v>Acute Care Hospitals</v>
      </c>
      <c r="D1468" t="str">
        <f>[1]!hospitalinfo[[#This Row],[Hospital Ownership]]</f>
        <v>Voluntary non-profit - Church</v>
      </c>
      <c r="E1468" cm="1">
        <f t="array" ref="E1468">_xlfn.IFNA(_xlfn.XLOOKUP(1,([1]!hcahps[Facility ID] = clean[[#This Row],[Facility ID]]) * ([1]!hcahps[HCAHPS Measure ID] = "H_HSP_RATING_LINEAR_SCORE"), [1]!hcahps[HCAHPS Linear Mean Value]), "No Match")</f>
        <v>86</v>
      </c>
      <c r="F1468" cm="1">
        <f t="array" ref="F1468">_xlfn.IFNA(_xlfn.XLOOKUP(1,([1]!readmissions[Facility ID] = clean[[#This Row],[Facility ID]]) * ([1]!readmissions[Measure ID] = "Hybrid_HWR"), [1]!readmissions[Score]), "No Match")</f>
        <v>14</v>
      </c>
    </row>
    <row r="1469" spans="1:6" x14ac:dyDescent="0.2">
      <c r="A1469">
        <f>[1]!hospitalinfo[[#This Row],[Facility ID]]</f>
        <v>140119</v>
      </c>
      <c r="B1469" t="str">
        <f>[1]!hospitalinfo[[#This Row],[State]]</f>
        <v>IL</v>
      </c>
      <c r="C1469" t="str">
        <f>[1]!hospitalinfo[[#This Row],[Hospital Type]]</f>
        <v>Acute Care Hospitals</v>
      </c>
      <c r="D1469" t="str">
        <f>[1]!hospitalinfo[[#This Row],[Hospital Ownership]]</f>
        <v>Voluntary non-profit - Private</v>
      </c>
      <c r="E1469" cm="1">
        <f t="array" ref="E1469">_xlfn.IFNA(_xlfn.XLOOKUP(1,([1]!hcahps[Facility ID] = clean[[#This Row],[Facility ID]]) * ([1]!hcahps[HCAHPS Measure ID] = "H_HSP_RATING_LINEAR_SCORE"), [1]!hcahps[HCAHPS Linear Mean Value]), "No Match")</f>
        <v>90</v>
      </c>
      <c r="F1469" cm="1">
        <f t="array" ref="F1469">_xlfn.IFNA(_xlfn.XLOOKUP(1,([1]!readmissions[Facility ID] = clean[[#This Row],[Facility ID]]) * ([1]!readmissions[Measure ID] = "Hybrid_HWR"), [1]!readmissions[Score]), "No Match")</f>
        <v>16.399999999999999</v>
      </c>
    </row>
    <row r="1470" spans="1:6" x14ac:dyDescent="0.2">
      <c r="A1470">
        <f>[1]!hospitalinfo[[#This Row],[Facility ID]]</f>
        <v>140120</v>
      </c>
      <c r="B1470" t="str">
        <f>[1]!hospitalinfo[[#This Row],[State]]</f>
        <v>IL</v>
      </c>
      <c r="C1470" t="str">
        <f>[1]!hospitalinfo[[#This Row],[Hospital Type]]</f>
        <v>Acute Care Hospitals</v>
      </c>
      <c r="D1470" t="str">
        <f>[1]!hospitalinfo[[#This Row],[Hospital Ownership]]</f>
        <v>Voluntary non-profit - Private</v>
      </c>
      <c r="E1470" cm="1">
        <f t="array" ref="E1470">_xlfn.IFNA(_xlfn.XLOOKUP(1,([1]!hcahps[Facility ID] = clean[[#This Row],[Facility ID]]) * ([1]!hcahps[HCAHPS Measure ID] = "H_HSP_RATING_LINEAR_SCORE"), [1]!hcahps[HCAHPS Linear Mean Value]), "No Match")</f>
        <v>84</v>
      </c>
      <c r="F1470" cm="1">
        <f t="array" ref="F1470">_xlfn.IFNA(_xlfn.XLOOKUP(1,([1]!readmissions[Facility ID] = clean[[#This Row],[Facility ID]]) * ([1]!readmissions[Measure ID] = "Hybrid_HWR"), [1]!readmissions[Score]), "No Match")</f>
        <v>14.7</v>
      </c>
    </row>
    <row r="1471" spans="1:6" x14ac:dyDescent="0.2">
      <c r="A1471">
        <f>[1]!hospitalinfo[[#This Row],[Facility ID]]</f>
        <v>140122</v>
      </c>
      <c r="B1471" t="str">
        <f>[1]!hospitalinfo[[#This Row],[State]]</f>
        <v>IL</v>
      </c>
      <c r="C1471" t="str">
        <f>[1]!hospitalinfo[[#This Row],[Hospital Type]]</f>
        <v>Acute Care Hospitals</v>
      </c>
      <c r="D1471" t="str">
        <f>[1]!hospitalinfo[[#This Row],[Hospital Ownership]]</f>
        <v>Voluntary non-profit - Private</v>
      </c>
      <c r="E1471" cm="1">
        <f t="array" ref="E1471">_xlfn.IFNA(_xlfn.XLOOKUP(1,([1]!hcahps[Facility ID] = clean[[#This Row],[Facility ID]]) * ([1]!hcahps[HCAHPS Measure ID] = "H_HSP_RATING_LINEAR_SCORE"), [1]!hcahps[HCAHPS Linear Mean Value]), "No Match")</f>
        <v>88</v>
      </c>
      <c r="F1471" cm="1">
        <f t="array" ref="F1471">_xlfn.IFNA(_xlfn.XLOOKUP(1,([1]!readmissions[Facility ID] = clean[[#This Row],[Facility ID]]) * ([1]!readmissions[Measure ID] = "Hybrid_HWR"), [1]!readmissions[Score]), "No Match")</f>
        <v>14.5</v>
      </c>
    </row>
    <row r="1472" spans="1:6" x14ac:dyDescent="0.2">
      <c r="A1472">
        <f>[1]!hospitalinfo[[#This Row],[Facility ID]]</f>
        <v>140124</v>
      </c>
      <c r="B1472" t="str">
        <f>[1]!hospitalinfo[[#This Row],[State]]</f>
        <v>IL</v>
      </c>
      <c r="C1472" t="str">
        <f>[1]!hospitalinfo[[#This Row],[Hospital Type]]</f>
        <v>Acute Care Hospitals</v>
      </c>
      <c r="D1472" t="str">
        <f>[1]!hospitalinfo[[#This Row],[Hospital Ownership]]</f>
        <v>Government - Local</v>
      </c>
      <c r="E1472" cm="1">
        <f t="array" ref="E1472">_xlfn.IFNA(_xlfn.XLOOKUP(1,([1]!hcahps[Facility ID] = clean[[#This Row],[Facility ID]]) * ([1]!hcahps[HCAHPS Measure ID] = "H_HSP_RATING_LINEAR_SCORE"), [1]!hcahps[HCAHPS Linear Mean Value]), "No Match")</f>
        <v>87</v>
      </c>
      <c r="F1472" cm="1">
        <f t="array" ref="F1472">_xlfn.IFNA(_xlfn.XLOOKUP(1,([1]!readmissions[Facility ID] = clean[[#This Row],[Facility ID]]) * ([1]!readmissions[Measure ID] = "Hybrid_HWR"), [1]!readmissions[Score]), "No Match")</f>
        <v>15</v>
      </c>
    </row>
    <row r="1473" spans="1:6" x14ac:dyDescent="0.2">
      <c r="A1473">
        <f>[1]!hospitalinfo[[#This Row],[Facility ID]]</f>
        <v>140125</v>
      </c>
      <c r="B1473" t="str">
        <f>[1]!hospitalinfo[[#This Row],[State]]</f>
        <v>IL</v>
      </c>
      <c r="C1473" t="str">
        <f>[1]!hospitalinfo[[#This Row],[Hospital Type]]</f>
        <v>Acute Care Hospitals</v>
      </c>
      <c r="D1473" t="str">
        <f>[1]!hospitalinfo[[#This Row],[Hospital Ownership]]</f>
        <v>Voluntary non-profit - Other</v>
      </c>
      <c r="E1473" t="str" cm="1">
        <f t="array" ref="E1473">_xlfn.IFNA(_xlfn.XLOOKUP(1,([1]!hcahps[Facility ID] = clean[[#This Row],[Facility ID]]) * ([1]!hcahps[HCAHPS Measure ID] = "H_HSP_RATING_LINEAR_SCORE"), [1]!hcahps[HCAHPS Linear Mean Value]), "No Match")</f>
        <v>Not Available</v>
      </c>
      <c r="F1473" cm="1">
        <f t="array" ref="F1473">_xlfn.IFNA(_xlfn.XLOOKUP(1,([1]!readmissions[Facility ID] = clean[[#This Row],[Facility ID]]) * ([1]!readmissions[Measure ID] = "Hybrid_HWR"), [1]!readmissions[Score]), "No Match")</f>
        <v>15.4</v>
      </c>
    </row>
    <row r="1474" spans="1:6" x14ac:dyDescent="0.2">
      <c r="A1474">
        <f>[1]!hospitalinfo[[#This Row],[Facility ID]]</f>
        <v>140127</v>
      </c>
      <c r="B1474" t="str">
        <f>[1]!hospitalinfo[[#This Row],[State]]</f>
        <v>IL</v>
      </c>
      <c r="C1474" t="str">
        <f>[1]!hospitalinfo[[#This Row],[Hospital Type]]</f>
        <v>Acute Care Hospitals</v>
      </c>
      <c r="D1474" t="str">
        <f>[1]!hospitalinfo[[#This Row],[Hospital Ownership]]</f>
        <v>Voluntary non-profit - Church</v>
      </c>
      <c r="E1474" cm="1">
        <f t="array" ref="E1474">_xlfn.IFNA(_xlfn.XLOOKUP(1,([1]!hcahps[Facility ID] = clean[[#This Row],[Facility ID]]) * ([1]!hcahps[HCAHPS Measure ID] = "H_HSP_RATING_LINEAR_SCORE"), [1]!hcahps[HCAHPS Linear Mean Value]), "No Match")</f>
        <v>90</v>
      </c>
      <c r="F1474" cm="1">
        <f t="array" ref="F1474">_xlfn.IFNA(_xlfn.XLOOKUP(1,([1]!readmissions[Facility ID] = clean[[#This Row],[Facility ID]]) * ([1]!readmissions[Measure ID] = "Hybrid_HWR"), [1]!readmissions[Score]), "No Match")</f>
        <v>14.7</v>
      </c>
    </row>
    <row r="1475" spans="1:6" x14ac:dyDescent="0.2">
      <c r="A1475">
        <f>[1]!hospitalinfo[[#This Row],[Facility ID]]</f>
        <v>140130</v>
      </c>
      <c r="B1475" t="str">
        <f>[1]!hospitalinfo[[#This Row],[State]]</f>
        <v>IL</v>
      </c>
      <c r="C1475" t="str">
        <f>[1]!hospitalinfo[[#This Row],[Hospital Type]]</f>
        <v>Acute Care Hospitals</v>
      </c>
      <c r="D1475" t="str">
        <f>[1]!hospitalinfo[[#This Row],[Hospital Ownership]]</f>
        <v>Voluntary non-profit - Other</v>
      </c>
      <c r="E1475" cm="1">
        <f t="array" ref="E1475">_xlfn.IFNA(_xlfn.XLOOKUP(1,([1]!hcahps[Facility ID] = clean[[#This Row],[Facility ID]]) * ([1]!hcahps[HCAHPS Measure ID] = "H_HSP_RATING_LINEAR_SCORE"), [1]!hcahps[HCAHPS Linear Mean Value]), "No Match")</f>
        <v>89</v>
      </c>
      <c r="F1475" cm="1">
        <f t="array" ref="F1475">_xlfn.IFNA(_xlfn.XLOOKUP(1,([1]!readmissions[Facility ID] = clean[[#This Row],[Facility ID]]) * ([1]!readmissions[Measure ID] = "Hybrid_HWR"), [1]!readmissions[Score]), "No Match")</f>
        <v>14.7</v>
      </c>
    </row>
    <row r="1476" spans="1:6" x14ac:dyDescent="0.2">
      <c r="A1476">
        <f>[1]!hospitalinfo[[#This Row],[Facility ID]]</f>
        <v>140133</v>
      </c>
      <c r="B1476" t="str">
        <f>[1]!hospitalinfo[[#This Row],[State]]</f>
        <v>IL</v>
      </c>
      <c r="C1476" t="str">
        <f>[1]!hospitalinfo[[#This Row],[Hospital Type]]</f>
        <v>Acute Care Hospitals</v>
      </c>
      <c r="D1476" t="str">
        <f>[1]!hospitalinfo[[#This Row],[Hospital Ownership]]</f>
        <v>Voluntary non-profit - Private</v>
      </c>
      <c r="E1476" cm="1">
        <f t="array" ref="E1476">_xlfn.IFNA(_xlfn.XLOOKUP(1,([1]!hcahps[Facility ID] = clean[[#This Row],[Facility ID]]) * ([1]!hcahps[HCAHPS Measure ID] = "H_HSP_RATING_LINEAR_SCORE"), [1]!hcahps[HCAHPS Linear Mean Value]), "No Match")</f>
        <v>78</v>
      </c>
      <c r="F1476" cm="1">
        <f t="array" ref="F1476">_xlfn.IFNA(_xlfn.XLOOKUP(1,([1]!readmissions[Facility ID] = clean[[#This Row],[Facility ID]]) * ([1]!readmissions[Measure ID] = "Hybrid_HWR"), [1]!readmissions[Score]), "No Match")</f>
        <v>15.7</v>
      </c>
    </row>
    <row r="1477" spans="1:6" x14ac:dyDescent="0.2">
      <c r="A1477">
        <f>[1]!hospitalinfo[[#This Row],[Facility ID]]</f>
        <v>140135</v>
      </c>
      <c r="B1477" t="str">
        <f>[1]!hospitalinfo[[#This Row],[State]]</f>
        <v>IL</v>
      </c>
      <c r="C1477" t="str">
        <f>[1]!hospitalinfo[[#This Row],[Hospital Type]]</f>
        <v>Acute Care Hospitals</v>
      </c>
      <c r="D1477" t="str">
        <f>[1]!hospitalinfo[[#This Row],[Hospital Ownership]]</f>
        <v>Voluntary non-profit - Other</v>
      </c>
      <c r="E1477" cm="1">
        <f t="array" ref="E1477">_xlfn.IFNA(_xlfn.XLOOKUP(1,([1]!hcahps[Facility ID] = clean[[#This Row],[Facility ID]]) * ([1]!hcahps[HCAHPS Measure ID] = "H_HSP_RATING_LINEAR_SCORE"), [1]!hcahps[HCAHPS Linear Mean Value]), "No Match")</f>
        <v>85</v>
      </c>
      <c r="F1477" cm="1">
        <f t="array" ref="F1477">_xlfn.IFNA(_xlfn.XLOOKUP(1,([1]!readmissions[Facility ID] = clean[[#This Row],[Facility ID]]) * ([1]!readmissions[Measure ID] = "Hybrid_HWR"), [1]!readmissions[Score]), "No Match")</f>
        <v>14.9</v>
      </c>
    </row>
    <row r="1478" spans="1:6" x14ac:dyDescent="0.2">
      <c r="A1478">
        <f>[1]!hospitalinfo[[#This Row],[Facility ID]]</f>
        <v>140137</v>
      </c>
      <c r="B1478" t="str">
        <f>[1]!hospitalinfo[[#This Row],[State]]</f>
        <v>IL</v>
      </c>
      <c r="C1478" t="str">
        <f>[1]!hospitalinfo[[#This Row],[Hospital Type]]</f>
        <v>Acute Care Hospitals</v>
      </c>
      <c r="D1478" t="str">
        <f>[1]!hospitalinfo[[#This Row],[Hospital Ownership]]</f>
        <v>Voluntary non-profit - Church</v>
      </c>
      <c r="E1478" t="str" cm="1">
        <f t="array" ref="E1478">_xlfn.IFNA(_xlfn.XLOOKUP(1,([1]!hcahps[Facility ID] = clean[[#This Row],[Facility ID]]) * ([1]!hcahps[HCAHPS Measure ID] = "H_HSP_RATING_LINEAR_SCORE"), [1]!hcahps[HCAHPS Linear Mean Value]), "No Match")</f>
        <v>Not Available</v>
      </c>
      <c r="F1478" cm="1">
        <f t="array" ref="F1478">_xlfn.IFNA(_xlfn.XLOOKUP(1,([1]!readmissions[Facility ID] = clean[[#This Row],[Facility ID]]) * ([1]!readmissions[Measure ID] = "Hybrid_HWR"), [1]!readmissions[Score]), "No Match")</f>
        <v>14.4</v>
      </c>
    </row>
    <row r="1479" spans="1:6" x14ac:dyDescent="0.2">
      <c r="A1479">
        <f>[1]!hospitalinfo[[#This Row],[Facility ID]]</f>
        <v>140145</v>
      </c>
      <c r="B1479" t="str">
        <f>[1]!hospitalinfo[[#This Row],[State]]</f>
        <v>IL</v>
      </c>
      <c r="C1479" t="str">
        <f>[1]!hospitalinfo[[#This Row],[Hospital Type]]</f>
        <v>Acute Care Hospitals</v>
      </c>
      <c r="D1479" t="str">
        <f>[1]!hospitalinfo[[#This Row],[Hospital Ownership]]</f>
        <v>Voluntary non-profit - Church</v>
      </c>
      <c r="E1479" cm="1">
        <f t="array" ref="E1479">_xlfn.IFNA(_xlfn.XLOOKUP(1,([1]!hcahps[Facility ID] = clean[[#This Row],[Facility ID]]) * ([1]!hcahps[HCAHPS Measure ID] = "H_HSP_RATING_LINEAR_SCORE"), [1]!hcahps[HCAHPS Linear Mean Value]), "No Match")</f>
        <v>89</v>
      </c>
      <c r="F1479" cm="1">
        <f t="array" ref="F1479">_xlfn.IFNA(_xlfn.XLOOKUP(1,([1]!readmissions[Facility ID] = clean[[#This Row],[Facility ID]]) * ([1]!readmissions[Measure ID] = "Hybrid_HWR"), [1]!readmissions[Score]), "No Match")</f>
        <v>14.5</v>
      </c>
    </row>
    <row r="1480" spans="1:6" x14ac:dyDescent="0.2">
      <c r="A1480">
        <f>[1]!hospitalinfo[[#This Row],[Facility ID]]</f>
        <v>140148</v>
      </c>
      <c r="B1480" t="str">
        <f>[1]!hospitalinfo[[#This Row],[State]]</f>
        <v>IL</v>
      </c>
      <c r="C1480" t="str">
        <f>[1]!hospitalinfo[[#This Row],[Hospital Type]]</f>
        <v>Acute Care Hospitals</v>
      </c>
      <c r="D1480" t="str">
        <f>[1]!hospitalinfo[[#This Row],[Hospital Ownership]]</f>
        <v>Voluntary non-profit - Private</v>
      </c>
      <c r="E1480" cm="1">
        <f t="array" ref="E1480">_xlfn.IFNA(_xlfn.XLOOKUP(1,([1]!hcahps[Facility ID] = clean[[#This Row],[Facility ID]]) * ([1]!hcahps[HCAHPS Measure ID] = "H_HSP_RATING_LINEAR_SCORE"), [1]!hcahps[HCAHPS Linear Mean Value]), "No Match")</f>
        <v>86</v>
      </c>
      <c r="F1480" cm="1">
        <f t="array" ref="F1480">_xlfn.IFNA(_xlfn.XLOOKUP(1,([1]!readmissions[Facility ID] = clean[[#This Row],[Facility ID]]) * ([1]!readmissions[Measure ID] = "Hybrid_HWR"), [1]!readmissions[Score]), "No Match")</f>
        <v>14.8</v>
      </c>
    </row>
    <row r="1481" spans="1:6" x14ac:dyDescent="0.2">
      <c r="A1481">
        <f>[1]!hospitalinfo[[#This Row],[Facility ID]]</f>
        <v>140150</v>
      </c>
      <c r="B1481" t="str">
        <f>[1]!hospitalinfo[[#This Row],[State]]</f>
        <v>IL</v>
      </c>
      <c r="C1481" t="str">
        <f>[1]!hospitalinfo[[#This Row],[Hospital Type]]</f>
        <v>Acute Care Hospitals</v>
      </c>
      <c r="D1481" t="str">
        <f>[1]!hospitalinfo[[#This Row],[Hospital Ownership]]</f>
        <v>Government - State</v>
      </c>
      <c r="E1481" cm="1">
        <f t="array" ref="E1481">_xlfn.IFNA(_xlfn.XLOOKUP(1,([1]!hcahps[Facility ID] = clean[[#This Row],[Facility ID]]) * ([1]!hcahps[HCAHPS Measure ID] = "H_HSP_RATING_LINEAR_SCORE"), [1]!hcahps[HCAHPS Linear Mean Value]), "No Match")</f>
        <v>86</v>
      </c>
      <c r="F1481" cm="1">
        <f t="array" ref="F1481">_xlfn.IFNA(_xlfn.XLOOKUP(1,([1]!readmissions[Facility ID] = clean[[#This Row],[Facility ID]]) * ([1]!readmissions[Measure ID] = "Hybrid_HWR"), [1]!readmissions[Score]), "No Match")</f>
        <v>15.9</v>
      </c>
    </row>
    <row r="1482" spans="1:6" x14ac:dyDescent="0.2">
      <c r="A1482">
        <f>[1]!hospitalinfo[[#This Row],[Facility ID]]</f>
        <v>140155</v>
      </c>
      <c r="B1482" t="str">
        <f>[1]!hospitalinfo[[#This Row],[State]]</f>
        <v>IL</v>
      </c>
      <c r="C1482" t="str">
        <f>[1]!hospitalinfo[[#This Row],[Hospital Type]]</f>
        <v>Acute Care Hospitals</v>
      </c>
      <c r="D1482" t="str">
        <f>[1]!hospitalinfo[[#This Row],[Hospital Ownership]]</f>
        <v>Voluntary non-profit - Church</v>
      </c>
      <c r="E1482" cm="1">
        <f t="array" ref="E1482">_xlfn.IFNA(_xlfn.XLOOKUP(1,([1]!hcahps[Facility ID] = clean[[#This Row],[Facility ID]]) * ([1]!hcahps[HCAHPS Measure ID] = "H_HSP_RATING_LINEAR_SCORE"), [1]!hcahps[HCAHPS Linear Mean Value]), "No Match")</f>
        <v>87</v>
      </c>
      <c r="F1482" cm="1">
        <f t="array" ref="F1482">_xlfn.IFNA(_xlfn.XLOOKUP(1,([1]!readmissions[Facility ID] = clean[[#This Row],[Facility ID]]) * ([1]!readmissions[Measure ID] = "Hybrid_HWR"), [1]!readmissions[Score]), "No Match")</f>
        <v>14</v>
      </c>
    </row>
    <row r="1483" spans="1:6" x14ac:dyDescent="0.2">
      <c r="A1483">
        <f>[1]!hospitalinfo[[#This Row],[Facility ID]]</f>
        <v>140158</v>
      </c>
      <c r="B1483" t="str">
        <f>[1]!hospitalinfo[[#This Row],[State]]</f>
        <v>IL</v>
      </c>
      <c r="C1483" t="str">
        <f>[1]!hospitalinfo[[#This Row],[Hospital Type]]</f>
        <v>Acute Care Hospitals</v>
      </c>
      <c r="D1483" t="str">
        <f>[1]!hospitalinfo[[#This Row],[Hospital Ownership]]</f>
        <v>Voluntary non-profit - Private</v>
      </c>
      <c r="E1483" cm="1">
        <f t="array" ref="E1483">_xlfn.IFNA(_xlfn.XLOOKUP(1,([1]!hcahps[Facility ID] = clean[[#This Row],[Facility ID]]) * ([1]!hcahps[HCAHPS Measure ID] = "H_HSP_RATING_LINEAR_SCORE"), [1]!hcahps[HCAHPS Linear Mean Value]), "No Match")</f>
        <v>80</v>
      </c>
      <c r="F1483" cm="1">
        <f t="array" ref="F1483">_xlfn.IFNA(_xlfn.XLOOKUP(1,([1]!readmissions[Facility ID] = clean[[#This Row],[Facility ID]]) * ([1]!readmissions[Measure ID] = "Hybrid_HWR"), [1]!readmissions[Score]), "No Match")</f>
        <v>15.1</v>
      </c>
    </row>
    <row r="1484" spans="1:6" x14ac:dyDescent="0.2">
      <c r="A1484">
        <f>[1]!hospitalinfo[[#This Row],[Facility ID]]</f>
        <v>140160</v>
      </c>
      <c r="B1484" t="str">
        <f>[1]!hospitalinfo[[#This Row],[State]]</f>
        <v>IL</v>
      </c>
      <c r="C1484" t="str">
        <f>[1]!hospitalinfo[[#This Row],[Hospital Type]]</f>
        <v>Acute Care Hospitals</v>
      </c>
      <c r="D1484" t="str">
        <f>[1]!hospitalinfo[[#This Row],[Hospital Ownership]]</f>
        <v>Voluntary non-profit - Private</v>
      </c>
      <c r="E1484" cm="1">
        <f t="array" ref="E1484">_xlfn.IFNA(_xlfn.XLOOKUP(1,([1]!hcahps[Facility ID] = clean[[#This Row],[Facility ID]]) * ([1]!hcahps[HCAHPS Measure ID] = "H_HSP_RATING_LINEAR_SCORE"), [1]!hcahps[HCAHPS Linear Mean Value]), "No Match")</f>
        <v>89</v>
      </c>
      <c r="F1484" cm="1">
        <f t="array" ref="F1484">_xlfn.IFNA(_xlfn.XLOOKUP(1,([1]!readmissions[Facility ID] = clean[[#This Row],[Facility ID]]) * ([1]!readmissions[Measure ID] = "Hybrid_HWR"), [1]!readmissions[Score]), "No Match")</f>
        <v>15.3</v>
      </c>
    </row>
    <row r="1485" spans="1:6" x14ac:dyDescent="0.2">
      <c r="A1485">
        <f>[1]!hospitalinfo[[#This Row],[Facility ID]]</f>
        <v>140161</v>
      </c>
      <c r="B1485" t="str">
        <f>[1]!hospitalinfo[[#This Row],[State]]</f>
        <v>IL</v>
      </c>
      <c r="C1485" t="str">
        <f>[1]!hospitalinfo[[#This Row],[Hospital Type]]</f>
        <v>Acute Care Hospitals</v>
      </c>
      <c r="D1485" t="str">
        <f>[1]!hospitalinfo[[#This Row],[Hospital Ownership]]</f>
        <v>Voluntary non-profit - Church</v>
      </c>
      <c r="E1485" cm="1">
        <f t="array" ref="E1485">_xlfn.IFNA(_xlfn.XLOOKUP(1,([1]!hcahps[Facility ID] = clean[[#This Row],[Facility ID]]) * ([1]!hcahps[HCAHPS Measure ID] = "H_HSP_RATING_LINEAR_SCORE"), [1]!hcahps[HCAHPS Linear Mean Value]), "No Match")</f>
        <v>86</v>
      </c>
      <c r="F1485" cm="1">
        <f t="array" ref="F1485">_xlfn.IFNA(_xlfn.XLOOKUP(1,([1]!readmissions[Facility ID] = clean[[#This Row],[Facility ID]]) * ([1]!readmissions[Measure ID] = "Hybrid_HWR"), [1]!readmissions[Score]), "No Match")</f>
        <v>14.4</v>
      </c>
    </row>
    <row r="1486" spans="1:6" x14ac:dyDescent="0.2">
      <c r="A1486">
        <f>[1]!hospitalinfo[[#This Row],[Facility ID]]</f>
        <v>140162</v>
      </c>
      <c r="B1486" t="str">
        <f>[1]!hospitalinfo[[#This Row],[State]]</f>
        <v>IL</v>
      </c>
      <c r="C1486" t="str">
        <f>[1]!hospitalinfo[[#This Row],[Hospital Type]]</f>
        <v>Acute Care Hospitals</v>
      </c>
      <c r="D1486" t="str">
        <f>[1]!hospitalinfo[[#This Row],[Hospital Ownership]]</f>
        <v>Voluntary non-profit - Church</v>
      </c>
      <c r="E1486" cm="1">
        <f t="array" ref="E1486">_xlfn.IFNA(_xlfn.XLOOKUP(1,([1]!hcahps[Facility ID] = clean[[#This Row],[Facility ID]]) * ([1]!hcahps[HCAHPS Measure ID] = "H_HSP_RATING_LINEAR_SCORE"), [1]!hcahps[HCAHPS Linear Mean Value]), "No Match")</f>
        <v>86</v>
      </c>
      <c r="F1486" cm="1">
        <f t="array" ref="F1486">_xlfn.IFNA(_xlfn.XLOOKUP(1,([1]!readmissions[Facility ID] = clean[[#This Row],[Facility ID]]) * ([1]!readmissions[Measure ID] = "Hybrid_HWR"), [1]!readmissions[Score]), "No Match")</f>
        <v>15</v>
      </c>
    </row>
    <row r="1487" spans="1:6" x14ac:dyDescent="0.2">
      <c r="A1487">
        <f>[1]!hospitalinfo[[#This Row],[Facility ID]]</f>
        <v>140164</v>
      </c>
      <c r="B1487" t="str">
        <f>[1]!hospitalinfo[[#This Row],[State]]</f>
        <v>IL</v>
      </c>
      <c r="C1487" t="str">
        <f>[1]!hospitalinfo[[#This Row],[Hospital Type]]</f>
        <v>Acute Care Hospitals</v>
      </c>
      <c r="D1487" t="str">
        <f>[1]!hospitalinfo[[#This Row],[Hospital Ownership]]</f>
        <v>Voluntary non-profit - Private</v>
      </c>
      <c r="E1487" cm="1">
        <f t="array" ref="E1487">_xlfn.IFNA(_xlfn.XLOOKUP(1,([1]!hcahps[Facility ID] = clean[[#This Row],[Facility ID]]) * ([1]!hcahps[HCAHPS Measure ID] = "H_HSP_RATING_LINEAR_SCORE"), [1]!hcahps[HCAHPS Linear Mean Value]), "No Match")</f>
        <v>87</v>
      </c>
      <c r="F1487" cm="1">
        <f t="array" ref="F1487">_xlfn.IFNA(_xlfn.XLOOKUP(1,([1]!readmissions[Facility ID] = clean[[#This Row],[Facility ID]]) * ([1]!readmissions[Measure ID] = "Hybrid_HWR"), [1]!readmissions[Score]), "No Match")</f>
        <v>16.100000000000001</v>
      </c>
    </row>
    <row r="1488" spans="1:6" x14ac:dyDescent="0.2">
      <c r="A1488">
        <f>[1]!hospitalinfo[[#This Row],[Facility ID]]</f>
        <v>140166</v>
      </c>
      <c r="B1488" t="str">
        <f>[1]!hospitalinfo[[#This Row],[State]]</f>
        <v>IL</v>
      </c>
      <c r="C1488" t="str">
        <f>[1]!hospitalinfo[[#This Row],[Hospital Type]]</f>
        <v>Acute Care Hospitals</v>
      </c>
      <c r="D1488" t="str">
        <f>[1]!hospitalinfo[[#This Row],[Hospital Ownership]]</f>
        <v>Voluntary non-profit - Private</v>
      </c>
      <c r="E1488" cm="1">
        <f t="array" ref="E1488">_xlfn.IFNA(_xlfn.XLOOKUP(1,([1]!hcahps[Facility ID] = clean[[#This Row],[Facility ID]]) * ([1]!hcahps[HCAHPS Measure ID] = "H_HSP_RATING_LINEAR_SCORE"), [1]!hcahps[HCAHPS Linear Mean Value]), "No Match")</f>
        <v>84</v>
      </c>
      <c r="F1488" cm="1">
        <f t="array" ref="F1488">_xlfn.IFNA(_xlfn.XLOOKUP(1,([1]!readmissions[Facility ID] = clean[[#This Row],[Facility ID]]) * ([1]!readmissions[Measure ID] = "Hybrid_HWR"), [1]!readmissions[Score]), "No Match")</f>
        <v>15.1</v>
      </c>
    </row>
    <row r="1489" spans="1:6" x14ac:dyDescent="0.2">
      <c r="A1489">
        <f>[1]!hospitalinfo[[#This Row],[Facility ID]]</f>
        <v>140172</v>
      </c>
      <c r="B1489" t="str">
        <f>[1]!hospitalinfo[[#This Row],[State]]</f>
        <v>IL</v>
      </c>
      <c r="C1489" t="str">
        <f>[1]!hospitalinfo[[#This Row],[Hospital Type]]</f>
        <v>Acute Care Hospitals</v>
      </c>
      <c r="D1489" t="str">
        <f>[1]!hospitalinfo[[#This Row],[Hospital Ownership]]</f>
        <v>Voluntary non-profit - Church</v>
      </c>
      <c r="E1489" cm="1">
        <f t="array" ref="E1489">_xlfn.IFNA(_xlfn.XLOOKUP(1,([1]!hcahps[Facility ID] = clean[[#This Row],[Facility ID]]) * ([1]!hcahps[HCAHPS Measure ID] = "H_HSP_RATING_LINEAR_SCORE"), [1]!hcahps[HCAHPS Linear Mean Value]), "No Match")</f>
        <v>83</v>
      </c>
      <c r="F1489" cm="1">
        <f t="array" ref="F1489">_xlfn.IFNA(_xlfn.XLOOKUP(1,([1]!readmissions[Facility ID] = clean[[#This Row],[Facility ID]]) * ([1]!readmissions[Measure ID] = "Hybrid_HWR"), [1]!readmissions[Score]), "No Match")</f>
        <v>16.2</v>
      </c>
    </row>
    <row r="1490" spans="1:6" x14ac:dyDescent="0.2">
      <c r="A1490">
        <f>[1]!hospitalinfo[[#This Row],[Facility ID]]</f>
        <v>140174</v>
      </c>
      <c r="B1490" t="str">
        <f>[1]!hospitalinfo[[#This Row],[State]]</f>
        <v>IL</v>
      </c>
      <c r="C1490" t="str">
        <f>[1]!hospitalinfo[[#This Row],[Hospital Type]]</f>
        <v>Acute Care Hospitals</v>
      </c>
      <c r="D1490" t="str">
        <f>[1]!hospitalinfo[[#This Row],[Hospital Ownership]]</f>
        <v>Voluntary non-profit - Private</v>
      </c>
      <c r="E1490" cm="1">
        <f t="array" ref="E1490">_xlfn.IFNA(_xlfn.XLOOKUP(1,([1]!hcahps[Facility ID] = clean[[#This Row],[Facility ID]]) * ([1]!hcahps[HCAHPS Measure ID] = "H_HSP_RATING_LINEAR_SCORE"), [1]!hcahps[HCAHPS Linear Mean Value]), "No Match")</f>
        <v>86</v>
      </c>
      <c r="F1490" cm="1">
        <f t="array" ref="F1490">_xlfn.IFNA(_xlfn.XLOOKUP(1,([1]!readmissions[Facility ID] = clean[[#This Row],[Facility ID]]) * ([1]!readmissions[Measure ID] = "Hybrid_HWR"), [1]!readmissions[Score]), "No Match")</f>
        <v>14.4</v>
      </c>
    </row>
    <row r="1491" spans="1:6" x14ac:dyDescent="0.2">
      <c r="A1491">
        <f>[1]!hospitalinfo[[#This Row],[Facility ID]]</f>
        <v>140177</v>
      </c>
      <c r="B1491" t="str">
        <f>[1]!hospitalinfo[[#This Row],[State]]</f>
        <v>IL</v>
      </c>
      <c r="C1491" t="str">
        <f>[1]!hospitalinfo[[#This Row],[Hospital Type]]</f>
        <v>Acute Care Hospitals</v>
      </c>
      <c r="D1491" t="str">
        <f>[1]!hospitalinfo[[#This Row],[Hospital Ownership]]</f>
        <v>Voluntary non-profit - Private</v>
      </c>
      <c r="E1491" t="str" cm="1">
        <f t="array" ref="E1491">_xlfn.IFNA(_xlfn.XLOOKUP(1,([1]!hcahps[Facility ID] = clean[[#This Row],[Facility ID]]) * ([1]!hcahps[HCAHPS Measure ID] = "H_HSP_RATING_LINEAR_SCORE"), [1]!hcahps[HCAHPS Linear Mean Value]), "No Match")</f>
        <v>Not Available</v>
      </c>
      <c r="F1491" cm="1">
        <f t="array" ref="F1491">_xlfn.IFNA(_xlfn.XLOOKUP(1,([1]!readmissions[Facility ID] = clean[[#This Row],[Facility ID]]) * ([1]!readmissions[Measure ID] = "Hybrid_HWR"), [1]!readmissions[Score]), "No Match")</f>
        <v>16.3</v>
      </c>
    </row>
    <row r="1492" spans="1:6" x14ac:dyDescent="0.2">
      <c r="A1492">
        <f>[1]!hospitalinfo[[#This Row],[Facility ID]]</f>
        <v>140179</v>
      </c>
      <c r="B1492" t="str">
        <f>[1]!hospitalinfo[[#This Row],[State]]</f>
        <v>IL</v>
      </c>
      <c r="C1492" t="str">
        <f>[1]!hospitalinfo[[#This Row],[Hospital Type]]</f>
        <v>Acute Care Hospitals</v>
      </c>
      <c r="D1492" t="str">
        <f>[1]!hospitalinfo[[#This Row],[Hospital Ownership]]</f>
        <v>Voluntary non-profit - Other</v>
      </c>
      <c r="E1492" cm="1">
        <f t="array" ref="E1492">_xlfn.IFNA(_xlfn.XLOOKUP(1,([1]!hcahps[Facility ID] = clean[[#This Row],[Facility ID]]) * ([1]!hcahps[HCAHPS Measure ID] = "H_HSP_RATING_LINEAR_SCORE"), [1]!hcahps[HCAHPS Linear Mean Value]), "No Match")</f>
        <v>89</v>
      </c>
      <c r="F1492" cm="1">
        <f t="array" ref="F1492">_xlfn.IFNA(_xlfn.XLOOKUP(1,([1]!readmissions[Facility ID] = clean[[#This Row],[Facility ID]]) * ([1]!readmissions[Measure ID] = "Hybrid_HWR"), [1]!readmissions[Score]), "No Match")</f>
        <v>16.5</v>
      </c>
    </row>
    <row r="1493" spans="1:6" x14ac:dyDescent="0.2">
      <c r="A1493">
        <f>[1]!hospitalinfo[[#This Row],[Facility ID]]</f>
        <v>140180</v>
      </c>
      <c r="B1493" t="str">
        <f>[1]!hospitalinfo[[#This Row],[State]]</f>
        <v>IL</v>
      </c>
      <c r="C1493" t="str">
        <f>[1]!hospitalinfo[[#This Row],[Hospital Type]]</f>
        <v>Acute Care Hospitals</v>
      </c>
      <c r="D1493" t="str">
        <f>[1]!hospitalinfo[[#This Row],[Hospital Ownership]]</f>
        <v>Voluntary non-profit - Church</v>
      </c>
      <c r="E1493" cm="1">
        <f t="array" ref="E1493">_xlfn.IFNA(_xlfn.XLOOKUP(1,([1]!hcahps[Facility ID] = clean[[#This Row],[Facility ID]]) * ([1]!hcahps[HCAHPS Measure ID] = "H_HSP_RATING_LINEAR_SCORE"), [1]!hcahps[HCAHPS Linear Mean Value]), "No Match")</f>
        <v>88</v>
      </c>
      <c r="F1493" cm="1">
        <f t="array" ref="F1493">_xlfn.IFNA(_xlfn.XLOOKUP(1,([1]!readmissions[Facility ID] = clean[[#This Row],[Facility ID]]) * ([1]!readmissions[Measure ID] = "Hybrid_HWR"), [1]!readmissions[Score]), "No Match")</f>
        <v>14.2</v>
      </c>
    </row>
    <row r="1494" spans="1:6" x14ac:dyDescent="0.2">
      <c r="A1494">
        <f>[1]!hospitalinfo[[#This Row],[Facility ID]]</f>
        <v>140181</v>
      </c>
      <c r="B1494" t="str">
        <f>[1]!hospitalinfo[[#This Row],[State]]</f>
        <v>IL</v>
      </c>
      <c r="C1494" t="str">
        <f>[1]!hospitalinfo[[#This Row],[Hospital Type]]</f>
        <v>Acute Care Hospitals</v>
      </c>
      <c r="D1494" t="str">
        <f>[1]!hospitalinfo[[#This Row],[Hospital Ownership]]</f>
        <v>Voluntary non-profit - Private</v>
      </c>
      <c r="E1494" t="str" cm="1">
        <f t="array" ref="E1494">_xlfn.IFNA(_xlfn.XLOOKUP(1,([1]!hcahps[Facility ID] = clean[[#This Row],[Facility ID]]) * ([1]!hcahps[HCAHPS Measure ID] = "H_HSP_RATING_LINEAR_SCORE"), [1]!hcahps[HCAHPS Linear Mean Value]), "No Match")</f>
        <v>Not Available</v>
      </c>
      <c r="F1494" cm="1">
        <f t="array" ref="F1494">_xlfn.IFNA(_xlfn.XLOOKUP(1,([1]!readmissions[Facility ID] = clean[[#This Row],[Facility ID]]) * ([1]!readmissions[Measure ID] = "Hybrid_HWR"), [1]!readmissions[Score]), "No Match")</f>
        <v>16.7</v>
      </c>
    </row>
    <row r="1495" spans="1:6" x14ac:dyDescent="0.2">
      <c r="A1495">
        <f>[1]!hospitalinfo[[#This Row],[Facility ID]]</f>
        <v>140182</v>
      </c>
      <c r="B1495" t="str">
        <f>[1]!hospitalinfo[[#This Row],[State]]</f>
        <v>IL</v>
      </c>
      <c r="C1495" t="str">
        <f>[1]!hospitalinfo[[#This Row],[Hospital Type]]</f>
        <v>Acute Care Hospitals</v>
      </c>
      <c r="D1495" t="str">
        <f>[1]!hospitalinfo[[#This Row],[Hospital Ownership]]</f>
        <v>Voluntary non-profit - Private</v>
      </c>
      <c r="E1495" cm="1">
        <f t="array" ref="E1495">_xlfn.IFNA(_xlfn.XLOOKUP(1,([1]!hcahps[Facility ID] = clean[[#This Row],[Facility ID]]) * ([1]!hcahps[HCAHPS Measure ID] = "H_HSP_RATING_LINEAR_SCORE"), [1]!hcahps[HCAHPS Linear Mean Value]), "No Match")</f>
        <v>88</v>
      </c>
      <c r="F1495" cm="1">
        <f t="array" ref="F1495">_xlfn.IFNA(_xlfn.XLOOKUP(1,([1]!readmissions[Facility ID] = clean[[#This Row],[Facility ID]]) * ([1]!readmissions[Measure ID] = "Hybrid_HWR"), [1]!readmissions[Score]), "No Match")</f>
        <v>16.2</v>
      </c>
    </row>
    <row r="1496" spans="1:6" x14ac:dyDescent="0.2">
      <c r="A1496">
        <f>[1]!hospitalinfo[[#This Row],[Facility ID]]</f>
        <v>140184</v>
      </c>
      <c r="B1496" t="str">
        <f>[1]!hospitalinfo[[#This Row],[State]]</f>
        <v>IL</v>
      </c>
      <c r="C1496" t="str">
        <f>[1]!hospitalinfo[[#This Row],[Hospital Type]]</f>
        <v>Acute Care Hospitals</v>
      </c>
      <c r="D1496" t="str">
        <f>[1]!hospitalinfo[[#This Row],[Hospital Ownership]]</f>
        <v>Proprietary</v>
      </c>
      <c r="E1496" cm="1">
        <f t="array" ref="E1496">_xlfn.IFNA(_xlfn.XLOOKUP(1,([1]!hcahps[Facility ID] = clean[[#This Row],[Facility ID]]) * ([1]!hcahps[HCAHPS Measure ID] = "H_HSP_RATING_LINEAR_SCORE"), [1]!hcahps[HCAHPS Linear Mean Value]), "No Match")</f>
        <v>87</v>
      </c>
      <c r="F1496" cm="1">
        <f t="array" ref="F1496">_xlfn.IFNA(_xlfn.XLOOKUP(1,([1]!readmissions[Facility ID] = clean[[#This Row],[Facility ID]]) * ([1]!readmissions[Measure ID] = "Hybrid_HWR"), [1]!readmissions[Score]), "No Match")</f>
        <v>16.600000000000001</v>
      </c>
    </row>
    <row r="1497" spans="1:6" x14ac:dyDescent="0.2">
      <c r="A1497">
        <f>[1]!hospitalinfo[[#This Row],[Facility ID]]</f>
        <v>140185</v>
      </c>
      <c r="B1497" t="str">
        <f>[1]!hospitalinfo[[#This Row],[State]]</f>
        <v>IL</v>
      </c>
      <c r="C1497" t="str">
        <f>[1]!hospitalinfo[[#This Row],[Hospital Type]]</f>
        <v>Acute Care Hospitals</v>
      </c>
      <c r="D1497" t="str">
        <f>[1]!hospitalinfo[[#This Row],[Hospital Ownership]]</f>
        <v>Voluntary non-profit - Private</v>
      </c>
      <c r="E1497" cm="1">
        <f t="array" ref="E1497">_xlfn.IFNA(_xlfn.XLOOKUP(1,([1]!hcahps[Facility ID] = clean[[#This Row],[Facility ID]]) * ([1]!hcahps[HCAHPS Measure ID] = "H_HSP_RATING_LINEAR_SCORE"), [1]!hcahps[HCAHPS Linear Mean Value]), "No Match")</f>
        <v>91</v>
      </c>
      <c r="F1497" cm="1">
        <f t="array" ref="F1497">_xlfn.IFNA(_xlfn.XLOOKUP(1,([1]!readmissions[Facility ID] = clean[[#This Row],[Facility ID]]) * ([1]!readmissions[Measure ID] = "Hybrid_HWR"), [1]!readmissions[Score]), "No Match")</f>
        <v>14.8</v>
      </c>
    </row>
    <row r="1498" spans="1:6" x14ac:dyDescent="0.2">
      <c r="A1498">
        <f>[1]!hospitalinfo[[#This Row],[Facility ID]]</f>
        <v>140186</v>
      </c>
      <c r="B1498" t="str">
        <f>[1]!hospitalinfo[[#This Row],[State]]</f>
        <v>IL</v>
      </c>
      <c r="C1498" t="str">
        <f>[1]!hospitalinfo[[#This Row],[Hospital Type]]</f>
        <v>Acute Care Hospitals</v>
      </c>
      <c r="D1498" t="str">
        <f>[1]!hospitalinfo[[#This Row],[Hospital Ownership]]</f>
        <v>Voluntary non-profit - Private</v>
      </c>
      <c r="E1498" cm="1">
        <f t="array" ref="E1498">_xlfn.IFNA(_xlfn.XLOOKUP(1,([1]!hcahps[Facility ID] = clean[[#This Row],[Facility ID]]) * ([1]!hcahps[HCAHPS Measure ID] = "H_HSP_RATING_LINEAR_SCORE"), [1]!hcahps[HCAHPS Linear Mean Value]), "No Match")</f>
        <v>87</v>
      </c>
      <c r="F1498" cm="1">
        <f t="array" ref="F1498">_xlfn.IFNA(_xlfn.XLOOKUP(1,([1]!readmissions[Facility ID] = clean[[#This Row],[Facility ID]]) * ([1]!readmissions[Measure ID] = "Hybrid_HWR"), [1]!readmissions[Score]), "No Match")</f>
        <v>15</v>
      </c>
    </row>
    <row r="1499" spans="1:6" x14ac:dyDescent="0.2">
      <c r="A1499">
        <f>[1]!hospitalinfo[[#This Row],[Facility ID]]</f>
        <v>140187</v>
      </c>
      <c r="B1499" t="str">
        <f>[1]!hospitalinfo[[#This Row],[State]]</f>
        <v>IL</v>
      </c>
      <c r="C1499" t="str">
        <f>[1]!hospitalinfo[[#This Row],[Hospital Type]]</f>
        <v>Acute Care Hospitals</v>
      </c>
      <c r="D1499" t="str">
        <f>[1]!hospitalinfo[[#This Row],[Hospital Ownership]]</f>
        <v>Voluntary non-profit - Church</v>
      </c>
      <c r="E1499" cm="1">
        <f t="array" ref="E1499">_xlfn.IFNA(_xlfn.XLOOKUP(1,([1]!hcahps[Facility ID] = clean[[#This Row],[Facility ID]]) * ([1]!hcahps[HCAHPS Measure ID] = "H_HSP_RATING_LINEAR_SCORE"), [1]!hcahps[HCAHPS Linear Mean Value]), "No Match")</f>
        <v>91</v>
      </c>
      <c r="F1499" cm="1">
        <f t="array" ref="F1499">_xlfn.IFNA(_xlfn.XLOOKUP(1,([1]!readmissions[Facility ID] = clean[[#This Row],[Facility ID]]) * ([1]!readmissions[Measure ID] = "Hybrid_HWR"), [1]!readmissions[Score]), "No Match")</f>
        <v>15.1</v>
      </c>
    </row>
    <row r="1500" spans="1:6" x14ac:dyDescent="0.2">
      <c r="A1500">
        <f>[1]!hospitalinfo[[#This Row],[Facility ID]]</f>
        <v>140189</v>
      </c>
      <c r="B1500" t="str">
        <f>[1]!hospitalinfo[[#This Row],[State]]</f>
        <v>IL</v>
      </c>
      <c r="C1500" t="str">
        <f>[1]!hospitalinfo[[#This Row],[Hospital Type]]</f>
        <v>Acute Care Hospitals</v>
      </c>
      <c r="D1500" t="str">
        <f>[1]!hospitalinfo[[#This Row],[Hospital Ownership]]</f>
        <v>Voluntary non-profit - Private</v>
      </c>
      <c r="E1500" cm="1">
        <f t="array" ref="E1500">_xlfn.IFNA(_xlfn.XLOOKUP(1,([1]!hcahps[Facility ID] = clean[[#This Row],[Facility ID]]) * ([1]!hcahps[HCAHPS Measure ID] = "H_HSP_RATING_LINEAR_SCORE"), [1]!hcahps[HCAHPS Linear Mean Value]), "No Match")</f>
        <v>90</v>
      </c>
      <c r="F1500" cm="1">
        <f t="array" ref="F1500">_xlfn.IFNA(_xlfn.XLOOKUP(1,([1]!readmissions[Facility ID] = clean[[#This Row],[Facility ID]]) * ([1]!readmissions[Measure ID] = "Hybrid_HWR"), [1]!readmissions[Score]), "No Match")</f>
        <v>14.9</v>
      </c>
    </row>
    <row r="1501" spans="1:6" x14ac:dyDescent="0.2">
      <c r="A1501">
        <f>[1]!hospitalinfo[[#This Row],[Facility ID]]</f>
        <v>140191</v>
      </c>
      <c r="B1501" t="str">
        <f>[1]!hospitalinfo[[#This Row],[State]]</f>
        <v>IL</v>
      </c>
      <c r="C1501" t="str">
        <f>[1]!hospitalinfo[[#This Row],[Hospital Type]]</f>
        <v>Acute Care Hospitals</v>
      </c>
      <c r="D1501" t="str">
        <f>[1]!hospitalinfo[[#This Row],[Hospital Ownership]]</f>
        <v>Physician</v>
      </c>
      <c r="E1501" cm="1">
        <f t="array" ref="E1501">_xlfn.IFNA(_xlfn.XLOOKUP(1,([1]!hcahps[Facility ID] = clean[[#This Row],[Facility ID]]) * ([1]!hcahps[HCAHPS Measure ID] = "H_HSP_RATING_LINEAR_SCORE"), [1]!hcahps[HCAHPS Linear Mean Value]), "No Match")</f>
        <v>81</v>
      </c>
      <c r="F1501" cm="1">
        <f t="array" ref="F1501">_xlfn.IFNA(_xlfn.XLOOKUP(1,([1]!readmissions[Facility ID] = clean[[#This Row],[Facility ID]]) * ([1]!readmissions[Measure ID] = "Hybrid_HWR"), [1]!readmissions[Score]), "No Match")</f>
        <v>16.100000000000001</v>
      </c>
    </row>
    <row r="1502" spans="1:6" x14ac:dyDescent="0.2">
      <c r="A1502">
        <f>[1]!hospitalinfo[[#This Row],[Facility ID]]</f>
        <v>140197</v>
      </c>
      <c r="B1502" t="str">
        <f>[1]!hospitalinfo[[#This Row],[State]]</f>
        <v>IL</v>
      </c>
      <c r="C1502" t="str">
        <f>[1]!hospitalinfo[[#This Row],[Hospital Type]]</f>
        <v>Acute Care Hospitals</v>
      </c>
      <c r="D1502" t="str">
        <f>[1]!hospitalinfo[[#This Row],[Hospital Ownership]]</f>
        <v>Voluntary non-profit - Private</v>
      </c>
      <c r="E1502" t="str" cm="1">
        <f t="array" ref="E1502">_xlfn.IFNA(_xlfn.XLOOKUP(1,([1]!hcahps[Facility ID] = clean[[#This Row],[Facility ID]]) * ([1]!hcahps[HCAHPS Measure ID] = "H_HSP_RATING_LINEAR_SCORE"), [1]!hcahps[HCAHPS Linear Mean Value]), "No Match")</f>
        <v>Not Available</v>
      </c>
      <c r="F1502" t="str" cm="1">
        <f t="array" ref="F1502">_xlfn.IFNA(_xlfn.XLOOKUP(1,([1]!readmissions[Facility ID] = clean[[#This Row],[Facility ID]]) * ([1]!readmissions[Measure ID] = "Hybrid_HWR"), [1]!readmissions[Score]), "No Match")</f>
        <v>Not Available</v>
      </c>
    </row>
    <row r="1503" spans="1:6" x14ac:dyDescent="0.2">
      <c r="A1503">
        <f>[1]!hospitalinfo[[#This Row],[Facility ID]]</f>
        <v>140200</v>
      </c>
      <c r="B1503" t="str">
        <f>[1]!hospitalinfo[[#This Row],[State]]</f>
        <v>IL</v>
      </c>
      <c r="C1503" t="str">
        <f>[1]!hospitalinfo[[#This Row],[Hospital Type]]</f>
        <v>Acute Care Hospitals</v>
      </c>
      <c r="D1503" t="str">
        <f>[1]!hospitalinfo[[#This Row],[Hospital Ownership]]</f>
        <v>Proprietary</v>
      </c>
      <c r="E1503" cm="1">
        <f t="array" ref="E1503">_xlfn.IFNA(_xlfn.XLOOKUP(1,([1]!hcahps[Facility ID] = clean[[#This Row],[Facility ID]]) * ([1]!hcahps[HCAHPS Measure ID] = "H_HSP_RATING_LINEAR_SCORE"), [1]!hcahps[HCAHPS Linear Mean Value]), "No Match")</f>
        <v>90</v>
      </c>
      <c r="F1503" cm="1">
        <f t="array" ref="F1503">_xlfn.IFNA(_xlfn.XLOOKUP(1,([1]!readmissions[Facility ID] = clean[[#This Row],[Facility ID]]) * ([1]!readmissions[Measure ID] = "Hybrid_HWR"), [1]!readmissions[Score]), "No Match")</f>
        <v>15.7</v>
      </c>
    </row>
    <row r="1504" spans="1:6" x14ac:dyDescent="0.2">
      <c r="A1504">
        <f>[1]!hospitalinfo[[#This Row],[Facility ID]]</f>
        <v>140202</v>
      </c>
      <c r="B1504" t="str">
        <f>[1]!hospitalinfo[[#This Row],[State]]</f>
        <v>IL</v>
      </c>
      <c r="C1504" t="str">
        <f>[1]!hospitalinfo[[#This Row],[Hospital Type]]</f>
        <v>Acute Care Hospitals</v>
      </c>
      <c r="D1504" t="str">
        <f>[1]!hospitalinfo[[#This Row],[Hospital Ownership]]</f>
        <v>Voluntary non-profit - Private</v>
      </c>
      <c r="E1504" cm="1">
        <f t="array" ref="E1504">_xlfn.IFNA(_xlfn.XLOOKUP(1,([1]!hcahps[Facility ID] = clean[[#This Row],[Facility ID]]) * ([1]!hcahps[HCAHPS Measure ID] = "H_HSP_RATING_LINEAR_SCORE"), [1]!hcahps[HCAHPS Linear Mean Value]), "No Match")</f>
        <v>87</v>
      </c>
      <c r="F1504" cm="1">
        <f t="array" ref="F1504">_xlfn.IFNA(_xlfn.XLOOKUP(1,([1]!readmissions[Facility ID] = clean[[#This Row],[Facility ID]]) * ([1]!readmissions[Measure ID] = "Hybrid_HWR"), [1]!readmissions[Score]), "No Match")</f>
        <v>14.8</v>
      </c>
    </row>
    <row r="1505" spans="1:6" x14ac:dyDescent="0.2">
      <c r="A1505">
        <f>[1]!hospitalinfo[[#This Row],[Facility ID]]</f>
        <v>140206</v>
      </c>
      <c r="B1505" t="str">
        <f>[1]!hospitalinfo[[#This Row],[State]]</f>
        <v>IL</v>
      </c>
      <c r="C1505" t="str">
        <f>[1]!hospitalinfo[[#This Row],[Hospital Type]]</f>
        <v>Acute Care Hospitals</v>
      </c>
      <c r="D1505" t="str">
        <f>[1]!hospitalinfo[[#This Row],[Hospital Ownership]]</f>
        <v>Voluntary non-profit - Private</v>
      </c>
      <c r="E1505" cm="1">
        <f t="array" ref="E1505">_xlfn.IFNA(_xlfn.XLOOKUP(1,([1]!hcahps[Facility ID] = clean[[#This Row],[Facility ID]]) * ([1]!hcahps[HCAHPS Measure ID] = "H_HSP_RATING_LINEAR_SCORE"), [1]!hcahps[HCAHPS Linear Mean Value]), "No Match")</f>
        <v>81</v>
      </c>
      <c r="F1505" cm="1">
        <f t="array" ref="F1505">_xlfn.IFNA(_xlfn.XLOOKUP(1,([1]!readmissions[Facility ID] = clean[[#This Row],[Facility ID]]) * ([1]!readmissions[Measure ID] = "Hybrid_HWR"), [1]!readmissions[Score]), "No Match")</f>
        <v>15.5</v>
      </c>
    </row>
    <row r="1506" spans="1:6" x14ac:dyDescent="0.2">
      <c r="A1506">
        <f>[1]!hospitalinfo[[#This Row],[Facility ID]]</f>
        <v>140208</v>
      </c>
      <c r="B1506" t="str">
        <f>[1]!hospitalinfo[[#This Row],[State]]</f>
        <v>IL</v>
      </c>
      <c r="C1506" t="str">
        <f>[1]!hospitalinfo[[#This Row],[Hospital Type]]</f>
        <v>Acute Care Hospitals</v>
      </c>
      <c r="D1506" t="str">
        <f>[1]!hospitalinfo[[#This Row],[Hospital Ownership]]</f>
        <v>Voluntary non-profit - Church</v>
      </c>
      <c r="E1506" cm="1">
        <f t="array" ref="E1506">_xlfn.IFNA(_xlfn.XLOOKUP(1,([1]!hcahps[Facility ID] = clean[[#This Row],[Facility ID]]) * ([1]!hcahps[HCAHPS Measure ID] = "H_HSP_RATING_LINEAR_SCORE"), [1]!hcahps[HCAHPS Linear Mean Value]), "No Match")</f>
        <v>85</v>
      </c>
      <c r="F1506" cm="1">
        <f t="array" ref="F1506">_xlfn.IFNA(_xlfn.XLOOKUP(1,([1]!readmissions[Facility ID] = clean[[#This Row],[Facility ID]]) * ([1]!readmissions[Measure ID] = "Hybrid_HWR"), [1]!readmissions[Score]), "No Match")</f>
        <v>15.8</v>
      </c>
    </row>
    <row r="1507" spans="1:6" x14ac:dyDescent="0.2">
      <c r="A1507">
        <f>[1]!hospitalinfo[[#This Row],[Facility ID]]</f>
        <v>140209</v>
      </c>
      <c r="B1507" t="str">
        <f>[1]!hospitalinfo[[#This Row],[State]]</f>
        <v>IL</v>
      </c>
      <c r="C1507" t="str">
        <f>[1]!hospitalinfo[[#This Row],[Hospital Type]]</f>
        <v>Acute Care Hospitals</v>
      </c>
      <c r="D1507" t="str">
        <f>[1]!hospitalinfo[[#This Row],[Hospital Ownership]]</f>
        <v>Voluntary non-profit - Private</v>
      </c>
      <c r="E1507" cm="1">
        <f t="array" ref="E1507">_xlfn.IFNA(_xlfn.XLOOKUP(1,([1]!hcahps[Facility ID] = clean[[#This Row],[Facility ID]]) * ([1]!hcahps[HCAHPS Measure ID] = "H_HSP_RATING_LINEAR_SCORE"), [1]!hcahps[HCAHPS Linear Mean Value]), "No Match")</f>
        <v>84</v>
      </c>
      <c r="F1507" cm="1">
        <f t="array" ref="F1507">_xlfn.IFNA(_xlfn.XLOOKUP(1,([1]!readmissions[Facility ID] = clean[[#This Row],[Facility ID]]) * ([1]!readmissions[Measure ID] = "Hybrid_HWR"), [1]!readmissions[Score]), "No Match")</f>
        <v>14.7</v>
      </c>
    </row>
    <row r="1508" spans="1:6" x14ac:dyDescent="0.2">
      <c r="A1508">
        <f>[1]!hospitalinfo[[#This Row],[Facility ID]]</f>
        <v>140210</v>
      </c>
      <c r="B1508" t="str">
        <f>[1]!hospitalinfo[[#This Row],[State]]</f>
        <v>IL</v>
      </c>
      <c r="C1508" t="str">
        <f>[1]!hospitalinfo[[#This Row],[Hospital Type]]</f>
        <v>Acute Care Hospitals</v>
      </c>
      <c r="D1508" t="str">
        <f>[1]!hospitalinfo[[#This Row],[Hospital Ownership]]</f>
        <v>Voluntary non-profit - Other</v>
      </c>
      <c r="E1508" t="str" cm="1">
        <f t="array" ref="E1508">_xlfn.IFNA(_xlfn.XLOOKUP(1,([1]!hcahps[Facility ID] = clean[[#This Row],[Facility ID]]) * ([1]!hcahps[HCAHPS Measure ID] = "H_HSP_RATING_LINEAR_SCORE"), [1]!hcahps[HCAHPS Linear Mean Value]), "No Match")</f>
        <v>Not Available</v>
      </c>
      <c r="F1508" cm="1">
        <f t="array" ref="F1508">_xlfn.IFNA(_xlfn.XLOOKUP(1,([1]!readmissions[Facility ID] = clean[[#This Row],[Facility ID]]) * ([1]!readmissions[Measure ID] = "Hybrid_HWR"), [1]!readmissions[Score]), "No Match")</f>
        <v>15.1</v>
      </c>
    </row>
    <row r="1509" spans="1:6" x14ac:dyDescent="0.2">
      <c r="A1509">
        <f>[1]!hospitalinfo[[#This Row],[Facility ID]]</f>
        <v>140211</v>
      </c>
      <c r="B1509" t="str">
        <f>[1]!hospitalinfo[[#This Row],[State]]</f>
        <v>IL</v>
      </c>
      <c r="C1509" t="str">
        <f>[1]!hospitalinfo[[#This Row],[Hospital Type]]</f>
        <v>Acute Care Hospitals</v>
      </c>
      <c r="D1509" t="str">
        <f>[1]!hospitalinfo[[#This Row],[Hospital Ownership]]</f>
        <v>Voluntary non-profit - Private</v>
      </c>
      <c r="E1509" cm="1">
        <f t="array" ref="E1509">_xlfn.IFNA(_xlfn.XLOOKUP(1,([1]!hcahps[Facility ID] = clean[[#This Row],[Facility ID]]) * ([1]!hcahps[HCAHPS Measure ID] = "H_HSP_RATING_LINEAR_SCORE"), [1]!hcahps[HCAHPS Linear Mean Value]), "No Match")</f>
        <v>90</v>
      </c>
      <c r="F1509" cm="1">
        <f t="array" ref="F1509">_xlfn.IFNA(_xlfn.XLOOKUP(1,([1]!readmissions[Facility ID] = clean[[#This Row],[Facility ID]]) * ([1]!readmissions[Measure ID] = "Hybrid_HWR"), [1]!readmissions[Score]), "No Match")</f>
        <v>14</v>
      </c>
    </row>
    <row r="1510" spans="1:6" x14ac:dyDescent="0.2">
      <c r="A1510">
        <f>[1]!hospitalinfo[[#This Row],[Facility ID]]</f>
        <v>140213</v>
      </c>
      <c r="B1510" t="str">
        <f>[1]!hospitalinfo[[#This Row],[State]]</f>
        <v>IL</v>
      </c>
      <c r="C1510" t="str">
        <f>[1]!hospitalinfo[[#This Row],[Hospital Type]]</f>
        <v>Acute Care Hospitals</v>
      </c>
      <c r="D1510" t="str">
        <f>[1]!hospitalinfo[[#This Row],[Hospital Ownership]]</f>
        <v>Voluntary non-profit - Private</v>
      </c>
      <c r="E1510" cm="1">
        <f t="array" ref="E1510">_xlfn.IFNA(_xlfn.XLOOKUP(1,([1]!hcahps[Facility ID] = clean[[#This Row],[Facility ID]]) * ([1]!hcahps[HCAHPS Measure ID] = "H_HSP_RATING_LINEAR_SCORE"), [1]!hcahps[HCAHPS Linear Mean Value]), "No Match")</f>
        <v>90</v>
      </c>
      <c r="F1510" cm="1">
        <f t="array" ref="F1510">_xlfn.IFNA(_xlfn.XLOOKUP(1,([1]!readmissions[Facility ID] = clean[[#This Row],[Facility ID]]) * ([1]!readmissions[Measure ID] = "Hybrid_HWR"), [1]!readmissions[Score]), "No Match")</f>
        <v>14.9</v>
      </c>
    </row>
    <row r="1511" spans="1:6" x14ac:dyDescent="0.2">
      <c r="A1511">
        <f>[1]!hospitalinfo[[#This Row],[Facility ID]]</f>
        <v>140217</v>
      </c>
      <c r="B1511" t="str">
        <f>[1]!hospitalinfo[[#This Row],[State]]</f>
        <v>IL</v>
      </c>
      <c r="C1511" t="str">
        <f>[1]!hospitalinfo[[#This Row],[Hospital Type]]</f>
        <v>Acute Care Hospitals</v>
      </c>
      <c r="D1511" t="str">
        <f>[1]!hospitalinfo[[#This Row],[Hospital Ownership]]</f>
        <v>Voluntary non-profit - Church</v>
      </c>
      <c r="E1511" cm="1">
        <f t="array" ref="E1511">_xlfn.IFNA(_xlfn.XLOOKUP(1,([1]!hcahps[Facility ID] = clean[[#This Row],[Facility ID]]) * ([1]!hcahps[HCAHPS Measure ID] = "H_HSP_RATING_LINEAR_SCORE"), [1]!hcahps[HCAHPS Linear Mean Value]), "No Match")</f>
        <v>86</v>
      </c>
      <c r="F1511" cm="1">
        <f t="array" ref="F1511">_xlfn.IFNA(_xlfn.XLOOKUP(1,([1]!readmissions[Facility ID] = clean[[#This Row],[Facility ID]]) * ([1]!readmissions[Measure ID] = "Hybrid_HWR"), [1]!readmissions[Score]), "No Match")</f>
        <v>14.3</v>
      </c>
    </row>
    <row r="1512" spans="1:6" x14ac:dyDescent="0.2">
      <c r="A1512">
        <f>[1]!hospitalinfo[[#This Row],[Facility ID]]</f>
        <v>140223</v>
      </c>
      <c r="B1512" t="str">
        <f>[1]!hospitalinfo[[#This Row],[State]]</f>
        <v>IL</v>
      </c>
      <c r="C1512" t="str">
        <f>[1]!hospitalinfo[[#This Row],[Hospital Type]]</f>
        <v>Acute Care Hospitals</v>
      </c>
      <c r="D1512" t="str">
        <f>[1]!hospitalinfo[[#This Row],[Hospital Ownership]]</f>
        <v>Voluntary non-profit - Church</v>
      </c>
      <c r="E1512" cm="1">
        <f t="array" ref="E1512">_xlfn.IFNA(_xlfn.XLOOKUP(1,([1]!hcahps[Facility ID] = clean[[#This Row],[Facility ID]]) * ([1]!hcahps[HCAHPS Measure ID] = "H_HSP_RATING_LINEAR_SCORE"), [1]!hcahps[HCAHPS Linear Mean Value]), "No Match")</f>
        <v>87</v>
      </c>
      <c r="F1512" cm="1">
        <f t="array" ref="F1512">_xlfn.IFNA(_xlfn.XLOOKUP(1,([1]!readmissions[Facility ID] = clean[[#This Row],[Facility ID]]) * ([1]!readmissions[Measure ID] = "Hybrid_HWR"), [1]!readmissions[Score]), "No Match")</f>
        <v>14.1</v>
      </c>
    </row>
    <row r="1513" spans="1:6" x14ac:dyDescent="0.2">
      <c r="A1513">
        <f>[1]!hospitalinfo[[#This Row],[Facility ID]]</f>
        <v>140224</v>
      </c>
      <c r="B1513" t="str">
        <f>[1]!hospitalinfo[[#This Row],[State]]</f>
        <v>IL</v>
      </c>
      <c r="C1513" t="str">
        <f>[1]!hospitalinfo[[#This Row],[Hospital Type]]</f>
        <v>Acute Care Hospitals</v>
      </c>
      <c r="D1513" t="str">
        <f>[1]!hospitalinfo[[#This Row],[Hospital Ownership]]</f>
        <v>Voluntary non-profit - Church</v>
      </c>
      <c r="E1513" cm="1">
        <f t="array" ref="E1513">_xlfn.IFNA(_xlfn.XLOOKUP(1,([1]!hcahps[Facility ID] = clean[[#This Row],[Facility ID]]) * ([1]!hcahps[HCAHPS Measure ID] = "H_HSP_RATING_LINEAR_SCORE"), [1]!hcahps[HCAHPS Linear Mean Value]), "No Match")</f>
        <v>88</v>
      </c>
      <c r="F1513" cm="1">
        <f t="array" ref="F1513">_xlfn.IFNA(_xlfn.XLOOKUP(1,([1]!readmissions[Facility ID] = clean[[#This Row],[Facility ID]]) * ([1]!readmissions[Measure ID] = "Hybrid_HWR"), [1]!readmissions[Score]), "No Match")</f>
        <v>14.9</v>
      </c>
    </row>
    <row r="1514" spans="1:6" x14ac:dyDescent="0.2">
      <c r="A1514">
        <f>[1]!hospitalinfo[[#This Row],[Facility ID]]</f>
        <v>140228</v>
      </c>
      <c r="B1514" t="str">
        <f>[1]!hospitalinfo[[#This Row],[State]]</f>
        <v>IL</v>
      </c>
      <c r="C1514" t="str">
        <f>[1]!hospitalinfo[[#This Row],[Hospital Type]]</f>
        <v>Acute Care Hospitals</v>
      </c>
      <c r="D1514" t="str">
        <f>[1]!hospitalinfo[[#This Row],[Hospital Ownership]]</f>
        <v>Voluntary non-profit - Private</v>
      </c>
      <c r="E1514" cm="1">
        <f t="array" ref="E1514">_xlfn.IFNA(_xlfn.XLOOKUP(1,([1]!hcahps[Facility ID] = clean[[#This Row],[Facility ID]]) * ([1]!hcahps[HCAHPS Measure ID] = "H_HSP_RATING_LINEAR_SCORE"), [1]!hcahps[HCAHPS Linear Mean Value]), "No Match")</f>
        <v>86</v>
      </c>
      <c r="F1514" cm="1">
        <f t="array" ref="F1514">_xlfn.IFNA(_xlfn.XLOOKUP(1,([1]!readmissions[Facility ID] = clean[[#This Row],[Facility ID]]) * ([1]!readmissions[Measure ID] = "Hybrid_HWR"), [1]!readmissions[Score]), "No Match")</f>
        <v>15.1</v>
      </c>
    </row>
    <row r="1515" spans="1:6" x14ac:dyDescent="0.2">
      <c r="A1515">
        <f>[1]!hospitalinfo[[#This Row],[Facility ID]]</f>
        <v>140231</v>
      </c>
      <c r="B1515" t="str">
        <f>[1]!hospitalinfo[[#This Row],[State]]</f>
        <v>IL</v>
      </c>
      <c r="C1515" t="str">
        <f>[1]!hospitalinfo[[#This Row],[Hospital Type]]</f>
        <v>Acute Care Hospitals</v>
      </c>
      <c r="D1515" t="str">
        <f>[1]!hospitalinfo[[#This Row],[Hospital Ownership]]</f>
        <v>Voluntary non-profit - Private</v>
      </c>
      <c r="E1515" cm="1">
        <f t="array" ref="E1515">_xlfn.IFNA(_xlfn.XLOOKUP(1,([1]!hcahps[Facility ID] = clean[[#This Row],[Facility ID]]) * ([1]!hcahps[HCAHPS Measure ID] = "H_HSP_RATING_LINEAR_SCORE"), [1]!hcahps[HCAHPS Linear Mean Value]), "No Match")</f>
        <v>88</v>
      </c>
      <c r="F1515" cm="1">
        <f t="array" ref="F1515">_xlfn.IFNA(_xlfn.XLOOKUP(1,([1]!readmissions[Facility ID] = clean[[#This Row],[Facility ID]]) * ([1]!readmissions[Measure ID] = "Hybrid_HWR"), [1]!readmissions[Score]), "No Match")</f>
        <v>15.7</v>
      </c>
    </row>
    <row r="1516" spans="1:6" x14ac:dyDescent="0.2">
      <c r="A1516">
        <f>[1]!hospitalinfo[[#This Row],[Facility ID]]</f>
        <v>140233</v>
      </c>
      <c r="B1516" t="str">
        <f>[1]!hospitalinfo[[#This Row],[State]]</f>
        <v>IL</v>
      </c>
      <c r="C1516" t="str">
        <f>[1]!hospitalinfo[[#This Row],[Hospital Type]]</f>
        <v>Acute Care Hospitals</v>
      </c>
      <c r="D1516" t="str">
        <f>[1]!hospitalinfo[[#This Row],[Hospital Ownership]]</f>
        <v>Voluntary non-profit - Church</v>
      </c>
      <c r="E1516" cm="1">
        <f t="array" ref="E1516">_xlfn.IFNA(_xlfn.XLOOKUP(1,([1]!hcahps[Facility ID] = clean[[#This Row],[Facility ID]]) * ([1]!hcahps[HCAHPS Measure ID] = "H_HSP_RATING_LINEAR_SCORE"), [1]!hcahps[HCAHPS Linear Mean Value]), "No Match")</f>
        <v>87</v>
      </c>
      <c r="F1516" cm="1">
        <f t="array" ref="F1516">_xlfn.IFNA(_xlfn.XLOOKUP(1,([1]!readmissions[Facility ID] = clean[[#This Row],[Facility ID]]) * ([1]!readmissions[Measure ID] = "Hybrid_HWR"), [1]!readmissions[Score]), "No Match")</f>
        <v>14.7</v>
      </c>
    </row>
    <row r="1517" spans="1:6" x14ac:dyDescent="0.2">
      <c r="A1517">
        <f>[1]!hospitalinfo[[#This Row],[Facility ID]]</f>
        <v>140239</v>
      </c>
      <c r="B1517" t="str">
        <f>[1]!hospitalinfo[[#This Row],[State]]</f>
        <v>IL</v>
      </c>
      <c r="C1517" t="str">
        <f>[1]!hospitalinfo[[#This Row],[Hospital Type]]</f>
        <v>Acute Care Hospitals</v>
      </c>
      <c r="D1517" t="str">
        <f>[1]!hospitalinfo[[#This Row],[Hospital Ownership]]</f>
        <v>Voluntary non-profit - Private</v>
      </c>
      <c r="E1517" cm="1">
        <f t="array" ref="E1517">_xlfn.IFNA(_xlfn.XLOOKUP(1,([1]!hcahps[Facility ID] = clean[[#This Row],[Facility ID]]) * ([1]!hcahps[HCAHPS Measure ID] = "H_HSP_RATING_LINEAR_SCORE"), [1]!hcahps[HCAHPS Linear Mean Value]), "No Match")</f>
        <v>87</v>
      </c>
      <c r="F1517" cm="1">
        <f t="array" ref="F1517">_xlfn.IFNA(_xlfn.XLOOKUP(1,([1]!readmissions[Facility ID] = clean[[#This Row],[Facility ID]]) * ([1]!readmissions[Measure ID] = "Hybrid_HWR"), [1]!readmissions[Score]), "No Match")</f>
        <v>14.6</v>
      </c>
    </row>
    <row r="1518" spans="1:6" x14ac:dyDescent="0.2">
      <c r="A1518">
        <f>[1]!hospitalinfo[[#This Row],[Facility ID]]</f>
        <v>140242</v>
      </c>
      <c r="B1518" t="str">
        <f>[1]!hospitalinfo[[#This Row],[State]]</f>
        <v>IL</v>
      </c>
      <c r="C1518" t="str">
        <f>[1]!hospitalinfo[[#This Row],[Hospital Type]]</f>
        <v>Acute Care Hospitals</v>
      </c>
      <c r="D1518" t="str">
        <f>[1]!hospitalinfo[[#This Row],[Hospital Ownership]]</f>
        <v>Voluntary non-profit - Private</v>
      </c>
      <c r="E1518" cm="1">
        <f t="array" ref="E1518">_xlfn.IFNA(_xlfn.XLOOKUP(1,([1]!hcahps[Facility ID] = clean[[#This Row],[Facility ID]]) * ([1]!hcahps[HCAHPS Measure ID] = "H_HSP_RATING_LINEAR_SCORE"), [1]!hcahps[HCAHPS Linear Mean Value]), "No Match")</f>
        <v>91</v>
      </c>
      <c r="F1518" cm="1">
        <f t="array" ref="F1518">_xlfn.IFNA(_xlfn.XLOOKUP(1,([1]!readmissions[Facility ID] = clean[[#This Row],[Facility ID]]) * ([1]!readmissions[Measure ID] = "Hybrid_HWR"), [1]!readmissions[Score]), "No Match")</f>
        <v>15.1</v>
      </c>
    </row>
    <row r="1519" spans="1:6" x14ac:dyDescent="0.2">
      <c r="A1519">
        <f>[1]!hospitalinfo[[#This Row],[Facility ID]]</f>
        <v>140251</v>
      </c>
      <c r="B1519" t="str">
        <f>[1]!hospitalinfo[[#This Row],[State]]</f>
        <v>IL</v>
      </c>
      <c r="C1519" t="str">
        <f>[1]!hospitalinfo[[#This Row],[Hospital Type]]</f>
        <v>Acute Care Hospitals</v>
      </c>
      <c r="D1519" t="str">
        <f>[1]!hospitalinfo[[#This Row],[Hospital Ownership]]</f>
        <v>Proprietary</v>
      </c>
      <c r="E1519" t="str" cm="1">
        <f t="array" ref="E1519">_xlfn.IFNA(_xlfn.XLOOKUP(1,([1]!hcahps[Facility ID] = clean[[#This Row],[Facility ID]]) * ([1]!hcahps[HCAHPS Measure ID] = "H_HSP_RATING_LINEAR_SCORE"), [1]!hcahps[HCAHPS Linear Mean Value]), "No Match")</f>
        <v>Not Available</v>
      </c>
      <c r="F1519" cm="1">
        <f t="array" ref="F1519">_xlfn.IFNA(_xlfn.XLOOKUP(1,([1]!readmissions[Facility ID] = clean[[#This Row],[Facility ID]]) * ([1]!readmissions[Measure ID] = "Hybrid_HWR"), [1]!readmissions[Score]), "No Match")</f>
        <v>15.7</v>
      </c>
    </row>
    <row r="1520" spans="1:6" x14ac:dyDescent="0.2">
      <c r="A1520">
        <f>[1]!hospitalinfo[[#This Row],[Facility ID]]</f>
        <v>140252</v>
      </c>
      <c r="B1520" t="str">
        <f>[1]!hospitalinfo[[#This Row],[State]]</f>
        <v>IL</v>
      </c>
      <c r="C1520" t="str">
        <f>[1]!hospitalinfo[[#This Row],[Hospital Type]]</f>
        <v>Acute Care Hospitals</v>
      </c>
      <c r="D1520" t="str">
        <f>[1]!hospitalinfo[[#This Row],[Hospital Ownership]]</f>
        <v>Voluntary non-profit - Private</v>
      </c>
      <c r="E1520" cm="1">
        <f t="array" ref="E1520">_xlfn.IFNA(_xlfn.XLOOKUP(1,([1]!hcahps[Facility ID] = clean[[#This Row],[Facility ID]]) * ([1]!hcahps[HCAHPS Measure ID] = "H_HSP_RATING_LINEAR_SCORE"), [1]!hcahps[HCAHPS Linear Mean Value]), "No Match")</f>
        <v>85</v>
      </c>
      <c r="F1520" cm="1">
        <f t="array" ref="F1520">_xlfn.IFNA(_xlfn.XLOOKUP(1,([1]!readmissions[Facility ID] = clean[[#This Row],[Facility ID]]) * ([1]!readmissions[Measure ID] = "Hybrid_HWR"), [1]!readmissions[Score]), "No Match")</f>
        <v>15.7</v>
      </c>
    </row>
    <row r="1521" spans="1:6" x14ac:dyDescent="0.2">
      <c r="A1521">
        <f>[1]!hospitalinfo[[#This Row],[Facility ID]]</f>
        <v>140258</v>
      </c>
      <c r="B1521" t="str">
        <f>[1]!hospitalinfo[[#This Row],[State]]</f>
        <v>IL</v>
      </c>
      <c r="C1521" t="str">
        <f>[1]!hospitalinfo[[#This Row],[Hospital Type]]</f>
        <v>Acute Care Hospitals</v>
      </c>
      <c r="D1521" t="str">
        <f>[1]!hospitalinfo[[#This Row],[Hospital Ownership]]</f>
        <v>Voluntary non-profit - Private</v>
      </c>
      <c r="E1521" cm="1">
        <f t="array" ref="E1521">_xlfn.IFNA(_xlfn.XLOOKUP(1,([1]!hcahps[Facility ID] = clean[[#This Row],[Facility ID]]) * ([1]!hcahps[HCAHPS Measure ID] = "H_HSP_RATING_LINEAR_SCORE"), [1]!hcahps[HCAHPS Linear Mean Value]), "No Match")</f>
        <v>84</v>
      </c>
      <c r="F1521" cm="1">
        <f t="array" ref="F1521">_xlfn.IFNA(_xlfn.XLOOKUP(1,([1]!readmissions[Facility ID] = clean[[#This Row],[Facility ID]]) * ([1]!readmissions[Measure ID] = "Hybrid_HWR"), [1]!readmissions[Score]), "No Match")</f>
        <v>14.7</v>
      </c>
    </row>
    <row r="1522" spans="1:6" x14ac:dyDescent="0.2">
      <c r="A1522">
        <f>[1]!hospitalinfo[[#This Row],[Facility ID]]</f>
        <v>140275</v>
      </c>
      <c r="B1522" t="str">
        <f>[1]!hospitalinfo[[#This Row],[State]]</f>
        <v>IL</v>
      </c>
      <c r="C1522" t="str">
        <f>[1]!hospitalinfo[[#This Row],[Hospital Type]]</f>
        <v>Acute Care Hospitals</v>
      </c>
      <c r="D1522" t="str">
        <f>[1]!hospitalinfo[[#This Row],[Hospital Ownership]]</f>
        <v>Government - Local</v>
      </c>
      <c r="E1522" cm="1">
        <f t="array" ref="E1522">_xlfn.IFNA(_xlfn.XLOOKUP(1,([1]!hcahps[Facility ID] = clean[[#This Row],[Facility ID]]) * ([1]!hcahps[HCAHPS Measure ID] = "H_HSP_RATING_LINEAR_SCORE"), [1]!hcahps[HCAHPS Linear Mean Value]), "No Match")</f>
        <v>84</v>
      </c>
      <c r="F1522" cm="1">
        <f t="array" ref="F1522">_xlfn.IFNA(_xlfn.XLOOKUP(1,([1]!readmissions[Facility ID] = clean[[#This Row],[Facility ID]]) * ([1]!readmissions[Measure ID] = "Hybrid_HWR"), [1]!readmissions[Score]), "No Match")</f>
        <v>14.9</v>
      </c>
    </row>
    <row r="1523" spans="1:6" x14ac:dyDescent="0.2">
      <c r="A1523">
        <f>[1]!hospitalinfo[[#This Row],[Facility ID]]</f>
        <v>140276</v>
      </c>
      <c r="B1523" t="str">
        <f>[1]!hospitalinfo[[#This Row],[State]]</f>
        <v>IL</v>
      </c>
      <c r="C1523" t="str">
        <f>[1]!hospitalinfo[[#This Row],[Hospital Type]]</f>
        <v>Acute Care Hospitals</v>
      </c>
      <c r="D1523" t="str">
        <f>[1]!hospitalinfo[[#This Row],[Hospital Ownership]]</f>
        <v>Voluntary non-profit - Private</v>
      </c>
      <c r="E1523" cm="1">
        <f t="array" ref="E1523">_xlfn.IFNA(_xlfn.XLOOKUP(1,([1]!hcahps[Facility ID] = clean[[#This Row],[Facility ID]]) * ([1]!hcahps[HCAHPS Measure ID] = "H_HSP_RATING_LINEAR_SCORE"), [1]!hcahps[HCAHPS Linear Mean Value]), "No Match")</f>
        <v>84</v>
      </c>
      <c r="F1523" cm="1">
        <f t="array" ref="F1523">_xlfn.IFNA(_xlfn.XLOOKUP(1,([1]!readmissions[Facility ID] = clean[[#This Row],[Facility ID]]) * ([1]!readmissions[Measure ID] = "Hybrid_HWR"), [1]!readmissions[Score]), "No Match")</f>
        <v>16</v>
      </c>
    </row>
    <row r="1524" spans="1:6" x14ac:dyDescent="0.2">
      <c r="A1524">
        <f>[1]!hospitalinfo[[#This Row],[Facility ID]]</f>
        <v>140280</v>
      </c>
      <c r="B1524" t="str">
        <f>[1]!hospitalinfo[[#This Row],[State]]</f>
        <v>IL</v>
      </c>
      <c r="C1524" t="str">
        <f>[1]!hospitalinfo[[#This Row],[Hospital Type]]</f>
        <v>Acute Care Hospitals</v>
      </c>
      <c r="D1524" t="str">
        <f>[1]!hospitalinfo[[#This Row],[Hospital Ownership]]</f>
        <v>Voluntary non-profit - Private</v>
      </c>
      <c r="E1524" cm="1">
        <f t="array" ref="E1524">_xlfn.IFNA(_xlfn.XLOOKUP(1,([1]!hcahps[Facility ID] = clean[[#This Row],[Facility ID]]) * ([1]!hcahps[HCAHPS Measure ID] = "H_HSP_RATING_LINEAR_SCORE"), [1]!hcahps[HCAHPS Linear Mean Value]), "No Match")</f>
        <v>84</v>
      </c>
      <c r="F1524" cm="1">
        <f t="array" ref="F1524">_xlfn.IFNA(_xlfn.XLOOKUP(1,([1]!readmissions[Facility ID] = clean[[#This Row],[Facility ID]]) * ([1]!readmissions[Measure ID] = "Hybrid_HWR"), [1]!readmissions[Score]), "No Match")</f>
        <v>15.4</v>
      </c>
    </row>
    <row r="1525" spans="1:6" x14ac:dyDescent="0.2">
      <c r="A1525">
        <f>[1]!hospitalinfo[[#This Row],[Facility ID]]</f>
        <v>140281</v>
      </c>
      <c r="B1525" t="str">
        <f>[1]!hospitalinfo[[#This Row],[State]]</f>
        <v>IL</v>
      </c>
      <c r="C1525" t="str">
        <f>[1]!hospitalinfo[[#This Row],[Hospital Type]]</f>
        <v>Acute Care Hospitals</v>
      </c>
      <c r="D1525" t="str">
        <f>[1]!hospitalinfo[[#This Row],[Hospital Ownership]]</f>
        <v>Voluntary non-profit - Private</v>
      </c>
      <c r="E1525" cm="1">
        <f t="array" ref="E1525">_xlfn.IFNA(_xlfn.XLOOKUP(1,([1]!hcahps[Facility ID] = clean[[#This Row],[Facility ID]]) * ([1]!hcahps[HCAHPS Measure ID] = "H_HSP_RATING_LINEAR_SCORE"), [1]!hcahps[HCAHPS Linear Mean Value]), "No Match")</f>
        <v>91</v>
      </c>
      <c r="F1525" cm="1">
        <f t="array" ref="F1525">_xlfn.IFNA(_xlfn.XLOOKUP(1,([1]!readmissions[Facility ID] = clean[[#This Row],[Facility ID]]) * ([1]!readmissions[Measure ID] = "Hybrid_HWR"), [1]!readmissions[Score]), "No Match")</f>
        <v>15</v>
      </c>
    </row>
    <row r="1526" spans="1:6" x14ac:dyDescent="0.2">
      <c r="A1526">
        <f>[1]!hospitalinfo[[#This Row],[Facility ID]]</f>
        <v>140286</v>
      </c>
      <c r="B1526" t="str">
        <f>[1]!hospitalinfo[[#This Row],[State]]</f>
        <v>IL</v>
      </c>
      <c r="C1526" t="str">
        <f>[1]!hospitalinfo[[#This Row],[Hospital Type]]</f>
        <v>Acute Care Hospitals</v>
      </c>
      <c r="D1526" t="str">
        <f>[1]!hospitalinfo[[#This Row],[Hospital Ownership]]</f>
        <v>Voluntary non-profit - Private</v>
      </c>
      <c r="E1526" cm="1">
        <f t="array" ref="E1526">_xlfn.IFNA(_xlfn.XLOOKUP(1,([1]!hcahps[Facility ID] = clean[[#This Row],[Facility ID]]) * ([1]!hcahps[HCAHPS Measure ID] = "H_HSP_RATING_LINEAR_SCORE"), [1]!hcahps[HCAHPS Linear Mean Value]), "No Match")</f>
        <v>87</v>
      </c>
      <c r="F1526" cm="1">
        <f t="array" ref="F1526">_xlfn.IFNA(_xlfn.XLOOKUP(1,([1]!readmissions[Facility ID] = clean[[#This Row],[Facility ID]]) * ([1]!readmissions[Measure ID] = "Hybrid_HWR"), [1]!readmissions[Score]), "No Match")</f>
        <v>14.2</v>
      </c>
    </row>
    <row r="1527" spans="1:6" x14ac:dyDescent="0.2">
      <c r="A1527">
        <f>[1]!hospitalinfo[[#This Row],[Facility ID]]</f>
        <v>140288</v>
      </c>
      <c r="B1527" t="str">
        <f>[1]!hospitalinfo[[#This Row],[State]]</f>
        <v>IL</v>
      </c>
      <c r="C1527" t="str">
        <f>[1]!hospitalinfo[[#This Row],[Hospital Type]]</f>
        <v>Acute Care Hospitals</v>
      </c>
      <c r="D1527" t="str">
        <f>[1]!hospitalinfo[[#This Row],[Hospital Ownership]]</f>
        <v>Voluntary non-profit - Private</v>
      </c>
      <c r="E1527" cm="1">
        <f t="array" ref="E1527">_xlfn.IFNA(_xlfn.XLOOKUP(1,([1]!hcahps[Facility ID] = clean[[#This Row],[Facility ID]]) * ([1]!hcahps[HCAHPS Measure ID] = "H_HSP_RATING_LINEAR_SCORE"), [1]!hcahps[HCAHPS Linear Mean Value]), "No Match")</f>
        <v>89</v>
      </c>
      <c r="F1527" cm="1">
        <f t="array" ref="F1527">_xlfn.IFNA(_xlfn.XLOOKUP(1,([1]!readmissions[Facility ID] = clean[[#This Row],[Facility ID]]) * ([1]!readmissions[Measure ID] = "Hybrid_HWR"), [1]!readmissions[Score]), "No Match")</f>
        <v>14.9</v>
      </c>
    </row>
    <row r="1528" spans="1:6" x14ac:dyDescent="0.2">
      <c r="A1528">
        <f>[1]!hospitalinfo[[#This Row],[Facility ID]]</f>
        <v>140289</v>
      </c>
      <c r="B1528" t="str">
        <f>[1]!hospitalinfo[[#This Row],[State]]</f>
        <v>IL</v>
      </c>
      <c r="C1528" t="str">
        <f>[1]!hospitalinfo[[#This Row],[Hospital Type]]</f>
        <v>Acute Care Hospitals</v>
      </c>
      <c r="D1528" t="str">
        <f>[1]!hospitalinfo[[#This Row],[Hospital Ownership]]</f>
        <v>Voluntary non-profit - Private</v>
      </c>
      <c r="E1528" cm="1">
        <f t="array" ref="E1528">_xlfn.IFNA(_xlfn.XLOOKUP(1,([1]!hcahps[Facility ID] = clean[[#This Row],[Facility ID]]) * ([1]!hcahps[HCAHPS Measure ID] = "H_HSP_RATING_LINEAR_SCORE"), [1]!hcahps[HCAHPS Linear Mean Value]), "No Match")</f>
        <v>89</v>
      </c>
      <c r="F1528" cm="1">
        <f t="array" ref="F1528">_xlfn.IFNA(_xlfn.XLOOKUP(1,([1]!readmissions[Facility ID] = clean[[#This Row],[Facility ID]]) * ([1]!readmissions[Measure ID] = "Hybrid_HWR"), [1]!readmissions[Score]), "No Match")</f>
        <v>15.8</v>
      </c>
    </row>
    <row r="1529" spans="1:6" x14ac:dyDescent="0.2">
      <c r="A1529">
        <f>[1]!hospitalinfo[[#This Row],[Facility ID]]</f>
        <v>140290</v>
      </c>
      <c r="B1529" t="str">
        <f>[1]!hospitalinfo[[#This Row],[State]]</f>
        <v>IL</v>
      </c>
      <c r="C1529" t="str">
        <f>[1]!hospitalinfo[[#This Row],[Hospital Type]]</f>
        <v>Acute Care Hospitals</v>
      </c>
      <c r="D1529" t="str">
        <f>[1]!hospitalinfo[[#This Row],[Hospital Ownership]]</f>
        <v>Voluntary non-profit - Church</v>
      </c>
      <c r="E1529" cm="1">
        <f t="array" ref="E1529">_xlfn.IFNA(_xlfn.XLOOKUP(1,([1]!hcahps[Facility ID] = clean[[#This Row],[Facility ID]]) * ([1]!hcahps[HCAHPS Measure ID] = "H_HSP_RATING_LINEAR_SCORE"), [1]!hcahps[HCAHPS Linear Mean Value]), "No Match")</f>
        <v>82</v>
      </c>
      <c r="F1529" cm="1">
        <f t="array" ref="F1529">_xlfn.IFNA(_xlfn.XLOOKUP(1,([1]!readmissions[Facility ID] = clean[[#This Row],[Facility ID]]) * ([1]!readmissions[Measure ID] = "Hybrid_HWR"), [1]!readmissions[Score]), "No Match")</f>
        <v>13.4</v>
      </c>
    </row>
    <row r="1530" spans="1:6" x14ac:dyDescent="0.2">
      <c r="A1530">
        <f>[1]!hospitalinfo[[#This Row],[Facility ID]]</f>
        <v>140291</v>
      </c>
      <c r="B1530" t="str">
        <f>[1]!hospitalinfo[[#This Row],[State]]</f>
        <v>IL</v>
      </c>
      <c r="C1530" t="str">
        <f>[1]!hospitalinfo[[#This Row],[Hospital Type]]</f>
        <v>Acute Care Hospitals</v>
      </c>
      <c r="D1530" t="str">
        <f>[1]!hospitalinfo[[#This Row],[Hospital Ownership]]</f>
        <v>Voluntary non-profit - Private</v>
      </c>
      <c r="E1530" cm="1">
        <f t="array" ref="E1530">_xlfn.IFNA(_xlfn.XLOOKUP(1,([1]!hcahps[Facility ID] = clean[[#This Row],[Facility ID]]) * ([1]!hcahps[HCAHPS Measure ID] = "H_HSP_RATING_LINEAR_SCORE"), [1]!hcahps[HCAHPS Linear Mean Value]), "No Match")</f>
        <v>90</v>
      </c>
      <c r="F1530" cm="1">
        <f t="array" ref="F1530">_xlfn.IFNA(_xlfn.XLOOKUP(1,([1]!readmissions[Facility ID] = clean[[#This Row],[Facility ID]]) * ([1]!readmissions[Measure ID] = "Hybrid_HWR"), [1]!readmissions[Score]), "No Match")</f>
        <v>15</v>
      </c>
    </row>
    <row r="1531" spans="1:6" x14ac:dyDescent="0.2">
      <c r="A1531">
        <f>[1]!hospitalinfo[[#This Row],[Facility ID]]</f>
        <v>140292</v>
      </c>
      <c r="B1531" t="str">
        <f>[1]!hospitalinfo[[#This Row],[State]]</f>
        <v>IL</v>
      </c>
      <c r="C1531" t="str">
        <f>[1]!hospitalinfo[[#This Row],[Hospital Type]]</f>
        <v>Acute Care Hospitals</v>
      </c>
      <c r="D1531" t="str">
        <f>[1]!hospitalinfo[[#This Row],[Hospital Ownership]]</f>
        <v>Voluntary non-profit - Other</v>
      </c>
      <c r="E1531" cm="1">
        <f t="array" ref="E1531">_xlfn.IFNA(_xlfn.XLOOKUP(1,([1]!hcahps[Facility ID] = clean[[#This Row],[Facility ID]]) * ([1]!hcahps[HCAHPS Measure ID] = "H_HSP_RATING_LINEAR_SCORE"), [1]!hcahps[HCAHPS Linear Mean Value]), "No Match")</f>
        <v>82</v>
      </c>
      <c r="F1531" cm="1">
        <f t="array" ref="F1531">_xlfn.IFNA(_xlfn.XLOOKUP(1,([1]!readmissions[Facility ID] = clean[[#This Row],[Facility ID]]) * ([1]!readmissions[Measure ID] = "Hybrid_HWR"), [1]!readmissions[Score]), "No Match")</f>
        <v>15.2</v>
      </c>
    </row>
    <row r="1532" spans="1:6" x14ac:dyDescent="0.2">
      <c r="A1532">
        <f>[1]!hospitalinfo[[#This Row],[Facility ID]]</f>
        <v>140294</v>
      </c>
      <c r="B1532" t="str">
        <f>[1]!hospitalinfo[[#This Row],[State]]</f>
        <v>IL</v>
      </c>
      <c r="C1532" t="str">
        <f>[1]!hospitalinfo[[#This Row],[Hospital Type]]</f>
        <v>Acute Care Hospitals</v>
      </c>
      <c r="D1532" t="str">
        <f>[1]!hospitalinfo[[#This Row],[Hospital Ownership]]</f>
        <v>Proprietary</v>
      </c>
      <c r="E1532" cm="1">
        <f t="array" ref="E1532">_xlfn.IFNA(_xlfn.XLOOKUP(1,([1]!hcahps[Facility ID] = clean[[#This Row],[Facility ID]]) * ([1]!hcahps[HCAHPS Measure ID] = "H_HSP_RATING_LINEAR_SCORE"), [1]!hcahps[HCAHPS Linear Mean Value]), "No Match")</f>
        <v>91</v>
      </c>
      <c r="F1532" cm="1">
        <f t="array" ref="F1532">_xlfn.IFNA(_xlfn.XLOOKUP(1,([1]!readmissions[Facility ID] = clean[[#This Row],[Facility ID]]) * ([1]!readmissions[Measure ID] = "Hybrid_HWR"), [1]!readmissions[Score]), "No Match")</f>
        <v>15.6</v>
      </c>
    </row>
    <row r="1533" spans="1:6" x14ac:dyDescent="0.2">
      <c r="A1533">
        <f>[1]!hospitalinfo[[#This Row],[Facility ID]]</f>
        <v>140300</v>
      </c>
      <c r="B1533" t="str">
        <f>[1]!hospitalinfo[[#This Row],[State]]</f>
        <v>IL</v>
      </c>
      <c r="C1533" t="str">
        <f>[1]!hospitalinfo[[#This Row],[Hospital Type]]</f>
        <v>Acute Care Hospitals</v>
      </c>
      <c r="D1533" t="str">
        <f>[1]!hospitalinfo[[#This Row],[Hospital Ownership]]</f>
        <v>Government - Local</v>
      </c>
      <c r="E1533" t="str" cm="1">
        <f t="array" ref="E1533">_xlfn.IFNA(_xlfn.XLOOKUP(1,([1]!hcahps[Facility ID] = clean[[#This Row],[Facility ID]]) * ([1]!hcahps[HCAHPS Measure ID] = "H_HSP_RATING_LINEAR_SCORE"), [1]!hcahps[HCAHPS Linear Mean Value]), "No Match")</f>
        <v>Not Available</v>
      </c>
      <c r="F1533" cm="1">
        <f t="array" ref="F1533">_xlfn.IFNA(_xlfn.XLOOKUP(1,([1]!readmissions[Facility ID] = clean[[#This Row],[Facility ID]]) * ([1]!readmissions[Measure ID] = "Hybrid_HWR"), [1]!readmissions[Score]), "No Match")</f>
        <v>15.5</v>
      </c>
    </row>
    <row r="1534" spans="1:6" x14ac:dyDescent="0.2">
      <c r="A1534">
        <f>[1]!hospitalinfo[[#This Row],[Facility ID]]</f>
        <v>140304</v>
      </c>
      <c r="B1534" t="str">
        <f>[1]!hospitalinfo[[#This Row],[State]]</f>
        <v>IL</v>
      </c>
      <c r="C1534" t="str">
        <f>[1]!hospitalinfo[[#This Row],[Hospital Type]]</f>
        <v>Acute Care Hospitals</v>
      </c>
      <c r="D1534" t="str">
        <f>[1]!hospitalinfo[[#This Row],[Hospital Ownership]]</f>
        <v>Voluntary non-profit - Private</v>
      </c>
      <c r="E1534" cm="1">
        <f t="array" ref="E1534">_xlfn.IFNA(_xlfn.XLOOKUP(1,([1]!hcahps[Facility ID] = clean[[#This Row],[Facility ID]]) * ([1]!hcahps[HCAHPS Measure ID] = "H_HSP_RATING_LINEAR_SCORE"), [1]!hcahps[HCAHPS Linear Mean Value]), "No Match")</f>
        <v>86</v>
      </c>
      <c r="F1534" cm="1">
        <f t="array" ref="F1534">_xlfn.IFNA(_xlfn.XLOOKUP(1,([1]!readmissions[Facility ID] = clean[[#This Row],[Facility ID]]) * ([1]!readmissions[Measure ID] = "Hybrid_HWR"), [1]!readmissions[Score]), "No Match")</f>
        <v>15.3</v>
      </c>
    </row>
    <row r="1535" spans="1:6" x14ac:dyDescent="0.2">
      <c r="A1535">
        <f>[1]!hospitalinfo[[#This Row],[Facility ID]]</f>
        <v>140308</v>
      </c>
      <c r="B1535" t="str">
        <f>[1]!hospitalinfo[[#This Row],[State]]</f>
        <v>IL</v>
      </c>
      <c r="C1535" t="str">
        <f>[1]!hospitalinfo[[#This Row],[Hospital Type]]</f>
        <v>Acute Care Hospitals</v>
      </c>
      <c r="D1535" t="str">
        <f>[1]!hospitalinfo[[#This Row],[Hospital Ownership]]</f>
        <v>Voluntary non-profit - Private</v>
      </c>
      <c r="E1535" t="str" cm="1">
        <f t="array" ref="E1535">_xlfn.IFNA(_xlfn.XLOOKUP(1,([1]!hcahps[Facility ID] = clean[[#This Row],[Facility ID]]) * ([1]!hcahps[HCAHPS Measure ID] = "H_HSP_RATING_LINEAR_SCORE"), [1]!hcahps[HCAHPS Linear Mean Value]), "No Match")</f>
        <v>Not Available</v>
      </c>
      <c r="F1535" cm="1">
        <f t="array" ref="F1535">_xlfn.IFNA(_xlfn.XLOOKUP(1,([1]!readmissions[Facility ID] = clean[[#This Row],[Facility ID]]) * ([1]!readmissions[Measure ID] = "Hybrid_HWR"), [1]!readmissions[Score]), "No Match")</f>
        <v>14.6</v>
      </c>
    </row>
    <row r="1536" spans="1:6" x14ac:dyDescent="0.2">
      <c r="A1536">
        <f>[1]!hospitalinfo[[#This Row],[Facility ID]]</f>
        <v>141300</v>
      </c>
      <c r="B1536" t="str">
        <f>[1]!hospitalinfo[[#This Row],[State]]</f>
        <v>IL</v>
      </c>
      <c r="C1536" t="str">
        <f>[1]!hospitalinfo[[#This Row],[Hospital Type]]</f>
        <v>Critical Access Hospitals</v>
      </c>
      <c r="D1536" t="str">
        <f>[1]!hospitalinfo[[#This Row],[Hospital Ownership]]</f>
        <v>Government - Local</v>
      </c>
      <c r="E1536" t="str" cm="1">
        <f t="array" ref="E1536">_xlfn.IFNA(_xlfn.XLOOKUP(1,([1]!hcahps[Facility ID] = clean[[#This Row],[Facility ID]]) * ([1]!hcahps[HCAHPS Measure ID] = "H_HSP_RATING_LINEAR_SCORE"), [1]!hcahps[HCAHPS Linear Mean Value]), "No Match")</f>
        <v>Not Available</v>
      </c>
      <c r="F1536" cm="1">
        <f t="array" ref="F1536">_xlfn.IFNA(_xlfn.XLOOKUP(1,([1]!readmissions[Facility ID] = clean[[#This Row],[Facility ID]]) * ([1]!readmissions[Measure ID] = "Hybrid_HWR"), [1]!readmissions[Score]), "No Match")</f>
        <v>15.4</v>
      </c>
    </row>
    <row r="1537" spans="1:6" x14ac:dyDescent="0.2">
      <c r="A1537">
        <f>[1]!hospitalinfo[[#This Row],[Facility ID]]</f>
        <v>141301</v>
      </c>
      <c r="B1537" t="str">
        <f>[1]!hospitalinfo[[#This Row],[State]]</f>
        <v>IL</v>
      </c>
      <c r="C1537" t="str">
        <f>[1]!hospitalinfo[[#This Row],[Hospital Type]]</f>
        <v>Critical Access Hospitals</v>
      </c>
      <c r="D1537" t="str">
        <f>[1]!hospitalinfo[[#This Row],[Hospital Ownership]]</f>
        <v>Voluntary non-profit - Private</v>
      </c>
      <c r="E1537" t="str" cm="1">
        <f t="array" ref="E1537">_xlfn.IFNA(_xlfn.XLOOKUP(1,([1]!hcahps[Facility ID] = clean[[#This Row],[Facility ID]]) * ([1]!hcahps[HCAHPS Measure ID] = "H_HSP_RATING_LINEAR_SCORE"), [1]!hcahps[HCAHPS Linear Mean Value]), "No Match")</f>
        <v>Not Available</v>
      </c>
      <c r="F1537" cm="1">
        <f t="array" ref="F1537">_xlfn.IFNA(_xlfn.XLOOKUP(1,([1]!readmissions[Facility ID] = clean[[#This Row],[Facility ID]]) * ([1]!readmissions[Measure ID] = "Hybrid_HWR"), [1]!readmissions[Score]), "No Match")</f>
        <v>14.8</v>
      </c>
    </row>
    <row r="1538" spans="1:6" x14ac:dyDescent="0.2">
      <c r="A1538">
        <f>[1]!hospitalinfo[[#This Row],[Facility ID]]</f>
        <v>141302</v>
      </c>
      <c r="B1538" t="str">
        <f>[1]!hospitalinfo[[#This Row],[State]]</f>
        <v>IL</v>
      </c>
      <c r="C1538" t="str">
        <f>[1]!hospitalinfo[[#This Row],[Hospital Type]]</f>
        <v>Critical Access Hospitals</v>
      </c>
      <c r="D1538" t="str">
        <f>[1]!hospitalinfo[[#This Row],[Hospital Ownership]]</f>
        <v>Voluntary non-profit - Private</v>
      </c>
      <c r="E1538" cm="1">
        <f t="array" ref="E1538">_xlfn.IFNA(_xlfn.XLOOKUP(1,([1]!hcahps[Facility ID] = clean[[#This Row],[Facility ID]]) * ([1]!hcahps[HCAHPS Measure ID] = "H_HSP_RATING_LINEAR_SCORE"), [1]!hcahps[HCAHPS Linear Mean Value]), "No Match")</f>
        <v>96</v>
      </c>
      <c r="F1538" cm="1">
        <f t="array" ref="F1538">_xlfn.IFNA(_xlfn.XLOOKUP(1,([1]!readmissions[Facility ID] = clean[[#This Row],[Facility ID]]) * ([1]!readmissions[Measure ID] = "Hybrid_HWR"), [1]!readmissions[Score]), "No Match")</f>
        <v>14.8</v>
      </c>
    </row>
    <row r="1539" spans="1:6" x14ac:dyDescent="0.2">
      <c r="A1539">
        <f>[1]!hospitalinfo[[#This Row],[Facility ID]]</f>
        <v>141303</v>
      </c>
      <c r="B1539" t="str">
        <f>[1]!hospitalinfo[[#This Row],[State]]</f>
        <v>IL</v>
      </c>
      <c r="C1539" t="str">
        <f>[1]!hospitalinfo[[#This Row],[Hospital Type]]</f>
        <v>Critical Access Hospitals</v>
      </c>
      <c r="D1539" t="str">
        <f>[1]!hospitalinfo[[#This Row],[Hospital Ownership]]</f>
        <v>Government - Local</v>
      </c>
      <c r="E1539" t="str" cm="1">
        <f t="array" ref="E1539">_xlfn.IFNA(_xlfn.XLOOKUP(1,([1]!hcahps[Facility ID] = clean[[#This Row],[Facility ID]]) * ([1]!hcahps[HCAHPS Measure ID] = "H_HSP_RATING_LINEAR_SCORE"), [1]!hcahps[HCAHPS Linear Mean Value]), "No Match")</f>
        <v>Not Available</v>
      </c>
      <c r="F1539" t="str" cm="1">
        <f t="array" ref="F1539">_xlfn.IFNA(_xlfn.XLOOKUP(1,([1]!readmissions[Facility ID] = clean[[#This Row],[Facility ID]]) * ([1]!readmissions[Measure ID] = "Hybrid_HWR"), [1]!readmissions[Score]), "No Match")</f>
        <v>Not Available</v>
      </c>
    </row>
    <row r="1540" spans="1:6" x14ac:dyDescent="0.2">
      <c r="A1540">
        <f>[1]!hospitalinfo[[#This Row],[Facility ID]]</f>
        <v>141304</v>
      </c>
      <c r="B1540" t="str">
        <f>[1]!hospitalinfo[[#This Row],[State]]</f>
        <v>IL</v>
      </c>
      <c r="C1540" t="str">
        <f>[1]!hospitalinfo[[#This Row],[Hospital Type]]</f>
        <v>Critical Access Hospitals</v>
      </c>
      <c r="D1540" t="str">
        <f>[1]!hospitalinfo[[#This Row],[Hospital Ownership]]</f>
        <v>Voluntary non-profit - Private</v>
      </c>
      <c r="E1540" t="str" cm="1">
        <f t="array" ref="E1540">_xlfn.IFNA(_xlfn.XLOOKUP(1,([1]!hcahps[Facility ID] = clean[[#This Row],[Facility ID]]) * ([1]!hcahps[HCAHPS Measure ID] = "H_HSP_RATING_LINEAR_SCORE"), [1]!hcahps[HCAHPS Linear Mean Value]), "No Match")</f>
        <v>Not Available</v>
      </c>
      <c r="F1540" cm="1">
        <f t="array" ref="F1540">_xlfn.IFNA(_xlfn.XLOOKUP(1,([1]!readmissions[Facility ID] = clean[[#This Row],[Facility ID]]) * ([1]!readmissions[Measure ID] = "Hybrid_HWR"), [1]!readmissions[Score]), "No Match")</f>
        <v>14.6</v>
      </c>
    </row>
    <row r="1541" spans="1:6" x14ac:dyDescent="0.2">
      <c r="A1541">
        <f>[1]!hospitalinfo[[#This Row],[Facility ID]]</f>
        <v>141305</v>
      </c>
      <c r="B1541" t="str">
        <f>[1]!hospitalinfo[[#This Row],[State]]</f>
        <v>IL</v>
      </c>
      <c r="C1541" t="str">
        <f>[1]!hospitalinfo[[#This Row],[Hospital Type]]</f>
        <v>Critical Access Hospitals</v>
      </c>
      <c r="D1541" t="str">
        <f>[1]!hospitalinfo[[#This Row],[Hospital Ownership]]</f>
        <v>Voluntary non-profit - Private</v>
      </c>
      <c r="E1541" cm="1">
        <f t="array" ref="E1541">_xlfn.IFNA(_xlfn.XLOOKUP(1,([1]!hcahps[Facility ID] = clean[[#This Row],[Facility ID]]) * ([1]!hcahps[HCAHPS Measure ID] = "H_HSP_RATING_LINEAR_SCORE"), [1]!hcahps[HCAHPS Linear Mean Value]), "No Match")</f>
        <v>94</v>
      </c>
      <c r="F1541" cm="1">
        <f t="array" ref="F1541">_xlfn.IFNA(_xlfn.XLOOKUP(1,([1]!readmissions[Facility ID] = clean[[#This Row],[Facility ID]]) * ([1]!readmissions[Measure ID] = "Hybrid_HWR"), [1]!readmissions[Score]), "No Match")</f>
        <v>15.3</v>
      </c>
    </row>
    <row r="1542" spans="1:6" x14ac:dyDescent="0.2">
      <c r="A1542">
        <f>[1]!hospitalinfo[[#This Row],[Facility ID]]</f>
        <v>141306</v>
      </c>
      <c r="B1542" t="str">
        <f>[1]!hospitalinfo[[#This Row],[State]]</f>
        <v>IL</v>
      </c>
      <c r="C1542" t="str">
        <f>[1]!hospitalinfo[[#This Row],[Hospital Type]]</f>
        <v>Critical Access Hospitals</v>
      </c>
      <c r="D1542" t="str">
        <f>[1]!hospitalinfo[[#This Row],[Hospital Ownership]]</f>
        <v>Voluntary non-profit - Private</v>
      </c>
      <c r="E1542" t="str" cm="1">
        <f t="array" ref="E1542">_xlfn.IFNA(_xlfn.XLOOKUP(1,([1]!hcahps[Facility ID] = clean[[#This Row],[Facility ID]]) * ([1]!hcahps[HCAHPS Measure ID] = "H_HSP_RATING_LINEAR_SCORE"), [1]!hcahps[HCAHPS Linear Mean Value]), "No Match")</f>
        <v>Not Available</v>
      </c>
      <c r="F1542" cm="1">
        <f t="array" ref="F1542">_xlfn.IFNA(_xlfn.XLOOKUP(1,([1]!readmissions[Facility ID] = clean[[#This Row],[Facility ID]]) * ([1]!readmissions[Measure ID] = "Hybrid_HWR"), [1]!readmissions[Score]), "No Match")</f>
        <v>14.8</v>
      </c>
    </row>
    <row r="1543" spans="1:6" x14ac:dyDescent="0.2">
      <c r="A1543">
        <f>[1]!hospitalinfo[[#This Row],[Facility ID]]</f>
        <v>141307</v>
      </c>
      <c r="B1543" t="str">
        <f>[1]!hospitalinfo[[#This Row],[State]]</f>
        <v>IL</v>
      </c>
      <c r="C1543" t="str">
        <f>[1]!hospitalinfo[[#This Row],[Hospital Type]]</f>
        <v>Critical Access Hospitals</v>
      </c>
      <c r="D1543" t="str">
        <f>[1]!hospitalinfo[[#This Row],[Hospital Ownership]]</f>
        <v>Government - Hospital District or Authority</v>
      </c>
      <c r="E1543" t="str" cm="1">
        <f t="array" ref="E1543">_xlfn.IFNA(_xlfn.XLOOKUP(1,([1]!hcahps[Facility ID] = clean[[#This Row],[Facility ID]]) * ([1]!hcahps[HCAHPS Measure ID] = "H_HSP_RATING_LINEAR_SCORE"), [1]!hcahps[HCAHPS Linear Mean Value]), "No Match")</f>
        <v>Not Available</v>
      </c>
      <c r="F1543" cm="1">
        <f t="array" ref="F1543">_xlfn.IFNA(_xlfn.XLOOKUP(1,([1]!readmissions[Facility ID] = clean[[#This Row],[Facility ID]]) * ([1]!readmissions[Measure ID] = "Hybrid_HWR"), [1]!readmissions[Score]), "No Match")</f>
        <v>14.8</v>
      </c>
    </row>
    <row r="1544" spans="1:6" x14ac:dyDescent="0.2">
      <c r="A1544">
        <f>[1]!hospitalinfo[[#This Row],[Facility ID]]</f>
        <v>141308</v>
      </c>
      <c r="B1544" t="str">
        <f>[1]!hospitalinfo[[#This Row],[State]]</f>
        <v>IL</v>
      </c>
      <c r="C1544" t="str">
        <f>[1]!hospitalinfo[[#This Row],[Hospital Type]]</f>
        <v>Critical Access Hospitals</v>
      </c>
      <c r="D1544" t="str">
        <f>[1]!hospitalinfo[[#This Row],[Hospital Ownership]]</f>
        <v>Government - Hospital District or Authority</v>
      </c>
      <c r="E1544" t="str" cm="1">
        <f t="array" ref="E1544">_xlfn.IFNA(_xlfn.XLOOKUP(1,([1]!hcahps[Facility ID] = clean[[#This Row],[Facility ID]]) * ([1]!hcahps[HCAHPS Measure ID] = "H_HSP_RATING_LINEAR_SCORE"), [1]!hcahps[HCAHPS Linear Mean Value]), "No Match")</f>
        <v>Not Available</v>
      </c>
      <c r="F1544" t="str" cm="1">
        <f t="array" ref="F1544">_xlfn.IFNA(_xlfn.XLOOKUP(1,([1]!readmissions[Facility ID] = clean[[#This Row],[Facility ID]]) * ([1]!readmissions[Measure ID] = "Hybrid_HWR"), [1]!readmissions[Score]), "No Match")</f>
        <v>Not Available</v>
      </c>
    </row>
    <row r="1545" spans="1:6" x14ac:dyDescent="0.2">
      <c r="A1545">
        <f>[1]!hospitalinfo[[#This Row],[Facility ID]]</f>
        <v>141309</v>
      </c>
      <c r="B1545" t="str">
        <f>[1]!hospitalinfo[[#This Row],[State]]</f>
        <v>IL</v>
      </c>
      <c r="C1545" t="str">
        <f>[1]!hospitalinfo[[#This Row],[Hospital Type]]</f>
        <v>Critical Access Hospitals</v>
      </c>
      <c r="D1545" t="str">
        <f>[1]!hospitalinfo[[#This Row],[Hospital Ownership]]</f>
        <v>Voluntary non-profit - Private</v>
      </c>
      <c r="E1545" t="str" cm="1">
        <f t="array" ref="E1545">_xlfn.IFNA(_xlfn.XLOOKUP(1,([1]!hcahps[Facility ID] = clean[[#This Row],[Facility ID]]) * ([1]!hcahps[HCAHPS Measure ID] = "H_HSP_RATING_LINEAR_SCORE"), [1]!hcahps[HCAHPS Linear Mean Value]), "No Match")</f>
        <v>Not Available</v>
      </c>
      <c r="F1545" cm="1">
        <f t="array" ref="F1545">_xlfn.IFNA(_xlfn.XLOOKUP(1,([1]!readmissions[Facility ID] = clean[[#This Row],[Facility ID]]) * ([1]!readmissions[Measure ID] = "Hybrid_HWR"), [1]!readmissions[Score]), "No Match")</f>
        <v>14.9</v>
      </c>
    </row>
    <row r="1546" spans="1:6" x14ac:dyDescent="0.2">
      <c r="A1546">
        <f>[1]!hospitalinfo[[#This Row],[Facility ID]]</f>
        <v>141310</v>
      </c>
      <c r="B1546" t="str">
        <f>[1]!hospitalinfo[[#This Row],[State]]</f>
        <v>IL</v>
      </c>
      <c r="C1546" t="str">
        <f>[1]!hospitalinfo[[#This Row],[Hospital Type]]</f>
        <v>Critical Access Hospitals</v>
      </c>
      <c r="D1546" t="str">
        <f>[1]!hospitalinfo[[#This Row],[Hospital Ownership]]</f>
        <v>Voluntary non-profit - Church</v>
      </c>
      <c r="E1546" t="str" cm="1">
        <f t="array" ref="E1546">_xlfn.IFNA(_xlfn.XLOOKUP(1,([1]!hcahps[Facility ID] = clean[[#This Row],[Facility ID]]) * ([1]!hcahps[HCAHPS Measure ID] = "H_HSP_RATING_LINEAR_SCORE"), [1]!hcahps[HCAHPS Linear Mean Value]), "No Match")</f>
        <v>Not Available</v>
      </c>
      <c r="F1546" cm="1">
        <f t="array" ref="F1546">_xlfn.IFNA(_xlfn.XLOOKUP(1,([1]!readmissions[Facility ID] = clean[[#This Row],[Facility ID]]) * ([1]!readmissions[Measure ID] = "Hybrid_HWR"), [1]!readmissions[Score]), "No Match")</f>
        <v>16.100000000000001</v>
      </c>
    </row>
    <row r="1547" spans="1:6" x14ac:dyDescent="0.2">
      <c r="A1547">
        <f>[1]!hospitalinfo[[#This Row],[Facility ID]]</f>
        <v>141311</v>
      </c>
      <c r="B1547" t="str">
        <f>[1]!hospitalinfo[[#This Row],[State]]</f>
        <v>IL</v>
      </c>
      <c r="C1547" t="str">
        <f>[1]!hospitalinfo[[#This Row],[Hospital Type]]</f>
        <v>Critical Access Hospitals</v>
      </c>
      <c r="D1547" t="str">
        <f>[1]!hospitalinfo[[#This Row],[Hospital Ownership]]</f>
        <v>Voluntary non-profit - Private</v>
      </c>
      <c r="E1547" t="str" cm="1">
        <f t="array" ref="E1547">_xlfn.IFNA(_xlfn.XLOOKUP(1,([1]!hcahps[Facility ID] = clean[[#This Row],[Facility ID]]) * ([1]!hcahps[HCAHPS Measure ID] = "H_HSP_RATING_LINEAR_SCORE"), [1]!hcahps[HCAHPS Linear Mean Value]), "No Match")</f>
        <v>Not Available</v>
      </c>
      <c r="F1547" cm="1">
        <f t="array" ref="F1547">_xlfn.IFNA(_xlfn.XLOOKUP(1,([1]!readmissions[Facility ID] = clean[[#This Row],[Facility ID]]) * ([1]!readmissions[Measure ID] = "Hybrid_HWR"), [1]!readmissions[Score]), "No Match")</f>
        <v>15.1</v>
      </c>
    </row>
    <row r="1548" spans="1:6" x14ac:dyDescent="0.2">
      <c r="A1548">
        <f>[1]!hospitalinfo[[#This Row],[Facility ID]]</f>
        <v>141312</v>
      </c>
      <c r="B1548" t="str">
        <f>[1]!hospitalinfo[[#This Row],[State]]</f>
        <v>IL</v>
      </c>
      <c r="C1548" t="str">
        <f>[1]!hospitalinfo[[#This Row],[Hospital Type]]</f>
        <v>Critical Access Hospitals</v>
      </c>
      <c r="D1548" t="str">
        <f>[1]!hospitalinfo[[#This Row],[Hospital Ownership]]</f>
        <v>Voluntary non-profit - Private</v>
      </c>
      <c r="E1548" t="str" cm="1">
        <f t="array" ref="E1548">_xlfn.IFNA(_xlfn.XLOOKUP(1,([1]!hcahps[Facility ID] = clean[[#This Row],[Facility ID]]) * ([1]!hcahps[HCAHPS Measure ID] = "H_HSP_RATING_LINEAR_SCORE"), [1]!hcahps[HCAHPS Linear Mean Value]), "No Match")</f>
        <v>Not Available</v>
      </c>
      <c r="F1548" cm="1">
        <f t="array" ref="F1548">_xlfn.IFNA(_xlfn.XLOOKUP(1,([1]!readmissions[Facility ID] = clean[[#This Row],[Facility ID]]) * ([1]!readmissions[Measure ID] = "Hybrid_HWR"), [1]!readmissions[Score]), "No Match")</f>
        <v>14.6</v>
      </c>
    </row>
    <row r="1549" spans="1:6" x14ac:dyDescent="0.2">
      <c r="A1549">
        <f>[1]!hospitalinfo[[#This Row],[Facility ID]]</f>
        <v>141313</v>
      </c>
      <c r="B1549" t="str">
        <f>[1]!hospitalinfo[[#This Row],[State]]</f>
        <v>IL</v>
      </c>
      <c r="C1549" t="str">
        <f>[1]!hospitalinfo[[#This Row],[Hospital Type]]</f>
        <v>Critical Access Hospitals</v>
      </c>
      <c r="D1549" t="str">
        <f>[1]!hospitalinfo[[#This Row],[Hospital Ownership]]</f>
        <v>Government - Hospital District or Authority</v>
      </c>
      <c r="E1549" t="str" cm="1">
        <f t="array" ref="E1549">_xlfn.IFNA(_xlfn.XLOOKUP(1,([1]!hcahps[Facility ID] = clean[[#This Row],[Facility ID]]) * ([1]!hcahps[HCAHPS Measure ID] = "H_HSP_RATING_LINEAR_SCORE"), [1]!hcahps[HCAHPS Linear Mean Value]), "No Match")</f>
        <v>Not Available</v>
      </c>
      <c r="F1549" cm="1">
        <f t="array" ref="F1549">_xlfn.IFNA(_xlfn.XLOOKUP(1,([1]!readmissions[Facility ID] = clean[[#This Row],[Facility ID]]) * ([1]!readmissions[Measure ID] = "Hybrid_HWR"), [1]!readmissions[Score]), "No Match")</f>
        <v>15.1</v>
      </c>
    </row>
    <row r="1550" spans="1:6" x14ac:dyDescent="0.2">
      <c r="A1550">
        <f>[1]!hospitalinfo[[#This Row],[Facility ID]]</f>
        <v>141315</v>
      </c>
      <c r="B1550" t="str">
        <f>[1]!hospitalinfo[[#This Row],[State]]</f>
        <v>IL</v>
      </c>
      <c r="C1550" t="str">
        <f>[1]!hospitalinfo[[#This Row],[Hospital Type]]</f>
        <v>Critical Access Hospitals</v>
      </c>
      <c r="D1550" t="str">
        <f>[1]!hospitalinfo[[#This Row],[Hospital Ownership]]</f>
        <v>Voluntary non-profit - Private</v>
      </c>
      <c r="E1550" t="str" cm="1">
        <f t="array" ref="E1550">_xlfn.IFNA(_xlfn.XLOOKUP(1,([1]!hcahps[Facility ID] = clean[[#This Row],[Facility ID]]) * ([1]!hcahps[HCAHPS Measure ID] = "H_HSP_RATING_LINEAR_SCORE"), [1]!hcahps[HCAHPS Linear Mean Value]), "No Match")</f>
        <v>Not Available</v>
      </c>
      <c r="F1550" cm="1">
        <f t="array" ref="F1550">_xlfn.IFNA(_xlfn.XLOOKUP(1,([1]!readmissions[Facility ID] = clean[[#This Row],[Facility ID]]) * ([1]!readmissions[Measure ID] = "Hybrid_HWR"), [1]!readmissions[Score]), "No Match")</f>
        <v>15.3</v>
      </c>
    </row>
    <row r="1551" spans="1:6" x14ac:dyDescent="0.2">
      <c r="A1551">
        <f>[1]!hospitalinfo[[#This Row],[Facility ID]]</f>
        <v>141316</v>
      </c>
      <c r="B1551" t="str">
        <f>[1]!hospitalinfo[[#This Row],[State]]</f>
        <v>IL</v>
      </c>
      <c r="C1551" t="str">
        <f>[1]!hospitalinfo[[#This Row],[Hospital Type]]</f>
        <v>Critical Access Hospitals</v>
      </c>
      <c r="D1551" t="str">
        <f>[1]!hospitalinfo[[#This Row],[Hospital Ownership]]</f>
        <v>Voluntary non-profit - Private</v>
      </c>
      <c r="E1551" cm="1">
        <f t="array" ref="E1551">_xlfn.IFNA(_xlfn.XLOOKUP(1,([1]!hcahps[Facility ID] = clean[[#This Row],[Facility ID]]) * ([1]!hcahps[HCAHPS Measure ID] = "H_HSP_RATING_LINEAR_SCORE"), [1]!hcahps[HCAHPS Linear Mean Value]), "No Match")</f>
        <v>92</v>
      </c>
      <c r="F1551" cm="1">
        <f t="array" ref="F1551">_xlfn.IFNA(_xlfn.XLOOKUP(1,([1]!readmissions[Facility ID] = clean[[#This Row],[Facility ID]]) * ([1]!readmissions[Measure ID] = "Hybrid_HWR"), [1]!readmissions[Score]), "No Match")</f>
        <v>15.5</v>
      </c>
    </row>
    <row r="1552" spans="1:6" x14ac:dyDescent="0.2">
      <c r="A1552">
        <f>[1]!hospitalinfo[[#This Row],[Facility ID]]</f>
        <v>141317</v>
      </c>
      <c r="B1552" t="str">
        <f>[1]!hospitalinfo[[#This Row],[State]]</f>
        <v>IL</v>
      </c>
      <c r="C1552" t="str">
        <f>[1]!hospitalinfo[[#This Row],[Hospital Type]]</f>
        <v>Critical Access Hospitals</v>
      </c>
      <c r="D1552" t="str">
        <f>[1]!hospitalinfo[[#This Row],[Hospital Ownership]]</f>
        <v>Voluntary non-profit - Private</v>
      </c>
      <c r="E1552" t="str" cm="1">
        <f t="array" ref="E1552">_xlfn.IFNA(_xlfn.XLOOKUP(1,([1]!hcahps[Facility ID] = clean[[#This Row],[Facility ID]]) * ([1]!hcahps[HCAHPS Measure ID] = "H_HSP_RATING_LINEAR_SCORE"), [1]!hcahps[HCAHPS Linear Mean Value]), "No Match")</f>
        <v>Not Available</v>
      </c>
      <c r="F1552" cm="1">
        <f t="array" ref="F1552">_xlfn.IFNA(_xlfn.XLOOKUP(1,([1]!readmissions[Facility ID] = clean[[#This Row],[Facility ID]]) * ([1]!readmissions[Measure ID] = "Hybrid_HWR"), [1]!readmissions[Score]), "No Match")</f>
        <v>15.3</v>
      </c>
    </row>
    <row r="1553" spans="1:6" x14ac:dyDescent="0.2">
      <c r="A1553">
        <f>[1]!hospitalinfo[[#This Row],[Facility ID]]</f>
        <v>141318</v>
      </c>
      <c r="B1553" t="str">
        <f>[1]!hospitalinfo[[#This Row],[State]]</f>
        <v>IL</v>
      </c>
      <c r="C1553" t="str">
        <f>[1]!hospitalinfo[[#This Row],[Hospital Type]]</f>
        <v>Critical Access Hospitals</v>
      </c>
      <c r="D1553" t="str">
        <f>[1]!hospitalinfo[[#This Row],[Hospital Ownership]]</f>
        <v>Voluntary non-profit - Church</v>
      </c>
      <c r="E1553" t="str" cm="1">
        <f t="array" ref="E1553">_xlfn.IFNA(_xlfn.XLOOKUP(1,([1]!hcahps[Facility ID] = clean[[#This Row],[Facility ID]]) * ([1]!hcahps[HCAHPS Measure ID] = "H_HSP_RATING_LINEAR_SCORE"), [1]!hcahps[HCAHPS Linear Mean Value]), "No Match")</f>
        <v>Not Available</v>
      </c>
      <c r="F1553" cm="1">
        <f t="array" ref="F1553">_xlfn.IFNA(_xlfn.XLOOKUP(1,([1]!readmissions[Facility ID] = clean[[#This Row],[Facility ID]]) * ([1]!readmissions[Measure ID] = "Hybrid_HWR"), [1]!readmissions[Score]), "No Match")</f>
        <v>14.7</v>
      </c>
    </row>
    <row r="1554" spans="1:6" x14ac:dyDescent="0.2">
      <c r="A1554">
        <f>[1]!hospitalinfo[[#This Row],[Facility ID]]</f>
        <v>141319</v>
      </c>
      <c r="B1554" t="str">
        <f>[1]!hospitalinfo[[#This Row],[State]]</f>
        <v>IL</v>
      </c>
      <c r="C1554" t="str">
        <f>[1]!hospitalinfo[[#This Row],[Hospital Type]]</f>
        <v>Critical Access Hospitals</v>
      </c>
      <c r="D1554" t="str">
        <f>[1]!hospitalinfo[[#This Row],[Hospital Ownership]]</f>
        <v>Government - Hospital District or Authority</v>
      </c>
      <c r="E1554" cm="1">
        <f t="array" ref="E1554">_xlfn.IFNA(_xlfn.XLOOKUP(1,([1]!hcahps[Facility ID] = clean[[#This Row],[Facility ID]]) * ([1]!hcahps[HCAHPS Measure ID] = "H_HSP_RATING_LINEAR_SCORE"), [1]!hcahps[HCAHPS Linear Mean Value]), "No Match")</f>
        <v>93</v>
      </c>
      <c r="F1554" cm="1">
        <f t="array" ref="F1554">_xlfn.IFNA(_xlfn.XLOOKUP(1,([1]!readmissions[Facility ID] = clean[[#This Row],[Facility ID]]) * ([1]!readmissions[Measure ID] = "Hybrid_HWR"), [1]!readmissions[Score]), "No Match")</f>
        <v>14.6</v>
      </c>
    </row>
    <row r="1555" spans="1:6" x14ac:dyDescent="0.2">
      <c r="A1555">
        <f>[1]!hospitalinfo[[#This Row],[Facility ID]]</f>
        <v>141320</v>
      </c>
      <c r="B1555" t="str">
        <f>[1]!hospitalinfo[[#This Row],[State]]</f>
        <v>IL</v>
      </c>
      <c r="C1555" t="str">
        <f>[1]!hospitalinfo[[#This Row],[Hospital Type]]</f>
        <v>Critical Access Hospitals</v>
      </c>
      <c r="D1555" t="str">
        <f>[1]!hospitalinfo[[#This Row],[Hospital Ownership]]</f>
        <v>Voluntary non-profit - Private</v>
      </c>
      <c r="E1555" t="str" cm="1">
        <f t="array" ref="E1555">_xlfn.IFNA(_xlfn.XLOOKUP(1,([1]!hcahps[Facility ID] = clean[[#This Row],[Facility ID]]) * ([1]!hcahps[HCAHPS Measure ID] = "H_HSP_RATING_LINEAR_SCORE"), [1]!hcahps[HCAHPS Linear Mean Value]), "No Match")</f>
        <v>Not Available</v>
      </c>
      <c r="F1555" cm="1">
        <f t="array" ref="F1555">_xlfn.IFNA(_xlfn.XLOOKUP(1,([1]!readmissions[Facility ID] = clean[[#This Row],[Facility ID]]) * ([1]!readmissions[Measure ID] = "Hybrid_HWR"), [1]!readmissions[Score]), "No Match")</f>
        <v>16</v>
      </c>
    </row>
    <row r="1556" spans="1:6" x14ac:dyDescent="0.2">
      <c r="A1556">
        <f>[1]!hospitalinfo[[#This Row],[Facility ID]]</f>
        <v>141321</v>
      </c>
      <c r="B1556" t="str">
        <f>[1]!hospitalinfo[[#This Row],[State]]</f>
        <v>IL</v>
      </c>
      <c r="C1556" t="str">
        <f>[1]!hospitalinfo[[#This Row],[Hospital Type]]</f>
        <v>Critical Access Hospitals</v>
      </c>
      <c r="D1556" t="str">
        <f>[1]!hospitalinfo[[#This Row],[Hospital Ownership]]</f>
        <v>Government - Hospital District or Authority</v>
      </c>
      <c r="E1556" t="str" cm="1">
        <f t="array" ref="E1556">_xlfn.IFNA(_xlfn.XLOOKUP(1,([1]!hcahps[Facility ID] = clean[[#This Row],[Facility ID]]) * ([1]!hcahps[HCAHPS Measure ID] = "H_HSP_RATING_LINEAR_SCORE"), [1]!hcahps[HCAHPS Linear Mean Value]), "No Match")</f>
        <v>Not Available</v>
      </c>
      <c r="F1556" cm="1">
        <f t="array" ref="F1556">_xlfn.IFNA(_xlfn.XLOOKUP(1,([1]!readmissions[Facility ID] = clean[[#This Row],[Facility ID]]) * ([1]!readmissions[Measure ID] = "Hybrid_HWR"), [1]!readmissions[Score]), "No Match")</f>
        <v>15.3</v>
      </c>
    </row>
    <row r="1557" spans="1:6" x14ac:dyDescent="0.2">
      <c r="A1557">
        <f>[1]!hospitalinfo[[#This Row],[Facility ID]]</f>
        <v>141322</v>
      </c>
      <c r="B1557" t="str">
        <f>[1]!hospitalinfo[[#This Row],[State]]</f>
        <v>IL</v>
      </c>
      <c r="C1557" t="str">
        <f>[1]!hospitalinfo[[#This Row],[Hospital Type]]</f>
        <v>Critical Access Hospitals</v>
      </c>
      <c r="D1557" t="str">
        <f>[1]!hospitalinfo[[#This Row],[Hospital Ownership]]</f>
        <v>Voluntary non-profit - Private</v>
      </c>
      <c r="E1557" cm="1">
        <f t="array" ref="E1557">_xlfn.IFNA(_xlfn.XLOOKUP(1,([1]!hcahps[Facility ID] = clean[[#This Row],[Facility ID]]) * ([1]!hcahps[HCAHPS Measure ID] = "H_HSP_RATING_LINEAR_SCORE"), [1]!hcahps[HCAHPS Linear Mean Value]), "No Match")</f>
        <v>92</v>
      </c>
      <c r="F1557" cm="1">
        <f t="array" ref="F1557">_xlfn.IFNA(_xlfn.XLOOKUP(1,([1]!readmissions[Facility ID] = clean[[#This Row],[Facility ID]]) * ([1]!readmissions[Measure ID] = "Hybrid_HWR"), [1]!readmissions[Score]), "No Match")</f>
        <v>14.6</v>
      </c>
    </row>
    <row r="1558" spans="1:6" x14ac:dyDescent="0.2">
      <c r="A1558">
        <f>[1]!hospitalinfo[[#This Row],[Facility ID]]</f>
        <v>141323</v>
      </c>
      <c r="B1558" t="str">
        <f>[1]!hospitalinfo[[#This Row],[State]]</f>
        <v>IL</v>
      </c>
      <c r="C1558" t="str">
        <f>[1]!hospitalinfo[[#This Row],[Hospital Type]]</f>
        <v>Critical Access Hospitals</v>
      </c>
      <c r="D1558" t="str">
        <f>[1]!hospitalinfo[[#This Row],[Hospital Ownership]]</f>
        <v>Government - Hospital District or Authority</v>
      </c>
      <c r="E1558" t="str" cm="1">
        <f t="array" ref="E1558">_xlfn.IFNA(_xlfn.XLOOKUP(1,([1]!hcahps[Facility ID] = clean[[#This Row],[Facility ID]]) * ([1]!hcahps[HCAHPS Measure ID] = "H_HSP_RATING_LINEAR_SCORE"), [1]!hcahps[HCAHPS Linear Mean Value]), "No Match")</f>
        <v>Not Available</v>
      </c>
      <c r="F1558" cm="1">
        <f t="array" ref="F1558">_xlfn.IFNA(_xlfn.XLOOKUP(1,([1]!readmissions[Facility ID] = clean[[#This Row],[Facility ID]]) * ([1]!readmissions[Measure ID] = "Hybrid_HWR"), [1]!readmissions[Score]), "No Match")</f>
        <v>15</v>
      </c>
    </row>
    <row r="1559" spans="1:6" x14ac:dyDescent="0.2">
      <c r="A1559">
        <f>[1]!hospitalinfo[[#This Row],[Facility ID]]</f>
        <v>141324</v>
      </c>
      <c r="B1559" t="str">
        <f>[1]!hospitalinfo[[#This Row],[State]]</f>
        <v>IL</v>
      </c>
      <c r="C1559" t="str">
        <f>[1]!hospitalinfo[[#This Row],[Hospital Type]]</f>
        <v>Critical Access Hospitals</v>
      </c>
      <c r="D1559" t="str">
        <f>[1]!hospitalinfo[[#This Row],[Hospital Ownership]]</f>
        <v>Voluntary non-profit - Private</v>
      </c>
      <c r="E1559" t="str" cm="1">
        <f t="array" ref="E1559">_xlfn.IFNA(_xlfn.XLOOKUP(1,([1]!hcahps[Facility ID] = clean[[#This Row],[Facility ID]]) * ([1]!hcahps[HCAHPS Measure ID] = "H_HSP_RATING_LINEAR_SCORE"), [1]!hcahps[HCAHPS Linear Mean Value]), "No Match")</f>
        <v>Not Available</v>
      </c>
      <c r="F1559" cm="1">
        <f t="array" ref="F1559">_xlfn.IFNA(_xlfn.XLOOKUP(1,([1]!readmissions[Facility ID] = clean[[#This Row],[Facility ID]]) * ([1]!readmissions[Measure ID] = "Hybrid_HWR"), [1]!readmissions[Score]), "No Match")</f>
        <v>15.3</v>
      </c>
    </row>
    <row r="1560" spans="1:6" x14ac:dyDescent="0.2">
      <c r="A1560">
        <f>[1]!hospitalinfo[[#This Row],[Facility ID]]</f>
        <v>141325</v>
      </c>
      <c r="B1560" t="str">
        <f>[1]!hospitalinfo[[#This Row],[State]]</f>
        <v>IL</v>
      </c>
      <c r="C1560" t="str">
        <f>[1]!hospitalinfo[[#This Row],[Hospital Type]]</f>
        <v>Critical Access Hospitals</v>
      </c>
      <c r="D1560" t="str">
        <f>[1]!hospitalinfo[[#This Row],[Hospital Ownership]]</f>
        <v>Voluntary non-profit - Private</v>
      </c>
      <c r="E1560" t="str" cm="1">
        <f t="array" ref="E1560">_xlfn.IFNA(_xlfn.XLOOKUP(1,([1]!hcahps[Facility ID] = clean[[#This Row],[Facility ID]]) * ([1]!hcahps[HCAHPS Measure ID] = "H_HSP_RATING_LINEAR_SCORE"), [1]!hcahps[HCAHPS Linear Mean Value]), "No Match")</f>
        <v>Not Available</v>
      </c>
      <c r="F1560" cm="1">
        <f t="array" ref="F1560">_xlfn.IFNA(_xlfn.XLOOKUP(1,([1]!readmissions[Facility ID] = clean[[#This Row],[Facility ID]]) * ([1]!readmissions[Measure ID] = "Hybrid_HWR"), [1]!readmissions[Score]), "No Match")</f>
        <v>15</v>
      </c>
    </row>
    <row r="1561" spans="1:6" x14ac:dyDescent="0.2">
      <c r="A1561">
        <f>[1]!hospitalinfo[[#This Row],[Facility ID]]</f>
        <v>141326</v>
      </c>
      <c r="B1561" t="str">
        <f>[1]!hospitalinfo[[#This Row],[State]]</f>
        <v>IL</v>
      </c>
      <c r="C1561" t="str">
        <f>[1]!hospitalinfo[[#This Row],[Hospital Type]]</f>
        <v>Critical Access Hospitals</v>
      </c>
      <c r="D1561" t="str">
        <f>[1]!hospitalinfo[[#This Row],[Hospital Ownership]]</f>
        <v>Government - Hospital District or Authority</v>
      </c>
      <c r="E1561" t="str" cm="1">
        <f t="array" ref="E1561">_xlfn.IFNA(_xlfn.XLOOKUP(1,([1]!hcahps[Facility ID] = clean[[#This Row],[Facility ID]]) * ([1]!hcahps[HCAHPS Measure ID] = "H_HSP_RATING_LINEAR_SCORE"), [1]!hcahps[HCAHPS Linear Mean Value]), "No Match")</f>
        <v>Not Available</v>
      </c>
      <c r="F1561" cm="1">
        <f t="array" ref="F1561">_xlfn.IFNA(_xlfn.XLOOKUP(1,([1]!readmissions[Facility ID] = clean[[#This Row],[Facility ID]]) * ([1]!readmissions[Measure ID] = "Hybrid_HWR"), [1]!readmissions[Score]), "No Match")</f>
        <v>15.2</v>
      </c>
    </row>
    <row r="1562" spans="1:6" x14ac:dyDescent="0.2">
      <c r="A1562">
        <f>[1]!hospitalinfo[[#This Row],[Facility ID]]</f>
        <v>141327</v>
      </c>
      <c r="B1562" t="str">
        <f>[1]!hospitalinfo[[#This Row],[State]]</f>
        <v>IL</v>
      </c>
      <c r="C1562" t="str">
        <f>[1]!hospitalinfo[[#This Row],[Hospital Type]]</f>
        <v>Critical Access Hospitals</v>
      </c>
      <c r="D1562" t="str">
        <f>[1]!hospitalinfo[[#This Row],[Hospital Ownership]]</f>
        <v>Government - Hospital District or Authority</v>
      </c>
      <c r="E1562" cm="1">
        <f t="array" ref="E1562">_xlfn.IFNA(_xlfn.XLOOKUP(1,([1]!hcahps[Facility ID] = clean[[#This Row],[Facility ID]]) * ([1]!hcahps[HCAHPS Measure ID] = "H_HSP_RATING_LINEAR_SCORE"), [1]!hcahps[HCAHPS Linear Mean Value]), "No Match")</f>
        <v>92</v>
      </c>
      <c r="F1562" cm="1">
        <f t="array" ref="F1562">_xlfn.IFNA(_xlfn.XLOOKUP(1,([1]!readmissions[Facility ID] = clean[[#This Row],[Facility ID]]) * ([1]!readmissions[Measure ID] = "Hybrid_HWR"), [1]!readmissions[Score]), "No Match")</f>
        <v>14.8</v>
      </c>
    </row>
    <row r="1563" spans="1:6" x14ac:dyDescent="0.2">
      <c r="A1563">
        <f>[1]!hospitalinfo[[#This Row],[Facility ID]]</f>
        <v>141328</v>
      </c>
      <c r="B1563" t="str">
        <f>[1]!hospitalinfo[[#This Row],[State]]</f>
        <v>IL</v>
      </c>
      <c r="C1563" t="str">
        <f>[1]!hospitalinfo[[#This Row],[Hospital Type]]</f>
        <v>Critical Access Hospitals</v>
      </c>
      <c r="D1563" t="str">
        <f>[1]!hospitalinfo[[#This Row],[Hospital Ownership]]</f>
        <v>Voluntary non-profit - Private</v>
      </c>
      <c r="E1563" t="str" cm="1">
        <f t="array" ref="E1563">_xlfn.IFNA(_xlfn.XLOOKUP(1,([1]!hcahps[Facility ID] = clean[[#This Row],[Facility ID]]) * ([1]!hcahps[HCAHPS Measure ID] = "H_HSP_RATING_LINEAR_SCORE"), [1]!hcahps[HCAHPS Linear Mean Value]), "No Match")</f>
        <v>Not Available</v>
      </c>
      <c r="F1563" cm="1">
        <f t="array" ref="F1563">_xlfn.IFNA(_xlfn.XLOOKUP(1,([1]!readmissions[Facility ID] = clean[[#This Row],[Facility ID]]) * ([1]!readmissions[Measure ID] = "Hybrid_HWR"), [1]!readmissions[Score]), "No Match")</f>
        <v>15.9</v>
      </c>
    </row>
    <row r="1564" spans="1:6" x14ac:dyDescent="0.2">
      <c r="A1564">
        <f>[1]!hospitalinfo[[#This Row],[Facility ID]]</f>
        <v>141329</v>
      </c>
      <c r="B1564" t="str">
        <f>[1]!hospitalinfo[[#This Row],[State]]</f>
        <v>IL</v>
      </c>
      <c r="C1564" t="str">
        <f>[1]!hospitalinfo[[#This Row],[Hospital Type]]</f>
        <v>Critical Access Hospitals</v>
      </c>
      <c r="D1564" t="str">
        <f>[1]!hospitalinfo[[#This Row],[Hospital Ownership]]</f>
        <v>Government - Hospital District or Authority</v>
      </c>
      <c r="E1564" t="str" cm="1">
        <f t="array" ref="E1564">_xlfn.IFNA(_xlfn.XLOOKUP(1,([1]!hcahps[Facility ID] = clean[[#This Row],[Facility ID]]) * ([1]!hcahps[HCAHPS Measure ID] = "H_HSP_RATING_LINEAR_SCORE"), [1]!hcahps[HCAHPS Linear Mean Value]), "No Match")</f>
        <v>Not Available</v>
      </c>
      <c r="F1564" cm="1">
        <f t="array" ref="F1564">_xlfn.IFNA(_xlfn.XLOOKUP(1,([1]!readmissions[Facility ID] = clean[[#This Row],[Facility ID]]) * ([1]!readmissions[Measure ID] = "Hybrid_HWR"), [1]!readmissions[Score]), "No Match")</f>
        <v>15.1</v>
      </c>
    </row>
    <row r="1565" spans="1:6" x14ac:dyDescent="0.2">
      <c r="A1565">
        <f>[1]!hospitalinfo[[#This Row],[Facility ID]]</f>
        <v>141330</v>
      </c>
      <c r="B1565" t="str">
        <f>[1]!hospitalinfo[[#This Row],[State]]</f>
        <v>IL</v>
      </c>
      <c r="C1565" t="str">
        <f>[1]!hospitalinfo[[#This Row],[Hospital Type]]</f>
        <v>Critical Access Hospitals</v>
      </c>
      <c r="D1565" t="str">
        <f>[1]!hospitalinfo[[#This Row],[Hospital Ownership]]</f>
        <v>Voluntary non-profit - Private</v>
      </c>
      <c r="E1565" t="str" cm="1">
        <f t="array" ref="E1565">_xlfn.IFNA(_xlfn.XLOOKUP(1,([1]!hcahps[Facility ID] = clean[[#This Row],[Facility ID]]) * ([1]!hcahps[HCAHPS Measure ID] = "H_HSP_RATING_LINEAR_SCORE"), [1]!hcahps[HCAHPS Linear Mean Value]), "No Match")</f>
        <v>Not Available</v>
      </c>
      <c r="F1565" cm="1">
        <f t="array" ref="F1565">_xlfn.IFNA(_xlfn.XLOOKUP(1,([1]!readmissions[Facility ID] = clean[[#This Row],[Facility ID]]) * ([1]!readmissions[Measure ID] = "Hybrid_HWR"), [1]!readmissions[Score]), "No Match")</f>
        <v>14.9</v>
      </c>
    </row>
    <row r="1566" spans="1:6" x14ac:dyDescent="0.2">
      <c r="A1566">
        <f>[1]!hospitalinfo[[#This Row],[Facility ID]]</f>
        <v>141331</v>
      </c>
      <c r="B1566" t="str">
        <f>[1]!hospitalinfo[[#This Row],[State]]</f>
        <v>IL</v>
      </c>
      <c r="C1566" t="str">
        <f>[1]!hospitalinfo[[#This Row],[Hospital Type]]</f>
        <v>Critical Access Hospitals</v>
      </c>
      <c r="D1566" t="str">
        <f>[1]!hospitalinfo[[#This Row],[Hospital Ownership]]</f>
        <v>Voluntary non-profit - Private</v>
      </c>
      <c r="E1566" t="str" cm="1">
        <f t="array" ref="E1566">_xlfn.IFNA(_xlfn.XLOOKUP(1,([1]!hcahps[Facility ID] = clean[[#This Row],[Facility ID]]) * ([1]!hcahps[HCAHPS Measure ID] = "H_HSP_RATING_LINEAR_SCORE"), [1]!hcahps[HCAHPS Linear Mean Value]), "No Match")</f>
        <v>Not Available</v>
      </c>
      <c r="F1566" cm="1">
        <f t="array" ref="F1566">_xlfn.IFNA(_xlfn.XLOOKUP(1,([1]!readmissions[Facility ID] = clean[[#This Row],[Facility ID]]) * ([1]!readmissions[Measure ID] = "Hybrid_HWR"), [1]!readmissions[Score]), "No Match")</f>
        <v>15.3</v>
      </c>
    </row>
    <row r="1567" spans="1:6" x14ac:dyDescent="0.2">
      <c r="A1567">
        <f>[1]!hospitalinfo[[#This Row],[Facility ID]]</f>
        <v>141332</v>
      </c>
      <c r="B1567" t="str">
        <f>[1]!hospitalinfo[[#This Row],[State]]</f>
        <v>IL</v>
      </c>
      <c r="C1567" t="str">
        <f>[1]!hospitalinfo[[#This Row],[Hospital Type]]</f>
        <v>Critical Access Hospitals</v>
      </c>
      <c r="D1567" t="str">
        <f>[1]!hospitalinfo[[#This Row],[Hospital Ownership]]</f>
        <v>Voluntary non-profit - Private</v>
      </c>
      <c r="E1567" t="str" cm="1">
        <f t="array" ref="E1567">_xlfn.IFNA(_xlfn.XLOOKUP(1,([1]!hcahps[Facility ID] = clean[[#This Row],[Facility ID]]) * ([1]!hcahps[HCAHPS Measure ID] = "H_HSP_RATING_LINEAR_SCORE"), [1]!hcahps[HCAHPS Linear Mean Value]), "No Match")</f>
        <v>Not Available</v>
      </c>
      <c r="F1567" cm="1">
        <f t="array" ref="F1567">_xlfn.IFNA(_xlfn.XLOOKUP(1,([1]!readmissions[Facility ID] = clean[[#This Row],[Facility ID]]) * ([1]!readmissions[Measure ID] = "Hybrid_HWR"), [1]!readmissions[Score]), "No Match")</f>
        <v>14.9</v>
      </c>
    </row>
    <row r="1568" spans="1:6" x14ac:dyDescent="0.2">
      <c r="A1568">
        <f>[1]!hospitalinfo[[#This Row],[Facility ID]]</f>
        <v>141333</v>
      </c>
      <c r="B1568" t="str">
        <f>[1]!hospitalinfo[[#This Row],[State]]</f>
        <v>IL</v>
      </c>
      <c r="C1568" t="str">
        <f>[1]!hospitalinfo[[#This Row],[Hospital Type]]</f>
        <v>Critical Access Hospitals</v>
      </c>
      <c r="D1568" t="str">
        <f>[1]!hospitalinfo[[#This Row],[Hospital Ownership]]</f>
        <v>Government - Hospital District or Authority</v>
      </c>
      <c r="E1568" t="str" cm="1">
        <f t="array" ref="E1568">_xlfn.IFNA(_xlfn.XLOOKUP(1,([1]!hcahps[Facility ID] = clean[[#This Row],[Facility ID]]) * ([1]!hcahps[HCAHPS Measure ID] = "H_HSP_RATING_LINEAR_SCORE"), [1]!hcahps[HCAHPS Linear Mean Value]), "No Match")</f>
        <v>Not Available</v>
      </c>
      <c r="F1568" cm="1">
        <f t="array" ref="F1568">_xlfn.IFNA(_xlfn.XLOOKUP(1,([1]!readmissions[Facility ID] = clean[[#This Row],[Facility ID]]) * ([1]!readmissions[Measure ID] = "Hybrid_HWR"), [1]!readmissions[Score]), "No Match")</f>
        <v>14.7</v>
      </c>
    </row>
    <row r="1569" spans="1:6" x14ac:dyDescent="0.2">
      <c r="A1569">
        <f>[1]!hospitalinfo[[#This Row],[Facility ID]]</f>
        <v>141334</v>
      </c>
      <c r="B1569" t="str">
        <f>[1]!hospitalinfo[[#This Row],[State]]</f>
        <v>IL</v>
      </c>
      <c r="C1569" t="str">
        <f>[1]!hospitalinfo[[#This Row],[Hospital Type]]</f>
        <v>Critical Access Hospitals</v>
      </c>
      <c r="D1569" t="str">
        <f>[1]!hospitalinfo[[#This Row],[Hospital Ownership]]</f>
        <v>Voluntary non-profit - Private</v>
      </c>
      <c r="E1569" cm="1">
        <f t="array" ref="E1569">_xlfn.IFNA(_xlfn.XLOOKUP(1,([1]!hcahps[Facility ID] = clean[[#This Row],[Facility ID]]) * ([1]!hcahps[HCAHPS Measure ID] = "H_HSP_RATING_LINEAR_SCORE"), [1]!hcahps[HCAHPS Linear Mean Value]), "No Match")</f>
        <v>93</v>
      </c>
      <c r="F1569" cm="1">
        <f t="array" ref="F1569">_xlfn.IFNA(_xlfn.XLOOKUP(1,([1]!readmissions[Facility ID] = clean[[#This Row],[Facility ID]]) * ([1]!readmissions[Measure ID] = "Hybrid_HWR"), [1]!readmissions[Score]), "No Match")</f>
        <v>15.3</v>
      </c>
    </row>
    <row r="1570" spans="1:6" x14ac:dyDescent="0.2">
      <c r="A1570">
        <f>[1]!hospitalinfo[[#This Row],[Facility ID]]</f>
        <v>141335</v>
      </c>
      <c r="B1570" t="str">
        <f>[1]!hospitalinfo[[#This Row],[State]]</f>
        <v>IL</v>
      </c>
      <c r="C1570" t="str">
        <f>[1]!hospitalinfo[[#This Row],[Hospital Type]]</f>
        <v>Critical Access Hospitals</v>
      </c>
      <c r="D1570" t="str">
        <f>[1]!hospitalinfo[[#This Row],[Hospital Ownership]]</f>
        <v>Voluntary non-profit - Private</v>
      </c>
      <c r="E1570" t="str" cm="1">
        <f t="array" ref="E1570">_xlfn.IFNA(_xlfn.XLOOKUP(1,([1]!hcahps[Facility ID] = clean[[#This Row],[Facility ID]]) * ([1]!hcahps[HCAHPS Measure ID] = "H_HSP_RATING_LINEAR_SCORE"), [1]!hcahps[HCAHPS Linear Mean Value]), "No Match")</f>
        <v>Not Available</v>
      </c>
      <c r="F1570" cm="1">
        <f t="array" ref="F1570">_xlfn.IFNA(_xlfn.XLOOKUP(1,([1]!readmissions[Facility ID] = clean[[#This Row],[Facility ID]]) * ([1]!readmissions[Measure ID] = "Hybrid_HWR"), [1]!readmissions[Score]), "No Match")</f>
        <v>15.2</v>
      </c>
    </row>
    <row r="1571" spans="1:6" x14ac:dyDescent="0.2">
      <c r="A1571">
        <f>[1]!hospitalinfo[[#This Row],[Facility ID]]</f>
        <v>141336</v>
      </c>
      <c r="B1571" t="str">
        <f>[1]!hospitalinfo[[#This Row],[State]]</f>
        <v>IL</v>
      </c>
      <c r="C1571" t="str">
        <f>[1]!hospitalinfo[[#This Row],[Hospital Type]]</f>
        <v>Critical Access Hospitals</v>
      </c>
      <c r="D1571" t="str">
        <f>[1]!hospitalinfo[[#This Row],[Hospital Ownership]]</f>
        <v>Voluntary non-profit - Church</v>
      </c>
      <c r="E1571" cm="1">
        <f t="array" ref="E1571">_xlfn.IFNA(_xlfn.XLOOKUP(1,([1]!hcahps[Facility ID] = clean[[#This Row],[Facility ID]]) * ([1]!hcahps[HCAHPS Measure ID] = "H_HSP_RATING_LINEAR_SCORE"), [1]!hcahps[HCAHPS Linear Mean Value]), "No Match")</f>
        <v>92</v>
      </c>
      <c r="F1571" cm="1">
        <f t="array" ref="F1571">_xlfn.IFNA(_xlfn.XLOOKUP(1,([1]!readmissions[Facility ID] = clean[[#This Row],[Facility ID]]) * ([1]!readmissions[Measure ID] = "Hybrid_HWR"), [1]!readmissions[Score]), "No Match")</f>
        <v>15.4</v>
      </c>
    </row>
    <row r="1572" spans="1:6" x14ac:dyDescent="0.2">
      <c r="A1572">
        <f>[1]!hospitalinfo[[#This Row],[Facility ID]]</f>
        <v>141337</v>
      </c>
      <c r="B1572" t="str">
        <f>[1]!hospitalinfo[[#This Row],[State]]</f>
        <v>IL</v>
      </c>
      <c r="C1572" t="str">
        <f>[1]!hospitalinfo[[#This Row],[Hospital Type]]</f>
        <v>Critical Access Hospitals</v>
      </c>
      <c r="D1572" t="str">
        <f>[1]!hospitalinfo[[#This Row],[Hospital Ownership]]</f>
        <v>Voluntary non-profit - Church</v>
      </c>
      <c r="E1572" cm="1">
        <f t="array" ref="E1572">_xlfn.IFNA(_xlfn.XLOOKUP(1,([1]!hcahps[Facility ID] = clean[[#This Row],[Facility ID]]) * ([1]!hcahps[HCAHPS Measure ID] = "H_HSP_RATING_LINEAR_SCORE"), [1]!hcahps[HCAHPS Linear Mean Value]), "No Match")</f>
        <v>87</v>
      </c>
      <c r="F1572" cm="1">
        <f t="array" ref="F1572">_xlfn.IFNA(_xlfn.XLOOKUP(1,([1]!readmissions[Facility ID] = clean[[#This Row],[Facility ID]]) * ([1]!readmissions[Measure ID] = "Hybrid_HWR"), [1]!readmissions[Score]), "No Match")</f>
        <v>15.7</v>
      </c>
    </row>
    <row r="1573" spans="1:6" x14ac:dyDescent="0.2">
      <c r="A1573">
        <f>[1]!hospitalinfo[[#This Row],[Facility ID]]</f>
        <v>141338</v>
      </c>
      <c r="B1573" t="str">
        <f>[1]!hospitalinfo[[#This Row],[State]]</f>
        <v>IL</v>
      </c>
      <c r="C1573" t="str">
        <f>[1]!hospitalinfo[[#This Row],[Hospital Type]]</f>
        <v>Critical Access Hospitals</v>
      </c>
      <c r="D1573" t="str">
        <f>[1]!hospitalinfo[[#This Row],[Hospital Ownership]]</f>
        <v>Government - Hospital District or Authority</v>
      </c>
      <c r="E1573" t="str" cm="1">
        <f t="array" ref="E1573">_xlfn.IFNA(_xlfn.XLOOKUP(1,([1]!hcahps[Facility ID] = clean[[#This Row],[Facility ID]]) * ([1]!hcahps[HCAHPS Measure ID] = "H_HSP_RATING_LINEAR_SCORE"), [1]!hcahps[HCAHPS Linear Mean Value]), "No Match")</f>
        <v>Not Available</v>
      </c>
      <c r="F1573" cm="1">
        <f t="array" ref="F1573">_xlfn.IFNA(_xlfn.XLOOKUP(1,([1]!readmissions[Facility ID] = clean[[#This Row],[Facility ID]]) * ([1]!readmissions[Measure ID] = "Hybrid_HWR"), [1]!readmissions[Score]), "No Match")</f>
        <v>14.9</v>
      </c>
    </row>
    <row r="1574" spans="1:6" x14ac:dyDescent="0.2">
      <c r="A1574">
        <f>[1]!hospitalinfo[[#This Row],[Facility ID]]</f>
        <v>141339</v>
      </c>
      <c r="B1574" t="str">
        <f>[1]!hospitalinfo[[#This Row],[State]]</f>
        <v>IL</v>
      </c>
      <c r="C1574" t="str">
        <f>[1]!hospitalinfo[[#This Row],[Hospital Type]]</f>
        <v>Critical Access Hospitals</v>
      </c>
      <c r="D1574" t="str">
        <f>[1]!hospitalinfo[[#This Row],[Hospital Ownership]]</f>
        <v>Voluntary non-profit - Private</v>
      </c>
      <c r="E1574" cm="1">
        <f t="array" ref="E1574">_xlfn.IFNA(_xlfn.XLOOKUP(1,([1]!hcahps[Facility ID] = clean[[#This Row],[Facility ID]]) * ([1]!hcahps[HCAHPS Measure ID] = "H_HSP_RATING_LINEAR_SCORE"), [1]!hcahps[HCAHPS Linear Mean Value]), "No Match")</f>
        <v>93</v>
      </c>
      <c r="F1574" cm="1">
        <f t="array" ref="F1574">_xlfn.IFNA(_xlfn.XLOOKUP(1,([1]!readmissions[Facility ID] = clean[[#This Row],[Facility ID]]) * ([1]!readmissions[Measure ID] = "Hybrid_HWR"), [1]!readmissions[Score]), "No Match")</f>
        <v>15.4</v>
      </c>
    </row>
    <row r="1575" spans="1:6" x14ac:dyDescent="0.2">
      <c r="A1575">
        <f>[1]!hospitalinfo[[#This Row],[Facility ID]]</f>
        <v>141340</v>
      </c>
      <c r="B1575" t="str">
        <f>[1]!hospitalinfo[[#This Row],[State]]</f>
        <v>IL</v>
      </c>
      <c r="C1575" t="str">
        <f>[1]!hospitalinfo[[#This Row],[Hospital Type]]</f>
        <v>Critical Access Hospitals</v>
      </c>
      <c r="D1575" t="str">
        <f>[1]!hospitalinfo[[#This Row],[Hospital Ownership]]</f>
        <v>Voluntary non-profit - Private</v>
      </c>
      <c r="E1575" cm="1">
        <f t="array" ref="E1575">_xlfn.IFNA(_xlfn.XLOOKUP(1,([1]!hcahps[Facility ID] = clean[[#This Row],[Facility ID]]) * ([1]!hcahps[HCAHPS Measure ID] = "H_HSP_RATING_LINEAR_SCORE"), [1]!hcahps[HCAHPS Linear Mean Value]), "No Match")</f>
        <v>92</v>
      </c>
      <c r="F1575" cm="1">
        <f t="array" ref="F1575">_xlfn.IFNA(_xlfn.XLOOKUP(1,([1]!readmissions[Facility ID] = clean[[#This Row],[Facility ID]]) * ([1]!readmissions[Measure ID] = "Hybrid_HWR"), [1]!readmissions[Score]), "No Match")</f>
        <v>14.5</v>
      </c>
    </row>
    <row r="1576" spans="1:6" x14ac:dyDescent="0.2">
      <c r="A1576">
        <f>[1]!hospitalinfo[[#This Row],[Facility ID]]</f>
        <v>141341</v>
      </c>
      <c r="B1576" t="str">
        <f>[1]!hospitalinfo[[#This Row],[State]]</f>
        <v>IL</v>
      </c>
      <c r="C1576" t="str">
        <f>[1]!hospitalinfo[[#This Row],[Hospital Type]]</f>
        <v>Critical Access Hospitals</v>
      </c>
      <c r="D1576" t="str">
        <f>[1]!hospitalinfo[[#This Row],[Hospital Ownership]]</f>
        <v>Voluntary non-profit - Private</v>
      </c>
      <c r="E1576" t="str" cm="1">
        <f t="array" ref="E1576">_xlfn.IFNA(_xlfn.XLOOKUP(1,([1]!hcahps[Facility ID] = clean[[#This Row],[Facility ID]]) * ([1]!hcahps[HCAHPS Measure ID] = "H_HSP_RATING_LINEAR_SCORE"), [1]!hcahps[HCAHPS Linear Mean Value]), "No Match")</f>
        <v>Not Available</v>
      </c>
      <c r="F1576" cm="1">
        <f t="array" ref="F1576">_xlfn.IFNA(_xlfn.XLOOKUP(1,([1]!readmissions[Facility ID] = clean[[#This Row],[Facility ID]]) * ([1]!readmissions[Measure ID] = "Hybrid_HWR"), [1]!readmissions[Score]), "No Match")</f>
        <v>14.8</v>
      </c>
    </row>
    <row r="1577" spans="1:6" x14ac:dyDescent="0.2">
      <c r="A1577">
        <f>[1]!hospitalinfo[[#This Row],[Facility ID]]</f>
        <v>141342</v>
      </c>
      <c r="B1577" t="str">
        <f>[1]!hospitalinfo[[#This Row],[State]]</f>
        <v>IL</v>
      </c>
      <c r="C1577" t="str">
        <f>[1]!hospitalinfo[[#This Row],[Hospital Type]]</f>
        <v>Critical Access Hospitals</v>
      </c>
      <c r="D1577" t="str">
        <f>[1]!hospitalinfo[[#This Row],[Hospital Ownership]]</f>
        <v>Proprietary</v>
      </c>
      <c r="E1577" t="str" cm="1">
        <f t="array" ref="E1577">_xlfn.IFNA(_xlfn.XLOOKUP(1,([1]!hcahps[Facility ID] = clean[[#This Row],[Facility ID]]) * ([1]!hcahps[HCAHPS Measure ID] = "H_HSP_RATING_LINEAR_SCORE"), [1]!hcahps[HCAHPS Linear Mean Value]), "No Match")</f>
        <v>Not Available</v>
      </c>
      <c r="F1577" cm="1">
        <f t="array" ref="F1577">_xlfn.IFNA(_xlfn.XLOOKUP(1,([1]!readmissions[Facility ID] = clean[[#This Row],[Facility ID]]) * ([1]!readmissions[Measure ID] = "Hybrid_HWR"), [1]!readmissions[Score]), "No Match")</f>
        <v>15</v>
      </c>
    </row>
    <row r="1578" spans="1:6" x14ac:dyDescent="0.2">
      <c r="A1578">
        <f>[1]!hospitalinfo[[#This Row],[Facility ID]]</f>
        <v>141343</v>
      </c>
      <c r="B1578" t="str">
        <f>[1]!hospitalinfo[[#This Row],[State]]</f>
        <v>IL</v>
      </c>
      <c r="C1578" t="str">
        <f>[1]!hospitalinfo[[#This Row],[Hospital Type]]</f>
        <v>Critical Access Hospitals</v>
      </c>
      <c r="D1578" t="str">
        <f>[1]!hospitalinfo[[#This Row],[Hospital Ownership]]</f>
        <v>Government - Hospital District or Authority</v>
      </c>
      <c r="E1578" cm="1">
        <f t="array" ref="E1578">_xlfn.IFNA(_xlfn.XLOOKUP(1,([1]!hcahps[Facility ID] = clean[[#This Row],[Facility ID]]) * ([1]!hcahps[HCAHPS Measure ID] = "H_HSP_RATING_LINEAR_SCORE"), [1]!hcahps[HCAHPS Linear Mean Value]), "No Match")</f>
        <v>92</v>
      </c>
      <c r="F1578" cm="1">
        <f t="array" ref="F1578">_xlfn.IFNA(_xlfn.XLOOKUP(1,([1]!readmissions[Facility ID] = clean[[#This Row],[Facility ID]]) * ([1]!readmissions[Measure ID] = "Hybrid_HWR"), [1]!readmissions[Score]), "No Match")</f>
        <v>14.3</v>
      </c>
    </row>
    <row r="1579" spans="1:6" x14ac:dyDescent="0.2">
      <c r="A1579">
        <f>[1]!hospitalinfo[[#This Row],[Facility ID]]</f>
        <v>141344</v>
      </c>
      <c r="B1579" t="str">
        <f>[1]!hospitalinfo[[#This Row],[State]]</f>
        <v>IL</v>
      </c>
      <c r="C1579" t="str">
        <f>[1]!hospitalinfo[[#This Row],[Hospital Type]]</f>
        <v>Critical Access Hospitals</v>
      </c>
      <c r="D1579" t="str">
        <f>[1]!hospitalinfo[[#This Row],[Hospital Ownership]]</f>
        <v>Voluntary non-profit - Private</v>
      </c>
      <c r="E1579" t="str" cm="1">
        <f t="array" ref="E1579">_xlfn.IFNA(_xlfn.XLOOKUP(1,([1]!hcahps[Facility ID] = clean[[#This Row],[Facility ID]]) * ([1]!hcahps[HCAHPS Measure ID] = "H_HSP_RATING_LINEAR_SCORE"), [1]!hcahps[HCAHPS Linear Mean Value]), "No Match")</f>
        <v>Not Available</v>
      </c>
      <c r="F1579" cm="1">
        <f t="array" ref="F1579">_xlfn.IFNA(_xlfn.XLOOKUP(1,([1]!readmissions[Facility ID] = clean[[#This Row],[Facility ID]]) * ([1]!readmissions[Measure ID] = "Hybrid_HWR"), [1]!readmissions[Score]), "No Match")</f>
        <v>14.9</v>
      </c>
    </row>
    <row r="1580" spans="1:6" x14ac:dyDescent="0.2">
      <c r="A1580">
        <f>[1]!hospitalinfo[[#This Row],[Facility ID]]</f>
        <v>141345</v>
      </c>
      <c r="B1580" t="str">
        <f>[1]!hospitalinfo[[#This Row],[State]]</f>
        <v>IL</v>
      </c>
      <c r="C1580" t="str">
        <f>[1]!hospitalinfo[[#This Row],[Hospital Type]]</f>
        <v>Critical Access Hospitals</v>
      </c>
      <c r="D1580" t="str">
        <f>[1]!hospitalinfo[[#This Row],[Hospital Ownership]]</f>
        <v>Government - Local</v>
      </c>
      <c r="E1580" t="str" cm="1">
        <f t="array" ref="E1580">_xlfn.IFNA(_xlfn.XLOOKUP(1,([1]!hcahps[Facility ID] = clean[[#This Row],[Facility ID]]) * ([1]!hcahps[HCAHPS Measure ID] = "H_HSP_RATING_LINEAR_SCORE"), [1]!hcahps[HCAHPS Linear Mean Value]), "No Match")</f>
        <v>Not Available</v>
      </c>
      <c r="F1580" cm="1">
        <f t="array" ref="F1580">_xlfn.IFNA(_xlfn.XLOOKUP(1,([1]!readmissions[Facility ID] = clean[[#This Row],[Facility ID]]) * ([1]!readmissions[Measure ID] = "Hybrid_HWR"), [1]!readmissions[Score]), "No Match")</f>
        <v>14.9</v>
      </c>
    </row>
    <row r="1581" spans="1:6" x14ac:dyDescent="0.2">
      <c r="A1581">
        <f>[1]!hospitalinfo[[#This Row],[Facility ID]]</f>
        <v>141346</v>
      </c>
      <c r="B1581" t="str">
        <f>[1]!hospitalinfo[[#This Row],[State]]</f>
        <v>IL</v>
      </c>
      <c r="C1581" t="str">
        <f>[1]!hospitalinfo[[#This Row],[Hospital Type]]</f>
        <v>Critical Access Hospitals</v>
      </c>
      <c r="D1581" t="str">
        <f>[1]!hospitalinfo[[#This Row],[Hospital Ownership]]</f>
        <v>Voluntary non-profit - Other</v>
      </c>
      <c r="E1581" t="str" cm="1">
        <f t="array" ref="E1581">_xlfn.IFNA(_xlfn.XLOOKUP(1,([1]!hcahps[Facility ID] = clean[[#This Row],[Facility ID]]) * ([1]!hcahps[HCAHPS Measure ID] = "H_HSP_RATING_LINEAR_SCORE"), [1]!hcahps[HCAHPS Linear Mean Value]), "No Match")</f>
        <v>Not Available</v>
      </c>
      <c r="F1581" cm="1">
        <f t="array" ref="F1581">_xlfn.IFNA(_xlfn.XLOOKUP(1,([1]!readmissions[Facility ID] = clean[[#This Row],[Facility ID]]) * ([1]!readmissions[Measure ID] = "Hybrid_HWR"), [1]!readmissions[Score]), "No Match")</f>
        <v>15.1</v>
      </c>
    </row>
    <row r="1582" spans="1:6" x14ac:dyDescent="0.2">
      <c r="A1582">
        <f>[1]!hospitalinfo[[#This Row],[Facility ID]]</f>
        <v>141347</v>
      </c>
      <c r="B1582" t="str">
        <f>[1]!hospitalinfo[[#This Row],[State]]</f>
        <v>IL</v>
      </c>
      <c r="C1582" t="str">
        <f>[1]!hospitalinfo[[#This Row],[Hospital Type]]</f>
        <v>Critical Access Hospitals</v>
      </c>
      <c r="D1582" t="str">
        <f>[1]!hospitalinfo[[#This Row],[Hospital Ownership]]</f>
        <v>Voluntary non-profit - Private</v>
      </c>
      <c r="E1582" t="str" cm="1">
        <f t="array" ref="E1582">_xlfn.IFNA(_xlfn.XLOOKUP(1,([1]!hcahps[Facility ID] = clean[[#This Row],[Facility ID]]) * ([1]!hcahps[HCAHPS Measure ID] = "H_HSP_RATING_LINEAR_SCORE"), [1]!hcahps[HCAHPS Linear Mean Value]), "No Match")</f>
        <v>Not Available</v>
      </c>
      <c r="F1582" cm="1">
        <f t="array" ref="F1582">_xlfn.IFNA(_xlfn.XLOOKUP(1,([1]!readmissions[Facility ID] = clean[[#This Row],[Facility ID]]) * ([1]!readmissions[Measure ID] = "Hybrid_HWR"), [1]!readmissions[Score]), "No Match")</f>
        <v>15</v>
      </c>
    </row>
    <row r="1583" spans="1:6" x14ac:dyDescent="0.2">
      <c r="A1583">
        <f>[1]!hospitalinfo[[#This Row],[Facility ID]]</f>
        <v>141348</v>
      </c>
      <c r="B1583" t="str">
        <f>[1]!hospitalinfo[[#This Row],[State]]</f>
        <v>IL</v>
      </c>
      <c r="C1583" t="str">
        <f>[1]!hospitalinfo[[#This Row],[Hospital Type]]</f>
        <v>Critical Access Hospitals</v>
      </c>
      <c r="D1583" t="str">
        <f>[1]!hospitalinfo[[#This Row],[Hospital Ownership]]</f>
        <v>Proprietary</v>
      </c>
      <c r="E1583" cm="1">
        <f t="array" ref="E1583">_xlfn.IFNA(_xlfn.XLOOKUP(1,([1]!hcahps[Facility ID] = clean[[#This Row],[Facility ID]]) * ([1]!hcahps[HCAHPS Measure ID] = "H_HSP_RATING_LINEAR_SCORE"), [1]!hcahps[HCAHPS Linear Mean Value]), "No Match")</f>
        <v>90</v>
      </c>
      <c r="F1583" cm="1">
        <f t="array" ref="F1583">_xlfn.IFNA(_xlfn.XLOOKUP(1,([1]!readmissions[Facility ID] = clean[[#This Row],[Facility ID]]) * ([1]!readmissions[Measure ID] = "Hybrid_HWR"), [1]!readmissions[Score]), "No Match")</f>
        <v>15.6</v>
      </c>
    </row>
    <row r="1584" spans="1:6" x14ac:dyDescent="0.2">
      <c r="A1584">
        <f>[1]!hospitalinfo[[#This Row],[Facility ID]]</f>
        <v>141349</v>
      </c>
      <c r="B1584" t="str">
        <f>[1]!hospitalinfo[[#This Row],[State]]</f>
        <v>IL</v>
      </c>
      <c r="C1584" t="str">
        <f>[1]!hospitalinfo[[#This Row],[Hospital Type]]</f>
        <v>Critical Access Hospitals</v>
      </c>
      <c r="D1584" t="str">
        <f>[1]!hospitalinfo[[#This Row],[Hospital Ownership]]</f>
        <v>Government - Hospital District or Authority</v>
      </c>
      <c r="E1584" t="str" cm="1">
        <f t="array" ref="E1584">_xlfn.IFNA(_xlfn.XLOOKUP(1,([1]!hcahps[Facility ID] = clean[[#This Row],[Facility ID]]) * ([1]!hcahps[HCAHPS Measure ID] = "H_HSP_RATING_LINEAR_SCORE"), [1]!hcahps[HCAHPS Linear Mean Value]), "No Match")</f>
        <v>Not Available</v>
      </c>
      <c r="F1584" cm="1">
        <f t="array" ref="F1584">_xlfn.IFNA(_xlfn.XLOOKUP(1,([1]!readmissions[Facility ID] = clean[[#This Row],[Facility ID]]) * ([1]!readmissions[Measure ID] = "Hybrid_HWR"), [1]!readmissions[Score]), "No Match")</f>
        <v>15.3</v>
      </c>
    </row>
    <row r="1585" spans="1:6" x14ac:dyDescent="0.2">
      <c r="A1585">
        <f>[1]!hospitalinfo[[#This Row],[Facility ID]]</f>
        <v>141350</v>
      </c>
      <c r="B1585" t="str">
        <f>[1]!hospitalinfo[[#This Row],[State]]</f>
        <v>IL</v>
      </c>
      <c r="C1585" t="str">
        <f>[1]!hospitalinfo[[#This Row],[Hospital Type]]</f>
        <v>Critical Access Hospitals</v>
      </c>
      <c r="D1585" t="str">
        <f>[1]!hospitalinfo[[#This Row],[Hospital Ownership]]</f>
        <v>Voluntary non-profit - Church</v>
      </c>
      <c r="E1585" t="str" cm="1">
        <f t="array" ref="E1585">_xlfn.IFNA(_xlfn.XLOOKUP(1,([1]!hcahps[Facility ID] = clean[[#This Row],[Facility ID]]) * ([1]!hcahps[HCAHPS Measure ID] = "H_HSP_RATING_LINEAR_SCORE"), [1]!hcahps[HCAHPS Linear Mean Value]), "No Match")</f>
        <v>Not Available</v>
      </c>
      <c r="F1585" cm="1">
        <f t="array" ref="F1585">_xlfn.IFNA(_xlfn.XLOOKUP(1,([1]!readmissions[Facility ID] = clean[[#This Row],[Facility ID]]) * ([1]!readmissions[Measure ID] = "Hybrid_HWR"), [1]!readmissions[Score]), "No Match")</f>
        <v>16.399999999999999</v>
      </c>
    </row>
    <row r="1586" spans="1:6" x14ac:dyDescent="0.2">
      <c r="A1586">
        <f>[1]!hospitalinfo[[#This Row],[Facility ID]]</f>
        <v>141351</v>
      </c>
      <c r="B1586" t="str">
        <f>[1]!hospitalinfo[[#This Row],[State]]</f>
        <v>IL</v>
      </c>
      <c r="C1586" t="str">
        <f>[1]!hospitalinfo[[#This Row],[Hospital Type]]</f>
        <v>Critical Access Hospitals</v>
      </c>
      <c r="D1586" t="str">
        <f>[1]!hospitalinfo[[#This Row],[Hospital Ownership]]</f>
        <v>Government - Local</v>
      </c>
      <c r="E1586" t="str" cm="1">
        <f t="array" ref="E1586">_xlfn.IFNA(_xlfn.XLOOKUP(1,([1]!hcahps[Facility ID] = clean[[#This Row],[Facility ID]]) * ([1]!hcahps[HCAHPS Measure ID] = "H_HSP_RATING_LINEAR_SCORE"), [1]!hcahps[HCAHPS Linear Mean Value]), "No Match")</f>
        <v>Not Available</v>
      </c>
      <c r="F1586" cm="1">
        <f t="array" ref="F1586">_xlfn.IFNA(_xlfn.XLOOKUP(1,([1]!readmissions[Facility ID] = clean[[#This Row],[Facility ID]]) * ([1]!readmissions[Measure ID] = "Hybrid_HWR"), [1]!readmissions[Score]), "No Match")</f>
        <v>15.2</v>
      </c>
    </row>
    <row r="1587" spans="1:6" x14ac:dyDescent="0.2">
      <c r="A1587">
        <f>[1]!hospitalinfo[[#This Row],[Facility ID]]</f>
        <v>141352</v>
      </c>
      <c r="B1587" t="str">
        <f>[1]!hospitalinfo[[#This Row],[State]]</f>
        <v>IL</v>
      </c>
      <c r="C1587" t="str">
        <f>[1]!hospitalinfo[[#This Row],[Hospital Type]]</f>
        <v>Critical Access Hospitals</v>
      </c>
      <c r="D1587" t="str">
        <f>[1]!hospitalinfo[[#This Row],[Hospital Ownership]]</f>
        <v>Voluntary non-profit - Private</v>
      </c>
      <c r="E1587" t="str" cm="1">
        <f t="array" ref="E1587">_xlfn.IFNA(_xlfn.XLOOKUP(1,([1]!hcahps[Facility ID] = clean[[#This Row],[Facility ID]]) * ([1]!hcahps[HCAHPS Measure ID] = "H_HSP_RATING_LINEAR_SCORE"), [1]!hcahps[HCAHPS Linear Mean Value]), "No Match")</f>
        <v>Not Available</v>
      </c>
      <c r="F1587" t="str" cm="1">
        <f t="array" ref="F1587">_xlfn.IFNA(_xlfn.XLOOKUP(1,([1]!readmissions[Facility ID] = clean[[#This Row],[Facility ID]]) * ([1]!readmissions[Measure ID] = "Hybrid_HWR"), [1]!readmissions[Score]), "No Match")</f>
        <v>Not Available</v>
      </c>
    </row>
    <row r="1588" spans="1:6" x14ac:dyDescent="0.2">
      <c r="A1588">
        <f>[1]!hospitalinfo[[#This Row],[Facility ID]]</f>
        <v>141353</v>
      </c>
      <c r="B1588" t="str">
        <f>[1]!hospitalinfo[[#This Row],[State]]</f>
        <v>IL</v>
      </c>
      <c r="C1588" t="str">
        <f>[1]!hospitalinfo[[#This Row],[Hospital Type]]</f>
        <v>Critical Access Hospitals</v>
      </c>
      <c r="D1588" t="str">
        <f>[1]!hospitalinfo[[#This Row],[Hospital Ownership]]</f>
        <v>Voluntary non-profit - Private</v>
      </c>
      <c r="E1588" t="str" cm="1">
        <f t="array" ref="E1588">_xlfn.IFNA(_xlfn.XLOOKUP(1,([1]!hcahps[Facility ID] = clean[[#This Row],[Facility ID]]) * ([1]!hcahps[HCAHPS Measure ID] = "H_HSP_RATING_LINEAR_SCORE"), [1]!hcahps[HCAHPS Linear Mean Value]), "No Match")</f>
        <v>Not Available</v>
      </c>
      <c r="F1588" cm="1">
        <f t="array" ref="F1588">_xlfn.IFNA(_xlfn.XLOOKUP(1,([1]!readmissions[Facility ID] = clean[[#This Row],[Facility ID]]) * ([1]!readmissions[Measure ID] = "Hybrid_HWR"), [1]!readmissions[Score]), "No Match")</f>
        <v>14.6</v>
      </c>
    </row>
    <row r="1589" spans="1:6" x14ac:dyDescent="0.2">
      <c r="A1589">
        <f>[1]!hospitalinfo[[#This Row],[Facility ID]]</f>
        <v>141354</v>
      </c>
      <c r="B1589" t="str">
        <f>[1]!hospitalinfo[[#This Row],[State]]</f>
        <v>IL</v>
      </c>
      <c r="C1589" t="str">
        <f>[1]!hospitalinfo[[#This Row],[Hospital Type]]</f>
        <v>Critical Access Hospitals</v>
      </c>
      <c r="D1589" t="str">
        <f>[1]!hospitalinfo[[#This Row],[Hospital Ownership]]</f>
        <v>Voluntary non-profit - Private</v>
      </c>
      <c r="E1589" t="str" cm="1">
        <f t="array" ref="E1589">_xlfn.IFNA(_xlfn.XLOOKUP(1,([1]!hcahps[Facility ID] = clean[[#This Row],[Facility ID]]) * ([1]!hcahps[HCAHPS Measure ID] = "H_HSP_RATING_LINEAR_SCORE"), [1]!hcahps[HCAHPS Linear Mean Value]), "No Match")</f>
        <v>Not Available</v>
      </c>
      <c r="F1589" cm="1">
        <f t="array" ref="F1589">_xlfn.IFNA(_xlfn.XLOOKUP(1,([1]!readmissions[Facility ID] = clean[[#This Row],[Facility ID]]) * ([1]!readmissions[Measure ID] = "Hybrid_HWR"), [1]!readmissions[Score]), "No Match")</f>
        <v>15.7</v>
      </c>
    </row>
    <row r="1590" spans="1:6" x14ac:dyDescent="0.2">
      <c r="A1590">
        <f>[1]!hospitalinfo[[#This Row],[Facility ID]]</f>
        <v>141355</v>
      </c>
      <c r="B1590" t="str">
        <f>[1]!hospitalinfo[[#This Row],[State]]</f>
        <v>IL</v>
      </c>
      <c r="C1590" t="str">
        <f>[1]!hospitalinfo[[#This Row],[Hospital Type]]</f>
        <v>Critical Access Hospitals</v>
      </c>
      <c r="D1590" t="str">
        <f>[1]!hospitalinfo[[#This Row],[Hospital Ownership]]</f>
        <v>Voluntary non-profit - Private</v>
      </c>
      <c r="E1590" cm="1">
        <f t="array" ref="E1590">_xlfn.IFNA(_xlfn.XLOOKUP(1,([1]!hcahps[Facility ID] = clean[[#This Row],[Facility ID]]) * ([1]!hcahps[HCAHPS Measure ID] = "H_HSP_RATING_LINEAR_SCORE"), [1]!hcahps[HCAHPS Linear Mean Value]), "No Match")</f>
        <v>86</v>
      </c>
      <c r="F1590" cm="1">
        <f t="array" ref="F1590">_xlfn.IFNA(_xlfn.XLOOKUP(1,([1]!readmissions[Facility ID] = clean[[#This Row],[Facility ID]]) * ([1]!readmissions[Measure ID] = "Hybrid_HWR"), [1]!readmissions[Score]), "No Match")</f>
        <v>15.2</v>
      </c>
    </row>
    <row r="1591" spans="1:6" x14ac:dyDescent="0.2">
      <c r="A1591">
        <f>[1]!hospitalinfo[[#This Row],[Facility ID]]</f>
        <v>143300</v>
      </c>
      <c r="B1591" t="str">
        <f>[1]!hospitalinfo[[#This Row],[State]]</f>
        <v>IL</v>
      </c>
      <c r="C1591" t="str">
        <f>[1]!hospitalinfo[[#This Row],[Hospital Type]]</f>
        <v>Childrens</v>
      </c>
      <c r="D1591" t="str">
        <f>[1]!hospitalinfo[[#This Row],[Hospital Ownership]]</f>
        <v>Voluntary non-profit - Private</v>
      </c>
      <c r="E1591" t="str" cm="1">
        <f t="array" ref="E1591">_xlfn.IFNA(_xlfn.XLOOKUP(1,([1]!hcahps[Facility ID] = clean[[#This Row],[Facility ID]]) * ([1]!hcahps[HCAHPS Measure ID] = "H_HSP_RATING_LINEAR_SCORE"), [1]!hcahps[HCAHPS Linear Mean Value]), "No Match")</f>
        <v>Not Available</v>
      </c>
      <c r="F1591" t="str" cm="1">
        <f t="array" ref="F1591">_xlfn.IFNA(_xlfn.XLOOKUP(1,([1]!readmissions[Facility ID] = clean[[#This Row],[Facility ID]]) * ([1]!readmissions[Measure ID] = "Hybrid_HWR"), [1]!readmissions[Score]), "No Match")</f>
        <v>Not Available</v>
      </c>
    </row>
    <row r="1592" spans="1:6" x14ac:dyDescent="0.2">
      <c r="A1592">
        <f>[1]!hospitalinfo[[#This Row],[Facility ID]]</f>
        <v>143301</v>
      </c>
      <c r="B1592" t="str">
        <f>[1]!hospitalinfo[[#This Row],[State]]</f>
        <v>IL</v>
      </c>
      <c r="C1592" t="str">
        <f>[1]!hospitalinfo[[#This Row],[Hospital Type]]</f>
        <v>Childrens</v>
      </c>
      <c r="D1592" t="str">
        <f>[1]!hospitalinfo[[#This Row],[Hospital Ownership]]</f>
        <v>Voluntary non-profit - Private</v>
      </c>
      <c r="E1592" t="str" cm="1">
        <f t="array" ref="E1592">_xlfn.IFNA(_xlfn.XLOOKUP(1,([1]!hcahps[Facility ID] = clean[[#This Row],[Facility ID]]) * ([1]!hcahps[HCAHPS Measure ID] = "H_HSP_RATING_LINEAR_SCORE"), [1]!hcahps[HCAHPS Linear Mean Value]), "No Match")</f>
        <v>Not Available</v>
      </c>
      <c r="F1592" t="str" cm="1">
        <f t="array" ref="F1592">_xlfn.IFNA(_xlfn.XLOOKUP(1,([1]!readmissions[Facility ID] = clean[[#This Row],[Facility ID]]) * ([1]!readmissions[Measure ID] = "Hybrid_HWR"), [1]!readmissions[Score]), "No Match")</f>
        <v>Not Available</v>
      </c>
    </row>
    <row r="1593" spans="1:6" x14ac:dyDescent="0.2">
      <c r="A1593">
        <f>[1]!hospitalinfo[[#This Row],[Facility ID]]</f>
        <v>143302</v>
      </c>
      <c r="B1593" t="str">
        <f>[1]!hospitalinfo[[#This Row],[State]]</f>
        <v>IL</v>
      </c>
      <c r="C1593" t="str">
        <f>[1]!hospitalinfo[[#This Row],[Hospital Type]]</f>
        <v>Childrens</v>
      </c>
      <c r="D1593" t="str">
        <f>[1]!hospitalinfo[[#This Row],[Hospital Ownership]]</f>
        <v>Voluntary non-profit - Private</v>
      </c>
      <c r="E1593" t="str" cm="1">
        <f t="array" ref="E1593">_xlfn.IFNA(_xlfn.XLOOKUP(1,([1]!hcahps[Facility ID] = clean[[#This Row],[Facility ID]]) * ([1]!hcahps[HCAHPS Measure ID] = "H_HSP_RATING_LINEAR_SCORE"), [1]!hcahps[HCAHPS Linear Mean Value]), "No Match")</f>
        <v>Not Available</v>
      </c>
      <c r="F1593" t="str" cm="1">
        <f t="array" ref="F1593">_xlfn.IFNA(_xlfn.XLOOKUP(1,([1]!readmissions[Facility ID] = clean[[#This Row],[Facility ID]]) * ([1]!readmissions[Measure ID] = "Hybrid_HWR"), [1]!readmissions[Score]), "No Match")</f>
        <v>Not Available</v>
      </c>
    </row>
    <row r="1594" spans="1:6" x14ac:dyDescent="0.2">
      <c r="A1594">
        <f>[1]!hospitalinfo[[#This Row],[Facility ID]]</f>
        <v>144009</v>
      </c>
      <c r="B1594" t="str">
        <f>[1]!hospitalinfo[[#This Row],[State]]</f>
        <v>IL</v>
      </c>
      <c r="C1594" t="str">
        <f>[1]!hospitalinfo[[#This Row],[Hospital Type]]</f>
        <v>Psychiatric</v>
      </c>
      <c r="D1594" t="str">
        <f>[1]!hospitalinfo[[#This Row],[Hospital Ownership]]</f>
        <v>Proprietary</v>
      </c>
      <c r="E1594" t="str" cm="1">
        <f t="array" ref="E1594">_xlfn.IFNA(_xlfn.XLOOKUP(1,([1]!hcahps[Facility ID] = clean[[#This Row],[Facility ID]]) * ([1]!hcahps[HCAHPS Measure ID] = "H_HSP_RATING_LINEAR_SCORE"), [1]!hcahps[HCAHPS Linear Mean Value]), "No Match")</f>
        <v>No Match</v>
      </c>
      <c r="F1594" t="str" cm="1">
        <f t="array" ref="F1594">_xlfn.IFNA(_xlfn.XLOOKUP(1,([1]!readmissions[Facility ID] = clean[[#This Row],[Facility ID]]) * ([1]!readmissions[Measure ID] = "Hybrid_HWR"), [1]!readmissions[Score]), "No Match")</f>
        <v>No Match</v>
      </c>
    </row>
    <row r="1595" spans="1:6" x14ac:dyDescent="0.2">
      <c r="A1595">
        <f>[1]!hospitalinfo[[#This Row],[Facility ID]]</f>
        <v>144010</v>
      </c>
      <c r="B1595" t="str">
        <f>[1]!hospitalinfo[[#This Row],[State]]</f>
        <v>IL</v>
      </c>
      <c r="C1595" t="str">
        <f>[1]!hospitalinfo[[#This Row],[Hospital Type]]</f>
        <v>Psychiatric</v>
      </c>
      <c r="D1595" t="str">
        <f>[1]!hospitalinfo[[#This Row],[Hospital Ownership]]</f>
        <v>Government - State</v>
      </c>
      <c r="E1595" t="str" cm="1">
        <f t="array" ref="E1595">_xlfn.IFNA(_xlfn.XLOOKUP(1,([1]!hcahps[Facility ID] = clean[[#This Row],[Facility ID]]) * ([1]!hcahps[HCAHPS Measure ID] = "H_HSP_RATING_LINEAR_SCORE"), [1]!hcahps[HCAHPS Linear Mean Value]), "No Match")</f>
        <v>No Match</v>
      </c>
      <c r="F1595" t="str" cm="1">
        <f t="array" ref="F1595">_xlfn.IFNA(_xlfn.XLOOKUP(1,([1]!readmissions[Facility ID] = clean[[#This Row],[Facility ID]]) * ([1]!readmissions[Measure ID] = "Hybrid_HWR"), [1]!readmissions[Score]), "No Match")</f>
        <v>No Match</v>
      </c>
    </row>
    <row r="1596" spans="1:6" x14ac:dyDescent="0.2">
      <c r="A1596">
        <f>[1]!hospitalinfo[[#This Row],[Facility ID]]</f>
        <v>144016</v>
      </c>
      <c r="B1596" t="str">
        <f>[1]!hospitalinfo[[#This Row],[State]]</f>
        <v>IL</v>
      </c>
      <c r="C1596" t="str">
        <f>[1]!hospitalinfo[[#This Row],[Hospital Type]]</f>
        <v>Psychiatric</v>
      </c>
      <c r="D1596" t="str">
        <f>[1]!hospitalinfo[[#This Row],[Hospital Ownership]]</f>
        <v>Government - State</v>
      </c>
      <c r="E1596" t="str" cm="1">
        <f t="array" ref="E1596">_xlfn.IFNA(_xlfn.XLOOKUP(1,([1]!hcahps[Facility ID] = clean[[#This Row],[Facility ID]]) * ([1]!hcahps[HCAHPS Measure ID] = "H_HSP_RATING_LINEAR_SCORE"), [1]!hcahps[HCAHPS Linear Mean Value]), "No Match")</f>
        <v>No Match</v>
      </c>
      <c r="F1596" t="str" cm="1">
        <f t="array" ref="F1596">_xlfn.IFNA(_xlfn.XLOOKUP(1,([1]!readmissions[Facility ID] = clean[[#This Row],[Facility ID]]) * ([1]!readmissions[Measure ID] = "Hybrid_HWR"), [1]!readmissions[Score]), "No Match")</f>
        <v>No Match</v>
      </c>
    </row>
    <row r="1597" spans="1:6" x14ac:dyDescent="0.2">
      <c r="A1597">
        <f>[1]!hospitalinfo[[#This Row],[Facility ID]]</f>
        <v>144021</v>
      </c>
      <c r="B1597" t="str">
        <f>[1]!hospitalinfo[[#This Row],[State]]</f>
        <v>IL</v>
      </c>
      <c r="C1597" t="str">
        <f>[1]!hospitalinfo[[#This Row],[Hospital Type]]</f>
        <v>Psychiatric</v>
      </c>
      <c r="D1597" t="str">
        <f>[1]!hospitalinfo[[#This Row],[Hospital Ownership]]</f>
        <v>Government - State</v>
      </c>
      <c r="E1597" t="str" cm="1">
        <f t="array" ref="E1597">_xlfn.IFNA(_xlfn.XLOOKUP(1,([1]!hcahps[Facility ID] = clean[[#This Row],[Facility ID]]) * ([1]!hcahps[HCAHPS Measure ID] = "H_HSP_RATING_LINEAR_SCORE"), [1]!hcahps[HCAHPS Linear Mean Value]), "No Match")</f>
        <v>No Match</v>
      </c>
      <c r="F1597" t="str" cm="1">
        <f t="array" ref="F1597">_xlfn.IFNA(_xlfn.XLOOKUP(1,([1]!readmissions[Facility ID] = clean[[#This Row],[Facility ID]]) * ([1]!readmissions[Measure ID] = "Hybrid_HWR"), [1]!readmissions[Score]), "No Match")</f>
        <v>No Match</v>
      </c>
    </row>
    <row r="1598" spans="1:6" x14ac:dyDescent="0.2">
      <c r="A1598">
        <f>[1]!hospitalinfo[[#This Row],[Facility ID]]</f>
        <v>144026</v>
      </c>
      <c r="B1598" t="str">
        <f>[1]!hospitalinfo[[#This Row],[State]]</f>
        <v>IL</v>
      </c>
      <c r="C1598" t="str">
        <f>[1]!hospitalinfo[[#This Row],[Hospital Type]]</f>
        <v>Psychiatric</v>
      </c>
      <c r="D1598" t="str">
        <f>[1]!hospitalinfo[[#This Row],[Hospital Ownership]]</f>
        <v>Proprietary</v>
      </c>
      <c r="E1598" t="str" cm="1">
        <f t="array" ref="E1598">_xlfn.IFNA(_xlfn.XLOOKUP(1,([1]!hcahps[Facility ID] = clean[[#This Row],[Facility ID]]) * ([1]!hcahps[HCAHPS Measure ID] = "H_HSP_RATING_LINEAR_SCORE"), [1]!hcahps[HCAHPS Linear Mean Value]), "No Match")</f>
        <v>No Match</v>
      </c>
      <c r="F1598" t="str" cm="1">
        <f t="array" ref="F1598">_xlfn.IFNA(_xlfn.XLOOKUP(1,([1]!readmissions[Facility ID] = clean[[#This Row],[Facility ID]]) * ([1]!readmissions[Measure ID] = "Hybrid_HWR"), [1]!readmissions[Score]), "No Match")</f>
        <v>No Match</v>
      </c>
    </row>
    <row r="1599" spans="1:6" x14ac:dyDescent="0.2">
      <c r="A1599">
        <f>[1]!hospitalinfo[[#This Row],[Facility ID]]</f>
        <v>144028</v>
      </c>
      <c r="B1599" t="str">
        <f>[1]!hospitalinfo[[#This Row],[State]]</f>
        <v>IL</v>
      </c>
      <c r="C1599" t="str">
        <f>[1]!hospitalinfo[[#This Row],[Hospital Type]]</f>
        <v>Psychiatric</v>
      </c>
      <c r="D1599" t="str">
        <f>[1]!hospitalinfo[[#This Row],[Hospital Ownership]]</f>
        <v>Government - State</v>
      </c>
      <c r="E1599" t="str" cm="1">
        <f t="array" ref="E1599">_xlfn.IFNA(_xlfn.XLOOKUP(1,([1]!hcahps[Facility ID] = clean[[#This Row],[Facility ID]]) * ([1]!hcahps[HCAHPS Measure ID] = "H_HSP_RATING_LINEAR_SCORE"), [1]!hcahps[HCAHPS Linear Mean Value]), "No Match")</f>
        <v>No Match</v>
      </c>
      <c r="F1599" t="str" cm="1">
        <f t="array" ref="F1599">_xlfn.IFNA(_xlfn.XLOOKUP(1,([1]!readmissions[Facility ID] = clean[[#This Row],[Facility ID]]) * ([1]!readmissions[Measure ID] = "Hybrid_HWR"), [1]!readmissions[Score]), "No Match")</f>
        <v>No Match</v>
      </c>
    </row>
    <row r="1600" spans="1:6" x14ac:dyDescent="0.2">
      <c r="A1600">
        <f>[1]!hospitalinfo[[#This Row],[Facility ID]]</f>
        <v>144029</v>
      </c>
      <c r="B1600" t="str">
        <f>[1]!hospitalinfo[[#This Row],[State]]</f>
        <v>IL</v>
      </c>
      <c r="C1600" t="str">
        <f>[1]!hospitalinfo[[#This Row],[Hospital Type]]</f>
        <v>Psychiatric</v>
      </c>
      <c r="D1600" t="str">
        <f>[1]!hospitalinfo[[#This Row],[Hospital Ownership]]</f>
        <v>Voluntary non-profit - Private</v>
      </c>
      <c r="E1600" t="str" cm="1">
        <f t="array" ref="E1600">_xlfn.IFNA(_xlfn.XLOOKUP(1,([1]!hcahps[Facility ID] = clean[[#This Row],[Facility ID]]) * ([1]!hcahps[HCAHPS Measure ID] = "H_HSP_RATING_LINEAR_SCORE"), [1]!hcahps[HCAHPS Linear Mean Value]), "No Match")</f>
        <v>No Match</v>
      </c>
      <c r="F1600" t="str" cm="1">
        <f t="array" ref="F1600">_xlfn.IFNA(_xlfn.XLOOKUP(1,([1]!readmissions[Facility ID] = clean[[#This Row],[Facility ID]]) * ([1]!readmissions[Measure ID] = "Hybrid_HWR"), [1]!readmissions[Score]), "No Match")</f>
        <v>No Match</v>
      </c>
    </row>
    <row r="1601" spans="1:6" x14ac:dyDescent="0.2">
      <c r="A1601">
        <f>[1]!hospitalinfo[[#This Row],[Facility ID]]</f>
        <v>144031</v>
      </c>
      <c r="B1601" t="str">
        <f>[1]!hospitalinfo[[#This Row],[State]]</f>
        <v>IL</v>
      </c>
      <c r="C1601" t="str">
        <f>[1]!hospitalinfo[[#This Row],[Hospital Type]]</f>
        <v>Psychiatric</v>
      </c>
      <c r="D1601" t="str">
        <f>[1]!hospitalinfo[[#This Row],[Hospital Ownership]]</f>
        <v>Voluntary non-profit - Church</v>
      </c>
      <c r="E1601" t="str" cm="1">
        <f t="array" ref="E1601">_xlfn.IFNA(_xlfn.XLOOKUP(1,([1]!hcahps[Facility ID] = clean[[#This Row],[Facility ID]]) * ([1]!hcahps[HCAHPS Measure ID] = "H_HSP_RATING_LINEAR_SCORE"), [1]!hcahps[HCAHPS Linear Mean Value]), "No Match")</f>
        <v>No Match</v>
      </c>
      <c r="F1601" t="str" cm="1">
        <f t="array" ref="F1601">_xlfn.IFNA(_xlfn.XLOOKUP(1,([1]!readmissions[Facility ID] = clean[[#This Row],[Facility ID]]) * ([1]!readmissions[Measure ID] = "Hybrid_HWR"), [1]!readmissions[Score]), "No Match")</f>
        <v>No Match</v>
      </c>
    </row>
    <row r="1602" spans="1:6" x14ac:dyDescent="0.2">
      <c r="A1602">
        <f>[1]!hospitalinfo[[#This Row],[Facility ID]]</f>
        <v>144034</v>
      </c>
      <c r="B1602" t="str">
        <f>[1]!hospitalinfo[[#This Row],[State]]</f>
        <v>IL</v>
      </c>
      <c r="C1602" t="str">
        <f>[1]!hospitalinfo[[#This Row],[Hospital Type]]</f>
        <v>Psychiatric</v>
      </c>
      <c r="D1602" t="str">
        <f>[1]!hospitalinfo[[#This Row],[Hospital Ownership]]</f>
        <v>Proprietary</v>
      </c>
      <c r="E1602" t="str" cm="1">
        <f t="array" ref="E1602">_xlfn.IFNA(_xlfn.XLOOKUP(1,([1]!hcahps[Facility ID] = clean[[#This Row],[Facility ID]]) * ([1]!hcahps[HCAHPS Measure ID] = "H_HSP_RATING_LINEAR_SCORE"), [1]!hcahps[HCAHPS Linear Mean Value]), "No Match")</f>
        <v>No Match</v>
      </c>
      <c r="F1602" t="str" cm="1">
        <f t="array" ref="F1602">_xlfn.IFNA(_xlfn.XLOOKUP(1,([1]!readmissions[Facility ID] = clean[[#This Row],[Facility ID]]) * ([1]!readmissions[Measure ID] = "Hybrid_HWR"), [1]!readmissions[Score]), "No Match")</f>
        <v>No Match</v>
      </c>
    </row>
    <row r="1603" spans="1:6" x14ac:dyDescent="0.2">
      <c r="A1603">
        <f>[1]!hospitalinfo[[#This Row],[Facility ID]]</f>
        <v>144035</v>
      </c>
      <c r="B1603" t="str">
        <f>[1]!hospitalinfo[[#This Row],[State]]</f>
        <v>IL</v>
      </c>
      <c r="C1603" t="str">
        <f>[1]!hospitalinfo[[#This Row],[Hospital Type]]</f>
        <v>Psychiatric</v>
      </c>
      <c r="D1603" t="str">
        <f>[1]!hospitalinfo[[#This Row],[Hospital Ownership]]</f>
        <v>Voluntary non-profit - Private</v>
      </c>
      <c r="E1603" t="str" cm="1">
        <f t="array" ref="E1603">_xlfn.IFNA(_xlfn.XLOOKUP(1,([1]!hcahps[Facility ID] = clean[[#This Row],[Facility ID]]) * ([1]!hcahps[HCAHPS Measure ID] = "H_HSP_RATING_LINEAR_SCORE"), [1]!hcahps[HCAHPS Linear Mean Value]), "No Match")</f>
        <v>No Match</v>
      </c>
      <c r="F1603" t="str" cm="1">
        <f t="array" ref="F1603">_xlfn.IFNA(_xlfn.XLOOKUP(1,([1]!readmissions[Facility ID] = clean[[#This Row],[Facility ID]]) * ([1]!readmissions[Measure ID] = "Hybrid_HWR"), [1]!readmissions[Score]), "No Match")</f>
        <v>No Match</v>
      </c>
    </row>
    <row r="1604" spans="1:6" x14ac:dyDescent="0.2">
      <c r="A1604">
        <f>[1]!hospitalinfo[[#This Row],[Facility ID]]</f>
        <v>144037</v>
      </c>
      <c r="B1604" t="str">
        <f>[1]!hospitalinfo[[#This Row],[State]]</f>
        <v>IL</v>
      </c>
      <c r="C1604" t="str">
        <f>[1]!hospitalinfo[[#This Row],[Hospital Type]]</f>
        <v>Psychiatric</v>
      </c>
      <c r="D1604" t="str">
        <f>[1]!hospitalinfo[[#This Row],[Hospital Ownership]]</f>
        <v>Government - State</v>
      </c>
      <c r="E1604" t="str" cm="1">
        <f t="array" ref="E1604">_xlfn.IFNA(_xlfn.XLOOKUP(1,([1]!hcahps[Facility ID] = clean[[#This Row],[Facility ID]]) * ([1]!hcahps[HCAHPS Measure ID] = "H_HSP_RATING_LINEAR_SCORE"), [1]!hcahps[HCAHPS Linear Mean Value]), "No Match")</f>
        <v>No Match</v>
      </c>
      <c r="F1604" t="str" cm="1">
        <f t="array" ref="F1604">_xlfn.IFNA(_xlfn.XLOOKUP(1,([1]!readmissions[Facility ID] = clean[[#This Row],[Facility ID]]) * ([1]!readmissions[Measure ID] = "Hybrid_HWR"), [1]!readmissions[Score]), "No Match")</f>
        <v>No Match</v>
      </c>
    </row>
    <row r="1605" spans="1:6" x14ac:dyDescent="0.2">
      <c r="A1605">
        <f>[1]!hospitalinfo[[#This Row],[Facility ID]]</f>
        <v>144038</v>
      </c>
      <c r="B1605" t="str">
        <f>[1]!hospitalinfo[[#This Row],[State]]</f>
        <v>IL</v>
      </c>
      <c r="C1605" t="str">
        <f>[1]!hospitalinfo[[#This Row],[Hospital Type]]</f>
        <v>Psychiatric</v>
      </c>
      <c r="D1605" t="str">
        <f>[1]!hospitalinfo[[#This Row],[Hospital Ownership]]</f>
        <v>Government - State</v>
      </c>
      <c r="E1605" t="str" cm="1">
        <f t="array" ref="E1605">_xlfn.IFNA(_xlfn.XLOOKUP(1,([1]!hcahps[Facility ID] = clean[[#This Row],[Facility ID]]) * ([1]!hcahps[HCAHPS Measure ID] = "H_HSP_RATING_LINEAR_SCORE"), [1]!hcahps[HCAHPS Linear Mean Value]), "No Match")</f>
        <v>No Match</v>
      </c>
      <c r="F1605" t="str" cm="1">
        <f t="array" ref="F1605">_xlfn.IFNA(_xlfn.XLOOKUP(1,([1]!readmissions[Facility ID] = clean[[#This Row],[Facility ID]]) * ([1]!readmissions[Measure ID] = "Hybrid_HWR"), [1]!readmissions[Score]), "No Match")</f>
        <v>No Match</v>
      </c>
    </row>
    <row r="1606" spans="1:6" x14ac:dyDescent="0.2">
      <c r="A1606">
        <f>[1]!hospitalinfo[[#This Row],[Facility ID]]</f>
        <v>144039</v>
      </c>
      <c r="B1606" t="str">
        <f>[1]!hospitalinfo[[#This Row],[State]]</f>
        <v>IL</v>
      </c>
      <c r="C1606" t="str">
        <f>[1]!hospitalinfo[[#This Row],[Hospital Type]]</f>
        <v>Psychiatric</v>
      </c>
      <c r="D1606" t="str">
        <f>[1]!hospitalinfo[[#This Row],[Hospital Ownership]]</f>
        <v>Proprietary</v>
      </c>
      <c r="E1606" t="str" cm="1">
        <f t="array" ref="E1606">_xlfn.IFNA(_xlfn.XLOOKUP(1,([1]!hcahps[Facility ID] = clean[[#This Row],[Facility ID]]) * ([1]!hcahps[HCAHPS Measure ID] = "H_HSP_RATING_LINEAR_SCORE"), [1]!hcahps[HCAHPS Linear Mean Value]), "No Match")</f>
        <v>No Match</v>
      </c>
      <c r="F1606" t="str" cm="1">
        <f t="array" ref="F1606">_xlfn.IFNA(_xlfn.XLOOKUP(1,([1]!readmissions[Facility ID] = clean[[#This Row],[Facility ID]]) * ([1]!readmissions[Measure ID] = "Hybrid_HWR"), [1]!readmissions[Score]), "No Match")</f>
        <v>No Match</v>
      </c>
    </row>
    <row r="1607" spans="1:6" x14ac:dyDescent="0.2">
      <c r="A1607">
        <f>[1]!hospitalinfo[[#This Row],[Facility ID]]</f>
        <v>144040</v>
      </c>
      <c r="B1607" t="str">
        <f>[1]!hospitalinfo[[#This Row],[State]]</f>
        <v>IL</v>
      </c>
      <c r="C1607" t="str">
        <f>[1]!hospitalinfo[[#This Row],[Hospital Type]]</f>
        <v>Psychiatric</v>
      </c>
      <c r="D1607" t="str">
        <f>[1]!hospitalinfo[[#This Row],[Hospital Ownership]]</f>
        <v>Proprietary</v>
      </c>
      <c r="E1607" t="str" cm="1">
        <f t="array" ref="E1607">_xlfn.IFNA(_xlfn.XLOOKUP(1,([1]!hcahps[Facility ID] = clean[[#This Row],[Facility ID]]) * ([1]!hcahps[HCAHPS Measure ID] = "H_HSP_RATING_LINEAR_SCORE"), [1]!hcahps[HCAHPS Linear Mean Value]), "No Match")</f>
        <v>No Match</v>
      </c>
      <c r="F1607" t="str" cm="1">
        <f t="array" ref="F1607">_xlfn.IFNA(_xlfn.XLOOKUP(1,([1]!readmissions[Facility ID] = clean[[#This Row],[Facility ID]]) * ([1]!readmissions[Measure ID] = "Hybrid_HWR"), [1]!readmissions[Score]), "No Match")</f>
        <v>No Match</v>
      </c>
    </row>
    <row r="1608" spans="1:6" x14ac:dyDescent="0.2">
      <c r="A1608">
        <f>[1]!hospitalinfo[[#This Row],[Facility ID]]</f>
        <v>144041</v>
      </c>
      <c r="B1608" t="str">
        <f>[1]!hospitalinfo[[#This Row],[State]]</f>
        <v>IL</v>
      </c>
      <c r="C1608" t="str">
        <f>[1]!hospitalinfo[[#This Row],[Hospital Type]]</f>
        <v>Psychiatric</v>
      </c>
      <c r="D1608" t="str">
        <f>[1]!hospitalinfo[[#This Row],[Hospital Ownership]]</f>
        <v>Proprietary</v>
      </c>
      <c r="E1608" t="str" cm="1">
        <f t="array" ref="E1608">_xlfn.IFNA(_xlfn.XLOOKUP(1,([1]!hcahps[Facility ID] = clean[[#This Row],[Facility ID]]) * ([1]!hcahps[HCAHPS Measure ID] = "H_HSP_RATING_LINEAR_SCORE"), [1]!hcahps[HCAHPS Linear Mean Value]), "No Match")</f>
        <v>No Match</v>
      </c>
      <c r="F1608" t="str" cm="1">
        <f t="array" ref="F1608">_xlfn.IFNA(_xlfn.XLOOKUP(1,([1]!readmissions[Facility ID] = clean[[#This Row],[Facility ID]]) * ([1]!readmissions[Measure ID] = "Hybrid_HWR"), [1]!readmissions[Score]), "No Match")</f>
        <v>No Match</v>
      </c>
    </row>
    <row r="1609" spans="1:6" x14ac:dyDescent="0.2">
      <c r="A1609">
        <f>[1]!hospitalinfo[[#This Row],[Facility ID]]</f>
        <v>144042</v>
      </c>
      <c r="B1609" t="str">
        <f>[1]!hospitalinfo[[#This Row],[State]]</f>
        <v>IL</v>
      </c>
      <c r="C1609" t="str">
        <f>[1]!hospitalinfo[[#This Row],[Hospital Type]]</f>
        <v>Psychiatric</v>
      </c>
      <c r="D1609" t="str">
        <f>[1]!hospitalinfo[[#This Row],[Hospital Ownership]]</f>
        <v>Proprietary</v>
      </c>
      <c r="E1609" t="str" cm="1">
        <f t="array" ref="E1609">_xlfn.IFNA(_xlfn.XLOOKUP(1,([1]!hcahps[Facility ID] = clean[[#This Row],[Facility ID]]) * ([1]!hcahps[HCAHPS Measure ID] = "H_HSP_RATING_LINEAR_SCORE"), [1]!hcahps[HCAHPS Linear Mean Value]), "No Match")</f>
        <v>No Match</v>
      </c>
      <c r="F1609" t="str" cm="1">
        <f t="array" ref="F1609">_xlfn.IFNA(_xlfn.XLOOKUP(1,([1]!readmissions[Facility ID] = clean[[#This Row],[Facility ID]]) * ([1]!readmissions[Measure ID] = "Hybrid_HWR"), [1]!readmissions[Score]), "No Match")</f>
        <v>No Match</v>
      </c>
    </row>
    <row r="1610" spans="1:6" x14ac:dyDescent="0.2">
      <c r="A1610">
        <f>[1]!hospitalinfo[[#This Row],[Facility ID]]</f>
        <v>144043</v>
      </c>
      <c r="B1610" t="str">
        <f>[1]!hospitalinfo[[#This Row],[State]]</f>
        <v>IL</v>
      </c>
      <c r="C1610" t="str">
        <f>[1]!hospitalinfo[[#This Row],[Hospital Type]]</f>
        <v>Psychiatric</v>
      </c>
      <c r="D1610" t="str">
        <f>[1]!hospitalinfo[[#This Row],[Hospital Ownership]]</f>
        <v>Proprietary</v>
      </c>
      <c r="E1610" t="str" cm="1">
        <f t="array" ref="E1610">_xlfn.IFNA(_xlfn.XLOOKUP(1,([1]!hcahps[Facility ID] = clean[[#This Row],[Facility ID]]) * ([1]!hcahps[HCAHPS Measure ID] = "H_HSP_RATING_LINEAR_SCORE"), [1]!hcahps[HCAHPS Linear Mean Value]), "No Match")</f>
        <v>No Match</v>
      </c>
      <c r="F1610" t="str" cm="1">
        <f t="array" ref="F1610">_xlfn.IFNA(_xlfn.XLOOKUP(1,([1]!readmissions[Facility ID] = clean[[#This Row],[Facility ID]]) * ([1]!readmissions[Measure ID] = "Hybrid_HWR"), [1]!readmissions[Score]), "No Match")</f>
        <v>No Match</v>
      </c>
    </row>
    <row r="1611" spans="1:6" x14ac:dyDescent="0.2">
      <c r="A1611" t="str">
        <f>[1]!hospitalinfo[[#This Row],[Facility ID]]</f>
        <v>14003F</v>
      </c>
      <c r="B1611" t="str">
        <f>[1]!hospitalinfo[[#This Row],[State]]</f>
        <v>IL</v>
      </c>
      <c r="C1611" t="str">
        <f>[1]!hospitalinfo[[#This Row],[Hospital Type]]</f>
        <v>Acute Care - Veterans Administration</v>
      </c>
      <c r="D1611" t="str">
        <f>[1]!hospitalinfo[[#This Row],[Hospital Ownership]]</f>
        <v>Veterans Health Administration</v>
      </c>
      <c r="E1611" cm="1">
        <f t="array" ref="E1611">_xlfn.IFNA(_xlfn.XLOOKUP(1,([1]!hcahps[Facility ID] = clean[[#This Row],[Facility ID]]) * ([1]!hcahps[HCAHPS Measure ID] = "H_HSP_RATING_LINEAR_SCORE"), [1]!hcahps[HCAHPS Linear Mean Value]), "No Match")</f>
        <v>89</v>
      </c>
      <c r="F1611" cm="1">
        <f t="array" ref="F1611">_xlfn.IFNA(_xlfn.XLOOKUP(1,([1]!readmissions[Facility ID] = clean[[#This Row],[Facility ID]]) * ([1]!readmissions[Measure ID] = "Hybrid_HWR"), [1]!readmissions[Score]), "No Match")</f>
        <v>15.5</v>
      </c>
    </row>
    <row r="1612" spans="1:6" x14ac:dyDescent="0.2">
      <c r="A1612" t="str">
        <f>[1]!hospitalinfo[[#This Row],[Facility ID]]</f>
        <v>14004F</v>
      </c>
      <c r="B1612" t="str">
        <f>[1]!hospitalinfo[[#This Row],[State]]</f>
        <v>IL</v>
      </c>
      <c r="C1612" t="str">
        <f>[1]!hospitalinfo[[#This Row],[Hospital Type]]</f>
        <v>Acute Care - Veterans Administration</v>
      </c>
      <c r="D1612" t="str">
        <f>[1]!hospitalinfo[[#This Row],[Hospital Ownership]]</f>
        <v>Veterans Health Administration</v>
      </c>
      <c r="E1612" t="str" cm="1">
        <f t="array" ref="E1612">_xlfn.IFNA(_xlfn.XLOOKUP(1,([1]!hcahps[Facility ID] = clean[[#This Row],[Facility ID]]) * ([1]!hcahps[HCAHPS Measure ID] = "H_HSP_RATING_LINEAR_SCORE"), [1]!hcahps[HCAHPS Linear Mean Value]), "No Match")</f>
        <v>Not Available</v>
      </c>
      <c r="F1612" cm="1">
        <f t="array" ref="F1612">_xlfn.IFNA(_xlfn.XLOOKUP(1,([1]!readmissions[Facility ID] = clean[[#This Row],[Facility ID]]) * ([1]!readmissions[Measure ID] = "Hybrid_HWR"), [1]!readmissions[Score]), "No Match")</f>
        <v>14</v>
      </c>
    </row>
    <row r="1613" spans="1:6" x14ac:dyDescent="0.2">
      <c r="A1613" t="str">
        <f>[1]!hospitalinfo[[#This Row],[Facility ID]]</f>
        <v>14007F</v>
      </c>
      <c r="B1613" t="str">
        <f>[1]!hospitalinfo[[#This Row],[State]]</f>
        <v>IL</v>
      </c>
      <c r="C1613" t="str">
        <f>[1]!hospitalinfo[[#This Row],[Hospital Type]]</f>
        <v>Acute Care - Veterans Administration</v>
      </c>
      <c r="D1613" t="str">
        <f>[1]!hospitalinfo[[#This Row],[Hospital Ownership]]</f>
        <v>Veterans Health Administration</v>
      </c>
      <c r="E1613" cm="1">
        <f t="array" ref="E1613">_xlfn.IFNA(_xlfn.XLOOKUP(1,([1]!hcahps[Facility ID] = clean[[#This Row],[Facility ID]]) * ([1]!hcahps[HCAHPS Measure ID] = "H_HSP_RATING_LINEAR_SCORE"), [1]!hcahps[HCAHPS Linear Mean Value]), "No Match")</f>
        <v>89</v>
      </c>
      <c r="F1613" cm="1">
        <f t="array" ref="F1613">_xlfn.IFNA(_xlfn.XLOOKUP(1,([1]!readmissions[Facility ID] = clean[[#This Row],[Facility ID]]) * ([1]!readmissions[Measure ID] = "Hybrid_HWR"), [1]!readmissions[Score]), "No Match")</f>
        <v>15.6</v>
      </c>
    </row>
    <row r="1614" spans="1:6" x14ac:dyDescent="0.2">
      <c r="A1614" t="str">
        <f>[1]!hospitalinfo[[#This Row],[Facility ID]]</f>
        <v>14008F</v>
      </c>
      <c r="B1614" t="str">
        <f>[1]!hospitalinfo[[#This Row],[State]]</f>
        <v>IL</v>
      </c>
      <c r="C1614" t="str">
        <f>[1]!hospitalinfo[[#This Row],[Hospital Type]]</f>
        <v>Acute Care - Veterans Administration</v>
      </c>
      <c r="D1614" t="str">
        <f>[1]!hospitalinfo[[#This Row],[Hospital Ownership]]</f>
        <v>Veterans Health Administration</v>
      </c>
      <c r="E1614" cm="1">
        <f t="array" ref="E1614">_xlfn.IFNA(_xlfn.XLOOKUP(1,([1]!hcahps[Facility ID] = clean[[#This Row],[Facility ID]]) * ([1]!hcahps[HCAHPS Measure ID] = "H_HSP_RATING_LINEAR_SCORE"), [1]!hcahps[HCAHPS Linear Mean Value]), "No Match")</f>
        <v>92</v>
      </c>
      <c r="F1614" cm="1">
        <f t="array" ref="F1614">_xlfn.IFNA(_xlfn.XLOOKUP(1,([1]!readmissions[Facility ID] = clean[[#This Row],[Facility ID]]) * ([1]!readmissions[Measure ID] = "Hybrid_HWR"), [1]!readmissions[Score]), "No Match")</f>
        <v>17</v>
      </c>
    </row>
    <row r="1615" spans="1:6" x14ac:dyDescent="0.2">
      <c r="A1615" t="str">
        <f>[1]!hospitalinfo[[#This Row],[Facility ID]]</f>
        <v>14034F</v>
      </c>
      <c r="B1615" t="str">
        <f>[1]!hospitalinfo[[#This Row],[State]]</f>
        <v>IL</v>
      </c>
      <c r="C1615" t="str">
        <f>[1]!hospitalinfo[[#This Row],[Hospital Type]]</f>
        <v>Acute Care - Veterans Administration</v>
      </c>
      <c r="D1615" t="str">
        <f>[1]!hospitalinfo[[#This Row],[Hospital Ownership]]</f>
        <v>Veterans Health Administration</v>
      </c>
      <c r="E1615" cm="1">
        <f t="array" ref="E1615">_xlfn.IFNA(_xlfn.XLOOKUP(1,([1]!hcahps[Facility ID] = clean[[#This Row],[Facility ID]]) * ([1]!hcahps[HCAHPS Measure ID] = "H_HSP_RATING_LINEAR_SCORE"), [1]!hcahps[HCAHPS Linear Mean Value]), "No Match")</f>
        <v>89</v>
      </c>
      <c r="F1615" cm="1">
        <f t="array" ref="F1615">_xlfn.IFNA(_xlfn.XLOOKUP(1,([1]!readmissions[Facility ID] = clean[[#This Row],[Facility ID]]) * ([1]!readmissions[Measure ID] = "Hybrid_HWR"), [1]!readmissions[Score]), "No Match")</f>
        <v>15.2</v>
      </c>
    </row>
    <row r="1616" spans="1:6" x14ac:dyDescent="0.2">
      <c r="A1616">
        <f>[1]!hospitalinfo[[#This Row],[Facility ID]]</f>
        <v>150001</v>
      </c>
      <c r="B1616" t="str">
        <f>[1]!hospitalinfo[[#This Row],[State]]</f>
        <v>IN</v>
      </c>
      <c r="C1616" t="str">
        <f>[1]!hospitalinfo[[#This Row],[Hospital Type]]</f>
        <v>Acute Care Hospitals</v>
      </c>
      <c r="D1616" t="str">
        <f>[1]!hospitalinfo[[#This Row],[Hospital Ownership]]</f>
        <v>Government - Local</v>
      </c>
      <c r="E1616" cm="1">
        <f t="array" ref="E1616">_xlfn.IFNA(_xlfn.XLOOKUP(1,([1]!hcahps[Facility ID] = clean[[#This Row],[Facility ID]]) * ([1]!hcahps[HCAHPS Measure ID] = "H_HSP_RATING_LINEAR_SCORE"), [1]!hcahps[HCAHPS Linear Mean Value]), "No Match")</f>
        <v>90</v>
      </c>
      <c r="F1616" cm="1">
        <f t="array" ref="F1616">_xlfn.IFNA(_xlfn.XLOOKUP(1,([1]!readmissions[Facility ID] = clean[[#This Row],[Facility ID]]) * ([1]!readmissions[Measure ID] = "Hybrid_HWR"), [1]!readmissions[Score]), "No Match")</f>
        <v>14.9</v>
      </c>
    </row>
    <row r="1617" spans="1:6" x14ac:dyDescent="0.2">
      <c r="A1617">
        <f>[1]!hospitalinfo[[#This Row],[Facility ID]]</f>
        <v>150002</v>
      </c>
      <c r="B1617" t="str">
        <f>[1]!hospitalinfo[[#This Row],[State]]</f>
        <v>IN</v>
      </c>
      <c r="C1617" t="str">
        <f>[1]!hospitalinfo[[#This Row],[Hospital Type]]</f>
        <v>Acute Care Hospitals</v>
      </c>
      <c r="D1617" t="str">
        <f>[1]!hospitalinfo[[#This Row],[Hospital Ownership]]</f>
        <v>Voluntary non-profit - Private</v>
      </c>
      <c r="E1617" cm="1">
        <f t="array" ref="E1617">_xlfn.IFNA(_xlfn.XLOOKUP(1,([1]!hcahps[Facility ID] = clean[[#This Row],[Facility ID]]) * ([1]!hcahps[HCAHPS Measure ID] = "H_HSP_RATING_LINEAR_SCORE"), [1]!hcahps[HCAHPS Linear Mean Value]), "No Match")</f>
        <v>82</v>
      </c>
      <c r="F1617" cm="1">
        <f t="array" ref="F1617">_xlfn.IFNA(_xlfn.XLOOKUP(1,([1]!readmissions[Facility ID] = clean[[#This Row],[Facility ID]]) * ([1]!readmissions[Measure ID] = "Hybrid_HWR"), [1]!readmissions[Score]), "No Match")</f>
        <v>16</v>
      </c>
    </row>
    <row r="1618" spans="1:6" x14ac:dyDescent="0.2">
      <c r="A1618">
        <f>[1]!hospitalinfo[[#This Row],[Facility ID]]</f>
        <v>150005</v>
      </c>
      <c r="B1618" t="str">
        <f>[1]!hospitalinfo[[#This Row],[State]]</f>
        <v>IN</v>
      </c>
      <c r="C1618" t="str">
        <f>[1]!hospitalinfo[[#This Row],[Hospital Type]]</f>
        <v>Acute Care Hospitals</v>
      </c>
      <c r="D1618" t="str">
        <f>[1]!hospitalinfo[[#This Row],[Hospital Ownership]]</f>
        <v>Government - Local</v>
      </c>
      <c r="E1618" cm="1">
        <f t="array" ref="E1618">_xlfn.IFNA(_xlfn.XLOOKUP(1,([1]!hcahps[Facility ID] = clean[[#This Row],[Facility ID]]) * ([1]!hcahps[HCAHPS Measure ID] = "H_HSP_RATING_LINEAR_SCORE"), [1]!hcahps[HCAHPS Linear Mean Value]), "No Match")</f>
        <v>93</v>
      </c>
      <c r="F1618" cm="1">
        <f t="array" ref="F1618">_xlfn.IFNA(_xlfn.XLOOKUP(1,([1]!readmissions[Facility ID] = clean[[#This Row],[Facility ID]]) * ([1]!readmissions[Measure ID] = "Hybrid_HWR"), [1]!readmissions[Score]), "No Match")</f>
        <v>14.2</v>
      </c>
    </row>
    <row r="1619" spans="1:6" x14ac:dyDescent="0.2">
      <c r="A1619">
        <f>[1]!hospitalinfo[[#This Row],[Facility ID]]</f>
        <v>150006</v>
      </c>
      <c r="B1619" t="str">
        <f>[1]!hospitalinfo[[#This Row],[State]]</f>
        <v>IN</v>
      </c>
      <c r="C1619" t="str">
        <f>[1]!hospitalinfo[[#This Row],[Hospital Type]]</f>
        <v>Acute Care Hospitals</v>
      </c>
      <c r="D1619" t="str">
        <f>[1]!hospitalinfo[[#This Row],[Hospital Ownership]]</f>
        <v>Voluntary non-profit - Private</v>
      </c>
      <c r="E1619" cm="1">
        <f t="array" ref="E1619">_xlfn.IFNA(_xlfn.XLOOKUP(1,([1]!hcahps[Facility ID] = clean[[#This Row],[Facility ID]]) * ([1]!hcahps[HCAHPS Measure ID] = "H_HSP_RATING_LINEAR_SCORE"), [1]!hcahps[HCAHPS Linear Mean Value]), "No Match")</f>
        <v>89</v>
      </c>
      <c r="F1619" cm="1">
        <f t="array" ref="F1619">_xlfn.IFNA(_xlfn.XLOOKUP(1,([1]!readmissions[Facility ID] = clean[[#This Row],[Facility ID]]) * ([1]!readmissions[Measure ID] = "Hybrid_HWR"), [1]!readmissions[Score]), "No Match")</f>
        <v>15.6</v>
      </c>
    </row>
    <row r="1620" spans="1:6" x14ac:dyDescent="0.2">
      <c r="A1620">
        <f>[1]!hospitalinfo[[#This Row],[Facility ID]]</f>
        <v>150007</v>
      </c>
      <c r="B1620" t="str">
        <f>[1]!hospitalinfo[[#This Row],[State]]</f>
        <v>IN</v>
      </c>
      <c r="C1620" t="str">
        <f>[1]!hospitalinfo[[#This Row],[Hospital Type]]</f>
        <v>Acute Care Hospitals</v>
      </c>
      <c r="D1620" t="str">
        <f>[1]!hospitalinfo[[#This Row],[Hospital Ownership]]</f>
        <v>Voluntary non-profit - Private</v>
      </c>
      <c r="E1620" cm="1">
        <f t="array" ref="E1620">_xlfn.IFNA(_xlfn.XLOOKUP(1,([1]!hcahps[Facility ID] = clean[[#This Row],[Facility ID]]) * ([1]!hcahps[HCAHPS Measure ID] = "H_HSP_RATING_LINEAR_SCORE"), [1]!hcahps[HCAHPS Linear Mean Value]), "No Match")</f>
        <v>90</v>
      </c>
      <c r="F1620" cm="1">
        <f t="array" ref="F1620">_xlfn.IFNA(_xlfn.XLOOKUP(1,([1]!readmissions[Facility ID] = clean[[#This Row],[Facility ID]]) * ([1]!readmissions[Measure ID] = "Hybrid_HWR"), [1]!readmissions[Score]), "No Match")</f>
        <v>13.8</v>
      </c>
    </row>
    <row r="1621" spans="1:6" x14ac:dyDescent="0.2">
      <c r="A1621">
        <f>[1]!hospitalinfo[[#This Row],[Facility ID]]</f>
        <v>150008</v>
      </c>
      <c r="B1621" t="str">
        <f>[1]!hospitalinfo[[#This Row],[State]]</f>
        <v>IN</v>
      </c>
      <c r="C1621" t="str">
        <f>[1]!hospitalinfo[[#This Row],[Hospital Type]]</f>
        <v>Acute Care Hospitals</v>
      </c>
      <c r="D1621" t="str">
        <f>[1]!hospitalinfo[[#This Row],[Hospital Ownership]]</f>
        <v>Voluntary non-profit - Private</v>
      </c>
      <c r="E1621" cm="1">
        <f t="array" ref="E1621">_xlfn.IFNA(_xlfn.XLOOKUP(1,([1]!hcahps[Facility ID] = clean[[#This Row],[Facility ID]]) * ([1]!hcahps[HCAHPS Measure ID] = "H_HSP_RATING_LINEAR_SCORE"), [1]!hcahps[HCAHPS Linear Mean Value]), "No Match")</f>
        <v>88</v>
      </c>
      <c r="F1621" cm="1">
        <f t="array" ref="F1621">_xlfn.IFNA(_xlfn.XLOOKUP(1,([1]!readmissions[Facility ID] = clean[[#This Row],[Facility ID]]) * ([1]!readmissions[Measure ID] = "Hybrid_HWR"), [1]!readmissions[Score]), "No Match")</f>
        <v>15.2</v>
      </c>
    </row>
    <row r="1622" spans="1:6" x14ac:dyDescent="0.2">
      <c r="A1622">
        <f>[1]!hospitalinfo[[#This Row],[Facility ID]]</f>
        <v>150009</v>
      </c>
      <c r="B1622" t="str">
        <f>[1]!hospitalinfo[[#This Row],[State]]</f>
        <v>IN</v>
      </c>
      <c r="C1622" t="str">
        <f>[1]!hospitalinfo[[#This Row],[Hospital Type]]</f>
        <v>Acute Care Hospitals</v>
      </c>
      <c r="D1622" t="str">
        <f>[1]!hospitalinfo[[#This Row],[Hospital Ownership]]</f>
        <v>Voluntary non-profit - Other</v>
      </c>
      <c r="E1622" cm="1">
        <f t="array" ref="E1622">_xlfn.IFNA(_xlfn.XLOOKUP(1,([1]!hcahps[Facility ID] = clean[[#This Row],[Facility ID]]) * ([1]!hcahps[HCAHPS Measure ID] = "H_HSP_RATING_LINEAR_SCORE"), [1]!hcahps[HCAHPS Linear Mean Value]), "No Match")</f>
        <v>81</v>
      </c>
      <c r="F1622" cm="1">
        <f t="array" ref="F1622">_xlfn.IFNA(_xlfn.XLOOKUP(1,([1]!readmissions[Facility ID] = clean[[#This Row],[Facility ID]]) * ([1]!readmissions[Measure ID] = "Hybrid_HWR"), [1]!readmissions[Score]), "No Match")</f>
        <v>15.6</v>
      </c>
    </row>
    <row r="1623" spans="1:6" x14ac:dyDescent="0.2">
      <c r="A1623">
        <f>[1]!hospitalinfo[[#This Row],[Facility ID]]</f>
        <v>150010</v>
      </c>
      <c r="B1623" t="str">
        <f>[1]!hospitalinfo[[#This Row],[State]]</f>
        <v>IN</v>
      </c>
      <c r="C1623" t="str">
        <f>[1]!hospitalinfo[[#This Row],[Hospital Type]]</f>
        <v>Acute Care Hospitals</v>
      </c>
      <c r="D1623" t="str">
        <f>[1]!hospitalinfo[[#This Row],[Hospital Ownership]]</f>
        <v>Voluntary non-profit - Church</v>
      </c>
      <c r="E1623" cm="1">
        <f t="array" ref="E1623">_xlfn.IFNA(_xlfn.XLOOKUP(1,([1]!hcahps[Facility ID] = clean[[#This Row],[Facility ID]]) * ([1]!hcahps[HCAHPS Measure ID] = "H_HSP_RATING_LINEAR_SCORE"), [1]!hcahps[HCAHPS Linear Mean Value]), "No Match")</f>
        <v>89</v>
      </c>
      <c r="F1623" cm="1">
        <f t="array" ref="F1623">_xlfn.IFNA(_xlfn.XLOOKUP(1,([1]!readmissions[Facility ID] = clean[[#This Row],[Facility ID]]) * ([1]!readmissions[Measure ID] = "Hybrid_HWR"), [1]!readmissions[Score]), "No Match")</f>
        <v>14.5</v>
      </c>
    </row>
    <row r="1624" spans="1:6" x14ac:dyDescent="0.2">
      <c r="A1624">
        <f>[1]!hospitalinfo[[#This Row],[Facility ID]]</f>
        <v>150011</v>
      </c>
      <c r="B1624" t="str">
        <f>[1]!hospitalinfo[[#This Row],[State]]</f>
        <v>IN</v>
      </c>
      <c r="C1624" t="str">
        <f>[1]!hospitalinfo[[#This Row],[Hospital Type]]</f>
        <v>Acute Care Hospitals</v>
      </c>
      <c r="D1624" t="str">
        <f>[1]!hospitalinfo[[#This Row],[Hospital Ownership]]</f>
        <v>Voluntary non-profit - Private</v>
      </c>
      <c r="E1624" cm="1">
        <f t="array" ref="E1624">_xlfn.IFNA(_xlfn.XLOOKUP(1,([1]!hcahps[Facility ID] = clean[[#This Row],[Facility ID]]) * ([1]!hcahps[HCAHPS Measure ID] = "H_HSP_RATING_LINEAR_SCORE"), [1]!hcahps[HCAHPS Linear Mean Value]), "No Match")</f>
        <v>86</v>
      </c>
      <c r="F1624" cm="1">
        <f t="array" ref="F1624">_xlfn.IFNA(_xlfn.XLOOKUP(1,([1]!readmissions[Facility ID] = clean[[#This Row],[Facility ID]]) * ([1]!readmissions[Measure ID] = "Hybrid_HWR"), [1]!readmissions[Score]), "No Match")</f>
        <v>14.6</v>
      </c>
    </row>
    <row r="1625" spans="1:6" x14ac:dyDescent="0.2">
      <c r="A1625">
        <f>[1]!hospitalinfo[[#This Row],[Facility ID]]</f>
        <v>150012</v>
      </c>
      <c r="B1625" t="str">
        <f>[1]!hospitalinfo[[#This Row],[State]]</f>
        <v>IN</v>
      </c>
      <c r="C1625" t="str">
        <f>[1]!hospitalinfo[[#This Row],[Hospital Type]]</f>
        <v>Acute Care Hospitals</v>
      </c>
      <c r="D1625" t="str">
        <f>[1]!hospitalinfo[[#This Row],[Hospital Ownership]]</f>
        <v>Voluntary non-profit - Private</v>
      </c>
      <c r="E1625" cm="1">
        <f t="array" ref="E1625">_xlfn.IFNA(_xlfn.XLOOKUP(1,([1]!hcahps[Facility ID] = clean[[#This Row],[Facility ID]]) * ([1]!hcahps[HCAHPS Measure ID] = "H_HSP_RATING_LINEAR_SCORE"), [1]!hcahps[HCAHPS Linear Mean Value]), "No Match")</f>
        <v>86</v>
      </c>
      <c r="F1625" cm="1">
        <f t="array" ref="F1625">_xlfn.IFNA(_xlfn.XLOOKUP(1,([1]!readmissions[Facility ID] = clean[[#This Row],[Facility ID]]) * ([1]!readmissions[Measure ID] = "Hybrid_HWR"), [1]!readmissions[Score]), "No Match")</f>
        <v>14.9</v>
      </c>
    </row>
    <row r="1626" spans="1:6" x14ac:dyDescent="0.2">
      <c r="A1626">
        <f>[1]!hospitalinfo[[#This Row],[Facility ID]]</f>
        <v>150015</v>
      </c>
      <c r="B1626" t="str">
        <f>[1]!hospitalinfo[[#This Row],[State]]</f>
        <v>IN</v>
      </c>
      <c r="C1626" t="str">
        <f>[1]!hospitalinfo[[#This Row],[Hospital Type]]</f>
        <v>Acute Care Hospitals</v>
      </c>
      <c r="D1626" t="str">
        <f>[1]!hospitalinfo[[#This Row],[Hospital Ownership]]</f>
        <v>Voluntary non-profit - Church</v>
      </c>
      <c r="E1626" cm="1">
        <f t="array" ref="E1626">_xlfn.IFNA(_xlfn.XLOOKUP(1,([1]!hcahps[Facility ID] = clean[[#This Row],[Facility ID]]) * ([1]!hcahps[HCAHPS Measure ID] = "H_HSP_RATING_LINEAR_SCORE"), [1]!hcahps[HCAHPS Linear Mean Value]), "No Match")</f>
        <v>90</v>
      </c>
      <c r="F1626" cm="1">
        <f t="array" ref="F1626">_xlfn.IFNA(_xlfn.XLOOKUP(1,([1]!readmissions[Facility ID] = clean[[#This Row],[Facility ID]]) * ([1]!readmissions[Measure ID] = "Hybrid_HWR"), [1]!readmissions[Score]), "No Match")</f>
        <v>15.3</v>
      </c>
    </row>
    <row r="1627" spans="1:6" x14ac:dyDescent="0.2">
      <c r="A1627">
        <f>[1]!hospitalinfo[[#This Row],[Facility ID]]</f>
        <v>150017</v>
      </c>
      <c r="B1627" t="str">
        <f>[1]!hospitalinfo[[#This Row],[State]]</f>
        <v>IN</v>
      </c>
      <c r="C1627" t="str">
        <f>[1]!hospitalinfo[[#This Row],[Hospital Type]]</f>
        <v>Acute Care Hospitals</v>
      </c>
      <c r="D1627" t="str">
        <f>[1]!hospitalinfo[[#This Row],[Hospital Ownership]]</f>
        <v>Proprietary</v>
      </c>
      <c r="E1627" cm="1">
        <f t="array" ref="E1627">_xlfn.IFNA(_xlfn.XLOOKUP(1,([1]!hcahps[Facility ID] = clean[[#This Row],[Facility ID]]) * ([1]!hcahps[HCAHPS Measure ID] = "H_HSP_RATING_LINEAR_SCORE"), [1]!hcahps[HCAHPS Linear Mean Value]), "No Match")</f>
        <v>85</v>
      </c>
      <c r="F1627" cm="1">
        <f t="array" ref="F1627">_xlfn.IFNA(_xlfn.XLOOKUP(1,([1]!readmissions[Facility ID] = clean[[#This Row],[Facility ID]]) * ([1]!readmissions[Measure ID] = "Hybrid_HWR"), [1]!readmissions[Score]), "No Match")</f>
        <v>15.3</v>
      </c>
    </row>
    <row r="1628" spans="1:6" x14ac:dyDescent="0.2">
      <c r="A1628">
        <f>[1]!hospitalinfo[[#This Row],[Facility ID]]</f>
        <v>150018</v>
      </c>
      <c r="B1628" t="str">
        <f>[1]!hospitalinfo[[#This Row],[State]]</f>
        <v>IN</v>
      </c>
      <c r="C1628" t="str">
        <f>[1]!hospitalinfo[[#This Row],[Hospital Type]]</f>
        <v>Acute Care Hospitals</v>
      </c>
      <c r="D1628" t="str">
        <f>[1]!hospitalinfo[[#This Row],[Hospital Ownership]]</f>
        <v>Government - Local</v>
      </c>
      <c r="E1628" cm="1">
        <f t="array" ref="E1628">_xlfn.IFNA(_xlfn.XLOOKUP(1,([1]!hcahps[Facility ID] = clean[[#This Row],[Facility ID]]) * ([1]!hcahps[HCAHPS Measure ID] = "H_HSP_RATING_LINEAR_SCORE"), [1]!hcahps[HCAHPS Linear Mean Value]), "No Match")</f>
        <v>87</v>
      </c>
      <c r="F1628" cm="1">
        <f t="array" ref="F1628">_xlfn.IFNA(_xlfn.XLOOKUP(1,([1]!readmissions[Facility ID] = clean[[#This Row],[Facility ID]]) * ([1]!readmissions[Measure ID] = "Hybrid_HWR"), [1]!readmissions[Score]), "No Match")</f>
        <v>14.8</v>
      </c>
    </row>
    <row r="1629" spans="1:6" x14ac:dyDescent="0.2">
      <c r="A1629">
        <f>[1]!hospitalinfo[[#This Row],[Facility ID]]</f>
        <v>150021</v>
      </c>
      <c r="B1629" t="str">
        <f>[1]!hospitalinfo[[#This Row],[State]]</f>
        <v>IN</v>
      </c>
      <c r="C1629" t="str">
        <f>[1]!hospitalinfo[[#This Row],[Hospital Type]]</f>
        <v>Acute Care Hospitals</v>
      </c>
      <c r="D1629" t="str">
        <f>[1]!hospitalinfo[[#This Row],[Hospital Ownership]]</f>
        <v>Voluntary non-profit - Private</v>
      </c>
      <c r="E1629" cm="1">
        <f t="array" ref="E1629">_xlfn.IFNA(_xlfn.XLOOKUP(1,([1]!hcahps[Facility ID] = clean[[#This Row],[Facility ID]]) * ([1]!hcahps[HCAHPS Measure ID] = "H_HSP_RATING_LINEAR_SCORE"), [1]!hcahps[HCAHPS Linear Mean Value]), "No Match")</f>
        <v>90</v>
      </c>
      <c r="F1629" cm="1">
        <f t="array" ref="F1629">_xlfn.IFNA(_xlfn.XLOOKUP(1,([1]!readmissions[Facility ID] = clean[[#This Row],[Facility ID]]) * ([1]!readmissions[Measure ID] = "Hybrid_HWR"), [1]!readmissions[Score]), "No Match")</f>
        <v>15.5</v>
      </c>
    </row>
    <row r="1630" spans="1:6" x14ac:dyDescent="0.2">
      <c r="A1630">
        <f>[1]!hospitalinfo[[#This Row],[Facility ID]]</f>
        <v>150022</v>
      </c>
      <c r="B1630" t="str">
        <f>[1]!hospitalinfo[[#This Row],[State]]</f>
        <v>IN</v>
      </c>
      <c r="C1630" t="str">
        <f>[1]!hospitalinfo[[#This Row],[Hospital Type]]</f>
        <v>Acute Care Hospitals</v>
      </c>
      <c r="D1630" t="str">
        <f>[1]!hospitalinfo[[#This Row],[Hospital Ownership]]</f>
        <v>Voluntary non-profit - Church</v>
      </c>
      <c r="E1630" cm="1">
        <f t="array" ref="E1630">_xlfn.IFNA(_xlfn.XLOOKUP(1,([1]!hcahps[Facility ID] = clean[[#This Row],[Facility ID]]) * ([1]!hcahps[HCAHPS Measure ID] = "H_HSP_RATING_LINEAR_SCORE"), [1]!hcahps[HCAHPS Linear Mean Value]), "No Match")</f>
        <v>90</v>
      </c>
      <c r="F1630" cm="1">
        <f t="array" ref="F1630">_xlfn.IFNA(_xlfn.XLOOKUP(1,([1]!readmissions[Facility ID] = clean[[#This Row],[Facility ID]]) * ([1]!readmissions[Measure ID] = "Hybrid_HWR"), [1]!readmissions[Score]), "No Match")</f>
        <v>14.9</v>
      </c>
    </row>
    <row r="1631" spans="1:6" x14ac:dyDescent="0.2">
      <c r="A1631">
        <f>[1]!hospitalinfo[[#This Row],[Facility ID]]</f>
        <v>150023</v>
      </c>
      <c r="B1631" t="str">
        <f>[1]!hospitalinfo[[#This Row],[State]]</f>
        <v>IN</v>
      </c>
      <c r="C1631" t="str">
        <f>[1]!hospitalinfo[[#This Row],[Hospital Type]]</f>
        <v>Acute Care Hospitals</v>
      </c>
      <c r="D1631" t="str">
        <f>[1]!hospitalinfo[[#This Row],[Hospital Ownership]]</f>
        <v>Voluntary non-profit - Private</v>
      </c>
      <c r="E1631" cm="1">
        <f t="array" ref="E1631">_xlfn.IFNA(_xlfn.XLOOKUP(1,([1]!hcahps[Facility ID] = clean[[#This Row],[Facility ID]]) * ([1]!hcahps[HCAHPS Measure ID] = "H_HSP_RATING_LINEAR_SCORE"), [1]!hcahps[HCAHPS Linear Mean Value]), "No Match")</f>
        <v>86</v>
      </c>
      <c r="F1631" cm="1">
        <f t="array" ref="F1631">_xlfn.IFNA(_xlfn.XLOOKUP(1,([1]!readmissions[Facility ID] = clean[[#This Row],[Facility ID]]) * ([1]!readmissions[Measure ID] = "Hybrid_HWR"), [1]!readmissions[Score]), "No Match")</f>
        <v>16.5</v>
      </c>
    </row>
    <row r="1632" spans="1:6" x14ac:dyDescent="0.2">
      <c r="A1632">
        <f>[1]!hospitalinfo[[#This Row],[Facility ID]]</f>
        <v>150024</v>
      </c>
      <c r="B1632" t="str">
        <f>[1]!hospitalinfo[[#This Row],[State]]</f>
        <v>IN</v>
      </c>
      <c r="C1632" t="str">
        <f>[1]!hospitalinfo[[#This Row],[Hospital Type]]</f>
        <v>Acute Care Hospitals</v>
      </c>
      <c r="D1632" t="str">
        <f>[1]!hospitalinfo[[#This Row],[Hospital Ownership]]</f>
        <v>Government - Local</v>
      </c>
      <c r="E1632" cm="1">
        <f t="array" ref="E1632">_xlfn.IFNA(_xlfn.XLOOKUP(1,([1]!hcahps[Facility ID] = clean[[#This Row],[Facility ID]]) * ([1]!hcahps[HCAHPS Measure ID] = "H_HSP_RATING_LINEAR_SCORE"), [1]!hcahps[HCAHPS Linear Mean Value]), "No Match")</f>
        <v>90</v>
      </c>
      <c r="F1632" cm="1">
        <f t="array" ref="F1632">_xlfn.IFNA(_xlfn.XLOOKUP(1,([1]!readmissions[Facility ID] = clean[[#This Row],[Facility ID]]) * ([1]!readmissions[Measure ID] = "Hybrid_HWR"), [1]!readmissions[Score]), "No Match")</f>
        <v>15</v>
      </c>
    </row>
    <row r="1633" spans="1:6" x14ac:dyDescent="0.2">
      <c r="A1633">
        <f>[1]!hospitalinfo[[#This Row],[Facility ID]]</f>
        <v>150026</v>
      </c>
      <c r="B1633" t="str">
        <f>[1]!hospitalinfo[[#This Row],[State]]</f>
        <v>IN</v>
      </c>
      <c r="C1633" t="str">
        <f>[1]!hospitalinfo[[#This Row],[Hospital Type]]</f>
        <v>Acute Care Hospitals</v>
      </c>
      <c r="D1633" t="str">
        <f>[1]!hospitalinfo[[#This Row],[Hospital Ownership]]</f>
        <v>Voluntary non-profit - Private</v>
      </c>
      <c r="E1633" cm="1">
        <f t="array" ref="E1633">_xlfn.IFNA(_xlfn.XLOOKUP(1,([1]!hcahps[Facility ID] = clean[[#This Row],[Facility ID]]) * ([1]!hcahps[HCAHPS Measure ID] = "H_HSP_RATING_LINEAR_SCORE"), [1]!hcahps[HCAHPS Linear Mean Value]), "No Match")</f>
        <v>90</v>
      </c>
      <c r="F1633" cm="1">
        <f t="array" ref="F1633">_xlfn.IFNA(_xlfn.XLOOKUP(1,([1]!readmissions[Facility ID] = clean[[#This Row],[Facility ID]]) * ([1]!readmissions[Measure ID] = "Hybrid_HWR"), [1]!readmissions[Score]), "No Match")</f>
        <v>14.4</v>
      </c>
    </row>
    <row r="1634" spans="1:6" x14ac:dyDescent="0.2">
      <c r="A1634">
        <f>[1]!hospitalinfo[[#This Row],[Facility ID]]</f>
        <v>150030</v>
      </c>
      <c r="B1634" t="str">
        <f>[1]!hospitalinfo[[#This Row],[State]]</f>
        <v>IN</v>
      </c>
      <c r="C1634" t="str">
        <f>[1]!hospitalinfo[[#This Row],[Hospital Type]]</f>
        <v>Acute Care Hospitals</v>
      </c>
      <c r="D1634" t="str">
        <f>[1]!hospitalinfo[[#This Row],[Hospital Ownership]]</f>
        <v>Government - Local</v>
      </c>
      <c r="E1634" cm="1">
        <f t="array" ref="E1634">_xlfn.IFNA(_xlfn.XLOOKUP(1,([1]!hcahps[Facility ID] = clean[[#This Row],[Facility ID]]) * ([1]!hcahps[HCAHPS Measure ID] = "H_HSP_RATING_LINEAR_SCORE"), [1]!hcahps[HCAHPS Linear Mean Value]), "No Match")</f>
        <v>89</v>
      </c>
      <c r="F1634" cm="1">
        <f t="array" ref="F1634">_xlfn.IFNA(_xlfn.XLOOKUP(1,([1]!readmissions[Facility ID] = clean[[#This Row],[Facility ID]]) * ([1]!readmissions[Measure ID] = "Hybrid_HWR"), [1]!readmissions[Score]), "No Match")</f>
        <v>14.9</v>
      </c>
    </row>
    <row r="1635" spans="1:6" x14ac:dyDescent="0.2">
      <c r="A1635">
        <f>[1]!hospitalinfo[[#This Row],[Facility ID]]</f>
        <v>150034</v>
      </c>
      <c r="B1635" t="str">
        <f>[1]!hospitalinfo[[#This Row],[State]]</f>
        <v>IN</v>
      </c>
      <c r="C1635" t="str">
        <f>[1]!hospitalinfo[[#This Row],[Hospital Type]]</f>
        <v>Acute Care Hospitals</v>
      </c>
      <c r="D1635" t="str">
        <f>[1]!hospitalinfo[[#This Row],[Hospital Ownership]]</f>
        <v>Voluntary non-profit - Private</v>
      </c>
      <c r="E1635" cm="1">
        <f t="array" ref="E1635">_xlfn.IFNA(_xlfn.XLOOKUP(1,([1]!hcahps[Facility ID] = clean[[#This Row],[Facility ID]]) * ([1]!hcahps[HCAHPS Measure ID] = "H_HSP_RATING_LINEAR_SCORE"), [1]!hcahps[HCAHPS Linear Mean Value]), "No Match")</f>
        <v>89</v>
      </c>
      <c r="F1635" cm="1">
        <f t="array" ref="F1635">_xlfn.IFNA(_xlfn.XLOOKUP(1,([1]!readmissions[Facility ID] = clean[[#This Row],[Facility ID]]) * ([1]!readmissions[Measure ID] = "Hybrid_HWR"), [1]!readmissions[Score]), "No Match")</f>
        <v>14.8</v>
      </c>
    </row>
    <row r="1636" spans="1:6" x14ac:dyDescent="0.2">
      <c r="A1636">
        <f>[1]!hospitalinfo[[#This Row],[Facility ID]]</f>
        <v>150035</v>
      </c>
      <c r="B1636" t="str">
        <f>[1]!hospitalinfo[[#This Row],[State]]</f>
        <v>IN</v>
      </c>
      <c r="C1636" t="str">
        <f>[1]!hospitalinfo[[#This Row],[Hospital Type]]</f>
        <v>Acute Care Hospitals</v>
      </c>
      <c r="D1636" t="str">
        <f>[1]!hospitalinfo[[#This Row],[Hospital Ownership]]</f>
        <v>Proprietary</v>
      </c>
      <c r="E1636" cm="1">
        <f t="array" ref="E1636">_xlfn.IFNA(_xlfn.XLOOKUP(1,([1]!hcahps[Facility ID] = clean[[#This Row],[Facility ID]]) * ([1]!hcahps[HCAHPS Measure ID] = "H_HSP_RATING_LINEAR_SCORE"), [1]!hcahps[HCAHPS Linear Mean Value]), "No Match")</f>
        <v>82</v>
      </c>
      <c r="F1636" cm="1">
        <f t="array" ref="F1636">_xlfn.IFNA(_xlfn.XLOOKUP(1,([1]!readmissions[Facility ID] = clean[[#This Row],[Facility ID]]) * ([1]!readmissions[Measure ID] = "Hybrid_HWR"), [1]!readmissions[Score]), "No Match")</f>
        <v>14.9</v>
      </c>
    </row>
    <row r="1637" spans="1:6" x14ac:dyDescent="0.2">
      <c r="A1637">
        <f>[1]!hospitalinfo[[#This Row],[Facility ID]]</f>
        <v>150037</v>
      </c>
      <c r="B1637" t="str">
        <f>[1]!hospitalinfo[[#This Row],[State]]</f>
        <v>IN</v>
      </c>
      <c r="C1637" t="str">
        <f>[1]!hospitalinfo[[#This Row],[Hospital Type]]</f>
        <v>Acute Care Hospitals</v>
      </c>
      <c r="D1637" t="str">
        <f>[1]!hospitalinfo[[#This Row],[Hospital Ownership]]</f>
        <v>Government - Local</v>
      </c>
      <c r="E1637" cm="1">
        <f t="array" ref="E1637">_xlfn.IFNA(_xlfn.XLOOKUP(1,([1]!hcahps[Facility ID] = clean[[#This Row],[Facility ID]]) * ([1]!hcahps[HCAHPS Measure ID] = "H_HSP_RATING_LINEAR_SCORE"), [1]!hcahps[HCAHPS Linear Mean Value]), "No Match")</f>
        <v>92</v>
      </c>
      <c r="F1637" cm="1">
        <f t="array" ref="F1637">_xlfn.IFNA(_xlfn.XLOOKUP(1,([1]!readmissions[Facility ID] = clean[[#This Row],[Facility ID]]) * ([1]!readmissions[Measure ID] = "Hybrid_HWR"), [1]!readmissions[Score]), "No Match")</f>
        <v>14.5</v>
      </c>
    </row>
    <row r="1638" spans="1:6" x14ac:dyDescent="0.2">
      <c r="A1638">
        <f>[1]!hospitalinfo[[#This Row],[Facility ID]]</f>
        <v>150042</v>
      </c>
      <c r="B1638" t="str">
        <f>[1]!hospitalinfo[[#This Row],[State]]</f>
        <v>IN</v>
      </c>
      <c r="C1638" t="str">
        <f>[1]!hospitalinfo[[#This Row],[Hospital Type]]</f>
        <v>Acute Care Hospitals</v>
      </c>
      <c r="D1638" t="str">
        <f>[1]!hospitalinfo[[#This Row],[Hospital Ownership]]</f>
        <v>Voluntary non-profit - Other</v>
      </c>
      <c r="E1638" cm="1">
        <f t="array" ref="E1638">_xlfn.IFNA(_xlfn.XLOOKUP(1,([1]!hcahps[Facility ID] = clean[[#This Row],[Facility ID]]) * ([1]!hcahps[HCAHPS Measure ID] = "H_HSP_RATING_LINEAR_SCORE"), [1]!hcahps[HCAHPS Linear Mean Value]), "No Match")</f>
        <v>87</v>
      </c>
      <c r="F1638" cm="1">
        <f t="array" ref="F1638">_xlfn.IFNA(_xlfn.XLOOKUP(1,([1]!readmissions[Facility ID] = clean[[#This Row],[Facility ID]]) * ([1]!readmissions[Measure ID] = "Hybrid_HWR"), [1]!readmissions[Score]), "No Match")</f>
        <v>14.2</v>
      </c>
    </row>
    <row r="1639" spans="1:6" x14ac:dyDescent="0.2">
      <c r="A1639">
        <f>[1]!hospitalinfo[[#This Row],[Facility ID]]</f>
        <v>150044</v>
      </c>
      <c r="B1639" t="str">
        <f>[1]!hospitalinfo[[#This Row],[State]]</f>
        <v>IN</v>
      </c>
      <c r="C1639" t="str">
        <f>[1]!hospitalinfo[[#This Row],[Hospital Type]]</f>
        <v>Acute Care Hospitals</v>
      </c>
      <c r="D1639" t="str">
        <f>[1]!hospitalinfo[[#This Row],[Hospital Ownership]]</f>
        <v>Voluntary non-profit - Private</v>
      </c>
      <c r="E1639" cm="1">
        <f t="array" ref="E1639">_xlfn.IFNA(_xlfn.XLOOKUP(1,([1]!hcahps[Facility ID] = clean[[#This Row],[Facility ID]]) * ([1]!hcahps[HCAHPS Measure ID] = "H_HSP_RATING_LINEAR_SCORE"), [1]!hcahps[HCAHPS Linear Mean Value]), "No Match")</f>
        <v>88</v>
      </c>
      <c r="F1639" cm="1">
        <f t="array" ref="F1639">_xlfn.IFNA(_xlfn.XLOOKUP(1,([1]!readmissions[Facility ID] = clean[[#This Row],[Facility ID]]) * ([1]!readmissions[Measure ID] = "Hybrid_HWR"), [1]!readmissions[Score]), "No Match")</f>
        <v>15</v>
      </c>
    </row>
    <row r="1640" spans="1:6" x14ac:dyDescent="0.2">
      <c r="A1640">
        <f>[1]!hospitalinfo[[#This Row],[Facility ID]]</f>
        <v>150045</v>
      </c>
      <c r="B1640" t="str">
        <f>[1]!hospitalinfo[[#This Row],[State]]</f>
        <v>IN</v>
      </c>
      <c r="C1640" t="str">
        <f>[1]!hospitalinfo[[#This Row],[Hospital Type]]</f>
        <v>Acute Care Hospitals</v>
      </c>
      <c r="D1640" t="str">
        <f>[1]!hospitalinfo[[#This Row],[Hospital Ownership]]</f>
        <v>Voluntary non-profit - Private</v>
      </c>
      <c r="E1640" cm="1">
        <f t="array" ref="E1640">_xlfn.IFNA(_xlfn.XLOOKUP(1,([1]!hcahps[Facility ID] = clean[[#This Row],[Facility ID]]) * ([1]!hcahps[HCAHPS Measure ID] = "H_HSP_RATING_LINEAR_SCORE"), [1]!hcahps[HCAHPS Linear Mean Value]), "No Match")</f>
        <v>88</v>
      </c>
      <c r="F1640" cm="1">
        <f t="array" ref="F1640">_xlfn.IFNA(_xlfn.XLOOKUP(1,([1]!readmissions[Facility ID] = clean[[#This Row],[Facility ID]]) * ([1]!readmissions[Measure ID] = "Hybrid_HWR"), [1]!readmissions[Score]), "No Match")</f>
        <v>15.4</v>
      </c>
    </row>
    <row r="1641" spans="1:6" x14ac:dyDescent="0.2">
      <c r="A1641">
        <f>[1]!hospitalinfo[[#This Row],[Facility ID]]</f>
        <v>150046</v>
      </c>
      <c r="B1641" t="str">
        <f>[1]!hospitalinfo[[#This Row],[State]]</f>
        <v>IN</v>
      </c>
      <c r="C1641" t="str">
        <f>[1]!hospitalinfo[[#This Row],[Hospital Type]]</f>
        <v>Acute Care Hospitals</v>
      </c>
      <c r="D1641" t="str">
        <f>[1]!hospitalinfo[[#This Row],[Hospital Ownership]]</f>
        <v>Proprietary</v>
      </c>
      <c r="E1641" cm="1">
        <f t="array" ref="E1641">_xlfn.IFNA(_xlfn.XLOOKUP(1,([1]!hcahps[Facility ID] = clean[[#This Row],[Facility ID]]) * ([1]!hcahps[HCAHPS Measure ID] = "H_HSP_RATING_LINEAR_SCORE"), [1]!hcahps[HCAHPS Linear Mean Value]), "No Match")</f>
        <v>87</v>
      </c>
      <c r="F1641" cm="1">
        <f t="array" ref="F1641">_xlfn.IFNA(_xlfn.XLOOKUP(1,([1]!readmissions[Facility ID] = clean[[#This Row],[Facility ID]]) * ([1]!readmissions[Measure ID] = "Hybrid_HWR"), [1]!readmissions[Score]), "No Match")</f>
        <v>15.5</v>
      </c>
    </row>
    <row r="1642" spans="1:6" x14ac:dyDescent="0.2">
      <c r="A1642">
        <f>[1]!hospitalinfo[[#This Row],[Facility ID]]</f>
        <v>150047</v>
      </c>
      <c r="B1642" t="str">
        <f>[1]!hospitalinfo[[#This Row],[State]]</f>
        <v>IN</v>
      </c>
      <c r="C1642" t="str">
        <f>[1]!hospitalinfo[[#This Row],[Hospital Type]]</f>
        <v>Acute Care Hospitals</v>
      </c>
      <c r="D1642" t="str">
        <f>[1]!hospitalinfo[[#This Row],[Hospital Ownership]]</f>
        <v>Proprietary</v>
      </c>
      <c r="E1642" cm="1">
        <f t="array" ref="E1642">_xlfn.IFNA(_xlfn.XLOOKUP(1,([1]!hcahps[Facility ID] = clean[[#This Row],[Facility ID]]) * ([1]!hcahps[HCAHPS Measure ID] = "H_HSP_RATING_LINEAR_SCORE"), [1]!hcahps[HCAHPS Linear Mean Value]), "No Match")</f>
        <v>88</v>
      </c>
      <c r="F1642" cm="1">
        <f t="array" ref="F1642">_xlfn.IFNA(_xlfn.XLOOKUP(1,([1]!readmissions[Facility ID] = clean[[#This Row],[Facility ID]]) * ([1]!readmissions[Measure ID] = "Hybrid_HWR"), [1]!readmissions[Score]), "No Match")</f>
        <v>14.8</v>
      </c>
    </row>
    <row r="1643" spans="1:6" x14ac:dyDescent="0.2">
      <c r="A1643">
        <f>[1]!hospitalinfo[[#This Row],[Facility ID]]</f>
        <v>150048</v>
      </c>
      <c r="B1643" t="str">
        <f>[1]!hospitalinfo[[#This Row],[State]]</f>
        <v>IN</v>
      </c>
      <c r="C1643" t="str">
        <f>[1]!hospitalinfo[[#This Row],[Hospital Type]]</f>
        <v>Acute Care Hospitals</v>
      </c>
      <c r="D1643" t="str">
        <f>[1]!hospitalinfo[[#This Row],[Hospital Ownership]]</f>
        <v>Voluntary non-profit - Private</v>
      </c>
      <c r="E1643" cm="1">
        <f t="array" ref="E1643">_xlfn.IFNA(_xlfn.XLOOKUP(1,([1]!hcahps[Facility ID] = clean[[#This Row],[Facility ID]]) * ([1]!hcahps[HCAHPS Measure ID] = "H_HSP_RATING_LINEAR_SCORE"), [1]!hcahps[HCAHPS Linear Mean Value]), "No Match")</f>
        <v>87</v>
      </c>
      <c r="F1643" cm="1">
        <f t="array" ref="F1643">_xlfn.IFNA(_xlfn.XLOOKUP(1,([1]!readmissions[Facility ID] = clean[[#This Row],[Facility ID]]) * ([1]!readmissions[Measure ID] = "Hybrid_HWR"), [1]!readmissions[Score]), "No Match")</f>
        <v>14.5</v>
      </c>
    </row>
    <row r="1644" spans="1:6" x14ac:dyDescent="0.2">
      <c r="A1644">
        <f>[1]!hospitalinfo[[#This Row],[Facility ID]]</f>
        <v>150051</v>
      </c>
      <c r="B1644" t="str">
        <f>[1]!hospitalinfo[[#This Row],[State]]</f>
        <v>IN</v>
      </c>
      <c r="C1644" t="str">
        <f>[1]!hospitalinfo[[#This Row],[Hospital Type]]</f>
        <v>Acute Care Hospitals</v>
      </c>
      <c r="D1644" t="str">
        <f>[1]!hospitalinfo[[#This Row],[Hospital Ownership]]</f>
        <v>Voluntary non-profit - Private</v>
      </c>
      <c r="E1644" cm="1">
        <f t="array" ref="E1644">_xlfn.IFNA(_xlfn.XLOOKUP(1,([1]!hcahps[Facility ID] = clean[[#This Row],[Facility ID]]) * ([1]!hcahps[HCAHPS Measure ID] = "H_HSP_RATING_LINEAR_SCORE"), [1]!hcahps[HCAHPS Linear Mean Value]), "No Match")</f>
        <v>81</v>
      </c>
      <c r="F1644" cm="1">
        <f t="array" ref="F1644">_xlfn.IFNA(_xlfn.XLOOKUP(1,([1]!readmissions[Facility ID] = clean[[#This Row],[Facility ID]]) * ([1]!readmissions[Measure ID] = "Hybrid_HWR"), [1]!readmissions[Score]), "No Match")</f>
        <v>13.5</v>
      </c>
    </row>
    <row r="1645" spans="1:6" x14ac:dyDescent="0.2">
      <c r="A1645">
        <f>[1]!hospitalinfo[[#This Row],[Facility ID]]</f>
        <v>150056</v>
      </c>
      <c r="B1645" t="str">
        <f>[1]!hospitalinfo[[#This Row],[State]]</f>
        <v>IN</v>
      </c>
      <c r="C1645" t="str">
        <f>[1]!hospitalinfo[[#This Row],[Hospital Type]]</f>
        <v>Acute Care Hospitals</v>
      </c>
      <c r="D1645" t="str">
        <f>[1]!hospitalinfo[[#This Row],[Hospital Ownership]]</f>
        <v>Voluntary non-profit - Private</v>
      </c>
      <c r="E1645" cm="1">
        <f t="array" ref="E1645">_xlfn.IFNA(_xlfn.XLOOKUP(1,([1]!hcahps[Facility ID] = clean[[#This Row],[Facility ID]]) * ([1]!hcahps[HCAHPS Measure ID] = "H_HSP_RATING_LINEAR_SCORE"), [1]!hcahps[HCAHPS Linear Mean Value]), "No Match")</f>
        <v>84</v>
      </c>
      <c r="F1645" cm="1">
        <f t="array" ref="F1645">_xlfn.IFNA(_xlfn.XLOOKUP(1,([1]!readmissions[Facility ID] = clean[[#This Row],[Facility ID]]) * ([1]!readmissions[Measure ID] = "Hybrid_HWR"), [1]!readmissions[Score]), "No Match")</f>
        <v>15.3</v>
      </c>
    </row>
    <row r="1646" spans="1:6" x14ac:dyDescent="0.2">
      <c r="A1646">
        <f>[1]!hospitalinfo[[#This Row],[Facility ID]]</f>
        <v>150057</v>
      </c>
      <c r="B1646" t="str">
        <f>[1]!hospitalinfo[[#This Row],[State]]</f>
        <v>IN</v>
      </c>
      <c r="C1646" t="str">
        <f>[1]!hospitalinfo[[#This Row],[Hospital Type]]</f>
        <v>Acute Care Hospitals</v>
      </c>
      <c r="D1646" t="str">
        <f>[1]!hospitalinfo[[#This Row],[Hospital Ownership]]</f>
        <v>Voluntary non-profit - Church</v>
      </c>
      <c r="E1646" cm="1">
        <f t="array" ref="E1646">_xlfn.IFNA(_xlfn.XLOOKUP(1,([1]!hcahps[Facility ID] = clean[[#This Row],[Facility ID]]) * ([1]!hcahps[HCAHPS Measure ID] = "H_HSP_RATING_LINEAR_SCORE"), [1]!hcahps[HCAHPS Linear Mean Value]), "No Match")</f>
        <v>91</v>
      </c>
      <c r="F1646" cm="1">
        <f t="array" ref="F1646">_xlfn.IFNA(_xlfn.XLOOKUP(1,([1]!readmissions[Facility ID] = clean[[#This Row],[Facility ID]]) * ([1]!readmissions[Measure ID] = "Hybrid_HWR"), [1]!readmissions[Score]), "No Match")</f>
        <v>14.4</v>
      </c>
    </row>
    <row r="1647" spans="1:6" x14ac:dyDescent="0.2">
      <c r="A1647">
        <f>[1]!hospitalinfo[[#This Row],[Facility ID]]</f>
        <v>150058</v>
      </c>
      <c r="B1647" t="str">
        <f>[1]!hospitalinfo[[#This Row],[State]]</f>
        <v>IN</v>
      </c>
      <c r="C1647" t="str">
        <f>[1]!hospitalinfo[[#This Row],[Hospital Type]]</f>
        <v>Acute Care Hospitals</v>
      </c>
      <c r="D1647" t="str">
        <f>[1]!hospitalinfo[[#This Row],[Hospital Ownership]]</f>
        <v>Voluntary non-profit - Private</v>
      </c>
      <c r="E1647" cm="1">
        <f t="array" ref="E1647">_xlfn.IFNA(_xlfn.XLOOKUP(1,([1]!hcahps[Facility ID] = clean[[#This Row],[Facility ID]]) * ([1]!hcahps[HCAHPS Measure ID] = "H_HSP_RATING_LINEAR_SCORE"), [1]!hcahps[HCAHPS Linear Mean Value]), "No Match")</f>
        <v>88</v>
      </c>
      <c r="F1647" cm="1">
        <f t="array" ref="F1647">_xlfn.IFNA(_xlfn.XLOOKUP(1,([1]!readmissions[Facility ID] = clean[[#This Row],[Facility ID]]) * ([1]!readmissions[Measure ID] = "Hybrid_HWR"), [1]!readmissions[Score]), "No Match")</f>
        <v>14.7</v>
      </c>
    </row>
    <row r="1648" spans="1:6" x14ac:dyDescent="0.2">
      <c r="A1648">
        <f>[1]!hospitalinfo[[#This Row],[Facility ID]]</f>
        <v>150059</v>
      </c>
      <c r="B1648" t="str">
        <f>[1]!hospitalinfo[[#This Row],[State]]</f>
        <v>IN</v>
      </c>
      <c r="C1648" t="str">
        <f>[1]!hospitalinfo[[#This Row],[Hospital Type]]</f>
        <v>Acute Care Hospitals</v>
      </c>
      <c r="D1648" t="str">
        <f>[1]!hospitalinfo[[#This Row],[Hospital Ownership]]</f>
        <v>Government - Local</v>
      </c>
      <c r="E1648" cm="1">
        <f t="array" ref="E1648">_xlfn.IFNA(_xlfn.XLOOKUP(1,([1]!hcahps[Facility ID] = clean[[#This Row],[Facility ID]]) * ([1]!hcahps[HCAHPS Measure ID] = "H_HSP_RATING_LINEAR_SCORE"), [1]!hcahps[HCAHPS Linear Mean Value]), "No Match")</f>
        <v>89</v>
      </c>
      <c r="F1648" cm="1">
        <f t="array" ref="F1648">_xlfn.IFNA(_xlfn.XLOOKUP(1,([1]!readmissions[Facility ID] = clean[[#This Row],[Facility ID]]) * ([1]!readmissions[Measure ID] = "Hybrid_HWR"), [1]!readmissions[Score]), "No Match")</f>
        <v>14.4</v>
      </c>
    </row>
    <row r="1649" spans="1:6" x14ac:dyDescent="0.2">
      <c r="A1649">
        <f>[1]!hospitalinfo[[#This Row],[Facility ID]]</f>
        <v>150061</v>
      </c>
      <c r="B1649" t="str">
        <f>[1]!hospitalinfo[[#This Row],[State]]</f>
        <v>IN</v>
      </c>
      <c r="C1649" t="str">
        <f>[1]!hospitalinfo[[#This Row],[Hospital Type]]</f>
        <v>Acute Care Hospitals</v>
      </c>
      <c r="D1649" t="str">
        <f>[1]!hospitalinfo[[#This Row],[Hospital Ownership]]</f>
        <v>Government - Local</v>
      </c>
      <c r="E1649" cm="1">
        <f t="array" ref="E1649">_xlfn.IFNA(_xlfn.XLOOKUP(1,([1]!hcahps[Facility ID] = clean[[#This Row],[Facility ID]]) * ([1]!hcahps[HCAHPS Measure ID] = "H_HSP_RATING_LINEAR_SCORE"), [1]!hcahps[HCAHPS Linear Mean Value]), "No Match")</f>
        <v>86</v>
      </c>
      <c r="F1649" cm="1">
        <f t="array" ref="F1649">_xlfn.IFNA(_xlfn.XLOOKUP(1,([1]!readmissions[Facility ID] = clean[[#This Row],[Facility ID]]) * ([1]!readmissions[Measure ID] = "Hybrid_HWR"), [1]!readmissions[Score]), "No Match")</f>
        <v>14.6</v>
      </c>
    </row>
    <row r="1650" spans="1:6" x14ac:dyDescent="0.2">
      <c r="A1650">
        <f>[1]!hospitalinfo[[#This Row],[Facility ID]]</f>
        <v>150065</v>
      </c>
      <c r="B1650" t="str">
        <f>[1]!hospitalinfo[[#This Row],[State]]</f>
        <v>IN</v>
      </c>
      <c r="C1650" t="str">
        <f>[1]!hospitalinfo[[#This Row],[Hospital Type]]</f>
        <v>Acute Care Hospitals</v>
      </c>
      <c r="D1650" t="str">
        <f>[1]!hospitalinfo[[#This Row],[Hospital Ownership]]</f>
        <v>Government - Local</v>
      </c>
      <c r="E1650" cm="1">
        <f t="array" ref="E1650">_xlfn.IFNA(_xlfn.XLOOKUP(1,([1]!hcahps[Facility ID] = clean[[#This Row],[Facility ID]]) * ([1]!hcahps[HCAHPS Measure ID] = "H_HSP_RATING_LINEAR_SCORE"), [1]!hcahps[HCAHPS Linear Mean Value]), "No Match")</f>
        <v>90</v>
      </c>
      <c r="F1650" cm="1">
        <f t="array" ref="F1650">_xlfn.IFNA(_xlfn.XLOOKUP(1,([1]!readmissions[Facility ID] = clean[[#This Row],[Facility ID]]) * ([1]!readmissions[Measure ID] = "Hybrid_HWR"), [1]!readmissions[Score]), "No Match")</f>
        <v>14</v>
      </c>
    </row>
    <row r="1651" spans="1:6" x14ac:dyDescent="0.2">
      <c r="A1651">
        <f>[1]!hospitalinfo[[#This Row],[Facility ID]]</f>
        <v>150069</v>
      </c>
      <c r="B1651" t="str">
        <f>[1]!hospitalinfo[[#This Row],[State]]</f>
        <v>IN</v>
      </c>
      <c r="C1651" t="str">
        <f>[1]!hospitalinfo[[#This Row],[Hospital Type]]</f>
        <v>Acute Care Hospitals</v>
      </c>
      <c r="D1651" t="str">
        <f>[1]!hospitalinfo[[#This Row],[Hospital Ownership]]</f>
        <v>Voluntary non-profit - Private</v>
      </c>
      <c r="E1651" cm="1">
        <f t="array" ref="E1651">_xlfn.IFNA(_xlfn.XLOOKUP(1,([1]!hcahps[Facility ID] = clean[[#This Row],[Facility ID]]) * ([1]!hcahps[HCAHPS Measure ID] = "H_HSP_RATING_LINEAR_SCORE"), [1]!hcahps[HCAHPS Linear Mean Value]), "No Match")</f>
        <v>87</v>
      </c>
      <c r="F1651" cm="1">
        <f t="array" ref="F1651">_xlfn.IFNA(_xlfn.XLOOKUP(1,([1]!readmissions[Facility ID] = clean[[#This Row],[Facility ID]]) * ([1]!readmissions[Measure ID] = "Hybrid_HWR"), [1]!readmissions[Score]), "No Match")</f>
        <v>15.3</v>
      </c>
    </row>
    <row r="1652" spans="1:6" x14ac:dyDescent="0.2">
      <c r="A1652">
        <f>[1]!hospitalinfo[[#This Row],[Facility ID]]</f>
        <v>150072</v>
      </c>
      <c r="B1652" t="str">
        <f>[1]!hospitalinfo[[#This Row],[State]]</f>
        <v>IN</v>
      </c>
      <c r="C1652" t="str">
        <f>[1]!hospitalinfo[[#This Row],[Hospital Type]]</f>
        <v>Acute Care Hospitals</v>
      </c>
      <c r="D1652" t="str">
        <f>[1]!hospitalinfo[[#This Row],[Hospital Ownership]]</f>
        <v>Government - Local</v>
      </c>
      <c r="E1652" cm="1">
        <f t="array" ref="E1652">_xlfn.IFNA(_xlfn.XLOOKUP(1,([1]!hcahps[Facility ID] = clean[[#This Row],[Facility ID]]) * ([1]!hcahps[HCAHPS Measure ID] = "H_HSP_RATING_LINEAR_SCORE"), [1]!hcahps[HCAHPS Linear Mean Value]), "No Match")</f>
        <v>90</v>
      </c>
      <c r="F1652" cm="1">
        <f t="array" ref="F1652">_xlfn.IFNA(_xlfn.XLOOKUP(1,([1]!readmissions[Facility ID] = clean[[#This Row],[Facility ID]]) * ([1]!readmissions[Measure ID] = "Hybrid_HWR"), [1]!readmissions[Score]), "No Match")</f>
        <v>14.2</v>
      </c>
    </row>
    <row r="1653" spans="1:6" x14ac:dyDescent="0.2">
      <c r="A1653">
        <f>[1]!hospitalinfo[[#This Row],[Facility ID]]</f>
        <v>150074</v>
      </c>
      <c r="B1653" t="str">
        <f>[1]!hospitalinfo[[#This Row],[State]]</f>
        <v>IN</v>
      </c>
      <c r="C1653" t="str">
        <f>[1]!hospitalinfo[[#This Row],[Hospital Type]]</f>
        <v>Acute Care Hospitals</v>
      </c>
      <c r="D1653" t="str">
        <f>[1]!hospitalinfo[[#This Row],[Hospital Ownership]]</f>
        <v>Voluntary non-profit - Private</v>
      </c>
      <c r="E1653" cm="1">
        <f t="array" ref="E1653">_xlfn.IFNA(_xlfn.XLOOKUP(1,([1]!hcahps[Facility ID] = clean[[#This Row],[Facility ID]]) * ([1]!hcahps[HCAHPS Measure ID] = "H_HSP_RATING_LINEAR_SCORE"), [1]!hcahps[HCAHPS Linear Mean Value]), "No Match")</f>
        <v>91</v>
      </c>
      <c r="F1653" cm="1">
        <f t="array" ref="F1653">_xlfn.IFNA(_xlfn.XLOOKUP(1,([1]!readmissions[Facility ID] = clean[[#This Row],[Facility ID]]) * ([1]!readmissions[Measure ID] = "Hybrid_HWR"), [1]!readmissions[Score]), "No Match")</f>
        <v>14.5</v>
      </c>
    </row>
    <row r="1654" spans="1:6" x14ac:dyDescent="0.2">
      <c r="A1654">
        <f>[1]!hospitalinfo[[#This Row],[Facility ID]]</f>
        <v>150075</v>
      </c>
      <c r="B1654" t="str">
        <f>[1]!hospitalinfo[[#This Row],[State]]</f>
        <v>IN</v>
      </c>
      <c r="C1654" t="str">
        <f>[1]!hospitalinfo[[#This Row],[Hospital Type]]</f>
        <v>Acute Care Hospitals</v>
      </c>
      <c r="D1654" t="str">
        <f>[1]!hospitalinfo[[#This Row],[Hospital Ownership]]</f>
        <v>Proprietary</v>
      </c>
      <c r="E1654" t="str" cm="1">
        <f t="array" ref="E1654">_xlfn.IFNA(_xlfn.XLOOKUP(1,([1]!hcahps[Facility ID] = clean[[#This Row],[Facility ID]]) * ([1]!hcahps[HCAHPS Measure ID] = "H_HSP_RATING_LINEAR_SCORE"), [1]!hcahps[HCAHPS Linear Mean Value]), "No Match")</f>
        <v>Not Available</v>
      </c>
      <c r="F1654" cm="1">
        <f t="array" ref="F1654">_xlfn.IFNA(_xlfn.XLOOKUP(1,([1]!readmissions[Facility ID] = clean[[#This Row],[Facility ID]]) * ([1]!readmissions[Measure ID] = "Hybrid_HWR"), [1]!readmissions[Score]), "No Match")</f>
        <v>15.1</v>
      </c>
    </row>
    <row r="1655" spans="1:6" x14ac:dyDescent="0.2">
      <c r="A1655">
        <f>[1]!hospitalinfo[[#This Row],[Facility ID]]</f>
        <v>150076</v>
      </c>
      <c r="B1655" t="str">
        <f>[1]!hospitalinfo[[#This Row],[State]]</f>
        <v>IN</v>
      </c>
      <c r="C1655" t="str">
        <f>[1]!hospitalinfo[[#This Row],[Hospital Type]]</f>
        <v>Acute Care Hospitals</v>
      </c>
      <c r="D1655" t="str">
        <f>[1]!hospitalinfo[[#This Row],[Hospital Ownership]]</f>
        <v>Voluntary non-profit - Church</v>
      </c>
      <c r="E1655" cm="1">
        <f t="array" ref="E1655">_xlfn.IFNA(_xlfn.XLOOKUP(1,([1]!hcahps[Facility ID] = clean[[#This Row],[Facility ID]]) * ([1]!hcahps[HCAHPS Measure ID] = "H_HSP_RATING_LINEAR_SCORE"), [1]!hcahps[HCAHPS Linear Mean Value]), "No Match")</f>
        <v>89</v>
      </c>
      <c r="F1655" cm="1">
        <f t="array" ref="F1655">_xlfn.IFNA(_xlfn.XLOOKUP(1,([1]!readmissions[Facility ID] = clean[[#This Row],[Facility ID]]) * ([1]!readmissions[Measure ID] = "Hybrid_HWR"), [1]!readmissions[Score]), "No Match")</f>
        <v>13.7</v>
      </c>
    </row>
    <row r="1656" spans="1:6" x14ac:dyDescent="0.2">
      <c r="A1656">
        <f>[1]!hospitalinfo[[#This Row],[Facility ID]]</f>
        <v>150082</v>
      </c>
      <c r="B1656" t="str">
        <f>[1]!hospitalinfo[[#This Row],[State]]</f>
        <v>IN</v>
      </c>
      <c r="C1656" t="str">
        <f>[1]!hospitalinfo[[#This Row],[Hospital Type]]</f>
        <v>Acute Care Hospitals</v>
      </c>
      <c r="D1656" t="str">
        <f>[1]!hospitalinfo[[#This Row],[Hospital Ownership]]</f>
        <v>Voluntary non-profit - Private</v>
      </c>
      <c r="E1656" cm="1">
        <f t="array" ref="E1656">_xlfn.IFNA(_xlfn.XLOOKUP(1,([1]!hcahps[Facility ID] = clean[[#This Row],[Facility ID]]) * ([1]!hcahps[HCAHPS Measure ID] = "H_HSP_RATING_LINEAR_SCORE"), [1]!hcahps[HCAHPS Linear Mean Value]), "No Match")</f>
        <v>88</v>
      </c>
      <c r="F1656" cm="1">
        <f t="array" ref="F1656">_xlfn.IFNA(_xlfn.XLOOKUP(1,([1]!readmissions[Facility ID] = clean[[#This Row],[Facility ID]]) * ([1]!readmissions[Measure ID] = "Hybrid_HWR"), [1]!readmissions[Score]), "No Match")</f>
        <v>15.3</v>
      </c>
    </row>
    <row r="1657" spans="1:6" x14ac:dyDescent="0.2">
      <c r="A1657">
        <f>[1]!hospitalinfo[[#This Row],[Facility ID]]</f>
        <v>150084</v>
      </c>
      <c r="B1657" t="str">
        <f>[1]!hospitalinfo[[#This Row],[State]]</f>
        <v>IN</v>
      </c>
      <c r="C1657" t="str">
        <f>[1]!hospitalinfo[[#This Row],[Hospital Type]]</f>
        <v>Acute Care Hospitals</v>
      </c>
      <c r="D1657" t="str">
        <f>[1]!hospitalinfo[[#This Row],[Hospital Ownership]]</f>
        <v>Voluntary non-profit - Church</v>
      </c>
      <c r="E1657" cm="1">
        <f t="array" ref="E1657">_xlfn.IFNA(_xlfn.XLOOKUP(1,([1]!hcahps[Facility ID] = clean[[#This Row],[Facility ID]]) * ([1]!hcahps[HCAHPS Measure ID] = "H_HSP_RATING_LINEAR_SCORE"), [1]!hcahps[HCAHPS Linear Mean Value]), "No Match")</f>
        <v>81</v>
      </c>
      <c r="F1657" cm="1">
        <f t="array" ref="F1657">_xlfn.IFNA(_xlfn.XLOOKUP(1,([1]!readmissions[Facility ID] = clean[[#This Row],[Facility ID]]) * ([1]!readmissions[Measure ID] = "Hybrid_HWR"), [1]!readmissions[Score]), "No Match")</f>
        <v>13.9</v>
      </c>
    </row>
    <row r="1658" spans="1:6" x14ac:dyDescent="0.2">
      <c r="A1658">
        <f>[1]!hospitalinfo[[#This Row],[Facility ID]]</f>
        <v>150086</v>
      </c>
      <c r="B1658" t="str">
        <f>[1]!hospitalinfo[[#This Row],[State]]</f>
        <v>IN</v>
      </c>
      <c r="C1658" t="str">
        <f>[1]!hospitalinfo[[#This Row],[Hospital Type]]</f>
        <v>Acute Care Hospitals</v>
      </c>
      <c r="D1658" t="str">
        <f>[1]!hospitalinfo[[#This Row],[Hospital Ownership]]</f>
        <v>Government - Local</v>
      </c>
      <c r="E1658" cm="1">
        <f t="array" ref="E1658">_xlfn.IFNA(_xlfn.XLOOKUP(1,([1]!hcahps[Facility ID] = clean[[#This Row],[Facility ID]]) * ([1]!hcahps[HCAHPS Measure ID] = "H_HSP_RATING_LINEAR_SCORE"), [1]!hcahps[HCAHPS Linear Mean Value]), "No Match")</f>
        <v>91</v>
      </c>
      <c r="F1658" cm="1">
        <f t="array" ref="F1658">_xlfn.IFNA(_xlfn.XLOOKUP(1,([1]!readmissions[Facility ID] = clean[[#This Row],[Facility ID]]) * ([1]!readmissions[Measure ID] = "Hybrid_HWR"), [1]!readmissions[Score]), "No Match")</f>
        <v>14.6</v>
      </c>
    </row>
    <row r="1659" spans="1:6" x14ac:dyDescent="0.2">
      <c r="A1659">
        <f>[1]!hospitalinfo[[#This Row],[Facility ID]]</f>
        <v>150088</v>
      </c>
      <c r="B1659" t="str">
        <f>[1]!hospitalinfo[[#This Row],[State]]</f>
        <v>IN</v>
      </c>
      <c r="C1659" t="str">
        <f>[1]!hospitalinfo[[#This Row],[Hospital Type]]</f>
        <v>Acute Care Hospitals</v>
      </c>
      <c r="D1659" t="str">
        <f>[1]!hospitalinfo[[#This Row],[Hospital Ownership]]</f>
        <v>Voluntary non-profit - Private</v>
      </c>
      <c r="E1659" cm="1">
        <f t="array" ref="E1659">_xlfn.IFNA(_xlfn.XLOOKUP(1,([1]!hcahps[Facility ID] = clean[[#This Row],[Facility ID]]) * ([1]!hcahps[HCAHPS Measure ID] = "H_HSP_RATING_LINEAR_SCORE"), [1]!hcahps[HCAHPS Linear Mean Value]), "No Match")</f>
        <v>86</v>
      </c>
      <c r="F1659" cm="1">
        <f t="array" ref="F1659">_xlfn.IFNA(_xlfn.XLOOKUP(1,([1]!readmissions[Facility ID] = clean[[#This Row],[Facility ID]]) * ([1]!readmissions[Measure ID] = "Hybrid_HWR"), [1]!readmissions[Score]), "No Match")</f>
        <v>15.8</v>
      </c>
    </row>
    <row r="1660" spans="1:6" x14ac:dyDescent="0.2">
      <c r="A1660">
        <f>[1]!hospitalinfo[[#This Row],[Facility ID]]</f>
        <v>150089</v>
      </c>
      <c r="B1660" t="str">
        <f>[1]!hospitalinfo[[#This Row],[State]]</f>
        <v>IN</v>
      </c>
      <c r="C1660" t="str">
        <f>[1]!hospitalinfo[[#This Row],[Hospital Type]]</f>
        <v>Acute Care Hospitals</v>
      </c>
      <c r="D1660" t="str">
        <f>[1]!hospitalinfo[[#This Row],[Hospital Ownership]]</f>
        <v>Voluntary non-profit - Private</v>
      </c>
      <c r="E1660" cm="1">
        <f t="array" ref="E1660">_xlfn.IFNA(_xlfn.XLOOKUP(1,([1]!hcahps[Facility ID] = clean[[#This Row],[Facility ID]]) * ([1]!hcahps[HCAHPS Measure ID] = "H_HSP_RATING_LINEAR_SCORE"), [1]!hcahps[HCAHPS Linear Mean Value]), "No Match")</f>
        <v>84</v>
      </c>
      <c r="F1660" cm="1">
        <f t="array" ref="F1660">_xlfn.IFNA(_xlfn.XLOOKUP(1,([1]!readmissions[Facility ID] = clean[[#This Row],[Facility ID]]) * ([1]!readmissions[Measure ID] = "Hybrid_HWR"), [1]!readmissions[Score]), "No Match")</f>
        <v>15.2</v>
      </c>
    </row>
    <row r="1661" spans="1:6" x14ac:dyDescent="0.2">
      <c r="A1661">
        <f>[1]!hospitalinfo[[#This Row],[Facility ID]]</f>
        <v>150090</v>
      </c>
      <c r="B1661" t="str">
        <f>[1]!hospitalinfo[[#This Row],[State]]</f>
        <v>IN</v>
      </c>
      <c r="C1661" t="str">
        <f>[1]!hospitalinfo[[#This Row],[Hospital Type]]</f>
        <v>Acute Care Hospitals</v>
      </c>
      <c r="D1661" t="str">
        <f>[1]!hospitalinfo[[#This Row],[Hospital Ownership]]</f>
        <v>Voluntary non-profit - Church</v>
      </c>
      <c r="E1661" cm="1">
        <f t="array" ref="E1661">_xlfn.IFNA(_xlfn.XLOOKUP(1,([1]!hcahps[Facility ID] = clean[[#This Row],[Facility ID]]) * ([1]!hcahps[HCAHPS Measure ID] = "H_HSP_RATING_LINEAR_SCORE"), [1]!hcahps[HCAHPS Linear Mean Value]), "No Match")</f>
        <v>84</v>
      </c>
      <c r="F1661" cm="1">
        <f t="array" ref="F1661">_xlfn.IFNA(_xlfn.XLOOKUP(1,([1]!readmissions[Facility ID] = clean[[#This Row],[Facility ID]]) * ([1]!readmissions[Measure ID] = "Hybrid_HWR"), [1]!readmissions[Score]), "No Match")</f>
        <v>15</v>
      </c>
    </row>
    <row r="1662" spans="1:6" x14ac:dyDescent="0.2">
      <c r="A1662">
        <f>[1]!hospitalinfo[[#This Row],[Facility ID]]</f>
        <v>150091</v>
      </c>
      <c r="B1662" t="str">
        <f>[1]!hospitalinfo[[#This Row],[State]]</f>
        <v>IN</v>
      </c>
      <c r="C1662" t="str">
        <f>[1]!hospitalinfo[[#This Row],[Hospital Type]]</f>
        <v>Acute Care Hospitals</v>
      </c>
      <c r="D1662" t="str">
        <f>[1]!hospitalinfo[[#This Row],[Hospital Ownership]]</f>
        <v>Voluntary non-profit - Private</v>
      </c>
      <c r="E1662" cm="1">
        <f t="array" ref="E1662">_xlfn.IFNA(_xlfn.XLOOKUP(1,([1]!hcahps[Facility ID] = clean[[#This Row],[Facility ID]]) * ([1]!hcahps[HCAHPS Measure ID] = "H_HSP_RATING_LINEAR_SCORE"), [1]!hcahps[HCAHPS Linear Mean Value]), "No Match")</f>
        <v>91</v>
      </c>
      <c r="F1662" cm="1">
        <f t="array" ref="F1662">_xlfn.IFNA(_xlfn.XLOOKUP(1,([1]!readmissions[Facility ID] = clean[[#This Row],[Facility ID]]) * ([1]!readmissions[Measure ID] = "Hybrid_HWR"), [1]!readmissions[Score]), "No Match")</f>
        <v>15.2</v>
      </c>
    </row>
    <row r="1663" spans="1:6" x14ac:dyDescent="0.2">
      <c r="A1663">
        <f>[1]!hospitalinfo[[#This Row],[Facility ID]]</f>
        <v>150097</v>
      </c>
      <c r="B1663" t="str">
        <f>[1]!hospitalinfo[[#This Row],[State]]</f>
        <v>IN</v>
      </c>
      <c r="C1663" t="str">
        <f>[1]!hospitalinfo[[#This Row],[Hospital Type]]</f>
        <v>Acute Care Hospitals</v>
      </c>
      <c r="D1663" t="str">
        <f>[1]!hospitalinfo[[#This Row],[Hospital Ownership]]</f>
        <v>Government - Local</v>
      </c>
      <c r="E1663" cm="1">
        <f t="array" ref="E1663">_xlfn.IFNA(_xlfn.XLOOKUP(1,([1]!hcahps[Facility ID] = clean[[#This Row],[Facility ID]]) * ([1]!hcahps[HCAHPS Measure ID] = "H_HSP_RATING_LINEAR_SCORE"), [1]!hcahps[HCAHPS Linear Mean Value]), "No Match")</f>
        <v>88</v>
      </c>
      <c r="F1663" cm="1">
        <f t="array" ref="F1663">_xlfn.IFNA(_xlfn.XLOOKUP(1,([1]!readmissions[Facility ID] = clean[[#This Row],[Facility ID]]) * ([1]!readmissions[Measure ID] = "Hybrid_HWR"), [1]!readmissions[Score]), "No Match")</f>
        <v>14.1</v>
      </c>
    </row>
    <row r="1664" spans="1:6" x14ac:dyDescent="0.2">
      <c r="A1664">
        <f>[1]!hospitalinfo[[#This Row],[Facility ID]]</f>
        <v>150100</v>
      </c>
      <c r="B1664" t="str">
        <f>[1]!hospitalinfo[[#This Row],[State]]</f>
        <v>IN</v>
      </c>
      <c r="C1664" t="str">
        <f>[1]!hospitalinfo[[#This Row],[Hospital Type]]</f>
        <v>Acute Care Hospitals</v>
      </c>
      <c r="D1664" t="str">
        <f>[1]!hospitalinfo[[#This Row],[Hospital Ownership]]</f>
        <v>Voluntary non-profit - Private</v>
      </c>
      <c r="E1664" cm="1">
        <f t="array" ref="E1664">_xlfn.IFNA(_xlfn.XLOOKUP(1,([1]!hcahps[Facility ID] = clean[[#This Row],[Facility ID]]) * ([1]!hcahps[HCAHPS Measure ID] = "H_HSP_RATING_LINEAR_SCORE"), [1]!hcahps[HCAHPS Linear Mean Value]), "No Match")</f>
        <v>89</v>
      </c>
      <c r="F1664" cm="1">
        <f t="array" ref="F1664">_xlfn.IFNA(_xlfn.XLOOKUP(1,([1]!readmissions[Facility ID] = clean[[#This Row],[Facility ID]]) * ([1]!readmissions[Measure ID] = "Hybrid_HWR"), [1]!readmissions[Score]), "No Match")</f>
        <v>14.1</v>
      </c>
    </row>
    <row r="1665" spans="1:6" x14ac:dyDescent="0.2">
      <c r="A1665">
        <f>[1]!hospitalinfo[[#This Row],[Facility ID]]</f>
        <v>150101</v>
      </c>
      <c r="B1665" t="str">
        <f>[1]!hospitalinfo[[#This Row],[State]]</f>
        <v>IN</v>
      </c>
      <c r="C1665" t="str">
        <f>[1]!hospitalinfo[[#This Row],[Hospital Type]]</f>
        <v>Acute Care Hospitals</v>
      </c>
      <c r="D1665" t="str">
        <f>[1]!hospitalinfo[[#This Row],[Hospital Ownership]]</f>
        <v>Voluntary non-profit - Private</v>
      </c>
      <c r="E1665" cm="1">
        <f t="array" ref="E1665">_xlfn.IFNA(_xlfn.XLOOKUP(1,([1]!hcahps[Facility ID] = clean[[#This Row],[Facility ID]]) * ([1]!hcahps[HCAHPS Measure ID] = "H_HSP_RATING_LINEAR_SCORE"), [1]!hcahps[HCAHPS Linear Mean Value]), "No Match")</f>
        <v>91</v>
      </c>
      <c r="F1665" cm="1">
        <f t="array" ref="F1665">_xlfn.IFNA(_xlfn.XLOOKUP(1,([1]!readmissions[Facility ID] = clean[[#This Row],[Facility ID]]) * ([1]!readmissions[Measure ID] = "Hybrid_HWR"), [1]!readmissions[Score]), "No Match")</f>
        <v>14.6</v>
      </c>
    </row>
    <row r="1666" spans="1:6" x14ac:dyDescent="0.2">
      <c r="A1666">
        <f>[1]!hospitalinfo[[#This Row],[Facility ID]]</f>
        <v>150102</v>
      </c>
      <c r="B1666" t="str">
        <f>[1]!hospitalinfo[[#This Row],[State]]</f>
        <v>IN</v>
      </c>
      <c r="C1666" t="str">
        <f>[1]!hospitalinfo[[#This Row],[Hospital Type]]</f>
        <v>Acute Care Hospitals</v>
      </c>
      <c r="D1666" t="str">
        <f>[1]!hospitalinfo[[#This Row],[Hospital Ownership]]</f>
        <v>Proprietary</v>
      </c>
      <c r="E1666" t="str" cm="1">
        <f t="array" ref="E1666">_xlfn.IFNA(_xlfn.XLOOKUP(1,([1]!hcahps[Facility ID] = clean[[#This Row],[Facility ID]]) * ([1]!hcahps[HCAHPS Measure ID] = "H_HSP_RATING_LINEAR_SCORE"), [1]!hcahps[HCAHPS Linear Mean Value]), "No Match")</f>
        <v>Not Available</v>
      </c>
      <c r="F1666" cm="1">
        <f t="array" ref="F1666">_xlfn.IFNA(_xlfn.XLOOKUP(1,([1]!readmissions[Facility ID] = clean[[#This Row],[Facility ID]]) * ([1]!readmissions[Measure ID] = "Hybrid_HWR"), [1]!readmissions[Score]), "No Match")</f>
        <v>15.5</v>
      </c>
    </row>
    <row r="1667" spans="1:6" x14ac:dyDescent="0.2">
      <c r="A1667">
        <f>[1]!hospitalinfo[[#This Row],[Facility ID]]</f>
        <v>150104</v>
      </c>
      <c r="B1667" t="str">
        <f>[1]!hospitalinfo[[#This Row],[State]]</f>
        <v>IN</v>
      </c>
      <c r="C1667" t="str">
        <f>[1]!hospitalinfo[[#This Row],[Hospital Type]]</f>
        <v>Acute Care Hospitals</v>
      </c>
      <c r="D1667" t="str">
        <f>[1]!hospitalinfo[[#This Row],[Hospital Ownership]]</f>
        <v>Government - Local</v>
      </c>
      <c r="E1667" cm="1">
        <f t="array" ref="E1667">_xlfn.IFNA(_xlfn.XLOOKUP(1,([1]!hcahps[Facility ID] = clean[[#This Row],[Facility ID]]) * ([1]!hcahps[HCAHPS Measure ID] = "H_HSP_RATING_LINEAR_SCORE"), [1]!hcahps[HCAHPS Linear Mean Value]), "No Match")</f>
        <v>87</v>
      </c>
      <c r="F1667" cm="1">
        <f t="array" ref="F1667">_xlfn.IFNA(_xlfn.XLOOKUP(1,([1]!readmissions[Facility ID] = clean[[#This Row],[Facility ID]]) * ([1]!readmissions[Measure ID] = "Hybrid_HWR"), [1]!readmissions[Score]), "No Match")</f>
        <v>13.9</v>
      </c>
    </row>
    <row r="1668" spans="1:6" x14ac:dyDescent="0.2">
      <c r="A1668">
        <f>[1]!hospitalinfo[[#This Row],[Facility ID]]</f>
        <v>150109</v>
      </c>
      <c r="B1668" t="str">
        <f>[1]!hospitalinfo[[#This Row],[State]]</f>
        <v>IN</v>
      </c>
      <c r="C1668" t="str">
        <f>[1]!hospitalinfo[[#This Row],[Hospital Type]]</f>
        <v>Acute Care Hospitals</v>
      </c>
      <c r="D1668" t="str">
        <f>[1]!hospitalinfo[[#This Row],[Hospital Ownership]]</f>
        <v>Voluntary non-profit - Church</v>
      </c>
      <c r="E1668" cm="1">
        <f t="array" ref="E1668">_xlfn.IFNA(_xlfn.XLOOKUP(1,([1]!hcahps[Facility ID] = clean[[#This Row],[Facility ID]]) * ([1]!hcahps[HCAHPS Measure ID] = "H_HSP_RATING_LINEAR_SCORE"), [1]!hcahps[HCAHPS Linear Mean Value]), "No Match")</f>
        <v>90</v>
      </c>
      <c r="F1668" cm="1">
        <f t="array" ref="F1668">_xlfn.IFNA(_xlfn.XLOOKUP(1,([1]!readmissions[Facility ID] = clean[[#This Row],[Facility ID]]) * ([1]!readmissions[Measure ID] = "Hybrid_HWR"), [1]!readmissions[Score]), "No Match")</f>
        <v>14.1</v>
      </c>
    </row>
    <row r="1669" spans="1:6" x14ac:dyDescent="0.2">
      <c r="A1669">
        <f>[1]!hospitalinfo[[#This Row],[Facility ID]]</f>
        <v>150112</v>
      </c>
      <c r="B1669" t="str">
        <f>[1]!hospitalinfo[[#This Row],[State]]</f>
        <v>IN</v>
      </c>
      <c r="C1669" t="str">
        <f>[1]!hospitalinfo[[#This Row],[Hospital Type]]</f>
        <v>Acute Care Hospitals</v>
      </c>
      <c r="D1669" t="str">
        <f>[1]!hospitalinfo[[#This Row],[Hospital Ownership]]</f>
        <v>Government - Local</v>
      </c>
      <c r="E1669" cm="1">
        <f t="array" ref="E1669">_xlfn.IFNA(_xlfn.XLOOKUP(1,([1]!hcahps[Facility ID] = clean[[#This Row],[Facility ID]]) * ([1]!hcahps[HCAHPS Measure ID] = "H_HSP_RATING_LINEAR_SCORE"), [1]!hcahps[HCAHPS Linear Mean Value]), "No Match")</f>
        <v>88</v>
      </c>
      <c r="F1669" cm="1">
        <f t="array" ref="F1669">_xlfn.IFNA(_xlfn.XLOOKUP(1,([1]!readmissions[Facility ID] = clean[[#This Row],[Facility ID]]) * ([1]!readmissions[Measure ID] = "Hybrid_HWR"), [1]!readmissions[Score]), "No Match")</f>
        <v>15</v>
      </c>
    </row>
    <row r="1670" spans="1:6" x14ac:dyDescent="0.2">
      <c r="A1670">
        <f>[1]!hospitalinfo[[#This Row],[Facility ID]]</f>
        <v>150113</v>
      </c>
      <c r="B1670" t="str">
        <f>[1]!hospitalinfo[[#This Row],[State]]</f>
        <v>IN</v>
      </c>
      <c r="C1670" t="str">
        <f>[1]!hospitalinfo[[#This Row],[Hospital Type]]</f>
        <v>Acute Care Hospitals</v>
      </c>
      <c r="D1670" t="str">
        <f>[1]!hospitalinfo[[#This Row],[Hospital Ownership]]</f>
        <v>Voluntary non-profit - Private</v>
      </c>
      <c r="E1670" cm="1">
        <f t="array" ref="E1670">_xlfn.IFNA(_xlfn.XLOOKUP(1,([1]!hcahps[Facility ID] = clean[[#This Row],[Facility ID]]) * ([1]!hcahps[HCAHPS Measure ID] = "H_HSP_RATING_LINEAR_SCORE"), [1]!hcahps[HCAHPS Linear Mean Value]), "No Match")</f>
        <v>90</v>
      </c>
      <c r="F1670" cm="1">
        <f t="array" ref="F1670">_xlfn.IFNA(_xlfn.XLOOKUP(1,([1]!readmissions[Facility ID] = clean[[#This Row],[Facility ID]]) * ([1]!readmissions[Measure ID] = "Hybrid_HWR"), [1]!readmissions[Score]), "No Match")</f>
        <v>14.3</v>
      </c>
    </row>
    <row r="1671" spans="1:6" x14ac:dyDescent="0.2">
      <c r="A1671">
        <f>[1]!hospitalinfo[[#This Row],[Facility ID]]</f>
        <v>150115</v>
      </c>
      <c r="B1671" t="str">
        <f>[1]!hospitalinfo[[#This Row],[State]]</f>
        <v>IN</v>
      </c>
      <c r="C1671" t="str">
        <f>[1]!hospitalinfo[[#This Row],[Hospital Type]]</f>
        <v>Acute Care Hospitals</v>
      </c>
      <c r="D1671" t="str">
        <f>[1]!hospitalinfo[[#This Row],[Hospital Ownership]]</f>
        <v>Voluntary non-profit - Private</v>
      </c>
      <c r="E1671" cm="1">
        <f t="array" ref="E1671">_xlfn.IFNA(_xlfn.XLOOKUP(1,([1]!hcahps[Facility ID] = clean[[#This Row],[Facility ID]]) * ([1]!hcahps[HCAHPS Measure ID] = "H_HSP_RATING_LINEAR_SCORE"), [1]!hcahps[HCAHPS Linear Mean Value]), "No Match")</f>
        <v>91</v>
      </c>
      <c r="F1671" cm="1">
        <f t="array" ref="F1671">_xlfn.IFNA(_xlfn.XLOOKUP(1,([1]!readmissions[Facility ID] = clean[[#This Row],[Facility ID]]) * ([1]!readmissions[Measure ID] = "Hybrid_HWR"), [1]!readmissions[Score]), "No Match")</f>
        <v>13.7</v>
      </c>
    </row>
    <row r="1672" spans="1:6" x14ac:dyDescent="0.2">
      <c r="A1672">
        <f>[1]!hospitalinfo[[#This Row],[Facility ID]]</f>
        <v>150125</v>
      </c>
      <c r="B1672" t="str">
        <f>[1]!hospitalinfo[[#This Row],[State]]</f>
        <v>IN</v>
      </c>
      <c r="C1672" t="str">
        <f>[1]!hospitalinfo[[#This Row],[Hospital Type]]</f>
        <v>Acute Care Hospitals</v>
      </c>
      <c r="D1672" t="str">
        <f>[1]!hospitalinfo[[#This Row],[Hospital Ownership]]</f>
        <v>Voluntary non-profit - Private</v>
      </c>
      <c r="E1672" cm="1">
        <f t="array" ref="E1672">_xlfn.IFNA(_xlfn.XLOOKUP(1,([1]!hcahps[Facility ID] = clean[[#This Row],[Facility ID]]) * ([1]!hcahps[HCAHPS Measure ID] = "H_HSP_RATING_LINEAR_SCORE"), [1]!hcahps[HCAHPS Linear Mean Value]), "No Match")</f>
        <v>90</v>
      </c>
      <c r="F1672" cm="1">
        <f t="array" ref="F1672">_xlfn.IFNA(_xlfn.XLOOKUP(1,([1]!readmissions[Facility ID] = clean[[#This Row],[Facility ID]]) * ([1]!readmissions[Measure ID] = "Hybrid_HWR"), [1]!readmissions[Score]), "No Match")</f>
        <v>15.4</v>
      </c>
    </row>
    <row r="1673" spans="1:6" x14ac:dyDescent="0.2">
      <c r="A1673">
        <f>[1]!hospitalinfo[[#This Row],[Facility ID]]</f>
        <v>150126</v>
      </c>
      <c r="B1673" t="str">
        <f>[1]!hospitalinfo[[#This Row],[State]]</f>
        <v>IN</v>
      </c>
      <c r="C1673" t="str">
        <f>[1]!hospitalinfo[[#This Row],[Hospital Type]]</f>
        <v>Acute Care Hospitals</v>
      </c>
      <c r="D1673" t="str">
        <f>[1]!hospitalinfo[[#This Row],[Hospital Ownership]]</f>
        <v>Voluntary non-profit - Church</v>
      </c>
      <c r="E1673" cm="1">
        <f t="array" ref="E1673">_xlfn.IFNA(_xlfn.XLOOKUP(1,([1]!hcahps[Facility ID] = clean[[#This Row],[Facility ID]]) * ([1]!hcahps[HCAHPS Measure ID] = "H_HSP_RATING_LINEAR_SCORE"), [1]!hcahps[HCAHPS Linear Mean Value]), "No Match")</f>
        <v>88</v>
      </c>
      <c r="F1673" cm="1">
        <f t="array" ref="F1673">_xlfn.IFNA(_xlfn.XLOOKUP(1,([1]!readmissions[Facility ID] = clean[[#This Row],[Facility ID]]) * ([1]!readmissions[Measure ID] = "Hybrid_HWR"), [1]!readmissions[Score]), "No Match")</f>
        <v>15.4</v>
      </c>
    </row>
    <row r="1674" spans="1:6" x14ac:dyDescent="0.2">
      <c r="A1674">
        <f>[1]!hospitalinfo[[#This Row],[Facility ID]]</f>
        <v>150128</v>
      </c>
      <c r="B1674" t="str">
        <f>[1]!hospitalinfo[[#This Row],[State]]</f>
        <v>IN</v>
      </c>
      <c r="C1674" t="str">
        <f>[1]!hospitalinfo[[#This Row],[Hospital Type]]</f>
        <v>Acute Care Hospitals</v>
      </c>
      <c r="D1674" t="str">
        <f>[1]!hospitalinfo[[#This Row],[Hospital Ownership]]</f>
        <v>Voluntary non-profit - Private</v>
      </c>
      <c r="E1674" cm="1">
        <f t="array" ref="E1674">_xlfn.IFNA(_xlfn.XLOOKUP(1,([1]!hcahps[Facility ID] = clean[[#This Row],[Facility ID]]) * ([1]!hcahps[HCAHPS Measure ID] = "H_HSP_RATING_LINEAR_SCORE"), [1]!hcahps[HCAHPS Linear Mean Value]), "No Match")</f>
        <v>89</v>
      </c>
      <c r="F1674" cm="1">
        <f t="array" ref="F1674">_xlfn.IFNA(_xlfn.XLOOKUP(1,([1]!readmissions[Facility ID] = clean[[#This Row],[Facility ID]]) * ([1]!readmissions[Measure ID] = "Hybrid_HWR"), [1]!readmissions[Score]), "No Match")</f>
        <v>15.4</v>
      </c>
    </row>
    <row r="1675" spans="1:6" x14ac:dyDescent="0.2">
      <c r="A1675">
        <f>[1]!hospitalinfo[[#This Row],[Facility ID]]</f>
        <v>150133</v>
      </c>
      <c r="B1675" t="str">
        <f>[1]!hospitalinfo[[#This Row],[State]]</f>
        <v>IN</v>
      </c>
      <c r="C1675" t="str">
        <f>[1]!hospitalinfo[[#This Row],[Hospital Type]]</f>
        <v>Acute Care Hospitals</v>
      </c>
      <c r="D1675" t="str">
        <f>[1]!hospitalinfo[[#This Row],[Hospital Ownership]]</f>
        <v>Proprietary</v>
      </c>
      <c r="E1675" cm="1">
        <f t="array" ref="E1675">_xlfn.IFNA(_xlfn.XLOOKUP(1,([1]!hcahps[Facility ID] = clean[[#This Row],[Facility ID]]) * ([1]!hcahps[HCAHPS Measure ID] = "H_HSP_RATING_LINEAR_SCORE"), [1]!hcahps[HCAHPS Linear Mean Value]), "No Match")</f>
        <v>87</v>
      </c>
      <c r="F1675" cm="1">
        <f t="array" ref="F1675">_xlfn.IFNA(_xlfn.XLOOKUP(1,([1]!readmissions[Facility ID] = clean[[#This Row],[Facility ID]]) * ([1]!readmissions[Measure ID] = "Hybrid_HWR"), [1]!readmissions[Score]), "No Match")</f>
        <v>14.5</v>
      </c>
    </row>
    <row r="1676" spans="1:6" x14ac:dyDescent="0.2">
      <c r="A1676">
        <f>[1]!hospitalinfo[[#This Row],[Facility ID]]</f>
        <v>150146</v>
      </c>
      <c r="B1676" t="str">
        <f>[1]!hospitalinfo[[#This Row],[State]]</f>
        <v>IN</v>
      </c>
      <c r="C1676" t="str">
        <f>[1]!hospitalinfo[[#This Row],[Hospital Type]]</f>
        <v>Acute Care Hospitals</v>
      </c>
      <c r="D1676" t="str">
        <f>[1]!hospitalinfo[[#This Row],[Hospital Ownership]]</f>
        <v>Voluntary non-profit - Private</v>
      </c>
      <c r="E1676" cm="1">
        <f t="array" ref="E1676">_xlfn.IFNA(_xlfn.XLOOKUP(1,([1]!hcahps[Facility ID] = clean[[#This Row],[Facility ID]]) * ([1]!hcahps[HCAHPS Measure ID] = "H_HSP_RATING_LINEAR_SCORE"), [1]!hcahps[HCAHPS Linear Mean Value]), "No Match")</f>
        <v>88</v>
      </c>
      <c r="F1676" cm="1">
        <f t="array" ref="F1676">_xlfn.IFNA(_xlfn.XLOOKUP(1,([1]!readmissions[Facility ID] = clean[[#This Row],[Facility ID]]) * ([1]!readmissions[Measure ID] = "Hybrid_HWR"), [1]!readmissions[Score]), "No Match")</f>
        <v>14.9</v>
      </c>
    </row>
    <row r="1677" spans="1:6" x14ac:dyDescent="0.2">
      <c r="A1677">
        <f>[1]!hospitalinfo[[#This Row],[Facility ID]]</f>
        <v>150149</v>
      </c>
      <c r="B1677" t="str">
        <f>[1]!hospitalinfo[[#This Row],[State]]</f>
        <v>IN</v>
      </c>
      <c r="C1677" t="str">
        <f>[1]!hospitalinfo[[#This Row],[Hospital Type]]</f>
        <v>Acute Care Hospitals</v>
      </c>
      <c r="D1677" t="str">
        <f>[1]!hospitalinfo[[#This Row],[Hospital Ownership]]</f>
        <v>Proprietary</v>
      </c>
      <c r="E1677" cm="1">
        <f t="array" ref="E1677">_xlfn.IFNA(_xlfn.XLOOKUP(1,([1]!hcahps[Facility ID] = clean[[#This Row],[Facility ID]]) * ([1]!hcahps[HCAHPS Measure ID] = "H_HSP_RATING_LINEAR_SCORE"), [1]!hcahps[HCAHPS Linear Mean Value]), "No Match")</f>
        <v>92</v>
      </c>
      <c r="F1677" t="str" cm="1">
        <f t="array" ref="F1677">_xlfn.IFNA(_xlfn.XLOOKUP(1,([1]!readmissions[Facility ID] = clean[[#This Row],[Facility ID]]) * ([1]!readmissions[Measure ID] = "Hybrid_HWR"), [1]!readmissions[Score]), "No Match")</f>
        <v>Not Available</v>
      </c>
    </row>
    <row r="1678" spans="1:6" x14ac:dyDescent="0.2">
      <c r="A1678">
        <f>[1]!hospitalinfo[[#This Row],[Facility ID]]</f>
        <v>150150</v>
      </c>
      <c r="B1678" t="str">
        <f>[1]!hospitalinfo[[#This Row],[State]]</f>
        <v>IN</v>
      </c>
      <c r="C1678" t="str">
        <f>[1]!hospitalinfo[[#This Row],[Hospital Type]]</f>
        <v>Acute Care Hospitals</v>
      </c>
      <c r="D1678" t="str">
        <f>[1]!hospitalinfo[[#This Row],[Hospital Ownership]]</f>
        <v>Proprietary</v>
      </c>
      <c r="E1678" cm="1">
        <f t="array" ref="E1678">_xlfn.IFNA(_xlfn.XLOOKUP(1,([1]!hcahps[Facility ID] = clean[[#This Row],[Facility ID]]) * ([1]!hcahps[HCAHPS Measure ID] = "H_HSP_RATING_LINEAR_SCORE"), [1]!hcahps[HCAHPS Linear Mean Value]), "No Match")</f>
        <v>87</v>
      </c>
      <c r="F1678" cm="1">
        <f t="array" ref="F1678">_xlfn.IFNA(_xlfn.XLOOKUP(1,([1]!readmissions[Facility ID] = clean[[#This Row],[Facility ID]]) * ([1]!readmissions[Measure ID] = "Hybrid_HWR"), [1]!readmissions[Score]), "No Match")</f>
        <v>15.4</v>
      </c>
    </row>
    <row r="1679" spans="1:6" x14ac:dyDescent="0.2">
      <c r="A1679">
        <f>[1]!hospitalinfo[[#This Row],[Facility ID]]</f>
        <v>150153</v>
      </c>
      <c r="B1679" t="str">
        <f>[1]!hospitalinfo[[#This Row],[State]]</f>
        <v>IN</v>
      </c>
      <c r="C1679" t="str">
        <f>[1]!hospitalinfo[[#This Row],[Hospital Type]]</f>
        <v>Acute Care Hospitals</v>
      </c>
      <c r="D1679" t="str">
        <f>[1]!hospitalinfo[[#This Row],[Hospital Ownership]]</f>
        <v>Proprietary</v>
      </c>
      <c r="E1679" cm="1">
        <f t="array" ref="E1679">_xlfn.IFNA(_xlfn.XLOOKUP(1,([1]!hcahps[Facility ID] = clean[[#This Row],[Facility ID]]) * ([1]!hcahps[HCAHPS Measure ID] = "H_HSP_RATING_LINEAR_SCORE"), [1]!hcahps[HCAHPS Linear Mean Value]), "No Match")</f>
        <v>92</v>
      </c>
      <c r="F1679" cm="1">
        <f t="array" ref="F1679">_xlfn.IFNA(_xlfn.XLOOKUP(1,([1]!readmissions[Facility ID] = clean[[#This Row],[Facility ID]]) * ([1]!readmissions[Measure ID] = "Hybrid_HWR"), [1]!readmissions[Score]), "No Match")</f>
        <v>15</v>
      </c>
    </row>
    <row r="1680" spans="1:6" x14ac:dyDescent="0.2">
      <c r="A1680">
        <f>[1]!hospitalinfo[[#This Row],[Facility ID]]</f>
        <v>150157</v>
      </c>
      <c r="B1680" t="str">
        <f>[1]!hospitalinfo[[#This Row],[State]]</f>
        <v>IN</v>
      </c>
      <c r="C1680" t="str">
        <f>[1]!hospitalinfo[[#This Row],[Hospital Type]]</f>
        <v>Acute Care Hospitals</v>
      </c>
      <c r="D1680" t="str">
        <f>[1]!hospitalinfo[[#This Row],[Hospital Ownership]]</f>
        <v>Voluntary non-profit - Private</v>
      </c>
      <c r="E1680" cm="1">
        <f t="array" ref="E1680">_xlfn.IFNA(_xlfn.XLOOKUP(1,([1]!hcahps[Facility ID] = clean[[#This Row],[Facility ID]]) * ([1]!hcahps[HCAHPS Measure ID] = "H_HSP_RATING_LINEAR_SCORE"), [1]!hcahps[HCAHPS Linear Mean Value]), "No Match")</f>
        <v>88</v>
      </c>
      <c r="F1680" cm="1">
        <f t="array" ref="F1680">_xlfn.IFNA(_xlfn.XLOOKUP(1,([1]!readmissions[Facility ID] = clean[[#This Row],[Facility ID]]) * ([1]!readmissions[Measure ID] = "Hybrid_HWR"), [1]!readmissions[Score]), "No Match")</f>
        <v>14.1</v>
      </c>
    </row>
    <row r="1681" spans="1:6" x14ac:dyDescent="0.2">
      <c r="A1681">
        <f>[1]!hospitalinfo[[#This Row],[Facility ID]]</f>
        <v>150158</v>
      </c>
      <c r="B1681" t="str">
        <f>[1]!hospitalinfo[[#This Row],[State]]</f>
        <v>IN</v>
      </c>
      <c r="C1681" t="str">
        <f>[1]!hospitalinfo[[#This Row],[Hospital Type]]</f>
        <v>Acute Care Hospitals</v>
      </c>
      <c r="D1681" t="str">
        <f>[1]!hospitalinfo[[#This Row],[Hospital Ownership]]</f>
        <v>Proprietary</v>
      </c>
      <c r="E1681" cm="1">
        <f t="array" ref="E1681">_xlfn.IFNA(_xlfn.XLOOKUP(1,([1]!hcahps[Facility ID] = clean[[#This Row],[Facility ID]]) * ([1]!hcahps[HCAHPS Measure ID] = "H_HSP_RATING_LINEAR_SCORE"), [1]!hcahps[HCAHPS Linear Mean Value]), "No Match")</f>
        <v>88</v>
      </c>
      <c r="F1681" cm="1">
        <f t="array" ref="F1681">_xlfn.IFNA(_xlfn.XLOOKUP(1,([1]!readmissions[Facility ID] = clean[[#This Row],[Facility ID]]) * ([1]!readmissions[Measure ID] = "Hybrid_HWR"), [1]!readmissions[Score]), "No Match")</f>
        <v>13.7</v>
      </c>
    </row>
    <row r="1682" spans="1:6" x14ac:dyDescent="0.2">
      <c r="A1682">
        <f>[1]!hospitalinfo[[#This Row],[Facility ID]]</f>
        <v>150160</v>
      </c>
      <c r="B1682" t="str">
        <f>[1]!hospitalinfo[[#This Row],[State]]</f>
        <v>IN</v>
      </c>
      <c r="C1682" t="str">
        <f>[1]!hospitalinfo[[#This Row],[Hospital Type]]</f>
        <v>Acute Care Hospitals</v>
      </c>
      <c r="D1682" t="str">
        <f>[1]!hospitalinfo[[#This Row],[Hospital Ownership]]</f>
        <v>Physician</v>
      </c>
      <c r="E1682" cm="1">
        <f t="array" ref="E1682">_xlfn.IFNA(_xlfn.XLOOKUP(1,([1]!hcahps[Facility ID] = clean[[#This Row],[Facility ID]]) * ([1]!hcahps[HCAHPS Measure ID] = "H_HSP_RATING_LINEAR_SCORE"), [1]!hcahps[HCAHPS Linear Mean Value]), "No Match")</f>
        <v>94</v>
      </c>
      <c r="F1682" cm="1">
        <f t="array" ref="F1682">_xlfn.IFNA(_xlfn.XLOOKUP(1,([1]!readmissions[Facility ID] = clean[[#This Row],[Facility ID]]) * ([1]!readmissions[Measure ID] = "Hybrid_HWR"), [1]!readmissions[Score]), "No Match")</f>
        <v>13</v>
      </c>
    </row>
    <row r="1683" spans="1:6" x14ac:dyDescent="0.2">
      <c r="A1683">
        <f>[1]!hospitalinfo[[#This Row],[Facility ID]]</f>
        <v>150161</v>
      </c>
      <c r="B1683" t="str">
        <f>[1]!hospitalinfo[[#This Row],[State]]</f>
        <v>IN</v>
      </c>
      <c r="C1683" t="str">
        <f>[1]!hospitalinfo[[#This Row],[Hospital Type]]</f>
        <v>Acute Care Hospitals</v>
      </c>
      <c r="D1683" t="str">
        <f>[1]!hospitalinfo[[#This Row],[Hospital Ownership]]</f>
        <v>Voluntary non-profit - Private</v>
      </c>
      <c r="E1683" cm="1">
        <f t="array" ref="E1683">_xlfn.IFNA(_xlfn.XLOOKUP(1,([1]!hcahps[Facility ID] = clean[[#This Row],[Facility ID]]) * ([1]!hcahps[HCAHPS Measure ID] = "H_HSP_RATING_LINEAR_SCORE"), [1]!hcahps[HCAHPS Linear Mean Value]), "No Match")</f>
        <v>89</v>
      </c>
      <c r="F1683" cm="1">
        <f t="array" ref="F1683">_xlfn.IFNA(_xlfn.XLOOKUP(1,([1]!readmissions[Facility ID] = clean[[#This Row],[Facility ID]]) * ([1]!readmissions[Measure ID] = "Hybrid_HWR"), [1]!readmissions[Score]), "No Match")</f>
        <v>14.7</v>
      </c>
    </row>
    <row r="1684" spans="1:6" x14ac:dyDescent="0.2">
      <c r="A1684">
        <f>[1]!hospitalinfo[[#This Row],[Facility ID]]</f>
        <v>150162</v>
      </c>
      <c r="B1684" t="str">
        <f>[1]!hospitalinfo[[#This Row],[State]]</f>
        <v>IN</v>
      </c>
      <c r="C1684" t="str">
        <f>[1]!hospitalinfo[[#This Row],[Hospital Type]]</f>
        <v>Acute Care Hospitals</v>
      </c>
      <c r="D1684" t="str">
        <f>[1]!hospitalinfo[[#This Row],[Hospital Ownership]]</f>
        <v>Voluntary non-profit - Church</v>
      </c>
      <c r="E1684" cm="1">
        <f t="array" ref="E1684">_xlfn.IFNA(_xlfn.XLOOKUP(1,([1]!hcahps[Facility ID] = clean[[#This Row],[Facility ID]]) * ([1]!hcahps[HCAHPS Measure ID] = "H_HSP_RATING_LINEAR_SCORE"), [1]!hcahps[HCAHPS Linear Mean Value]), "No Match")</f>
        <v>89</v>
      </c>
      <c r="F1684" cm="1">
        <f t="array" ref="F1684">_xlfn.IFNA(_xlfn.XLOOKUP(1,([1]!readmissions[Facility ID] = clean[[#This Row],[Facility ID]]) * ([1]!readmissions[Measure ID] = "Hybrid_HWR"), [1]!readmissions[Score]), "No Match")</f>
        <v>14.6</v>
      </c>
    </row>
    <row r="1685" spans="1:6" x14ac:dyDescent="0.2">
      <c r="A1685">
        <f>[1]!hospitalinfo[[#This Row],[Facility ID]]</f>
        <v>150165</v>
      </c>
      <c r="B1685" t="str">
        <f>[1]!hospitalinfo[[#This Row],[State]]</f>
        <v>IN</v>
      </c>
      <c r="C1685" t="str">
        <f>[1]!hospitalinfo[[#This Row],[Hospital Type]]</f>
        <v>Acute Care Hospitals</v>
      </c>
      <c r="D1685" t="str">
        <f>[1]!hospitalinfo[[#This Row],[Hospital Ownership]]</f>
        <v>Voluntary non-profit - Private</v>
      </c>
      <c r="E1685" cm="1">
        <f t="array" ref="E1685">_xlfn.IFNA(_xlfn.XLOOKUP(1,([1]!hcahps[Facility ID] = clean[[#This Row],[Facility ID]]) * ([1]!hcahps[HCAHPS Measure ID] = "H_HSP_RATING_LINEAR_SCORE"), [1]!hcahps[HCAHPS Linear Mean Value]), "No Match")</f>
        <v>90</v>
      </c>
      <c r="F1685" cm="1">
        <f t="array" ref="F1685">_xlfn.IFNA(_xlfn.XLOOKUP(1,([1]!readmissions[Facility ID] = clean[[#This Row],[Facility ID]]) * ([1]!readmissions[Measure ID] = "Hybrid_HWR"), [1]!readmissions[Score]), "No Match")</f>
        <v>15.3</v>
      </c>
    </row>
    <row r="1686" spans="1:6" x14ac:dyDescent="0.2">
      <c r="A1686">
        <f>[1]!hospitalinfo[[#This Row],[Facility ID]]</f>
        <v>150166</v>
      </c>
      <c r="B1686" t="str">
        <f>[1]!hospitalinfo[[#This Row],[State]]</f>
        <v>IN</v>
      </c>
      <c r="C1686" t="str">
        <f>[1]!hospitalinfo[[#This Row],[Hospital Type]]</f>
        <v>Acute Care Hospitals</v>
      </c>
      <c r="D1686" t="str">
        <f>[1]!hospitalinfo[[#This Row],[Hospital Ownership]]</f>
        <v>Physician</v>
      </c>
      <c r="E1686" t="str" cm="1">
        <f t="array" ref="E1686">_xlfn.IFNA(_xlfn.XLOOKUP(1,([1]!hcahps[Facility ID] = clean[[#This Row],[Facility ID]]) * ([1]!hcahps[HCAHPS Measure ID] = "H_HSP_RATING_LINEAR_SCORE"), [1]!hcahps[HCAHPS Linear Mean Value]), "No Match")</f>
        <v>Not Available</v>
      </c>
      <c r="F1686" cm="1">
        <f t="array" ref="F1686">_xlfn.IFNA(_xlfn.XLOOKUP(1,([1]!readmissions[Facility ID] = clean[[#This Row],[Facility ID]]) * ([1]!readmissions[Measure ID] = "Hybrid_HWR"), [1]!readmissions[Score]), "No Match")</f>
        <v>15.3</v>
      </c>
    </row>
    <row r="1687" spans="1:6" x14ac:dyDescent="0.2">
      <c r="A1687">
        <f>[1]!hospitalinfo[[#This Row],[Facility ID]]</f>
        <v>150167</v>
      </c>
      <c r="B1687" t="str">
        <f>[1]!hospitalinfo[[#This Row],[State]]</f>
        <v>IN</v>
      </c>
      <c r="C1687" t="str">
        <f>[1]!hospitalinfo[[#This Row],[Hospital Type]]</f>
        <v>Acute Care Hospitals</v>
      </c>
      <c r="D1687" t="str">
        <f>[1]!hospitalinfo[[#This Row],[Hospital Ownership]]</f>
        <v>Voluntary non-profit - Private</v>
      </c>
      <c r="E1687" cm="1">
        <f t="array" ref="E1687">_xlfn.IFNA(_xlfn.XLOOKUP(1,([1]!hcahps[Facility ID] = clean[[#This Row],[Facility ID]]) * ([1]!hcahps[HCAHPS Measure ID] = "H_HSP_RATING_LINEAR_SCORE"), [1]!hcahps[HCAHPS Linear Mean Value]), "No Match")</f>
        <v>91</v>
      </c>
      <c r="F1687" cm="1">
        <f t="array" ref="F1687">_xlfn.IFNA(_xlfn.XLOOKUP(1,([1]!readmissions[Facility ID] = clean[[#This Row],[Facility ID]]) * ([1]!readmissions[Measure ID] = "Hybrid_HWR"), [1]!readmissions[Score]), "No Match")</f>
        <v>14.1</v>
      </c>
    </row>
    <row r="1688" spans="1:6" x14ac:dyDescent="0.2">
      <c r="A1688">
        <f>[1]!hospitalinfo[[#This Row],[Facility ID]]</f>
        <v>150168</v>
      </c>
      <c r="B1688" t="str">
        <f>[1]!hospitalinfo[[#This Row],[State]]</f>
        <v>IN</v>
      </c>
      <c r="C1688" t="str">
        <f>[1]!hospitalinfo[[#This Row],[Hospital Type]]</f>
        <v>Acute Care Hospitals</v>
      </c>
      <c r="D1688" t="str">
        <f>[1]!hospitalinfo[[#This Row],[Hospital Ownership]]</f>
        <v>Proprietary</v>
      </c>
      <c r="E1688" cm="1">
        <f t="array" ref="E1688">_xlfn.IFNA(_xlfn.XLOOKUP(1,([1]!hcahps[Facility ID] = clean[[#This Row],[Facility ID]]) * ([1]!hcahps[HCAHPS Measure ID] = "H_HSP_RATING_LINEAR_SCORE"), [1]!hcahps[HCAHPS Linear Mean Value]), "No Match")</f>
        <v>89</v>
      </c>
      <c r="F1688" cm="1">
        <f t="array" ref="F1688">_xlfn.IFNA(_xlfn.XLOOKUP(1,([1]!readmissions[Facility ID] = clean[[#This Row],[Facility ID]]) * ([1]!readmissions[Measure ID] = "Hybrid_HWR"), [1]!readmissions[Score]), "No Match")</f>
        <v>13.9</v>
      </c>
    </row>
    <row r="1689" spans="1:6" x14ac:dyDescent="0.2">
      <c r="A1689">
        <f>[1]!hospitalinfo[[#This Row],[Facility ID]]</f>
        <v>150169</v>
      </c>
      <c r="B1689" t="str">
        <f>[1]!hospitalinfo[[#This Row],[State]]</f>
        <v>IN</v>
      </c>
      <c r="C1689" t="str">
        <f>[1]!hospitalinfo[[#This Row],[Hospital Type]]</f>
        <v>Acute Care Hospitals</v>
      </c>
      <c r="D1689" t="str">
        <f>[1]!hospitalinfo[[#This Row],[Hospital Ownership]]</f>
        <v>Voluntary non-profit - Private</v>
      </c>
      <c r="E1689" cm="1">
        <f t="array" ref="E1689">_xlfn.IFNA(_xlfn.XLOOKUP(1,([1]!hcahps[Facility ID] = clean[[#This Row],[Facility ID]]) * ([1]!hcahps[HCAHPS Measure ID] = "H_HSP_RATING_LINEAR_SCORE"), [1]!hcahps[HCAHPS Linear Mean Value]), "No Match")</f>
        <v>87</v>
      </c>
      <c r="F1689" cm="1">
        <f t="array" ref="F1689">_xlfn.IFNA(_xlfn.XLOOKUP(1,([1]!readmissions[Facility ID] = clean[[#This Row],[Facility ID]]) * ([1]!readmissions[Measure ID] = "Hybrid_HWR"), [1]!readmissions[Score]), "No Match")</f>
        <v>14.5</v>
      </c>
    </row>
    <row r="1690" spans="1:6" x14ac:dyDescent="0.2">
      <c r="A1690">
        <f>[1]!hospitalinfo[[#This Row],[Facility ID]]</f>
        <v>150172</v>
      </c>
      <c r="B1690" t="str">
        <f>[1]!hospitalinfo[[#This Row],[State]]</f>
        <v>IN</v>
      </c>
      <c r="C1690" t="str">
        <f>[1]!hospitalinfo[[#This Row],[Hospital Type]]</f>
        <v>Acute Care Hospitals</v>
      </c>
      <c r="D1690" t="str">
        <f>[1]!hospitalinfo[[#This Row],[Hospital Ownership]]</f>
        <v>Physician</v>
      </c>
      <c r="E1690" t="str" cm="1">
        <f t="array" ref="E1690">_xlfn.IFNA(_xlfn.XLOOKUP(1,([1]!hcahps[Facility ID] = clean[[#This Row],[Facility ID]]) * ([1]!hcahps[HCAHPS Measure ID] = "H_HSP_RATING_LINEAR_SCORE"), [1]!hcahps[HCAHPS Linear Mean Value]), "No Match")</f>
        <v>Not Available</v>
      </c>
      <c r="F1690" cm="1">
        <f t="array" ref="F1690">_xlfn.IFNA(_xlfn.XLOOKUP(1,([1]!readmissions[Facility ID] = clean[[#This Row],[Facility ID]]) * ([1]!readmissions[Measure ID] = "Hybrid_HWR"), [1]!readmissions[Score]), "No Match")</f>
        <v>15.3</v>
      </c>
    </row>
    <row r="1691" spans="1:6" x14ac:dyDescent="0.2">
      <c r="A1691">
        <f>[1]!hospitalinfo[[#This Row],[Facility ID]]</f>
        <v>150173</v>
      </c>
      <c r="B1691" t="str">
        <f>[1]!hospitalinfo[[#This Row],[State]]</f>
        <v>IN</v>
      </c>
      <c r="C1691" t="str">
        <f>[1]!hospitalinfo[[#This Row],[Hospital Type]]</f>
        <v>Acute Care Hospitals</v>
      </c>
      <c r="D1691" t="str">
        <f>[1]!hospitalinfo[[#This Row],[Hospital Ownership]]</f>
        <v>Voluntary non-profit - Private</v>
      </c>
      <c r="E1691" cm="1">
        <f t="array" ref="E1691">_xlfn.IFNA(_xlfn.XLOOKUP(1,([1]!hcahps[Facility ID] = clean[[#This Row],[Facility ID]]) * ([1]!hcahps[HCAHPS Measure ID] = "H_HSP_RATING_LINEAR_SCORE"), [1]!hcahps[HCAHPS Linear Mean Value]), "No Match")</f>
        <v>87</v>
      </c>
      <c r="F1691" cm="1">
        <f t="array" ref="F1691">_xlfn.IFNA(_xlfn.XLOOKUP(1,([1]!readmissions[Facility ID] = clean[[#This Row],[Facility ID]]) * ([1]!readmissions[Measure ID] = "Hybrid_HWR"), [1]!readmissions[Score]), "No Match")</f>
        <v>14.3</v>
      </c>
    </row>
    <row r="1692" spans="1:6" x14ac:dyDescent="0.2">
      <c r="A1692">
        <f>[1]!hospitalinfo[[#This Row],[Facility ID]]</f>
        <v>150177</v>
      </c>
      <c r="B1692" t="str">
        <f>[1]!hospitalinfo[[#This Row],[State]]</f>
        <v>IN</v>
      </c>
      <c r="C1692" t="str">
        <f>[1]!hospitalinfo[[#This Row],[Hospital Type]]</f>
        <v>Acute Care Hospitals</v>
      </c>
      <c r="D1692" t="str">
        <f>[1]!hospitalinfo[[#This Row],[Hospital Ownership]]</f>
        <v>Physician</v>
      </c>
      <c r="E1692" cm="1">
        <f t="array" ref="E1692">_xlfn.IFNA(_xlfn.XLOOKUP(1,([1]!hcahps[Facility ID] = clean[[#This Row],[Facility ID]]) * ([1]!hcahps[HCAHPS Measure ID] = "H_HSP_RATING_LINEAR_SCORE"), [1]!hcahps[HCAHPS Linear Mean Value]), "No Match")</f>
        <v>93</v>
      </c>
      <c r="F1692" cm="1">
        <f t="array" ref="F1692">_xlfn.IFNA(_xlfn.XLOOKUP(1,([1]!readmissions[Facility ID] = clean[[#This Row],[Facility ID]]) * ([1]!readmissions[Measure ID] = "Hybrid_HWR"), [1]!readmissions[Score]), "No Match")</f>
        <v>14.8</v>
      </c>
    </row>
    <row r="1693" spans="1:6" x14ac:dyDescent="0.2">
      <c r="A1693">
        <f>[1]!hospitalinfo[[#This Row],[Facility ID]]</f>
        <v>150179</v>
      </c>
      <c r="B1693" t="str">
        <f>[1]!hospitalinfo[[#This Row],[State]]</f>
        <v>IN</v>
      </c>
      <c r="C1693" t="str">
        <f>[1]!hospitalinfo[[#This Row],[Hospital Type]]</f>
        <v>Acute Care Hospitals</v>
      </c>
      <c r="D1693" t="str">
        <f>[1]!hospitalinfo[[#This Row],[Hospital Ownership]]</f>
        <v>Voluntary non-profit - Private</v>
      </c>
      <c r="E1693" t="str" cm="1">
        <f t="array" ref="E1693">_xlfn.IFNA(_xlfn.XLOOKUP(1,([1]!hcahps[Facility ID] = clean[[#This Row],[Facility ID]]) * ([1]!hcahps[HCAHPS Measure ID] = "H_HSP_RATING_LINEAR_SCORE"), [1]!hcahps[HCAHPS Linear Mean Value]), "No Match")</f>
        <v>Not Available</v>
      </c>
      <c r="F1693" t="str" cm="1">
        <f t="array" ref="F1693">_xlfn.IFNA(_xlfn.XLOOKUP(1,([1]!readmissions[Facility ID] = clean[[#This Row],[Facility ID]]) * ([1]!readmissions[Measure ID] = "Hybrid_HWR"), [1]!readmissions[Score]), "No Match")</f>
        <v>Not Available</v>
      </c>
    </row>
    <row r="1694" spans="1:6" x14ac:dyDescent="0.2">
      <c r="A1694">
        <f>[1]!hospitalinfo[[#This Row],[Facility ID]]</f>
        <v>150181</v>
      </c>
      <c r="B1694" t="str">
        <f>[1]!hospitalinfo[[#This Row],[State]]</f>
        <v>IN</v>
      </c>
      <c r="C1694" t="str">
        <f>[1]!hospitalinfo[[#This Row],[Hospital Type]]</f>
        <v>Acute Care Hospitals</v>
      </c>
      <c r="D1694" t="str">
        <f>[1]!hospitalinfo[[#This Row],[Hospital Ownership]]</f>
        <v>Voluntary non-profit - Private</v>
      </c>
      <c r="E1694" cm="1">
        <f t="array" ref="E1694">_xlfn.IFNA(_xlfn.XLOOKUP(1,([1]!hcahps[Facility ID] = clean[[#This Row],[Facility ID]]) * ([1]!hcahps[HCAHPS Measure ID] = "H_HSP_RATING_LINEAR_SCORE"), [1]!hcahps[HCAHPS Linear Mean Value]), "No Match")</f>
        <v>88</v>
      </c>
      <c r="F1694" cm="1">
        <f t="array" ref="F1694">_xlfn.IFNA(_xlfn.XLOOKUP(1,([1]!readmissions[Facility ID] = clean[[#This Row],[Facility ID]]) * ([1]!readmissions[Measure ID] = "Hybrid_HWR"), [1]!readmissions[Score]), "No Match")</f>
        <v>15.2</v>
      </c>
    </row>
    <row r="1695" spans="1:6" x14ac:dyDescent="0.2">
      <c r="A1695">
        <f>[1]!hospitalinfo[[#This Row],[Facility ID]]</f>
        <v>150183</v>
      </c>
      <c r="B1695" t="str">
        <f>[1]!hospitalinfo[[#This Row],[State]]</f>
        <v>IN</v>
      </c>
      <c r="C1695" t="str">
        <f>[1]!hospitalinfo[[#This Row],[Hospital Type]]</f>
        <v>Acute Care Hospitals</v>
      </c>
      <c r="D1695" t="str">
        <f>[1]!hospitalinfo[[#This Row],[Hospital Ownership]]</f>
        <v>Proprietary</v>
      </c>
      <c r="E1695" cm="1">
        <f t="array" ref="E1695">_xlfn.IFNA(_xlfn.XLOOKUP(1,([1]!hcahps[Facility ID] = clean[[#This Row],[Facility ID]]) * ([1]!hcahps[HCAHPS Measure ID] = "H_HSP_RATING_LINEAR_SCORE"), [1]!hcahps[HCAHPS Linear Mean Value]), "No Match")</f>
        <v>93</v>
      </c>
      <c r="F1695" cm="1">
        <f t="array" ref="F1695">_xlfn.IFNA(_xlfn.XLOOKUP(1,([1]!readmissions[Facility ID] = clean[[#This Row],[Facility ID]]) * ([1]!readmissions[Measure ID] = "Hybrid_HWR"), [1]!readmissions[Score]), "No Match")</f>
        <v>15.1</v>
      </c>
    </row>
    <row r="1696" spans="1:6" x14ac:dyDescent="0.2">
      <c r="A1696">
        <f>[1]!hospitalinfo[[#This Row],[Facility ID]]</f>
        <v>150193</v>
      </c>
      <c r="B1696" t="str">
        <f>[1]!hospitalinfo[[#This Row],[State]]</f>
        <v>IN</v>
      </c>
      <c r="C1696" t="str">
        <f>[1]!hospitalinfo[[#This Row],[Hospital Type]]</f>
        <v>Acute Care Hospitals</v>
      </c>
      <c r="D1696" t="str">
        <f>[1]!hospitalinfo[[#This Row],[Hospital Ownership]]</f>
        <v>Voluntary non-profit - Church</v>
      </c>
      <c r="E1696" cm="1">
        <f t="array" ref="E1696">_xlfn.IFNA(_xlfn.XLOOKUP(1,([1]!hcahps[Facility ID] = clean[[#This Row],[Facility ID]]) * ([1]!hcahps[HCAHPS Measure ID] = "H_HSP_RATING_LINEAR_SCORE"), [1]!hcahps[HCAHPS Linear Mean Value]), "No Match")</f>
        <v>94</v>
      </c>
      <c r="F1696" cm="1">
        <f t="array" ref="F1696">_xlfn.IFNA(_xlfn.XLOOKUP(1,([1]!readmissions[Facility ID] = clean[[#This Row],[Facility ID]]) * ([1]!readmissions[Measure ID] = "Hybrid_HWR"), [1]!readmissions[Score]), "No Match")</f>
        <v>14</v>
      </c>
    </row>
    <row r="1697" spans="1:6" x14ac:dyDescent="0.2">
      <c r="A1697">
        <f>[1]!hospitalinfo[[#This Row],[Facility ID]]</f>
        <v>150195</v>
      </c>
      <c r="B1697" t="str">
        <f>[1]!hospitalinfo[[#This Row],[State]]</f>
        <v>IN</v>
      </c>
      <c r="C1697" t="str">
        <f>[1]!hospitalinfo[[#This Row],[Hospital Type]]</f>
        <v>Acute Care Hospitals</v>
      </c>
      <c r="D1697" t="str">
        <f>[1]!hospitalinfo[[#This Row],[Hospital Ownership]]</f>
        <v>Voluntary non-profit - Private</v>
      </c>
      <c r="E1697" t="str" cm="1">
        <f t="array" ref="E1697">_xlfn.IFNA(_xlfn.XLOOKUP(1,([1]!hcahps[Facility ID] = clean[[#This Row],[Facility ID]]) * ([1]!hcahps[HCAHPS Measure ID] = "H_HSP_RATING_LINEAR_SCORE"), [1]!hcahps[HCAHPS Linear Mean Value]), "No Match")</f>
        <v>Not Available</v>
      </c>
      <c r="F1697" t="str" cm="1">
        <f t="array" ref="F1697">_xlfn.IFNA(_xlfn.XLOOKUP(1,([1]!readmissions[Facility ID] = clean[[#This Row],[Facility ID]]) * ([1]!readmissions[Measure ID] = "Hybrid_HWR"), [1]!readmissions[Score]), "No Match")</f>
        <v>Not Available</v>
      </c>
    </row>
    <row r="1698" spans="1:6" x14ac:dyDescent="0.2">
      <c r="A1698">
        <f>[1]!hospitalinfo[[#This Row],[Facility ID]]</f>
        <v>151300</v>
      </c>
      <c r="B1698" t="str">
        <f>[1]!hospitalinfo[[#This Row],[State]]</f>
        <v>IN</v>
      </c>
      <c r="C1698" t="str">
        <f>[1]!hospitalinfo[[#This Row],[Hospital Type]]</f>
        <v>Critical Access Hospitals</v>
      </c>
      <c r="D1698" t="str">
        <f>[1]!hospitalinfo[[#This Row],[Hospital Ownership]]</f>
        <v>Voluntary non-profit - Private</v>
      </c>
      <c r="E1698" cm="1">
        <f t="array" ref="E1698">_xlfn.IFNA(_xlfn.XLOOKUP(1,([1]!hcahps[Facility ID] = clean[[#This Row],[Facility ID]]) * ([1]!hcahps[HCAHPS Measure ID] = "H_HSP_RATING_LINEAR_SCORE"), [1]!hcahps[HCAHPS Linear Mean Value]), "No Match")</f>
        <v>92</v>
      </c>
      <c r="F1698" cm="1">
        <f t="array" ref="F1698">_xlfn.IFNA(_xlfn.XLOOKUP(1,([1]!readmissions[Facility ID] = clean[[#This Row],[Facility ID]]) * ([1]!readmissions[Measure ID] = "Hybrid_HWR"), [1]!readmissions[Score]), "No Match")</f>
        <v>14.6</v>
      </c>
    </row>
    <row r="1699" spans="1:6" x14ac:dyDescent="0.2">
      <c r="A1699">
        <f>[1]!hospitalinfo[[#This Row],[Facility ID]]</f>
        <v>151301</v>
      </c>
      <c r="B1699" t="str">
        <f>[1]!hospitalinfo[[#This Row],[State]]</f>
        <v>IN</v>
      </c>
      <c r="C1699" t="str">
        <f>[1]!hospitalinfo[[#This Row],[Hospital Type]]</f>
        <v>Critical Access Hospitals</v>
      </c>
      <c r="D1699" t="str">
        <f>[1]!hospitalinfo[[#This Row],[Hospital Ownership]]</f>
        <v>Voluntary non-profit - Private</v>
      </c>
      <c r="E1699" t="str" cm="1">
        <f t="array" ref="E1699">_xlfn.IFNA(_xlfn.XLOOKUP(1,([1]!hcahps[Facility ID] = clean[[#This Row],[Facility ID]]) * ([1]!hcahps[HCAHPS Measure ID] = "H_HSP_RATING_LINEAR_SCORE"), [1]!hcahps[HCAHPS Linear Mean Value]), "No Match")</f>
        <v>Not Available</v>
      </c>
      <c r="F1699" cm="1">
        <f t="array" ref="F1699">_xlfn.IFNA(_xlfn.XLOOKUP(1,([1]!readmissions[Facility ID] = clean[[#This Row],[Facility ID]]) * ([1]!readmissions[Measure ID] = "Hybrid_HWR"), [1]!readmissions[Score]), "No Match")</f>
        <v>15.2</v>
      </c>
    </row>
    <row r="1700" spans="1:6" x14ac:dyDescent="0.2">
      <c r="A1700">
        <f>[1]!hospitalinfo[[#This Row],[Facility ID]]</f>
        <v>151303</v>
      </c>
      <c r="B1700" t="str">
        <f>[1]!hospitalinfo[[#This Row],[State]]</f>
        <v>IN</v>
      </c>
      <c r="C1700" t="str">
        <f>[1]!hospitalinfo[[#This Row],[Hospital Type]]</f>
        <v>Critical Access Hospitals</v>
      </c>
      <c r="D1700" t="str">
        <f>[1]!hospitalinfo[[#This Row],[Hospital Ownership]]</f>
        <v>Voluntary non-profit - Church</v>
      </c>
      <c r="E1700" t="str" cm="1">
        <f t="array" ref="E1700">_xlfn.IFNA(_xlfn.XLOOKUP(1,([1]!hcahps[Facility ID] = clean[[#This Row],[Facility ID]]) * ([1]!hcahps[HCAHPS Measure ID] = "H_HSP_RATING_LINEAR_SCORE"), [1]!hcahps[HCAHPS Linear Mean Value]), "No Match")</f>
        <v>Not Available</v>
      </c>
      <c r="F1700" cm="1">
        <f t="array" ref="F1700">_xlfn.IFNA(_xlfn.XLOOKUP(1,([1]!readmissions[Facility ID] = clean[[#This Row],[Facility ID]]) * ([1]!readmissions[Measure ID] = "Hybrid_HWR"), [1]!readmissions[Score]), "No Match")</f>
        <v>15.2</v>
      </c>
    </row>
    <row r="1701" spans="1:6" x14ac:dyDescent="0.2">
      <c r="A1701">
        <f>[1]!hospitalinfo[[#This Row],[Facility ID]]</f>
        <v>151304</v>
      </c>
      <c r="B1701" t="str">
        <f>[1]!hospitalinfo[[#This Row],[State]]</f>
        <v>IN</v>
      </c>
      <c r="C1701" t="str">
        <f>[1]!hospitalinfo[[#This Row],[Hospital Type]]</f>
        <v>Critical Access Hospitals</v>
      </c>
      <c r="D1701" t="str">
        <f>[1]!hospitalinfo[[#This Row],[Hospital Ownership]]</f>
        <v>Government - Local</v>
      </c>
      <c r="E1701" t="str" cm="1">
        <f t="array" ref="E1701">_xlfn.IFNA(_xlfn.XLOOKUP(1,([1]!hcahps[Facility ID] = clean[[#This Row],[Facility ID]]) * ([1]!hcahps[HCAHPS Measure ID] = "H_HSP_RATING_LINEAR_SCORE"), [1]!hcahps[HCAHPS Linear Mean Value]), "No Match")</f>
        <v>Not Available</v>
      </c>
      <c r="F1701" cm="1">
        <f t="array" ref="F1701">_xlfn.IFNA(_xlfn.XLOOKUP(1,([1]!readmissions[Facility ID] = clean[[#This Row],[Facility ID]]) * ([1]!readmissions[Measure ID] = "Hybrid_HWR"), [1]!readmissions[Score]), "No Match")</f>
        <v>15.4</v>
      </c>
    </row>
    <row r="1702" spans="1:6" x14ac:dyDescent="0.2">
      <c r="A1702">
        <f>[1]!hospitalinfo[[#This Row],[Facility ID]]</f>
        <v>151305</v>
      </c>
      <c r="B1702" t="str">
        <f>[1]!hospitalinfo[[#This Row],[State]]</f>
        <v>IN</v>
      </c>
      <c r="C1702" t="str">
        <f>[1]!hospitalinfo[[#This Row],[Hospital Type]]</f>
        <v>Critical Access Hospitals</v>
      </c>
      <c r="D1702" t="str">
        <f>[1]!hospitalinfo[[#This Row],[Hospital Ownership]]</f>
        <v>Voluntary non-profit - Other</v>
      </c>
      <c r="E1702" t="str" cm="1">
        <f t="array" ref="E1702">_xlfn.IFNA(_xlfn.XLOOKUP(1,([1]!hcahps[Facility ID] = clean[[#This Row],[Facility ID]]) * ([1]!hcahps[HCAHPS Measure ID] = "H_HSP_RATING_LINEAR_SCORE"), [1]!hcahps[HCAHPS Linear Mean Value]), "No Match")</f>
        <v>Not Available</v>
      </c>
      <c r="F1702" cm="1">
        <f t="array" ref="F1702">_xlfn.IFNA(_xlfn.XLOOKUP(1,([1]!readmissions[Facility ID] = clean[[#This Row],[Facility ID]]) * ([1]!readmissions[Measure ID] = "Hybrid_HWR"), [1]!readmissions[Score]), "No Match")</f>
        <v>14.8</v>
      </c>
    </row>
    <row r="1703" spans="1:6" x14ac:dyDescent="0.2">
      <c r="A1703">
        <f>[1]!hospitalinfo[[#This Row],[Facility ID]]</f>
        <v>151306</v>
      </c>
      <c r="B1703" t="str">
        <f>[1]!hospitalinfo[[#This Row],[State]]</f>
        <v>IN</v>
      </c>
      <c r="C1703" t="str">
        <f>[1]!hospitalinfo[[#This Row],[Hospital Type]]</f>
        <v>Critical Access Hospitals</v>
      </c>
      <c r="D1703" t="str">
        <f>[1]!hospitalinfo[[#This Row],[Hospital Ownership]]</f>
        <v>Voluntary non-profit - Private</v>
      </c>
      <c r="E1703" t="str" cm="1">
        <f t="array" ref="E1703">_xlfn.IFNA(_xlfn.XLOOKUP(1,([1]!hcahps[Facility ID] = clean[[#This Row],[Facility ID]]) * ([1]!hcahps[HCAHPS Measure ID] = "H_HSP_RATING_LINEAR_SCORE"), [1]!hcahps[HCAHPS Linear Mean Value]), "No Match")</f>
        <v>Not Available</v>
      </c>
      <c r="F1703" cm="1">
        <f t="array" ref="F1703">_xlfn.IFNA(_xlfn.XLOOKUP(1,([1]!readmissions[Facility ID] = clean[[#This Row],[Facility ID]]) * ([1]!readmissions[Measure ID] = "Hybrid_HWR"), [1]!readmissions[Score]), "No Match")</f>
        <v>15.1</v>
      </c>
    </row>
    <row r="1704" spans="1:6" x14ac:dyDescent="0.2">
      <c r="A1704">
        <f>[1]!hospitalinfo[[#This Row],[Facility ID]]</f>
        <v>151307</v>
      </c>
      <c r="B1704" t="str">
        <f>[1]!hospitalinfo[[#This Row],[State]]</f>
        <v>IN</v>
      </c>
      <c r="C1704" t="str">
        <f>[1]!hospitalinfo[[#This Row],[Hospital Type]]</f>
        <v>Critical Access Hospitals</v>
      </c>
      <c r="D1704" t="str">
        <f>[1]!hospitalinfo[[#This Row],[Hospital Ownership]]</f>
        <v>Voluntary non-profit - Church</v>
      </c>
      <c r="E1704" t="str" cm="1">
        <f t="array" ref="E1704">_xlfn.IFNA(_xlfn.XLOOKUP(1,([1]!hcahps[Facility ID] = clean[[#This Row],[Facility ID]]) * ([1]!hcahps[HCAHPS Measure ID] = "H_HSP_RATING_LINEAR_SCORE"), [1]!hcahps[HCAHPS Linear Mean Value]), "No Match")</f>
        <v>Not Available</v>
      </c>
      <c r="F1704" cm="1">
        <f t="array" ref="F1704">_xlfn.IFNA(_xlfn.XLOOKUP(1,([1]!readmissions[Facility ID] = clean[[#This Row],[Facility ID]]) * ([1]!readmissions[Measure ID] = "Hybrid_HWR"), [1]!readmissions[Score]), "No Match")</f>
        <v>15.4</v>
      </c>
    </row>
    <row r="1705" spans="1:6" x14ac:dyDescent="0.2">
      <c r="A1705">
        <f>[1]!hospitalinfo[[#This Row],[Facility ID]]</f>
        <v>151308</v>
      </c>
      <c r="B1705" t="str">
        <f>[1]!hospitalinfo[[#This Row],[State]]</f>
        <v>IN</v>
      </c>
      <c r="C1705" t="str">
        <f>[1]!hospitalinfo[[#This Row],[Hospital Type]]</f>
        <v>Critical Access Hospitals</v>
      </c>
      <c r="D1705" t="str">
        <f>[1]!hospitalinfo[[#This Row],[Hospital Ownership]]</f>
        <v>Voluntary non-profit - Church</v>
      </c>
      <c r="E1705" t="str" cm="1">
        <f t="array" ref="E1705">_xlfn.IFNA(_xlfn.XLOOKUP(1,([1]!hcahps[Facility ID] = clean[[#This Row],[Facility ID]]) * ([1]!hcahps[HCAHPS Measure ID] = "H_HSP_RATING_LINEAR_SCORE"), [1]!hcahps[HCAHPS Linear Mean Value]), "No Match")</f>
        <v>Not Available</v>
      </c>
      <c r="F1705" cm="1">
        <f t="array" ref="F1705">_xlfn.IFNA(_xlfn.XLOOKUP(1,([1]!readmissions[Facility ID] = clean[[#This Row],[Facility ID]]) * ([1]!readmissions[Measure ID] = "Hybrid_HWR"), [1]!readmissions[Score]), "No Match")</f>
        <v>15</v>
      </c>
    </row>
    <row r="1706" spans="1:6" x14ac:dyDescent="0.2">
      <c r="A1706">
        <f>[1]!hospitalinfo[[#This Row],[Facility ID]]</f>
        <v>151309</v>
      </c>
      <c r="B1706" t="str">
        <f>[1]!hospitalinfo[[#This Row],[State]]</f>
        <v>IN</v>
      </c>
      <c r="C1706" t="str">
        <f>[1]!hospitalinfo[[#This Row],[Hospital Type]]</f>
        <v>Critical Access Hospitals</v>
      </c>
      <c r="D1706" t="str">
        <f>[1]!hospitalinfo[[#This Row],[Hospital Ownership]]</f>
        <v>Voluntary non-profit - Private</v>
      </c>
      <c r="E1706" t="str" cm="1">
        <f t="array" ref="E1706">_xlfn.IFNA(_xlfn.XLOOKUP(1,([1]!hcahps[Facility ID] = clean[[#This Row],[Facility ID]]) * ([1]!hcahps[HCAHPS Measure ID] = "H_HSP_RATING_LINEAR_SCORE"), [1]!hcahps[HCAHPS Linear Mean Value]), "No Match")</f>
        <v>Not Available</v>
      </c>
      <c r="F1706" cm="1">
        <f t="array" ref="F1706">_xlfn.IFNA(_xlfn.XLOOKUP(1,([1]!readmissions[Facility ID] = clean[[#This Row],[Facility ID]]) * ([1]!readmissions[Measure ID] = "Hybrid_HWR"), [1]!readmissions[Score]), "No Match")</f>
        <v>15.3</v>
      </c>
    </row>
    <row r="1707" spans="1:6" x14ac:dyDescent="0.2">
      <c r="A1707">
        <f>[1]!hospitalinfo[[#This Row],[Facility ID]]</f>
        <v>151310</v>
      </c>
      <c r="B1707" t="str">
        <f>[1]!hospitalinfo[[#This Row],[State]]</f>
        <v>IN</v>
      </c>
      <c r="C1707" t="str">
        <f>[1]!hospitalinfo[[#This Row],[Hospital Type]]</f>
        <v>Critical Access Hospitals</v>
      </c>
      <c r="D1707" t="str">
        <f>[1]!hospitalinfo[[#This Row],[Hospital Ownership]]</f>
        <v>Voluntary non-profit - Private</v>
      </c>
      <c r="E1707" cm="1">
        <f t="array" ref="E1707">_xlfn.IFNA(_xlfn.XLOOKUP(1,([1]!hcahps[Facility ID] = clean[[#This Row],[Facility ID]]) * ([1]!hcahps[HCAHPS Measure ID] = "H_HSP_RATING_LINEAR_SCORE"), [1]!hcahps[HCAHPS Linear Mean Value]), "No Match")</f>
        <v>92</v>
      </c>
      <c r="F1707" cm="1">
        <f t="array" ref="F1707">_xlfn.IFNA(_xlfn.XLOOKUP(1,([1]!readmissions[Facility ID] = clean[[#This Row],[Facility ID]]) * ([1]!readmissions[Measure ID] = "Hybrid_HWR"), [1]!readmissions[Score]), "No Match")</f>
        <v>14.7</v>
      </c>
    </row>
    <row r="1708" spans="1:6" x14ac:dyDescent="0.2">
      <c r="A1708">
        <f>[1]!hospitalinfo[[#This Row],[Facility ID]]</f>
        <v>151311</v>
      </c>
      <c r="B1708" t="str">
        <f>[1]!hospitalinfo[[#This Row],[State]]</f>
        <v>IN</v>
      </c>
      <c r="C1708" t="str">
        <f>[1]!hospitalinfo[[#This Row],[Hospital Type]]</f>
        <v>Critical Access Hospitals</v>
      </c>
      <c r="D1708" t="str">
        <f>[1]!hospitalinfo[[#This Row],[Hospital Ownership]]</f>
        <v>Voluntary non-profit - Other</v>
      </c>
      <c r="E1708" t="str" cm="1">
        <f t="array" ref="E1708">_xlfn.IFNA(_xlfn.XLOOKUP(1,([1]!hcahps[Facility ID] = clean[[#This Row],[Facility ID]]) * ([1]!hcahps[HCAHPS Measure ID] = "H_HSP_RATING_LINEAR_SCORE"), [1]!hcahps[HCAHPS Linear Mean Value]), "No Match")</f>
        <v>Not Available</v>
      </c>
      <c r="F1708" cm="1">
        <f t="array" ref="F1708">_xlfn.IFNA(_xlfn.XLOOKUP(1,([1]!readmissions[Facility ID] = clean[[#This Row],[Facility ID]]) * ([1]!readmissions[Measure ID] = "Hybrid_HWR"), [1]!readmissions[Score]), "No Match")</f>
        <v>15.1</v>
      </c>
    </row>
    <row r="1709" spans="1:6" x14ac:dyDescent="0.2">
      <c r="A1709">
        <f>[1]!hospitalinfo[[#This Row],[Facility ID]]</f>
        <v>151312</v>
      </c>
      <c r="B1709" t="str">
        <f>[1]!hospitalinfo[[#This Row],[State]]</f>
        <v>IN</v>
      </c>
      <c r="C1709" t="str">
        <f>[1]!hospitalinfo[[#This Row],[Hospital Type]]</f>
        <v>Critical Access Hospitals</v>
      </c>
      <c r="D1709" t="str">
        <f>[1]!hospitalinfo[[#This Row],[Hospital Ownership]]</f>
        <v>Voluntary non-profit - Private</v>
      </c>
      <c r="E1709" t="str" cm="1">
        <f t="array" ref="E1709">_xlfn.IFNA(_xlfn.XLOOKUP(1,([1]!hcahps[Facility ID] = clean[[#This Row],[Facility ID]]) * ([1]!hcahps[HCAHPS Measure ID] = "H_HSP_RATING_LINEAR_SCORE"), [1]!hcahps[HCAHPS Linear Mean Value]), "No Match")</f>
        <v>Not Available</v>
      </c>
      <c r="F1709" cm="1">
        <f t="array" ref="F1709">_xlfn.IFNA(_xlfn.XLOOKUP(1,([1]!readmissions[Facility ID] = clean[[#This Row],[Facility ID]]) * ([1]!readmissions[Measure ID] = "Hybrid_HWR"), [1]!readmissions[Score]), "No Match")</f>
        <v>13.6</v>
      </c>
    </row>
    <row r="1710" spans="1:6" x14ac:dyDescent="0.2">
      <c r="A1710">
        <f>[1]!hospitalinfo[[#This Row],[Facility ID]]</f>
        <v>151313</v>
      </c>
      <c r="B1710" t="str">
        <f>[1]!hospitalinfo[[#This Row],[State]]</f>
        <v>IN</v>
      </c>
      <c r="C1710" t="str">
        <f>[1]!hospitalinfo[[#This Row],[Hospital Type]]</f>
        <v>Critical Access Hospitals</v>
      </c>
      <c r="D1710" t="str">
        <f>[1]!hospitalinfo[[#This Row],[Hospital Ownership]]</f>
        <v>Government - Local</v>
      </c>
      <c r="E1710" t="str" cm="1">
        <f t="array" ref="E1710">_xlfn.IFNA(_xlfn.XLOOKUP(1,([1]!hcahps[Facility ID] = clean[[#This Row],[Facility ID]]) * ([1]!hcahps[HCAHPS Measure ID] = "H_HSP_RATING_LINEAR_SCORE"), [1]!hcahps[HCAHPS Linear Mean Value]), "No Match")</f>
        <v>Not Available</v>
      </c>
      <c r="F1710" cm="1">
        <f t="array" ref="F1710">_xlfn.IFNA(_xlfn.XLOOKUP(1,([1]!readmissions[Facility ID] = clean[[#This Row],[Facility ID]]) * ([1]!readmissions[Measure ID] = "Hybrid_HWR"), [1]!readmissions[Score]), "No Match")</f>
        <v>15</v>
      </c>
    </row>
    <row r="1711" spans="1:6" x14ac:dyDescent="0.2">
      <c r="A1711">
        <f>[1]!hospitalinfo[[#This Row],[Facility ID]]</f>
        <v>151314</v>
      </c>
      <c r="B1711" t="str">
        <f>[1]!hospitalinfo[[#This Row],[State]]</f>
        <v>IN</v>
      </c>
      <c r="C1711" t="str">
        <f>[1]!hospitalinfo[[#This Row],[Hospital Type]]</f>
        <v>Critical Access Hospitals</v>
      </c>
      <c r="D1711" t="str">
        <f>[1]!hospitalinfo[[#This Row],[Hospital Ownership]]</f>
        <v>Voluntary non-profit - Private</v>
      </c>
      <c r="E1711" t="str" cm="1">
        <f t="array" ref="E1711">_xlfn.IFNA(_xlfn.XLOOKUP(1,([1]!hcahps[Facility ID] = clean[[#This Row],[Facility ID]]) * ([1]!hcahps[HCAHPS Measure ID] = "H_HSP_RATING_LINEAR_SCORE"), [1]!hcahps[HCAHPS Linear Mean Value]), "No Match")</f>
        <v>Not Available</v>
      </c>
      <c r="F1711" cm="1">
        <f t="array" ref="F1711">_xlfn.IFNA(_xlfn.XLOOKUP(1,([1]!readmissions[Facility ID] = clean[[#This Row],[Facility ID]]) * ([1]!readmissions[Measure ID] = "Hybrid_HWR"), [1]!readmissions[Score]), "No Match")</f>
        <v>14.8</v>
      </c>
    </row>
    <row r="1712" spans="1:6" x14ac:dyDescent="0.2">
      <c r="A1712">
        <f>[1]!hospitalinfo[[#This Row],[Facility ID]]</f>
        <v>151315</v>
      </c>
      <c r="B1712" t="str">
        <f>[1]!hospitalinfo[[#This Row],[State]]</f>
        <v>IN</v>
      </c>
      <c r="C1712" t="str">
        <f>[1]!hospitalinfo[[#This Row],[Hospital Type]]</f>
        <v>Critical Access Hospitals</v>
      </c>
      <c r="D1712" t="str">
        <f>[1]!hospitalinfo[[#This Row],[Hospital Ownership]]</f>
        <v>Voluntary non-profit - Private</v>
      </c>
      <c r="E1712" cm="1">
        <f t="array" ref="E1712">_xlfn.IFNA(_xlfn.XLOOKUP(1,([1]!hcahps[Facility ID] = clean[[#This Row],[Facility ID]]) * ([1]!hcahps[HCAHPS Measure ID] = "H_HSP_RATING_LINEAR_SCORE"), [1]!hcahps[HCAHPS Linear Mean Value]), "No Match")</f>
        <v>91</v>
      </c>
      <c r="F1712" cm="1">
        <f t="array" ref="F1712">_xlfn.IFNA(_xlfn.XLOOKUP(1,([1]!readmissions[Facility ID] = clean[[#This Row],[Facility ID]]) * ([1]!readmissions[Measure ID] = "Hybrid_HWR"), [1]!readmissions[Score]), "No Match")</f>
        <v>14.3</v>
      </c>
    </row>
    <row r="1713" spans="1:6" x14ac:dyDescent="0.2">
      <c r="A1713">
        <f>[1]!hospitalinfo[[#This Row],[Facility ID]]</f>
        <v>151316</v>
      </c>
      <c r="B1713" t="str">
        <f>[1]!hospitalinfo[[#This Row],[State]]</f>
        <v>IN</v>
      </c>
      <c r="C1713" t="str">
        <f>[1]!hospitalinfo[[#This Row],[Hospital Type]]</f>
        <v>Critical Access Hospitals</v>
      </c>
      <c r="D1713" t="str">
        <f>[1]!hospitalinfo[[#This Row],[Hospital Ownership]]</f>
        <v>Voluntary non-profit - Private</v>
      </c>
      <c r="E1713" t="str" cm="1">
        <f t="array" ref="E1713">_xlfn.IFNA(_xlfn.XLOOKUP(1,([1]!hcahps[Facility ID] = clean[[#This Row],[Facility ID]]) * ([1]!hcahps[HCAHPS Measure ID] = "H_HSP_RATING_LINEAR_SCORE"), [1]!hcahps[HCAHPS Linear Mean Value]), "No Match")</f>
        <v>Not Available</v>
      </c>
      <c r="F1713" cm="1">
        <f t="array" ref="F1713">_xlfn.IFNA(_xlfn.XLOOKUP(1,([1]!readmissions[Facility ID] = clean[[#This Row],[Facility ID]]) * ([1]!readmissions[Measure ID] = "Hybrid_HWR"), [1]!readmissions[Score]), "No Match")</f>
        <v>14.4</v>
      </c>
    </row>
    <row r="1714" spans="1:6" x14ac:dyDescent="0.2">
      <c r="A1714">
        <f>[1]!hospitalinfo[[#This Row],[Facility ID]]</f>
        <v>151317</v>
      </c>
      <c r="B1714" t="str">
        <f>[1]!hospitalinfo[[#This Row],[State]]</f>
        <v>IN</v>
      </c>
      <c r="C1714" t="str">
        <f>[1]!hospitalinfo[[#This Row],[Hospital Type]]</f>
        <v>Critical Access Hospitals</v>
      </c>
      <c r="D1714" t="str">
        <f>[1]!hospitalinfo[[#This Row],[Hospital Ownership]]</f>
        <v>Government - Local</v>
      </c>
      <c r="E1714" cm="1">
        <f t="array" ref="E1714">_xlfn.IFNA(_xlfn.XLOOKUP(1,([1]!hcahps[Facility ID] = clean[[#This Row],[Facility ID]]) * ([1]!hcahps[HCAHPS Measure ID] = "H_HSP_RATING_LINEAR_SCORE"), [1]!hcahps[HCAHPS Linear Mean Value]), "No Match")</f>
        <v>93</v>
      </c>
      <c r="F1714" cm="1">
        <f t="array" ref="F1714">_xlfn.IFNA(_xlfn.XLOOKUP(1,([1]!readmissions[Facility ID] = clean[[#This Row],[Facility ID]]) * ([1]!readmissions[Measure ID] = "Hybrid_HWR"), [1]!readmissions[Score]), "No Match")</f>
        <v>14.8</v>
      </c>
    </row>
    <row r="1715" spans="1:6" x14ac:dyDescent="0.2">
      <c r="A1715">
        <f>[1]!hospitalinfo[[#This Row],[Facility ID]]</f>
        <v>151318</v>
      </c>
      <c r="B1715" t="str">
        <f>[1]!hospitalinfo[[#This Row],[State]]</f>
        <v>IN</v>
      </c>
      <c r="C1715" t="str">
        <f>[1]!hospitalinfo[[#This Row],[Hospital Type]]</f>
        <v>Critical Access Hospitals</v>
      </c>
      <c r="D1715" t="str">
        <f>[1]!hospitalinfo[[#This Row],[Hospital Ownership]]</f>
        <v>Proprietary</v>
      </c>
      <c r="E1715" t="str" cm="1">
        <f t="array" ref="E1715">_xlfn.IFNA(_xlfn.XLOOKUP(1,([1]!hcahps[Facility ID] = clean[[#This Row],[Facility ID]]) * ([1]!hcahps[HCAHPS Measure ID] = "H_HSP_RATING_LINEAR_SCORE"), [1]!hcahps[HCAHPS Linear Mean Value]), "No Match")</f>
        <v>Not Available</v>
      </c>
      <c r="F1715" cm="1">
        <f t="array" ref="F1715">_xlfn.IFNA(_xlfn.XLOOKUP(1,([1]!readmissions[Facility ID] = clean[[#This Row],[Facility ID]]) * ([1]!readmissions[Measure ID] = "Hybrid_HWR"), [1]!readmissions[Score]), "No Match")</f>
        <v>15.2</v>
      </c>
    </row>
    <row r="1716" spans="1:6" x14ac:dyDescent="0.2">
      <c r="A1716">
        <f>[1]!hospitalinfo[[#This Row],[Facility ID]]</f>
        <v>151319</v>
      </c>
      <c r="B1716" t="str">
        <f>[1]!hospitalinfo[[#This Row],[State]]</f>
        <v>IN</v>
      </c>
      <c r="C1716" t="str">
        <f>[1]!hospitalinfo[[#This Row],[Hospital Type]]</f>
        <v>Critical Access Hospitals</v>
      </c>
      <c r="D1716" t="str">
        <f>[1]!hospitalinfo[[#This Row],[Hospital Ownership]]</f>
        <v>Voluntary non-profit - Private</v>
      </c>
      <c r="E1716" cm="1">
        <f t="array" ref="E1716">_xlfn.IFNA(_xlfn.XLOOKUP(1,([1]!hcahps[Facility ID] = clean[[#This Row],[Facility ID]]) * ([1]!hcahps[HCAHPS Measure ID] = "H_HSP_RATING_LINEAR_SCORE"), [1]!hcahps[HCAHPS Linear Mean Value]), "No Match")</f>
        <v>91</v>
      </c>
      <c r="F1716" t="str" cm="1">
        <f t="array" ref="F1716">_xlfn.IFNA(_xlfn.XLOOKUP(1,([1]!readmissions[Facility ID] = clean[[#This Row],[Facility ID]]) * ([1]!readmissions[Measure ID] = "Hybrid_HWR"), [1]!readmissions[Score]), "No Match")</f>
        <v>Not Available</v>
      </c>
    </row>
    <row r="1717" spans="1:6" x14ac:dyDescent="0.2">
      <c r="A1717">
        <f>[1]!hospitalinfo[[#This Row],[Facility ID]]</f>
        <v>151320</v>
      </c>
      <c r="B1717" t="str">
        <f>[1]!hospitalinfo[[#This Row],[State]]</f>
        <v>IN</v>
      </c>
      <c r="C1717" t="str">
        <f>[1]!hospitalinfo[[#This Row],[Hospital Type]]</f>
        <v>Critical Access Hospitals</v>
      </c>
      <c r="D1717" t="str">
        <f>[1]!hospitalinfo[[#This Row],[Hospital Ownership]]</f>
        <v>Government - Local</v>
      </c>
      <c r="E1717" t="str" cm="1">
        <f t="array" ref="E1717">_xlfn.IFNA(_xlfn.XLOOKUP(1,([1]!hcahps[Facility ID] = clean[[#This Row],[Facility ID]]) * ([1]!hcahps[HCAHPS Measure ID] = "H_HSP_RATING_LINEAR_SCORE"), [1]!hcahps[HCAHPS Linear Mean Value]), "No Match")</f>
        <v>Not Available</v>
      </c>
      <c r="F1717" cm="1">
        <f t="array" ref="F1717">_xlfn.IFNA(_xlfn.XLOOKUP(1,([1]!readmissions[Facility ID] = clean[[#This Row],[Facility ID]]) * ([1]!readmissions[Measure ID] = "Hybrid_HWR"), [1]!readmissions[Score]), "No Match")</f>
        <v>14.2</v>
      </c>
    </row>
    <row r="1718" spans="1:6" x14ac:dyDescent="0.2">
      <c r="A1718">
        <f>[1]!hospitalinfo[[#This Row],[Facility ID]]</f>
        <v>151322</v>
      </c>
      <c r="B1718" t="str">
        <f>[1]!hospitalinfo[[#This Row],[State]]</f>
        <v>IN</v>
      </c>
      <c r="C1718" t="str">
        <f>[1]!hospitalinfo[[#This Row],[Hospital Type]]</f>
        <v>Critical Access Hospitals</v>
      </c>
      <c r="D1718" t="str">
        <f>[1]!hospitalinfo[[#This Row],[Hospital Ownership]]</f>
        <v>Voluntary non-profit - Other</v>
      </c>
      <c r="E1718" cm="1">
        <f t="array" ref="E1718">_xlfn.IFNA(_xlfn.XLOOKUP(1,([1]!hcahps[Facility ID] = clean[[#This Row],[Facility ID]]) * ([1]!hcahps[HCAHPS Measure ID] = "H_HSP_RATING_LINEAR_SCORE"), [1]!hcahps[HCAHPS Linear Mean Value]), "No Match")</f>
        <v>90</v>
      </c>
      <c r="F1718" cm="1">
        <f t="array" ref="F1718">_xlfn.IFNA(_xlfn.XLOOKUP(1,([1]!readmissions[Facility ID] = clean[[#This Row],[Facility ID]]) * ([1]!readmissions[Measure ID] = "Hybrid_HWR"), [1]!readmissions[Score]), "No Match")</f>
        <v>15</v>
      </c>
    </row>
    <row r="1719" spans="1:6" x14ac:dyDescent="0.2">
      <c r="A1719">
        <f>[1]!hospitalinfo[[#This Row],[Facility ID]]</f>
        <v>151323</v>
      </c>
      <c r="B1719" t="str">
        <f>[1]!hospitalinfo[[#This Row],[State]]</f>
        <v>IN</v>
      </c>
      <c r="C1719" t="str">
        <f>[1]!hospitalinfo[[#This Row],[Hospital Type]]</f>
        <v>Critical Access Hospitals</v>
      </c>
      <c r="D1719" t="str">
        <f>[1]!hospitalinfo[[#This Row],[Hospital Ownership]]</f>
        <v>Voluntary non-profit - Private</v>
      </c>
      <c r="E1719" cm="1">
        <f t="array" ref="E1719">_xlfn.IFNA(_xlfn.XLOOKUP(1,([1]!hcahps[Facility ID] = clean[[#This Row],[Facility ID]]) * ([1]!hcahps[HCAHPS Measure ID] = "H_HSP_RATING_LINEAR_SCORE"), [1]!hcahps[HCAHPS Linear Mean Value]), "No Match")</f>
        <v>91</v>
      </c>
      <c r="F1719" cm="1">
        <f t="array" ref="F1719">_xlfn.IFNA(_xlfn.XLOOKUP(1,([1]!readmissions[Facility ID] = clean[[#This Row],[Facility ID]]) * ([1]!readmissions[Measure ID] = "Hybrid_HWR"), [1]!readmissions[Score]), "No Match")</f>
        <v>15</v>
      </c>
    </row>
    <row r="1720" spans="1:6" x14ac:dyDescent="0.2">
      <c r="A1720">
        <f>[1]!hospitalinfo[[#This Row],[Facility ID]]</f>
        <v>151324</v>
      </c>
      <c r="B1720" t="str">
        <f>[1]!hospitalinfo[[#This Row],[State]]</f>
        <v>IN</v>
      </c>
      <c r="C1720" t="str">
        <f>[1]!hospitalinfo[[#This Row],[Hospital Type]]</f>
        <v>Critical Access Hospitals</v>
      </c>
      <c r="D1720" t="str">
        <f>[1]!hospitalinfo[[#This Row],[Hospital Ownership]]</f>
        <v>Voluntary non-profit - Private</v>
      </c>
      <c r="E1720" t="str" cm="1">
        <f t="array" ref="E1720">_xlfn.IFNA(_xlfn.XLOOKUP(1,([1]!hcahps[Facility ID] = clean[[#This Row],[Facility ID]]) * ([1]!hcahps[HCAHPS Measure ID] = "H_HSP_RATING_LINEAR_SCORE"), [1]!hcahps[HCAHPS Linear Mean Value]), "No Match")</f>
        <v>Not Available</v>
      </c>
      <c r="F1720" cm="1">
        <f t="array" ref="F1720">_xlfn.IFNA(_xlfn.XLOOKUP(1,([1]!readmissions[Facility ID] = clean[[#This Row],[Facility ID]]) * ([1]!readmissions[Measure ID] = "Hybrid_HWR"), [1]!readmissions[Score]), "No Match")</f>
        <v>14.1</v>
      </c>
    </row>
    <row r="1721" spans="1:6" x14ac:dyDescent="0.2">
      <c r="A1721">
        <f>[1]!hospitalinfo[[#This Row],[Facility ID]]</f>
        <v>151325</v>
      </c>
      <c r="B1721" t="str">
        <f>[1]!hospitalinfo[[#This Row],[State]]</f>
        <v>IN</v>
      </c>
      <c r="C1721" t="str">
        <f>[1]!hospitalinfo[[#This Row],[Hospital Type]]</f>
        <v>Critical Access Hospitals</v>
      </c>
      <c r="D1721" t="str">
        <f>[1]!hospitalinfo[[#This Row],[Hospital Ownership]]</f>
        <v>Voluntary non-profit - Private</v>
      </c>
      <c r="E1721" t="str" cm="1">
        <f t="array" ref="E1721">_xlfn.IFNA(_xlfn.XLOOKUP(1,([1]!hcahps[Facility ID] = clean[[#This Row],[Facility ID]]) * ([1]!hcahps[HCAHPS Measure ID] = "H_HSP_RATING_LINEAR_SCORE"), [1]!hcahps[HCAHPS Linear Mean Value]), "No Match")</f>
        <v>Not Available</v>
      </c>
      <c r="F1721" cm="1">
        <f t="array" ref="F1721">_xlfn.IFNA(_xlfn.XLOOKUP(1,([1]!readmissions[Facility ID] = clean[[#This Row],[Facility ID]]) * ([1]!readmissions[Measure ID] = "Hybrid_HWR"), [1]!readmissions[Score]), "No Match")</f>
        <v>15</v>
      </c>
    </row>
    <row r="1722" spans="1:6" x14ac:dyDescent="0.2">
      <c r="A1722">
        <f>[1]!hospitalinfo[[#This Row],[Facility ID]]</f>
        <v>151326</v>
      </c>
      <c r="B1722" t="str">
        <f>[1]!hospitalinfo[[#This Row],[State]]</f>
        <v>IN</v>
      </c>
      <c r="C1722" t="str">
        <f>[1]!hospitalinfo[[#This Row],[Hospital Type]]</f>
        <v>Critical Access Hospitals</v>
      </c>
      <c r="D1722" t="str">
        <f>[1]!hospitalinfo[[#This Row],[Hospital Ownership]]</f>
        <v>Voluntary non-profit - Private</v>
      </c>
      <c r="E1722" t="str" cm="1">
        <f t="array" ref="E1722">_xlfn.IFNA(_xlfn.XLOOKUP(1,([1]!hcahps[Facility ID] = clean[[#This Row],[Facility ID]]) * ([1]!hcahps[HCAHPS Measure ID] = "H_HSP_RATING_LINEAR_SCORE"), [1]!hcahps[HCAHPS Linear Mean Value]), "No Match")</f>
        <v>Not Available</v>
      </c>
      <c r="F1722" cm="1">
        <f t="array" ref="F1722">_xlfn.IFNA(_xlfn.XLOOKUP(1,([1]!readmissions[Facility ID] = clean[[#This Row],[Facility ID]]) * ([1]!readmissions[Measure ID] = "Hybrid_HWR"), [1]!readmissions[Score]), "No Match")</f>
        <v>15.4</v>
      </c>
    </row>
    <row r="1723" spans="1:6" x14ac:dyDescent="0.2">
      <c r="A1723">
        <f>[1]!hospitalinfo[[#This Row],[Facility ID]]</f>
        <v>151327</v>
      </c>
      <c r="B1723" t="str">
        <f>[1]!hospitalinfo[[#This Row],[State]]</f>
        <v>IN</v>
      </c>
      <c r="C1723" t="str">
        <f>[1]!hospitalinfo[[#This Row],[Hospital Type]]</f>
        <v>Critical Access Hospitals</v>
      </c>
      <c r="D1723" t="str">
        <f>[1]!hospitalinfo[[#This Row],[Hospital Ownership]]</f>
        <v>Government - Local</v>
      </c>
      <c r="E1723" t="str" cm="1">
        <f t="array" ref="E1723">_xlfn.IFNA(_xlfn.XLOOKUP(1,([1]!hcahps[Facility ID] = clean[[#This Row],[Facility ID]]) * ([1]!hcahps[HCAHPS Measure ID] = "H_HSP_RATING_LINEAR_SCORE"), [1]!hcahps[HCAHPS Linear Mean Value]), "No Match")</f>
        <v>Not Available</v>
      </c>
      <c r="F1723" cm="1">
        <f t="array" ref="F1723">_xlfn.IFNA(_xlfn.XLOOKUP(1,([1]!readmissions[Facility ID] = clean[[#This Row],[Facility ID]]) * ([1]!readmissions[Measure ID] = "Hybrid_HWR"), [1]!readmissions[Score]), "No Match")</f>
        <v>14.7</v>
      </c>
    </row>
    <row r="1724" spans="1:6" x14ac:dyDescent="0.2">
      <c r="A1724">
        <f>[1]!hospitalinfo[[#This Row],[Facility ID]]</f>
        <v>151328</v>
      </c>
      <c r="B1724" t="str">
        <f>[1]!hospitalinfo[[#This Row],[State]]</f>
        <v>IN</v>
      </c>
      <c r="C1724" t="str">
        <f>[1]!hospitalinfo[[#This Row],[Hospital Type]]</f>
        <v>Critical Access Hospitals</v>
      </c>
      <c r="D1724" t="str">
        <f>[1]!hospitalinfo[[#This Row],[Hospital Ownership]]</f>
        <v>Voluntary non-profit - Private</v>
      </c>
      <c r="E1724" t="str" cm="1">
        <f t="array" ref="E1724">_xlfn.IFNA(_xlfn.XLOOKUP(1,([1]!hcahps[Facility ID] = clean[[#This Row],[Facility ID]]) * ([1]!hcahps[HCAHPS Measure ID] = "H_HSP_RATING_LINEAR_SCORE"), [1]!hcahps[HCAHPS Linear Mean Value]), "No Match")</f>
        <v>Not Available</v>
      </c>
      <c r="F1724" cm="1">
        <f t="array" ref="F1724">_xlfn.IFNA(_xlfn.XLOOKUP(1,([1]!readmissions[Facility ID] = clean[[#This Row],[Facility ID]]) * ([1]!readmissions[Measure ID] = "Hybrid_HWR"), [1]!readmissions[Score]), "No Match")</f>
        <v>14.6</v>
      </c>
    </row>
    <row r="1725" spans="1:6" x14ac:dyDescent="0.2">
      <c r="A1725">
        <f>[1]!hospitalinfo[[#This Row],[Facility ID]]</f>
        <v>151329</v>
      </c>
      <c r="B1725" t="str">
        <f>[1]!hospitalinfo[[#This Row],[State]]</f>
        <v>IN</v>
      </c>
      <c r="C1725" t="str">
        <f>[1]!hospitalinfo[[#This Row],[Hospital Type]]</f>
        <v>Critical Access Hospitals</v>
      </c>
      <c r="D1725" t="str">
        <f>[1]!hospitalinfo[[#This Row],[Hospital Ownership]]</f>
        <v>Voluntary non-profit - Private</v>
      </c>
      <c r="E1725" cm="1">
        <f t="array" ref="E1725">_xlfn.IFNA(_xlfn.XLOOKUP(1,([1]!hcahps[Facility ID] = clean[[#This Row],[Facility ID]]) * ([1]!hcahps[HCAHPS Measure ID] = "H_HSP_RATING_LINEAR_SCORE"), [1]!hcahps[HCAHPS Linear Mean Value]), "No Match")</f>
        <v>89</v>
      </c>
      <c r="F1725" cm="1">
        <f t="array" ref="F1725">_xlfn.IFNA(_xlfn.XLOOKUP(1,([1]!readmissions[Facility ID] = clean[[#This Row],[Facility ID]]) * ([1]!readmissions[Measure ID] = "Hybrid_HWR"), [1]!readmissions[Score]), "No Match")</f>
        <v>15.1</v>
      </c>
    </row>
    <row r="1726" spans="1:6" x14ac:dyDescent="0.2">
      <c r="A1726">
        <f>[1]!hospitalinfo[[#This Row],[Facility ID]]</f>
        <v>151330</v>
      </c>
      <c r="B1726" t="str">
        <f>[1]!hospitalinfo[[#This Row],[State]]</f>
        <v>IN</v>
      </c>
      <c r="C1726" t="str">
        <f>[1]!hospitalinfo[[#This Row],[Hospital Type]]</f>
        <v>Critical Access Hospitals</v>
      </c>
      <c r="D1726" t="str">
        <f>[1]!hospitalinfo[[#This Row],[Hospital Ownership]]</f>
        <v>Government - Local</v>
      </c>
      <c r="E1726" cm="1">
        <f t="array" ref="E1726">_xlfn.IFNA(_xlfn.XLOOKUP(1,([1]!hcahps[Facility ID] = clean[[#This Row],[Facility ID]]) * ([1]!hcahps[HCAHPS Measure ID] = "H_HSP_RATING_LINEAR_SCORE"), [1]!hcahps[HCAHPS Linear Mean Value]), "No Match")</f>
        <v>89</v>
      </c>
      <c r="F1726" cm="1">
        <f t="array" ref="F1726">_xlfn.IFNA(_xlfn.XLOOKUP(1,([1]!readmissions[Facility ID] = clean[[#This Row],[Facility ID]]) * ([1]!readmissions[Measure ID] = "Hybrid_HWR"), [1]!readmissions[Score]), "No Match")</f>
        <v>15.2</v>
      </c>
    </row>
    <row r="1727" spans="1:6" x14ac:dyDescent="0.2">
      <c r="A1727">
        <f>[1]!hospitalinfo[[#This Row],[Facility ID]]</f>
        <v>151331</v>
      </c>
      <c r="B1727" t="str">
        <f>[1]!hospitalinfo[[#This Row],[State]]</f>
        <v>IN</v>
      </c>
      <c r="C1727" t="str">
        <f>[1]!hospitalinfo[[#This Row],[Hospital Type]]</f>
        <v>Critical Access Hospitals</v>
      </c>
      <c r="D1727" t="str">
        <f>[1]!hospitalinfo[[#This Row],[Hospital Ownership]]</f>
        <v>Government - Local</v>
      </c>
      <c r="E1727" t="str" cm="1">
        <f t="array" ref="E1727">_xlfn.IFNA(_xlfn.XLOOKUP(1,([1]!hcahps[Facility ID] = clean[[#This Row],[Facility ID]]) * ([1]!hcahps[HCAHPS Measure ID] = "H_HSP_RATING_LINEAR_SCORE"), [1]!hcahps[HCAHPS Linear Mean Value]), "No Match")</f>
        <v>Not Available</v>
      </c>
      <c r="F1727" cm="1">
        <f t="array" ref="F1727">_xlfn.IFNA(_xlfn.XLOOKUP(1,([1]!readmissions[Facility ID] = clean[[#This Row],[Facility ID]]) * ([1]!readmissions[Measure ID] = "Hybrid_HWR"), [1]!readmissions[Score]), "No Match")</f>
        <v>14.9</v>
      </c>
    </row>
    <row r="1728" spans="1:6" x14ac:dyDescent="0.2">
      <c r="A1728">
        <f>[1]!hospitalinfo[[#This Row],[Facility ID]]</f>
        <v>151332</v>
      </c>
      <c r="B1728" t="str">
        <f>[1]!hospitalinfo[[#This Row],[State]]</f>
        <v>IN</v>
      </c>
      <c r="C1728" t="str">
        <f>[1]!hospitalinfo[[#This Row],[Hospital Type]]</f>
        <v>Critical Access Hospitals</v>
      </c>
      <c r="D1728" t="str">
        <f>[1]!hospitalinfo[[#This Row],[Hospital Ownership]]</f>
        <v>Government - Local</v>
      </c>
      <c r="E1728" t="str" cm="1">
        <f t="array" ref="E1728">_xlfn.IFNA(_xlfn.XLOOKUP(1,([1]!hcahps[Facility ID] = clean[[#This Row],[Facility ID]]) * ([1]!hcahps[HCAHPS Measure ID] = "H_HSP_RATING_LINEAR_SCORE"), [1]!hcahps[HCAHPS Linear Mean Value]), "No Match")</f>
        <v>Not Available</v>
      </c>
      <c r="F1728" cm="1">
        <f t="array" ref="F1728">_xlfn.IFNA(_xlfn.XLOOKUP(1,([1]!readmissions[Facility ID] = clean[[#This Row],[Facility ID]]) * ([1]!readmissions[Measure ID] = "Hybrid_HWR"), [1]!readmissions[Score]), "No Match")</f>
        <v>14.7</v>
      </c>
    </row>
    <row r="1729" spans="1:6" x14ac:dyDescent="0.2">
      <c r="A1729">
        <f>[1]!hospitalinfo[[#This Row],[Facility ID]]</f>
        <v>151333</v>
      </c>
      <c r="B1729" t="str">
        <f>[1]!hospitalinfo[[#This Row],[State]]</f>
        <v>IN</v>
      </c>
      <c r="C1729" t="str">
        <f>[1]!hospitalinfo[[#This Row],[Hospital Type]]</f>
        <v>Critical Access Hospitals</v>
      </c>
      <c r="D1729" t="str">
        <f>[1]!hospitalinfo[[#This Row],[Hospital Ownership]]</f>
        <v>Government - Local</v>
      </c>
      <c r="E1729" t="str" cm="1">
        <f t="array" ref="E1729">_xlfn.IFNA(_xlfn.XLOOKUP(1,([1]!hcahps[Facility ID] = clean[[#This Row],[Facility ID]]) * ([1]!hcahps[HCAHPS Measure ID] = "H_HSP_RATING_LINEAR_SCORE"), [1]!hcahps[HCAHPS Linear Mean Value]), "No Match")</f>
        <v>Not Available</v>
      </c>
      <c r="F1729" cm="1">
        <f t="array" ref="F1729">_xlfn.IFNA(_xlfn.XLOOKUP(1,([1]!readmissions[Facility ID] = clean[[#This Row],[Facility ID]]) * ([1]!readmissions[Measure ID] = "Hybrid_HWR"), [1]!readmissions[Score]), "No Match")</f>
        <v>14.6</v>
      </c>
    </row>
    <row r="1730" spans="1:6" x14ac:dyDescent="0.2">
      <c r="A1730">
        <f>[1]!hospitalinfo[[#This Row],[Facility ID]]</f>
        <v>151334</v>
      </c>
      <c r="B1730" t="str">
        <f>[1]!hospitalinfo[[#This Row],[State]]</f>
        <v>IN</v>
      </c>
      <c r="C1730" t="str">
        <f>[1]!hospitalinfo[[#This Row],[Hospital Type]]</f>
        <v>Critical Access Hospitals</v>
      </c>
      <c r="D1730" t="str">
        <f>[1]!hospitalinfo[[#This Row],[Hospital Ownership]]</f>
        <v>Proprietary</v>
      </c>
      <c r="E1730" t="str" cm="1">
        <f t="array" ref="E1730">_xlfn.IFNA(_xlfn.XLOOKUP(1,([1]!hcahps[Facility ID] = clean[[#This Row],[Facility ID]]) * ([1]!hcahps[HCAHPS Measure ID] = "H_HSP_RATING_LINEAR_SCORE"), [1]!hcahps[HCAHPS Linear Mean Value]), "No Match")</f>
        <v>Not Available</v>
      </c>
      <c r="F1730" cm="1">
        <f t="array" ref="F1730">_xlfn.IFNA(_xlfn.XLOOKUP(1,([1]!readmissions[Facility ID] = clean[[#This Row],[Facility ID]]) * ([1]!readmissions[Measure ID] = "Hybrid_HWR"), [1]!readmissions[Score]), "No Match")</f>
        <v>15.2</v>
      </c>
    </row>
    <row r="1731" spans="1:6" x14ac:dyDescent="0.2">
      <c r="A1731">
        <f>[1]!hospitalinfo[[#This Row],[Facility ID]]</f>
        <v>154005</v>
      </c>
      <c r="B1731" t="str">
        <f>[1]!hospitalinfo[[#This Row],[State]]</f>
        <v>IN</v>
      </c>
      <c r="C1731" t="str">
        <f>[1]!hospitalinfo[[#This Row],[Hospital Type]]</f>
        <v>Psychiatric</v>
      </c>
      <c r="D1731" t="str">
        <f>[1]!hospitalinfo[[#This Row],[Hospital Ownership]]</f>
        <v>Voluntary non-profit - Private</v>
      </c>
      <c r="E1731" t="str" cm="1">
        <f t="array" ref="E1731">_xlfn.IFNA(_xlfn.XLOOKUP(1,([1]!hcahps[Facility ID] = clean[[#This Row],[Facility ID]]) * ([1]!hcahps[HCAHPS Measure ID] = "H_HSP_RATING_LINEAR_SCORE"), [1]!hcahps[HCAHPS Linear Mean Value]), "No Match")</f>
        <v>No Match</v>
      </c>
      <c r="F1731" t="str" cm="1">
        <f t="array" ref="F1731">_xlfn.IFNA(_xlfn.XLOOKUP(1,([1]!readmissions[Facility ID] = clean[[#This Row],[Facility ID]]) * ([1]!readmissions[Measure ID] = "Hybrid_HWR"), [1]!readmissions[Score]), "No Match")</f>
        <v>No Match</v>
      </c>
    </row>
    <row r="1732" spans="1:6" x14ac:dyDescent="0.2">
      <c r="A1732">
        <f>[1]!hospitalinfo[[#This Row],[Facility ID]]</f>
        <v>154008</v>
      </c>
      <c r="B1732" t="str">
        <f>[1]!hospitalinfo[[#This Row],[State]]</f>
        <v>IN</v>
      </c>
      <c r="C1732" t="str">
        <f>[1]!hospitalinfo[[#This Row],[Hospital Type]]</f>
        <v>Psychiatric</v>
      </c>
      <c r="D1732" t="str">
        <f>[1]!hospitalinfo[[#This Row],[Hospital Ownership]]</f>
        <v>Government - State</v>
      </c>
      <c r="E1732" t="str" cm="1">
        <f t="array" ref="E1732">_xlfn.IFNA(_xlfn.XLOOKUP(1,([1]!hcahps[Facility ID] = clean[[#This Row],[Facility ID]]) * ([1]!hcahps[HCAHPS Measure ID] = "H_HSP_RATING_LINEAR_SCORE"), [1]!hcahps[HCAHPS Linear Mean Value]), "No Match")</f>
        <v>No Match</v>
      </c>
      <c r="F1732" t="str" cm="1">
        <f t="array" ref="F1732">_xlfn.IFNA(_xlfn.XLOOKUP(1,([1]!readmissions[Facility ID] = clean[[#This Row],[Facility ID]]) * ([1]!readmissions[Measure ID] = "Hybrid_HWR"), [1]!readmissions[Score]), "No Match")</f>
        <v>No Match</v>
      </c>
    </row>
    <row r="1733" spans="1:6" x14ac:dyDescent="0.2">
      <c r="A1733">
        <f>[1]!hospitalinfo[[#This Row],[Facility ID]]</f>
        <v>154009</v>
      </c>
      <c r="B1733" t="str">
        <f>[1]!hospitalinfo[[#This Row],[State]]</f>
        <v>IN</v>
      </c>
      <c r="C1733" t="str">
        <f>[1]!hospitalinfo[[#This Row],[Hospital Type]]</f>
        <v>Psychiatric</v>
      </c>
      <c r="D1733" t="str">
        <f>[1]!hospitalinfo[[#This Row],[Hospital Ownership]]</f>
        <v>Voluntary non-profit - Private</v>
      </c>
      <c r="E1733" t="str" cm="1">
        <f t="array" ref="E1733">_xlfn.IFNA(_xlfn.XLOOKUP(1,([1]!hcahps[Facility ID] = clean[[#This Row],[Facility ID]]) * ([1]!hcahps[HCAHPS Measure ID] = "H_HSP_RATING_LINEAR_SCORE"), [1]!hcahps[HCAHPS Linear Mean Value]), "No Match")</f>
        <v>No Match</v>
      </c>
      <c r="F1733" t="str" cm="1">
        <f t="array" ref="F1733">_xlfn.IFNA(_xlfn.XLOOKUP(1,([1]!readmissions[Facility ID] = clean[[#This Row],[Facility ID]]) * ([1]!readmissions[Measure ID] = "Hybrid_HWR"), [1]!readmissions[Score]), "No Match")</f>
        <v>No Match</v>
      </c>
    </row>
    <row r="1734" spans="1:6" x14ac:dyDescent="0.2">
      <c r="A1734">
        <f>[1]!hospitalinfo[[#This Row],[Facility ID]]</f>
        <v>154011</v>
      </c>
      <c r="B1734" t="str">
        <f>[1]!hospitalinfo[[#This Row],[State]]</f>
        <v>IN</v>
      </c>
      <c r="C1734" t="str">
        <f>[1]!hospitalinfo[[#This Row],[Hospital Type]]</f>
        <v>Psychiatric</v>
      </c>
      <c r="D1734" t="str">
        <f>[1]!hospitalinfo[[#This Row],[Hospital Ownership]]</f>
        <v>Voluntary non-profit - Private</v>
      </c>
      <c r="E1734" t="str" cm="1">
        <f t="array" ref="E1734">_xlfn.IFNA(_xlfn.XLOOKUP(1,([1]!hcahps[Facility ID] = clean[[#This Row],[Facility ID]]) * ([1]!hcahps[HCAHPS Measure ID] = "H_HSP_RATING_LINEAR_SCORE"), [1]!hcahps[HCAHPS Linear Mean Value]), "No Match")</f>
        <v>No Match</v>
      </c>
      <c r="F1734" t="str" cm="1">
        <f t="array" ref="F1734">_xlfn.IFNA(_xlfn.XLOOKUP(1,([1]!readmissions[Facility ID] = clean[[#This Row],[Facility ID]]) * ([1]!readmissions[Measure ID] = "Hybrid_HWR"), [1]!readmissions[Score]), "No Match")</f>
        <v>No Match</v>
      </c>
    </row>
    <row r="1735" spans="1:6" x14ac:dyDescent="0.2">
      <c r="A1735">
        <f>[1]!hospitalinfo[[#This Row],[Facility ID]]</f>
        <v>154014</v>
      </c>
      <c r="B1735" t="str">
        <f>[1]!hospitalinfo[[#This Row],[State]]</f>
        <v>IN</v>
      </c>
      <c r="C1735" t="str">
        <f>[1]!hospitalinfo[[#This Row],[Hospital Type]]</f>
        <v>Psychiatric</v>
      </c>
      <c r="D1735" t="str">
        <f>[1]!hospitalinfo[[#This Row],[Hospital Ownership]]</f>
        <v>Voluntary non-profit - Private</v>
      </c>
      <c r="E1735" t="str" cm="1">
        <f t="array" ref="E1735">_xlfn.IFNA(_xlfn.XLOOKUP(1,([1]!hcahps[Facility ID] = clean[[#This Row],[Facility ID]]) * ([1]!hcahps[HCAHPS Measure ID] = "H_HSP_RATING_LINEAR_SCORE"), [1]!hcahps[HCAHPS Linear Mean Value]), "No Match")</f>
        <v>No Match</v>
      </c>
      <c r="F1735" t="str" cm="1">
        <f t="array" ref="F1735">_xlfn.IFNA(_xlfn.XLOOKUP(1,([1]!readmissions[Facility ID] = clean[[#This Row],[Facility ID]]) * ([1]!readmissions[Measure ID] = "Hybrid_HWR"), [1]!readmissions[Score]), "No Match")</f>
        <v>No Match</v>
      </c>
    </row>
    <row r="1736" spans="1:6" x14ac:dyDescent="0.2">
      <c r="A1736">
        <f>[1]!hospitalinfo[[#This Row],[Facility ID]]</f>
        <v>154018</v>
      </c>
      <c r="B1736" t="str">
        <f>[1]!hospitalinfo[[#This Row],[State]]</f>
        <v>IN</v>
      </c>
      <c r="C1736" t="str">
        <f>[1]!hospitalinfo[[#This Row],[Hospital Type]]</f>
        <v>Psychiatric</v>
      </c>
      <c r="D1736" t="str">
        <f>[1]!hospitalinfo[[#This Row],[Hospital Ownership]]</f>
        <v>Proprietary</v>
      </c>
      <c r="E1736" t="str" cm="1">
        <f t="array" ref="E1736">_xlfn.IFNA(_xlfn.XLOOKUP(1,([1]!hcahps[Facility ID] = clean[[#This Row],[Facility ID]]) * ([1]!hcahps[HCAHPS Measure ID] = "H_HSP_RATING_LINEAR_SCORE"), [1]!hcahps[HCAHPS Linear Mean Value]), "No Match")</f>
        <v>No Match</v>
      </c>
      <c r="F1736" t="str" cm="1">
        <f t="array" ref="F1736">_xlfn.IFNA(_xlfn.XLOOKUP(1,([1]!readmissions[Facility ID] = clean[[#This Row],[Facility ID]]) * ([1]!readmissions[Measure ID] = "Hybrid_HWR"), [1]!readmissions[Score]), "No Match")</f>
        <v>No Match</v>
      </c>
    </row>
    <row r="1737" spans="1:6" x14ac:dyDescent="0.2">
      <c r="A1737">
        <f>[1]!hospitalinfo[[#This Row],[Facility ID]]</f>
        <v>154019</v>
      </c>
      <c r="B1737" t="str">
        <f>[1]!hospitalinfo[[#This Row],[State]]</f>
        <v>IN</v>
      </c>
      <c r="C1737" t="str">
        <f>[1]!hospitalinfo[[#This Row],[Hospital Type]]</f>
        <v>Psychiatric</v>
      </c>
      <c r="D1737" t="str">
        <f>[1]!hospitalinfo[[#This Row],[Hospital Ownership]]</f>
        <v>Government - State</v>
      </c>
      <c r="E1737" t="str" cm="1">
        <f t="array" ref="E1737">_xlfn.IFNA(_xlfn.XLOOKUP(1,([1]!hcahps[Facility ID] = clean[[#This Row],[Facility ID]]) * ([1]!hcahps[HCAHPS Measure ID] = "H_HSP_RATING_LINEAR_SCORE"), [1]!hcahps[HCAHPS Linear Mean Value]), "No Match")</f>
        <v>No Match</v>
      </c>
      <c r="F1737" t="str" cm="1">
        <f t="array" ref="F1737">_xlfn.IFNA(_xlfn.XLOOKUP(1,([1]!readmissions[Facility ID] = clean[[#This Row],[Facility ID]]) * ([1]!readmissions[Measure ID] = "Hybrid_HWR"), [1]!readmissions[Score]), "No Match")</f>
        <v>No Match</v>
      </c>
    </row>
    <row r="1738" spans="1:6" x14ac:dyDescent="0.2">
      <c r="A1738">
        <f>[1]!hospitalinfo[[#This Row],[Facility ID]]</f>
        <v>154020</v>
      </c>
      <c r="B1738" t="str">
        <f>[1]!hospitalinfo[[#This Row],[State]]</f>
        <v>IN</v>
      </c>
      <c r="C1738" t="str">
        <f>[1]!hospitalinfo[[#This Row],[Hospital Type]]</f>
        <v>Psychiatric</v>
      </c>
      <c r="D1738" t="str">
        <f>[1]!hospitalinfo[[#This Row],[Hospital Ownership]]</f>
        <v>Voluntary non-profit - Private</v>
      </c>
      <c r="E1738" t="str" cm="1">
        <f t="array" ref="E1738">_xlfn.IFNA(_xlfn.XLOOKUP(1,([1]!hcahps[Facility ID] = clean[[#This Row],[Facility ID]]) * ([1]!hcahps[HCAHPS Measure ID] = "H_HSP_RATING_LINEAR_SCORE"), [1]!hcahps[HCAHPS Linear Mean Value]), "No Match")</f>
        <v>No Match</v>
      </c>
      <c r="F1738" t="str" cm="1">
        <f t="array" ref="F1738">_xlfn.IFNA(_xlfn.XLOOKUP(1,([1]!readmissions[Facility ID] = clean[[#This Row],[Facility ID]]) * ([1]!readmissions[Measure ID] = "Hybrid_HWR"), [1]!readmissions[Score]), "No Match")</f>
        <v>No Match</v>
      </c>
    </row>
    <row r="1739" spans="1:6" x14ac:dyDescent="0.2">
      <c r="A1739">
        <f>[1]!hospitalinfo[[#This Row],[Facility ID]]</f>
        <v>154021</v>
      </c>
      <c r="B1739" t="str">
        <f>[1]!hospitalinfo[[#This Row],[State]]</f>
        <v>IN</v>
      </c>
      <c r="C1739" t="str">
        <f>[1]!hospitalinfo[[#This Row],[Hospital Type]]</f>
        <v>Psychiatric</v>
      </c>
      <c r="D1739" t="str">
        <f>[1]!hospitalinfo[[#This Row],[Hospital Ownership]]</f>
        <v>Voluntary non-profit - Private</v>
      </c>
      <c r="E1739" t="str" cm="1">
        <f t="array" ref="E1739">_xlfn.IFNA(_xlfn.XLOOKUP(1,([1]!hcahps[Facility ID] = clean[[#This Row],[Facility ID]]) * ([1]!hcahps[HCAHPS Measure ID] = "H_HSP_RATING_LINEAR_SCORE"), [1]!hcahps[HCAHPS Linear Mean Value]), "No Match")</f>
        <v>No Match</v>
      </c>
      <c r="F1739" t="str" cm="1">
        <f t="array" ref="F1739">_xlfn.IFNA(_xlfn.XLOOKUP(1,([1]!readmissions[Facility ID] = clean[[#This Row],[Facility ID]]) * ([1]!readmissions[Measure ID] = "Hybrid_HWR"), [1]!readmissions[Score]), "No Match")</f>
        <v>No Match</v>
      </c>
    </row>
    <row r="1740" spans="1:6" x14ac:dyDescent="0.2">
      <c r="A1740">
        <f>[1]!hospitalinfo[[#This Row],[Facility ID]]</f>
        <v>154024</v>
      </c>
      <c r="B1740" t="str">
        <f>[1]!hospitalinfo[[#This Row],[State]]</f>
        <v>IN</v>
      </c>
      <c r="C1740" t="str">
        <f>[1]!hospitalinfo[[#This Row],[Hospital Type]]</f>
        <v>Psychiatric</v>
      </c>
      <c r="D1740" t="str">
        <f>[1]!hospitalinfo[[#This Row],[Hospital Ownership]]</f>
        <v>Proprietary</v>
      </c>
      <c r="E1740" t="str" cm="1">
        <f t="array" ref="E1740">_xlfn.IFNA(_xlfn.XLOOKUP(1,([1]!hcahps[Facility ID] = clean[[#This Row],[Facility ID]]) * ([1]!hcahps[HCAHPS Measure ID] = "H_HSP_RATING_LINEAR_SCORE"), [1]!hcahps[HCAHPS Linear Mean Value]), "No Match")</f>
        <v>No Match</v>
      </c>
      <c r="F1740" t="str" cm="1">
        <f t="array" ref="F1740">_xlfn.IFNA(_xlfn.XLOOKUP(1,([1]!readmissions[Facility ID] = clean[[#This Row],[Facility ID]]) * ([1]!readmissions[Measure ID] = "Hybrid_HWR"), [1]!readmissions[Score]), "No Match")</f>
        <v>No Match</v>
      </c>
    </row>
    <row r="1741" spans="1:6" x14ac:dyDescent="0.2">
      <c r="A1741">
        <f>[1]!hospitalinfo[[#This Row],[Facility ID]]</f>
        <v>154031</v>
      </c>
      <c r="B1741" t="str">
        <f>[1]!hospitalinfo[[#This Row],[State]]</f>
        <v>IN</v>
      </c>
      <c r="C1741" t="str">
        <f>[1]!hospitalinfo[[#This Row],[Hospital Type]]</f>
        <v>Psychiatric</v>
      </c>
      <c r="D1741" t="str">
        <f>[1]!hospitalinfo[[#This Row],[Hospital Ownership]]</f>
        <v>Voluntary non-profit - Private</v>
      </c>
      <c r="E1741" t="str" cm="1">
        <f t="array" ref="E1741">_xlfn.IFNA(_xlfn.XLOOKUP(1,([1]!hcahps[Facility ID] = clean[[#This Row],[Facility ID]]) * ([1]!hcahps[HCAHPS Measure ID] = "H_HSP_RATING_LINEAR_SCORE"), [1]!hcahps[HCAHPS Linear Mean Value]), "No Match")</f>
        <v>No Match</v>
      </c>
      <c r="F1741" t="str" cm="1">
        <f t="array" ref="F1741">_xlfn.IFNA(_xlfn.XLOOKUP(1,([1]!readmissions[Facility ID] = clean[[#This Row],[Facility ID]]) * ([1]!readmissions[Measure ID] = "Hybrid_HWR"), [1]!readmissions[Score]), "No Match")</f>
        <v>No Match</v>
      </c>
    </row>
    <row r="1742" spans="1:6" x14ac:dyDescent="0.2">
      <c r="A1742">
        <f>[1]!hospitalinfo[[#This Row],[Facility ID]]</f>
        <v>154035</v>
      </c>
      <c r="B1742" t="str">
        <f>[1]!hospitalinfo[[#This Row],[State]]</f>
        <v>IN</v>
      </c>
      <c r="C1742" t="str">
        <f>[1]!hospitalinfo[[#This Row],[Hospital Type]]</f>
        <v>Psychiatric</v>
      </c>
      <c r="D1742" t="str">
        <f>[1]!hospitalinfo[[#This Row],[Hospital Ownership]]</f>
        <v>Voluntary non-profit - Private</v>
      </c>
      <c r="E1742" t="str" cm="1">
        <f t="array" ref="E1742">_xlfn.IFNA(_xlfn.XLOOKUP(1,([1]!hcahps[Facility ID] = clean[[#This Row],[Facility ID]]) * ([1]!hcahps[HCAHPS Measure ID] = "H_HSP_RATING_LINEAR_SCORE"), [1]!hcahps[HCAHPS Linear Mean Value]), "No Match")</f>
        <v>No Match</v>
      </c>
      <c r="F1742" t="str" cm="1">
        <f t="array" ref="F1742">_xlfn.IFNA(_xlfn.XLOOKUP(1,([1]!readmissions[Facility ID] = clean[[#This Row],[Facility ID]]) * ([1]!readmissions[Measure ID] = "Hybrid_HWR"), [1]!readmissions[Score]), "No Match")</f>
        <v>No Match</v>
      </c>
    </row>
    <row r="1743" spans="1:6" x14ac:dyDescent="0.2">
      <c r="A1743">
        <f>[1]!hospitalinfo[[#This Row],[Facility ID]]</f>
        <v>154041</v>
      </c>
      <c r="B1743" t="str">
        <f>[1]!hospitalinfo[[#This Row],[State]]</f>
        <v>IN</v>
      </c>
      <c r="C1743" t="str">
        <f>[1]!hospitalinfo[[#This Row],[Hospital Type]]</f>
        <v>Psychiatric</v>
      </c>
      <c r="D1743" t="str">
        <f>[1]!hospitalinfo[[#This Row],[Hospital Ownership]]</f>
        <v>Proprietary</v>
      </c>
      <c r="E1743" t="str" cm="1">
        <f t="array" ref="E1743">_xlfn.IFNA(_xlfn.XLOOKUP(1,([1]!hcahps[Facility ID] = clean[[#This Row],[Facility ID]]) * ([1]!hcahps[HCAHPS Measure ID] = "H_HSP_RATING_LINEAR_SCORE"), [1]!hcahps[HCAHPS Linear Mean Value]), "No Match")</f>
        <v>No Match</v>
      </c>
      <c r="F1743" t="str" cm="1">
        <f t="array" ref="F1743">_xlfn.IFNA(_xlfn.XLOOKUP(1,([1]!readmissions[Facility ID] = clean[[#This Row],[Facility ID]]) * ([1]!readmissions[Measure ID] = "Hybrid_HWR"), [1]!readmissions[Score]), "No Match")</f>
        <v>No Match</v>
      </c>
    </row>
    <row r="1744" spans="1:6" x14ac:dyDescent="0.2">
      <c r="A1744">
        <f>[1]!hospitalinfo[[#This Row],[Facility ID]]</f>
        <v>154047</v>
      </c>
      <c r="B1744" t="str">
        <f>[1]!hospitalinfo[[#This Row],[State]]</f>
        <v>IN</v>
      </c>
      <c r="C1744" t="str">
        <f>[1]!hospitalinfo[[#This Row],[Hospital Type]]</f>
        <v>Psychiatric</v>
      </c>
      <c r="D1744" t="str">
        <f>[1]!hospitalinfo[[#This Row],[Hospital Ownership]]</f>
        <v>Voluntary non-profit - Other</v>
      </c>
      <c r="E1744" t="str" cm="1">
        <f t="array" ref="E1744">_xlfn.IFNA(_xlfn.XLOOKUP(1,([1]!hcahps[Facility ID] = clean[[#This Row],[Facility ID]]) * ([1]!hcahps[HCAHPS Measure ID] = "H_HSP_RATING_LINEAR_SCORE"), [1]!hcahps[HCAHPS Linear Mean Value]), "No Match")</f>
        <v>No Match</v>
      </c>
      <c r="F1744" t="str" cm="1">
        <f t="array" ref="F1744">_xlfn.IFNA(_xlfn.XLOOKUP(1,([1]!readmissions[Facility ID] = clean[[#This Row],[Facility ID]]) * ([1]!readmissions[Measure ID] = "Hybrid_HWR"), [1]!readmissions[Score]), "No Match")</f>
        <v>No Match</v>
      </c>
    </row>
    <row r="1745" spans="1:6" x14ac:dyDescent="0.2">
      <c r="A1745">
        <f>[1]!hospitalinfo[[#This Row],[Facility ID]]</f>
        <v>154050</v>
      </c>
      <c r="B1745" t="str">
        <f>[1]!hospitalinfo[[#This Row],[State]]</f>
        <v>IN</v>
      </c>
      <c r="C1745" t="str">
        <f>[1]!hospitalinfo[[#This Row],[Hospital Type]]</f>
        <v>Psychiatric</v>
      </c>
      <c r="D1745" t="str">
        <f>[1]!hospitalinfo[[#This Row],[Hospital Ownership]]</f>
        <v>Voluntary non-profit - Private</v>
      </c>
      <c r="E1745" t="str" cm="1">
        <f t="array" ref="E1745">_xlfn.IFNA(_xlfn.XLOOKUP(1,([1]!hcahps[Facility ID] = clean[[#This Row],[Facility ID]]) * ([1]!hcahps[HCAHPS Measure ID] = "H_HSP_RATING_LINEAR_SCORE"), [1]!hcahps[HCAHPS Linear Mean Value]), "No Match")</f>
        <v>No Match</v>
      </c>
      <c r="F1745" t="str" cm="1">
        <f t="array" ref="F1745">_xlfn.IFNA(_xlfn.XLOOKUP(1,([1]!readmissions[Facility ID] = clean[[#This Row],[Facility ID]]) * ([1]!readmissions[Measure ID] = "Hybrid_HWR"), [1]!readmissions[Score]), "No Match")</f>
        <v>No Match</v>
      </c>
    </row>
    <row r="1746" spans="1:6" x14ac:dyDescent="0.2">
      <c r="A1746">
        <f>[1]!hospitalinfo[[#This Row],[Facility ID]]</f>
        <v>154051</v>
      </c>
      <c r="B1746" t="str">
        <f>[1]!hospitalinfo[[#This Row],[State]]</f>
        <v>IN</v>
      </c>
      <c r="C1746" t="str">
        <f>[1]!hospitalinfo[[#This Row],[Hospital Type]]</f>
        <v>Psychiatric</v>
      </c>
      <c r="D1746" t="str">
        <f>[1]!hospitalinfo[[#This Row],[Hospital Ownership]]</f>
        <v>Proprietary</v>
      </c>
      <c r="E1746" t="str" cm="1">
        <f t="array" ref="E1746">_xlfn.IFNA(_xlfn.XLOOKUP(1,([1]!hcahps[Facility ID] = clean[[#This Row],[Facility ID]]) * ([1]!hcahps[HCAHPS Measure ID] = "H_HSP_RATING_LINEAR_SCORE"), [1]!hcahps[HCAHPS Linear Mean Value]), "No Match")</f>
        <v>No Match</v>
      </c>
      <c r="F1746" t="str" cm="1">
        <f t="array" ref="F1746">_xlfn.IFNA(_xlfn.XLOOKUP(1,([1]!readmissions[Facility ID] = clean[[#This Row],[Facility ID]]) * ([1]!readmissions[Measure ID] = "Hybrid_HWR"), [1]!readmissions[Score]), "No Match")</f>
        <v>No Match</v>
      </c>
    </row>
    <row r="1747" spans="1:6" x14ac:dyDescent="0.2">
      <c r="A1747">
        <f>[1]!hospitalinfo[[#This Row],[Facility ID]]</f>
        <v>154052</v>
      </c>
      <c r="B1747" t="str">
        <f>[1]!hospitalinfo[[#This Row],[State]]</f>
        <v>IN</v>
      </c>
      <c r="C1747" t="str">
        <f>[1]!hospitalinfo[[#This Row],[Hospital Type]]</f>
        <v>Psychiatric</v>
      </c>
      <c r="D1747" t="str">
        <f>[1]!hospitalinfo[[#This Row],[Hospital Ownership]]</f>
        <v>Voluntary non-profit - Private</v>
      </c>
      <c r="E1747" t="str" cm="1">
        <f t="array" ref="E1747">_xlfn.IFNA(_xlfn.XLOOKUP(1,([1]!hcahps[Facility ID] = clean[[#This Row],[Facility ID]]) * ([1]!hcahps[HCAHPS Measure ID] = "H_HSP_RATING_LINEAR_SCORE"), [1]!hcahps[HCAHPS Linear Mean Value]), "No Match")</f>
        <v>No Match</v>
      </c>
      <c r="F1747" t="str" cm="1">
        <f t="array" ref="F1747">_xlfn.IFNA(_xlfn.XLOOKUP(1,([1]!readmissions[Facility ID] = clean[[#This Row],[Facility ID]]) * ([1]!readmissions[Measure ID] = "Hybrid_HWR"), [1]!readmissions[Score]), "No Match")</f>
        <v>No Match</v>
      </c>
    </row>
    <row r="1748" spans="1:6" x14ac:dyDescent="0.2">
      <c r="A1748">
        <f>[1]!hospitalinfo[[#This Row],[Facility ID]]</f>
        <v>154054</v>
      </c>
      <c r="B1748" t="str">
        <f>[1]!hospitalinfo[[#This Row],[State]]</f>
        <v>IN</v>
      </c>
      <c r="C1748" t="str">
        <f>[1]!hospitalinfo[[#This Row],[Hospital Type]]</f>
        <v>Psychiatric</v>
      </c>
      <c r="D1748" t="str">
        <f>[1]!hospitalinfo[[#This Row],[Hospital Ownership]]</f>
        <v>Voluntary non-profit - Other</v>
      </c>
      <c r="E1748" t="str" cm="1">
        <f t="array" ref="E1748">_xlfn.IFNA(_xlfn.XLOOKUP(1,([1]!hcahps[Facility ID] = clean[[#This Row],[Facility ID]]) * ([1]!hcahps[HCAHPS Measure ID] = "H_HSP_RATING_LINEAR_SCORE"), [1]!hcahps[HCAHPS Linear Mean Value]), "No Match")</f>
        <v>No Match</v>
      </c>
      <c r="F1748" t="str" cm="1">
        <f t="array" ref="F1748">_xlfn.IFNA(_xlfn.XLOOKUP(1,([1]!readmissions[Facility ID] = clean[[#This Row],[Facility ID]]) * ([1]!readmissions[Measure ID] = "Hybrid_HWR"), [1]!readmissions[Score]), "No Match")</f>
        <v>No Match</v>
      </c>
    </row>
    <row r="1749" spans="1:6" x14ac:dyDescent="0.2">
      <c r="A1749">
        <f>[1]!hospitalinfo[[#This Row],[Facility ID]]</f>
        <v>154055</v>
      </c>
      <c r="B1749" t="str">
        <f>[1]!hospitalinfo[[#This Row],[State]]</f>
        <v>IN</v>
      </c>
      <c r="C1749" t="str">
        <f>[1]!hospitalinfo[[#This Row],[Hospital Type]]</f>
        <v>Psychiatric</v>
      </c>
      <c r="D1749" t="str">
        <f>[1]!hospitalinfo[[#This Row],[Hospital Ownership]]</f>
        <v>Voluntary non-profit - Private</v>
      </c>
      <c r="E1749" t="str" cm="1">
        <f t="array" ref="E1749">_xlfn.IFNA(_xlfn.XLOOKUP(1,([1]!hcahps[Facility ID] = clean[[#This Row],[Facility ID]]) * ([1]!hcahps[HCAHPS Measure ID] = "H_HSP_RATING_LINEAR_SCORE"), [1]!hcahps[HCAHPS Linear Mean Value]), "No Match")</f>
        <v>No Match</v>
      </c>
      <c r="F1749" t="str" cm="1">
        <f t="array" ref="F1749">_xlfn.IFNA(_xlfn.XLOOKUP(1,([1]!readmissions[Facility ID] = clean[[#This Row],[Facility ID]]) * ([1]!readmissions[Measure ID] = "Hybrid_HWR"), [1]!readmissions[Score]), "No Match")</f>
        <v>No Match</v>
      </c>
    </row>
    <row r="1750" spans="1:6" x14ac:dyDescent="0.2">
      <c r="A1750">
        <f>[1]!hospitalinfo[[#This Row],[Facility ID]]</f>
        <v>154056</v>
      </c>
      <c r="B1750" t="str">
        <f>[1]!hospitalinfo[[#This Row],[State]]</f>
        <v>IN</v>
      </c>
      <c r="C1750" t="str">
        <f>[1]!hospitalinfo[[#This Row],[Hospital Type]]</f>
        <v>Psychiatric</v>
      </c>
      <c r="D1750" t="str">
        <f>[1]!hospitalinfo[[#This Row],[Hospital Ownership]]</f>
        <v>Government - State</v>
      </c>
      <c r="E1750" t="str" cm="1">
        <f t="array" ref="E1750">_xlfn.IFNA(_xlfn.XLOOKUP(1,([1]!hcahps[Facility ID] = clean[[#This Row],[Facility ID]]) * ([1]!hcahps[HCAHPS Measure ID] = "H_HSP_RATING_LINEAR_SCORE"), [1]!hcahps[HCAHPS Linear Mean Value]), "No Match")</f>
        <v>No Match</v>
      </c>
      <c r="F1750" t="str" cm="1">
        <f t="array" ref="F1750">_xlfn.IFNA(_xlfn.XLOOKUP(1,([1]!readmissions[Facility ID] = clean[[#This Row],[Facility ID]]) * ([1]!readmissions[Measure ID] = "Hybrid_HWR"), [1]!readmissions[Score]), "No Match")</f>
        <v>No Match</v>
      </c>
    </row>
    <row r="1751" spans="1:6" x14ac:dyDescent="0.2">
      <c r="A1751">
        <f>[1]!hospitalinfo[[#This Row],[Facility ID]]</f>
        <v>154057</v>
      </c>
      <c r="B1751" t="str">
        <f>[1]!hospitalinfo[[#This Row],[State]]</f>
        <v>IN</v>
      </c>
      <c r="C1751" t="str">
        <f>[1]!hospitalinfo[[#This Row],[Hospital Type]]</f>
        <v>Psychiatric</v>
      </c>
      <c r="D1751" t="str">
        <f>[1]!hospitalinfo[[#This Row],[Hospital Ownership]]</f>
        <v>Proprietary</v>
      </c>
      <c r="E1751" t="str" cm="1">
        <f t="array" ref="E1751">_xlfn.IFNA(_xlfn.XLOOKUP(1,([1]!hcahps[Facility ID] = clean[[#This Row],[Facility ID]]) * ([1]!hcahps[HCAHPS Measure ID] = "H_HSP_RATING_LINEAR_SCORE"), [1]!hcahps[HCAHPS Linear Mean Value]), "No Match")</f>
        <v>No Match</v>
      </c>
      <c r="F1751" t="str" cm="1">
        <f t="array" ref="F1751">_xlfn.IFNA(_xlfn.XLOOKUP(1,([1]!readmissions[Facility ID] = clean[[#This Row],[Facility ID]]) * ([1]!readmissions[Measure ID] = "Hybrid_HWR"), [1]!readmissions[Score]), "No Match")</f>
        <v>No Match</v>
      </c>
    </row>
    <row r="1752" spans="1:6" x14ac:dyDescent="0.2">
      <c r="A1752">
        <f>[1]!hospitalinfo[[#This Row],[Facility ID]]</f>
        <v>154058</v>
      </c>
      <c r="B1752" t="str">
        <f>[1]!hospitalinfo[[#This Row],[State]]</f>
        <v>IN</v>
      </c>
      <c r="C1752" t="str">
        <f>[1]!hospitalinfo[[#This Row],[Hospital Type]]</f>
        <v>Psychiatric</v>
      </c>
      <c r="D1752" t="str">
        <f>[1]!hospitalinfo[[#This Row],[Hospital Ownership]]</f>
        <v>Proprietary</v>
      </c>
      <c r="E1752" t="str" cm="1">
        <f t="array" ref="E1752">_xlfn.IFNA(_xlfn.XLOOKUP(1,([1]!hcahps[Facility ID] = clean[[#This Row],[Facility ID]]) * ([1]!hcahps[HCAHPS Measure ID] = "H_HSP_RATING_LINEAR_SCORE"), [1]!hcahps[HCAHPS Linear Mean Value]), "No Match")</f>
        <v>No Match</v>
      </c>
      <c r="F1752" t="str" cm="1">
        <f t="array" ref="F1752">_xlfn.IFNA(_xlfn.XLOOKUP(1,([1]!readmissions[Facility ID] = clean[[#This Row],[Facility ID]]) * ([1]!readmissions[Measure ID] = "Hybrid_HWR"), [1]!readmissions[Score]), "No Match")</f>
        <v>No Match</v>
      </c>
    </row>
    <row r="1753" spans="1:6" x14ac:dyDescent="0.2">
      <c r="A1753">
        <f>[1]!hospitalinfo[[#This Row],[Facility ID]]</f>
        <v>154059</v>
      </c>
      <c r="B1753" t="str">
        <f>[1]!hospitalinfo[[#This Row],[State]]</f>
        <v>IN</v>
      </c>
      <c r="C1753" t="str">
        <f>[1]!hospitalinfo[[#This Row],[Hospital Type]]</f>
        <v>Psychiatric</v>
      </c>
      <c r="D1753" t="str">
        <f>[1]!hospitalinfo[[#This Row],[Hospital Ownership]]</f>
        <v>Proprietary</v>
      </c>
      <c r="E1753" t="str" cm="1">
        <f t="array" ref="E1753">_xlfn.IFNA(_xlfn.XLOOKUP(1,([1]!hcahps[Facility ID] = clean[[#This Row],[Facility ID]]) * ([1]!hcahps[HCAHPS Measure ID] = "H_HSP_RATING_LINEAR_SCORE"), [1]!hcahps[HCAHPS Linear Mean Value]), "No Match")</f>
        <v>No Match</v>
      </c>
      <c r="F1753" t="str" cm="1">
        <f t="array" ref="F1753">_xlfn.IFNA(_xlfn.XLOOKUP(1,([1]!readmissions[Facility ID] = clean[[#This Row],[Facility ID]]) * ([1]!readmissions[Measure ID] = "Hybrid_HWR"), [1]!readmissions[Score]), "No Match")</f>
        <v>No Match</v>
      </c>
    </row>
    <row r="1754" spans="1:6" x14ac:dyDescent="0.2">
      <c r="A1754">
        <f>[1]!hospitalinfo[[#This Row],[Facility ID]]</f>
        <v>154060</v>
      </c>
      <c r="B1754" t="str">
        <f>[1]!hospitalinfo[[#This Row],[State]]</f>
        <v>IN</v>
      </c>
      <c r="C1754" t="str">
        <f>[1]!hospitalinfo[[#This Row],[Hospital Type]]</f>
        <v>Psychiatric</v>
      </c>
      <c r="D1754" t="str">
        <f>[1]!hospitalinfo[[#This Row],[Hospital Ownership]]</f>
        <v>Voluntary non-profit - Private</v>
      </c>
      <c r="E1754" t="str" cm="1">
        <f t="array" ref="E1754">_xlfn.IFNA(_xlfn.XLOOKUP(1,([1]!hcahps[Facility ID] = clean[[#This Row],[Facility ID]]) * ([1]!hcahps[HCAHPS Measure ID] = "H_HSP_RATING_LINEAR_SCORE"), [1]!hcahps[HCAHPS Linear Mean Value]), "No Match")</f>
        <v>No Match</v>
      </c>
      <c r="F1754" t="str" cm="1">
        <f t="array" ref="F1754">_xlfn.IFNA(_xlfn.XLOOKUP(1,([1]!readmissions[Facility ID] = clean[[#This Row],[Facility ID]]) * ([1]!readmissions[Measure ID] = "Hybrid_HWR"), [1]!readmissions[Score]), "No Match")</f>
        <v>No Match</v>
      </c>
    </row>
    <row r="1755" spans="1:6" x14ac:dyDescent="0.2">
      <c r="A1755">
        <f>[1]!hospitalinfo[[#This Row],[Facility ID]]</f>
        <v>154061</v>
      </c>
      <c r="B1755" t="str">
        <f>[1]!hospitalinfo[[#This Row],[State]]</f>
        <v>IN</v>
      </c>
      <c r="C1755" t="str">
        <f>[1]!hospitalinfo[[#This Row],[Hospital Type]]</f>
        <v>Psychiatric</v>
      </c>
      <c r="D1755" t="str">
        <f>[1]!hospitalinfo[[#This Row],[Hospital Ownership]]</f>
        <v>Proprietary</v>
      </c>
      <c r="E1755" t="str" cm="1">
        <f t="array" ref="E1755">_xlfn.IFNA(_xlfn.XLOOKUP(1,([1]!hcahps[Facility ID] = clean[[#This Row],[Facility ID]]) * ([1]!hcahps[HCAHPS Measure ID] = "H_HSP_RATING_LINEAR_SCORE"), [1]!hcahps[HCAHPS Linear Mean Value]), "No Match")</f>
        <v>No Match</v>
      </c>
      <c r="F1755" t="str" cm="1">
        <f t="array" ref="F1755">_xlfn.IFNA(_xlfn.XLOOKUP(1,([1]!readmissions[Facility ID] = clean[[#This Row],[Facility ID]]) * ([1]!readmissions[Measure ID] = "Hybrid_HWR"), [1]!readmissions[Score]), "No Match")</f>
        <v>No Match</v>
      </c>
    </row>
    <row r="1756" spans="1:6" x14ac:dyDescent="0.2">
      <c r="A1756">
        <f>[1]!hospitalinfo[[#This Row],[Facility ID]]</f>
        <v>154063</v>
      </c>
      <c r="B1756" t="str">
        <f>[1]!hospitalinfo[[#This Row],[State]]</f>
        <v>IN</v>
      </c>
      <c r="C1756" t="str">
        <f>[1]!hospitalinfo[[#This Row],[Hospital Type]]</f>
        <v>Psychiatric</v>
      </c>
      <c r="D1756" t="str">
        <f>[1]!hospitalinfo[[#This Row],[Hospital Ownership]]</f>
        <v>Proprietary</v>
      </c>
      <c r="E1756" t="str" cm="1">
        <f t="array" ref="E1756">_xlfn.IFNA(_xlfn.XLOOKUP(1,([1]!hcahps[Facility ID] = clean[[#This Row],[Facility ID]]) * ([1]!hcahps[HCAHPS Measure ID] = "H_HSP_RATING_LINEAR_SCORE"), [1]!hcahps[HCAHPS Linear Mean Value]), "No Match")</f>
        <v>No Match</v>
      </c>
      <c r="F1756" t="str" cm="1">
        <f t="array" ref="F1756">_xlfn.IFNA(_xlfn.XLOOKUP(1,([1]!readmissions[Facility ID] = clean[[#This Row],[Facility ID]]) * ([1]!readmissions[Measure ID] = "Hybrid_HWR"), [1]!readmissions[Score]), "No Match")</f>
        <v>No Match</v>
      </c>
    </row>
    <row r="1757" spans="1:6" x14ac:dyDescent="0.2">
      <c r="A1757">
        <f>[1]!hospitalinfo[[#This Row],[Facility ID]]</f>
        <v>154064</v>
      </c>
      <c r="B1757" t="str">
        <f>[1]!hospitalinfo[[#This Row],[State]]</f>
        <v>IN</v>
      </c>
      <c r="C1757" t="str">
        <f>[1]!hospitalinfo[[#This Row],[Hospital Type]]</f>
        <v>Psychiatric</v>
      </c>
      <c r="D1757" t="str">
        <f>[1]!hospitalinfo[[#This Row],[Hospital Ownership]]</f>
        <v>Proprietary</v>
      </c>
      <c r="E1757" t="str" cm="1">
        <f t="array" ref="E1757">_xlfn.IFNA(_xlfn.XLOOKUP(1,([1]!hcahps[Facility ID] = clean[[#This Row],[Facility ID]]) * ([1]!hcahps[HCAHPS Measure ID] = "H_HSP_RATING_LINEAR_SCORE"), [1]!hcahps[HCAHPS Linear Mean Value]), "No Match")</f>
        <v>No Match</v>
      </c>
      <c r="F1757" t="str" cm="1">
        <f t="array" ref="F1757">_xlfn.IFNA(_xlfn.XLOOKUP(1,([1]!readmissions[Facility ID] = clean[[#This Row],[Facility ID]]) * ([1]!readmissions[Measure ID] = "Hybrid_HWR"), [1]!readmissions[Score]), "No Match")</f>
        <v>No Match</v>
      </c>
    </row>
    <row r="1758" spans="1:6" x14ac:dyDescent="0.2">
      <c r="A1758">
        <f>[1]!hospitalinfo[[#This Row],[Facility ID]]</f>
        <v>154065</v>
      </c>
      <c r="B1758" t="str">
        <f>[1]!hospitalinfo[[#This Row],[State]]</f>
        <v>IN</v>
      </c>
      <c r="C1758" t="str">
        <f>[1]!hospitalinfo[[#This Row],[Hospital Type]]</f>
        <v>Psychiatric</v>
      </c>
      <c r="D1758" t="str">
        <f>[1]!hospitalinfo[[#This Row],[Hospital Ownership]]</f>
        <v>Proprietary</v>
      </c>
      <c r="E1758" t="str" cm="1">
        <f t="array" ref="E1758">_xlfn.IFNA(_xlfn.XLOOKUP(1,([1]!hcahps[Facility ID] = clean[[#This Row],[Facility ID]]) * ([1]!hcahps[HCAHPS Measure ID] = "H_HSP_RATING_LINEAR_SCORE"), [1]!hcahps[HCAHPS Linear Mean Value]), "No Match")</f>
        <v>No Match</v>
      </c>
      <c r="F1758" t="str" cm="1">
        <f t="array" ref="F1758">_xlfn.IFNA(_xlfn.XLOOKUP(1,([1]!readmissions[Facility ID] = clean[[#This Row],[Facility ID]]) * ([1]!readmissions[Measure ID] = "Hybrid_HWR"), [1]!readmissions[Score]), "No Match")</f>
        <v>No Match</v>
      </c>
    </row>
    <row r="1759" spans="1:6" x14ac:dyDescent="0.2">
      <c r="A1759">
        <f>[1]!hospitalinfo[[#This Row],[Facility ID]]</f>
        <v>154066</v>
      </c>
      <c r="B1759" t="str">
        <f>[1]!hospitalinfo[[#This Row],[State]]</f>
        <v>IN</v>
      </c>
      <c r="C1759" t="str">
        <f>[1]!hospitalinfo[[#This Row],[Hospital Type]]</f>
        <v>Psychiatric</v>
      </c>
      <c r="D1759" t="str">
        <f>[1]!hospitalinfo[[#This Row],[Hospital Ownership]]</f>
        <v>Proprietary</v>
      </c>
      <c r="E1759" t="str" cm="1">
        <f t="array" ref="E1759">_xlfn.IFNA(_xlfn.XLOOKUP(1,([1]!hcahps[Facility ID] = clean[[#This Row],[Facility ID]]) * ([1]!hcahps[HCAHPS Measure ID] = "H_HSP_RATING_LINEAR_SCORE"), [1]!hcahps[HCAHPS Linear Mean Value]), "No Match")</f>
        <v>No Match</v>
      </c>
      <c r="F1759" t="str" cm="1">
        <f t="array" ref="F1759">_xlfn.IFNA(_xlfn.XLOOKUP(1,([1]!readmissions[Facility ID] = clean[[#This Row],[Facility ID]]) * ([1]!readmissions[Measure ID] = "Hybrid_HWR"), [1]!readmissions[Score]), "No Match")</f>
        <v>No Match</v>
      </c>
    </row>
    <row r="1760" spans="1:6" x14ac:dyDescent="0.2">
      <c r="A1760">
        <f>[1]!hospitalinfo[[#This Row],[Facility ID]]</f>
        <v>154067</v>
      </c>
      <c r="B1760" t="str">
        <f>[1]!hospitalinfo[[#This Row],[State]]</f>
        <v>IN</v>
      </c>
      <c r="C1760" t="str">
        <f>[1]!hospitalinfo[[#This Row],[Hospital Type]]</f>
        <v>Psychiatric</v>
      </c>
      <c r="D1760" t="str">
        <f>[1]!hospitalinfo[[#This Row],[Hospital Ownership]]</f>
        <v>Proprietary</v>
      </c>
      <c r="E1760" t="str" cm="1">
        <f t="array" ref="E1760">_xlfn.IFNA(_xlfn.XLOOKUP(1,([1]!hcahps[Facility ID] = clean[[#This Row],[Facility ID]]) * ([1]!hcahps[HCAHPS Measure ID] = "H_HSP_RATING_LINEAR_SCORE"), [1]!hcahps[HCAHPS Linear Mean Value]), "No Match")</f>
        <v>No Match</v>
      </c>
      <c r="F1760" t="str" cm="1">
        <f t="array" ref="F1760">_xlfn.IFNA(_xlfn.XLOOKUP(1,([1]!readmissions[Facility ID] = clean[[#This Row],[Facility ID]]) * ([1]!readmissions[Measure ID] = "Hybrid_HWR"), [1]!readmissions[Score]), "No Match")</f>
        <v>No Match</v>
      </c>
    </row>
    <row r="1761" spans="1:6" x14ac:dyDescent="0.2">
      <c r="A1761">
        <f>[1]!hospitalinfo[[#This Row],[Facility ID]]</f>
        <v>154068</v>
      </c>
      <c r="B1761" t="str">
        <f>[1]!hospitalinfo[[#This Row],[State]]</f>
        <v>IN</v>
      </c>
      <c r="C1761" t="str">
        <f>[1]!hospitalinfo[[#This Row],[Hospital Type]]</f>
        <v>Psychiatric</v>
      </c>
      <c r="D1761" t="str">
        <f>[1]!hospitalinfo[[#This Row],[Hospital Ownership]]</f>
        <v>Proprietary</v>
      </c>
      <c r="E1761" t="str" cm="1">
        <f t="array" ref="E1761">_xlfn.IFNA(_xlfn.XLOOKUP(1,([1]!hcahps[Facility ID] = clean[[#This Row],[Facility ID]]) * ([1]!hcahps[HCAHPS Measure ID] = "H_HSP_RATING_LINEAR_SCORE"), [1]!hcahps[HCAHPS Linear Mean Value]), "No Match")</f>
        <v>No Match</v>
      </c>
      <c r="F1761" t="str" cm="1">
        <f t="array" ref="F1761">_xlfn.IFNA(_xlfn.XLOOKUP(1,([1]!readmissions[Facility ID] = clean[[#This Row],[Facility ID]]) * ([1]!readmissions[Measure ID] = "Hybrid_HWR"), [1]!readmissions[Score]), "No Match")</f>
        <v>No Match</v>
      </c>
    </row>
    <row r="1762" spans="1:6" x14ac:dyDescent="0.2">
      <c r="A1762">
        <f>[1]!hospitalinfo[[#This Row],[Facility ID]]</f>
        <v>154070</v>
      </c>
      <c r="B1762" t="str">
        <f>[1]!hospitalinfo[[#This Row],[State]]</f>
        <v>IN</v>
      </c>
      <c r="C1762" t="str">
        <f>[1]!hospitalinfo[[#This Row],[Hospital Type]]</f>
        <v>Psychiatric</v>
      </c>
      <c r="D1762" t="str">
        <f>[1]!hospitalinfo[[#This Row],[Hospital Ownership]]</f>
        <v>Proprietary</v>
      </c>
      <c r="E1762" t="str" cm="1">
        <f t="array" ref="E1762">_xlfn.IFNA(_xlfn.XLOOKUP(1,([1]!hcahps[Facility ID] = clean[[#This Row],[Facility ID]]) * ([1]!hcahps[HCAHPS Measure ID] = "H_HSP_RATING_LINEAR_SCORE"), [1]!hcahps[HCAHPS Linear Mean Value]), "No Match")</f>
        <v>No Match</v>
      </c>
      <c r="F1762" t="str" cm="1">
        <f t="array" ref="F1762">_xlfn.IFNA(_xlfn.XLOOKUP(1,([1]!readmissions[Facility ID] = clean[[#This Row],[Facility ID]]) * ([1]!readmissions[Measure ID] = "Hybrid_HWR"), [1]!readmissions[Score]), "No Match")</f>
        <v>No Match</v>
      </c>
    </row>
    <row r="1763" spans="1:6" x14ac:dyDescent="0.2">
      <c r="A1763">
        <f>[1]!hospitalinfo[[#This Row],[Facility ID]]</f>
        <v>154071</v>
      </c>
      <c r="B1763" t="str">
        <f>[1]!hospitalinfo[[#This Row],[State]]</f>
        <v>IN</v>
      </c>
      <c r="C1763" t="str">
        <f>[1]!hospitalinfo[[#This Row],[Hospital Type]]</f>
        <v>Psychiatric</v>
      </c>
      <c r="D1763" t="str">
        <f>[1]!hospitalinfo[[#This Row],[Hospital Ownership]]</f>
        <v>Proprietary</v>
      </c>
      <c r="E1763" t="str" cm="1">
        <f t="array" ref="E1763">_xlfn.IFNA(_xlfn.XLOOKUP(1,([1]!hcahps[Facility ID] = clean[[#This Row],[Facility ID]]) * ([1]!hcahps[HCAHPS Measure ID] = "H_HSP_RATING_LINEAR_SCORE"), [1]!hcahps[HCAHPS Linear Mean Value]), "No Match")</f>
        <v>No Match</v>
      </c>
      <c r="F1763" t="str" cm="1">
        <f t="array" ref="F1763">_xlfn.IFNA(_xlfn.XLOOKUP(1,([1]!readmissions[Facility ID] = clean[[#This Row],[Facility ID]]) * ([1]!readmissions[Measure ID] = "Hybrid_HWR"), [1]!readmissions[Score]), "No Match")</f>
        <v>No Match</v>
      </c>
    </row>
    <row r="1764" spans="1:6" x14ac:dyDescent="0.2">
      <c r="A1764">
        <f>[1]!hospitalinfo[[#This Row],[Facility ID]]</f>
        <v>154072</v>
      </c>
      <c r="B1764" t="str">
        <f>[1]!hospitalinfo[[#This Row],[State]]</f>
        <v>IN</v>
      </c>
      <c r="C1764" t="str">
        <f>[1]!hospitalinfo[[#This Row],[Hospital Type]]</f>
        <v>Psychiatric</v>
      </c>
      <c r="D1764" t="str">
        <f>[1]!hospitalinfo[[#This Row],[Hospital Ownership]]</f>
        <v>Proprietary</v>
      </c>
      <c r="E1764" t="str" cm="1">
        <f t="array" ref="E1764">_xlfn.IFNA(_xlfn.XLOOKUP(1,([1]!hcahps[Facility ID] = clean[[#This Row],[Facility ID]]) * ([1]!hcahps[HCAHPS Measure ID] = "H_HSP_RATING_LINEAR_SCORE"), [1]!hcahps[HCAHPS Linear Mean Value]), "No Match")</f>
        <v>No Match</v>
      </c>
      <c r="F1764" t="str" cm="1">
        <f t="array" ref="F1764">_xlfn.IFNA(_xlfn.XLOOKUP(1,([1]!readmissions[Facility ID] = clean[[#This Row],[Facility ID]]) * ([1]!readmissions[Measure ID] = "Hybrid_HWR"), [1]!readmissions[Score]), "No Match")</f>
        <v>No Match</v>
      </c>
    </row>
    <row r="1765" spans="1:6" x14ac:dyDescent="0.2">
      <c r="A1765" t="str">
        <f>[1]!hospitalinfo[[#This Row],[Facility ID]]</f>
        <v>15003F</v>
      </c>
      <c r="B1765" t="str">
        <f>[1]!hospitalinfo[[#This Row],[State]]</f>
        <v>IN</v>
      </c>
      <c r="C1765" t="str">
        <f>[1]!hospitalinfo[[#This Row],[Hospital Type]]</f>
        <v>Acute Care - Veterans Administration</v>
      </c>
      <c r="D1765" t="str">
        <f>[1]!hospitalinfo[[#This Row],[Hospital Ownership]]</f>
        <v>Veterans Health Administration</v>
      </c>
      <c r="E1765" cm="1">
        <f t="array" ref="E1765">_xlfn.IFNA(_xlfn.XLOOKUP(1,([1]!hcahps[Facility ID] = clean[[#This Row],[Facility ID]]) * ([1]!hcahps[HCAHPS Measure ID] = "H_HSP_RATING_LINEAR_SCORE"), [1]!hcahps[HCAHPS Linear Mean Value]), "No Match")</f>
        <v>90</v>
      </c>
      <c r="F1765" cm="1">
        <f t="array" ref="F1765">_xlfn.IFNA(_xlfn.XLOOKUP(1,([1]!readmissions[Facility ID] = clean[[#This Row],[Facility ID]]) * ([1]!readmissions[Measure ID] = "Hybrid_HWR"), [1]!readmissions[Score]), "No Match")</f>
        <v>15.1</v>
      </c>
    </row>
    <row r="1766" spans="1:6" x14ac:dyDescent="0.2">
      <c r="A1766" t="str">
        <f>[1]!hospitalinfo[[#This Row],[Facility ID]]</f>
        <v>15004F</v>
      </c>
      <c r="B1766" t="str">
        <f>[1]!hospitalinfo[[#This Row],[State]]</f>
        <v>IN</v>
      </c>
      <c r="C1766" t="str">
        <f>[1]!hospitalinfo[[#This Row],[Hospital Type]]</f>
        <v>Acute Care - Veterans Administration</v>
      </c>
      <c r="D1766" t="str">
        <f>[1]!hospitalinfo[[#This Row],[Hospital Ownership]]</f>
        <v>Veterans Health Administration</v>
      </c>
      <c r="E1766" cm="1">
        <f t="array" ref="E1766">_xlfn.IFNA(_xlfn.XLOOKUP(1,([1]!hcahps[Facility ID] = clean[[#This Row],[Facility ID]]) * ([1]!hcahps[HCAHPS Measure ID] = "H_HSP_RATING_LINEAR_SCORE"), [1]!hcahps[HCAHPS Linear Mean Value]), "No Match")</f>
        <v>92</v>
      </c>
      <c r="F1766" cm="1">
        <f t="array" ref="F1766">_xlfn.IFNA(_xlfn.XLOOKUP(1,([1]!readmissions[Facility ID] = clean[[#This Row],[Facility ID]]) * ([1]!readmissions[Measure ID] = "Hybrid_HWR"), [1]!readmissions[Score]), "No Match")</f>
        <v>13.4</v>
      </c>
    </row>
    <row r="1767" spans="1:6" x14ac:dyDescent="0.2">
      <c r="A1767">
        <f>[1]!hospitalinfo[[#This Row],[Facility ID]]</f>
        <v>170006</v>
      </c>
      <c r="B1767" t="str">
        <f>[1]!hospitalinfo[[#This Row],[State]]</f>
        <v>KS</v>
      </c>
      <c r="C1767" t="str">
        <f>[1]!hospitalinfo[[#This Row],[Hospital Type]]</f>
        <v>Acute Care Hospitals</v>
      </c>
      <c r="D1767" t="str">
        <f>[1]!hospitalinfo[[#This Row],[Hospital Ownership]]</f>
        <v>Voluntary non-profit - Church</v>
      </c>
      <c r="E1767" cm="1">
        <f t="array" ref="E1767">_xlfn.IFNA(_xlfn.XLOOKUP(1,([1]!hcahps[Facility ID] = clean[[#This Row],[Facility ID]]) * ([1]!hcahps[HCAHPS Measure ID] = "H_HSP_RATING_LINEAR_SCORE"), [1]!hcahps[HCAHPS Linear Mean Value]), "No Match")</f>
        <v>90</v>
      </c>
      <c r="F1767" cm="1">
        <f t="array" ref="F1767">_xlfn.IFNA(_xlfn.XLOOKUP(1,([1]!readmissions[Facility ID] = clean[[#This Row],[Facility ID]]) * ([1]!readmissions[Measure ID] = "Hybrid_HWR"), [1]!readmissions[Score]), "No Match")</f>
        <v>14.8</v>
      </c>
    </row>
    <row r="1768" spans="1:6" x14ac:dyDescent="0.2">
      <c r="A1768">
        <f>[1]!hospitalinfo[[#This Row],[Facility ID]]</f>
        <v>170009</v>
      </c>
      <c r="B1768" t="str">
        <f>[1]!hospitalinfo[[#This Row],[State]]</f>
        <v>KS</v>
      </c>
      <c r="C1768" t="str">
        <f>[1]!hospitalinfo[[#This Row],[Hospital Type]]</f>
        <v>Acute Care Hospitals</v>
      </c>
      <c r="D1768" t="str">
        <f>[1]!hospitalinfo[[#This Row],[Hospital Ownership]]</f>
        <v>Voluntary non-profit - Other</v>
      </c>
      <c r="E1768" cm="1">
        <f t="array" ref="E1768">_xlfn.IFNA(_xlfn.XLOOKUP(1,([1]!hcahps[Facility ID] = clean[[#This Row],[Facility ID]]) * ([1]!hcahps[HCAHPS Measure ID] = "H_HSP_RATING_LINEAR_SCORE"), [1]!hcahps[HCAHPS Linear Mean Value]), "No Match")</f>
        <v>88</v>
      </c>
      <c r="F1768" cm="1">
        <f t="array" ref="F1768">_xlfn.IFNA(_xlfn.XLOOKUP(1,([1]!readmissions[Facility ID] = clean[[#This Row],[Facility ID]]) * ([1]!readmissions[Measure ID] = "Hybrid_HWR"), [1]!readmissions[Score]), "No Match")</f>
        <v>15.5</v>
      </c>
    </row>
    <row r="1769" spans="1:6" x14ac:dyDescent="0.2">
      <c r="A1769">
        <f>[1]!hospitalinfo[[#This Row],[Facility ID]]</f>
        <v>170012</v>
      </c>
      <c r="B1769" t="str">
        <f>[1]!hospitalinfo[[#This Row],[State]]</f>
        <v>KS</v>
      </c>
      <c r="C1769" t="str">
        <f>[1]!hospitalinfo[[#This Row],[Hospital Type]]</f>
        <v>Acute Care Hospitals</v>
      </c>
      <c r="D1769" t="str">
        <f>[1]!hospitalinfo[[#This Row],[Hospital Ownership]]</f>
        <v>Voluntary non-profit - Private</v>
      </c>
      <c r="E1769" cm="1">
        <f t="array" ref="E1769">_xlfn.IFNA(_xlfn.XLOOKUP(1,([1]!hcahps[Facility ID] = clean[[#This Row],[Facility ID]]) * ([1]!hcahps[HCAHPS Measure ID] = "H_HSP_RATING_LINEAR_SCORE"), [1]!hcahps[HCAHPS Linear Mean Value]), "No Match")</f>
        <v>88</v>
      </c>
      <c r="F1769" cm="1">
        <f t="array" ref="F1769">_xlfn.IFNA(_xlfn.XLOOKUP(1,([1]!readmissions[Facility ID] = clean[[#This Row],[Facility ID]]) * ([1]!readmissions[Measure ID] = "Hybrid_HWR"), [1]!readmissions[Score]), "No Match")</f>
        <v>13.2</v>
      </c>
    </row>
    <row r="1770" spans="1:6" x14ac:dyDescent="0.2">
      <c r="A1770">
        <f>[1]!hospitalinfo[[#This Row],[Facility ID]]</f>
        <v>170013</v>
      </c>
      <c r="B1770" t="str">
        <f>[1]!hospitalinfo[[#This Row],[State]]</f>
        <v>KS</v>
      </c>
      <c r="C1770" t="str">
        <f>[1]!hospitalinfo[[#This Row],[Hospital Type]]</f>
        <v>Acute Care Hospitals</v>
      </c>
      <c r="D1770" t="str">
        <f>[1]!hospitalinfo[[#This Row],[Hospital Ownership]]</f>
        <v>Voluntary non-profit - Other</v>
      </c>
      <c r="E1770" cm="1">
        <f t="array" ref="E1770">_xlfn.IFNA(_xlfn.XLOOKUP(1,([1]!hcahps[Facility ID] = clean[[#This Row],[Facility ID]]) * ([1]!hcahps[HCAHPS Measure ID] = "H_HSP_RATING_LINEAR_SCORE"), [1]!hcahps[HCAHPS Linear Mean Value]), "No Match")</f>
        <v>87</v>
      </c>
      <c r="F1770" cm="1">
        <f t="array" ref="F1770">_xlfn.IFNA(_xlfn.XLOOKUP(1,([1]!readmissions[Facility ID] = clean[[#This Row],[Facility ID]]) * ([1]!readmissions[Measure ID] = "Hybrid_HWR"), [1]!readmissions[Score]), "No Match")</f>
        <v>14.9</v>
      </c>
    </row>
    <row r="1771" spans="1:6" x14ac:dyDescent="0.2">
      <c r="A1771">
        <f>[1]!hospitalinfo[[#This Row],[Facility ID]]</f>
        <v>170014</v>
      </c>
      <c r="B1771" t="str">
        <f>[1]!hospitalinfo[[#This Row],[State]]</f>
        <v>KS</v>
      </c>
      <c r="C1771" t="str">
        <f>[1]!hospitalinfo[[#This Row],[Hospital Type]]</f>
        <v>Acute Care Hospitals</v>
      </c>
      <c r="D1771" t="str">
        <f>[1]!hospitalinfo[[#This Row],[Hospital Ownership]]</f>
        <v>Government - Local</v>
      </c>
      <c r="E1771" cm="1">
        <f t="array" ref="E1771">_xlfn.IFNA(_xlfn.XLOOKUP(1,([1]!hcahps[Facility ID] = clean[[#This Row],[Facility ID]]) * ([1]!hcahps[HCAHPS Measure ID] = "H_HSP_RATING_LINEAR_SCORE"), [1]!hcahps[HCAHPS Linear Mean Value]), "No Match")</f>
        <v>86</v>
      </c>
      <c r="F1771" cm="1">
        <f t="array" ref="F1771">_xlfn.IFNA(_xlfn.XLOOKUP(1,([1]!readmissions[Facility ID] = clean[[#This Row],[Facility ID]]) * ([1]!readmissions[Measure ID] = "Hybrid_HWR"), [1]!readmissions[Score]), "No Match")</f>
        <v>14.7</v>
      </c>
    </row>
    <row r="1772" spans="1:6" x14ac:dyDescent="0.2">
      <c r="A1772">
        <f>[1]!hospitalinfo[[#This Row],[Facility ID]]</f>
        <v>170016</v>
      </c>
      <c r="B1772" t="str">
        <f>[1]!hospitalinfo[[#This Row],[State]]</f>
        <v>KS</v>
      </c>
      <c r="C1772" t="str">
        <f>[1]!hospitalinfo[[#This Row],[Hospital Type]]</f>
        <v>Acute Care Hospitals</v>
      </c>
      <c r="D1772" t="str">
        <f>[1]!hospitalinfo[[#This Row],[Hospital Ownership]]</f>
        <v>Voluntary non-profit - Church</v>
      </c>
      <c r="E1772" cm="1">
        <f t="array" ref="E1772">_xlfn.IFNA(_xlfn.XLOOKUP(1,([1]!hcahps[Facility ID] = clean[[#This Row],[Facility ID]]) * ([1]!hcahps[HCAHPS Measure ID] = "H_HSP_RATING_LINEAR_SCORE"), [1]!hcahps[HCAHPS Linear Mean Value]), "No Match")</f>
        <v>85</v>
      </c>
      <c r="F1772" cm="1">
        <f t="array" ref="F1772">_xlfn.IFNA(_xlfn.XLOOKUP(1,([1]!readmissions[Facility ID] = clean[[#This Row],[Facility ID]]) * ([1]!readmissions[Measure ID] = "Hybrid_HWR"), [1]!readmissions[Score]), "No Match")</f>
        <v>14.9</v>
      </c>
    </row>
    <row r="1773" spans="1:6" x14ac:dyDescent="0.2">
      <c r="A1773">
        <f>[1]!hospitalinfo[[#This Row],[Facility ID]]</f>
        <v>170017</v>
      </c>
      <c r="B1773" t="str">
        <f>[1]!hospitalinfo[[#This Row],[State]]</f>
        <v>KS</v>
      </c>
      <c r="C1773" t="str">
        <f>[1]!hospitalinfo[[#This Row],[Hospital Type]]</f>
        <v>Acute Care Hospitals</v>
      </c>
      <c r="D1773" t="str">
        <f>[1]!hospitalinfo[[#This Row],[Hospital Ownership]]</f>
        <v>Voluntary non-profit - Private</v>
      </c>
      <c r="E1773" t="str" cm="1">
        <f t="array" ref="E1773">_xlfn.IFNA(_xlfn.XLOOKUP(1,([1]!hcahps[Facility ID] = clean[[#This Row],[Facility ID]]) * ([1]!hcahps[HCAHPS Measure ID] = "H_HSP_RATING_LINEAR_SCORE"), [1]!hcahps[HCAHPS Linear Mean Value]), "No Match")</f>
        <v>Not Available</v>
      </c>
      <c r="F1773" cm="1">
        <f t="array" ref="F1773">_xlfn.IFNA(_xlfn.XLOOKUP(1,([1]!readmissions[Facility ID] = clean[[#This Row],[Facility ID]]) * ([1]!readmissions[Measure ID] = "Hybrid_HWR"), [1]!readmissions[Score]), "No Match")</f>
        <v>15.1</v>
      </c>
    </row>
    <row r="1774" spans="1:6" x14ac:dyDescent="0.2">
      <c r="A1774">
        <f>[1]!hospitalinfo[[#This Row],[Facility ID]]</f>
        <v>170020</v>
      </c>
      <c r="B1774" t="str">
        <f>[1]!hospitalinfo[[#This Row],[State]]</f>
        <v>KS</v>
      </c>
      <c r="C1774" t="str">
        <f>[1]!hospitalinfo[[#This Row],[Hospital Type]]</f>
        <v>Acute Care Hospitals</v>
      </c>
      <c r="D1774" t="str">
        <f>[1]!hospitalinfo[[#This Row],[Hospital Ownership]]</f>
        <v>Voluntary non-profit - Private</v>
      </c>
      <c r="E1774" cm="1">
        <f t="array" ref="E1774">_xlfn.IFNA(_xlfn.XLOOKUP(1,([1]!hcahps[Facility ID] = clean[[#This Row],[Facility ID]]) * ([1]!hcahps[HCAHPS Measure ID] = "H_HSP_RATING_LINEAR_SCORE"), [1]!hcahps[HCAHPS Linear Mean Value]), "No Match")</f>
        <v>89</v>
      </c>
      <c r="F1774" cm="1">
        <f t="array" ref="F1774">_xlfn.IFNA(_xlfn.XLOOKUP(1,([1]!readmissions[Facility ID] = clean[[#This Row],[Facility ID]]) * ([1]!readmissions[Measure ID] = "Hybrid_HWR"), [1]!readmissions[Score]), "No Match")</f>
        <v>14.1</v>
      </c>
    </row>
    <row r="1775" spans="1:6" x14ac:dyDescent="0.2">
      <c r="A1775">
        <f>[1]!hospitalinfo[[#This Row],[Facility ID]]</f>
        <v>170023</v>
      </c>
      <c r="B1775" t="str">
        <f>[1]!hospitalinfo[[#This Row],[State]]</f>
        <v>KS</v>
      </c>
      <c r="C1775" t="str">
        <f>[1]!hospitalinfo[[#This Row],[Hospital Type]]</f>
        <v>Acute Care Hospitals</v>
      </c>
      <c r="D1775" t="str">
        <f>[1]!hospitalinfo[[#This Row],[Hospital Ownership]]</f>
        <v>Voluntary non-profit - Church</v>
      </c>
      <c r="E1775" cm="1">
        <f t="array" ref="E1775">_xlfn.IFNA(_xlfn.XLOOKUP(1,([1]!hcahps[Facility ID] = clean[[#This Row],[Facility ID]]) * ([1]!hcahps[HCAHPS Measure ID] = "H_HSP_RATING_LINEAR_SCORE"), [1]!hcahps[HCAHPS Linear Mean Value]), "No Match")</f>
        <v>84</v>
      </c>
      <c r="F1775" cm="1">
        <f t="array" ref="F1775">_xlfn.IFNA(_xlfn.XLOOKUP(1,([1]!readmissions[Facility ID] = clean[[#This Row],[Facility ID]]) * ([1]!readmissions[Measure ID] = "Hybrid_HWR"), [1]!readmissions[Score]), "No Match")</f>
        <v>15</v>
      </c>
    </row>
    <row r="1776" spans="1:6" x14ac:dyDescent="0.2">
      <c r="A1776">
        <f>[1]!hospitalinfo[[#This Row],[Facility ID]]</f>
        <v>170027</v>
      </c>
      <c r="B1776" t="str">
        <f>[1]!hospitalinfo[[#This Row],[State]]</f>
        <v>KS</v>
      </c>
      <c r="C1776" t="str">
        <f>[1]!hospitalinfo[[#This Row],[Hospital Type]]</f>
        <v>Acute Care Hospitals</v>
      </c>
      <c r="D1776" t="str">
        <f>[1]!hospitalinfo[[#This Row],[Hospital Ownership]]</f>
        <v>Proprietary</v>
      </c>
      <c r="E1776" cm="1">
        <f t="array" ref="E1776">_xlfn.IFNA(_xlfn.XLOOKUP(1,([1]!hcahps[Facility ID] = clean[[#This Row],[Facility ID]]) * ([1]!hcahps[HCAHPS Measure ID] = "H_HSP_RATING_LINEAR_SCORE"), [1]!hcahps[HCAHPS Linear Mean Value]), "No Match")</f>
        <v>93</v>
      </c>
      <c r="F1776" cm="1">
        <f t="array" ref="F1776">_xlfn.IFNA(_xlfn.XLOOKUP(1,([1]!readmissions[Facility ID] = clean[[#This Row],[Facility ID]]) * ([1]!readmissions[Measure ID] = "Hybrid_HWR"), [1]!readmissions[Score]), "No Match")</f>
        <v>14.2</v>
      </c>
    </row>
    <row r="1777" spans="1:6" x14ac:dyDescent="0.2">
      <c r="A1777">
        <f>[1]!hospitalinfo[[#This Row],[Facility ID]]</f>
        <v>170040</v>
      </c>
      <c r="B1777" t="str">
        <f>[1]!hospitalinfo[[#This Row],[State]]</f>
        <v>KS</v>
      </c>
      <c r="C1777" t="str">
        <f>[1]!hospitalinfo[[#This Row],[Hospital Type]]</f>
        <v>Acute Care Hospitals</v>
      </c>
      <c r="D1777" t="str">
        <f>[1]!hospitalinfo[[#This Row],[Hospital Ownership]]</f>
        <v>Government - Hospital District or Authority</v>
      </c>
      <c r="E1777" cm="1">
        <f t="array" ref="E1777">_xlfn.IFNA(_xlfn.XLOOKUP(1,([1]!hcahps[Facility ID] = clean[[#This Row],[Facility ID]]) * ([1]!hcahps[HCAHPS Measure ID] = "H_HSP_RATING_LINEAR_SCORE"), [1]!hcahps[HCAHPS Linear Mean Value]), "No Match")</f>
        <v>92</v>
      </c>
      <c r="F1777" cm="1">
        <f t="array" ref="F1777">_xlfn.IFNA(_xlfn.XLOOKUP(1,([1]!readmissions[Facility ID] = clean[[#This Row],[Facility ID]]) * ([1]!readmissions[Measure ID] = "Hybrid_HWR"), [1]!readmissions[Score]), "No Match")</f>
        <v>14.1</v>
      </c>
    </row>
    <row r="1778" spans="1:6" x14ac:dyDescent="0.2">
      <c r="A1778">
        <f>[1]!hospitalinfo[[#This Row],[Facility ID]]</f>
        <v>170049</v>
      </c>
      <c r="B1778" t="str">
        <f>[1]!hospitalinfo[[#This Row],[State]]</f>
        <v>KS</v>
      </c>
      <c r="C1778" t="str">
        <f>[1]!hospitalinfo[[#This Row],[Hospital Type]]</f>
        <v>Acute Care Hospitals</v>
      </c>
      <c r="D1778" t="str">
        <f>[1]!hospitalinfo[[#This Row],[Hospital Ownership]]</f>
        <v>Voluntary non-profit - Private</v>
      </c>
      <c r="E1778" cm="1">
        <f t="array" ref="E1778">_xlfn.IFNA(_xlfn.XLOOKUP(1,([1]!hcahps[Facility ID] = clean[[#This Row],[Facility ID]]) * ([1]!hcahps[HCAHPS Measure ID] = "H_HSP_RATING_LINEAR_SCORE"), [1]!hcahps[HCAHPS Linear Mean Value]), "No Match")</f>
        <v>87</v>
      </c>
      <c r="F1778" cm="1">
        <f t="array" ref="F1778">_xlfn.IFNA(_xlfn.XLOOKUP(1,([1]!readmissions[Facility ID] = clean[[#This Row],[Facility ID]]) * ([1]!readmissions[Measure ID] = "Hybrid_HWR"), [1]!readmissions[Score]), "No Match")</f>
        <v>14.4</v>
      </c>
    </row>
    <row r="1779" spans="1:6" x14ac:dyDescent="0.2">
      <c r="A1779">
        <f>[1]!hospitalinfo[[#This Row],[Facility ID]]</f>
        <v>170068</v>
      </c>
      <c r="B1779" t="str">
        <f>[1]!hospitalinfo[[#This Row],[State]]</f>
        <v>KS</v>
      </c>
      <c r="C1779" t="str">
        <f>[1]!hospitalinfo[[#This Row],[Hospital Type]]</f>
        <v>Acute Care Hospitals</v>
      </c>
      <c r="D1779" t="str">
        <f>[1]!hospitalinfo[[#This Row],[Hospital Ownership]]</f>
        <v>Government - Local</v>
      </c>
      <c r="E1779" cm="1">
        <f t="array" ref="E1779">_xlfn.IFNA(_xlfn.XLOOKUP(1,([1]!hcahps[Facility ID] = clean[[#This Row],[Facility ID]]) * ([1]!hcahps[HCAHPS Measure ID] = "H_HSP_RATING_LINEAR_SCORE"), [1]!hcahps[HCAHPS Linear Mean Value]), "No Match")</f>
        <v>85</v>
      </c>
      <c r="F1779" cm="1">
        <f t="array" ref="F1779">_xlfn.IFNA(_xlfn.XLOOKUP(1,([1]!readmissions[Facility ID] = clean[[#This Row],[Facility ID]]) * ([1]!readmissions[Measure ID] = "Hybrid_HWR"), [1]!readmissions[Score]), "No Match")</f>
        <v>14.9</v>
      </c>
    </row>
    <row r="1780" spans="1:6" x14ac:dyDescent="0.2">
      <c r="A1780">
        <f>[1]!hospitalinfo[[#This Row],[Facility ID]]</f>
        <v>170074</v>
      </c>
      <c r="B1780" t="str">
        <f>[1]!hospitalinfo[[#This Row],[State]]</f>
        <v>KS</v>
      </c>
      <c r="C1780" t="str">
        <f>[1]!hospitalinfo[[#This Row],[Hospital Type]]</f>
        <v>Acute Care Hospitals</v>
      </c>
      <c r="D1780" t="str">
        <f>[1]!hospitalinfo[[#This Row],[Hospital Ownership]]</f>
        <v>Voluntary non-profit - Private</v>
      </c>
      <c r="E1780" cm="1">
        <f t="array" ref="E1780">_xlfn.IFNA(_xlfn.XLOOKUP(1,([1]!hcahps[Facility ID] = clean[[#This Row],[Facility ID]]) * ([1]!hcahps[HCAHPS Measure ID] = "H_HSP_RATING_LINEAR_SCORE"), [1]!hcahps[HCAHPS Linear Mean Value]), "No Match")</f>
        <v>90</v>
      </c>
      <c r="F1780" cm="1">
        <f t="array" ref="F1780">_xlfn.IFNA(_xlfn.XLOOKUP(1,([1]!readmissions[Facility ID] = clean[[#This Row],[Facility ID]]) * ([1]!readmissions[Measure ID] = "Hybrid_HWR"), [1]!readmissions[Score]), "No Match")</f>
        <v>14.1</v>
      </c>
    </row>
    <row r="1781" spans="1:6" x14ac:dyDescent="0.2">
      <c r="A1781">
        <f>[1]!hospitalinfo[[#This Row],[Facility ID]]</f>
        <v>170086</v>
      </c>
      <c r="B1781" t="str">
        <f>[1]!hospitalinfo[[#This Row],[State]]</f>
        <v>KS</v>
      </c>
      <c r="C1781" t="str">
        <f>[1]!hospitalinfo[[#This Row],[Hospital Type]]</f>
        <v>Acute Care Hospitals</v>
      </c>
      <c r="D1781" t="str">
        <f>[1]!hospitalinfo[[#This Row],[Hospital Ownership]]</f>
        <v>Voluntary non-profit - Private</v>
      </c>
      <c r="E1781" cm="1">
        <f t="array" ref="E1781">_xlfn.IFNA(_xlfn.XLOOKUP(1,([1]!hcahps[Facility ID] = clean[[#This Row],[Facility ID]]) * ([1]!hcahps[HCAHPS Measure ID] = "H_HSP_RATING_LINEAR_SCORE"), [1]!hcahps[HCAHPS Linear Mean Value]), "No Match")</f>
        <v>89</v>
      </c>
      <c r="F1781" cm="1">
        <f t="array" ref="F1781">_xlfn.IFNA(_xlfn.XLOOKUP(1,([1]!readmissions[Facility ID] = clean[[#This Row],[Facility ID]]) * ([1]!readmissions[Measure ID] = "Hybrid_HWR"), [1]!readmissions[Score]), "No Match")</f>
        <v>14.3</v>
      </c>
    </row>
    <row r="1782" spans="1:6" x14ac:dyDescent="0.2">
      <c r="A1782">
        <f>[1]!hospitalinfo[[#This Row],[Facility ID]]</f>
        <v>170103</v>
      </c>
      <c r="B1782" t="str">
        <f>[1]!hospitalinfo[[#This Row],[State]]</f>
        <v>KS</v>
      </c>
      <c r="C1782" t="str">
        <f>[1]!hospitalinfo[[#This Row],[Hospital Type]]</f>
        <v>Acute Care Hospitals</v>
      </c>
      <c r="D1782" t="str">
        <f>[1]!hospitalinfo[[#This Row],[Hospital Ownership]]</f>
        <v>Voluntary non-profit - Private</v>
      </c>
      <c r="E1782" cm="1">
        <f t="array" ref="E1782">_xlfn.IFNA(_xlfn.XLOOKUP(1,([1]!hcahps[Facility ID] = clean[[#This Row],[Facility ID]]) * ([1]!hcahps[HCAHPS Measure ID] = "H_HSP_RATING_LINEAR_SCORE"), [1]!hcahps[HCAHPS Linear Mean Value]), "No Match")</f>
        <v>91</v>
      </c>
      <c r="F1782" cm="1">
        <f t="array" ref="F1782">_xlfn.IFNA(_xlfn.XLOOKUP(1,([1]!readmissions[Facility ID] = clean[[#This Row],[Facility ID]]) * ([1]!readmissions[Measure ID] = "Hybrid_HWR"), [1]!readmissions[Score]), "No Match")</f>
        <v>14.1</v>
      </c>
    </row>
    <row r="1783" spans="1:6" x14ac:dyDescent="0.2">
      <c r="A1783">
        <f>[1]!hospitalinfo[[#This Row],[Facility ID]]</f>
        <v>170104</v>
      </c>
      <c r="B1783" t="str">
        <f>[1]!hospitalinfo[[#This Row],[State]]</f>
        <v>KS</v>
      </c>
      <c r="C1783" t="str">
        <f>[1]!hospitalinfo[[#This Row],[Hospital Type]]</f>
        <v>Acute Care Hospitals</v>
      </c>
      <c r="D1783" t="str">
        <f>[1]!hospitalinfo[[#This Row],[Hospital Ownership]]</f>
        <v>Voluntary non-profit - Private</v>
      </c>
      <c r="E1783" cm="1">
        <f t="array" ref="E1783">_xlfn.IFNA(_xlfn.XLOOKUP(1,([1]!hcahps[Facility ID] = clean[[#This Row],[Facility ID]]) * ([1]!hcahps[HCAHPS Measure ID] = "H_HSP_RATING_LINEAR_SCORE"), [1]!hcahps[HCAHPS Linear Mean Value]), "No Match")</f>
        <v>89</v>
      </c>
      <c r="F1783" cm="1">
        <f t="array" ref="F1783">_xlfn.IFNA(_xlfn.XLOOKUP(1,([1]!readmissions[Facility ID] = clean[[#This Row],[Facility ID]]) * ([1]!readmissions[Measure ID] = "Hybrid_HWR"), [1]!readmissions[Score]), "No Match")</f>
        <v>14.5</v>
      </c>
    </row>
    <row r="1784" spans="1:6" x14ac:dyDescent="0.2">
      <c r="A1784">
        <f>[1]!hospitalinfo[[#This Row],[Facility ID]]</f>
        <v>170105</v>
      </c>
      <c r="B1784" t="str">
        <f>[1]!hospitalinfo[[#This Row],[State]]</f>
        <v>KS</v>
      </c>
      <c r="C1784" t="str">
        <f>[1]!hospitalinfo[[#This Row],[Hospital Type]]</f>
        <v>Acute Care Hospitals</v>
      </c>
      <c r="D1784" t="str">
        <f>[1]!hospitalinfo[[#This Row],[Hospital Ownership]]</f>
        <v>Voluntary non-profit - Private</v>
      </c>
      <c r="E1784" cm="1">
        <f t="array" ref="E1784">_xlfn.IFNA(_xlfn.XLOOKUP(1,([1]!hcahps[Facility ID] = clean[[#This Row],[Facility ID]]) * ([1]!hcahps[HCAHPS Measure ID] = "H_HSP_RATING_LINEAR_SCORE"), [1]!hcahps[HCAHPS Linear Mean Value]), "No Match")</f>
        <v>89</v>
      </c>
      <c r="F1784" cm="1">
        <f t="array" ref="F1784">_xlfn.IFNA(_xlfn.XLOOKUP(1,([1]!readmissions[Facility ID] = clean[[#This Row],[Facility ID]]) * ([1]!readmissions[Measure ID] = "Hybrid_HWR"), [1]!readmissions[Score]), "No Match")</f>
        <v>14.9</v>
      </c>
    </row>
    <row r="1785" spans="1:6" x14ac:dyDescent="0.2">
      <c r="A1785">
        <f>[1]!hospitalinfo[[#This Row],[Facility ID]]</f>
        <v>170109</v>
      </c>
      <c r="B1785" t="str">
        <f>[1]!hospitalinfo[[#This Row],[State]]</f>
        <v>KS</v>
      </c>
      <c r="C1785" t="str">
        <f>[1]!hospitalinfo[[#This Row],[Hospital Type]]</f>
        <v>Acute Care Hospitals</v>
      </c>
      <c r="D1785" t="str">
        <f>[1]!hospitalinfo[[#This Row],[Hospital Ownership]]</f>
        <v>Voluntary non-profit - Private</v>
      </c>
      <c r="E1785" t="str" cm="1">
        <f t="array" ref="E1785">_xlfn.IFNA(_xlfn.XLOOKUP(1,([1]!hcahps[Facility ID] = clean[[#This Row],[Facility ID]]) * ([1]!hcahps[HCAHPS Measure ID] = "H_HSP_RATING_LINEAR_SCORE"), [1]!hcahps[HCAHPS Linear Mean Value]), "No Match")</f>
        <v>Not Available</v>
      </c>
      <c r="F1785" cm="1">
        <f t="array" ref="F1785">_xlfn.IFNA(_xlfn.XLOOKUP(1,([1]!readmissions[Facility ID] = clean[[#This Row],[Facility ID]]) * ([1]!readmissions[Measure ID] = "Hybrid_HWR"), [1]!readmissions[Score]), "No Match")</f>
        <v>14.6</v>
      </c>
    </row>
    <row r="1786" spans="1:6" x14ac:dyDescent="0.2">
      <c r="A1786">
        <f>[1]!hospitalinfo[[#This Row],[Facility ID]]</f>
        <v>170120</v>
      </c>
      <c r="B1786" t="str">
        <f>[1]!hospitalinfo[[#This Row],[State]]</f>
        <v>KS</v>
      </c>
      <c r="C1786" t="str">
        <f>[1]!hospitalinfo[[#This Row],[Hospital Type]]</f>
        <v>Acute Care Hospitals</v>
      </c>
      <c r="D1786" t="str">
        <f>[1]!hospitalinfo[[#This Row],[Hospital Ownership]]</f>
        <v>Government - Local</v>
      </c>
      <c r="E1786" cm="1">
        <f t="array" ref="E1786">_xlfn.IFNA(_xlfn.XLOOKUP(1,([1]!hcahps[Facility ID] = clean[[#This Row],[Facility ID]]) * ([1]!hcahps[HCAHPS Measure ID] = "H_HSP_RATING_LINEAR_SCORE"), [1]!hcahps[HCAHPS Linear Mean Value]), "No Match")</f>
        <v>90</v>
      </c>
      <c r="F1786" cm="1">
        <f t="array" ref="F1786">_xlfn.IFNA(_xlfn.XLOOKUP(1,([1]!readmissions[Facility ID] = clean[[#This Row],[Facility ID]]) * ([1]!readmissions[Measure ID] = "Hybrid_HWR"), [1]!readmissions[Score]), "No Match")</f>
        <v>14.7</v>
      </c>
    </row>
    <row r="1787" spans="1:6" x14ac:dyDescent="0.2">
      <c r="A1787">
        <f>[1]!hospitalinfo[[#This Row],[Facility ID]]</f>
        <v>170122</v>
      </c>
      <c r="B1787" t="str">
        <f>[1]!hospitalinfo[[#This Row],[State]]</f>
        <v>KS</v>
      </c>
      <c r="C1787" t="str">
        <f>[1]!hospitalinfo[[#This Row],[Hospital Type]]</f>
        <v>Acute Care Hospitals</v>
      </c>
      <c r="D1787" t="str">
        <f>[1]!hospitalinfo[[#This Row],[Hospital Ownership]]</f>
        <v>Voluntary non-profit - Private</v>
      </c>
      <c r="E1787" cm="1">
        <f t="array" ref="E1787">_xlfn.IFNA(_xlfn.XLOOKUP(1,([1]!hcahps[Facility ID] = clean[[#This Row],[Facility ID]]) * ([1]!hcahps[HCAHPS Measure ID] = "H_HSP_RATING_LINEAR_SCORE"), [1]!hcahps[HCAHPS Linear Mean Value]), "No Match")</f>
        <v>83</v>
      </c>
      <c r="F1787" cm="1">
        <f t="array" ref="F1787">_xlfn.IFNA(_xlfn.XLOOKUP(1,([1]!readmissions[Facility ID] = clean[[#This Row],[Facility ID]]) * ([1]!readmissions[Measure ID] = "Hybrid_HWR"), [1]!readmissions[Score]), "No Match")</f>
        <v>14</v>
      </c>
    </row>
    <row r="1788" spans="1:6" x14ac:dyDescent="0.2">
      <c r="A1788">
        <f>[1]!hospitalinfo[[#This Row],[Facility ID]]</f>
        <v>170123</v>
      </c>
      <c r="B1788" t="str">
        <f>[1]!hospitalinfo[[#This Row],[State]]</f>
        <v>KS</v>
      </c>
      <c r="C1788" t="str">
        <f>[1]!hospitalinfo[[#This Row],[Hospital Type]]</f>
        <v>Acute Care Hospitals</v>
      </c>
      <c r="D1788" t="str">
        <f>[1]!hospitalinfo[[#This Row],[Hospital Ownership]]</f>
        <v>Proprietary</v>
      </c>
      <c r="E1788" cm="1">
        <f t="array" ref="E1788">_xlfn.IFNA(_xlfn.XLOOKUP(1,([1]!hcahps[Facility ID] = clean[[#This Row],[Facility ID]]) * ([1]!hcahps[HCAHPS Measure ID] = "H_HSP_RATING_LINEAR_SCORE"), [1]!hcahps[HCAHPS Linear Mean Value]), "No Match")</f>
        <v>84</v>
      </c>
      <c r="F1788" cm="1">
        <f t="array" ref="F1788">_xlfn.IFNA(_xlfn.XLOOKUP(1,([1]!readmissions[Facility ID] = clean[[#This Row],[Facility ID]]) * ([1]!readmissions[Measure ID] = "Hybrid_HWR"), [1]!readmissions[Score]), "No Match")</f>
        <v>13.3</v>
      </c>
    </row>
    <row r="1789" spans="1:6" x14ac:dyDescent="0.2">
      <c r="A1789">
        <f>[1]!hospitalinfo[[#This Row],[Facility ID]]</f>
        <v>170137</v>
      </c>
      <c r="B1789" t="str">
        <f>[1]!hospitalinfo[[#This Row],[State]]</f>
        <v>KS</v>
      </c>
      <c r="C1789" t="str">
        <f>[1]!hospitalinfo[[#This Row],[Hospital Type]]</f>
        <v>Acute Care Hospitals</v>
      </c>
      <c r="D1789" t="str">
        <f>[1]!hospitalinfo[[#This Row],[Hospital Ownership]]</f>
        <v>Government - Local</v>
      </c>
      <c r="E1789" cm="1">
        <f t="array" ref="E1789">_xlfn.IFNA(_xlfn.XLOOKUP(1,([1]!hcahps[Facility ID] = clean[[#This Row],[Facility ID]]) * ([1]!hcahps[HCAHPS Measure ID] = "H_HSP_RATING_LINEAR_SCORE"), [1]!hcahps[HCAHPS Linear Mean Value]), "No Match")</f>
        <v>88</v>
      </c>
      <c r="F1789" cm="1">
        <f t="array" ref="F1789">_xlfn.IFNA(_xlfn.XLOOKUP(1,([1]!readmissions[Facility ID] = clean[[#This Row],[Facility ID]]) * ([1]!readmissions[Measure ID] = "Hybrid_HWR"), [1]!readmissions[Score]), "No Match")</f>
        <v>13.9</v>
      </c>
    </row>
    <row r="1790" spans="1:6" x14ac:dyDescent="0.2">
      <c r="A1790">
        <f>[1]!hospitalinfo[[#This Row],[Facility ID]]</f>
        <v>170142</v>
      </c>
      <c r="B1790" t="str">
        <f>[1]!hospitalinfo[[#This Row],[State]]</f>
        <v>KS</v>
      </c>
      <c r="C1790" t="str">
        <f>[1]!hospitalinfo[[#This Row],[Hospital Type]]</f>
        <v>Acute Care Hospitals</v>
      </c>
      <c r="D1790" t="str">
        <f>[1]!hospitalinfo[[#This Row],[Hospital Ownership]]</f>
        <v>Voluntary non-profit - Private</v>
      </c>
      <c r="E1790" cm="1">
        <f t="array" ref="E1790">_xlfn.IFNA(_xlfn.XLOOKUP(1,([1]!hcahps[Facility ID] = clean[[#This Row],[Facility ID]]) * ([1]!hcahps[HCAHPS Measure ID] = "H_HSP_RATING_LINEAR_SCORE"), [1]!hcahps[HCAHPS Linear Mean Value]), "No Match")</f>
        <v>89</v>
      </c>
      <c r="F1790" cm="1">
        <f t="array" ref="F1790">_xlfn.IFNA(_xlfn.XLOOKUP(1,([1]!readmissions[Facility ID] = clean[[#This Row],[Facility ID]]) * ([1]!readmissions[Measure ID] = "Hybrid_HWR"), [1]!readmissions[Score]), "No Match")</f>
        <v>14.6</v>
      </c>
    </row>
    <row r="1791" spans="1:6" x14ac:dyDescent="0.2">
      <c r="A1791">
        <f>[1]!hospitalinfo[[#This Row],[Facility ID]]</f>
        <v>170146</v>
      </c>
      <c r="B1791" t="str">
        <f>[1]!hospitalinfo[[#This Row],[State]]</f>
        <v>KS</v>
      </c>
      <c r="C1791" t="str">
        <f>[1]!hospitalinfo[[#This Row],[Hospital Type]]</f>
        <v>Acute Care Hospitals</v>
      </c>
      <c r="D1791" t="str">
        <f>[1]!hospitalinfo[[#This Row],[Hospital Ownership]]</f>
        <v>Voluntary non-profit - Church</v>
      </c>
      <c r="E1791" cm="1">
        <f t="array" ref="E1791">_xlfn.IFNA(_xlfn.XLOOKUP(1,([1]!hcahps[Facility ID] = clean[[#This Row],[Facility ID]]) * ([1]!hcahps[HCAHPS Measure ID] = "H_HSP_RATING_LINEAR_SCORE"), [1]!hcahps[HCAHPS Linear Mean Value]), "No Match")</f>
        <v>85</v>
      </c>
      <c r="F1791" cm="1">
        <f t="array" ref="F1791">_xlfn.IFNA(_xlfn.XLOOKUP(1,([1]!readmissions[Facility ID] = clean[[#This Row],[Facility ID]]) * ([1]!readmissions[Measure ID] = "Hybrid_HWR"), [1]!readmissions[Score]), "No Match")</f>
        <v>14.7</v>
      </c>
    </row>
    <row r="1792" spans="1:6" x14ac:dyDescent="0.2">
      <c r="A1792">
        <f>[1]!hospitalinfo[[#This Row],[Facility ID]]</f>
        <v>170175</v>
      </c>
      <c r="B1792" t="str">
        <f>[1]!hospitalinfo[[#This Row],[State]]</f>
        <v>KS</v>
      </c>
      <c r="C1792" t="str">
        <f>[1]!hospitalinfo[[#This Row],[Hospital Type]]</f>
        <v>Acute Care Hospitals</v>
      </c>
      <c r="D1792" t="str">
        <f>[1]!hospitalinfo[[#This Row],[Hospital Ownership]]</f>
        <v>Proprietary</v>
      </c>
      <c r="E1792" t="str" cm="1">
        <f t="array" ref="E1792">_xlfn.IFNA(_xlfn.XLOOKUP(1,([1]!hcahps[Facility ID] = clean[[#This Row],[Facility ID]]) * ([1]!hcahps[HCAHPS Measure ID] = "H_HSP_RATING_LINEAR_SCORE"), [1]!hcahps[HCAHPS Linear Mean Value]), "No Match")</f>
        <v>Not Available</v>
      </c>
      <c r="F1792" cm="1">
        <f t="array" ref="F1792">_xlfn.IFNA(_xlfn.XLOOKUP(1,([1]!readmissions[Facility ID] = clean[[#This Row],[Facility ID]]) * ([1]!readmissions[Measure ID] = "Hybrid_HWR"), [1]!readmissions[Score]), "No Match")</f>
        <v>14.1</v>
      </c>
    </row>
    <row r="1793" spans="1:6" x14ac:dyDescent="0.2">
      <c r="A1793">
        <f>[1]!hospitalinfo[[#This Row],[Facility ID]]</f>
        <v>170176</v>
      </c>
      <c r="B1793" t="str">
        <f>[1]!hospitalinfo[[#This Row],[State]]</f>
        <v>KS</v>
      </c>
      <c r="C1793" t="str">
        <f>[1]!hospitalinfo[[#This Row],[Hospital Type]]</f>
        <v>Acute Care Hospitals</v>
      </c>
      <c r="D1793" t="str">
        <f>[1]!hospitalinfo[[#This Row],[Hospital Ownership]]</f>
        <v>Proprietary</v>
      </c>
      <c r="E1793" cm="1">
        <f t="array" ref="E1793">_xlfn.IFNA(_xlfn.XLOOKUP(1,([1]!hcahps[Facility ID] = clean[[#This Row],[Facility ID]]) * ([1]!hcahps[HCAHPS Measure ID] = "H_HSP_RATING_LINEAR_SCORE"), [1]!hcahps[HCAHPS Linear Mean Value]), "No Match")</f>
        <v>86</v>
      </c>
      <c r="F1793" cm="1">
        <f t="array" ref="F1793">_xlfn.IFNA(_xlfn.XLOOKUP(1,([1]!readmissions[Facility ID] = clean[[#This Row],[Facility ID]]) * ([1]!readmissions[Measure ID] = "Hybrid_HWR"), [1]!readmissions[Score]), "No Match")</f>
        <v>15.2</v>
      </c>
    </row>
    <row r="1794" spans="1:6" x14ac:dyDescent="0.2">
      <c r="A1794">
        <f>[1]!hospitalinfo[[#This Row],[Facility ID]]</f>
        <v>170182</v>
      </c>
      <c r="B1794" t="str">
        <f>[1]!hospitalinfo[[#This Row],[State]]</f>
        <v>KS</v>
      </c>
      <c r="C1794" t="str">
        <f>[1]!hospitalinfo[[#This Row],[Hospital Type]]</f>
        <v>Acute Care Hospitals</v>
      </c>
      <c r="D1794" t="str">
        <f>[1]!hospitalinfo[[#This Row],[Hospital Ownership]]</f>
        <v>Proprietary</v>
      </c>
      <c r="E1794" cm="1">
        <f t="array" ref="E1794">_xlfn.IFNA(_xlfn.XLOOKUP(1,([1]!hcahps[Facility ID] = clean[[#This Row],[Facility ID]]) * ([1]!hcahps[HCAHPS Measure ID] = "H_HSP_RATING_LINEAR_SCORE"), [1]!hcahps[HCAHPS Linear Mean Value]), "No Match")</f>
        <v>88</v>
      </c>
      <c r="F1794" cm="1">
        <f t="array" ref="F1794">_xlfn.IFNA(_xlfn.XLOOKUP(1,([1]!readmissions[Facility ID] = clean[[#This Row],[Facility ID]]) * ([1]!readmissions[Measure ID] = "Hybrid_HWR"), [1]!readmissions[Score]), "No Match")</f>
        <v>15.9</v>
      </c>
    </row>
    <row r="1795" spans="1:6" x14ac:dyDescent="0.2">
      <c r="A1795">
        <f>[1]!hospitalinfo[[#This Row],[Facility ID]]</f>
        <v>170183</v>
      </c>
      <c r="B1795" t="str">
        <f>[1]!hospitalinfo[[#This Row],[State]]</f>
        <v>KS</v>
      </c>
      <c r="C1795" t="str">
        <f>[1]!hospitalinfo[[#This Row],[Hospital Type]]</f>
        <v>Acute Care Hospitals</v>
      </c>
      <c r="D1795" t="str">
        <f>[1]!hospitalinfo[[#This Row],[Hospital Ownership]]</f>
        <v>Voluntary non-profit - Private</v>
      </c>
      <c r="E1795" cm="1">
        <f t="array" ref="E1795">_xlfn.IFNA(_xlfn.XLOOKUP(1,([1]!hcahps[Facility ID] = clean[[#This Row],[Facility ID]]) * ([1]!hcahps[HCAHPS Measure ID] = "H_HSP_RATING_LINEAR_SCORE"), [1]!hcahps[HCAHPS Linear Mean Value]), "No Match")</f>
        <v>93</v>
      </c>
      <c r="F1795" cm="1">
        <f t="array" ref="F1795">_xlfn.IFNA(_xlfn.XLOOKUP(1,([1]!readmissions[Facility ID] = clean[[#This Row],[Facility ID]]) * ([1]!readmissions[Measure ID] = "Hybrid_HWR"), [1]!readmissions[Score]), "No Match")</f>
        <v>14.3</v>
      </c>
    </row>
    <row r="1796" spans="1:6" x14ac:dyDescent="0.2">
      <c r="A1796">
        <f>[1]!hospitalinfo[[#This Row],[Facility ID]]</f>
        <v>170185</v>
      </c>
      <c r="B1796" t="str">
        <f>[1]!hospitalinfo[[#This Row],[State]]</f>
        <v>KS</v>
      </c>
      <c r="C1796" t="str">
        <f>[1]!hospitalinfo[[#This Row],[Hospital Type]]</f>
        <v>Acute Care Hospitals</v>
      </c>
      <c r="D1796" t="str">
        <f>[1]!hospitalinfo[[#This Row],[Hospital Ownership]]</f>
        <v>Voluntary non-profit - Other</v>
      </c>
      <c r="E1796" cm="1">
        <f t="array" ref="E1796">_xlfn.IFNA(_xlfn.XLOOKUP(1,([1]!hcahps[Facility ID] = clean[[#This Row],[Facility ID]]) * ([1]!hcahps[HCAHPS Measure ID] = "H_HSP_RATING_LINEAR_SCORE"), [1]!hcahps[HCAHPS Linear Mean Value]), "No Match")</f>
        <v>90</v>
      </c>
      <c r="F1796" cm="1">
        <f t="array" ref="F1796">_xlfn.IFNA(_xlfn.XLOOKUP(1,([1]!readmissions[Facility ID] = clean[[#This Row],[Facility ID]]) * ([1]!readmissions[Measure ID] = "Hybrid_HWR"), [1]!readmissions[Score]), "No Match")</f>
        <v>14.6</v>
      </c>
    </row>
    <row r="1797" spans="1:6" x14ac:dyDescent="0.2">
      <c r="A1797">
        <f>[1]!hospitalinfo[[#This Row],[Facility ID]]</f>
        <v>170186</v>
      </c>
      <c r="B1797" t="str">
        <f>[1]!hospitalinfo[[#This Row],[State]]</f>
        <v>KS</v>
      </c>
      <c r="C1797" t="str">
        <f>[1]!hospitalinfo[[#This Row],[Hospital Type]]</f>
        <v>Acute Care Hospitals</v>
      </c>
      <c r="D1797" t="str">
        <f>[1]!hospitalinfo[[#This Row],[Hospital Ownership]]</f>
        <v>Proprietary</v>
      </c>
      <c r="E1797" cm="1">
        <f t="array" ref="E1797">_xlfn.IFNA(_xlfn.XLOOKUP(1,([1]!hcahps[Facility ID] = clean[[#This Row],[Facility ID]]) * ([1]!hcahps[HCAHPS Measure ID] = "H_HSP_RATING_LINEAR_SCORE"), [1]!hcahps[HCAHPS Linear Mean Value]), "No Match")</f>
        <v>95</v>
      </c>
      <c r="F1797" cm="1">
        <f t="array" ref="F1797">_xlfn.IFNA(_xlfn.XLOOKUP(1,([1]!readmissions[Facility ID] = clean[[#This Row],[Facility ID]]) * ([1]!readmissions[Measure ID] = "Hybrid_HWR"), [1]!readmissions[Score]), "No Match")</f>
        <v>14.6</v>
      </c>
    </row>
    <row r="1798" spans="1:6" x14ac:dyDescent="0.2">
      <c r="A1798">
        <f>[1]!hospitalinfo[[#This Row],[Facility ID]]</f>
        <v>170187</v>
      </c>
      <c r="B1798" t="str">
        <f>[1]!hospitalinfo[[#This Row],[State]]</f>
        <v>KS</v>
      </c>
      <c r="C1798" t="str">
        <f>[1]!hospitalinfo[[#This Row],[Hospital Type]]</f>
        <v>Acute Care Hospitals</v>
      </c>
      <c r="D1798" t="str">
        <f>[1]!hospitalinfo[[#This Row],[Hospital Ownership]]</f>
        <v>Physician</v>
      </c>
      <c r="E1798" cm="1">
        <f t="array" ref="E1798">_xlfn.IFNA(_xlfn.XLOOKUP(1,([1]!hcahps[Facility ID] = clean[[#This Row],[Facility ID]]) * ([1]!hcahps[HCAHPS Measure ID] = "H_HSP_RATING_LINEAR_SCORE"), [1]!hcahps[HCAHPS Linear Mean Value]), "No Match")</f>
        <v>93</v>
      </c>
      <c r="F1798" cm="1">
        <f t="array" ref="F1798">_xlfn.IFNA(_xlfn.XLOOKUP(1,([1]!readmissions[Facility ID] = clean[[#This Row],[Facility ID]]) * ([1]!readmissions[Measure ID] = "Hybrid_HWR"), [1]!readmissions[Score]), "No Match")</f>
        <v>14.1</v>
      </c>
    </row>
    <row r="1799" spans="1:6" x14ac:dyDescent="0.2">
      <c r="A1799">
        <f>[1]!hospitalinfo[[#This Row],[Facility ID]]</f>
        <v>170188</v>
      </c>
      <c r="B1799" t="str">
        <f>[1]!hospitalinfo[[#This Row],[State]]</f>
        <v>KS</v>
      </c>
      <c r="C1799" t="str">
        <f>[1]!hospitalinfo[[#This Row],[Hospital Type]]</f>
        <v>Acute Care Hospitals</v>
      </c>
      <c r="D1799" t="str">
        <f>[1]!hospitalinfo[[#This Row],[Hospital Ownership]]</f>
        <v>Physician</v>
      </c>
      <c r="E1799" cm="1">
        <f t="array" ref="E1799">_xlfn.IFNA(_xlfn.XLOOKUP(1,([1]!hcahps[Facility ID] = clean[[#This Row],[Facility ID]]) * ([1]!hcahps[HCAHPS Measure ID] = "H_HSP_RATING_LINEAR_SCORE"), [1]!hcahps[HCAHPS Linear Mean Value]), "No Match")</f>
        <v>95</v>
      </c>
      <c r="F1799" cm="1">
        <f t="array" ref="F1799">_xlfn.IFNA(_xlfn.XLOOKUP(1,([1]!readmissions[Facility ID] = clean[[#This Row],[Facility ID]]) * ([1]!readmissions[Measure ID] = "Hybrid_HWR"), [1]!readmissions[Score]), "No Match")</f>
        <v>12.9</v>
      </c>
    </row>
    <row r="1800" spans="1:6" x14ac:dyDescent="0.2">
      <c r="A1800">
        <f>[1]!hospitalinfo[[#This Row],[Facility ID]]</f>
        <v>170190</v>
      </c>
      <c r="B1800" t="str">
        <f>[1]!hospitalinfo[[#This Row],[State]]</f>
        <v>KS</v>
      </c>
      <c r="C1800" t="str">
        <f>[1]!hospitalinfo[[#This Row],[Hospital Type]]</f>
        <v>Acute Care Hospitals</v>
      </c>
      <c r="D1800" t="str">
        <f>[1]!hospitalinfo[[#This Row],[Hospital Ownership]]</f>
        <v>Physician</v>
      </c>
      <c r="E1800" t="str" cm="1">
        <f t="array" ref="E1800">_xlfn.IFNA(_xlfn.XLOOKUP(1,([1]!hcahps[Facility ID] = clean[[#This Row],[Facility ID]]) * ([1]!hcahps[HCAHPS Measure ID] = "H_HSP_RATING_LINEAR_SCORE"), [1]!hcahps[HCAHPS Linear Mean Value]), "No Match")</f>
        <v>Not Available</v>
      </c>
      <c r="F1800" cm="1">
        <f t="array" ref="F1800">_xlfn.IFNA(_xlfn.XLOOKUP(1,([1]!readmissions[Facility ID] = clean[[#This Row],[Facility ID]]) * ([1]!readmissions[Measure ID] = "Hybrid_HWR"), [1]!readmissions[Score]), "No Match")</f>
        <v>14.5</v>
      </c>
    </row>
    <row r="1801" spans="1:6" x14ac:dyDescent="0.2">
      <c r="A1801">
        <f>[1]!hospitalinfo[[#This Row],[Facility ID]]</f>
        <v>170191</v>
      </c>
      <c r="B1801" t="str">
        <f>[1]!hospitalinfo[[#This Row],[State]]</f>
        <v>KS</v>
      </c>
      <c r="C1801" t="str">
        <f>[1]!hospitalinfo[[#This Row],[Hospital Type]]</f>
        <v>Acute Care Hospitals</v>
      </c>
      <c r="D1801" t="str">
        <f>[1]!hospitalinfo[[#This Row],[Hospital Ownership]]</f>
        <v>Government - Hospital District or Authority</v>
      </c>
      <c r="E1801" cm="1">
        <f t="array" ref="E1801">_xlfn.IFNA(_xlfn.XLOOKUP(1,([1]!hcahps[Facility ID] = clean[[#This Row],[Facility ID]]) * ([1]!hcahps[HCAHPS Measure ID] = "H_HSP_RATING_LINEAR_SCORE"), [1]!hcahps[HCAHPS Linear Mean Value]), "No Match")</f>
        <v>86</v>
      </c>
      <c r="F1801" cm="1">
        <f t="array" ref="F1801">_xlfn.IFNA(_xlfn.XLOOKUP(1,([1]!readmissions[Facility ID] = clean[[#This Row],[Facility ID]]) * ([1]!readmissions[Measure ID] = "Hybrid_HWR"), [1]!readmissions[Score]), "No Match")</f>
        <v>14.5</v>
      </c>
    </row>
    <row r="1802" spans="1:6" x14ac:dyDescent="0.2">
      <c r="A1802">
        <f>[1]!hospitalinfo[[#This Row],[Facility ID]]</f>
        <v>170194</v>
      </c>
      <c r="B1802" t="str">
        <f>[1]!hospitalinfo[[#This Row],[State]]</f>
        <v>KS</v>
      </c>
      <c r="C1802" t="str">
        <f>[1]!hospitalinfo[[#This Row],[Hospital Type]]</f>
        <v>Acute Care Hospitals</v>
      </c>
      <c r="D1802" t="str">
        <f>[1]!hospitalinfo[[#This Row],[Hospital Ownership]]</f>
        <v>Proprietary</v>
      </c>
      <c r="E1802" cm="1">
        <f t="array" ref="E1802">_xlfn.IFNA(_xlfn.XLOOKUP(1,([1]!hcahps[Facility ID] = clean[[#This Row],[Facility ID]]) * ([1]!hcahps[HCAHPS Measure ID] = "H_HSP_RATING_LINEAR_SCORE"), [1]!hcahps[HCAHPS Linear Mean Value]), "No Match")</f>
        <v>90</v>
      </c>
      <c r="F1802" cm="1">
        <f t="array" ref="F1802">_xlfn.IFNA(_xlfn.XLOOKUP(1,([1]!readmissions[Facility ID] = clean[[#This Row],[Facility ID]]) * ([1]!readmissions[Measure ID] = "Hybrid_HWR"), [1]!readmissions[Score]), "No Match")</f>
        <v>14.6</v>
      </c>
    </row>
    <row r="1803" spans="1:6" x14ac:dyDescent="0.2">
      <c r="A1803">
        <f>[1]!hospitalinfo[[#This Row],[Facility ID]]</f>
        <v>170196</v>
      </c>
      <c r="B1803" t="str">
        <f>[1]!hospitalinfo[[#This Row],[State]]</f>
        <v>KS</v>
      </c>
      <c r="C1803" t="str">
        <f>[1]!hospitalinfo[[#This Row],[Hospital Type]]</f>
        <v>Acute Care Hospitals</v>
      </c>
      <c r="D1803" t="str">
        <f>[1]!hospitalinfo[[#This Row],[Hospital Ownership]]</f>
        <v>Physician</v>
      </c>
      <c r="E1803" cm="1">
        <f t="array" ref="E1803">_xlfn.IFNA(_xlfn.XLOOKUP(1,([1]!hcahps[Facility ID] = clean[[#This Row],[Facility ID]]) * ([1]!hcahps[HCAHPS Measure ID] = "H_HSP_RATING_LINEAR_SCORE"), [1]!hcahps[HCAHPS Linear Mean Value]), "No Match")</f>
        <v>92</v>
      </c>
      <c r="F1803" cm="1">
        <f t="array" ref="F1803">_xlfn.IFNA(_xlfn.XLOOKUP(1,([1]!readmissions[Facility ID] = clean[[#This Row],[Facility ID]]) * ([1]!readmissions[Measure ID] = "Hybrid_HWR"), [1]!readmissions[Score]), "No Match")</f>
        <v>12.9</v>
      </c>
    </row>
    <row r="1804" spans="1:6" x14ac:dyDescent="0.2">
      <c r="A1804">
        <f>[1]!hospitalinfo[[#This Row],[Facility ID]]</f>
        <v>170197</v>
      </c>
      <c r="B1804" t="str">
        <f>[1]!hospitalinfo[[#This Row],[State]]</f>
        <v>KS</v>
      </c>
      <c r="C1804" t="str">
        <f>[1]!hospitalinfo[[#This Row],[Hospital Type]]</f>
        <v>Acute Care Hospitals</v>
      </c>
      <c r="D1804" t="str">
        <f>[1]!hospitalinfo[[#This Row],[Hospital Ownership]]</f>
        <v>Proprietary</v>
      </c>
      <c r="E1804" cm="1">
        <f t="array" ref="E1804">_xlfn.IFNA(_xlfn.XLOOKUP(1,([1]!hcahps[Facility ID] = clean[[#This Row],[Facility ID]]) * ([1]!hcahps[HCAHPS Measure ID] = "H_HSP_RATING_LINEAR_SCORE"), [1]!hcahps[HCAHPS Linear Mean Value]), "No Match")</f>
        <v>88</v>
      </c>
      <c r="F1804" cm="1">
        <f t="array" ref="F1804">_xlfn.IFNA(_xlfn.XLOOKUP(1,([1]!readmissions[Facility ID] = clean[[#This Row],[Facility ID]]) * ([1]!readmissions[Measure ID] = "Hybrid_HWR"), [1]!readmissions[Score]), "No Match")</f>
        <v>15.1</v>
      </c>
    </row>
    <row r="1805" spans="1:6" x14ac:dyDescent="0.2">
      <c r="A1805">
        <f>[1]!hospitalinfo[[#This Row],[Facility ID]]</f>
        <v>170198</v>
      </c>
      <c r="B1805" t="str">
        <f>[1]!hospitalinfo[[#This Row],[State]]</f>
        <v>KS</v>
      </c>
      <c r="C1805" t="str">
        <f>[1]!hospitalinfo[[#This Row],[Hospital Type]]</f>
        <v>Acute Care Hospitals</v>
      </c>
      <c r="D1805" t="str">
        <f>[1]!hospitalinfo[[#This Row],[Hospital Ownership]]</f>
        <v>Physician</v>
      </c>
      <c r="E1805" cm="1">
        <f t="array" ref="E1805">_xlfn.IFNA(_xlfn.XLOOKUP(1,([1]!hcahps[Facility ID] = clean[[#This Row],[Facility ID]]) * ([1]!hcahps[HCAHPS Measure ID] = "H_HSP_RATING_LINEAR_SCORE"), [1]!hcahps[HCAHPS Linear Mean Value]), "No Match")</f>
        <v>93</v>
      </c>
      <c r="F1805" cm="1">
        <f t="array" ref="F1805">_xlfn.IFNA(_xlfn.XLOOKUP(1,([1]!readmissions[Facility ID] = clean[[#This Row],[Facility ID]]) * ([1]!readmissions[Measure ID] = "Hybrid_HWR"), [1]!readmissions[Score]), "No Match")</f>
        <v>13.9</v>
      </c>
    </row>
    <row r="1806" spans="1:6" x14ac:dyDescent="0.2">
      <c r="A1806">
        <f>[1]!hospitalinfo[[#This Row],[Facility ID]]</f>
        <v>170199</v>
      </c>
      <c r="B1806" t="str">
        <f>[1]!hospitalinfo[[#This Row],[State]]</f>
        <v>KS</v>
      </c>
      <c r="C1806" t="str">
        <f>[1]!hospitalinfo[[#This Row],[Hospital Type]]</f>
        <v>Acute Care Hospitals</v>
      </c>
      <c r="D1806" t="str">
        <f>[1]!hospitalinfo[[#This Row],[Hospital Ownership]]</f>
        <v>Proprietary</v>
      </c>
      <c r="E1806" t="str" cm="1">
        <f t="array" ref="E1806">_xlfn.IFNA(_xlfn.XLOOKUP(1,([1]!hcahps[Facility ID] = clean[[#This Row],[Facility ID]]) * ([1]!hcahps[HCAHPS Measure ID] = "H_HSP_RATING_LINEAR_SCORE"), [1]!hcahps[HCAHPS Linear Mean Value]), "No Match")</f>
        <v>Not Available</v>
      </c>
      <c r="F1806" t="str" cm="1">
        <f t="array" ref="F1806">_xlfn.IFNA(_xlfn.XLOOKUP(1,([1]!readmissions[Facility ID] = clean[[#This Row],[Facility ID]]) * ([1]!readmissions[Measure ID] = "Hybrid_HWR"), [1]!readmissions[Score]), "No Match")</f>
        <v>Not Available</v>
      </c>
    </row>
    <row r="1807" spans="1:6" x14ac:dyDescent="0.2">
      <c r="A1807">
        <f>[1]!hospitalinfo[[#This Row],[Facility ID]]</f>
        <v>170200</v>
      </c>
      <c r="B1807" t="str">
        <f>[1]!hospitalinfo[[#This Row],[State]]</f>
        <v>KS</v>
      </c>
      <c r="C1807" t="str">
        <f>[1]!hospitalinfo[[#This Row],[Hospital Type]]</f>
        <v>Acute Care Hospitals</v>
      </c>
      <c r="D1807" t="str">
        <f>[1]!hospitalinfo[[#This Row],[Hospital Ownership]]</f>
        <v>Voluntary non-profit - Church</v>
      </c>
      <c r="E1807" cm="1">
        <f t="array" ref="E1807">_xlfn.IFNA(_xlfn.XLOOKUP(1,([1]!hcahps[Facility ID] = clean[[#This Row],[Facility ID]]) * ([1]!hcahps[HCAHPS Measure ID] = "H_HSP_RATING_LINEAR_SCORE"), [1]!hcahps[HCAHPS Linear Mean Value]), "No Match")</f>
        <v>92</v>
      </c>
      <c r="F1807" cm="1">
        <f t="array" ref="F1807">_xlfn.IFNA(_xlfn.XLOOKUP(1,([1]!readmissions[Facility ID] = clean[[#This Row],[Facility ID]]) * ([1]!readmissions[Measure ID] = "Hybrid_HWR"), [1]!readmissions[Score]), "No Match")</f>
        <v>15.6</v>
      </c>
    </row>
    <row r="1808" spans="1:6" x14ac:dyDescent="0.2">
      <c r="A1808">
        <f>[1]!hospitalinfo[[#This Row],[Facility ID]]</f>
        <v>170203</v>
      </c>
      <c r="B1808" t="str">
        <f>[1]!hospitalinfo[[#This Row],[State]]</f>
        <v>KS</v>
      </c>
      <c r="C1808" t="str">
        <f>[1]!hospitalinfo[[#This Row],[Hospital Type]]</f>
        <v>Acute Care Hospitals</v>
      </c>
      <c r="D1808" t="str">
        <f>[1]!hospitalinfo[[#This Row],[Hospital Ownership]]</f>
        <v>Voluntary non-profit - Private</v>
      </c>
      <c r="E1808" t="str" cm="1">
        <f t="array" ref="E1808">_xlfn.IFNA(_xlfn.XLOOKUP(1,([1]!hcahps[Facility ID] = clean[[#This Row],[Facility ID]]) * ([1]!hcahps[HCAHPS Measure ID] = "H_HSP_RATING_LINEAR_SCORE"), [1]!hcahps[HCAHPS Linear Mean Value]), "No Match")</f>
        <v>Not Available</v>
      </c>
      <c r="F1808" cm="1">
        <f t="array" ref="F1808">_xlfn.IFNA(_xlfn.XLOOKUP(1,([1]!readmissions[Facility ID] = clean[[#This Row],[Facility ID]]) * ([1]!readmissions[Measure ID] = "Hybrid_HWR"), [1]!readmissions[Score]), "No Match")</f>
        <v>14.3</v>
      </c>
    </row>
    <row r="1809" spans="1:6" x14ac:dyDescent="0.2">
      <c r="A1809">
        <f>[1]!hospitalinfo[[#This Row],[Facility ID]]</f>
        <v>170204</v>
      </c>
      <c r="B1809" t="str">
        <f>[1]!hospitalinfo[[#This Row],[State]]</f>
        <v>KS</v>
      </c>
      <c r="C1809" t="str">
        <f>[1]!hospitalinfo[[#This Row],[Hospital Type]]</f>
        <v>Acute Care Hospitals</v>
      </c>
      <c r="D1809" t="str">
        <f>[1]!hospitalinfo[[#This Row],[Hospital Ownership]]</f>
        <v>Proprietary</v>
      </c>
      <c r="E1809" cm="1">
        <f t="array" ref="E1809">_xlfn.IFNA(_xlfn.XLOOKUP(1,([1]!hcahps[Facility ID] = clean[[#This Row],[Facility ID]]) * ([1]!hcahps[HCAHPS Measure ID] = "H_HSP_RATING_LINEAR_SCORE"), [1]!hcahps[HCAHPS Linear Mean Value]), "No Match")</f>
        <v>94</v>
      </c>
      <c r="F1809" cm="1">
        <f t="array" ref="F1809">_xlfn.IFNA(_xlfn.XLOOKUP(1,([1]!readmissions[Facility ID] = clean[[#This Row],[Facility ID]]) * ([1]!readmissions[Measure ID] = "Hybrid_HWR"), [1]!readmissions[Score]), "No Match")</f>
        <v>14.3</v>
      </c>
    </row>
    <row r="1810" spans="1:6" x14ac:dyDescent="0.2">
      <c r="A1810">
        <f>[1]!hospitalinfo[[#This Row],[Facility ID]]</f>
        <v>170208</v>
      </c>
      <c r="B1810" t="str">
        <f>[1]!hospitalinfo[[#This Row],[State]]</f>
        <v>KS</v>
      </c>
      <c r="C1810" t="str">
        <f>[1]!hospitalinfo[[#This Row],[Hospital Type]]</f>
        <v>Acute Care Hospitals</v>
      </c>
      <c r="D1810" t="str">
        <f>[1]!hospitalinfo[[#This Row],[Hospital Ownership]]</f>
        <v>Voluntary non-profit - Private</v>
      </c>
      <c r="E1810" cm="1">
        <f t="array" ref="E1810">_xlfn.IFNA(_xlfn.XLOOKUP(1,([1]!hcahps[Facility ID] = clean[[#This Row],[Facility ID]]) * ([1]!hcahps[HCAHPS Measure ID] = "H_HSP_RATING_LINEAR_SCORE"), [1]!hcahps[HCAHPS Linear Mean Value]), "No Match")</f>
        <v>92</v>
      </c>
      <c r="F1810" cm="1">
        <f t="array" ref="F1810">_xlfn.IFNA(_xlfn.XLOOKUP(1,([1]!readmissions[Facility ID] = clean[[#This Row],[Facility ID]]) * ([1]!readmissions[Measure ID] = "Hybrid_HWR"), [1]!readmissions[Score]), "No Match")</f>
        <v>15</v>
      </c>
    </row>
    <row r="1811" spans="1:6" x14ac:dyDescent="0.2">
      <c r="A1811">
        <f>[1]!hospitalinfo[[#This Row],[Facility ID]]</f>
        <v>170779</v>
      </c>
      <c r="B1811" t="str">
        <f>[1]!hospitalinfo[[#This Row],[State]]</f>
        <v>KS</v>
      </c>
      <c r="C1811" t="str">
        <f>[1]!hospitalinfo[[#This Row],[Hospital Type]]</f>
        <v>Rural Emergency Hospital</v>
      </c>
      <c r="D1811" t="str">
        <f>[1]!hospitalinfo[[#This Row],[Hospital Ownership]]</f>
        <v>Government - Local</v>
      </c>
      <c r="E1811" t="str" cm="1">
        <f t="array" ref="E1811">_xlfn.IFNA(_xlfn.XLOOKUP(1,([1]!hcahps[Facility ID] = clean[[#This Row],[Facility ID]]) * ([1]!hcahps[HCAHPS Measure ID] = "H_HSP_RATING_LINEAR_SCORE"), [1]!hcahps[HCAHPS Linear Mean Value]), "No Match")</f>
        <v>Not Available</v>
      </c>
      <c r="F1811" t="str" cm="1">
        <f t="array" ref="F1811">_xlfn.IFNA(_xlfn.XLOOKUP(1,([1]!readmissions[Facility ID] = clean[[#This Row],[Facility ID]]) * ([1]!readmissions[Measure ID] = "Hybrid_HWR"), [1]!readmissions[Score]), "No Match")</f>
        <v>Not Available</v>
      </c>
    </row>
    <row r="1812" spans="1:6" x14ac:dyDescent="0.2">
      <c r="A1812">
        <f>[1]!hospitalinfo[[#This Row],[Facility ID]]</f>
        <v>170780</v>
      </c>
      <c r="B1812" t="str">
        <f>[1]!hospitalinfo[[#This Row],[State]]</f>
        <v>KS</v>
      </c>
      <c r="C1812" t="str">
        <f>[1]!hospitalinfo[[#This Row],[Hospital Type]]</f>
        <v>Rural Emergency Hospital</v>
      </c>
      <c r="D1812" t="str">
        <f>[1]!hospitalinfo[[#This Row],[Hospital Ownership]]</f>
        <v>Voluntary non-profit - Church</v>
      </c>
      <c r="E1812" t="str" cm="1">
        <f t="array" ref="E1812">_xlfn.IFNA(_xlfn.XLOOKUP(1,([1]!hcahps[Facility ID] = clean[[#This Row],[Facility ID]]) * ([1]!hcahps[HCAHPS Measure ID] = "H_HSP_RATING_LINEAR_SCORE"), [1]!hcahps[HCAHPS Linear Mean Value]), "No Match")</f>
        <v>Not Available</v>
      </c>
      <c r="F1812" t="str" cm="1">
        <f t="array" ref="F1812">_xlfn.IFNA(_xlfn.XLOOKUP(1,([1]!readmissions[Facility ID] = clean[[#This Row],[Facility ID]]) * ([1]!readmissions[Measure ID] = "Hybrid_HWR"), [1]!readmissions[Score]), "No Match")</f>
        <v>Not Available</v>
      </c>
    </row>
    <row r="1813" spans="1:6" x14ac:dyDescent="0.2">
      <c r="A1813">
        <f>[1]!hospitalinfo[[#This Row],[Facility ID]]</f>
        <v>170781</v>
      </c>
      <c r="B1813" t="str">
        <f>[1]!hospitalinfo[[#This Row],[State]]</f>
        <v>KS</v>
      </c>
      <c r="C1813" t="str">
        <f>[1]!hospitalinfo[[#This Row],[Hospital Type]]</f>
        <v>Rural Emergency Hospital</v>
      </c>
      <c r="D1813" t="str">
        <f>[1]!hospitalinfo[[#This Row],[Hospital Ownership]]</f>
        <v>Government - Local</v>
      </c>
      <c r="E1813" t="str" cm="1">
        <f t="array" ref="E1813">_xlfn.IFNA(_xlfn.XLOOKUP(1,([1]!hcahps[Facility ID] = clean[[#This Row],[Facility ID]]) * ([1]!hcahps[HCAHPS Measure ID] = "H_HSP_RATING_LINEAR_SCORE"), [1]!hcahps[HCAHPS Linear Mean Value]), "No Match")</f>
        <v>Not Available</v>
      </c>
      <c r="F1813" t="str" cm="1">
        <f t="array" ref="F1813">_xlfn.IFNA(_xlfn.XLOOKUP(1,([1]!readmissions[Facility ID] = clean[[#This Row],[Facility ID]]) * ([1]!readmissions[Measure ID] = "Hybrid_HWR"), [1]!readmissions[Score]), "No Match")</f>
        <v>Not Available</v>
      </c>
    </row>
    <row r="1814" spans="1:6" x14ac:dyDescent="0.2">
      <c r="A1814">
        <f>[1]!hospitalinfo[[#This Row],[Facility ID]]</f>
        <v>171300</v>
      </c>
      <c r="B1814" t="str">
        <f>[1]!hospitalinfo[[#This Row],[State]]</f>
        <v>KS</v>
      </c>
      <c r="C1814" t="str">
        <f>[1]!hospitalinfo[[#This Row],[Hospital Type]]</f>
        <v>Critical Access Hospitals</v>
      </c>
      <c r="D1814" t="str">
        <f>[1]!hospitalinfo[[#This Row],[Hospital Ownership]]</f>
        <v>Government - Hospital District or Authority</v>
      </c>
      <c r="E1814" t="str" cm="1">
        <f t="array" ref="E1814">_xlfn.IFNA(_xlfn.XLOOKUP(1,([1]!hcahps[Facility ID] = clean[[#This Row],[Facility ID]]) * ([1]!hcahps[HCAHPS Measure ID] = "H_HSP_RATING_LINEAR_SCORE"), [1]!hcahps[HCAHPS Linear Mean Value]), "No Match")</f>
        <v>Not Available</v>
      </c>
      <c r="F1814" t="str" cm="1">
        <f t="array" ref="F1814">_xlfn.IFNA(_xlfn.XLOOKUP(1,([1]!readmissions[Facility ID] = clean[[#This Row],[Facility ID]]) * ([1]!readmissions[Measure ID] = "Hybrid_HWR"), [1]!readmissions[Score]), "No Match")</f>
        <v>Not Available</v>
      </c>
    </row>
    <row r="1815" spans="1:6" x14ac:dyDescent="0.2">
      <c r="A1815">
        <f>[1]!hospitalinfo[[#This Row],[Facility ID]]</f>
        <v>171301</v>
      </c>
      <c r="B1815" t="str">
        <f>[1]!hospitalinfo[[#This Row],[State]]</f>
        <v>KS</v>
      </c>
      <c r="C1815" t="str">
        <f>[1]!hospitalinfo[[#This Row],[Hospital Type]]</f>
        <v>Critical Access Hospitals</v>
      </c>
      <c r="D1815" t="str">
        <f>[1]!hospitalinfo[[#This Row],[Hospital Ownership]]</f>
        <v>Government - Hospital District or Authority</v>
      </c>
      <c r="E1815" t="str" cm="1">
        <f t="array" ref="E1815">_xlfn.IFNA(_xlfn.XLOOKUP(1,([1]!hcahps[Facility ID] = clean[[#This Row],[Facility ID]]) * ([1]!hcahps[HCAHPS Measure ID] = "H_HSP_RATING_LINEAR_SCORE"), [1]!hcahps[HCAHPS Linear Mean Value]), "No Match")</f>
        <v>Not Available</v>
      </c>
      <c r="F1815" cm="1">
        <f t="array" ref="F1815">_xlfn.IFNA(_xlfn.XLOOKUP(1,([1]!readmissions[Facility ID] = clean[[#This Row],[Facility ID]]) * ([1]!readmissions[Measure ID] = "Hybrid_HWR"), [1]!readmissions[Score]), "No Match")</f>
        <v>15.9</v>
      </c>
    </row>
    <row r="1816" spans="1:6" x14ac:dyDescent="0.2">
      <c r="A1816">
        <f>[1]!hospitalinfo[[#This Row],[Facility ID]]</f>
        <v>171303</v>
      </c>
      <c r="B1816" t="str">
        <f>[1]!hospitalinfo[[#This Row],[State]]</f>
        <v>KS</v>
      </c>
      <c r="C1816" t="str">
        <f>[1]!hospitalinfo[[#This Row],[Hospital Type]]</f>
        <v>Critical Access Hospitals</v>
      </c>
      <c r="D1816" t="str">
        <f>[1]!hospitalinfo[[#This Row],[Hospital Ownership]]</f>
        <v>Government - Hospital District or Authority</v>
      </c>
      <c r="E1816" t="str" cm="1">
        <f t="array" ref="E1816">_xlfn.IFNA(_xlfn.XLOOKUP(1,([1]!hcahps[Facility ID] = clean[[#This Row],[Facility ID]]) * ([1]!hcahps[HCAHPS Measure ID] = "H_HSP_RATING_LINEAR_SCORE"), [1]!hcahps[HCAHPS Linear Mean Value]), "No Match")</f>
        <v>Not Available</v>
      </c>
      <c r="F1816" t="str" cm="1">
        <f t="array" ref="F1816">_xlfn.IFNA(_xlfn.XLOOKUP(1,([1]!readmissions[Facility ID] = clean[[#This Row],[Facility ID]]) * ([1]!readmissions[Measure ID] = "Hybrid_HWR"), [1]!readmissions[Score]), "No Match")</f>
        <v>Not Available</v>
      </c>
    </row>
    <row r="1817" spans="1:6" x14ac:dyDescent="0.2">
      <c r="A1817">
        <f>[1]!hospitalinfo[[#This Row],[Facility ID]]</f>
        <v>171304</v>
      </c>
      <c r="B1817" t="str">
        <f>[1]!hospitalinfo[[#This Row],[State]]</f>
        <v>KS</v>
      </c>
      <c r="C1817" t="str">
        <f>[1]!hospitalinfo[[#This Row],[Hospital Type]]</f>
        <v>Critical Access Hospitals</v>
      </c>
      <c r="D1817" t="str">
        <f>[1]!hospitalinfo[[#This Row],[Hospital Ownership]]</f>
        <v>Voluntary non-profit - Other</v>
      </c>
      <c r="E1817" t="str" cm="1">
        <f t="array" ref="E1817">_xlfn.IFNA(_xlfn.XLOOKUP(1,([1]!hcahps[Facility ID] = clean[[#This Row],[Facility ID]]) * ([1]!hcahps[HCAHPS Measure ID] = "H_HSP_RATING_LINEAR_SCORE"), [1]!hcahps[HCAHPS Linear Mean Value]), "No Match")</f>
        <v>Not Available</v>
      </c>
      <c r="F1817" t="str" cm="1">
        <f t="array" ref="F1817">_xlfn.IFNA(_xlfn.XLOOKUP(1,([1]!readmissions[Facility ID] = clean[[#This Row],[Facility ID]]) * ([1]!readmissions[Measure ID] = "Hybrid_HWR"), [1]!readmissions[Score]), "No Match")</f>
        <v>Not Available</v>
      </c>
    </row>
    <row r="1818" spans="1:6" x14ac:dyDescent="0.2">
      <c r="A1818">
        <f>[1]!hospitalinfo[[#This Row],[Facility ID]]</f>
        <v>171306</v>
      </c>
      <c r="B1818" t="str">
        <f>[1]!hospitalinfo[[#This Row],[State]]</f>
        <v>KS</v>
      </c>
      <c r="C1818" t="str">
        <f>[1]!hospitalinfo[[#This Row],[Hospital Type]]</f>
        <v>Critical Access Hospitals</v>
      </c>
      <c r="D1818" t="str">
        <f>[1]!hospitalinfo[[#This Row],[Hospital Ownership]]</f>
        <v>Government - Local</v>
      </c>
      <c r="E1818" t="str" cm="1">
        <f t="array" ref="E1818">_xlfn.IFNA(_xlfn.XLOOKUP(1,([1]!hcahps[Facility ID] = clean[[#This Row],[Facility ID]]) * ([1]!hcahps[HCAHPS Measure ID] = "H_HSP_RATING_LINEAR_SCORE"), [1]!hcahps[HCAHPS Linear Mean Value]), "No Match")</f>
        <v>Not Available</v>
      </c>
      <c r="F1818" cm="1">
        <f t="array" ref="F1818">_xlfn.IFNA(_xlfn.XLOOKUP(1,([1]!readmissions[Facility ID] = clean[[#This Row],[Facility ID]]) * ([1]!readmissions[Measure ID] = "Hybrid_HWR"), [1]!readmissions[Score]), "No Match")</f>
        <v>15</v>
      </c>
    </row>
    <row r="1819" spans="1:6" x14ac:dyDescent="0.2">
      <c r="A1819">
        <f>[1]!hospitalinfo[[#This Row],[Facility ID]]</f>
        <v>171307</v>
      </c>
      <c r="B1819" t="str">
        <f>[1]!hospitalinfo[[#This Row],[State]]</f>
        <v>KS</v>
      </c>
      <c r="C1819" t="str">
        <f>[1]!hospitalinfo[[#This Row],[Hospital Type]]</f>
        <v>Critical Access Hospitals</v>
      </c>
      <c r="D1819" t="str">
        <f>[1]!hospitalinfo[[#This Row],[Hospital Ownership]]</f>
        <v>Voluntary non-profit - Other</v>
      </c>
      <c r="E1819" t="str" cm="1">
        <f t="array" ref="E1819">_xlfn.IFNA(_xlfn.XLOOKUP(1,([1]!hcahps[Facility ID] = clean[[#This Row],[Facility ID]]) * ([1]!hcahps[HCAHPS Measure ID] = "H_HSP_RATING_LINEAR_SCORE"), [1]!hcahps[HCAHPS Linear Mean Value]), "No Match")</f>
        <v>Not Available</v>
      </c>
      <c r="F1819" cm="1">
        <f t="array" ref="F1819">_xlfn.IFNA(_xlfn.XLOOKUP(1,([1]!readmissions[Facility ID] = clean[[#This Row],[Facility ID]]) * ([1]!readmissions[Measure ID] = "Hybrid_HWR"), [1]!readmissions[Score]), "No Match")</f>
        <v>16.5</v>
      </c>
    </row>
    <row r="1820" spans="1:6" x14ac:dyDescent="0.2">
      <c r="A1820">
        <f>[1]!hospitalinfo[[#This Row],[Facility ID]]</f>
        <v>171308</v>
      </c>
      <c r="B1820" t="str">
        <f>[1]!hospitalinfo[[#This Row],[State]]</f>
        <v>KS</v>
      </c>
      <c r="C1820" t="str">
        <f>[1]!hospitalinfo[[#This Row],[Hospital Type]]</f>
        <v>Critical Access Hospitals</v>
      </c>
      <c r="D1820" t="str">
        <f>[1]!hospitalinfo[[#This Row],[Hospital Ownership]]</f>
        <v>Voluntary non-profit - Church</v>
      </c>
      <c r="E1820" t="str" cm="1">
        <f t="array" ref="E1820">_xlfn.IFNA(_xlfn.XLOOKUP(1,([1]!hcahps[Facility ID] = clean[[#This Row],[Facility ID]]) * ([1]!hcahps[HCAHPS Measure ID] = "H_HSP_RATING_LINEAR_SCORE"), [1]!hcahps[HCAHPS Linear Mean Value]), "No Match")</f>
        <v>Not Available</v>
      </c>
      <c r="F1820" t="str" cm="1">
        <f t="array" ref="F1820">_xlfn.IFNA(_xlfn.XLOOKUP(1,([1]!readmissions[Facility ID] = clean[[#This Row],[Facility ID]]) * ([1]!readmissions[Measure ID] = "Hybrid_HWR"), [1]!readmissions[Score]), "No Match")</f>
        <v>Not Available</v>
      </c>
    </row>
    <row r="1821" spans="1:6" x14ac:dyDescent="0.2">
      <c r="A1821">
        <f>[1]!hospitalinfo[[#This Row],[Facility ID]]</f>
        <v>171309</v>
      </c>
      <c r="B1821" t="str">
        <f>[1]!hospitalinfo[[#This Row],[State]]</f>
        <v>KS</v>
      </c>
      <c r="C1821" t="str">
        <f>[1]!hospitalinfo[[#This Row],[Hospital Type]]</f>
        <v>Critical Access Hospitals</v>
      </c>
      <c r="D1821" t="str">
        <f>[1]!hospitalinfo[[#This Row],[Hospital Ownership]]</f>
        <v>Government - Local</v>
      </c>
      <c r="E1821" t="str" cm="1">
        <f t="array" ref="E1821">_xlfn.IFNA(_xlfn.XLOOKUP(1,([1]!hcahps[Facility ID] = clean[[#This Row],[Facility ID]]) * ([1]!hcahps[HCAHPS Measure ID] = "H_HSP_RATING_LINEAR_SCORE"), [1]!hcahps[HCAHPS Linear Mean Value]), "No Match")</f>
        <v>Not Available</v>
      </c>
      <c r="F1821" cm="1">
        <f t="array" ref="F1821">_xlfn.IFNA(_xlfn.XLOOKUP(1,([1]!readmissions[Facility ID] = clean[[#This Row],[Facility ID]]) * ([1]!readmissions[Measure ID] = "Hybrid_HWR"), [1]!readmissions[Score]), "No Match")</f>
        <v>14.8</v>
      </c>
    </row>
    <row r="1822" spans="1:6" x14ac:dyDescent="0.2">
      <c r="A1822">
        <f>[1]!hospitalinfo[[#This Row],[Facility ID]]</f>
        <v>171310</v>
      </c>
      <c r="B1822" t="str">
        <f>[1]!hospitalinfo[[#This Row],[State]]</f>
        <v>KS</v>
      </c>
      <c r="C1822" t="str">
        <f>[1]!hospitalinfo[[#This Row],[Hospital Type]]</f>
        <v>Critical Access Hospitals</v>
      </c>
      <c r="D1822" t="str">
        <f>[1]!hospitalinfo[[#This Row],[Hospital Ownership]]</f>
        <v>Voluntary non-profit - Private</v>
      </c>
      <c r="E1822" t="str" cm="1">
        <f t="array" ref="E1822">_xlfn.IFNA(_xlfn.XLOOKUP(1,([1]!hcahps[Facility ID] = clean[[#This Row],[Facility ID]]) * ([1]!hcahps[HCAHPS Measure ID] = "H_HSP_RATING_LINEAR_SCORE"), [1]!hcahps[HCAHPS Linear Mean Value]), "No Match")</f>
        <v>Not Available</v>
      </c>
      <c r="F1822" cm="1">
        <f t="array" ref="F1822">_xlfn.IFNA(_xlfn.XLOOKUP(1,([1]!readmissions[Facility ID] = clean[[#This Row],[Facility ID]]) * ([1]!readmissions[Measure ID] = "Hybrid_HWR"), [1]!readmissions[Score]), "No Match")</f>
        <v>14.9</v>
      </c>
    </row>
    <row r="1823" spans="1:6" x14ac:dyDescent="0.2">
      <c r="A1823">
        <f>[1]!hospitalinfo[[#This Row],[Facility ID]]</f>
        <v>171311</v>
      </c>
      <c r="B1823" t="str">
        <f>[1]!hospitalinfo[[#This Row],[State]]</f>
        <v>KS</v>
      </c>
      <c r="C1823" t="str">
        <f>[1]!hospitalinfo[[#This Row],[Hospital Type]]</f>
        <v>Critical Access Hospitals</v>
      </c>
      <c r="D1823" t="str">
        <f>[1]!hospitalinfo[[#This Row],[Hospital Ownership]]</f>
        <v>Government - Hospital District or Authority</v>
      </c>
      <c r="E1823" t="str" cm="1">
        <f t="array" ref="E1823">_xlfn.IFNA(_xlfn.XLOOKUP(1,([1]!hcahps[Facility ID] = clean[[#This Row],[Facility ID]]) * ([1]!hcahps[HCAHPS Measure ID] = "H_HSP_RATING_LINEAR_SCORE"), [1]!hcahps[HCAHPS Linear Mean Value]), "No Match")</f>
        <v>Not Available</v>
      </c>
      <c r="F1823" cm="1">
        <f t="array" ref="F1823">_xlfn.IFNA(_xlfn.XLOOKUP(1,([1]!readmissions[Facility ID] = clean[[#This Row],[Facility ID]]) * ([1]!readmissions[Measure ID] = "Hybrid_HWR"), [1]!readmissions[Score]), "No Match")</f>
        <v>15</v>
      </c>
    </row>
    <row r="1824" spans="1:6" x14ac:dyDescent="0.2">
      <c r="A1824">
        <f>[1]!hospitalinfo[[#This Row],[Facility ID]]</f>
        <v>171312</v>
      </c>
      <c r="B1824" t="str">
        <f>[1]!hospitalinfo[[#This Row],[State]]</f>
        <v>KS</v>
      </c>
      <c r="C1824" t="str">
        <f>[1]!hospitalinfo[[#This Row],[Hospital Type]]</f>
        <v>Critical Access Hospitals</v>
      </c>
      <c r="D1824" t="str">
        <f>[1]!hospitalinfo[[#This Row],[Hospital Ownership]]</f>
        <v>Government - Local</v>
      </c>
      <c r="E1824" t="str" cm="1">
        <f t="array" ref="E1824">_xlfn.IFNA(_xlfn.XLOOKUP(1,([1]!hcahps[Facility ID] = clean[[#This Row],[Facility ID]]) * ([1]!hcahps[HCAHPS Measure ID] = "H_HSP_RATING_LINEAR_SCORE"), [1]!hcahps[HCAHPS Linear Mean Value]), "No Match")</f>
        <v>Not Available</v>
      </c>
      <c r="F1824" cm="1">
        <f t="array" ref="F1824">_xlfn.IFNA(_xlfn.XLOOKUP(1,([1]!readmissions[Facility ID] = clean[[#This Row],[Facility ID]]) * ([1]!readmissions[Measure ID] = "Hybrid_HWR"), [1]!readmissions[Score]), "No Match")</f>
        <v>15</v>
      </c>
    </row>
    <row r="1825" spans="1:6" x14ac:dyDescent="0.2">
      <c r="A1825">
        <f>[1]!hospitalinfo[[#This Row],[Facility ID]]</f>
        <v>171313</v>
      </c>
      <c r="B1825" t="str">
        <f>[1]!hospitalinfo[[#This Row],[State]]</f>
        <v>KS</v>
      </c>
      <c r="C1825" t="str">
        <f>[1]!hospitalinfo[[#This Row],[Hospital Type]]</f>
        <v>Critical Access Hospitals</v>
      </c>
      <c r="D1825" t="str">
        <f>[1]!hospitalinfo[[#This Row],[Hospital Ownership]]</f>
        <v>Government - Local</v>
      </c>
      <c r="E1825" t="str" cm="1">
        <f t="array" ref="E1825">_xlfn.IFNA(_xlfn.XLOOKUP(1,([1]!hcahps[Facility ID] = clean[[#This Row],[Facility ID]]) * ([1]!hcahps[HCAHPS Measure ID] = "H_HSP_RATING_LINEAR_SCORE"), [1]!hcahps[HCAHPS Linear Mean Value]), "No Match")</f>
        <v>Not Available</v>
      </c>
      <c r="F1825" cm="1">
        <f t="array" ref="F1825">_xlfn.IFNA(_xlfn.XLOOKUP(1,([1]!readmissions[Facility ID] = clean[[#This Row],[Facility ID]]) * ([1]!readmissions[Measure ID] = "Hybrid_HWR"), [1]!readmissions[Score]), "No Match")</f>
        <v>14.5</v>
      </c>
    </row>
    <row r="1826" spans="1:6" x14ac:dyDescent="0.2">
      <c r="A1826">
        <f>[1]!hospitalinfo[[#This Row],[Facility ID]]</f>
        <v>171314</v>
      </c>
      <c r="B1826" t="str">
        <f>[1]!hospitalinfo[[#This Row],[State]]</f>
        <v>KS</v>
      </c>
      <c r="C1826" t="str">
        <f>[1]!hospitalinfo[[#This Row],[Hospital Type]]</f>
        <v>Critical Access Hospitals</v>
      </c>
      <c r="D1826" t="str">
        <f>[1]!hospitalinfo[[#This Row],[Hospital Ownership]]</f>
        <v>Voluntary non-profit - Private</v>
      </c>
      <c r="E1826" t="str" cm="1">
        <f t="array" ref="E1826">_xlfn.IFNA(_xlfn.XLOOKUP(1,([1]!hcahps[Facility ID] = clean[[#This Row],[Facility ID]]) * ([1]!hcahps[HCAHPS Measure ID] = "H_HSP_RATING_LINEAR_SCORE"), [1]!hcahps[HCAHPS Linear Mean Value]), "No Match")</f>
        <v>Not Available</v>
      </c>
      <c r="F1826" t="str" cm="1">
        <f t="array" ref="F1826">_xlfn.IFNA(_xlfn.XLOOKUP(1,([1]!readmissions[Facility ID] = clean[[#This Row],[Facility ID]]) * ([1]!readmissions[Measure ID] = "Hybrid_HWR"), [1]!readmissions[Score]), "No Match")</f>
        <v>Not Available</v>
      </c>
    </row>
    <row r="1827" spans="1:6" x14ac:dyDescent="0.2">
      <c r="A1827">
        <f>[1]!hospitalinfo[[#This Row],[Facility ID]]</f>
        <v>171315</v>
      </c>
      <c r="B1827" t="str">
        <f>[1]!hospitalinfo[[#This Row],[State]]</f>
        <v>KS</v>
      </c>
      <c r="C1827" t="str">
        <f>[1]!hospitalinfo[[#This Row],[Hospital Type]]</f>
        <v>Critical Access Hospitals</v>
      </c>
      <c r="D1827" t="str">
        <f>[1]!hospitalinfo[[#This Row],[Hospital Ownership]]</f>
        <v>Voluntary non-profit - Private</v>
      </c>
      <c r="E1827" t="str" cm="1">
        <f t="array" ref="E1827">_xlfn.IFNA(_xlfn.XLOOKUP(1,([1]!hcahps[Facility ID] = clean[[#This Row],[Facility ID]]) * ([1]!hcahps[HCAHPS Measure ID] = "H_HSP_RATING_LINEAR_SCORE"), [1]!hcahps[HCAHPS Linear Mean Value]), "No Match")</f>
        <v>Not Available</v>
      </c>
      <c r="F1827" cm="1">
        <f t="array" ref="F1827">_xlfn.IFNA(_xlfn.XLOOKUP(1,([1]!readmissions[Facility ID] = clean[[#This Row],[Facility ID]]) * ([1]!readmissions[Measure ID] = "Hybrid_HWR"), [1]!readmissions[Score]), "No Match")</f>
        <v>14.8</v>
      </c>
    </row>
    <row r="1828" spans="1:6" x14ac:dyDescent="0.2">
      <c r="A1828">
        <f>[1]!hospitalinfo[[#This Row],[Facility ID]]</f>
        <v>171316</v>
      </c>
      <c r="B1828" t="str">
        <f>[1]!hospitalinfo[[#This Row],[State]]</f>
        <v>KS</v>
      </c>
      <c r="C1828" t="str">
        <f>[1]!hospitalinfo[[#This Row],[Hospital Type]]</f>
        <v>Critical Access Hospitals</v>
      </c>
      <c r="D1828" t="str">
        <f>[1]!hospitalinfo[[#This Row],[Hospital Ownership]]</f>
        <v>Voluntary non-profit - Private</v>
      </c>
      <c r="E1828" t="str" cm="1">
        <f t="array" ref="E1828">_xlfn.IFNA(_xlfn.XLOOKUP(1,([1]!hcahps[Facility ID] = clean[[#This Row],[Facility ID]]) * ([1]!hcahps[HCAHPS Measure ID] = "H_HSP_RATING_LINEAR_SCORE"), [1]!hcahps[HCAHPS Linear Mean Value]), "No Match")</f>
        <v>Not Available</v>
      </c>
      <c r="F1828" cm="1">
        <f t="array" ref="F1828">_xlfn.IFNA(_xlfn.XLOOKUP(1,([1]!readmissions[Facility ID] = clean[[#This Row],[Facility ID]]) * ([1]!readmissions[Measure ID] = "Hybrid_HWR"), [1]!readmissions[Score]), "No Match")</f>
        <v>15.3</v>
      </c>
    </row>
    <row r="1829" spans="1:6" x14ac:dyDescent="0.2">
      <c r="A1829">
        <f>[1]!hospitalinfo[[#This Row],[Facility ID]]</f>
        <v>171317</v>
      </c>
      <c r="B1829" t="str">
        <f>[1]!hospitalinfo[[#This Row],[State]]</f>
        <v>KS</v>
      </c>
      <c r="C1829" t="str">
        <f>[1]!hospitalinfo[[#This Row],[Hospital Type]]</f>
        <v>Critical Access Hospitals</v>
      </c>
      <c r="D1829" t="str">
        <f>[1]!hospitalinfo[[#This Row],[Hospital Ownership]]</f>
        <v>Government - Local</v>
      </c>
      <c r="E1829" t="str" cm="1">
        <f t="array" ref="E1829">_xlfn.IFNA(_xlfn.XLOOKUP(1,([1]!hcahps[Facility ID] = clean[[#This Row],[Facility ID]]) * ([1]!hcahps[HCAHPS Measure ID] = "H_HSP_RATING_LINEAR_SCORE"), [1]!hcahps[HCAHPS Linear Mean Value]), "No Match")</f>
        <v>Not Available</v>
      </c>
      <c r="F1829" t="str" cm="1">
        <f t="array" ref="F1829">_xlfn.IFNA(_xlfn.XLOOKUP(1,([1]!readmissions[Facility ID] = clean[[#This Row],[Facility ID]]) * ([1]!readmissions[Measure ID] = "Hybrid_HWR"), [1]!readmissions[Score]), "No Match")</f>
        <v>Not Available</v>
      </c>
    </row>
    <row r="1830" spans="1:6" x14ac:dyDescent="0.2">
      <c r="A1830">
        <f>[1]!hospitalinfo[[#This Row],[Facility ID]]</f>
        <v>171318</v>
      </c>
      <c r="B1830" t="str">
        <f>[1]!hospitalinfo[[#This Row],[State]]</f>
        <v>KS</v>
      </c>
      <c r="C1830" t="str">
        <f>[1]!hospitalinfo[[#This Row],[Hospital Type]]</f>
        <v>Critical Access Hospitals</v>
      </c>
      <c r="D1830" t="str">
        <f>[1]!hospitalinfo[[#This Row],[Hospital Ownership]]</f>
        <v>Government - Local</v>
      </c>
      <c r="E1830" t="str" cm="1">
        <f t="array" ref="E1830">_xlfn.IFNA(_xlfn.XLOOKUP(1,([1]!hcahps[Facility ID] = clean[[#This Row],[Facility ID]]) * ([1]!hcahps[HCAHPS Measure ID] = "H_HSP_RATING_LINEAR_SCORE"), [1]!hcahps[HCAHPS Linear Mean Value]), "No Match")</f>
        <v>Not Available</v>
      </c>
      <c r="F1830" cm="1">
        <f t="array" ref="F1830">_xlfn.IFNA(_xlfn.XLOOKUP(1,([1]!readmissions[Facility ID] = clean[[#This Row],[Facility ID]]) * ([1]!readmissions[Measure ID] = "Hybrid_HWR"), [1]!readmissions[Score]), "No Match")</f>
        <v>14.7</v>
      </c>
    </row>
    <row r="1831" spans="1:6" x14ac:dyDescent="0.2">
      <c r="A1831">
        <f>[1]!hospitalinfo[[#This Row],[Facility ID]]</f>
        <v>171319</v>
      </c>
      <c r="B1831" t="str">
        <f>[1]!hospitalinfo[[#This Row],[State]]</f>
        <v>KS</v>
      </c>
      <c r="C1831" t="str">
        <f>[1]!hospitalinfo[[#This Row],[Hospital Type]]</f>
        <v>Critical Access Hospitals</v>
      </c>
      <c r="D1831" t="str">
        <f>[1]!hospitalinfo[[#This Row],[Hospital Ownership]]</f>
        <v>Voluntary non-profit - Private</v>
      </c>
      <c r="E1831" t="str" cm="1">
        <f t="array" ref="E1831">_xlfn.IFNA(_xlfn.XLOOKUP(1,([1]!hcahps[Facility ID] = clean[[#This Row],[Facility ID]]) * ([1]!hcahps[HCAHPS Measure ID] = "H_HSP_RATING_LINEAR_SCORE"), [1]!hcahps[HCAHPS Linear Mean Value]), "No Match")</f>
        <v>Not Available</v>
      </c>
      <c r="F1831" cm="1">
        <f t="array" ref="F1831">_xlfn.IFNA(_xlfn.XLOOKUP(1,([1]!readmissions[Facility ID] = clean[[#This Row],[Facility ID]]) * ([1]!readmissions[Measure ID] = "Hybrid_HWR"), [1]!readmissions[Score]), "No Match")</f>
        <v>15.2</v>
      </c>
    </row>
    <row r="1832" spans="1:6" x14ac:dyDescent="0.2">
      <c r="A1832">
        <f>[1]!hospitalinfo[[#This Row],[Facility ID]]</f>
        <v>171321</v>
      </c>
      <c r="B1832" t="str">
        <f>[1]!hospitalinfo[[#This Row],[State]]</f>
        <v>KS</v>
      </c>
      <c r="C1832" t="str">
        <f>[1]!hospitalinfo[[#This Row],[Hospital Type]]</f>
        <v>Critical Access Hospitals</v>
      </c>
      <c r="D1832" t="str">
        <f>[1]!hospitalinfo[[#This Row],[Hospital Ownership]]</f>
        <v>Government - Hospital District or Authority</v>
      </c>
      <c r="E1832" t="str" cm="1">
        <f t="array" ref="E1832">_xlfn.IFNA(_xlfn.XLOOKUP(1,([1]!hcahps[Facility ID] = clean[[#This Row],[Facility ID]]) * ([1]!hcahps[HCAHPS Measure ID] = "H_HSP_RATING_LINEAR_SCORE"), [1]!hcahps[HCAHPS Linear Mean Value]), "No Match")</f>
        <v>Not Available</v>
      </c>
      <c r="F1832" cm="1">
        <f t="array" ref="F1832">_xlfn.IFNA(_xlfn.XLOOKUP(1,([1]!readmissions[Facility ID] = clean[[#This Row],[Facility ID]]) * ([1]!readmissions[Measure ID] = "Hybrid_HWR"), [1]!readmissions[Score]), "No Match")</f>
        <v>14.7</v>
      </c>
    </row>
    <row r="1833" spans="1:6" x14ac:dyDescent="0.2">
      <c r="A1833">
        <f>[1]!hospitalinfo[[#This Row],[Facility ID]]</f>
        <v>171322</v>
      </c>
      <c r="B1833" t="str">
        <f>[1]!hospitalinfo[[#This Row],[State]]</f>
        <v>KS</v>
      </c>
      <c r="C1833" t="str">
        <f>[1]!hospitalinfo[[#This Row],[Hospital Type]]</f>
        <v>Critical Access Hospitals</v>
      </c>
      <c r="D1833" t="str">
        <f>[1]!hospitalinfo[[#This Row],[Hospital Ownership]]</f>
        <v>Government - Local</v>
      </c>
      <c r="E1833" t="str" cm="1">
        <f t="array" ref="E1833">_xlfn.IFNA(_xlfn.XLOOKUP(1,([1]!hcahps[Facility ID] = clean[[#This Row],[Facility ID]]) * ([1]!hcahps[HCAHPS Measure ID] = "H_HSP_RATING_LINEAR_SCORE"), [1]!hcahps[HCAHPS Linear Mean Value]), "No Match")</f>
        <v>Not Available</v>
      </c>
      <c r="F1833" cm="1">
        <f t="array" ref="F1833">_xlfn.IFNA(_xlfn.XLOOKUP(1,([1]!readmissions[Facility ID] = clean[[#This Row],[Facility ID]]) * ([1]!readmissions[Measure ID] = "Hybrid_HWR"), [1]!readmissions[Score]), "No Match")</f>
        <v>14.9</v>
      </c>
    </row>
    <row r="1834" spans="1:6" x14ac:dyDescent="0.2">
      <c r="A1834">
        <f>[1]!hospitalinfo[[#This Row],[Facility ID]]</f>
        <v>171323</v>
      </c>
      <c r="B1834" t="str">
        <f>[1]!hospitalinfo[[#This Row],[State]]</f>
        <v>KS</v>
      </c>
      <c r="C1834" t="str">
        <f>[1]!hospitalinfo[[#This Row],[Hospital Type]]</f>
        <v>Critical Access Hospitals</v>
      </c>
      <c r="D1834" t="str">
        <f>[1]!hospitalinfo[[#This Row],[Hospital Ownership]]</f>
        <v>Government - Local</v>
      </c>
      <c r="E1834" t="str" cm="1">
        <f t="array" ref="E1834">_xlfn.IFNA(_xlfn.XLOOKUP(1,([1]!hcahps[Facility ID] = clean[[#This Row],[Facility ID]]) * ([1]!hcahps[HCAHPS Measure ID] = "H_HSP_RATING_LINEAR_SCORE"), [1]!hcahps[HCAHPS Linear Mean Value]), "No Match")</f>
        <v>Not Available</v>
      </c>
      <c r="F1834" cm="1">
        <f t="array" ref="F1834">_xlfn.IFNA(_xlfn.XLOOKUP(1,([1]!readmissions[Facility ID] = clean[[#This Row],[Facility ID]]) * ([1]!readmissions[Measure ID] = "Hybrid_HWR"), [1]!readmissions[Score]), "No Match")</f>
        <v>14.9</v>
      </c>
    </row>
    <row r="1835" spans="1:6" x14ac:dyDescent="0.2">
      <c r="A1835">
        <f>[1]!hospitalinfo[[#This Row],[Facility ID]]</f>
        <v>171324</v>
      </c>
      <c r="B1835" t="str">
        <f>[1]!hospitalinfo[[#This Row],[State]]</f>
        <v>KS</v>
      </c>
      <c r="C1835" t="str">
        <f>[1]!hospitalinfo[[#This Row],[Hospital Type]]</f>
        <v>Critical Access Hospitals</v>
      </c>
      <c r="D1835" t="str">
        <f>[1]!hospitalinfo[[#This Row],[Hospital Ownership]]</f>
        <v>Government - Hospital District or Authority</v>
      </c>
      <c r="E1835" t="str" cm="1">
        <f t="array" ref="E1835">_xlfn.IFNA(_xlfn.XLOOKUP(1,([1]!hcahps[Facility ID] = clean[[#This Row],[Facility ID]]) * ([1]!hcahps[HCAHPS Measure ID] = "H_HSP_RATING_LINEAR_SCORE"), [1]!hcahps[HCAHPS Linear Mean Value]), "No Match")</f>
        <v>Not Available</v>
      </c>
      <c r="F1835" cm="1">
        <f t="array" ref="F1835">_xlfn.IFNA(_xlfn.XLOOKUP(1,([1]!readmissions[Facility ID] = clean[[#This Row],[Facility ID]]) * ([1]!readmissions[Measure ID] = "Hybrid_HWR"), [1]!readmissions[Score]), "No Match")</f>
        <v>15.5</v>
      </c>
    </row>
    <row r="1836" spans="1:6" x14ac:dyDescent="0.2">
      <c r="A1836">
        <f>[1]!hospitalinfo[[#This Row],[Facility ID]]</f>
        <v>171325</v>
      </c>
      <c r="B1836" t="str">
        <f>[1]!hospitalinfo[[#This Row],[State]]</f>
        <v>KS</v>
      </c>
      <c r="C1836" t="str">
        <f>[1]!hospitalinfo[[#This Row],[Hospital Type]]</f>
        <v>Critical Access Hospitals</v>
      </c>
      <c r="D1836" t="str">
        <f>[1]!hospitalinfo[[#This Row],[Hospital Ownership]]</f>
        <v>Government - Local</v>
      </c>
      <c r="E1836" t="str" cm="1">
        <f t="array" ref="E1836">_xlfn.IFNA(_xlfn.XLOOKUP(1,([1]!hcahps[Facility ID] = clean[[#This Row],[Facility ID]]) * ([1]!hcahps[HCAHPS Measure ID] = "H_HSP_RATING_LINEAR_SCORE"), [1]!hcahps[HCAHPS Linear Mean Value]), "No Match")</f>
        <v>Not Available</v>
      </c>
      <c r="F1836" cm="1">
        <f t="array" ref="F1836">_xlfn.IFNA(_xlfn.XLOOKUP(1,([1]!readmissions[Facility ID] = clean[[#This Row],[Facility ID]]) * ([1]!readmissions[Measure ID] = "Hybrid_HWR"), [1]!readmissions[Score]), "No Match")</f>
        <v>15.4</v>
      </c>
    </row>
    <row r="1837" spans="1:6" x14ac:dyDescent="0.2">
      <c r="A1837">
        <f>[1]!hospitalinfo[[#This Row],[Facility ID]]</f>
        <v>171326</v>
      </c>
      <c r="B1837" t="str">
        <f>[1]!hospitalinfo[[#This Row],[State]]</f>
        <v>KS</v>
      </c>
      <c r="C1837" t="str">
        <f>[1]!hospitalinfo[[#This Row],[Hospital Type]]</f>
        <v>Critical Access Hospitals</v>
      </c>
      <c r="D1837" t="str">
        <f>[1]!hospitalinfo[[#This Row],[Hospital Ownership]]</f>
        <v>Government - Local</v>
      </c>
      <c r="E1837" t="str" cm="1">
        <f t="array" ref="E1837">_xlfn.IFNA(_xlfn.XLOOKUP(1,([1]!hcahps[Facility ID] = clean[[#This Row],[Facility ID]]) * ([1]!hcahps[HCAHPS Measure ID] = "H_HSP_RATING_LINEAR_SCORE"), [1]!hcahps[HCAHPS Linear Mean Value]), "No Match")</f>
        <v>Not Available</v>
      </c>
      <c r="F1837" cm="1">
        <f t="array" ref="F1837">_xlfn.IFNA(_xlfn.XLOOKUP(1,([1]!readmissions[Facility ID] = clean[[#This Row],[Facility ID]]) * ([1]!readmissions[Measure ID] = "Hybrid_HWR"), [1]!readmissions[Score]), "No Match")</f>
        <v>15.4</v>
      </c>
    </row>
    <row r="1838" spans="1:6" x14ac:dyDescent="0.2">
      <c r="A1838">
        <f>[1]!hospitalinfo[[#This Row],[Facility ID]]</f>
        <v>171327</v>
      </c>
      <c r="B1838" t="str">
        <f>[1]!hospitalinfo[[#This Row],[State]]</f>
        <v>KS</v>
      </c>
      <c r="C1838" t="str">
        <f>[1]!hospitalinfo[[#This Row],[Hospital Type]]</f>
        <v>Critical Access Hospitals</v>
      </c>
      <c r="D1838" t="str">
        <f>[1]!hospitalinfo[[#This Row],[Hospital Ownership]]</f>
        <v>Proprietary</v>
      </c>
      <c r="E1838" t="str" cm="1">
        <f t="array" ref="E1838">_xlfn.IFNA(_xlfn.XLOOKUP(1,([1]!hcahps[Facility ID] = clean[[#This Row],[Facility ID]]) * ([1]!hcahps[HCAHPS Measure ID] = "H_HSP_RATING_LINEAR_SCORE"), [1]!hcahps[HCAHPS Linear Mean Value]), "No Match")</f>
        <v>Not Available</v>
      </c>
      <c r="F1838" cm="1">
        <f t="array" ref="F1838">_xlfn.IFNA(_xlfn.XLOOKUP(1,([1]!readmissions[Facility ID] = clean[[#This Row],[Facility ID]]) * ([1]!readmissions[Measure ID] = "Hybrid_HWR"), [1]!readmissions[Score]), "No Match")</f>
        <v>16.100000000000001</v>
      </c>
    </row>
    <row r="1839" spans="1:6" x14ac:dyDescent="0.2">
      <c r="A1839">
        <f>[1]!hospitalinfo[[#This Row],[Facility ID]]</f>
        <v>171328</v>
      </c>
      <c r="B1839" t="str">
        <f>[1]!hospitalinfo[[#This Row],[State]]</f>
        <v>KS</v>
      </c>
      <c r="C1839" t="str">
        <f>[1]!hospitalinfo[[#This Row],[Hospital Type]]</f>
        <v>Critical Access Hospitals</v>
      </c>
      <c r="D1839" t="str">
        <f>[1]!hospitalinfo[[#This Row],[Hospital Ownership]]</f>
        <v>Voluntary non-profit - Other</v>
      </c>
      <c r="E1839" t="str" cm="1">
        <f t="array" ref="E1839">_xlfn.IFNA(_xlfn.XLOOKUP(1,([1]!hcahps[Facility ID] = clean[[#This Row],[Facility ID]]) * ([1]!hcahps[HCAHPS Measure ID] = "H_HSP_RATING_LINEAR_SCORE"), [1]!hcahps[HCAHPS Linear Mean Value]), "No Match")</f>
        <v>Not Available</v>
      </c>
      <c r="F1839" cm="1">
        <f t="array" ref="F1839">_xlfn.IFNA(_xlfn.XLOOKUP(1,([1]!readmissions[Facility ID] = clean[[#This Row],[Facility ID]]) * ([1]!readmissions[Measure ID] = "Hybrid_HWR"), [1]!readmissions[Score]), "No Match")</f>
        <v>14.8</v>
      </c>
    </row>
    <row r="1840" spans="1:6" x14ac:dyDescent="0.2">
      <c r="A1840">
        <f>[1]!hospitalinfo[[#This Row],[Facility ID]]</f>
        <v>171329</v>
      </c>
      <c r="B1840" t="str">
        <f>[1]!hospitalinfo[[#This Row],[State]]</f>
        <v>KS</v>
      </c>
      <c r="C1840" t="str">
        <f>[1]!hospitalinfo[[#This Row],[Hospital Type]]</f>
        <v>Critical Access Hospitals</v>
      </c>
      <c r="D1840" t="str">
        <f>[1]!hospitalinfo[[#This Row],[Hospital Ownership]]</f>
        <v>Government - Hospital District or Authority</v>
      </c>
      <c r="E1840" t="str" cm="1">
        <f t="array" ref="E1840">_xlfn.IFNA(_xlfn.XLOOKUP(1,([1]!hcahps[Facility ID] = clean[[#This Row],[Facility ID]]) * ([1]!hcahps[HCAHPS Measure ID] = "H_HSP_RATING_LINEAR_SCORE"), [1]!hcahps[HCAHPS Linear Mean Value]), "No Match")</f>
        <v>Not Available</v>
      </c>
      <c r="F1840" cm="1">
        <f t="array" ref="F1840">_xlfn.IFNA(_xlfn.XLOOKUP(1,([1]!readmissions[Facility ID] = clean[[#This Row],[Facility ID]]) * ([1]!readmissions[Measure ID] = "Hybrid_HWR"), [1]!readmissions[Score]), "No Match")</f>
        <v>14.6</v>
      </c>
    </row>
    <row r="1841" spans="1:6" x14ac:dyDescent="0.2">
      <c r="A1841">
        <f>[1]!hospitalinfo[[#This Row],[Facility ID]]</f>
        <v>171330</v>
      </c>
      <c r="B1841" t="str">
        <f>[1]!hospitalinfo[[#This Row],[State]]</f>
        <v>KS</v>
      </c>
      <c r="C1841" t="str">
        <f>[1]!hospitalinfo[[#This Row],[Hospital Type]]</f>
        <v>Critical Access Hospitals</v>
      </c>
      <c r="D1841" t="str">
        <f>[1]!hospitalinfo[[#This Row],[Hospital Ownership]]</f>
        <v>Government - Hospital District or Authority</v>
      </c>
      <c r="E1841" t="str" cm="1">
        <f t="array" ref="E1841">_xlfn.IFNA(_xlfn.XLOOKUP(1,([1]!hcahps[Facility ID] = clean[[#This Row],[Facility ID]]) * ([1]!hcahps[HCAHPS Measure ID] = "H_HSP_RATING_LINEAR_SCORE"), [1]!hcahps[HCAHPS Linear Mean Value]), "No Match")</f>
        <v>Not Available</v>
      </c>
      <c r="F1841" cm="1">
        <f t="array" ref="F1841">_xlfn.IFNA(_xlfn.XLOOKUP(1,([1]!readmissions[Facility ID] = clean[[#This Row],[Facility ID]]) * ([1]!readmissions[Measure ID] = "Hybrid_HWR"), [1]!readmissions[Score]), "No Match")</f>
        <v>15.1</v>
      </c>
    </row>
    <row r="1842" spans="1:6" x14ac:dyDescent="0.2">
      <c r="A1842">
        <f>[1]!hospitalinfo[[#This Row],[Facility ID]]</f>
        <v>171331</v>
      </c>
      <c r="B1842" t="str">
        <f>[1]!hospitalinfo[[#This Row],[State]]</f>
        <v>KS</v>
      </c>
      <c r="C1842" t="str">
        <f>[1]!hospitalinfo[[#This Row],[Hospital Type]]</f>
        <v>Critical Access Hospitals</v>
      </c>
      <c r="D1842" t="str">
        <f>[1]!hospitalinfo[[#This Row],[Hospital Ownership]]</f>
        <v>Government - Hospital District or Authority</v>
      </c>
      <c r="E1842" t="str" cm="1">
        <f t="array" ref="E1842">_xlfn.IFNA(_xlfn.XLOOKUP(1,([1]!hcahps[Facility ID] = clean[[#This Row],[Facility ID]]) * ([1]!hcahps[HCAHPS Measure ID] = "H_HSP_RATING_LINEAR_SCORE"), [1]!hcahps[HCAHPS Linear Mean Value]), "No Match")</f>
        <v>Not Available</v>
      </c>
      <c r="F1842" cm="1">
        <f t="array" ref="F1842">_xlfn.IFNA(_xlfn.XLOOKUP(1,([1]!readmissions[Facility ID] = clean[[#This Row],[Facility ID]]) * ([1]!readmissions[Measure ID] = "Hybrid_HWR"), [1]!readmissions[Score]), "No Match")</f>
        <v>14.7</v>
      </c>
    </row>
    <row r="1843" spans="1:6" x14ac:dyDescent="0.2">
      <c r="A1843">
        <f>[1]!hospitalinfo[[#This Row],[Facility ID]]</f>
        <v>171332</v>
      </c>
      <c r="B1843" t="str">
        <f>[1]!hospitalinfo[[#This Row],[State]]</f>
        <v>KS</v>
      </c>
      <c r="C1843" t="str">
        <f>[1]!hospitalinfo[[#This Row],[Hospital Type]]</f>
        <v>Critical Access Hospitals</v>
      </c>
      <c r="D1843" t="str">
        <f>[1]!hospitalinfo[[#This Row],[Hospital Ownership]]</f>
        <v>Government - Local</v>
      </c>
      <c r="E1843" t="str" cm="1">
        <f t="array" ref="E1843">_xlfn.IFNA(_xlfn.XLOOKUP(1,([1]!hcahps[Facility ID] = clean[[#This Row],[Facility ID]]) * ([1]!hcahps[HCAHPS Measure ID] = "H_HSP_RATING_LINEAR_SCORE"), [1]!hcahps[HCAHPS Linear Mean Value]), "No Match")</f>
        <v>Not Available</v>
      </c>
      <c r="F1843" cm="1">
        <f t="array" ref="F1843">_xlfn.IFNA(_xlfn.XLOOKUP(1,([1]!readmissions[Facility ID] = clean[[#This Row],[Facility ID]]) * ([1]!readmissions[Measure ID] = "Hybrid_HWR"), [1]!readmissions[Score]), "No Match")</f>
        <v>15.3</v>
      </c>
    </row>
    <row r="1844" spans="1:6" x14ac:dyDescent="0.2">
      <c r="A1844">
        <f>[1]!hospitalinfo[[#This Row],[Facility ID]]</f>
        <v>171333</v>
      </c>
      <c r="B1844" t="str">
        <f>[1]!hospitalinfo[[#This Row],[State]]</f>
        <v>KS</v>
      </c>
      <c r="C1844" t="str">
        <f>[1]!hospitalinfo[[#This Row],[Hospital Type]]</f>
        <v>Critical Access Hospitals</v>
      </c>
      <c r="D1844" t="str">
        <f>[1]!hospitalinfo[[#This Row],[Hospital Ownership]]</f>
        <v>Voluntary non-profit - Private</v>
      </c>
      <c r="E1844" t="str" cm="1">
        <f t="array" ref="E1844">_xlfn.IFNA(_xlfn.XLOOKUP(1,([1]!hcahps[Facility ID] = clean[[#This Row],[Facility ID]]) * ([1]!hcahps[HCAHPS Measure ID] = "H_HSP_RATING_LINEAR_SCORE"), [1]!hcahps[HCAHPS Linear Mean Value]), "No Match")</f>
        <v>Not Available</v>
      </c>
      <c r="F1844" cm="1">
        <f t="array" ref="F1844">_xlfn.IFNA(_xlfn.XLOOKUP(1,([1]!readmissions[Facility ID] = clean[[#This Row],[Facility ID]]) * ([1]!readmissions[Measure ID] = "Hybrid_HWR"), [1]!readmissions[Score]), "No Match")</f>
        <v>15.2</v>
      </c>
    </row>
    <row r="1845" spans="1:6" x14ac:dyDescent="0.2">
      <c r="A1845">
        <f>[1]!hospitalinfo[[#This Row],[Facility ID]]</f>
        <v>171334</v>
      </c>
      <c r="B1845" t="str">
        <f>[1]!hospitalinfo[[#This Row],[State]]</f>
        <v>KS</v>
      </c>
      <c r="C1845" t="str">
        <f>[1]!hospitalinfo[[#This Row],[Hospital Type]]</f>
        <v>Critical Access Hospitals</v>
      </c>
      <c r="D1845" t="str">
        <f>[1]!hospitalinfo[[#This Row],[Hospital Ownership]]</f>
        <v>Government - Hospital District or Authority</v>
      </c>
      <c r="E1845" t="str" cm="1">
        <f t="array" ref="E1845">_xlfn.IFNA(_xlfn.XLOOKUP(1,([1]!hcahps[Facility ID] = clean[[#This Row],[Facility ID]]) * ([1]!hcahps[HCAHPS Measure ID] = "H_HSP_RATING_LINEAR_SCORE"), [1]!hcahps[HCAHPS Linear Mean Value]), "No Match")</f>
        <v>Not Available</v>
      </c>
      <c r="F1845" cm="1">
        <f t="array" ref="F1845">_xlfn.IFNA(_xlfn.XLOOKUP(1,([1]!readmissions[Facility ID] = clean[[#This Row],[Facility ID]]) * ([1]!readmissions[Measure ID] = "Hybrid_HWR"), [1]!readmissions[Score]), "No Match")</f>
        <v>15.1</v>
      </c>
    </row>
    <row r="1846" spans="1:6" x14ac:dyDescent="0.2">
      <c r="A1846">
        <f>[1]!hospitalinfo[[#This Row],[Facility ID]]</f>
        <v>171335</v>
      </c>
      <c r="B1846" t="str">
        <f>[1]!hospitalinfo[[#This Row],[State]]</f>
        <v>KS</v>
      </c>
      <c r="C1846" t="str">
        <f>[1]!hospitalinfo[[#This Row],[Hospital Type]]</f>
        <v>Critical Access Hospitals</v>
      </c>
      <c r="D1846" t="str">
        <f>[1]!hospitalinfo[[#This Row],[Hospital Ownership]]</f>
        <v>Government - Local</v>
      </c>
      <c r="E1846" t="str" cm="1">
        <f t="array" ref="E1846">_xlfn.IFNA(_xlfn.XLOOKUP(1,([1]!hcahps[Facility ID] = clean[[#This Row],[Facility ID]]) * ([1]!hcahps[HCAHPS Measure ID] = "H_HSP_RATING_LINEAR_SCORE"), [1]!hcahps[HCAHPS Linear Mean Value]), "No Match")</f>
        <v>Not Available</v>
      </c>
      <c r="F1846" cm="1">
        <f t="array" ref="F1846">_xlfn.IFNA(_xlfn.XLOOKUP(1,([1]!readmissions[Facility ID] = clean[[#This Row],[Facility ID]]) * ([1]!readmissions[Measure ID] = "Hybrid_HWR"), [1]!readmissions[Score]), "No Match")</f>
        <v>14.6</v>
      </c>
    </row>
    <row r="1847" spans="1:6" x14ac:dyDescent="0.2">
      <c r="A1847">
        <f>[1]!hospitalinfo[[#This Row],[Facility ID]]</f>
        <v>171336</v>
      </c>
      <c r="B1847" t="str">
        <f>[1]!hospitalinfo[[#This Row],[State]]</f>
        <v>KS</v>
      </c>
      <c r="C1847" t="str">
        <f>[1]!hospitalinfo[[#This Row],[Hospital Type]]</f>
        <v>Critical Access Hospitals</v>
      </c>
      <c r="D1847" t="str">
        <f>[1]!hospitalinfo[[#This Row],[Hospital Ownership]]</f>
        <v>Government - Hospital District or Authority</v>
      </c>
      <c r="E1847" t="str" cm="1">
        <f t="array" ref="E1847">_xlfn.IFNA(_xlfn.XLOOKUP(1,([1]!hcahps[Facility ID] = clean[[#This Row],[Facility ID]]) * ([1]!hcahps[HCAHPS Measure ID] = "H_HSP_RATING_LINEAR_SCORE"), [1]!hcahps[HCAHPS Linear Mean Value]), "No Match")</f>
        <v>Not Available</v>
      </c>
      <c r="F1847" cm="1">
        <f t="array" ref="F1847">_xlfn.IFNA(_xlfn.XLOOKUP(1,([1]!readmissions[Facility ID] = clean[[#This Row],[Facility ID]]) * ([1]!readmissions[Measure ID] = "Hybrid_HWR"), [1]!readmissions[Score]), "No Match")</f>
        <v>15.2</v>
      </c>
    </row>
    <row r="1848" spans="1:6" x14ac:dyDescent="0.2">
      <c r="A1848">
        <f>[1]!hospitalinfo[[#This Row],[Facility ID]]</f>
        <v>171337</v>
      </c>
      <c r="B1848" t="str">
        <f>[1]!hospitalinfo[[#This Row],[State]]</f>
        <v>KS</v>
      </c>
      <c r="C1848" t="str">
        <f>[1]!hospitalinfo[[#This Row],[Hospital Type]]</f>
        <v>Critical Access Hospitals</v>
      </c>
      <c r="D1848" t="str">
        <f>[1]!hospitalinfo[[#This Row],[Hospital Ownership]]</f>
        <v>Voluntary non-profit - Other</v>
      </c>
      <c r="E1848" t="str" cm="1">
        <f t="array" ref="E1848">_xlfn.IFNA(_xlfn.XLOOKUP(1,([1]!hcahps[Facility ID] = clean[[#This Row],[Facility ID]]) * ([1]!hcahps[HCAHPS Measure ID] = "H_HSP_RATING_LINEAR_SCORE"), [1]!hcahps[HCAHPS Linear Mean Value]), "No Match")</f>
        <v>Not Available</v>
      </c>
      <c r="F1848" cm="1">
        <f t="array" ref="F1848">_xlfn.IFNA(_xlfn.XLOOKUP(1,([1]!readmissions[Facility ID] = clean[[#This Row],[Facility ID]]) * ([1]!readmissions[Measure ID] = "Hybrid_HWR"), [1]!readmissions[Score]), "No Match")</f>
        <v>14.9</v>
      </c>
    </row>
    <row r="1849" spans="1:6" x14ac:dyDescent="0.2">
      <c r="A1849">
        <f>[1]!hospitalinfo[[#This Row],[Facility ID]]</f>
        <v>171338</v>
      </c>
      <c r="B1849" t="str">
        <f>[1]!hospitalinfo[[#This Row],[State]]</f>
        <v>KS</v>
      </c>
      <c r="C1849" t="str">
        <f>[1]!hospitalinfo[[#This Row],[Hospital Type]]</f>
        <v>Critical Access Hospitals</v>
      </c>
      <c r="D1849" t="str">
        <f>[1]!hospitalinfo[[#This Row],[Hospital Ownership]]</f>
        <v>Voluntary non-profit - Private</v>
      </c>
      <c r="E1849" t="str" cm="1">
        <f t="array" ref="E1849">_xlfn.IFNA(_xlfn.XLOOKUP(1,([1]!hcahps[Facility ID] = clean[[#This Row],[Facility ID]]) * ([1]!hcahps[HCAHPS Measure ID] = "H_HSP_RATING_LINEAR_SCORE"), [1]!hcahps[HCAHPS Linear Mean Value]), "No Match")</f>
        <v>Not Available</v>
      </c>
      <c r="F1849" cm="1">
        <f t="array" ref="F1849">_xlfn.IFNA(_xlfn.XLOOKUP(1,([1]!readmissions[Facility ID] = clean[[#This Row],[Facility ID]]) * ([1]!readmissions[Measure ID] = "Hybrid_HWR"), [1]!readmissions[Score]), "No Match")</f>
        <v>15.1</v>
      </c>
    </row>
    <row r="1850" spans="1:6" x14ac:dyDescent="0.2">
      <c r="A1850">
        <f>[1]!hospitalinfo[[#This Row],[Facility ID]]</f>
        <v>171339</v>
      </c>
      <c r="B1850" t="str">
        <f>[1]!hospitalinfo[[#This Row],[State]]</f>
        <v>KS</v>
      </c>
      <c r="C1850" t="str">
        <f>[1]!hospitalinfo[[#This Row],[Hospital Type]]</f>
        <v>Critical Access Hospitals</v>
      </c>
      <c r="D1850" t="str">
        <f>[1]!hospitalinfo[[#This Row],[Hospital Ownership]]</f>
        <v>Government - Local</v>
      </c>
      <c r="E1850" t="str" cm="1">
        <f t="array" ref="E1850">_xlfn.IFNA(_xlfn.XLOOKUP(1,([1]!hcahps[Facility ID] = clean[[#This Row],[Facility ID]]) * ([1]!hcahps[HCAHPS Measure ID] = "H_HSP_RATING_LINEAR_SCORE"), [1]!hcahps[HCAHPS Linear Mean Value]), "No Match")</f>
        <v>Not Available</v>
      </c>
      <c r="F1850" cm="1">
        <f t="array" ref="F1850">_xlfn.IFNA(_xlfn.XLOOKUP(1,([1]!readmissions[Facility ID] = clean[[#This Row],[Facility ID]]) * ([1]!readmissions[Measure ID] = "Hybrid_HWR"), [1]!readmissions[Score]), "No Match")</f>
        <v>15.2</v>
      </c>
    </row>
    <row r="1851" spans="1:6" x14ac:dyDescent="0.2">
      <c r="A1851">
        <f>[1]!hospitalinfo[[#This Row],[Facility ID]]</f>
        <v>171341</v>
      </c>
      <c r="B1851" t="str">
        <f>[1]!hospitalinfo[[#This Row],[State]]</f>
        <v>KS</v>
      </c>
      <c r="C1851" t="str">
        <f>[1]!hospitalinfo[[#This Row],[Hospital Type]]</f>
        <v>Critical Access Hospitals</v>
      </c>
      <c r="D1851" t="str">
        <f>[1]!hospitalinfo[[#This Row],[Hospital Ownership]]</f>
        <v>Voluntary non-profit - Private</v>
      </c>
      <c r="E1851" cm="1">
        <f t="array" ref="E1851">_xlfn.IFNA(_xlfn.XLOOKUP(1,([1]!hcahps[Facility ID] = clean[[#This Row],[Facility ID]]) * ([1]!hcahps[HCAHPS Measure ID] = "H_HSP_RATING_LINEAR_SCORE"), [1]!hcahps[HCAHPS Linear Mean Value]), "No Match")</f>
        <v>90</v>
      </c>
      <c r="F1851" cm="1">
        <f t="array" ref="F1851">_xlfn.IFNA(_xlfn.XLOOKUP(1,([1]!readmissions[Facility ID] = clean[[#This Row],[Facility ID]]) * ([1]!readmissions[Measure ID] = "Hybrid_HWR"), [1]!readmissions[Score]), "No Match")</f>
        <v>15.4</v>
      </c>
    </row>
    <row r="1852" spans="1:6" x14ac:dyDescent="0.2">
      <c r="A1852">
        <f>[1]!hospitalinfo[[#This Row],[Facility ID]]</f>
        <v>171343</v>
      </c>
      <c r="B1852" t="str">
        <f>[1]!hospitalinfo[[#This Row],[State]]</f>
        <v>KS</v>
      </c>
      <c r="C1852" t="str">
        <f>[1]!hospitalinfo[[#This Row],[Hospital Type]]</f>
        <v>Critical Access Hospitals</v>
      </c>
      <c r="D1852" t="str">
        <f>[1]!hospitalinfo[[#This Row],[Hospital Ownership]]</f>
        <v>Government - Local</v>
      </c>
      <c r="E1852" t="str" cm="1">
        <f t="array" ref="E1852">_xlfn.IFNA(_xlfn.XLOOKUP(1,([1]!hcahps[Facility ID] = clean[[#This Row],[Facility ID]]) * ([1]!hcahps[HCAHPS Measure ID] = "H_HSP_RATING_LINEAR_SCORE"), [1]!hcahps[HCAHPS Linear Mean Value]), "No Match")</f>
        <v>Not Available</v>
      </c>
      <c r="F1852" cm="1">
        <f t="array" ref="F1852">_xlfn.IFNA(_xlfn.XLOOKUP(1,([1]!readmissions[Facility ID] = clean[[#This Row],[Facility ID]]) * ([1]!readmissions[Measure ID] = "Hybrid_HWR"), [1]!readmissions[Score]), "No Match")</f>
        <v>15.1</v>
      </c>
    </row>
    <row r="1853" spans="1:6" x14ac:dyDescent="0.2">
      <c r="A1853">
        <f>[1]!hospitalinfo[[#This Row],[Facility ID]]</f>
        <v>171344</v>
      </c>
      <c r="B1853" t="str">
        <f>[1]!hospitalinfo[[#This Row],[State]]</f>
        <v>KS</v>
      </c>
      <c r="C1853" t="str">
        <f>[1]!hospitalinfo[[#This Row],[Hospital Type]]</f>
        <v>Critical Access Hospitals</v>
      </c>
      <c r="D1853" t="str">
        <f>[1]!hospitalinfo[[#This Row],[Hospital Ownership]]</f>
        <v>Government - Local</v>
      </c>
      <c r="E1853" t="str" cm="1">
        <f t="array" ref="E1853">_xlfn.IFNA(_xlfn.XLOOKUP(1,([1]!hcahps[Facility ID] = clean[[#This Row],[Facility ID]]) * ([1]!hcahps[HCAHPS Measure ID] = "H_HSP_RATING_LINEAR_SCORE"), [1]!hcahps[HCAHPS Linear Mean Value]), "No Match")</f>
        <v>Not Available</v>
      </c>
      <c r="F1853" cm="1">
        <f t="array" ref="F1853">_xlfn.IFNA(_xlfn.XLOOKUP(1,([1]!readmissions[Facility ID] = clean[[#This Row],[Facility ID]]) * ([1]!readmissions[Measure ID] = "Hybrid_HWR"), [1]!readmissions[Score]), "No Match")</f>
        <v>14.9</v>
      </c>
    </row>
    <row r="1854" spans="1:6" x14ac:dyDescent="0.2">
      <c r="A1854">
        <f>[1]!hospitalinfo[[#This Row],[Facility ID]]</f>
        <v>171345</v>
      </c>
      <c r="B1854" t="str">
        <f>[1]!hospitalinfo[[#This Row],[State]]</f>
        <v>KS</v>
      </c>
      <c r="C1854" t="str">
        <f>[1]!hospitalinfo[[#This Row],[Hospital Type]]</f>
        <v>Critical Access Hospitals</v>
      </c>
      <c r="D1854" t="str">
        <f>[1]!hospitalinfo[[#This Row],[Hospital Ownership]]</f>
        <v>Voluntary non-profit - Private</v>
      </c>
      <c r="E1854" t="str" cm="1">
        <f t="array" ref="E1854">_xlfn.IFNA(_xlfn.XLOOKUP(1,([1]!hcahps[Facility ID] = clean[[#This Row],[Facility ID]]) * ([1]!hcahps[HCAHPS Measure ID] = "H_HSP_RATING_LINEAR_SCORE"), [1]!hcahps[HCAHPS Linear Mean Value]), "No Match")</f>
        <v>Not Available</v>
      </c>
      <c r="F1854" cm="1">
        <f t="array" ref="F1854">_xlfn.IFNA(_xlfn.XLOOKUP(1,([1]!readmissions[Facility ID] = clean[[#This Row],[Facility ID]]) * ([1]!readmissions[Measure ID] = "Hybrid_HWR"), [1]!readmissions[Score]), "No Match")</f>
        <v>15.5</v>
      </c>
    </row>
    <row r="1855" spans="1:6" x14ac:dyDescent="0.2">
      <c r="A1855">
        <f>[1]!hospitalinfo[[#This Row],[Facility ID]]</f>
        <v>171346</v>
      </c>
      <c r="B1855" t="str">
        <f>[1]!hospitalinfo[[#This Row],[State]]</f>
        <v>KS</v>
      </c>
      <c r="C1855" t="str">
        <f>[1]!hospitalinfo[[#This Row],[Hospital Type]]</f>
        <v>Critical Access Hospitals</v>
      </c>
      <c r="D1855" t="str">
        <f>[1]!hospitalinfo[[#This Row],[Hospital Ownership]]</f>
        <v>Government - Hospital District or Authority</v>
      </c>
      <c r="E1855" t="str" cm="1">
        <f t="array" ref="E1855">_xlfn.IFNA(_xlfn.XLOOKUP(1,([1]!hcahps[Facility ID] = clean[[#This Row],[Facility ID]]) * ([1]!hcahps[HCAHPS Measure ID] = "H_HSP_RATING_LINEAR_SCORE"), [1]!hcahps[HCAHPS Linear Mean Value]), "No Match")</f>
        <v>Not Available</v>
      </c>
      <c r="F1855" cm="1">
        <f t="array" ref="F1855">_xlfn.IFNA(_xlfn.XLOOKUP(1,([1]!readmissions[Facility ID] = clean[[#This Row],[Facility ID]]) * ([1]!readmissions[Measure ID] = "Hybrid_HWR"), [1]!readmissions[Score]), "No Match")</f>
        <v>15</v>
      </c>
    </row>
    <row r="1856" spans="1:6" x14ac:dyDescent="0.2">
      <c r="A1856">
        <f>[1]!hospitalinfo[[#This Row],[Facility ID]]</f>
        <v>171347</v>
      </c>
      <c r="B1856" t="str">
        <f>[1]!hospitalinfo[[#This Row],[State]]</f>
        <v>KS</v>
      </c>
      <c r="C1856" t="str">
        <f>[1]!hospitalinfo[[#This Row],[Hospital Type]]</f>
        <v>Critical Access Hospitals</v>
      </c>
      <c r="D1856" t="str">
        <f>[1]!hospitalinfo[[#This Row],[Hospital Ownership]]</f>
        <v>Government - Local</v>
      </c>
      <c r="E1856" t="str" cm="1">
        <f t="array" ref="E1856">_xlfn.IFNA(_xlfn.XLOOKUP(1,([1]!hcahps[Facility ID] = clean[[#This Row],[Facility ID]]) * ([1]!hcahps[HCAHPS Measure ID] = "H_HSP_RATING_LINEAR_SCORE"), [1]!hcahps[HCAHPS Linear Mean Value]), "No Match")</f>
        <v>Not Available</v>
      </c>
      <c r="F1856" cm="1">
        <f t="array" ref="F1856">_xlfn.IFNA(_xlfn.XLOOKUP(1,([1]!readmissions[Facility ID] = clean[[#This Row],[Facility ID]]) * ([1]!readmissions[Measure ID] = "Hybrid_HWR"), [1]!readmissions[Score]), "No Match")</f>
        <v>14.8</v>
      </c>
    </row>
    <row r="1857" spans="1:6" x14ac:dyDescent="0.2">
      <c r="A1857">
        <f>[1]!hospitalinfo[[#This Row],[Facility ID]]</f>
        <v>171348</v>
      </c>
      <c r="B1857" t="str">
        <f>[1]!hospitalinfo[[#This Row],[State]]</f>
        <v>KS</v>
      </c>
      <c r="C1857" t="str">
        <f>[1]!hospitalinfo[[#This Row],[Hospital Type]]</f>
        <v>Critical Access Hospitals</v>
      </c>
      <c r="D1857" t="str">
        <f>[1]!hospitalinfo[[#This Row],[Hospital Ownership]]</f>
        <v>Government - Local</v>
      </c>
      <c r="E1857" t="str" cm="1">
        <f t="array" ref="E1857">_xlfn.IFNA(_xlfn.XLOOKUP(1,([1]!hcahps[Facility ID] = clean[[#This Row],[Facility ID]]) * ([1]!hcahps[HCAHPS Measure ID] = "H_HSP_RATING_LINEAR_SCORE"), [1]!hcahps[HCAHPS Linear Mean Value]), "No Match")</f>
        <v>Not Available</v>
      </c>
      <c r="F1857" cm="1">
        <f t="array" ref="F1857">_xlfn.IFNA(_xlfn.XLOOKUP(1,([1]!readmissions[Facility ID] = clean[[#This Row],[Facility ID]]) * ([1]!readmissions[Measure ID] = "Hybrid_HWR"), [1]!readmissions[Score]), "No Match")</f>
        <v>15.4</v>
      </c>
    </row>
    <row r="1858" spans="1:6" x14ac:dyDescent="0.2">
      <c r="A1858">
        <f>[1]!hospitalinfo[[#This Row],[Facility ID]]</f>
        <v>171349</v>
      </c>
      <c r="B1858" t="str">
        <f>[1]!hospitalinfo[[#This Row],[State]]</f>
        <v>KS</v>
      </c>
      <c r="C1858" t="str">
        <f>[1]!hospitalinfo[[#This Row],[Hospital Type]]</f>
        <v>Critical Access Hospitals</v>
      </c>
      <c r="D1858" t="str">
        <f>[1]!hospitalinfo[[#This Row],[Hospital Ownership]]</f>
        <v>Voluntary non-profit - Private</v>
      </c>
      <c r="E1858" t="str" cm="1">
        <f t="array" ref="E1858">_xlfn.IFNA(_xlfn.XLOOKUP(1,([1]!hcahps[Facility ID] = clean[[#This Row],[Facility ID]]) * ([1]!hcahps[HCAHPS Measure ID] = "H_HSP_RATING_LINEAR_SCORE"), [1]!hcahps[HCAHPS Linear Mean Value]), "No Match")</f>
        <v>Not Available</v>
      </c>
      <c r="F1858" cm="1">
        <f t="array" ref="F1858">_xlfn.IFNA(_xlfn.XLOOKUP(1,([1]!readmissions[Facility ID] = clean[[#This Row],[Facility ID]]) * ([1]!readmissions[Measure ID] = "Hybrid_HWR"), [1]!readmissions[Score]), "No Match")</f>
        <v>14.7</v>
      </c>
    </row>
    <row r="1859" spans="1:6" x14ac:dyDescent="0.2">
      <c r="A1859">
        <f>[1]!hospitalinfo[[#This Row],[Facility ID]]</f>
        <v>171350</v>
      </c>
      <c r="B1859" t="str">
        <f>[1]!hospitalinfo[[#This Row],[State]]</f>
        <v>KS</v>
      </c>
      <c r="C1859" t="str">
        <f>[1]!hospitalinfo[[#This Row],[Hospital Type]]</f>
        <v>Critical Access Hospitals</v>
      </c>
      <c r="D1859" t="str">
        <f>[1]!hospitalinfo[[#This Row],[Hospital Ownership]]</f>
        <v>Voluntary non-profit - Private</v>
      </c>
      <c r="E1859" t="str" cm="1">
        <f t="array" ref="E1859">_xlfn.IFNA(_xlfn.XLOOKUP(1,([1]!hcahps[Facility ID] = clean[[#This Row],[Facility ID]]) * ([1]!hcahps[HCAHPS Measure ID] = "H_HSP_RATING_LINEAR_SCORE"), [1]!hcahps[HCAHPS Linear Mean Value]), "No Match")</f>
        <v>Not Available</v>
      </c>
      <c r="F1859" cm="1">
        <f t="array" ref="F1859">_xlfn.IFNA(_xlfn.XLOOKUP(1,([1]!readmissions[Facility ID] = clean[[#This Row],[Facility ID]]) * ([1]!readmissions[Measure ID] = "Hybrid_HWR"), [1]!readmissions[Score]), "No Match")</f>
        <v>16</v>
      </c>
    </row>
    <row r="1860" spans="1:6" x14ac:dyDescent="0.2">
      <c r="A1860">
        <f>[1]!hospitalinfo[[#This Row],[Facility ID]]</f>
        <v>171351</v>
      </c>
      <c r="B1860" t="str">
        <f>[1]!hospitalinfo[[#This Row],[State]]</f>
        <v>KS</v>
      </c>
      <c r="C1860" t="str">
        <f>[1]!hospitalinfo[[#This Row],[Hospital Type]]</f>
        <v>Critical Access Hospitals</v>
      </c>
      <c r="D1860" t="str">
        <f>[1]!hospitalinfo[[#This Row],[Hospital Ownership]]</f>
        <v>Government - Local</v>
      </c>
      <c r="E1860" t="str" cm="1">
        <f t="array" ref="E1860">_xlfn.IFNA(_xlfn.XLOOKUP(1,([1]!hcahps[Facility ID] = clean[[#This Row],[Facility ID]]) * ([1]!hcahps[HCAHPS Measure ID] = "H_HSP_RATING_LINEAR_SCORE"), [1]!hcahps[HCAHPS Linear Mean Value]), "No Match")</f>
        <v>Not Available</v>
      </c>
      <c r="F1860" cm="1">
        <f t="array" ref="F1860">_xlfn.IFNA(_xlfn.XLOOKUP(1,([1]!readmissions[Facility ID] = clean[[#This Row],[Facility ID]]) * ([1]!readmissions[Measure ID] = "Hybrid_HWR"), [1]!readmissions[Score]), "No Match")</f>
        <v>14.8</v>
      </c>
    </row>
    <row r="1861" spans="1:6" x14ac:dyDescent="0.2">
      <c r="A1861">
        <f>[1]!hospitalinfo[[#This Row],[Facility ID]]</f>
        <v>171352</v>
      </c>
      <c r="B1861" t="str">
        <f>[1]!hospitalinfo[[#This Row],[State]]</f>
        <v>KS</v>
      </c>
      <c r="C1861" t="str">
        <f>[1]!hospitalinfo[[#This Row],[Hospital Type]]</f>
        <v>Critical Access Hospitals</v>
      </c>
      <c r="D1861" t="str">
        <f>[1]!hospitalinfo[[#This Row],[Hospital Ownership]]</f>
        <v>Voluntary non-profit - Private</v>
      </c>
      <c r="E1861" t="str" cm="1">
        <f t="array" ref="E1861">_xlfn.IFNA(_xlfn.XLOOKUP(1,([1]!hcahps[Facility ID] = clean[[#This Row],[Facility ID]]) * ([1]!hcahps[HCAHPS Measure ID] = "H_HSP_RATING_LINEAR_SCORE"), [1]!hcahps[HCAHPS Linear Mean Value]), "No Match")</f>
        <v>Not Available</v>
      </c>
      <c r="F1861" t="str" cm="1">
        <f t="array" ref="F1861">_xlfn.IFNA(_xlfn.XLOOKUP(1,([1]!readmissions[Facility ID] = clean[[#This Row],[Facility ID]]) * ([1]!readmissions[Measure ID] = "Hybrid_HWR"), [1]!readmissions[Score]), "No Match")</f>
        <v>Not Available</v>
      </c>
    </row>
    <row r="1862" spans="1:6" x14ac:dyDescent="0.2">
      <c r="A1862">
        <f>[1]!hospitalinfo[[#This Row],[Facility ID]]</f>
        <v>171353</v>
      </c>
      <c r="B1862" t="str">
        <f>[1]!hospitalinfo[[#This Row],[State]]</f>
        <v>KS</v>
      </c>
      <c r="C1862" t="str">
        <f>[1]!hospitalinfo[[#This Row],[Hospital Type]]</f>
        <v>Critical Access Hospitals</v>
      </c>
      <c r="D1862" t="str">
        <f>[1]!hospitalinfo[[#This Row],[Hospital Ownership]]</f>
        <v>Government - Local</v>
      </c>
      <c r="E1862" t="str" cm="1">
        <f t="array" ref="E1862">_xlfn.IFNA(_xlfn.XLOOKUP(1,([1]!hcahps[Facility ID] = clean[[#This Row],[Facility ID]]) * ([1]!hcahps[HCAHPS Measure ID] = "H_HSP_RATING_LINEAR_SCORE"), [1]!hcahps[HCAHPS Linear Mean Value]), "No Match")</f>
        <v>Not Available</v>
      </c>
      <c r="F1862" cm="1">
        <f t="array" ref="F1862">_xlfn.IFNA(_xlfn.XLOOKUP(1,([1]!readmissions[Facility ID] = clean[[#This Row],[Facility ID]]) * ([1]!readmissions[Measure ID] = "Hybrid_HWR"), [1]!readmissions[Score]), "No Match")</f>
        <v>14.8</v>
      </c>
    </row>
    <row r="1863" spans="1:6" x14ac:dyDescent="0.2">
      <c r="A1863">
        <f>[1]!hospitalinfo[[#This Row],[Facility ID]]</f>
        <v>171354</v>
      </c>
      <c r="B1863" t="str">
        <f>[1]!hospitalinfo[[#This Row],[State]]</f>
        <v>KS</v>
      </c>
      <c r="C1863" t="str">
        <f>[1]!hospitalinfo[[#This Row],[Hospital Type]]</f>
        <v>Critical Access Hospitals</v>
      </c>
      <c r="D1863" t="str">
        <f>[1]!hospitalinfo[[#This Row],[Hospital Ownership]]</f>
        <v>Government - Hospital District or Authority</v>
      </c>
      <c r="E1863" t="str" cm="1">
        <f t="array" ref="E1863">_xlfn.IFNA(_xlfn.XLOOKUP(1,([1]!hcahps[Facility ID] = clean[[#This Row],[Facility ID]]) * ([1]!hcahps[HCAHPS Measure ID] = "H_HSP_RATING_LINEAR_SCORE"), [1]!hcahps[HCAHPS Linear Mean Value]), "No Match")</f>
        <v>Not Available</v>
      </c>
      <c r="F1863" cm="1">
        <f t="array" ref="F1863">_xlfn.IFNA(_xlfn.XLOOKUP(1,([1]!readmissions[Facility ID] = clean[[#This Row],[Facility ID]]) * ([1]!readmissions[Measure ID] = "Hybrid_HWR"), [1]!readmissions[Score]), "No Match")</f>
        <v>15.2</v>
      </c>
    </row>
    <row r="1864" spans="1:6" x14ac:dyDescent="0.2">
      <c r="A1864">
        <f>[1]!hospitalinfo[[#This Row],[Facility ID]]</f>
        <v>171355</v>
      </c>
      <c r="B1864" t="str">
        <f>[1]!hospitalinfo[[#This Row],[State]]</f>
        <v>KS</v>
      </c>
      <c r="C1864" t="str">
        <f>[1]!hospitalinfo[[#This Row],[Hospital Type]]</f>
        <v>Critical Access Hospitals</v>
      </c>
      <c r="D1864" t="str">
        <f>[1]!hospitalinfo[[#This Row],[Hospital Ownership]]</f>
        <v>Government - Local</v>
      </c>
      <c r="E1864" t="str" cm="1">
        <f t="array" ref="E1864">_xlfn.IFNA(_xlfn.XLOOKUP(1,([1]!hcahps[Facility ID] = clean[[#This Row],[Facility ID]]) * ([1]!hcahps[HCAHPS Measure ID] = "H_HSP_RATING_LINEAR_SCORE"), [1]!hcahps[HCAHPS Linear Mean Value]), "No Match")</f>
        <v>Not Available</v>
      </c>
      <c r="F1864" cm="1">
        <f t="array" ref="F1864">_xlfn.IFNA(_xlfn.XLOOKUP(1,([1]!readmissions[Facility ID] = clean[[#This Row],[Facility ID]]) * ([1]!readmissions[Measure ID] = "Hybrid_HWR"), [1]!readmissions[Score]), "No Match")</f>
        <v>14.6</v>
      </c>
    </row>
    <row r="1865" spans="1:6" x14ac:dyDescent="0.2">
      <c r="A1865">
        <f>[1]!hospitalinfo[[#This Row],[Facility ID]]</f>
        <v>171356</v>
      </c>
      <c r="B1865" t="str">
        <f>[1]!hospitalinfo[[#This Row],[State]]</f>
        <v>KS</v>
      </c>
      <c r="C1865" t="str">
        <f>[1]!hospitalinfo[[#This Row],[Hospital Type]]</f>
        <v>Critical Access Hospitals</v>
      </c>
      <c r="D1865" t="str">
        <f>[1]!hospitalinfo[[#This Row],[Hospital Ownership]]</f>
        <v>Government - Hospital District or Authority</v>
      </c>
      <c r="E1865" t="str" cm="1">
        <f t="array" ref="E1865">_xlfn.IFNA(_xlfn.XLOOKUP(1,([1]!hcahps[Facility ID] = clean[[#This Row],[Facility ID]]) * ([1]!hcahps[HCAHPS Measure ID] = "H_HSP_RATING_LINEAR_SCORE"), [1]!hcahps[HCAHPS Linear Mean Value]), "No Match")</f>
        <v>Not Available</v>
      </c>
      <c r="F1865" cm="1">
        <f t="array" ref="F1865">_xlfn.IFNA(_xlfn.XLOOKUP(1,([1]!readmissions[Facility ID] = clean[[#This Row],[Facility ID]]) * ([1]!readmissions[Measure ID] = "Hybrid_HWR"), [1]!readmissions[Score]), "No Match")</f>
        <v>14.7</v>
      </c>
    </row>
    <row r="1866" spans="1:6" x14ac:dyDescent="0.2">
      <c r="A1866">
        <f>[1]!hospitalinfo[[#This Row],[Facility ID]]</f>
        <v>171357</v>
      </c>
      <c r="B1866" t="str">
        <f>[1]!hospitalinfo[[#This Row],[State]]</f>
        <v>KS</v>
      </c>
      <c r="C1866" t="str">
        <f>[1]!hospitalinfo[[#This Row],[Hospital Type]]</f>
        <v>Critical Access Hospitals</v>
      </c>
      <c r="D1866" t="str">
        <f>[1]!hospitalinfo[[#This Row],[Hospital Ownership]]</f>
        <v>Proprietary</v>
      </c>
      <c r="E1866" t="str" cm="1">
        <f t="array" ref="E1866">_xlfn.IFNA(_xlfn.XLOOKUP(1,([1]!hcahps[Facility ID] = clean[[#This Row],[Facility ID]]) * ([1]!hcahps[HCAHPS Measure ID] = "H_HSP_RATING_LINEAR_SCORE"), [1]!hcahps[HCAHPS Linear Mean Value]), "No Match")</f>
        <v>Not Available</v>
      </c>
      <c r="F1866" cm="1">
        <f t="array" ref="F1866">_xlfn.IFNA(_xlfn.XLOOKUP(1,([1]!readmissions[Facility ID] = clean[[#This Row],[Facility ID]]) * ([1]!readmissions[Measure ID] = "Hybrid_HWR"), [1]!readmissions[Score]), "No Match")</f>
        <v>14.6</v>
      </c>
    </row>
    <row r="1867" spans="1:6" x14ac:dyDescent="0.2">
      <c r="A1867">
        <f>[1]!hospitalinfo[[#This Row],[Facility ID]]</f>
        <v>171358</v>
      </c>
      <c r="B1867" t="str">
        <f>[1]!hospitalinfo[[#This Row],[State]]</f>
        <v>KS</v>
      </c>
      <c r="C1867" t="str">
        <f>[1]!hospitalinfo[[#This Row],[Hospital Type]]</f>
        <v>Critical Access Hospitals</v>
      </c>
      <c r="D1867" t="str">
        <f>[1]!hospitalinfo[[#This Row],[Hospital Ownership]]</f>
        <v>Voluntary non-profit - Private</v>
      </c>
      <c r="E1867" t="str" cm="1">
        <f t="array" ref="E1867">_xlfn.IFNA(_xlfn.XLOOKUP(1,([1]!hcahps[Facility ID] = clean[[#This Row],[Facility ID]]) * ([1]!hcahps[HCAHPS Measure ID] = "H_HSP_RATING_LINEAR_SCORE"), [1]!hcahps[HCAHPS Linear Mean Value]), "No Match")</f>
        <v>Not Available</v>
      </c>
      <c r="F1867" cm="1">
        <f t="array" ref="F1867">_xlfn.IFNA(_xlfn.XLOOKUP(1,([1]!readmissions[Facility ID] = clean[[#This Row],[Facility ID]]) * ([1]!readmissions[Measure ID] = "Hybrid_HWR"), [1]!readmissions[Score]), "No Match")</f>
        <v>14.4</v>
      </c>
    </row>
    <row r="1868" spans="1:6" x14ac:dyDescent="0.2">
      <c r="A1868">
        <f>[1]!hospitalinfo[[#This Row],[Facility ID]]</f>
        <v>171359</v>
      </c>
      <c r="B1868" t="str">
        <f>[1]!hospitalinfo[[#This Row],[State]]</f>
        <v>KS</v>
      </c>
      <c r="C1868" t="str">
        <f>[1]!hospitalinfo[[#This Row],[Hospital Type]]</f>
        <v>Critical Access Hospitals</v>
      </c>
      <c r="D1868" t="str">
        <f>[1]!hospitalinfo[[#This Row],[Hospital Ownership]]</f>
        <v>Government - Local</v>
      </c>
      <c r="E1868" t="str" cm="1">
        <f t="array" ref="E1868">_xlfn.IFNA(_xlfn.XLOOKUP(1,([1]!hcahps[Facility ID] = clean[[#This Row],[Facility ID]]) * ([1]!hcahps[HCAHPS Measure ID] = "H_HSP_RATING_LINEAR_SCORE"), [1]!hcahps[HCAHPS Linear Mean Value]), "No Match")</f>
        <v>Not Available</v>
      </c>
      <c r="F1868" cm="1">
        <f t="array" ref="F1868">_xlfn.IFNA(_xlfn.XLOOKUP(1,([1]!readmissions[Facility ID] = clean[[#This Row],[Facility ID]]) * ([1]!readmissions[Measure ID] = "Hybrid_HWR"), [1]!readmissions[Score]), "No Match")</f>
        <v>14.8</v>
      </c>
    </row>
    <row r="1869" spans="1:6" x14ac:dyDescent="0.2">
      <c r="A1869">
        <f>[1]!hospitalinfo[[#This Row],[Facility ID]]</f>
        <v>171360</v>
      </c>
      <c r="B1869" t="str">
        <f>[1]!hospitalinfo[[#This Row],[State]]</f>
        <v>KS</v>
      </c>
      <c r="C1869" t="str">
        <f>[1]!hospitalinfo[[#This Row],[Hospital Type]]</f>
        <v>Critical Access Hospitals</v>
      </c>
      <c r="D1869" t="str">
        <f>[1]!hospitalinfo[[#This Row],[Hospital Ownership]]</f>
        <v>Government - Local</v>
      </c>
      <c r="E1869" t="str" cm="1">
        <f t="array" ref="E1869">_xlfn.IFNA(_xlfn.XLOOKUP(1,([1]!hcahps[Facility ID] = clean[[#This Row],[Facility ID]]) * ([1]!hcahps[HCAHPS Measure ID] = "H_HSP_RATING_LINEAR_SCORE"), [1]!hcahps[HCAHPS Linear Mean Value]), "No Match")</f>
        <v>Not Available</v>
      </c>
      <c r="F1869" cm="1">
        <f t="array" ref="F1869">_xlfn.IFNA(_xlfn.XLOOKUP(1,([1]!readmissions[Facility ID] = clean[[#This Row],[Facility ID]]) * ([1]!readmissions[Measure ID] = "Hybrid_HWR"), [1]!readmissions[Score]), "No Match")</f>
        <v>14.6</v>
      </c>
    </row>
    <row r="1870" spans="1:6" x14ac:dyDescent="0.2">
      <c r="A1870">
        <f>[1]!hospitalinfo[[#This Row],[Facility ID]]</f>
        <v>171361</v>
      </c>
      <c r="B1870" t="str">
        <f>[1]!hospitalinfo[[#This Row],[State]]</f>
        <v>KS</v>
      </c>
      <c r="C1870" t="str">
        <f>[1]!hospitalinfo[[#This Row],[Hospital Type]]</f>
        <v>Critical Access Hospitals</v>
      </c>
      <c r="D1870" t="str">
        <f>[1]!hospitalinfo[[#This Row],[Hospital Ownership]]</f>
        <v>Voluntary non-profit - Private</v>
      </c>
      <c r="E1870" cm="1">
        <f t="array" ref="E1870">_xlfn.IFNA(_xlfn.XLOOKUP(1,([1]!hcahps[Facility ID] = clean[[#This Row],[Facility ID]]) * ([1]!hcahps[HCAHPS Measure ID] = "H_HSP_RATING_LINEAR_SCORE"), [1]!hcahps[HCAHPS Linear Mean Value]), "No Match")</f>
        <v>95</v>
      </c>
      <c r="F1870" cm="1">
        <f t="array" ref="F1870">_xlfn.IFNA(_xlfn.XLOOKUP(1,([1]!readmissions[Facility ID] = clean[[#This Row],[Facility ID]]) * ([1]!readmissions[Measure ID] = "Hybrid_HWR"), [1]!readmissions[Score]), "No Match")</f>
        <v>16</v>
      </c>
    </row>
    <row r="1871" spans="1:6" x14ac:dyDescent="0.2">
      <c r="A1871">
        <f>[1]!hospitalinfo[[#This Row],[Facility ID]]</f>
        <v>171362</v>
      </c>
      <c r="B1871" t="str">
        <f>[1]!hospitalinfo[[#This Row],[State]]</f>
        <v>KS</v>
      </c>
      <c r="C1871" t="str">
        <f>[1]!hospitalinfo[[#This Row],[Hospital Type]]</f>
        <v>Critical Access Hospitals</v>
      </c>
      <c r="D1871" t="str">
        <f>[1]!hospitalinfo[[#This Row],[Hospital Ownership]]</f>
        <v>Voluntary non-profit - Private</v>
      </c>
      <c r="E1871" cm="1">
        <f t="array" ref="E1871">_xlfn.IFNA(_xlfn.XLOOKUP(1,([1]!hcahps[Facility ID] = clean[[#This Row],[Facility ID]]) * ([1]!hcahps[HCAHPS Measure ID] = "H_HSP_RATING_LINEAR_SCORE"), [1]!hcahps[HCAHPS Linear Mean Value]), "No Match")</f>
        <v>91</v>
      </c>
      <c r="F1871" cm="1">
        <f t="array" ref="F1871">_xlfn.IFNA(_xlfn.XLOOKUP(1,([1]!readmissions[Facility ID] = clean[[#This Row],[Facility ID]]) * ([1]!readmissions[Measure ID] = "Hybrid_HWR"), [1]!readmissions[Score]), "No Match")</f>
        <v>15.3</v>
      </c>
    </row>
    <row r="1872" spans="1:6" x14ac:dyDescent="0.2">
      <c r="A1872">
        <f>[1]!hospitalinfo[[#This Row],[Facility ID]]</f>
        <v>171363</v>
      </c>
      <c r="B1872" t="str">
        <f>[1]!hospitalinfo[[#This Row],[State]]</f>
        <v>KS</v>
      </c>
      <c r="C1872" t="str">
        <f>[1]!hospitalinfo[[#This Row],[Hospital Type]]</f>
        <v>Critical Access Hospitals</v>
      </c>
      <c r="D1872" t="str">
        <f>[1]!hospitalinfo[[#This Row],[Hospital Ownership]]</f>
        <v>Voluntary non-profit - Private</v>
      </c>
      <c r="E1872" cm="1">
        <f t="array" ref="E1872">_xlfn.IFNA(_xlfn.XLOOKUP(1,([1]!hcahps[Facility ID] = clean[[#This Row],[Facility ID]]) * ([1]!hcahps[HCAHPS Measure ID] = "H_HSP_RATING_LINEAR_SCORE"), [1]!hcahps[HCAHPS Linear Mean Value]), "No Match")</f>
        <v>90</v>
      </c>
      <c r="F1872" cm="1">
        <f t="array" ref="F1872">_xlfn.IFNA(_xlfn.XLOOKUP(1,([1]!readmissions[Facility ID] = clean[[#This Row],[Facility ID]]) * ([1]!readmissions[Measure ID] = "Hybrid_HWR"), [1]!readmissions[Score]), "No Match")</f>
        <v>15.3</v>
      </c>
    </row>
    <row r="1873" spans="1:6" x14ac:dyDescent="0.2">
      <c r="A1873">
        <f>[1]!hospitalinfo[[#This Row],[Facility ID]]</f>
        <v>171364</v>
      </c>
      <c r="B1873" t="str">
        <f>[1]!hospitalinfo[[#This Row],[State]]</f>
        <v>KS</v>
      </c>
      <c r="C1873" t="str">
        <f>[1]!hospitalinfo[[#This Row],[Hospital Type]]</f>
        <v>Critical Access Hospitals</v>
      </c>
      <c r="D1873" t="str">
        <f>[1]!hospitalinfo[[#This Row],[Hospital Ownership]]</f>
        <v>Government - Local</v>
      </c>
      <c r="E1873" t="str" cm="1">
        <f t="array" ref="E1873">_xlfn.IFNA(_xlfn.XLOOKUP(1,([1]!hcahps[Facility ID] = clean[[#This Row],[Facility ID]]) * ([1]!hcahps[HCAHPS Measure ID] = "H_HSP_RATING_LINEAR_SCORE"), [1]!hcahps[HCAHPS Linear Mean Value]), "No Match")</f>
        <v>Not Available</v>
      </c>
      <c r="F1873" cm="1">
        <f t="array" ref="F1873">_xlfn.IFNA(_xlfn.XLOOKUP(1,([1]!readmissions[Facility ID] = clean[[#This Row],[Facility ID]]) * ([1]!readmissions[Measure ID] = "Hybrid_HWR"), [1]!readmissions[Score]), "No Match")</f>
        <v>14.3</v>
      </c>
    </row>
    <row r="1874" spans="1:6" x14ac:dyDescent="0.2">
      <c r="A1874">
        <f>[1]!hospitalinfo[[#This Row],[Facility ID]]</f>
        <v>171365</v>
      </c>
      <c r="B1874" t="str">
        <f>[1]!hospitalinfo[[#This Row],[State]]</f>
        <v>KS</v>
      </c>
      <c r="C1874" t="str">
        <f>[1]!hospitalinfo[[#This Row],[Hospital Type]]</f>
        <v>Critical Access Hospitals</v>
      </c>
      <c r="D1874" t="str">
        <f>[1]!hospitalinfo[[#This Row],[Hospital Ownership]]</f>
        <v>Government - Hospital District or Authority</v>
      </c>
      <c r="E1874" t="str" cm="1">
        <f t="array" ref="E1874">_xlfn.IFNA(_xlfn.XLOOKUP(1,([1]!hcahps[Facility ID] = clean[[#This Row],[Facility ID]]) * ([1]!hcahps[HCAHPS Measure ID] = "H_HSP_RATING_LINEAR_SCORE"), [1]!hcahps[HCAHPS Linear Mean Value]), "No Match")</f>
        <v>Not Available</v>
      </c>
      <c r="F1874" cm="1">
        <f t="array" ref="F1874">_xlfn.IFNA(_xlfn.XLOOKUP(1,([1]!readmissions[Facility ID] = clean[[#This Row],[Facility ID]]) * ([1]!readmissions[Measure ID] = "Hybrid_HWR"), [1]!readmissions[Score]), "No Match")</f>
        <v>14.7</v>
      </c>
    </row>
    <row r="1875" spans="1:6" x14ac:dyDescent="0.2">
      <c r="A1875">
        <f>[1]!hospitalinfo[[#This Row],[Facility ID]]</f>
        <v>171367</v>
      </c>
      <c r="B1875" t="str">
        <f>[1]!hospitalinfo[[#This Row],[State]]</f>
        <v>KS</v>
      </c>
      <c r="C1875" t="str">
        <f>[1]!hospitalinfo[[#This Row],[Hospital Type]]</f>
        <v>Critical Access Hospitals</v>
      </c>
      <c r="D1875" t="str">
        <f>[1]!hospitalinfo[[#This Row],[Hospital Ownership]]</f>
        <v>Voluntary non-profit - Other</v>
      </c>
      <c r="E1875" t="str" cm="1">
        <f t="array" ref="E1875">_xlfn.IFNA(_xlfn.XLOOKUP(1,([1]!hcahps[Facility ID] = clean[[#This Row],[Facility ID]]) * ([1]!hcahps[HCAHPS Measure ID] = "H_HSP_RATING_LINEAR_SCORE"), [1]!hcahps[HCAHPS Linear Mean Value]), "No Match")</f>
        <v>Not Available</v>
      </c>
      <c r="F1875" cm="1">
        <f t="array" ref="F1875">_xlfn.IFNA(_xlfn.XLOOKUP(1,([1]!readmissions[Facility ID] = clean[[#This Row],[Facility ID]]) * ([1]!readmissions[Measure ID] = "Hybrid_HWR"), [1]!readmissions[Score]), "No Match")</f>
        <v>14.9</v>
      </c>
    </row>
    <row r="1876" spans="1:6" x14ac:dyDescent="0.2">
      <c r="A1876">
        <f>[1]!hospitalinfo[[#This Row],[Facility ID]]</f>
        <v>171368</v>
      </c>
      <c r="B1876" t="str">
        <f>[1]!hospitalinfo[[#This Row],[State]]</f>
        <v>KS</v>
      </c>
      <c r="C1876" t="str">
        <f>[1]!hospitalinfo[[#This Row],[Hospital Type]]</f>
        <v>Critical Access Hospitals</v>
      </c>
      <c r="D1876" t="str">
        <f>[1]!hospitalinfo[[#This Row],[Hospital Ownership]]</f>
        <v>Government - Hospital District or Authority</v>
      </c>
      <c r="E1876" t="str" cm="1">
        <f t="array" ref="E1876">_xlfn.IFNA(_xlfn.XLOOKUP(1,([1]!hcahps[Facility ID] = clean[[#This Row],[Facility ID]]) * ([1]!hcahps[HCAHPS Measure ID] = "H_HSP_RATING_LINEAR_SCORE"), [1]!hcahps[HCAHPS Linear Mean Value]), "No Match")</f>
        <v>Not Available</v>
      </c>
      <c r="F1876" cm="1">
        <f t="array" ref="F1876">_xlfn.IFNA(_xlfn.XLOOKUP(1,([1]!readmissions[Facility ID] = clean[[#This Row],[Facility ID]]) * ([1]!readmissions[Measure ID] = "Hybrid_HWR"), [1]!readmissions[Score]), "No Match")</f>
        <v>14.7</v>
      </c>
    </row>
    <row r="1877" spans="1:6" x14ac:dyDescent="0.2">
      <c r="A1877">
        <f>[1]!hospitalinfo[[#This Row],[Facility ID]]</f>
        <v>171369</v>
      </c>
      <c r="B1877" t="str">
        <f>[1]!hospitalinfo[[#This Row],[State]]</f>
        <v>KS</v>
      </c>
      <c r="C1877" t="str">
        <f>[1]!hospitalinfo[[#This Row],[Hospital Type]]</f>
        <v>Critical Access Hospitals</v>
      </c>
      <c r="D1877" t="str">
        <f>[1]!hospitalinfo[[#This Row],[Hospital Ownership]]</f>
        <v>Government - Local</v>
      </c>
      <c r="E1877" t="str" cm="1">
        <f t="array" ref="E1877">_xlfn.IFNA(_xlfn.XLOOKUP(1,([1]!hcahps[Facility ID] = clean[[#This Row],[Facility ID]]) * ([1]!hcahps[HCAHPS Measure ID] = "H_HSP_RATING_LINEAR_SCORE"), [1]!hcahps[HCAHPS Linear Mean Value]), "No Match")</f>
        <v>Not Available</v>
      </c>
      <c r="F1877" cm="1">
        <f t="array" ref="F1877">_xlfn.IFNA(_xlfn.XLOOKUP(1,([1]!readmissions[Facility ID] = clean[[#This Row],[Facility ID]]) * ([1]!readmissions[Measure ID] = "Hybrid_HWR"), [1]!readmissions[Score]), "No Match")</f>
        <v>15</v>
      </c>
    </row>
    <row r="1878" spans="1:6" x14ac:dyDescent="0.2">
      <c r="A1878">
        <f>[1]!hospitalinfo[[#This Row],[Facility ID]]</f>
        <v>171370</v>
      </c>
      <c r="B1878" t="str">
        <f>[1]!hospitalinfo[[#This Row],[State]]</f>
        <v>KS</v>
      </c>
      <c r="C1878" t="str">
        <f>[1]!hospitalinfo[[#This Row],[Hospital Type]]</f>
        <v>Critical Access Hospitals</v>
      </c>
      <c r="D1878" t="str">
        <f>[1]!hospitalinfo[[#This Row],[Hospital Ownership]]</f>
        <v>Government - Local</v>
      </c>
      <c r="E1878" t="str" cm="1">
        <f t="array" ref="E1878">_xlfn.IFNA(_xlfn.XLOOKUP(1,([1]!hcahps[Facility ID] = clean[[#This Row],[Facility ID]]) * ([1]!hcahps[HCAHPS Measure ID] = "H_HSP_RATING_LINEAR_SCORE"), [1]!hcahps[HCAHPS Linear Mean Value]), "No Match")</f>
        <v>Not Available</v>
      </c>
      <c r="F1878" cm="1">
        <f t="array" ref="F1878">_xlfn.IFNA(_xlfn.XLOOKUP(1,([1]!readmissions[Facility ID] = clean[[#This Row],[Facility ID]]) * ([1]!readmissions[Measure ID] = "Hybrid_HWR"), [1]!readmissions[Score]), "No Match")</f>
        <v>15.4</v>
      </c>
    </row>
    <row r="1879" spans="1:6" x14ac:dyDescent="0.2">
      <c r="A1879">
        <f>[1]!hospitalinfo[[#This Row],[Facility ID]]</f>
        <v>171371</v>
      </c>
      <c r="B1879" t="str">
        <f>[1]!hospitalinfo[[#This Row],[State]]</f>
        <v>KS</v>
      </c>
      <c r="C1879" t="str">
        <f>[1]!hospitalinfo[[#This Row],[Hospital Type]]</f>
        <v>Critical Access Hospitals</v>
      </c>
      <c r="D1879" t="str">
        <f>[1]!hospitalinfo[[#This Row],[Hospital Ownership]]</f>
        <v>Government - Local</v>
      </c>
      <c r="E1879" t="str" cm="1">
        <f t="array" ref="E1879">_xlfn.IFNA(_xlfn.XLOOKUP(1,([1]!hcahps[Facility ID] = clean[[#This Row],[Facility ID]]) * ([1]!hcahps[HCAHPS Measure ID] = "H_HSP_RATING_LINEAR_SCORE"), [1]!hcahps[HCAHPS Linear Mean Value]), "No Match")</f>
        <v>Not Available</v>
      </c>
      <c r="F1879" cm="1">
        <f t="array" ref="F1879">_xlfn.IFNA(_xlfn.XLOOKUP(1,([1]!readmissions[Facility ID] = clean[[#This Row],[Facility ID]]) * ([1]!readmissions[Measure ID] = "Hybrid_HWR"), [1]!readmissions[Score]), "No Match")</f>
        <v>15.7</v>
      </c>
    </row>
    <row r="1880" spans="1:6" x14ac:dyDescent="0.2">
      <c r="A1880">
        <f>[1]!hospitalinfo[[#This Row],[Facility ID]]</f>
        <v>171372</v>
      </c>
      <c r="B1880" t="str">
        <f>[1]!hospitalinfo[[#This Row],[State]]</f>
        <v>KS</v>
      </c>
      <c r="C1880" t="str">
        <f>[1]!hospitalinfo[[#This Row],[Hospital Type]]</f>
        <v>Critical Access Hospitals</v>
      </c>
      <c r="D1880" t="str">
        <f>[1]!hospitalinfo[[#This Row],[Hospital Ownership]]</f>
        <v>Voluntary non-profit - Private</v>
      </c>
      <c r="E1880" t="str" cm="1">
        <f t="array" ref="E1880">_xlfn.IFNA(_xlfn.XLOOKUP(1,([1]!hcahps[Facility ID] = clean[[#This Row],[Facility ID]]) * ([1]!hcahps[HCAHPS Measure ID] = "H_HSP_RATING_LINEAR_SCORE"), [1]!hcahps[HCAHPS Linear Mean Value]), "No Match")</f>
        <v>Not Available</v>
      </c>
      <c r="F1880" cm="1">
        <f t="array" ref="F1880">_xlfn.IFNA(_xlfn.XLOOKUP(1,([1]!readmissions[Facility ID] = clean[[#This Row],[Facility ID]]) * ([1]!readmissions[Measure ID] = "Hybrid_HWR"), [1]!readmissions[Score]), "No Match")</f>
        <v>15.5</v>
      </c>
    </row>
    <row r="1881" spans="1:6" x14ac:dyDescent="0.2">
      <c r="A1881">
        <f>[1]!hospitalinfo[[#This Row],[Facility ID]]</f>
        <v>171373</v>
      </c>
      <c r="B1881" t="str">
        <f>[1]!hospitalinfo[[#This Row],[State]]</f>
        <v>KS</v>
      </c>
      <c r="C1881" t="str">
        <f>[1]!hospitalinfo[[#This Row],[Hospital Type]]</f>
        <v>Critical Access Hospitals</v>
      </c>
      <c r="D1881" t="str">
        <f>[1]!hospitalinfo[[#This Row],[Hospital Ownership]]</f>
        <v>Government - Local</v>
      </c>
      <c r="E1881" t="str" cm="1">
        <f t="array" ref="E1881">_xlfn.IFNA(_xlfn.XLOOKUP(1,([1]!hcahps[Facility ID] = clean[[#This Row],[Facility ID]]) * ([1]!hcahps[HCAHPS Measure ID] = "H_HSP_RATING_LINEAR_SCORE"), [1]!hcahps[HCAHPS Linear Mean Value]), "No Match")</f>
        <v>Not Available</v>
      </c>
      <c r="F1881" cm="1">
        <f t="array" ref="F1881">_xlfn.IFNA(_xlfn.XLOOKUP(1,([1]!readmissions[Facility ID] = clean[[#This Row],[Facility ID]]) * ([1]!readmissions[Measure ID] = "Hybrid_HWR"), [1]!readmissions[Score]), "No Match")</f>
        <v>14.6</v>
      </c>
    </row>
    <row r="1882" spans="1:6" x14ac:dyDescent="0.2">
      <c r="A1882">
        <f>[1]!hospitalinfo[[#This Row],[Facility ID]]</f>
        <v>171374</v>
      </c>
      <c r="B1882" t="str">
        <f>[1]!hospitalinfo[[#This Row],[State]]</f>
        <v>KS</v>
      </c>
      <c r="C1882" t="str">
        <f>[1]!hospitalinfo[[#This Row],[Hospital Type]]</f>
        <v>Critical Access Hospitals</v>
      </c>
      <c r="D1882" t="str">
        <f>[1]!hospitalinfo[[#This Row],[Hospital Ownership]]</f>
        <v>Government - Local</v>
      </c>
      <c r="E1882" t="str" cm="1">
        <f t="array" ref="E1882">_xlfn.IFNA(_xlfn.XLOOKUP(1,([1]!hcahps[Facility ID] = clean[[#This Row],[Facility ID]]) * ([1]!hcahps[HCAHPS Measure ID] = "H_HSP_RATING_LINEAR_SCORE"), [1]!hcahps[HCAHPS Linear Mean Value]), "No Match")</f>
        <v>Not Available</v>
      </c>
      <c r="F1882" cm="1">
        <f t="array" ref="F1882">_xlfn.IFNA(_xlfn.XLOOKUP(1,([1]!readmissions[Facility ID] = clean[[#This Row],[Facility ID]]) * ([1]!readmissions[Measure ID] = "Hybrid_HWR"), [1]!readmissions[Score]), "No Match")</f>
        <v>14.7</v>
      </c>
    </row>
    <row r="1883" spans="1:6" x14ac:dyDescent="0.2">
      <c r="A1883">
        <f>[1]!hospitalinfo[[#This Row],[Facility ID]]</f>
        <v>171375</v>
      </c>
      <c r="B1883" t="str">
        <f>[1]!hospitalinfo[[#This Row],[State]]</f>
        <v>KS</v>
      </c>
      <c r="C1883" t="str">
        <f>[1]!hospitalinfo[[#This Row],[Hospital Type]]</f>
        <v>Critical Access Hospitals</v>
      </c>
      <c r="D1883" t="str">
        <f>[1]!hospitalinfo[[#This Row],[Hospital Ownership]]</f>
        <v>Government - Local</v>
      </c>
      <c r="E1883" cm="1">
        <f t="array" ref="E1883">_xlfn.IFNA(_xlfn.XLOOKUP(1,([1]!hcahps[Facility ID] = clean[[#This Row],[Facility ID]]) * ([1]!hcahps[HCAHPS Measure ID] = "H_HSP_RATING_LINEAR_SCORE"), [1]!hcahps[HCAHPS Linear Mean Value]), "No Match")</f>
        <v>96</v>
      </c>
      <c r="F1883" cm="1">
        <f t="array" ref="F1883">_xlfn.IFNA(_xlfn.XLOOKUP(1,([1]!readmissions[Facility ID] = clean[[#This Row],[Facility ID]]) * ([1]!readmissions[Measure ID] = "Hybrid_HWR"), [1]!readmissions[Score]), "No Match")</f>
        <v>15.3</v>
      </c>
    </row>
    <row r="1884" spans="1:6" x14ac:dyDescent="0.2">
      <c r="A1884">
        <f>[1]!hospitalinfo[[#This Row],[Facility ID]]</f>
        <v>171376</v>
      </c>
      <c r="B1884" t="str">
        <f>[1]!hospitalinfo[[#This Row],[State]]</f>
        <v>KS</v>
      </c>
      <c r="C1884" t="str">
        <f>[1]!hospitalinfo[[#This Row],[Hospital Type]]</f>
        <v>Critical Access Hospitals</v>
      </c>
      <c r="D1884" t="str">
        <f>[1]!hospitalinfo[[#This Row],[Hospital Ownership]]</f>
        <v>Government - Hospital District or Authority</v>
      </c>
      <c r="E1884" t="str" cm="1">
        <f t="array" ref="E1884">_xlfn.IFNA(_xlfn.XLOOKUP(1,([1]!hcahps[Facility ID] = clean[[#This Row],[Facility ID]]) * ([1]!hcahps[HCAHPS Measure ID] = "H_HSP_RATING_LINEAR_SCORE"), [1]!hcahps[HCAHPS Linear Mean Value]), "No Match")</f>
        <v>Not Available</v>
      </c>
      <c r="F1884" cm="1">
        <f t="array" ref="F1884">_xlfn.IFNA(_xlfn.XLOOKUP(1,([1]!readmissions[Facility ID] = clean[[#This Row],[Facility ID]]) * ([1]!readmissions[Measure ID] = "Hybrid_HWR"), [1]!readmissions[Score]), "No Match")</f>
        <v>14.5</v>
      </c>
    </row>
    <row r="1885" spans="1:6" x14ac:dyDescent="0.2">
      <c r="A1885">
        <f>[1]!hospitalinfo[[#This Row],[Facility ID]]</f>
        <v>171377</v>
      </c>
      <c r="B1885" t="str">
        <f>[1]!hospitalinfo[[#This Row],[State]]</f>
        <v>KS</v>
      </c>
      <c r="C1885" t="str">
        <f>[1]!hospitalinfo[[#This Row],[Hospital Type]]</f>
        <v>Critical Access Hospitals</v>
      </c>
      <c r="D1885" t="str">
        <f>[1]!hospitalinfo[[#This Row],[Hospital Ownership]]</f>
        <v>Government - Local</v>
      </c>
      <c r="E1885" cm="1">
        <f t="array" ref="E1885">_xlfn.IFNA(_xlfn.XLOOKUP(1,([1]!hcahps[Facility ID] = clean[[#This Row],[Facility ID]]) * ([1]!hcahps[HCAHPS Measure ID] = "H_HSP_RATING_LINEAR_SCORE"), [1]!hcahps[HCAHPS Linear Mean Value]), "No Match")</f>
        <v>95</v>
      </c>
      <c r="F1885" cm="1">
        <f t="array" ref="F1885">_xlfn.IFNA(_xlfn.XLOOKUP(1,([1]!readmissions[Facility ID] = clean[[#This Row],[Facility ID]]) * ([1]!readmissions[Measure ID] = "Hybrid_HWR"), [1]!readmissions[Score]), "No Match")</f>
        <v>16.5</v>
      </c>
    </row>
    <row r="1886" spans="1:6" x14ac:dyDescent="0.2">
      <c r="A1886">
        <f>[1]!hospitalinfo[[#This Row],[Facility ID]]</f>
        <v>171378</v>
      </c>
      <c r="B1886" t="str">
        <f>[1]!hospitalinfo[[#This Row],[State]]</f>
        <v>KS</v>
      </c>
      <c r="C1886" t="str">
        <f>[1]!hospitalinfo[[#This Row],[Hospital Type]]</f>
        <v>Critical Access Hospitals</v>
      </c>
      <c r="D1886" t="str">
        <f>[1]!hospitalinfo[[#This Row],[Hospital Ownership]]</f>
        <v>Voluntary non-profit - Private</v>
      </c>
      <c r="E1886" t="str" cm="1">
        <f t="array" ref="E1886">_xlfn.IFNA(_xlfn.XLOOKUP(1,([1]!hcahps[Facility ID] = clean[[#This Row],[Facility ID]]) * ([1]!hcahps[HCAHPS Measure ID] = "H_HSP_RATING_LINEAR_SCORE"), [1]!hcahps[HCAHPS Linear Mean Value]), "No Match")</f>
        <v>Not Available</v>
      </c>
      <c r="F1886" cm="1">
        <f t="array" ref="F1886">_xlfn.IFNA(_xlfn.XLOOKUP(1,([1]!readmissions[Facility ID] = clean[[#This Row],[Facility ID]]) * ([1]!readmissions[Measure ID] = "Hybrid_HWR"), [1]!readmissions[Score]), "No Match")</f>
        <v>14.7</v>
      </c>
    </row>
    <row r="1887" spans="1:6" x14ac:dyDescent="0.2">
      <c r="A1887">
        <f>[1]!hospitalinfo[[#This Row],[Facility ID]]</f>
        <v>171379</v>
      </c>
      <c r="B1887" t="str">
        <f>[1]!hospitalinfo[[#This Row],[State]]</f>
        <v>KS</v>
      </c>
      <c r="C1887" t="str">
        <f>[1]!hospitalinfo[[#This Row],[Hospital Type]]</f>
        <v>Critical Access Hospitals</v>
      </c>
      <c r="D1887" t="str">
        <f>[1]!hospitalinfo[[#This Row],[Hospital Ownership]]</f>
        <v>Government - Local</v>
      </c>
      <c r="E1887" t="str" cm="1">
        <f t="array" ref="E1887">_xlfn.IFNA(_xlfn.XLOOKUP(1,([1]!hcahps[Facility ID] = clean[[#This Row],[Facility ID]]) * ([1]!hcahps[HCAHPS Measure ID] = "H_HSP_RATING_LINEAR_SCORE"), [1]!hcahps[HCAHPS Linear Mean Value]), "No Match")</f>
        <v>Not Available</v>
      </c>
      <c r="F1887" cm="1">
        <f t="array" ref="F1887">_xlfn.IFNA(_xlfn.XLOOKUP(1,([1]!readmissions[Facility ID] = clean[[#This Row],[Facility ID]]) * ([1]!readmissions[Measure ID] = "Hybrid_HWR"), [1]!readmissions[Score]), "No Match")</f>
        <v>15</v>
      </c>
    </row>
    <row r="1888" spans="1:6" x14ac:dyDescent="0.2">
      <c r="A1888">
        <f>[1]!hospitalinfo[[#This Row],[Facility ID]]</f>
        <v>171380</v>
      </c>
      <c r="B1888" t="str">
        <f>[1]!hospitalinfo[[#This Row],[State]]</f>
        <v>KS</v>
      </c>
      <c r="C1888" t="str">
        <f>[1]!hospitalinfo[[#This Row],[Hospital Type]]</f>
        <v>Critical Access Hospitals</v>
      </c>
      <c r="D1888" t="str">
        <f>[1]!hospitalinfo[[#This Row],[Hospital Ownership]]</f>
        <v>Government - Local</v>
      </c>
      <c r="E1888" cm="1">
        <f t="array" ref="E1888">_xlfn.IFNA(_xlfn.XLOOKUP(1,([1]!hcahps[Facility ID] = clean[[#This Row],[Facility ID]]) * ([1]!hcahps[HCAHPS Measure ID] = "H_HSP_RATING_LINEAR_SCORE"), [1]!hcahps[HCAHPS Linear Mean Value]), "No Match")</f>
        <v>93</v>
      </c>
      <c r="F1888" cm="1">
        <f t="array" ref="F1888">_xlfn.IFNA(_xlfn.XLOOKUP(1,([1]!readmissions[Facility ID] = clean[[#This Row],[Facility ID]]) * ([1]!readmissions[Measure ID] = "Hybrid_HWR"), [1]!readmissions[Score]), "No Match")</f>
        <v>15.8</v>
      </c>
    </row>
    <row r="1889" spans="1:6" x14ac:dyDescent="0.2">
      <c r="A1889">
        <f>[1]!hospitalinfo[[#This Row],[Facility ID]]</f>
        <v>171381</v>
      </c>
      <c r="B1889" t="str">
        <f>[1]!hospitalinfo[[#This Row],[State]]</f>
        <v>KS</v>
      </c>
      <c r="C1889" t="str">
        <f>[1]!hospitalinfo[[#This Row],[Hospital Type]]</f>
        <v>Critical Access Hospitals</v>
      </c>
      <c r="D1889" t="str">
        <f>[1]!hospitalinfo[[#This Row],[Hospital Ownership]]</f>
        <v>Government - Hospital District or Authority</v>
      </c>
      <c r="E1889" t="str" cm="1">
        <f t="array" ref="E1889">_xlfn.IFNA(_xlfn.XLOOKUP(1,([1]!hcahps[Facility ID] = clean[[#This Row],[Facility ID]]) * ([1]!hcahps[HCAHPS Measure ID] = "H_HSP_RATING_LINEAR_SCORE"), [1]!hcahps[HCAHPS Linear Mean Value]), "No Match")</f>
        <v>Not Available</v>
      </c>
      <c r="F1889" cm="1">
        <f t="array" ref="F1889">_xlfn.IFNA(_xlfn.XLOOKUP(1,([1]!readmissions[Facility ID] = clean[[#This Row],[Facility ID]]) * ([1]!readmissions[Measure ID] = "Hybrid_HWR"), [1]!readmissions[Score]), "No Match")</f>
        <v>14.6</v>
      </c>
    </row>
    <row r="1890" spans="1:6" x14ac:dyDescent="0.2">
      <c r="A1890">
        <f>[1]!hospitalinfo[[#This Row],[Facility ID]]</f>
        <v>171382</v>
      </c>
      <c r="B1890" t="str">
        <f>[1]!hospitalinfo[[#This Row],[State]]</f>
        <v>KS</v>
      </c>
      <c r="C1890" t="str">
        <f>[1]!hospitalinfo[[#This Row],[Hospital Type]]</f>
        <v>Critical Access Hospitals</v>
      </c>
      <c r="D1890" t="str">
        <f>[1]!hospitalinfo[[#This Row],[Hospital Ownership]]</f>
        <v>Voluntary non-profit - Private</v>
      </c>
      <c r="E1890" cm="1">
        <f t="array" ref="E1890">_xlfn.IFNA(_xlfn.XLOOKUP(1,([1]!hcahps[Facility ID] = clean[[#This Row],[Facility ID]]) * ([1]!hcahps[HCAHPS Measure ID] = "H_HSP_RATING_LINEAR_SCORE"), [1]!hcahps[HCAHPS Linear Mean Value]), "No Match")</f>
        <v>89</v>
      </c>
      <c r="F1890" cm="1">
        <f t="array" ref="F1890">_xlfn.IFNA(_xlfn.XLOOKUP(1,([1]!readmissions[Facility ID] = clean[[#This Row],[Facility ID]]) * ([1]!readmissions[Measure ID] = "Hybrid_HWR"), [1]!readmissions[Score]), "No Match")</f>
        <v>14.4</v>
      </c>
    </row>
    <row r="1891" spans="1:6" x14ac:dyDescent="0.2">
      <c r="A1891">
        <f>[1]!hospitalinfo[[#This Row],[Facility ID]]</f>
        <v>171383</v>
      </c>
      <c r="B1891" t="str">
        <f>[1]!hospitalinfo[[#This Row],[State]]</f>
        <v>KS</v>
      </c>
      <c r="C1891" t="str">
        <f>[1]!hospitalinfo[[#This Row],[Hospital Type]]</f>
        <v>Critical Access Hospitals</v>
      </c>
      <c r="D1891" t="str">
        <f>[1]!hospitalinfo[[#This Row],[Hospital Ownership]]</f>
        <v>Government - Local</v>
      </c>
      <c r="E1891" t="str" cm="1">
        <f t="array" ref="E1891">_xlfn.IFNA(_xlfn.XLOOKUP(1,([1]!hcahps[Facility ID] = clean[[#This Row],[Facility ID]]) * ([1]!hcahps[HCAHPS Measure ID] = "H_HSP_RATING_LINEAR_SCORE"), [1]!hcahps[HCAHPS Linear Mean Value]), "No Match")</f>
        <v>Not Available</v>
      </c>
      <c r="F1891" cm="1">
        <f t="array" ref="F1891">_xlfn.IFNA(_xlfn.XLOOKUP(1,([1]!readmissions[Facility ID] = clean[[#This Row],[Facility ID]]) * ([1]!readmissions[Measure ID] = "Hybrid_HWR"), [1]!readmissions[Score]), "No Match")</f>
        <v>14.6</v>
      </c>
    </row>
    <row r="1892" spans="1:6" x14ac:dyDescent="0.2">
      <c r="A1892">
        <f>[1]!hospitalinfo[[#This Row],[Facility ID]]</f>
        <v>171384</v>
      </c>
      <c r="B1892" t="str">
        <f>[1]!hospitalinfo[[#This Row],[State]]</f>
        <v>KS</v>
      </c>
      <c r="C1892" t="str">
        <f>[1]!hospitalinfo[[#This Row],[Hospital Type]]</f>
        <v>Critical Access Hospitals</v>
      </c>
      <c r="D1892" t="str">
        <f>[1]!hospitalinfo[[#This Row],[Hospital Ownership]]</f>
        <v>Government - Local</v>
      </c>
      <c r="E1892" cm="1">
        <f t="array" ref="E1892">_xlfn.IFNA(_xlfn.XLOOKUP(1,([1]!hcahps[Facility ID] = clean[[#This Row],[Facility ID]]) * ([1]!hcahps[HCAHPS Measure ID] = "H_HSP_RATING_LINEAR_SCORE"), [1]!hcahps[HCAHPS Linear Mean Value]), "No Match")</f>
        <v>89</v>
      </c>
      <c r="F1892" cm="1">
        <f t="array" ref="F1892">_xlfn.IFNA(_xlfn.XLOOKUP(1,([1]!readmissions[Facility ID] = clean[[#This Row],[Facility ID]]) * ([1]!readmissions[Measure ID] = "Hybrid_HWR"), [1]!readmissions[Score]), "No Match")</f>
        <v>13.9</v>
      </c>
    </row>
    <row r="1893" spans="1:6" x14ac:dyDescent="0.2">
      <c r="A1893">
        <f>[1]!hospitalinfo[[#This Row],[Facility ID]]</f>
        <v>171385</v>
      </c>
      <c r="B1893" t="str">
        <f>[1]!hospitalinfo[[#This Row],[State]]</f>
        <v>KS</v>
      </c>
      <c r="C1893" t="str">
        <f>[1]!hospitalinfo[[#This Row],[Hospital Type]]</f>
        <v>Critical Access Hospitals</v>
      </c>
      <c r="D1893" t="str">
        <f>[1]!hospitalinfo[[#This Row],[Hospital Ownership]]</f>
        <v>Government - Local</v>
      </c>
      <c r="E1893" t="str" cm="1">
        <f t="array" ref="E1893">_xlfn.IFNA(_xlfn.XLOOKUP(1,([1]!hcahps[Facility ID] = clean[[#This Row],[Facility ID]]) * ([1]!hcahps[HCAHPS Measure ID] = "H_HSP_RATING_LINEAR_SCORE"), [1]!hcahps[HCAHPS Linear Mean Value]), "No Match")</f>
        <v>Not Available</v>
      </c>
      <c r="F1893" cm="1">
        <f t="array" ref="F1893">_xlfn.IFNA(_xlfn.XLOOKUP(1,([1]!readmissions[Facility ID] = clean[[#This Row],[Facility ID]]) * ([1]!readmissions[Measure ID] = "Hybrid_HWR"), [1]!readmissions[Score]), "No Match")</f>
        <v>14.7</v>
      </c>
    </row>
    <row r="1894" spans="1:6" x14ac:dyDescent="0.2">
      <c r="A1894">
        <f>[1]!hospitalinfo[[#This Row],[Facility ID]]</f>
        <v>171386</v>
      </c>
      <c r="B1894" t="str">
        <f>[1]!hospitalinfo[[#This Row],[State]]</f>
        <v>KS</v>
      </c>
      <c r="C1894" t="str">
        <f>[1]!hospitalinfo[[#This Row],[Hospital Type]]</f>
        <v>Critical Access Hospitals</v>
      </c>
      <c r="D1894" t="str">
        <f>[1]!hospitalinfo[[#This Row],[Hospital Ownership]]</f>
        <v>Government - Local</v>
      </c>
      <c r="E1894" t="str" cm="1">
        <f t="array" ref="E1894">_xlfn.IFNA(_xlfn.XLOOKUP(1,([1]!hcahps[Facility ID] = clean[[#This Row],[Facility ID]]) * ([1]!hcahps[HCAHPS Measure ID] = "H_HSP_RATING_LINEAR_SCORE"), [1]!hcahps[HCAHPS Linear Mean Value]), "No Match")</f>
        <v>Not Available</v>
      </c>
      <c r="F1894" t="str" cm="1">
        <f t="array" ref="F1894">_xlfn.IFNA(_xlfn.XLOOKUP(1,([1]!readmissions[Facility ID] = clean[[#This Row],[Facility ID]]) * ([1]!readmissions[Measure ID] = "Hybrid_HWR"), [1]!readmissions[Score]), "No Match")</f>
        <v>Not Available</v>
      </c>
    </row>
    <row r="1895" spans="1:6" x14ac:dyDescent="0.2">
      <c r="A1895">
        <f>[1]!hospitalinfo[[#This Row],[Facility ID]]</f>
        <v>171388</v>
      </c>
      <c r="B1895" t="str">
        <f>[1]!hospitalinfo[[#This Row],[State]]</f>
        <v>KS</v>
      </c>
      <c r="C1895" t="str">
        <f>[1]!hospitalinfo[[#This Row],[Hospital Type]]</f>
        <v>Critical Access Hospitals</v>
      </c>
      <c r="D1895" t="str">
        <f>[1]!hospitalinfo[[#This Row],[Hospital Ownership]]</f>
        <v>Voluntary non-profit - Church</v>
      </c>
      <c r="E1895" t="str" cm="1">
        <f t="array" ref="E1895">_xlfn.IFNA(_xlfn.XLOOKUP(1,([1]!hcahps[Facility ID] = clean[[#This Row],[Facility ID]]) * ([1]!hcahps[HCAHPS Measure ID] = "H_HSP_RATING_LINEAR_SCORE"), [1]!hcahps[HCAHPS Linear Mean Value]), "No Match")</f>
        <v>Not Available</v>
      </c>
      <c r="F1895" cm="1">
        <f t="array" ref="F1895">_xlfn.IFNA(_xlfn.XLOOKUP(1,([1]!readmissions[Facility ID] = clean[[#This Row],[Facility ID]]) * ([1]!readmissions[Measure ID] = "Hybrid_HWR"), [1]!readmissions[Score]), "No Match")</f>
        <v>14.5</v>
      </c>
    </row>
    <row r="1896" spans="1:6" x14ac:dyDescent="0.2">
      <c r="A1896">
        <f>[1]!hospitalinfo[[#This Row],[Facility ID]]</f>
        <v>173300</v>
      </c>
      <c r="B1896" t="str">
        <f>[1]!hospitalinfo[[#This Row],[State]]</f>
        <v>KS</v>
      </c>
      <c r="C1896" t="str">
        <f>[1]!hospitalinfo[[#This Row],[Hospital Type]]</f>
        <v>Childrens</v>
      </c>
      <c r="D1896" t="str">
        <f>[1]!hospitalinfo[[#This Row],[Hospital Ownership]]</f>
        <v>Voluntary non-profit - Private</v>
      </c>
      <c r="E1896" t="str" cm="1">
        <f t="array" ref="E1896">_xlfn.IFNA(_xlfn.XLOOKUP(1,([1]!hcahps[Facility ID] = clean[[#This Row],[Facility ID]]) * ([1]!hcahps[HCAHPS Measure ID] = "H_HSP_RATING_LINEAR_SCORE"), [1]!hcahps[HCAHPS Linear Mean Value]), "No Match")</f>
        <v>Not Available</v>
      </c>
      <c r="F1896" t="str" cm="1">
        <f t="array" ref="F1896">_xlfn.IFNA(_xlfn.XLOOKUP(1,([1]!readmissions[Facility ID] = clean[[#This Row],[Facility ID]]) * ([1]!readmissions[Measure ID] = "Hybrid_HWR"), [1]!readmissions[Score]), "No Match")</f>
        <v>Not Available</v>
      </c>
    </row>
    <row r="1897" spans="1:6" x14ac:dyDescent="0.2">
      <c r="A1897">
        <f>[1]!hospitalinfo[[#This Row],[Facility ID]]</f>
        <v>174006</v>
      </c>
      <c r="B1897" t="str">
        <f>[1]!hospitalinfo[[#This Row],[State]]</f>
        <v>KS</v>
      </c>
      <c r="C1897" t="str">
        <f>[1]!hospitalinfo[[#This Row],[Hospital Type]]</f>
        <v>Psychiatric</v>
      </c>
      <c r="D1897" t="str">
        <f>[1]!hospitalinfo[[#This Row],[Hospital Ownership]]</f>
        <v>Government - State</v>
      </c>
      <c r="E1897" t="str" cm="1">
        <f t="array" ref="E1897">_xlfn.IFNA(_xlfn.XLOOKUP(1,([1]!hcahps[Facility ID] = clean[[#This Row],[Facility ID]]) * ([1]!hcahps[HCAHPS Measure ID] = "H_HSP_RATING_LINEAR_SCORE"), [1]!hcahps[HCAHPS Linear Mean Value]), "No Match")</f>
        <v>No Match</v>
      </c>
      <c r="F1897" t="str" cm="1">
        <f t="array" ref="F1897">_xlfn.IFNA(_xlfn.XLOOKUP(1,([1]!readmissions[Facility ID] = clean[[#This Row],[Facility ID]]) * ([1]!readmissions[Measure ID] = "Hybrid_HWR"), [1]!readmissions[Score]), "No Match")</f>
        <v>No Match</v>
      </c>
    </row>
    <row r="1898" spans="1:6" x14ac:dyDescent="0.2">
      <c r="A1898">
        <f>[1]!hospitalinfo[[#This Row],[Facility ID]]</f>
        <v>174020</v>
      </c>
      <c r="B1898" t="str">
        <f>[1]!hospitalinfo[[#This Row],[State]]</f>
        <v>KS</v>
      </c>
      <c r="C1898" t="str">
        <f>[1]!hospitalinfo[[#This Row],[Hospital Type]]</f>
        <v>Psychiatric</v>
      </c>
      <c r="D1898" t="str">
        <f>[1]!hospitalinfo[[#This Row],[Hospital Ownership]]</f>
        <v>Proprietary</v>
      </c>
      <c r="E1898" t="str" cm="1">
        <f t="array" ref="E1898">_xlfn.IFNA(_xlfn.XLOOKUP(1,([1]!hcahps[Facility ID] = clean[[#This Row],[Facility ID]]) * ([1]!hcahps[HCAHPS Measure ID] = "H_HSP_RATING_LINEAR_SCORE"), [1]!hcahps[HCAHPS Linear Mean Value]), "No Match")</f>
        <v>No Match</v>
      </c>
      <c r="F1898" t="str" cm="1">
        <f t="array" ref="F1898">_xlfn.IFNA(_xlfn.XLOOKUP(1,([1]!readmissions[Facility ID] = clean[[#This Row],[Facility ID]]) * ([1]!readmissions[Measure ID] = "Hybrid_HWR"), [1]!readmissions[Score]), "No Match")</f>
        <v>No Match</v>
      </c>
    </row>
    <row r="1899" spans="1:6" x14ac:dyDescent="0.2">
      <c r="A1899">
        <f>[1]!hospitalinfo[[#This Row],[Facility ID]]</f>
        <v>174022</v>
      </c>
      <c r="B1899" t="str">
        <f>[1]!hospitalinfo[[#This Row],[State]]</f>
        <v>KS</v>
      </c>
      <c r="C1899" t="str">
        <f>[1]!hospitalinfo[[#This Row],[Hospital Type]]</f>
        <v>Psychiatric</v>
      </c>
      <c r="D1899" t="str">
        <f>[1]!hospitalinfo[[#This Row],[Hospital Ownership]]</f>
        <v>Government - State</v>
      </c>
      <c r="E1899" t="str" cm="1">
        <f t="array" ref="E1899">_xlfn.IFNA(_xlfn.XLOOKUP(1,([1]!hcahps[Facility ID] = clean[[#This Row],[Facility ID]]) * ([1]!hcahps[HCAHPS Measure ID] = "H_HSP_RATING_LINEAR_SCORE"), [1]!hcahps[HCAHPS Linear Mean Value]), "No Match")</f>
        <v>No Match</v>
      </c>
      <c r="F1899" t="str" cm="1">
        <f t="array" ref="F1899">_xlfn.IFNA(_xlfn.XLOOKUP(1,([1]!readmissions[Facility ID] = clean[[#This Row],[Facility ID]]) * ([1]!readmissions[Measure ID] = "Hybrid_HWR"), [1]!readmissions[Score]), "No Match")</f>
        <v>No Match</v>
      </c>
    </row>
    <row r="1900" spans="1:6" x14ac:dyDescent="0.2">
      <c r="A1900">
        <f>[1]!hospitalinfo[[#This Row],[Facility ID]]</f>
        <v>174026</v>
      </c>
      <c r="B1900" t="str">
        <f>[1]!hospitalinfo[[#This Row],[State]]</f>
        <v>KS</v>
      </c>
      <c r="C1900" t="str">
        <f>[1]!hospitalinfo[[#This Row],[Hospital Type]]</f>
        <v>Psychiatric</v>
      </c>
      <c r="D1900" t="str">
        <f>[1]!hospitalinfo[[#This Row],[Hospital Ownership]]</f>
        <v>Proprietary</v>
      </c>
      <c r="E1900" t="str" cm="1">
        <f t="array" ref="E1900">_xlfn.IFNA(_xlfn.XLOOKUP(1,([1]!hcahps[Facility ID] = clean[[#This Row],[Facility ID]]) * ([1]!hcahps[HCAHPS Measure ID] = "H_HSP_RATING_LINEAR_SCORE"), [1]!hcahps[HCAHPS Linear Mean Value]), "No Match")</f>
        <v>No Match</v>
      </c>
      <c r="F1900" t="str" cm="1">
        <f t="array" ref="F1900">_xlfn.IFNA(_xlfn.XLOOKUP(1,([1]!readmissions[Facility ID] = clean[[#This Row],[Facility ID]]) * ([1]!readmissions[Measure ID] = "Hybrid_HWR"), [1]!readmissions[Score]), "No Match")</f>
        <v>No Match</v>
      </c>
    </row>
    <row r="1901" spans="1:6" x14ac:dyDescent="0.2">
      <c r="A1901">
        <f>[1]!hospitalinfo[[#This Row],[Facility ID]]</f>
        <v>174027</v>
      </c>
      <c r="B1901" t="str">
        <f>[1]!hospitalinfo[[#This Row],[State]]</f>
        <v>KS</v>
      </c>
      <c r="C1901" t="str">
        <f>[1]!hospitalinfo[[#This Row],[Hospital Type]]</f>
        <v>Psychiatric</v>
      </c>
      <c r="D1901" t="str">
        <f>[1]!hospitalinfo[[#This Row],[Hospital Ownership]]</f>
        <v>Voluntary non-profit - Church</v>
      </c>
      <c r="E1901" t="str" cm="1">
        <f t="array" ref="E1901">_xlfn.IFNA(_xlfn.XLOOKUP(1,([1]!hcahps[Facility ID] = clean[[#This Row],[Facility ID]]) * ([1]!hcahps[HCAHPS Measure ID] = "H_HSP_RATING_LINEAR_SCORE"), [1]!hcahps[HCAHPS Linear Mean Value]), "No Match")</f>
        <v>No Match</v>
      </c>
      <c r="F1901" t="str" cm="1">
        <f t="array" ref="F1901">_xlfn.IFNA(_xlfn.XLOOKUP(1,([1]!readmissions[Facility ID] = clean[[#This Row],[Facility ID]]) * ([1]!readmissions[Measure ID] = "Hybrid_HWR"), [1]!readmissions[Score]), "No Match")</f>
        <v>No Match</v>
      </c>
    </row>
    <row r="1902" spans="1:6" x14ac:dyDescent="0.2">
      <c r="A1902" t="str">
        <f>[1]!hospitalinfo[[#This Row],[Facility ID]]</f>
        <v>17002F</v>
      </c>
      <c r="B1902" t="str">
        <f>[1]!hospitalinfo[[#This Row],[State]]</f>
        <v>KS</v>
      </c>
      <c r="C1902" t="str">
        <f>[1]!hospitalinfo[[#This Row],[Hospital Type]]</f>
        <v>Acute Care - Department of Defense</v>
      </c>
      <c r="D1902" t="str">
        <f>[1]!hospitalinfo[[#This Row],[Hospital Ownership]]</f>
        <v>Department of Defense</v>
      </c>
      <c r="E1902" cm="1">
        <f t="array" ref="E1902">_xlfn.IFNA(_xlfn.XLOOKUP(1,([1]!hcahps[Facility ID] = clean[[#This Row],[Facility ID]]) * ([1]!hcahps[HCAHPS Measure ID] = "H_HSP_RATING_LINEAR_SCORE"), [1]!hcahps[HCAHPS Linear Mean Value]), "No Match")</f>
        <v>89</v>
      </c>
      <c r="F1902" t="str" cm="1">
        <f t="array" ref="F1902">_xlfn.IFNA(_xlfn.XLOOKUP(1,([1]!readmissions[Facility ID] = clean[[#This Row],[Facility ID]]) * ([1]!readmissions[Measure ID] = "Hybrid_HWR"), [1]!readmissions[Score]), "No Match")</f>
        <v>Not Available</v>
      </c>
    </row>
    <row r="1903" spans="1:6" x14ac:dyDescent="0.2">
      <c r="A1903" t="str">
        <f>[1]!hospitalinfo[[#This Row],[Facility ID]]</f>
        <v>17005F</v>
      </c>
      <c r="B1903" t="str">
        <f>[1]!hospitalinfo[[#This Row],[State]]</f>
        <v>KS</v>
      </c>
      <c r="C1903" t="str">
        <f>[1]!hospitalinfo[[#This Row],[Hospital Type]]</f>
        <v>Acute Care - Veterans Administration</v>
      </c>
      <c r="D1903" t="str">
        <f>[1]!hospitalinfo[[#This Row],[Hospital Ownership]]</f>
        <v>Veterans Health Administration</v>
      </c>
      <c r="E1903" cm="1">
        <f t="array" ref="E1903">_xlfn.IFNA(_xlfn.XLOOKUP(1,([1]!hcahps[Facility ID] = clean[[#This Row],[Facility ID]]) * ([1]!hcahps[HCAHPS Measure ID] = "H_HSP_RATING_LINEAR_SCORE"), [1]!hcahps[HCAHPS Linear Mean Value]), "No Match")</f>
        <v>92</v>
      </c>
      <c r="F1903" cm="1">
        <f t="array" ref="F1903">_xlfn.IFNA(_xlfn.XLOOKUP(1,([1]!readmissions[Facility ID] = clean[[#This Row],[Facility ID]]) * ([1]!readmissions[Measure ID] = "Hybrid_HWR"), [1]!readmissions[Score]), "No Match")</f>
        <v>14.5</v>
      </c>
    </row>
    <row r="1904" spans="1:6" x14ac:dyDescent="0.2">
      <c r="A1904" t="str">
        <f>[1]!hospitalinfo[[#This Row],[Facility ID]]</f>
        <v>17008F</v>
      </c>
      <c r="B1904" t="str">
        <f>[1]!hospitalinfo[[#This Row],[State]]</f>
        <v>KS</v>
      </c>
      <c r="C1904" t="str">
        <f>[1]!hospitalinfo[[#This Row],[Hospital Type]]</f>
        <v>Acute Care - Veterans Administration</v>
      </c>
      <c r="D1904" t="str">
        <f>[1]!hospitalinfo[[#This Row],[Hospital Ownership]]</f>
        <v>Veterans Health Administration</v>
      </c>
      <c r="E1904" cm="1">
        <f t="array" ref="E1904">_xlfn.IFNA(_xlfn.XLOOKUP(1,([1]!hcahps[Facility ID] = clean[[#This Row],[Facility ID]]) * ([1]!hcahps[HCAHPS Measure ID] = "H_HSP_RATING_LINEAR_SCORE"), [1]!hcahps[HCAHPS Linear Mean Value]), "No Match")</f>
        <v>93</v>
      </c>
      <c r="F1904" cm="1">
        <f t="array" ref="F1904">_xlfn.IFNA(_xlfn.XLOOKUP(1,([1]!readmissions[Facility ID] = clean[[#This Row],[Facility ID]]) * ([1]!readmissions[Measure ID] = "Hybrid_HWR"), [1]!readmissions[Score]), "No Match")</f>
        <v>14</v>
      </c>
    </row>
    <row r="1905" spans="1:6" x14ac:dyDescent="0.2">
      <c r="A1905">
        <f>[1]!hospitalinfo[[#This Row],[Facility ID]]</f>
        <v>180001</v>
      </c>
      <c r="B1905" t="str">
        <f>[1]!hospitalinfo[[#This Row],[State]]</f>
        <v>KY</v>
      </c>
      <c r="C1905" t="str">
        <f>[1]!hospitalinfo[[#This Row],[Hospital Type]]</f>
        <v>Acute Care Hospitals</v>
      </c>
      <c r="D1905" t="str">
        <f>[1]!hospitalinfo[[#This Row],[Hospital Ownership]]</f>
        <v>Voluntary non-profit - Private</v>
      </c>
      <c r="E1905" cm="1">
        <f t="array" ref="E1905">_xlfn.IFNA(_xlfn.XLOOKUP(1,([1]!hcahps[Facility ID] = clean[[#This Row],[Facility ID]]) * ([1]!hcahps[HCAHPS Measure ID] = "H_HSP_RATING_LINEAR_SCORE"), [1]!hcahps[HCAHPS Linear Mean Value]), "No Match")</f>
        <v>89</v>
      </c>
      <c r="F1905" cm="1">
        <f t="array" ref="F1905">_xlfn.IFNA(_xlfn.XLOOKUP(1,([1]!readmissions[Facility ID] = clean[[#This Row],[Facility ID]]) * ([1]!readmissions[Measure ID] = "Hybrid_HWR"), [1]!readmissions[Score]), "No Match")</f>
        <v>15.9</v>
      </c>
    </row>
    <row r="1906" spans="1:6" x14ac:dyDescent="0.2">
      <c r="A1906">
        <f>[1]!hospitalinfo[[#This Row],[Facility ID]]</f>
        <v>180002</v>
      </c>
      <c r="B1906" t="str">
        <f>[1]!hospitalinfo[[#This Row],[State]]</f>
        <v>KY</v>
      </c>
      <c r="C1906" t="str">
        <f>[1]!hospitalinfo[[#This Row],[Hospital Type]]</f>
        <v>Acute Care Hospitals</v>
      </c>
      <c r="D1906" t="str">
        <f>[1]!hospitalinfo[[#This Row],[Hospital Ownership]]</f>
        <v>Voluntary non-profit - Other</v>
      </c>
      <c r="E1906" cm="1">
        <f t="array" ref="E1906">_xlfn.IFNA(_xlfn.XLOOKUP(1,([1]!hcahps[Facility ID] = clean[[#This Row],[Facility ID]]) * ([1]!hcahps[HCAHPS Measure ID] = "H_HSP_RATING_LINEAR_SCORE"), [1]!hcahps[HCAHPS Linear Mean Value]), "No Match")</f>
        <v>87</v>
      </c>
      <c r="F1906" cm="1">
        <f t="array" ref="F1906">_xlfn.IFNA(_xlfn.XLOOKUP(1,([1]!readmissions[Facility ID] = clean[[#This Row],[Facility ID]]) * ([1]!readmissions[Measure ID] = "Hybrid_HWR"), [1]!readmissions[Score]), "No Match")</f>
        <v>14.9</v>
      </c>
    </row>
    <row r="1907" spans="1:6" x14ac:dyDescent="0.2">
      <c r="A1907">
        <f>[1]!hospitalinfo[[#This Row],[Facility ID]]</f>
        <v>180004</v>
      </c>
      <c r="B1907" t="str">
        <f>[1]!hospitalinfo[[#This Row],[State]]</f>
        <v>KY</v>
      </c>
      <c r="C1907" t="str">
        <f>[1]!hospitalinfo[[#This Row],[Hospital Type]]</f>
        <v>Acute Care Hospitals</v>
      </c>
      <c r="D1907" t="str">
        <f>[1]!hospitalinfo[[#This Row],[Hospital Ownership]]</f>
        <v>Voluntary non-profit - Private</v>
      </c>
      <c r="E1907" cm="1">
        <f t="array" ref="E1907">_xlfn.IFNA(_xlfn.XLOOKUP(1,([1]!hcahps[Facility ID] = clean[[#This Row],[Facility ID]]) * ([1]!hcahps[HCAHPS Measure ID] = "H_HSP_RATING_LINEAR_SCORE"), [1]!hcahps[HCAHPS Linear Mean Value]), "No Match")</f>
        <v>91</v>
      </c>
      <c r="F1907" cm="1">
        <f t="array" ref="F1907">_xlfn.IFNA(_xlfn.XLOOKUP(1,([1]!readmissions[Facility ID] = clean[[#This Row],[Facility ID]]) * ([1]!readmissions[Measure ID] = "Hybrid_HWR"), [1]!readmissions[Score]), "No Match")</f>
        <v>14.7</v>
      </c>
    </row>
    <row r="1908" spans="1:6" x14ac:dyDescent="0.2">
      <c r="A1908">
        <f>[1]!hospitalinfo[[#This Row],[Facility ID]]</f>
        <v>180005</v>
      </c>
      <c r="B1908" t="str">
        <f>[1]!hospitalinfo[[#This Row],[State]]</f>
        <v>KY</v>
      </c>
      <c r="C1908" t="str">
        <f>[1]!hospitalinfo[[#This Row],[Hospital Type]]</f>
        <v>Acute Care Hospitals</v>
      </c>
      <c r="D1908" t="str">
        <f>[1]!hospitalinfo[[#This Row],[Hospital Ownership]]</f>
        <v>Proprietary</v>
      </c>
      <c r="E1908" cm="1">
        <f t="array" ref="E1908">_xlfn.IFNA(_xlfn.XLOOKUP(1,([1]!hcahps[Facility ID] = clean[[#This Row],[Facility ID]]) * ([1]!hcahps[HCAHPS Measure ID] = "H_HSP_RATING_LINEAR_SCORE"), [1]!hcahps[HCAHPS Linear Mean Value]), "No Match")</f>
        <v>86</v>
      </c>
      <c r="F1908" cm="1">
        <f t="array" ref="F1908">_xlfn.IFNA(_xlfn.XLOOKUP(1,([1]!readmissions[Facility ID] = clean[[#This Row],[Facility ID]]) * ([1]!readmissions[Measure ID] = "Hybrid_HWR"), [1]!readmissions[Score]), "No Match")</f>
        <v>15.1</v>
      </c>
    </row>
    <row r="1909" spans="1:6" x14ac:dyDescent="0.2">
      <c r="A1909">
        <f>[1]!hospitalinfo[[#This Row],[Facility ID]]</f>
        <v>180009</v>
      </c>
      <c r="B1909" t="str">
        <f>[1]!hospitalinfo[[#This Row],[State]]</f>
        <v>KY</v>
      </c>
      <c r="C1909" t="str">
        <f>[1]!hospitalinfo[[#This Row],[Hospital Type]]</f>
        <v>Acute Care Hospitals</v>
      </c>
      <c r="D1909" t="str">
        <f>[1]!hospitalinfo[[#This Row],[Hospital Ownership]]</f>
        <v>Voluntary non-profit - Private</v>
      </c>
      <c r="E1909" cm="1">
        <f t="array" ref="E1909">_xlfn.IFNA(_xlfn.XLOOKUP(1,([1]!hcahps[Facility ID] = clean[[#This Row],[Facility ID]]) * ([1]!hcahps[HCAHPS Measure ID] = "H_HSP_RATING_LINEAR_SCORE"), [1]!hcahps[HCAHPS Linear Mean Value]), "No Match")</f>
        <v>88</v>
      </c>
      <c r="F1909" cm="1">
        <f t="array" ref="F1909">_xlfn.IFNA(_xlfn.XLOOKUP(1,([1]!readmissions[Facility ID] = clean[[#This Row],[Facility ID]]) * ([1]!readmissions[Measure ID] = "Hybrid_HWR"), [1]!readmissions[Score]), "No Match")</f>
        <v>15.2</v>
      </c>
    </row>
    <row r="1910" spans="1:6" x14ac:dyDescent="0.2">
      <c r="A1910">
        <f>[1]!hospitalinfo[[#This Row],[Facility ID]]</f>
        <v>180010</v>
      </c>
      <c r="B1910" t="str">
        <f>[1]!hospitalinfo[[#This Row],[State]]</f>
        <v>KY</v>
      </c>
      <c r="C1910" t="str">
        <f>[1]!hospitalinfo[[#This Row],[Hospital Type]]</f>
        <v>Acute Care Hospitals</v>
      </c>
      <c r="D1910" t="str">
        <f>[1]!hospitalinfo[[#This Row],[Hospital Ownership]]</f>
        <v>Voluntary non-profit - Church</v>
      </c>
      <c r="E1910" cm="1">
        <f t="array" ref="E1910">_xlfn.IFNA(_xlfn.XLOOKUP(1,([1]!hcahps[Facility ID] = clean[[#This Row],[Facility ID]]) * ([1]!hcahps[HCAHPS Measure ID] = "H_HSP_RATING_LINEAR_SCORE"), [1]!hcahps[HCAHPS Linear Mean Value]), "No Match")</f>
        <v>85</v>
      </c>
      <c r="F1910" cm="1">
        <f t="array" ref="F1910">_xlfn.IFNA(_xlfn.XLOOKUP(1,([1]!readmissions[Facility ID] = clean[[#This Row],[Facility ID]]) * ([1]!readmissions[Measure ID] = "Hybrid_HWR"), [1]!readmissions[Score]), "No Match")</f>
        <v>15.2</v>
      </c>
    </row>
    <row r="1911" spans="1:6" x14ac:dyDescent="0.2">
      <c r="A1911">
        <f>[1]!hospitalinfo[[#This Row],[Facility ID]]</f>
        <v>180011</v>
      </c>
      <c r="B1911" t="str">
        <f>[1]!hospitalinfo[[#This Row],[State]]</f>
        <v>KY</v>
      </c>
      <c r="C1911" t="str">
        <f>[1]!hospitalinfo[[#This Row],[Hospital Type]]</f>
        <v>Acute Care Hospitals</v>
      </c>
      <c r="D1911" t="str">
        <f>[1]!hospitalinfo[[#This Row],[Hospital Ownership]]</f>
        <v>Voluntary non-profit - Private</v>
      </c>
      <c r="E1911" cm="1">
        <f t="array" ref="E1911">_xlfn.IFNA(_xlfn.XLOOKUP(1,([1]!hcahps[Facility ID] = clean[[#This Row],[Facility ID]]) * ([1]!hcahps[HCAHPS Measure ID] = "H_HSP_RATING_LINEAR_SCORE"), [1]!hcahps[HCAHPS Linear Mean Value]), "No Match")</f>
        <v>90</v>
      </c>
      <c r="F1911" cm="1">
        <f t="array" ref="F1911">_xlfn.IFNA(_xlfn.XLOOKUP(1,([1]!readmissions[Facility ID] = clean[[#This Row],[Facility ID]]) * ([1]!readmissions[Measure ID] = "Hybrid_HWR"), [1]!readmissions[Score]), "No Match")</f>
        <v>14.4</v>
      </c>
    </row>
    <row r="1912" spans="1:6" x14ac:dyDescent="0.2">
      <c r="A1912">
        <f>[1]!hospitalinfo[[#This Row],[Facility ID]]</f>
        <v>180012</v>
      </c>
      <c r="B1912" t="str">
        <f>[1]!hospitalinfo[[#This Row],[State]]</f>
        <v>KY</v>
      </c>
      <c r="C1912" t="str">
        <f>[1]!hospitalinfo[[#This Row],[Hospital Type]]</f>
        <v>Acute Care Hospitals</v>
      </c>
      <c r="D1912" t="str">
        <f>[1]!hospitalinfo[[#This Row],[Hospital Ownership]]</f>
        <v>Government - Local</v>
      </c>
      <c r="E1912" cm="1">
        <f t="array" ref="E1912">_xlfn.IFNA(_xlfn.XLOOKUP(1,([1]!hcahps[Facility ID] = clean[[#This Row],[Facility ID]]) * ([1]!hcahps[HCAHPS Measure ID] = "H_HSP_RATING_LINEAR_SCORE"), [1]!hcahps[HCAHPS Linear Mean Value]), "No Match")</f>
        <v>89</v>
      </c>
      <c r="F1912" cm="1">
        <f t="array" ref="F1912">_xlfn.IFNA(_xlfn.XLOOKUP(1,([1]!readmissions[Facility ID] = clean[[#This Row],[Facility ID]]) * ([1]!readmissions[Measure ID] = "Hybrid_HWR"), [1]!readmissions[Score]), "No Match")</f>
        <v>15.3</v>
      </c>
    </row>
    <row r="1913" spans="1:6" x14ac:dyDescent="0.2">
      <c r="A1913">
        <f>[1]!hospitalinfo[[#This Row],[Facility ID]]</f>
        <v>180013</v>
      </c>
      <c r="B1913" t="str">
        <f>[1]!hospitalinfo[[#This Row],[State]]</f>
        <v>KY</v>
      </c>
      <c r="C1913" t="str">
        <f>[1]!hospitalinfo[[#This Row],[Hospital Type]]</f>
        <v>Acute Care Hospitals</v>
      </c>
      <c r="D1913" t="str">
        <f>[1]!hospitalinfo[[#This Row],[Hospital Ownership]]</f>
        <v>Voluntary non-profit - Private</v>
      </c>
      <c r="E1913" cm="1">
        <f t="array" ref="E1913">_xlfn.IFNA(_xlfn.XLOOKUP(1,([1]!hcahps[Facility ID] = clean[[#This Row],[Facility ID]]) * ([1]!hcahps[HCAHPS Measure ID] = "H_HSP_RATING_LINEAR_SCORE"), [1]!hcahps[HCAHPS Linear Mean Value]), "No Match")</f>
        <v>86</v>
      </c>
      <c r="F1913" cm="1">
        <f t="array" ref="F1913">_xlfn.IFNA(_xlfn.XLOOKUP(1,([1]!readmissions[Facility ID] = clean[[#This Row],[Facility ID]]) * ([1]!readmissions[Measure ID] = "Hybrid_HWR"), [1]!readmissions[Score]), "No Match")</f>
        <v>15.3</v>
      </c>
    </row>
    <row r="1914" spans="1:6" x14ac:dyDescent="0.2">
      <c r="A1914">
        <f>[1]!hospitalinfo[[#This Row],[Facility ID]]</f>
        <v>180016</v>
      </c>
      <c r="B1914" t="str">
        <f>[1]!hospitalinfo[[#This Row],[State]]</f>
        <v>KY</v>
      </c>
      <c r="C1914" t="str">
        <f>[1]!hospitalinfo[[#This Row],[Hospital Type]]</f>
        <v>Acute Care Hospitals</v>
      </c>
      <c r="D1914" t="str">
        <f>[1]!hospitalinfo[[#This Row],[Hospital Ownership]]</f>
        <v>Voluntary non-profit - Private</v>
      </c>
      <c r="E1914" cm="1">
        <f t="array" ref="E1914">_xlfn.IFNA(_xlfn.XLOOKUP(1,([1]!hcahps[Facility ID] = clean[[#This Row],[Facility ID]]) * ([1]!hcahps[HCAHPS Measure ID] = "H_HSP_RATING_LINEAR_SCORE"), [1]!hcahps[HCAHPS Linear Mean Value]), "No Match")</f>
        <v>87</v>
      </c>
      <c r="F1914" cm="1">
        <f t="array" ref="F1914">_xlfn.IFNA(_xlfn.XLOOKUP(1,([1]!readmissions[Facility ID] = clean[[#This Row],[Facility ID]]) * ([1]!readmissions[Measure ID] = "Hybrid_HWR"), [1]!readmissions[Score]), "No Match")</f>
        <v>15.2</v>
      </c>
    </row>
    <row r="1915" spans="1:6" x14ac:dyDescent="0.2">
      <c r="A1915">
        <f>[1]!hospitalinfo[[#This Row],[Facility ID]]</f>
        <v>180017</v>
      </c>
      <c r="B1915" t="str">
        <f>[1]!hospitalinfo[[#This Row],[State]]</f>
        <v>KY</v>
      </c>
      <c r="C1915" t="str">
        <f>[1]!hospitalinfo[[#This Row],[Hospital Type]]</f>
        <v>Acute Care Hospitals</v>
      </c>
      <c r="D1915" t="str">
        <f>[1]!hospitalinfo[[#This Row],[Hospital Ownership]]</f>
        <v>Voluntary non-profit - Other</v>
      </c>
      <c r="E1915" cm="1">
        <f t="array" ref="E1915">_xlfn.IFNA(_xlfn.XLOOKUP(1,([1]!hcahps[Facility ID] = clean[[#This Row],[Facility ID]]) * ([1]!hcahps[HCAHPS Measure ID] = "H_HSP_RATING_LINEAR_SCORE"), [1]!hcahps[HCAHPS Linear Mean Value]), "No Match")</f>
        <v>89</v>
      </c>
      <c r="F1915" cm="1">
        <f t="array" ref="F1915">_xlfn.IFNA(_xlfn.XLOOKUP(1,([1]!readmissions[Facility ID] = clean[[#This Row],[Facility ID]]) * ([1]!readmissions[Measure ID] = "Hybrid_HWR"), [1]!readmissions[Score]), "No Match")</f>
        <v>16.3</v>
      </c>
    </row>
    <row r="1916" spans="1:6" x14ac:dyDescent="0.2">
      <c r="A1916">
        <f>[1]!hospitalinfo[[#This Row],[Facility ID]]</f>
        <v>180018</v>
      </c>
      <c r="B1916" t="str">
        <f>[1]!hospitalinfo[[#This Row],[State]]</f>
        <v>KY</v>
      </c>
      <c r="C1916" t="str">
        <f>[1]!hospitalinfo[[#This Row],[Hospital Type]]</f>
        <v>Acute Care Hospitals</v>
      </c>
      <c r="D1916" t="str">
        <f>[1]!hospitalinfo[[#This Row],[Hospital Ownership]]</f>
        <v>Government - Federal</v>
      </c>
      <c r="E1916" cm="1">
        <f t="array" ref="E1916">_xlfn.IFNA(_xlfn.XLOOKUP(1,([1]!hcahps[Facility ID] = clean[[#This Row],[Facility ID]]) * ([1]!hcahps[HCAHPS Measure ID] = "H_HSP_RATING_LINEAR_SCORE"), [1]!hcahps[HCAHPS Linear Mean Value]), "No Match")</f>
        <v>88</v>
      </c>
      <c r="F1916" cm="1">
        <f t="array" ref="F1916">_xlfn.IFNA(_xlfn.XLOOKUP(1,([1]!readmissions[Facility ID] = clean[[#This Row],[Facility ID]]) * ([1]!readmissions[Measure ID] = "Hybrid_HWR"), [1]!readmissions[Score]), "No Match")</f>
        <v>17.600000000000001</v>
      </c>
    </row>
    <row r="1917" spans="1:6" x14ac:dyDescent="0.2">
      <c r="A1917">
        <f>[1]!hospitalinfo[[#This Row],[Facility ID]]</f>
        <v>180019</v>
      </c>
      <c r="B1917" t="str">
        <f>[1]!hospitalinfo[[#This Row],[State]]</f>
        <v>KY</v>
      </c>
      <c r="C1917" t="str">
        <f>[1]!hospitalinfo[[#This Row],[Hospital Type]]</f>
        <v>Acute Care Hospitals</v>
      </c>
      <c r="D1917" t="str">
        <f>[1]!hospitalinfo[[#This Row],[Hospital Ownership]]</f>
        <v>Proprietary</v>
      </c>
      <c r="E1917" cm="1">
        <f t="array" ref="E1917">_xlfn.IFNA(_xlfn.XLOOKUP(1,([1]!hcahps[Facility ID] = clean[[#This Row],[Facility ID]]) * ([1]!hcahps[HCAHPS Measure ID] = "H_HSP_RATING_LINEAR_SCORE"), [1]!hcahps[HCAHPS Linear Mean Value]), "No Match")</f>
        <v>86</v>
      </c>
      <c r="F1917" cm="1">
        <f t="array" ref="F1917">_xlfn.IFNA(_xlfn.XLOOKUP(1,([1]!readmissions[Facility ID] = clean[[#This Row],[Facility ID]]) * ([1]!readmissions[Measure ID] = "Hybrid_HWR"), [1]!readmissions[Score]), "No Match")</f>
        <v>14.3</v>
      </c>
    </row>
    <row r="1918" spans="1:6" x14ac:dyDescent="0.2">
      <c r="A1918">
        <f>[1]!hospitalinfo[[#This Row],[Facility ID]]</f>
        <v>180020</v>
      </c>
      <c r="B1918" t="str">
        <f>[1]!hospitalinfo[[#This Row],[State]]</f>
        <v>KY</v>
      </c>
      <c r="C1918" t="str">
        <f>[1]!hospitalinfo[[#This Row],[Hospital Type]]</f>
        <v>Acute Care Hospitals</v>
      </c>
      <c r="D1918" t="str">
        <f>[1]!hospitalinfo[[#This Row],[Hospital Ownership]]</f>
        <v>Voluntary non-profit - Private</v>
      </c>
      <c r="E1918" cm="1">
        <f t="array" ref="E1918">_xlfn.IFNA(_xlfn.XLOOKUP(1,([1]!hcahps[Facility ID] = clean[[#This Row],[Facility ID]]) * ([1]!hcahps[HCAHPS Measure ID] = "H_HSP_RATING_LINEAR_SCORE"), [1]!hcahps[HCAHPS Linear Mean Value]), "No Match")</f>
        <v>85</v>
      </c>
      <c r="F1918" cm="1">
        <f t="array" ref="F1918">_xlfn.IFNA(_xlfn.XLOOKUP(1,([1]!readmissions[Facility ID] = clean[[#This Row],[Facility ID]]) * ([1]!readmissions[Measure ID] = "Hybrid_HWR"), [1]!readmissions[Score]), "No Match")</f>
        <v>15.6</v>
      </c>
    </row>
    <row r="1919" spans="1:6" x14ac:dyDescent="0.2">
      <c r="A1919">
        <f>[1]!hospitalinfo[[#This Row],[Facility ID]]</f>
        <v>180024</v>
      </c>
      <c r="B1919" t="str">
        <f>[1]!hospitalinfo[[#This Row],[State]]</f>
        <v>KY</v>
      </c>
      <c r="C1919" t="str">
        <f>[1]!hospitalinfo[[#This Row],[Hospital Type]]</f>
        <v>Acute Care Hospitals</v>
      </c>
      <c r="D1919" t="str">
        <f>[1]!hospitalinfo[[#This Row],[Hospital Ownership]]</f>
        <v>Proprietary</v>
      </c>
      <c r="E1919" cm="1">
        <f t="array" ref="E1919">_xlfn.IFNA(_xlfn.XLOOKUP(1,([1]!hcahps[Facility ID] = clean[[#This Row],[Facility ID]]) * ([1]!hcahps[HCAHPS Measure ID] = "H_HSP_RATING_LINEAR_SCORE"), [1]!hcahps[HCAHPS Linear Mean Value]), "No Match")</f>
        <v>89</v>
      </c>
      <c r="F1919" cm="1">
        <f t="array" ref="F1919">_xlfn.IFNA(_xlfn.XLOOKUP(1,([1]!readmissions[Facility ID] = clean[[#This Row],[Facility ID]]) * ([1]!readmissions[Measure ID] = "Hybrid_HWR"), [1]!readmissions[Score]), "No Match")</f>
        <v>14</v>
      </c>
    </row>
    <row r="1920" spans="1:6" x14ac:dyDescent="0.2">
      <c r="A1920">
        <f>[1]!hospitalinfo[[#This Row],[Facility ID]]</f>
        <v>180025</v>
      </c>
      <c r="B1920" t="str">
        <f>[1]!hospitalinfo[[#This Row],[State]]</f>
        <v>KY</v>
      </c>
      <c r="C1920" t="str">
        <f>[1]!hospitalinfo[[#This Row],[Hospital Type]]</f>
        <v>Acute Care Hospitals</v>
      </c>
      <c r="D1920" t="str">
        <f>[1]!hospitalinfo[[#This Row],[Hospital Ownership]]</f>
        <v>Voluntary non-profit - Private</v>
      </c>
      <c r="E1920" cm="1">
        <f t="array" ref="E1920">_xlfn.IFNA(_xlfn.XLOOKUP(1,([1]!hcahps[Facility ID] = clean[[#This Row],[Facility ID]]) * ([1]!hcahps[HCAHPS Measure ID] = "H_HSP_RATING_LINEAR_SCORE"), [1]!hcahps[HCAHPS Linear Mean Value]), "No Match")</f>
        <v>89</v>
      </c>
      <c r="F1920" cm="1">
        <f t="array" ref="F1920">_xlfn.IFNA(_xlfn.XLOOKUP(1,([1]!readmissions[Facility ID] = clean[[#This Row],[Facility ID]]) * ([1]!readmissions[Measure ID] = "Hybrid_HWR"), [1]!readmissions[Score]), "No Match")</f>
        <v>15.1</v>
      </c>
    </row>
    <row r="1921" spans="1:6" x14ac:dyDescent="0.2">
      <c r="A1921">
        <f>[1]!hospitalinfo[[#This Row],[Facility ID]]</f>
        <v>180027</v>
      </c>
      <c r="B1921" t="str">
        <f>[1]!hospitalinfo[[#This Row],[State]]</f>
        <v>KY</v>
      </c>
      <c r="C1921" t="str">
        <f>[1]!hospitalinfo[[#This Row],[Hospital Type]]</f>
        <v>Acute Care Hospitals</v>
      </c>
      <c r="D1921" t="str">
        <f>[1]!hospitalinfo[[#This Row],[Hospital Ownership]]</f>
        <v>Voluntary non-profit - Other</v>
      </c>
      <c r="E1921" cm="1">
        <f t="array" ref="E1921">_xlfn.IFNA(_xlfn.XLOOKUP(1,([1]!hcahps[Facility ID] = clean[[#This Row],[Facility ID]]) * ([1]!hcahps[HCAHPS Measure ID] = "H_HSP_RATING_LINEAR_SCORE"), [1]!hcahps[HCAHPS Linear Mean Value]), "No Match")</f>
        <v>91</v>
      </c>
      <c r="F1921" cm="1">
        <f t="array" ref="F1921">_xlfn.IFNA(_xlfn.XLOOKUP(1,([1]!readmissions[Facility ID] = clean[[#This Row],[Facility ID]]) * ([1]!readmissions[Measure ID] = "Hybrid_HWR"), [1]!readmissions[Score]), "No Match")</f>
        <v>16.399999999999999</v>
      </c>
    </row>
    <row r="1922" spans="1:6" x14ac:dyDescent="0.2">
      <c r="A1922">
        <f>[1]!hospitalinfo[[#This Row],[Facility ID]]</f>
        <v>180029</v>
      </c>
      <c r="B1922" t="str">
        <f>[1]!hospitalinfo[[#This Row],[State]]</f>
        <v>KY</v>
      </c>
      <c r="C1922" t="str">
        <f>[1]!hospitalinfo[[#This Row],[Hospital Type]]</f>
        <v>Acute Care Hospitals</v>
      </c>
      <c r="D1922" t="str">
        <f>[1]!hospitalinfo[[#This Row],[Hospital Ownership]]</f>
        <v>Voluntary non-profit - Private</v>
      </c>
      <c r="E1922" cm="1">
        <f t="array" ref="E1922">_xlfn.IFNA(_xlfn.XLOOKUP(1,([1]!hcahps[Facility ID] = clean[[#This Row],[Facility ID]]) * ([1]!hcahps[HCAHPS Measure ID] = "H_HSP_RATING_LINEAR_SCORE"), [1]!hcahps[HCAHPS Linear Mean Value]), "No Match")</f>
        <v>84</v>
      </c>
      <c r="F1922" cm="1">
        <f t="array" ref="F1922">_xlfn.IFNA(_xlfn.XLOOKUP(1,([1]!readmissions[Facility ID] = clean[[#This Row],[Facility ID]]) * ([1]!readmissions[Measure ID] = "Hybrid_HWR"), [1]!readmissions[Score]), "No Match")</f>
        <v>14.7</v>
      </c>
    </row>
    <row r="1923" spans="1:6" x14ac:dyDescent="0.2">
      <c r="A1923">
        <f>[1]!hospitalinfo[[#This Row],[Facility ID]]</f>
        <v>180035</v>
      </c>
      <c r="B1923" t="str">
        <f>[1]!hospitalinfo[[#This Row],[State]]</f>
        <v>KY</v>
      </c>
      <c r="C1923" t="str">
        <f>[1]!hospitalinfo[[#This Row],[Hospital Type]]</f>
        <v>Acute Care Hospitals</v>
      </c>
      <c r="D1923" t="str">
        <f>[1]!hospitalinfo[[#This Row],[Hospital Ownership]]</f>
        <v>Voluntary non-profit - Church</v>
      </c>
      <c r="E1923" cm="1">
        <f t="array" ref="E1923">_xlfn.IFNA(_xlfn.XLOOKUP(1,([1]!hcahps[Facility ID] = clean[[#This Row],[Facility ID]]) * ([1]!hcahps[HCAHPS Measure ID] = "H_HSP_RATING_LINEAR_SCORE"), [1]!hcahps[HCAHPS Linear Mean Value]), "No Match")</f>
        <v>90</v>
      </c>
      <c r="F1923" cm="1">
        <f t="array" ref="F1923">_xlfn.IFNA(_xlfn.XLOOKUP(1,([1]!readmissions[Facility ID] = clean[[#This Row],[Facility ID]]) * ([1]!readmissions[Measure ID] = "Hybrid_HWR"), [1]!readmissions[Score]), "No Match")</f>
        <v>15.2</v>
      </c>
    </row>
    <row r="1924" spans="1:6" x14ac:dyDescent="0.2">
      <c r="A1924">
        <f>[1]!hospitalinfo[[#This Row],[Facility ID]]</f>
        <v>180038</v>
      </c>
      <c r="B1924" t="str">
        <f>[1]!hospitalinfo[[#This Row],[State]]</f>
        <v>KY</v>
      </c>
      <c r="C1924" t="str">
        <f>[1]!hospitalinfo[[#This Row],[Hospital Type]]</f>
        <v>Acute Care Hospitals</v>
      </c>
      <c r="D1924" t="str">
        <f>[1]!hospitalinfo[[#This Row],[Hospital Ownership]]</f>
        <v>Voluntary non-profit - Private</v>
      </c>
      <c r="E1924" cm="1">
        <f t="array" ref="E1924">_xlfn.IFNA(_xlfn.XLOOKUP(1,([1]!hcahps[Facility ID] = clean[[#This Row],[Facility ID]]) * ([1]!hcahps[HCAHPS Measure ID] = "H_HSP_RATING_LINEAR_SCORE"), [1]!hcahps[HCAHPS Linear Mean Value]), "No Match")</f>
        <v>90</v>
      </c>
      <c r="F1924" cm="1">
        <f t="array" ref="F1924">_xlfn.IFNA(_xlfn.XLOOKUP(1,([1]!readmissions[Facility ID] = clean[[#This Row],[Facility ID]]) * ([1]!readmissions[Measure ID] = "Hybrid_HWR"), [1]!readmissions[Score]), "No Match")</f>
        <v>14.6</v>
      </c>
    </row>
    <row r="1925" spans="1:6" x14ac:dyDescent="0.2">
      <c r="A1925">
        <f>[1]!hospitalinfo[[#This Row],[Facility ID]]</f>
        <v>180040</v>
      </c>
      <c r="B1925" t="str">
        <f>[1]!hospitalinfo[[#This Row],[State]]</f>
        <v>KY</v>
      </c>
      <c r="C1925" t="str">
        <f>[1]!hospitalinfo[[#This Row],[Hospital Type]]</f>
        <v>Acute Care Hospitals</v>
      </c>
      <c r="D1925" t="str">
        <f>[1]!hospitalinfo[[#This Row],[Hospital Ownership]]</f>
        <v>Voluntary non-profit - Private</v>
      </c>
      <c r="E1925" cm="1">
        <f t="array" ref="E1925">_xlfn.IFNA(_xlfn.XLOOKUP(1,([1]!hcahps[Facility ID] = clean[[#This Row],[Facility ID]]) * ([1]!hcahps[HCAHPS Measure ID] = "H_HSP_RATING_LINEAR_SCORE"), [1]!hcahps[HCAHPS Linear Mean Value]), "No Match")</f>
        <v>85</v>
      </c>
      <c r="F1925" cm="1">
        <f t="array" ref="F1925">_xlfn.IFNA(_xlfn.XLOOKUP(1,([1]!readmissions[Facility ID] = clean[[#This Row],[Facility ID]]) * ([1]!readmissions[Measure ID] = "Hybrid_HWR"), [1]!readmissions[Score]), "No Match")</f>
        <v>15.6</v>
      </c>
    </row>
    <row r="1926" spans="1:6" x14ac:dyDescent="0.2">
      <c r="A1926">
        <f>[1]!hospitalinfo[[#This Row],[Facility ID]]</f>
        <v>180043</v>
      </c>
      <c r="B1926" t="str">
        <f>[1]!hospitalinfo[[#This Row],[State]]</f>
        <v>KY</v>
      </c>
      <c r="C1926" t="str">
        <f>[1]!hospitalinfo[[#This Row],[Hospital Type]]</f>
        <v>Acute Care Hospitals</v>
      </c>
      <c r="D1926" t="str">
        <f>[1]!hospitalinfo[[#This Row],[Hospital Ownership]]</f>
        <v>Voluntary non-profit - Church</v>
      </c>
      <c r="E1926" cm="1">
        <f t="array" ref="E1926">_xlfn.IFNA(_xlfn.XLOOKUP(1,([1]!hcahps[Facility ID] = clean[[#This Row],[Facility ID]]) * ([1]!hcahps[HCAHPS Measure ID] = "H_HSP_RATING_LINEAR_SCORE"), [1]!hcahps[HCAHPS Linear Mean Value]), "No Match")</f>
        <v>90</v>
      </c>
      <c r="F1926" cm="1">
        <f t="array" ref="F1926">_xlfn.IFNA(_xlfn.XLOOKUP(1,([1]!readmissions[Facility ID] = clean[[#This Row],[Facility ID]]) * ([1]!readmissions[Measure ID] = "Hybrid_HWR"), [1]!readmissions[Score]), "No Match")</f>
        <v>14.7</v>
      </c>
    </row>
    <row r="1927" spans="1:6" x14ac:dyDescent="0.2">
      <c r="A1927">
        <f>[1]!hospitalinfo[[#This Row],[Facility ID]]</f>
        <v>180044</v>
      </c>
      <c r="B1927" t="str">
        <f>[1]!hospitalinfo[[#This Row],[State]]</f>
        <v>KY</v>
      </c>
      <c r="C1927" t="str">
        <f>[1]!hospitalinfo[[#This Row],[Hospital Type]]</f>
        <v>Acute Care Hospitals</v>
      </c>
      <c r="D1927" t="str">
        <f>[1]!hospitalinfo[[#This Row],[Hospital Ownership]]</f>
        <v>Voluntary non-profit - Private</v>
      </c>
      <c r="E1927" cm="1">
        <f t="array" ref="E1927">_xlfn.IFNA(_xlfn.XLOOKUP(1,([1]!hcahps[Facility ID] = clean[[#This Row],[Facility ID]]) * ([1]!hcahps[HCAHPS Measure ID] = "H_HSP_RATING_LINEAR_SCORE"), [1]!hcahps[HCAHPS Linear Mean Value]), "No Match")</f>
        <v>85</v>
      </c>
      <c r="F1927" cm="1">
        <f t="array" ref="F1927">_xlfn.IFNA(_xlfn.XLOOKUP(1,([1]!readmissions[Facility ID] = clean[[#This Row],[Facility ID]]) * ([1]!readmissions[Measure ID] = "Hybrid_HWR"), [1]!readmissions[Score]), "No Match")</f>
        <v>16</v>
      </c>
    </row>
    <row r="1928" spans="1:6" x14ac:dyDescent="0.2">
      <c r="A1928">
        <f>[1]!hospitalinfo[[#This Row],[Facility ID]]</f>
        <v>180045</v>
      </c>
      <c r="B1928" t="str">
        <f>[1]!hospitalinfo[[#This Row],[State]]</f>
        <v>KY</v>
      </c>
      <c r="C1928" t="str">
        <f>[1]!hospitalinfo[[#This Row],[Hospital Type]]</f>
        <v>Acute Care Hospitals</v>
      </c>
      <c r="D1928" t="str">
        <f>[1]!hospitalinfo[[#This Row],[Hospital Ownership]]</f>
        <v>Voluntary non-profit - Private</v>
      </c>
      <c r="E1928" cm="1">
        <f t="array" ref="E1928">_xlfn.IFNA(_xlfn.XLOOKUP(1,([1]!hcahps[Facility ID] = clean[[#This Row],[Facility ID]]) * ([1]!hcahps[HCAHPS Measure ID] = "H_HSP_RATING_LINEAR_SCORE"), [1]!hcahps[HCAHPS Linear Mean Value]), "No Match")</f>
        <v>88</v>
      </c>
      <c r="F1928" cm="1">
        <f t="array" ref="F1928">_xlfn.IFNA(_xlfn.XLOOKUP(1,([1]!readmissions[Facility ID] = clean[[#This Row],[Facility ID]]) * ([1]!readmissions[Measure ID] = "Hybrid_HWR"), [1]!readmissions[Score]), "No Match")</f>
        <v>15.4</v>
      </c>
    </row>
    <row r="1929" spans="1:6" x14ac:dyDescent="0.2">
      <c r="A1929">
        <f>[1]!hospitalinfo[[#This Row],[Facility ID]]</f>
        <v>180046</v>
      </c>
      <c r="B1929" t="str">
        <f>[1]!hospitalinfo[[#This Row],[State]]</f>
        <v>KY</v>
      </c>
      <c r="C1929" t="str">
        <f>[1]!hospitalinfo[[#This Row],[Hospital Type]]</f>
        <v>Acute Care Hospitals</v>
      </c>
      <c r="D1929" t="str">
        <f>[1]!hospitalinfo[[#This Row],[Hospital Ownership]]</f>
        <v>Proprietary</v>
      </c>
      <c r="E1929" t="str" cm="1">
        <f t="array" ref="E1929">_xlfn.IFNA(_xlfn.XLOOKUP(1,([1]!hcahps[Facility ID] = clean[[#This Row],[Facility ID]]) * ([1]!hcahps[HCAHPS Measure ID] = "H_HSP_RATING_LINEAR_SCORE"), [1]!hcahps[HCAHPS Linear Mean Value]), "No Match")</f>
        <v>Not Available</v>
      </c>
      <c r="F1929" cm="1">
        <f t="array" ref="F1929">_xlfn.IFNA(_xlfn.XLOOKUP(1,([1]!readmissions[Facility ID] = clean[[#This Row],[Facility ID]]) * ([1]!readmissions[Measure ID] = "Hybrid_HWR"), [1]!readmissions[Score]), "No Match")</f>
        <v>15.2</v>
      </c>
    </row>
    <row r="1930" spans="1:6" x14ac:dyDescent="0.2">
      <c r="A1930">
        <f>[1]!hospitalinfo[[#This Row],[Facility ID]]</f>
        <v>180048</v>
      </c>
      <c r="B1930" t="str">
        <f>[1]!hospitalinfo[[#This Row],[State]]</f>
        <v>KY</v>
      </c>
      <c r="C1930" t="str">
        <f>[1]!hospitalinfo[[#This Row],[Hospital Type]]</f>
        <v>Acute Care Hospitals</v>
      </c>
      <c r="D1930" t="str">
        <f>[1]!hospitalinfo[[#This Row],[Hospital Ownership]]</f>
        <v>Voluntary non-profit - Private</v>
      </c>
      <c r="E1930" cm="1">
        <f t="array" ref="E1930">_xlfn.IFNA(_xlfn.XLOOKUP(1,([1]!hcahps[Facility ID] = clean[[#This Row],[Facility ID]]) * ([1]!hcahps[HCAHPS Measure ID] = "H_HSP_RATING_LINEAR_SCORE"), [1]!hcahps[HCAHPS Linear Mean Value]), "No Match")</f>
        <v>88</v>
      </c>
      <c r="F1930" cm="1">
        <f t="array" ref="F1930">_xlfn.IFNA(_xlfn.XLOOKUP(1,([1]!readmissions[Facility ID] = clean[[#This Row],[Facility ID]]) * ([1]!readmissions[Measure ID] = "Hybrid_HWR"), [1]!readmissions[Score]), "No Match")</f>
        <v>15.2</v>
      </c>
    </row>
    <row r="1931" spans="1:6" x14ac:dyDescent="0.2">
      <c r="A1931">
        <f>[1]!hospitalinfo[[#This Row],[Facility ID]]</f>
        <v>180049</v>
      </c>
      <c r="B1931" t="str">
        <f>[1]!hospitalinfo[[#This Row],[State]]</f>
        <v>KY</v>
      </c>
      <c r="C1931" t="str">
        <f>[1]!hospitalinfo[[#This Row],[Hospital Type]]</f>
        <v>Acute Care Hospitals</v>
      </c>
      <c r="D1931" t="str">
        <f>[1]!hospitalinfo[[#This Row],[Hospital Ownership]]</f>
        <v>Voluntary non-profit - Private</v>
      </c>
      <c r="E1931" cm="1">
        <f t="array" ref="E1931">_xlfn.IFNA(_xlfn.XLOOKUP(1,([1]!hcahps[Facility ID] = clean[[#This Row],[Facility ID]]) * ([1]!hcahps[HCAHPS Measure ID] = "H_HSP_RATING_LINEAR_SCORE"), [1]!hcahps[HCAHPS Linear Mean Value]), "No Match")</f>
        <v>92</v>
      </c>
      <c r="F1931" cm="1">
        <f t="array" ref="F1931">_xlfn.IFNA(_xlfn.XLOOKUP(1,([1]!readmissions[Facility ID] = clean[[#This Row],[Facility ID]]) * ([1]!readmissions[Measure ID] = "Hybrid_HWR"), [1]!readmissions[Score]), "No Match")</f>
        <v>14.8</v>
      </c>
    </row>
    <row r="1932" spans="1:6" x14ac:dyDescent="0.2">
      <c r="A1932">
        <f>[1]!hospitalinfo[[#This Row],[Facility ID]]</f>
        <v>180050</v>
      </c>
      <c r="B1932" t="str">
        <f>[1]!hospitalinfo[[#This Row],[State]]</f>
        <v>KY</v>
      </c>
      <c r="C1932" t="str">
        <f>[1]!hospitalinfo[[#This Row],[Hospital Type]]</f>
        <v>Acute Care Hospitals</v>
      </c>
      <c r="D1932" t="str">
        <f>[1]!hospitalinfo[[#This Row],[Hospital Ownership]]</f>
        <v>Voluntary non-profit - Other</v>
      </c>
      <c r="E1932" cm="1">
        <f t="array" ref="E1932">_xlfn.IFNA(_xlfn.XLOOKUP(1,([1]!hcahps[Facility ID] = clean[[#This Row],[Facility ID]]) * ([1]!hcahps[HCAHPS Measure ID] = "H_HSP_RATING_LINEAR_SCORE"), [1]!hcahps[HCAHPS Linear Mean Value]), "No Match")</f>
        <v>83</v>
      </c>
      <c r="F1932" cm="1">
        <f t="array" ref="F1932">_xlfn.IFNA(_xlfn.XLOOKUP(1,([1]!readmissions[Facility ID] = clean[[#This Row],[Facility ID]]) * ([1]!readmissions[Measure ID] = "Hybrid_HWR"), [1]!readmissions[Score]), "No Match")</f>
        <v>16.5</v>
      </c>
    </row>
    <row r="1933" spans="1:6" x14ac:dyDescent="0.2">
      <c r="A1933">
        <f>[1]!hospitalinfo[[#This Row],[Facility ID]]</f>
        <v>180051</v>
      </c>
      <c r="B1933" t="str">
        <f>[1]!hospitalinfo[[#This Row],[State]]</f>
        <v>KY</v>
      </c>
      <c r="C1933" t="str">
        <f>[1]!hospitalinfo[[#This Row],[Hospital Type]]</f>
        <v>Acute Care Hospitals</v>
      </c>
      <c r="D1933" t="str">
        <f>[1]!hospitalinfo[[#This Row],[Hospital Ownership]]</f>
        <v>Voluntary non-profit - Private</v>
      </c>
      <c r="E1933" cm="1">
        <f t="array" ref="E1933">_xlfn.IFNA(_xlfn.XLOOKUP(1,([1]!hcahps[Facility ID] = clean[[#This Row],[Facility ID]]) * ([1]!hcahps[HCAHPS Measure ID] = "H_HSP_RATING_LINEAR_SCORE"), [1]!hcahps[HCAHPS Linear Mean Value]), "No Match")</f>
        <v>86</v>
      </c>
      <c r="F1933" cm="1">
        <f t="array" ref="F1933">_xlfn.IFNA(_xlfn.XLOOKUP(1,([1]!readmissions[Facility ID] = clean[[#This Row],[Facility ID]]) * ([1]!readmissions[Measure ID] = "Hybrid_HWR"), [1]!readmissions[Score]), "No Match")</f>
        <v>15.5</v>
      </c>
    </row>
    <row r="1934" spans="1:6" x14ac:dyDescent="0.2">
      <c r="A1934">
        <f>[1]!hospitalinfo[[#This Row],[Facility ID]]</f>
        <v>180056</v>
      </c>
      <c r="B1934" t="str">
        <f>[1]!hospitalinfo[[#This Row],[State]]</f>
        <v>KY</v>
      </c>
      <c r="C1934" t="str">
        <f>[1]!hospitalinfo[[#This Row],[Hospital Type]]</f>
        <v>Acute Care Hospitals</v>
      </c>
      <c r="D1934" t="str">
        <f>[1]!hospitalinfo[[#This Row],[Hospital Ownership]]</f>
        <v>Voluntary non-profit - Church</v>
      </c>
      <c r="E1934" cm="1">
        <f t="array" ref="E1934">_xlfn.IFNA(_xlfn.XLOOKUP(1,([1]!hcahps[Facility ID] = clean[[#This Row],[Facility ID]]) * ([1]!hcahps[HCAHPS Measure ID] = "H_HSP_RATING_LINEAR_SCORE"), [1]!hcahps[HCAHPS Linear Mean Value]), "No Match")</f>
        <v>86</v>
      </c>
      <c r="F1934" cm="1">
        <f t="array" ref="F1934">_xlfn.IFNA(_xlfn.XLOOKUP(1,([1]!readmissions[Facility ID] = clean[[#This Row],[Facility ID]]) * ([1]!readmissions[Measure ID] = "Hybrid_HWR"), [1]!readmissions[Score]), "No Match")</f>
        <v>15.1</v>
      </c>
    </row>
    <row r="1935" spans="1:6" x14ac:dyDescent="0.2">
      <c r="A1935">
        <f>[1]!hospitalinfo[[#This Row],[Facility ID]]</f>
        <v>180064</v>
      </c>
      <c r="B1935" t="str">
        <f>[1]!hospitalinfo[[#This Row],[State]]</f>
        <v>KY</v>
      </c>
      <c r="C1935" t="str">
        <f>[1]!hospitalinfo[[#This Row],[Hospital Type]]</f>
        <v>Acute Care Hospitals</v>
      </c>
      <c r="D1935" t="str">
        <f>[1]!hospitalinfo[[#This Row],[Hospital Ownership]]</f>
        <v>Voluntary non-profit - Private</v>
      </c>
      <c r="E1935" cm="1">
        <f t="array" ref="E1935">_xlfn.IFNA(_xlfn.XLOOKUP(1,([1]!hcahps[Facility ID] = clean[[#This Row],[Facility ID]]) * ([1]!hcahps[HCAHPS Measure ID] = "H_HSP_RATING_LINEAR_SCORE"), [1]!hcahps[HCAHPS Linear Mean Value]), "No Match")</f>
        <v>91</v>
      </c>
      <c r="F1935" cm="1">
        <f t="array" ref="F1935">_xlfn.IFNA(_xlfn.XLOOKUP(1,([1]!readmissions[Facility ID] = clean[[#This Row],[Facility ID]]) * ([1]!readmissions[Measure ID] = "Hybrid_HWR"), [1]!readmissions[Score]), "No Match")</f>
        <v>15.2</v>
      </c>
    </row>
    <row r="1936" spans="1:6" x14ac:dyDescent="0.2">
      <c r="A1936">
        <f>[1]!hospitalinfo[[#This Row],[Facility ID]]</f>
        <v>180066</v>
      </c>
      <c r="B1936" t="str">
        <f>[1]!hospitalinfo[[#This Row],[State]]</f>
        <v>KY</v>
      </c>
      <c r="C1936" t="str">
        <f>[1]!hospitalinfo[[#This Row],[Hospital Type]]</f>
        <v>Acute Care Hospitals</v>
      </c>
      <c r="D1936" t="str">
        <f>[1]!hospitalinfo[[#This Row],[Hospital Ownership]]</f>
        <v>Proprietary</v>
      </c>
      <c r="E1936" t="str" cm="1">
        <f t="array" ref="E1936">_xlfn.IFNA(_xlfn.XLOOKUP(1,([1]!hcahps[Facility ID] = clean[[#This Row],[Facility ID]]) * ([1]!hcahps[HCAHPS Measure ID] = "H_HSP_RATING_LINEAR_SCORE"), [1]!hcahps[HCAHPS Linear Mean Value]), "No Match")</f>
        <v>Not Available</v>
      </c>
      <c r="F1936" cm="1">
        <f t="array" ref="F1936">_xlfn.IFNA(_xlfn.XLOOKUP(1,([1]!readmissions[Facility ID] = clean[[#This Row],[Facility ID]]) * ([1]!readmissions[Measure ID] = "Hybrid_HWR"), [1]!readmissions[Score]), "No Match")</f>
        <v>14.8</v>
      </c>
    </row>
    <row r="1937" spans="1:6" x14ac:dyDescent="0.2">
      <c r="A1937">
        <f>[1]!hospitalinfo[[#This Row],[Facility ID]]</f>
        <v>180067</v>
      </c>
      <c r="B1937" t="str">
        <f>[1]!hospitalinfo[[#This Row],[State]]</f>
        <v>KY</v>
      </c>
      <c r="C1937" t="str">
        <f>[1]!hospitalinfo[[#This Row],[Hospital Type]]</f>
        <v>Acute Care Hospitals</v>
      </c>
      <c r="D1937" t="str">
        <f>[1]!hospitalinfo[[#This Row],[Hospital Ownership]]</f>
        <v>Government - State</v>
      </c>
      <c r="E1937" cm="1">
        <f t="array" ref="E1937">_xlfn.IFNA(_xlfn.XLOOKUP(1,([1]!hcahps[Facility ID] = clean[[#This Row],[Facility ID]]) * ([1]!hcahps[HCAHPS Measure ID] = "H_HSP_RATING_LINEAR_SCORE"), [1]!hcahps[HCAHPS Linear Mean Value]), "No Match")</f>
        <v>89</v>
      </c>
      <c r="F1937" cm="1">
        <f t="array" ref="F1937">_xlfn.IFNA(_xlfn.XLOOKUP(1,([1]!readmissions[Facility ID] = clean[[#This Row],[Facility ID]]) * ([1]!readmissions[Measure ID] = "Hybrid_HWR"), [1]!readmissions[Score]), "No Match")</f>
        <v>15.2</v>
      </c>
    </row>
    <row r="1938" spans="1:6" x14ac:dyDescent="0.2">
      <c r="A1938">
        <f>[1]!hospitalinfo[[#This Row],[Facility ID]]</f>
        <v>180069</v>
      </c>
      <c r="B1938" t="str">
        <f>[1]!hospitalinfo[[#This Row],[State]]</f>
        <v>KY</v>
      </c>
      <c r="C1938" t="str">
        <f>[1]!hospitalinfo[[#This Row],[Hospital Type]]</f>
        <v>Acute Care Hospitals</v>
      </c>
      <c r="D1938" t="str">
        <f>[1]!hospitalinfo[[#This Row],[Hospital Ownership]]</f>
        <v>Proprietary</v>
      </c>
      <c r="E1938" cm="1">
        <f t="array" ref="E1938">_xlfn.IFNA(_xlfn.XLOOKUP(1,([1]!hcahps[Facility ID] = clean[[#This Row],[Facility ID]]) * ([1]!hcahps[HCAHPS Measure ID] = "H_HSP_RATING_LINEAR_SCORE"), [1]!hcahps[HCAHPS Linear Mean Value]), "No Match")</f>
        <v>83</v>
      </c>
      <c r="F1938" cm="1">
        <f t="array" ref="F1938">_xlfn.IFNA(_xlfn.XLOOKUP(1,([1]!readmissions[Facility ID] = clean[[#This Row],[Facility ID]]) * ([1]!readmissions[Measure ID] = "Hybrid_HWR"), [1]!readmissions[Score]), "No Match")</f>
        <v>16.399999999999999</v>
      </c>
    </row>
    <row r="1939" spans="1:6" x14ac:dyDescent="0.2">
      <c r="A1939">
        <f>[1]!hospitalinfo[[#This Row],[Facility ID]]</f>
        <v>180070</v>
      </c>
      <c r="B1939" t="str">
        <f>[1]!hospitalinfo[[#This Row],[State]]</f>
        <v>KY</v>
      </c>
      <c r="C1939" t="str">
        <f>[1]!hospitalinfo[[#This Row],[Hospital Type]]</f>
        <v>Acute Care Hospitals</v>
      </c>
      <c r="D1939" t="str">
        <f>[1]!hospitalinfo[[#This Row],[Hospital Ownership]]</f>
        <v>Voluntary non-profit - Other</v>
      </c>
      <c r="E1939" cm="1">
        <f t="array" ref="E1939">_xlfn.IFNA(_xlfn.XLOOKUP(1,([1]!hcahps[Facility ID] = clean[[#This Row],[Facility ID]]) * ([1]!hcahps[HCAHPS Measure ID] = "H_HSP_RATING_LINEAR_SCORE"), [1]!hcahps[HCAHPS Linear Mean Value]), "No Match")</f>
        <v>91</v>
      </c>
      <c r="F1939" cm="1">
        <f t="array" ref="F1939">_xlfn.IFNA(_xlfn.XLOOKUP(1,([1]!readmissions[Facility ID] = clean[[#This Row],[Facility ID]]) * ([1]!readmissions[Measure ID] = "Hybrid_HWR"), [1]!readmissions[Score]), "No Match")</f>
        <v>15.2</v>
      </c>
    </row>
    <row r="1940" spans="1:6" x14ac:dyDescent="0.2">
      <c r="A1940">
        <f>[1]!hospitalinfo[[#This Row],[Facility ID]]</f>
        <v>180078</v>
      </c>
      <c r="B1940" t="str">
        <f>[1]!hospitalinfo[[#This Row],[State]]</f>
        <v>KY</v>
      </c>
      <c r="C1940" t="str">
        <f>[1]!hospitalinfo[[#This Row],[Hospital Type]]</f>
        <v>Acute Care Hospitals</v>
      </c>
      <c r="D1940" t="str">
        <f>[1]!hospitalinfo[[#This Row],[Hospital Ownership]]</f>
        <v>Proprietary</v>
      </c>
      <c r="E1940" cm="1">
        <f t="array" ref="E1940">_xlfn.IFNA(_xlfn.XLOOKUP(1,([1]!hcahps[Facility ID] = clean[[#This Row],[Facility ID]]) * ([1]!hcahps[HCAHPS Measure ID] = "H_HSP_RATING_LINEAR_SCORE"), [1]!hcahps[HCAHPS Linear Mean Value]), "No Match")</f>
        <v>84</v>
      </c>
      <c r="F1940" cm="1">
        <f t="array" ref="F1940">_xlfn.IFNA(_xlfn.XLOOKUP(1,([1]!readmissions[Facility ID] = clean[[#This Row],[Facility ID]]) * ([1]!readmissions[Measure ID] = "Hybrid_HWR"), [1]!readmissions[Score]), "No Match")</f>
        <v>15.5</v>
      </c>
    </row>
    <row r="1941" spans="1:6" x14ac:dyDescent="0.2">
      <c r="A1941">
        <f>[1]!hospitalinfo[[#This Row],[Facility ID]]</f>
        <v>180079</v>
      </c>
      <c r="B1941" t="str">
        <f>[1]!hospitalinfo[[#This Row],[State]]</f>
        <v>KY</v>
      </c>
      <c r="C1941" t="str">
        <f>[1]!hospitalinfo[[#This Row],[Hospital Type]]</f>
        <v>Acute Care Hospitals</v>
      </c>
      <c r="D1941" t="str">
        <f>[1]!hospitalinfo[[#This Row],[Hospital Ownership]]</f>
        <v>Voluntary non-profit - Other</v>
      </c>
      <c r="E1941" cm="1">
        <f t="array" ref="E1941">_xlfn.IFNA(_xlfn.XLOOKUP(1,([1]!hcahps[Facility ID] = clean[[#This Row],[Facility ID]]) * ([1]!hcahps[HCAHPS Measure ID] = "H_HSP_RATING_LINEAR_SCORE"), [1]!hcahps[HCAHPS Linear Mean Value]), "No Match")</f>
        <v>94</v>
      </c>
      <c r="F1941" cm="1">
        <f t="array" ref="F1941">_xlfn.IFNA(_xlfn.XLOOKUP(1,([1]!readmissions[Facility ID] = clean[[#This Row],[Facility ID]]) * ([1]!readmissions[Measure ID] = "Hybrid_HWR"), [1]!readmissions[Score]), "No Match")</f>
        <v>14.7</v>
      </c>
    </row>
    <row r="1942" spans="1:6" x14ac:dyDescent="0.2">
      <c r="A1942">
        <f>[1]!hospitalinfo[[#This Row],[Facility ID]]</f>
        <v>180080</v>
      </c>
      <c r="B1942" t="str">
        <f>[1]!hospitalinfo[[#This Row],[State]]</f>
        <v>KY</v>
      </c>
      <c r="C1942" t="str">
        <f>[1]!hospitalinfo[[#This Row],[Hospital Type]]</f>
        <v>Acute Care Hospitals</v>
      </c>
      <c r="D1942" t="str">
        <f>[1]!hospitalinfo[[#This Row],[Hospital Ownership]]</f>
        <v>Voluntary non-profit - Private</v>
      </c>
      <c r="E1942" cm="1">
        <f t="array" ref="E1942">_xlfn.IFNA(_xlfn.XLOOKUP(1,([1]!hcahps[Facility ID] = clean[[#This Row],[Facility ID]]) * ([1]!hcahps[HCAHPS Measure ID] = "H_HSP_RATING_LINEAR_SCORE"), [1]!hcahps[HCAHPS Linear Mean Value]), "No Match")</f>
        <v>90</v>
      </c>
      <c r="F1942" cm="1">
        <f t="array" ref="F1942">_xlfn.IFNA(_xlfn.XLOOKUP(1,([1]!readmissions[Facility ID] = clean[[#This Row],[Facility ID]]) * ([1]!readmissions[Measure ID] = "Hybrid_HWR"), [1]!readmissions[Score]), "No Match")</f>
        <v>14.3</v>
      </c>
    </row>
    <row r="1943" spans="1:6" x14ac:dyDescent="0.2">
      <c r="A1943">
        <f>[1]!hospitalinfo[[#This Row],[Facility ID]]</f>
        <v>180087</v>
      </c>
      <c r="B1943" t="str">
        <f>[1]!hospitalinfo[[#This Row],[State]]</f>
        <v>KY</v>
      </c>
      <c r="C1943" t="str">
        <f>[1]!hospitalinfo[[#This Row],[Hospital Type]]</f>
        <v>Acute Care Hospitals</v>
      </c>
      <c r="D1943" t="str">
        <f>[1]!hospitalinfo[[#This Row],[Hospital Ownership]]</f>
        <v>Government - Hospital District or Authority</v>
      </c>
      <c r="E1943" cm="1">
        <f t="array" ref="E1943">_xlfn.IFNA(_xlfn.XLOOKUP(1,([1]!hcahps[Facility ID] = clean[[#This Row],[Facility ID]]) * ([1]!hcahps[HCAHPS Measure ID] = "H_HSP_RATING_LINEAR_SCORE"), [1]!hcahps[HCAHPS Linear Mean Value]), "No Match")</f>
        <v>89</v>
      </c>
      <c r="F1943" cm="1">
        <f t="array" ref="F1943">_xlfn.IFNA(_xlfn.XLOOKUP(1,([1]!readmissions[Facility ID] = clean[[#This Row],[Facility ID]]) * ([1]!readmissions[Measure ID] = "Hybrid_HWR"), [1]!readmissions[Score]), "No Match")</f>
        <v>14.4</v>
      </c>
    </row>
    <row r="1944" spans="1:6" x14ac:dyDescent="0.2">
      <c r="A1944">
        <f>[1]!hospitalinfo[[#This Row],[Facility ID]]</f>
        <v>180088</v>
      </c>
      <c r="B1944" t="str">
        <f>[1]!hospitalinfo[[#This Row],[State]]</f>
        <v>KY</v>
      </c>
      <c r="C1944" t="str">
        <f>[1]!hospitalinfo[[#This Row],[Hospital Type]]</f>
        <v>Acute Care Hospitals</v>
      </c>
      <c r="D1944" t="str">
        <f>[1]!hospitalinfo[[#This Row],[Hospital Ownership]]</f>
        <v>Voluntary non-profit - Private</v>
      </c>
      <c r="E1944" cm="1">
        <f t="array" ref="E1944">_xlfn.IFNA(_xlfn.XLOOKUP(1,([1]!hcahps[Facility ID] = clean[[#This Row],[Facility ID]]) * ([1]!hcahps[HCAHPS Measure ID] = "H_HSP_RATING_LINEAR_SCORE"), [1]!hcahps[HCAHPS Linear Mean Value]), "No Match")</f>
        <v>88</v>
      </c>
      <c r="F1944" cm="1">
        <f t="array" ref="F1944">_xlfn.IFNA(_xlfn.XLOOKUP(1,([1]!readmissions[Facility ID] = clean[[#This Row],[Facility ID]]) * ([1]!readmissions[Measure ID] = "Hybrid_HWR"), [1]!readmissions[Score]), "No Match")</f>
        <v>16.3</v>
      </c>
    </row>
    <row r="1945" spans="1:6" x14ac:dyDescent="0.2">
      <c r="A1945">
        <f>[1]!hospitalinfo[[#This Row],[Facility ID]]</f>
        <v>180092</v>
      </c>
      <c r="B1945" t="str">
        <f>[1]!hospitalinfo[[#This Row],[State]]</f>
        <v>KY</v>
      </c>
      <c r="C1945" t="str">
        <f>[1]!hospitalinfo[[#This Row],[Hospital Type]]</f>
        <v>Acute Care Hospitals</v>
      </c>
      <c r="D1945" t="str">
        <f>[1]!hospitalinfo[[#This Row],[Hospital Ownership]]</f>
        <v>Proprietary</v>
      </c>
      <c r="E1945" cm="1">
        <f t="array" ref="E1945">_xlfn.IFNA(_xlfn.XLOOKUP(1,([1]!hcahps[Facility ID] = clean[[#This Row],[Facility ID]]) * ([1]!hcahps[HCAHPS Measure ID] = "H_HSP_RATING_LINEAR_SCORE"), [1]!hcahps[HCAHPS Linear Mean Value]), "No Match")</f>
        <v>88</v>
      </c>
      <c r="F1945" cm="1">
        <f t="array" ref="F1945">_xlfn.IFNA(_xlfn.XLOOKUP(1,([1]!readmissions[Facility ID] = clean[[#This Row],[Facility ID]]) * ([1]!readmissions[Measure ID] = "Hybrid_HWR"), [1]!readmissions[Score]), "No Match")</f>
        <v>15.7</v>
      </c>
    </row>
    <row r="1946" spans="1:6" x14ac:dyDescent="0.2">
      <c r="A1946">
        <f>[1]!hospitalinfo[[#This Row],[Facility ID]]</f>
        <v>180093</v>
      </c>
      <c r="B1946" t="str">
        <f>[1]!hospitalinfo[[#This Row],[State]]</f>
        <v>KY</v>
      </c>
      <c r="C1946" t="str">
        <f>[1]!hospitalinfo[[#This Row],[Hospital Type]]</f>
        <v>Acute Care Hospitals</v>
      </c>
      <c r="D1946" t="str">
        <f>[1]!hospitalinfo[[#This Row],[Hospital Ownership]]</f>
        <v>Voluntary non-profit - Private</v>
      </c>
      <c r="E1946" cm="1">
        <f t="array" ref="E1946">_xlfn.IFNA(_xlfn.XLOOKUP(1,([1]!hcahps[Facility ID] = clean[[#This Row],[Facility ID]]) * ([1]!hcahps[HCAHPS Measure ID] = "H_HSP_RATING_LINEAR_SCORE"), [1]!hcahps[HCAHPS Linear Mean Value]), "No Match")</f>
        <v>87</v>
      </c>
      <c r="F1946" cm="1">
        <f t="array" ref="F1946">_xlfn.IFNA(_xlfn.XLOOKUP(1,([1]!readmissions[Facility ID] = clean[[#This Row],[Facility ID]]) * ([1]!readmissions[Measure ID] = "Hybrid_HWR"), [1]!readmissions[Score]), "No Match")</f>
        <v>14.7</v>
      </c>
    </row>
    <row r="1947" spans="1:6" x14ac:dyDescent="0.2">
      <c r="A1947">
        <f>[1]!hospitalinfo[[#This Row],[Facility ID]]</f>
        <v>180101</v>
      </c>
      <c r="B1947" t="str">
        <f>[1]!hospitalinfo[[#This Row],[State]]</f>
        <v>KY</v>
      </c>
      <c r="C1947" t="str">
        <f>[1]!hospitalinfo[[#This Row],[Hospital Type]]</f>
        <v>Acute Care Hospitals</v>
      </c>
      <c r="D1947" t="str">
        <f>[1]!hospitalinfo[[#This Row],[Hospital Ownership]]</f>
        <v>Proprietary</v>
      </c>
      <c r="E1947" cm="1">
        <f t="array" ref="E1947">_xlfn.IFNA(_xlfn.XLOOKUP(1,([1]!hcahps[Facility ID] = clean[[#This Row],[Facility ID]]) * ([1]!hcahps[HCAHPS Measure ID] = "H_HSP_RATING_LINEAR_SCORE"), [1]!hcahps[HCAHPS Linear Mean Value]), "No Match")</f>
        <v>86</v>
      </c>
      <c r="F1947" cm="1">
        <f t="array" ref="F1947">_xlfn.IFNA(_xlfn.XLOOKUP(1,([1]!readmissions[Facility ID] = clean[[#This Row],[Facility ID]]) * ([1]!readmissions[Measure ID] = "Hybrid_HWR"), [1]!readmissions[Score]), "No Match")</f>
        <v>15.6</v>
      </c>
    </row>
    <row r="1948" spans="1:6" x14ac:dyDescent="0.2">
      <c r="A1948">
        <f>[1]!hospitalinfo[[#This Row],[Facility ID]]</f>
        <v>180102</v>
      </c>
      <c r="B1948" t="str">
        <f>[1]!hospitalinfo[[#This Row],[State]]</f>
        <v>KY</v>
      </c>
      <c r="C1948" t="str">
        <f>[1]!hospitalinfo[[#This Row],[Hospital Type]]</f>
        <v>Acute Care Hospitals</v>
      </c>
      <c r="D1948" t="str">
        <f>[1]!hospitalinfo[[#This Row],[Hospital Ownership]]</f>
        <v>Voluntary non-profit - Church</v>
      </c>
      <c r="E1948" cm="1">
        <f t="array" ref="E1948">_xlfn.IFNA(_xlfn.XLOOKUP(1,([1]!hcahps[Facility ID] = clean[[#This Row],[Facility ID]]) * ([1]!hcahps[HCAHPS Measure ID] = "H_HSP_RATING_LINEAR_SCORE"), [1]!hcahps[HCAHPS Linear Mean Value]), "No Match")</f>
        <v>86</v>
      </c>
      <c r="F1948" cm="1">
        <f t="array" ref="F1948">_xlfn.IFNA(_xlfn.XLOOKUP(1,([1]!readmissions[Facility ID] = clean[[#This Row],[Facility ID]]) * ([1]!readmissions[Measure ID] = "Hybrid_HWR"), [1]!readmissions[Score]), "No Match")</f>
        <v>15.5</v>
      </c>
    </row>
    <row r="1949" spans="1:6" x14ac:dyDescent="0.2">
      <c r="A1949">
        <f>[1]!hospitalinfo[[#This Row],[Facility ID]]</f>
        <v>180103</v>
      </c>
      <c r="B1949" t="str">
        <f>[1]!hospitalinfo[[#This Row],[State]]</f>
        <v>KY</v>
      </c>
      <c r="C1949" t="str">
        <f>[1]!hospitalinfo[[#This Row],[Hospital Type]]</f>
        <v>Acute Care Hospitals</v>
      </c>
      <c r="D1949" t="str">
        <f>[1]!hospitalinfo[[#This Row],[Hospital Ownership]]</f>
        <v>Voluntary non-profit - Other</v>
      </c>
      <c r="E1949" cm="1">
        <f t="array" ref="E1949">_xlfn.IFNA(_xlfn.XLOOKUP(1,([1]!hcahps[Facility ID] = clean[[#This Row],[Facility ID]]) * ([1]!hcahps[HCAHPS Measure ID] = "H_HSP_RATING_LINEAR_SCORE"), [1]!hcahps[HCAHPS Linear Mean Value]), "No Match")</f>
        <v>93</v>
      </c>
      <c r="F1949" cm="1">
        <f t="array" ref="F1949">_xlfn.IFNA(_xlfn.XLOOKUP(1,([1]!readmissions[Facility ID] = clean[[#This Row],[Facility ID]]) * ([1]!readmissions[Measure ID] = "Hybrid_HWR"), [1]!readmissions[Score]), "No Match")</f>
        <v>14.4</v>
      </c>
    </row>
    <row r="1950" spans="1:6" x14ac:dyDescent="0.2">
      <c r="A1950">
        <f>[1]!hospitalinfo[[#This Row],[Facility ID]]</f>
        <v>180104</v>
      </c>
      <c r="B1950" t="str">
        <f>[1]!hospitalinfo[[#This Row],[State]]</f>
        <v>KY</v>
      </c>
      <c r="C1950" t="str">
        <f>[1]!hospitalinfo[[#This Row],[Hospital Type]]</f>
        <v>Acute Care Hospitals</v>
      </c>
      <c r="D1950" t="str">
        <f>[1]!hospitalinfo[[#This Row],[Hospital Ownership]]</f>
        <v>Voluntary non-profit - Church</v>
      </c>
      <c r="E1950" cm="1">
        <f t="array" ref="E1950">_xlfn.IFNA(_xlfn.XLOOKUP(1,([1]!hcahps[Facility ID] = clean[[#This Row],[Facility ID]]) * ([1]!hcahps[HCAHPS Measure ID] = "H_HSP_RATING_LINEAR_SCORE"), [1]!hcahps[HCAHPS Linear Mean Value]), "No Match")</f>
        <v>91</v>
      </c>
      <c r="F1950" cm="1">
        <f t="array" ref="F1950">_xlfn.IFNA(_xlfn.XLOOKUP(1,([1]!readmissions[Facility ID] = clean[[#This Row],[Facility ID]]) * ([1]!readmissions[Measure ID] = "Hybrid_HWR"), [1]!readmissions[Score]), "No Match")</f>
        <v>14.8</v>
      </c>
    </row>
    <row r="1951" spans="1:6" x14ac:dyDescent="0.2">
      <c r="A1951">
        <f>[1]!hospitalinfo[[#This Row],[Facility ID]]</f>
        <v>180105</v>
      </c>
      <c r="B1951" t="str">
        <f>[1]!hospitalinfo[[#This Row],[State]]</f>
        <v>KY</v>
      </c>
      <c r="C1951" t="str">
        <f>[1]!hospitalinfo[[#This Row],[Hospital Type]]</f>
        <v>Acute Care Hospitals</v>
      </c>
      <c r="D1951" t="str">
        <f>[1]!hospitalinfo[[#This Row],[Hospital Ownership]]</f>
        <v>Voluntary non-profit - Other</v>
      </c>
      <c r="E1951" cm="1">
        <f t="array" ref="E1951">_xlfn.IFNA(_xlfn.XLOOKUP(1,([1]!hcahps[Facility ID] = clean[[#This Row],[Facility ID]]) * ([1]!hcahps[HCAHPS Measure ID] = "H_HSP_RATING_LINEAR_SCORE"), [1]!hcahps[HCAHPS Linear Mean Value]), "No Match")</f>
        <v>90</v>
      </c>
      <c r="F1951" cm="1">
        <f t="array" ref="F1951">_xlfn.IFNA(_xlfn.XLOOKUP(1,([1]!readmissions[Facility ID] = clean[[#This Row],[Facility ID]]) * ([1]!readmissions[Measure ID] = "Hybrid_HWR"), [1]!readmissions[Score]), "No Match")</f>
        <v>16.8</v>
      </c>
    </row>
    <row r="1952" spans="1:6" x14ac:dyDescent="0.2">
      <c r="A1952">
        <f>[1]!hospitalinfo[[#This Row],[Facility ID]]</f>
        <v>180115</v>
      </c>
      <c r="B1952" t="str">
        <f>[1]!hospitalinfo[[#This Row],[State]]</f>
        <v>KY</v>
      </c>
      <c r="C1952" t="str">
        <f>[1]!hospitalinfo[[#This Row],[Hospital Type]]</f>
        <v>Acute Care Hospitals</v>
      </c>
      <c r="D1952" t="str">
        <f>[1]!hospitalinfo[[#This Row],[Hospital Ownership]]</f>
        <v>Voluntary non-profit - Private</v>
      </c>
      <c r="E1952" t="str" cm="1">
        <f t="array" ref="E1952">_xlfn.IFNA(_xlfn.XLOOKUP(1,([1]!hcahps[Facility ID] = clean[[#This Row],[Facility ID]]) * ([1]!hcahps[HCAHPS Measure ID] = "H_HSP_RATING_LINEAR_SCORE"), [1]!hcahps[HCAHPS Linear Mean Value]), "No Match")</f>
        <v>Not Available</v>
      </c>
      <c r="F1952" cm="1">
        <f t="array" ref="F1952">_xlfn.IFNA(_xlfn.XLOOKUP(1,([1]!readmissions[Facility ID] = clean[[#This Row],[Facility ID]]) * ([1]!readmissions[Measure ID] = "Hybrid_HWR"), [1]!readmissions[Score]), "No Match")</f>
        <v>14.8</v>
      </c>
    </row>
    <row r="1953" spans="1:6" x14ac:dyDescent="0.2">
      <c r="A1953">
        <f>[1]!hospitalinfo[[#This Row],[Facility ID]]</f>
        <v>180116</v>
      </c>
      <c r="B1953" t="str">
        <f>[1]!hospitalinfo[[#This Row],[State]]</f>
        <v>KY</v>
      </c>
      <c r="C1953" t="str">
        <f>[1]!hospitalinfo[[#This Row],[Hospital Type]]</f>
        <v>Acute Care Hospitals</v>
      </c>
      <c r="D1953" t="str">
        <f>[1]!hospitalinfo[[#This Row],[Hospital Ownership]]</f>
        <v>Government - Hospital District or Authority</v>
      </c>
      <c r="E1953" cm="1">
        <f t="array" ref="E1953">_xlfn.IFNA(_xlfn.XLOOKUP(1,([1]!hcahps[Facility ID] = clean[[#This Row],[Facility ID]]) * ([1]!hcahps[HCAHPS Measure ID] = "H_HSP_RATING_LINEAR_SCORE"), [1]!hcahps[HCAHPS Linear Mean Value]), "No Match")</f>
        <v>86</v>
      </c>
      <c r="F1953" cm="1">
        <f t="array" ref="F1953">_xlfn.IFNA(_xlfn.XLOOKUP(1,([1]!readmissions[Facility ID] = clean[[#This Row],[Facility ID]]) * ([1]!readmissions[Measure ID] = "Hybrid_HWR"), [1]!readmissions[Score]), "No Match")</f>
        <v>15.3</v>
      </c>
    </row>
    <row r="1954" spans="1:6" x14ac:dyDescent="0.2">
      <c r="A1954">
        <f>[1]!hospitalinfo[[#This Row],[Facility ID]]</f>
        <v>180124</v>
      </c>
      <c r="B1954" t="str">
        <f>[1]!hospitalinfo[[#This Row],[State]]</f>
        <v>KY</v>
      </c>
      <c r="C1954" t="str">
        <f>[1]!hospitalinfo[[#This Row],[Hospital Type]]</f>
        <v>Acute Care Hospitals</v>
      </c>
      <c r="D1954" t="str">
        <f>[1]!hospitalinfo[[#This Row],[Hospital Ownership]]</f>
        <v>Proprietary</v>
      </c>
      <c r="E1954" cm="1">
        <f t="array" ref="E1954">_xlfn.IFNA(_xlfn.XLOOKUP(1,([1]!hcahps[Facility ID] = clean[[#This Row],[Facility ID]]) * ([1]!hcahps[HCAHPS Measure ID] = "H_HSP_RATING_LINEAR_SCORE"), [1]!hcahps[HCAHPS Linear Mean Value]), "No Match")</f>
        <v>87</v>
      </c>
      <c r="F1954" cm="1">
        <f t="array" ref="F1954">_xlfn.IFNA(_xlfn.XLOOKUP(1,([1]!readmissions[Facility ID] = clean[[#This Row],[Facility ID]]) * ([1]!readmissions[Measure ID] = "Hybrid_HWR"), [1]!readmissions[Score]), "No Match")</f>
        <v>15.8</v>
      </c>
    </row>
    <row r="1955" spans="1:6" x14ac:dyDescent="0.2">
      <c r="A1955">
        <f>[1]!hospitalinfo[[#This Row],[Facility ID]]</f>
        <v>180127</v>
      </c>
      <c r="B1955" t="str">
        <f>[1]!hospitalinfo[[#This Row],[State]]</f>
        <v>KY</v>
      </c>
      <c r="C1955" t="str">
        <f>[1]!hospitalinfo[[#This Row],[Hospital Type]]</f>
        <v>Acute Care Hospitals</v>
      </c>
      <c r="D1955" t="str">
        <f>[1]!hospitalinfo[[#This Row],[Hospital Ownership]]</f>
        <v>Proprietary</v>
      </c>
      <c r="E1955" cm="1">
        <f t="array" ref="E1955">_xlfn.IFNA(_xlfn.XLOOKUP(1,([1]!hcahps[Facility ID] = clean[[#This Row],[Facility ID]]) * ([1]!hcahps[HCAHPS Measure ID] = "H_HSP_RATING_LINEAR_SCORE"), [1]!hcahps[HCAHPS Linear Mean Value]), "No Match")</f>
        <v>82</v>
      </c>
      <c r="F1955" cm="1">
        <f t="array" ref="F1955">_xlfn.IFNA(_xlfn.XLOOKUP(1,([1]!readmissions[Facility ID] = clean[[#This Row],[Facility ID]]) * ([1]!readmissions[Measure ID] = "Hybrid_HWR"), [1]!readmissions[Score]), "No Match")</f>
        <v>16</v>
      </c>
    </row>
    <row r="1956" spans="1:6" x14ac:dyDescent="0.2">
      <c r="A1956">
        <f>[1]!hospitalinfo[[#This Row],[Facility ID]]</f>
        <v>180128</v>
      </c>
      <c r="B1956" t="str">
        <f>[1]!hospitalinfo[[#This Row],[State]]</f>
        <v>KY</v>
      </c>
      <c r="C1956" t="str">
        <f>[1]!hospitalinfo[[#This Row],[Hospital Type]]</f>
        <v>Acute Care Hospitals</v>
      </c>
      <c r="D1956" t="str">
        <f>[1]!hospitalinfo[[#This Row],[Hospital Ownership]]</f>
        <v>Proprietary</v>
      </c>
      <c r="E1956" cm="1">
        <f t="array" ref="E1956">_xlfn.IFNA(_xlfn.XLOOKUP(1,([1]!hcahps[Facility ID] = clean[[#This Row],[Facility ID]]) * ([1]!hcahps[HCAHPS Measure ID] = "H_HSP_RATING_LINEAR_SCORE"), [1]!hcahps[HCAHPS Linear Mean Value]), "No Match")</f>
        <v>92</v>
      </c>
      <c r="F1956" cm="1">
        <f t="array" ref="F1956">_xlfn.IFNA(_xlfn.XLOOKUP(1,([1]!readmissions[Facility ID] = clean[[#This Row],[Facility ID]]) * ([1]!readmissions[Measure ID] = "Hybrid_HWR"), [1]!readmissions[Score]), "No Match")</f>
        <v>15.2</v>
      </c>
    </row>
    <row r="1957" spans="1:6" x14ac:dyDescent="0.2">
      <c r="A1957">
        <f>[1]!hospitalinfo[[#This Row],[Facility ID]]</f>
        <v>180130</v>
      </c>
      <c r="B1957" t="str">
        <f>[1]!hospitalinfo[[#This Row],[State]]</f>
        <v>KY</v>
      </c>
      <c r="C1957" t="str">
        <f>[1]!hospitalinfo[[#This Row],[Hospital Type]]</f>
        <v>Acute Care Hospitals</v>
      </c>
      <c r="D1957" t="str">
        <f>[1]!hospitalinfo[[#This Row],[Hospital Ownership]]</f>
        <v>Voluntary non-profit - Private</v>
      </c>
      <c r="E1957" cm="1">
        <f t="array" ref="E1957">_xlfn.IFNA(_xlfn.XLOOKUP(1,([1]!hcahps[Facility ID] = clean[[#This Row],[Facility ID]]) * ([1]!hcahps[HCAHPS Measure ID] = "H_HSP_RATING_LINEAR_SCORE"), [1]!hcahps[HCAHPS Linear Mean Value]), "No Match")</f>
        <v>89</v>
      </c>
      <c r="F1957" cm="1">
        <f t="array" ref="F1957">_xlfn.IFNA(_xlfn.XLOOKUP(1,([1]!readmissions[Facility ID] = clean[[#This Row],[Facility ID]]) * ([1]!readmissions[Measure ID] = "Hybrid_HWR"), [1]!readmissions[Score]), "No Match")</f>
        <v>14.4</v>
      </c>
    </row>
    <row r="1958" spans="1:6" x14ac:dyDescent="0.2">
      <c r="A1958">
        <f>[1]!hospitalinfo[[#This Row],[Facility ID]]</f>
        <v>180132</v>
      </c>
      <c r="B1958" t="str">
        <f>[1]!hospitalinfo[[#This Row],[State]]</f>
        <v>KY</v>
      </c>
      <c r="C1958" t="str">
        <f>[1]!hospitalinfo[[#This Row],[Hospital Type]]</f>
        <v>Acute Care Hospitals</v>
      </c>
      <c r="D1958" t="str">
        <f>[1]!hospitalinfo[[#This Row],[Hospital Ownership]]</f>
        <v>Proprietary</v>
      </c>
      <c r="E1958" cm="1">
        <f t="array" ref="E1958">_xlfn.IFNA(_xlfn.XLOOKUP(1,([1]!hcahps[Facility ID] = clean[[#This Row],[Facility ID]]) * ([1]!hcahps[HCAHPS Measure ID] = "H_HSP_RATING_LINEAR_SCORE"), [1]!hcahps[HCAHPS Linear Mean Value]), "No Match")</f>
        <v>84</v>
      </c>
      <c r="F1958" cm="1">
        <f t="array" ref="F1958">_xlfn.IFNA(_xlfn.XLOOKUP(1,([1]!readmissions[Facility ID] = clean[[#This Row],[Facility ID]]) * ([1]!readmissions[Measure ID] = "Hybrid_HWR"), [1]!readmissions[Score]), "No Match")</f>
        <v>15.9</v>
      </c>
    </row>
    <row r="1959" spans="1:6" x14ac:dyDescent="0.2">
      <c r="A1959">
        <f>[1]!hospitalinfo[[#This Row],[Facility ID]]</f>
        <v>180138</v>
      </c>
      <c r="B1959" t="str">
        <f>[1]!hospitalinfo[[#This Row],[State]]</f>
        <v>KY</v>
      </c>
      <c r="C1959" t="str">
        <f>[1]!hospitalinfo[[#This Row],[Hospital Type]]</f>
        <v>Acute Care Hospitals</v>
      </c>
      <c r="D1959" t="str">
        <f>[1]!hospitalinfo[[#This Row],[Hospital Ownership]]</f>
        <v>Voluntary non-profit - Private</v>
      </c>
      <c r="E1959" cm="1">
        <f t="array" ref="E1959">_xlfn.IFNA(_xlfn.XLOOKUP(1,([1]!hcahps[Facility ID] = clean[[#This Row],[Facility ID]]) * ([1]!hcahps[HCAHPS Measure ID] = "H_HSP_RATING_LINEAR_SCORE"), [1]!hcahps[HCAHPS Linear Mean Value]), "No Match")</f>
        <v>92</v>
      </c>
      <c r="F1959" cm="1">
        <f t="array" ref="F1959">_xlfn.IFNA(_xlfn.XLOOKUP(1,([1]!readmissions[Facility ID] = clean[[#This Row],[Facility ID]]) * ([1]!readmissions[Measure ID] = "Hybrid_HWR"), [1]!readmissions[Score]), "No Match")</f>
        <v>14.4</v>
      </c>
    </row>
    <row r="1960" spans="1:6" x14ac:dyDescent="0.2">
      <c r="A1960">
        <f>[1]!hospitalinfo[[#This Row],[Facility ID]]</f>
        <v>180141</v>
      </c>
      <c r="B1960" t="str">
        <f>[1]!hospitalinfo[[#This Row],[State]]</f>
        <v>KY</v>
      </c>
      <c r="C1960" t="str">
        <f>[1]!hospitalinfo[[#This Row],[Hospital Type]]</f>
        <v>Acute Care Hospitals</v>
      </c>
      <c r="D1960" t="str">
        <f>[1]!hospitalinfo[[#This Row],[Hospital Ownership]]</f>
        <v>Voluntary non-profit - Private</v>
      </c>
      <c r="E1960" cm="1">
        <f t="array" ref="E1960">_xlfn.IFNA(_xlfn.XLOOKUP(1,([1]!hcahps[Facility ID] = clean[[#This Row],[Facility ID]]) * ([1]!hcahps[HCAHPS Measure ID] = "H_HSP_RATING_LINEAR_SCORE"), [1]!hcahps[HCAHPS Linear Mean Value]), "No Match")</f>
        <v>86</v>
      </c>
      <c r="F1960" cm="1">
        <f t="array" ref="F1960">_xlfn.IFNA(_xlfn.XLOOKUP(1,([1]!readmissions[Facility ID] = clean[[#This Row],[Facility ID]]) * ([1]!readmissions[Measure ID] = "Hybrid_HWR"), [1]!readmissions[Score]), "No Match")</f>
        <v>16.399999999999999</v>
      </c>
    </row>
    <row r="1961" spans="1:6" x14ac:dyDescent="0.2">
      <c r="A1961">
        <f>[1]!hospitalinfo[[#This Row],[Facility ID]]</f>
        <v>180143</v>
      </c>
      <c r="B1961" t="str">
        <f>[1]!hospitalinfo[[#This Row],[State]]</f>
        <v>KY</v>
      </c>
      <c r="C1961" t="str">
        <f>[1]!hospitalinfo[[#This Row],[Hospital Type]]</f>
        <v>Acute Care Hospitals</v>
      </c>
      <c r="D1961" t="str">
        <f>[1]!hospitalinfo[[#This Row],[Hospital Ownership]]</f>
        <v>Voluntary non-profit - Private</v>
      </c>
      <c r="E1961" cm="1">
        <f t="array" ref="E1961">_xlfn.IFNA(_xlfn.XLOOKUP(1,([1]!hcahps[Facility ID] = clean[[#This Row],[Facility ID]]) * ([1]!hcahps[HCAHPS Measure ID] = "H_HSP_RATING_LINEAR_SCORE"), [1]!hcahps[HCAHPS Linear Mean Value]), "No Match")</f>
        <v>86</v>
      </c>
      <c r="F1961" cm="1">
        <f t="array" ref="F1961">_xlfn.IFNA(_xlfn.XLOOKUP(1,([1]!readmissions[Facility ID] = clean[[#This Row],[Facility ID]]) * ([1]!readmissions[Measure ID] = "Hybrid_HWR"), [1]!readmissions[Score]), "No Match")</f>
        <v>15.2</v>
      </c>
    </row>
    <row r="1962" spans="1:6" x14ac:dyDescent="0.2">
      <c r="A1962">
        <f>[1]!hospitalinfo[[#This Row],[Facility ID]]</f>
        <v>180149</v>
      </c>
      <c r="B1962" t="str">
        <f>[1]!hospitalinfo[[#This Row],[State]]</f>
        <v>KY</v>
      </c>
      <c r="C1962" t="str">
        <f>[1]!hospitalinfo[[#This Row],[Hospital Type]]</f>
        <v>Acute Care Hospitals</v>
      </c>
      <c r="D1962" t="str">
        <f>[1]!hospitalinfo[[#This Row],[Hospital Ownership]]</f>
        <v>Government - Hospital District or Authority</v>
      </c>
      <c r="E1962" t="str" cm="1">
        <f t="array" ref="E1962">_xlfn.IFNA(_xlfn.XLOOKUP(1,([1]!hcahps[Facility ID] = clean[[#This Row],[Facility ID]]) * ([1]!hcahps[HCAHPS Measure ID] = "H_HSP_RATING_LINEAR_SCORE"), [1]!hcahps[HCAHPS Linear Mean Value]), "No Match")</f>
        <v>Not Available</v>
      </c>
      <c r="F1962" cm="1">
        <f t="array" ref="F1962">_xlfn.IFNA(_xlfn.XLOOKUP(1,([1]!readmissions[Facility ID] = clean[[#This Row],[Facility ID]]) * ([1]!readmissions[Measure ID] = "Hybrid_HWR"), [1]!readmissions[Score]), "No Match")</f>
        <v>15</v>
      </c>
    </row>
    <row r="1963" spans="1:6" x14ac:dyDescent="0.2">
      <c r="A1963">
        <f>[1]!hospitalinfo[[#This Row],[Facility ID]]</f>
        <v>180154</v>
      </c>
      <c r="B1963" t="str">
        <f>[1]!hospitalinfo[[#This Row],[State]]</f>
        <v>KY</v>
      </c>
      <c r="C1963" t="str">
        <f>[1]!hospitalinfo[[#This Row],[Hospital Type]]</f>
        <v>Acute Care Hospitals</v>
      </c>
      <c r="D1963" t="str">
        <f>[1]!hospitalinfo[[#This Row],[Hospital Ownership]]</f>
        <v>Voluntary non-profit - Private</v>
      </c>
      <c r="E1963" t="str" cm="1">
        <f t="array" ref="E1963">_xlfn.IFNA(_xlfn.XLOOKUP(1,([1]!hcahps[Facility ID] = clean[[#This Row],[Facility ID]]) * ([1]!hcahps[HCAHPS Measure ID] = "H_HSP_RATING_LINEAR_SCORE"), [1]!hcahps[HCAHPS Linear Mean Value]), "No Match")</f>
        <v>Not Available</v>
      </c>
      <c r="F1963" cm="1">
        <f t="array" ref="F1963">_xlfn.IFNA(_xlfn.XLOOKUP(1,([1]!readmissions[Facility ID] = clean[[#This Row],[Facility ID]]) * ([1]!readmissions[Measure ID] = "Hybrid_HWR"), [1]!readmissions[Score]), "No Match")</f>
        <v>14.9</v>
      </c>
    </row>
    <row r="1964" spans="1:6" x14ac:dyDescent="0.2">
      <c r="A1964">
        <f>[1]!hospitalinfo[[#This Row],[Facility ID]]</f>
        <v>180779</v>
      </c>
      <c r="B1964" t="str">
        <f>[1]!hospitalinfo[[#This Row],[State]]</f>
        <v>KY</v>
      </c>
      <c r="C1964" t="str">
        <f>[1]!hospitalinfo[[#This Row],[Hospital Type]]</f>
        <v>Rural Emergency Hospital</v>
      </c>
      <c r="D1964" t="str">
        <f>[1]!hospitalinfo[[#This Row],[Hospital Ownership]]</f>
        <v>Government - Local</v>
      </c>
      <c r="E1964" t="str" cm="1">
        <f t="array" ref="E1964">_xlfn.IFNA(_xlfn.XLOOKUP(1,([1]!hcahps[Facility ID] = clean[[#This Row],[Facility ID]]) * ([1]!hcahps[HCAHPS Measure ID] = "H_HSP_RATING_LINEAR_SCORE"), [1]!hcahps[HCAHPS Linear Mean Value]), "No Match")</f>
        <v>Not Available</v>
      </c>
      <c r="F1964" t="str" cm="1">
        <f t="array" ref="F1964">_xlfn.IFNA(_xlfn.XLOOKUP(1,([1]!readmissions[Facility ID] = clean[[#This Row],[Facility ID]]) * ([1]!readmissions[Measure ID] = "Hybrid_HWR"), [1]!readmissions[Score]), "No Match")</f>
        <v>Not Available</v>
      </c>
    </row>
    <row r="1965" spans="1:6" x14ac:dyDescent="0.2">
      <c r="A1965">
        <f>[1]!hospitalinfo[[#This Row],[Facility ID]]</f>
        <v>180780</v>
      </c>
      <c r="B1965" t="str">
        <f>[1]!hospitalinfo[[#This Row],[State]]</f>
        <v>KY</v>
      </c>
      <c r="C1965" t="str">
        <f>[1]!hospitalinfo[[#This Row],[Hospital Type]]</f>
        <v>Rural Emergency Hospital</v>
      </c>
      <c r="D1965" t="str">
        <f>[1]!hospitalinfo[[#This Row],[Hospital Ownership]]</f>
        <v>Voluntary non-profit - Other</v>
      </c>
      <c r="E1965" t="str" cm="1">
        <f t="array" ref="E1965">_xlfn.IFNA(_xlfn.XLOOKUP(1,([1]!hcahps[Facility ID] = clean[[#This Row],[Facility ID]]) * ([1]!hcahps[HCAHPS Measure ID] = "H_HSP_RATING_LINEAR_SCORE"), [1]!hcahps[HCAHPS Linear Mean Value]), "No Match")</f>
        <v>Not Available</v>
      </c>
      <c r="F1965" t="str" cm="1">
        <f t="array" ref="F1965">_xlfn.IFNA(_xlfn.XLOOKUP(1,([1]!readmissions[Facility ID] = clean[[#This Row],[Facility ID]]) * ([1]!readmissions[Measure ID] = "Hybrid_HWR"), [1]!readmissions[Score]), "No Match")</f>
        <v>Not Available</v>
      </c>
    </row>
    <row r="1966" spans="1:6" x14ac:dyDescent="0.2">
      <c r="A1966">
        <f>[1]!hospitalinfo[[#This Row],[Facility ID]]</f>
        <v>181301</v>
      </c>
      <c r="B1966" t="str">
        <f>[1]!hospitalinfo[[#This Row],[State]]</f>
        <v>KY</v>
      </c>
      <c r="C1966" t="str">
        <f>[1]!hospitalinfo[[#This Row],[Hospital Type]]</f>
        <v>Critical Access Hospitals</v>
      </c>
      <c r="D1966" t="str">
        <f>[1]!hospitalinfo[[#This Row],[Hospital Ownership]]</f>
        <v>Voluntary non-profit - Private</v>
      </c>
      <c r="E1966" t="str" cm="1">
        <f t="array" ref="E1966">_xlfn.IFNA(_xlfn.XLOOKUP(1,([1]!hcahps[Facility ID] = clean[[#This Row],[Facility ID]]) * ([1]!hcahps[HCAHPS Measure ID] = "H_HSP_RATING_LINEAR_SCORE"), [1]!hcahps[HCAHPS Linear Mean Value]), "No Match")</f>
        <v>Not Available</v>
      </c>
      <c r="F1966" cm="1">
        <f t="array" ref="F1966">_xlfn.IFNA(_xlfn.XLOOKUP(1,([1]!readmissions[Facility ID] = clean[[#This Row],[Facility ID]]) * ([1]!readmissions[Measure ID] = "Hybrid_HWR"), [1]!readmissions[Score]), "No Match")</f>
        <v>15</v>
      </c>
    </row>
    <row r="1967" spans="1:6" x14ac:dyDescent="0.2">
      <c r="A1967">
        <f>[1]!hospitalinfo[[#This Row],[Facility ID]]</f>
        <v>181302</v>
      </c>
      <c r="B1967" t="str">
        <f>[1]!hospitalinfo[[#This Row],[State]]</f>
        <v>KY</v>
      </c>
      <c r="C1967" t="str">
        <f>[1]!hospitalinfo[[#This Row],[Hospital Type]]</f>
        <v>Critical Access Hospitals</v>
      </c>
      <c r="D1967" t="str">
        <f>[1]!hospitalinfo[[#This Row],[Hospital Ownership]]</f>
        <v>Voluntary non-profit - Other</v>
      </c>
      <c r="E1967" t="str" cm="1">
        <f t="array" ref="E1967">_xlfn.IFNA(_xlfn.XLOOKUP(1,([1]!hcahps[Facility ID] = clean[[#This Row],[Facility ID]]) * ([1]!hcahps[HCAHPS Measure ID] = "H_HSP_RATING_LINEAR_SCORE"), [1]!hcahps[HCAHPS Linear Mean Value]), "No Match")</f>
        <v>Not Available</v>
      </c>
      <c r="F1967" cm="1">
        <f t="array" ref="F1967">_xlfn.IFNA(_xlfn.XLOOKUP(1,([1]!readmissions[Facility ID] = clean[[#This Row],[Facility ID]]) * ([1]!readmissions[Measure ID] = "Hybrid_HWR"), [1]!readmissions[Score]), "No Match")</f>
        <v>15.1</v>
      </c>
    </row>
    <row r="1968" spans="1:6" x14ac:dyDescent="0.2">
      <c r="A1968">
        <f>[1]!hospitalinfo[[#This Row],[Facility ID]]</f>
        <v>181304</v>
      </c>
      <c r="B1968" t="str">
        <f>[1]!hospitalinfo[[#This Row],[State]]</f>
        <v>KY</v>
      </c>
      <c r="C1968" t="str">
        <f>[1]!hospitalinfo[[#This Row],[Hospital Type]]</f>
        <v>Critical Access Hospitals</v>
      </c>
      <c r="D1968" t="str">
        <f>[1]!hospitalinfo[[#This Row],[Hospital Ownership]]</f>
        <v>Voluntary non-profit - Private</v>
      </c>
      <c r="E1968" t="str" cm="1">
        <f t="array" ref="E1968">_xlfn.IFNA(_xlfn.XLOOKUP(1,([1]!hcahps[Facility ID] = clean[[#This Row],[Facility ID]]) * ([1]!hcahps[HCAHPS Measure ID] = "H_HSP_RATING_LINEAR_SCORE"), [1]!hcahps[HCAHPS Linear Mean Value]), "No Match")</f>
        <v>Not Available</v>
      </c>
      <c r="F1968" cm="1">
        <f t="array" ref="F1968">_xlfn.IFNA(_xlfn.XLOOKUP(1,([1]!readmissions[Facility ID] = clean[[#This Row],[Facility ID]]) * ([1]!readmissions[Measure ID] = "Hybrid_HWR"), [1]!readmissions[Score]), "No Match")</f>
        <v>15.3</v>
      </c>
    </row>
    <row r="1969" spans="1:6" x14ac:dyDescent="0.2">
      <c r="A1969">
        <f>[1]!hospitalinfo[[#This Row],[Facility ID]]</f>
        <v>181305</v>
      </c>
      <c r="B1969" t="str">
        <f>[1]!hospitalinfo[[#This Row],[State]]</f>
        <v>KY</v>
      </c>
      <c r="C1969" t="str">
        <f>[1]!hospitalinfo[[#This Row],[Hospital Type]]</f>
        <v>Critical Access Hospitals</v>
      </c>
      <c r="D1969" t="str">
        <f>[1]!hospitalinfo[[#This Row],[Hospital Ownership]]</f>
        <v>Voluntary non-profit - Private</v>
      </c>
      <c r="E1969" t="str" cm="1">
        <f t="array" ref="E1969">_xlfn.IFNA(_xlfn.XLOOKUP(1,([1]!hcahps[Facility ID] = clean[[#This Row],[Facility ID]]) * ([1]!hcahps[HCAHPS Measure ID] = "H_HSP_RATING_LINEAR_SCORE"), [1]!hcahps[HCAHPS Linear Mean Value]), "No Match")</f>
        <v>Not Available</v>
      </c>
      <c r="F1969" t="str" cm="1">
        <f t="array" ref="F1969">_xlfn.IFNA(_xlfn.XLOOKUP(1,([1]!readmissions[Facility ID] = clean[[#This Row],[Facility ID]]) * ([1]!readmissions[Measure ID] = "Hybrid_HWR"), [1]!readmissions[Score]), "No Match")</f>
        <v>Not Available</v>
      </c>
    </row>
    <row r="1970" spans="1:6" x14ac:dyDescent="0.2">
      <c r="A1970">
        <f>[1]!hospitalinfo[[#This Row],[Facility ID]]</f>
        <v>181306</v>
      </c>
      <c r="B1970" t="str">
        <f>[1]!hospitalinfo[[#This Row],[State]]</f>
        <v>KY</v>
      </c>
      <c r="C1970" t="str">
        <f>[1]!hospitalinfo[[#This Row],[Hospital Type]]</f>
        <v>Critical Access Hospitals</v>
      </c>
      <c r="D1970" t="str">
        <f>[1]!hospitalinfo[[#This Row],[Hospital Ownership]]</f>
        <v>Voluntary non-profit - Church</v>
      </c>
      <c r="E1970" cm="1">
        <f t="array" ref="E1970">_xlfn.IFNA(_xlfn.XLOOKUP(1,([1]!hcahps[Facility ID] = clean[[#This Row],[Facility ID]]) * ([1]!hcahps[HCAHPS Measure ID] = "H_HSP_RATING_LINEAR_SCORE"), [1]!hcahps[HCAHPS Linear Mean Value]), "No Match")</f>
        <v>92</v>
      </c>
      <c r="F1970" t="str" cm="1">
        <f t="array" ref="F1970">_xlfn.IFNA(_xlfn.XLOOKUP(1,([1]!readmissions[Facility ID] = clean[[#This Row],[Facility ID]]) * ([1]!readmissions[Measure ID] = "Hybrid_HWR"), [1]!readmissions[Score]), "No Match")</f>
        <v>Not Available</v>
      </c>
    </row>
    <row r="1971" spans="1:6" x14ac:dyDescent="0.2">
      <c r="A1971">
        <f>[1]!hospitalinfo[[#This Row],[Facility ID]]</f>
        <v>181307</v>
      </c>
      <c r="B1971" t="str">
        <f>[1]!hospitalinfo[[#This Row],[State]]</f>
        <v>KY</v>
      </c>
      <c r="C1971" t="str">
        <f>[1]!hospitalinfo[[#This Row],[Hospital Type]]</f>
        <v>Critical Access Hospitals</v>
      </c>
      <c r="D1971" t="str">
        <f>[1]!hospitalinfo[[#This Row],[Hospital Ownership]]</f>
        <v>Voluntary non-profit - Private</v>
      </c>
      <c r="E1971" t="str" cm="1">
        <f t="array" ref="E1971">_xlfn.IFNA(_xlfn.XLOOKUP(1,([1]!hcahps[Facility ID] = clean[[#This Row],[Facility ID]]) * ([1]!hcahps[HCAHPS Measure ID] = "H_HSP_RATING_LINEAR_SCORE"), [1]!hcahps[HCAHPS Linear Mean Value]), "No Match")</f>
        <v>Not Available</v>
      </c>
      <c r="F1971" cm="1">
        <f t="array" ref="F1971">_xlfn.IFNA(_xlfn.XLOOKUP(1,([1]!readmissions[Facility ID] = clean[[#This Row],[Facility ID]]) * ([1]!readmissions[Measure ID] = "Hybrid_HWR"), [1]!readmissions[Score]), "No Match")</f>
        <v>15</v>
      </c>
    </row>
    <row r="1972" spans="1:6" x14ac:dyDescent="0.2">
      <c r="A1972">
        <f>[1]!hospitalinfo[[#This Row],[Facility ID]]</f>
        <v>181308</v>
      </c>
      <c r="B1972" t="str">
        <f>[1]!hospitalinfo[[#This Row],[State]]</f>
        <v>KY</v>
      </c>
      <c r="C1972" t="str">
        <f>[1]!hospitalinfo[[#This Row],[Hospital Type]]</f>
        <v>Critical Access Hospitals</v>
      </c>
      <c r="D1972" t="str">
        <f>[1]!hospitalinfo[[#This Row],[Hospital Ownership]]</f>
        <v>Proprietary</v>
      </c>
      <c r="E1972" t="str" cm="1">
        <f t="array" ref="E1972">_xlfn.IFNA(_xlfn.XLOOKUP(1,([1]!hcahps[Facility ID] = clean[[#This Row],[Facility ID]]) * ([1]!hcahps[HCAHPS Measure ID] = "H_HSP_RATING_LINEAR_SCORE"), [1]!hcahps[HCAHPS Linear Mean Value]), "No Match")</f>
        <v>Not Available</v>
      </c>
      <c r="F1972" cm="1">
        <f t="array" ref="F1972">_xlfn.IFNA(_xlfn.XLOOKUP(1,([1]!readmissions[Facility ID] = clean[[#This Row],[Facility ID]]) * ([1]!readmissions[Measure ID] = "Hybrid_HWR"), [1]!readmissions[Score]), "No Match")</f>
        <v>14.8</v>
      </c>
    </row>
    <row r="1973" spans="1:6" x14ac:dyDescent="0.2">
      <c r="A1973">
        <f>[1]!hospitalinfo[[#This Row],[Facility ID]]</f>
        <v>181309</v>
      </c>
      <c r="B1973" t="str">
        <f>[1]!hospitalinfo[[#This Row],[State]]</f>
        <v>KY</v>
      </c>
      <c r="C1973" t="str">
        <f>[1]!hospitalinfo[[#This Row],[Hospital Type]]</f>
        <v>Critical Access Hospitals</v>
      </c>
      <c r="D1973" t="str">
        <f>[1]!hospitalinfo[[#This Row],[Hospital Ownership]]</f>
        <v>Government - Hospital District or Authority</v>
      </c>
      <c r="E1973" t="str" cm="1">
        <f t="array" ref="E1973">_xlfn.IFNA(_xlfn.XLOOKUP(1,([1]!hcahps[Facility ID] = clean[[#This Row],[Facility ID]]) * ([1]!hcahps[HCAHPS Measure ID] = "H_HSP_RATING_LINEAR_SCORE"), [1]!hcahps[HCAHPS Linear Mean Value]), "No Match")</f>
        <v>Not Available</v>
      </c>
      <c r="F1973" cm="1">
        <f t="array" ref="F1973">_xlfn.IFNA(_xlfn.XLOOKUP(1,([1]!readmissions[Facility ID] = clean[[#This Row],[Facility ID]]) * ([1]!readmissions[Measure ID] = "Hybrid_HWR"), [1]!readmissions[Score]), "No Match")</f>
        <v>15.2</v>
      </c>
    </row>
    <row r="1974" spans="1:6" x14ac:dyDescent="0.2">
      <c r="A1974">
        <f>[1]!hospitalinfo[[#This Row],[Facility ID]]</f>
        <v>181310</v>
      </c>
      <c r="B1974" t="str">
        <f>[1]!hospitalinfo[[#This Row],[State]]</f>
        <v>KY</v>
      </c>
      <c r="C1974" t="str">
        <f>[1]!hospitalinfo[[#This Row],[Hospital Type]]</f>
        <v>Critical Access Hospitals</v>
      </c>
      <c r="D1974" t="str">
        <f>[1]!hospitalinfo[[#This Row],[Hospital Ownership]]</f>
        <v>Voluntary non-profit - Private</v>
      </c>
      <c r="E1974" t="str" cm="1">
        <f t="array" ref="E1974">_xlfn.IFNA(_xlfn.XLOOKUP(1,([1]!hcahps[Facility ID] = clean[[#This Row],[Facility ID]]) * ([1]!hcahps[HCAHPS Measure ID] = "H_HSP_RATING_LINEAR_SCORE"), [1]!hcahps[HCAHPS Linear Mean Value]), "No Match")</f>
        <v>Not Available</v>
      </c>
      <c r="F1974" cm="1">
        <f t="array" ref="F1974">_xlfn.IFNA(_xlfn.XLOOKUP(1,([1]!readmissions[Facility ID] = clean[[#This Row],[Facility ID]]) * ([1]!readmissions[Measure ID] = "Hybrid_HWR"), [1]!readmissions[Score]), "No Match")</f>
        <v>15.3</v>
      </c>
    </row>
    <row r="1975" spans="1:6" x14ac:dyDescent="0.2">
      <c r="A1975">
        <f>[1]!hospitalinfo[[#This Row],[Facility ID]]</f>
        <v>181311</v>
      </c>
      <c r="B1975" t="str">
        <f>[1]!hospitalinfo[[#This Row],[State]]</f>
        <v>KY</v>
      </c>
      <c r="C1975" t="str">
        <f>[1]!hospitalinfo[[#This Row],[Hospital Type]]</f>
        <v>Critical Access Hospitals</v>
      </c>
      <c r="D1975" t="str">
        <f>[1]!hospitalinfo[[#This Row],[Hospital Ownership]]</f>
        <v>Voluntary non-profit - Church</v>
      </c>
      <c r="E1975" t="str" cm="1">
        <f t="array" ref="E1975">_xlfn.IFNA(_xlfn.XLOOKUP(1,([1]!hcahps[Facility ID] = clean[[#This Row],[Facility ID]]) * ([1]!hcahps[HCAHPS Measure ID] = "H_HSP_RATING_LINEAR_SCORE"), [1]!hcahps[HCAHPS Linear Mean Value]), "No Match")</f>
        <v>Not Available</v>
      </c>
      <c r="F1975" cm="1">
        <f t="array" ref="F1975">_xlfn.IFNA(_xlfn.XLOOKUP(1,([1]!readmissions[Facility ID] = clean[[#This Row],[Facility ID]]) * ([1]!readmissions[Measure ID] = "Hybrid_HWR"), [1]!readmissions[Score]), "No Match")</f>
        <v>14.9</v>
      </c>
    </row>
    <row r="1976" spans="1:6" x14ac:dyDescent="0.2">
      <c r="A1976">
        <f>[1]!hospitalinfo[[#This Row],[Facility ID]]</f>
        <v>181314</v>
      </c>
      <c r="B1976" t="str">
        <f>[1]!hospitalinfo[[#This Row],[State]]</f>
        <v>KY</v>
      </c>
      <c r="C1976" t="str">
        <f>[1]!hospitalinfo[[#This Row],[Hospital Type]]</f>
        <v>Critical Access Hospitals</v>
      </c>
      <c r="D1976" t="str">
        <f>[1]!hospitalinfo[[#This Row],[Hospital Ownership]]</f>
        <v>Voluntary non-profit - Private</v>
      </c>
      <c r="E1976" t="str" cm="1">
        <f t="array" ref="E1976">_xlfn.IFNA(_xlfn.XLOOKUP(1,([1]!hcahps[Facility ID] = clean[[#This Row],[Facility ID]]) * ([1]!hcahps[HCAHPS Measure ID] = "H_HSP_RATING_LINEAR_SCORE"), [1]!hcahps[HCAHPS Linear Mean Value]), "No Match")</f>
        <v>Not Available</v>
      </c>
      <c r="F1976" t="str" cm="1">
        <f t="array" ref="F1976">_xlfn.IFNA(_xlfn.XLOOKUP(1,([1]!readmissions[Facility ID] = clean[[#This Row],[Facility ID]]) * ([1]!readmissions[Measure ID] = "Hybrid_HWR"), [1]!readmissions[Score]), "No Match")</f>
        <v>Not Available</v>
      </c>
    </row>
    <row r="1977" spans="1:6" x14ac:dyDescent="0.2">
      <c r="A1977">
        <f>[1]!hospitalinfo[[#This Row],[Facility ID]]</f>
        <v>181315</v>
      </c>
      <c r="B1977" t="str">
        <f>[1]!hospitalinfo[[#This Row],[State]]</f>
        <v>KY</v>
      </c>
      <c r="C1977" t="str">
        <f>[1]!hospitalinfo[[#This Row],[Hospital Type]]</f>
        <v>Critical Access Hospitals</v>
      </c>
      <c r="D1977" t="str">
        <f>[1]!hospitalinfo[[#This Row],[Hospital Ownership]]</f>
        <v>Voluntary non-profit - Private</v>
      </c>
      <c r="E1977" cm="1">
        <f t="array" ref="E1977">_xlfn.IFNA(_xlfn.XLOOKUP(1,([1]!hcahps[Facility ID] = clean[[#This Row],[Facility ID]]) * ([1]!hcahps[HCAHPS Measure ID] = "H_HSP_RATING_LINEAR_SCORE"), [1]!hcahps[HCAHPS Linear Mean Value]), "No Match")</f>
        <v>94</v>
      </c>
      <c r="F1977" cm="1">
        <f t="array" ref="F1977">_xlfn.IFNA(_xlfn.XLOOKUP(1,([1]!readmissions[Facility ID] = clean[[#This Row],[Facility ID]]) * ([1]!readmissions[Measure ID] = "Hybrid_HWR"), [1]!readmissions[Score]), "No Match")</f>
        <v>15.4</v>
      </c>
    </row>
    <row r="1978" spans="1:6" x14ac:dyDescent="0.2">
      <c r="A1978">
        <f>[1]!hospitalinfo[[#This Row],[Facility ID]]</f>
        <v>181316</v>
      </c>
      <c r="B1978" t="str">
        <f>[1]!hospitalinfo[[#This Row],[State]]</f>
        <v>KY</v>
      </c>
      <c r="C1978" t="str">
        <f>[1]!hospitalinfo[[#This Row],[Hospital Type]]</f>
        <v>Critical Access Hospitals</v>
      </c>
      <c r="D1978" t="str">
        <f>[1]!hospitalinfo[[#This Row],[Hospital Ownership]]</f>
        <v>Voluntary non-profit - Private</v>
      </c>
      <c r="E1978" t="str" cm="1">
        <f t="array" ref="E1978">_xlfn.IFNA(_xlfn.XLOOKUP(1,([1]!hcahps[Facility ID] = clean[[#This Row],[Facility ID]]) * ([1]!hcahps[HCAHPS Measure ID] = "H_HSP_RATING_LINEAR_SCORE"), [1]!hcahps[HCAHPS Linear Mean Value]), "No Match")</f>
        <v>Not Available</v>
      </c>
      <c r="F1978" cm="1">
        <f t="array" ref="F1978">_xlfn.IFNA(_xlfn.XLOOKUP(1,([1]!readmissions[Facility ID] = clean[[#This Row],[Facility ID]]) * ([1]!readmissions[Measure ID] = "Hybrid_HWR"), [1]!readmissions[Score]), "No Match")</f>
        <v>14.9</v>
      </c>
    </row>
    <row r="1979" spans="1:6" x14ac:dyDescent="0.2">
      <c r="A1979">
        <f>[1]!hospitalinfo[[#This Row],[Facility ID]]</f>
        <v>181317</v>
      </c>
      <c r="B1979" t="str">
        <f>[1]!hospitalinfo[[#This Row],[State]]</f>
        <v>KY</v>
      </c>
      <c r="C1979" t="str">
        <f>[1]!hospitalinfo[[#This Row],[Hospital Type]]</f>
        <v>Critical Access Hospitals</v>
      </c>
      <c r="D1979" t="str">
        <f>[1]!hospitalinfo[[#This Row],[Hospital Ownership]]</f>
        <v>Government - Local</v>
      </c>
      <c r="E1979" t="str" cm="1">
        <f t="array" ref="E1979">_xlfn.IFNA(_xlfn.XLOOKUP(1,([1]!hcahps[Facility ID] = clean[[#This Row],[Facility ID]]) * ([1]!hcahps[HCAHPS Measure ID] = "H_HSP_RATING_LINEAR_SCORE"), [1]!hcahps[HCAHPS Linear Mean Value]), "No Match")</f>
        <v>Not Available</v>
      </c>
      <c r="F1979" cm="1">
        <f t="array" ref="F1979">_xlfn.IFNA(_xlfn.XLOOKUP(1,([1]!readmissions[Facility ID] = clean[[#This Row],[Facility ID]]) * ([1]!readmissions[Measure ID] = "Hybrid_HWR"), [1]!readmissions[Score]), "No Match")</f>
        <v>14.9</v>
      </c>
    </row>
    <row r="1980" spans="1:6" x14ac:dyDescent="0.2">
      <c r="A1980">
        <f>[1]!hospitalinfo[[#This Row],[Facility ID]]</f>
        <v>181318</v>
      </c>
      <c r="B1980" t="str">
        <f>[1]!hospitalinfo[[#This Row],[State]]</f>
        <v>KY</v>
      </c>
      <c r="C1980" t="str">
        <f>[1]!hospitalinfo[[#This Row],[Hospital Type]]</f>
        <v>Critical Access Hospitals</v>
      </c>
      <c r="D1980" t="str">
        <f>[1]!hospitalinfo[[#This Row],[Hospital Ownership]]</f>
        <v>Voluntary non-profit - Private</v>
      </c>
      <c r="E1980" t="str" cm="1">
        <f t="array" ref="E1980">_xlfn.IFNA(_xlfn.XLOOKUP(1,([1]!hcahps[Facility ID] = clean[[#This Row],[Facility ID]]) * ([1]!hcahps[HCAHPS Measure ID] = "H_HSP_RATING_LINEAR_SCORE"), [1]!hcahps[HCAHPS Linear Mean Value]), "No Match")</f>
        <v>Not Available</v>
      </c>
      <c r="F1980" cm="1">
        <f t="array" ref="F1980">_xlfn.IFNA(_xlfn.XLOOKUP(1,([1]!readmissions[Facility ID] = clean[[#This Row],[Facility ID]]) * ([1]!readmissions[Measure ID] = "Hybrid_HWR"), [1]!readmissions[Score]), "No Match")</f>
        <v>14.6</v>
      </c>
    </row>
    <row r="1981" spans="1:6" x14ac:dyDescent="0.2">
      <c r="A1981">
        <f>[1]!hospitalinfo[[#This Row],[Facility ID]]</f>
        <v>181319</v>
      </c>
      <c r="B1981" t="str">
        <f>[1]!hospitalinfo[[#This Row],[State]]</f>
        <v>KY</v>
      </c>
      <c r="C1981" t="str">
        <f>[1]!hospitalinfo[[#This Row],[Hospital Type]]</f>
        <v>Critical Access Hospitals</v>
      </c>
      <c r="D1981" t="str">
        <f>[1]!hospitalinfo[[#This Row],[Hospital Ownership]]</f>
        <v>Government - Local</v>
      </c>
      <c r="E1981" t="str" cm="1">
        <f t="array" ref="E1981">_xlfn.IFNA(_xlfn.XLOOKUP(1,([1]!hcahps[Facility ID] = clean[[#This Row],[Facility ID]]) * ([1]!hcahps[HCAHPS Measure ID] = "H_HSP_RATING_LINEAR_SCORE"), [1]!hcahps[HCAHPS Linear Mean Value]), "No Match")</f>
        <v>Not Available</v>
      </c>
      <c r="F1981" cm="1">
        <f t="array" ref="F1981">_xlfn.IFNA(_xlfn.XLOOKUP(1,([1]!readmissions[Facility ID] = clean[[#This Row],[Facility ID]]) * ([1]!readmissions[Measure ID] = "Hybrid_HWR"), [1]!readmissions[Score]), "No Match")</f>
        <v>15.4</v>
      </c>
    </row>
    <row r="1982" spans="1:6" x14ac:dyDescent="0.2">
      <c r="A1982">
        <f>[1]!hospitalinfo[[#This Row],[Facility ID]]</f>
        <v>181320</v>
      </c>
      <c r="B1982" t="str">
        <f>[1]!hospitalinfo[[#This Row],[State]]</f>
        <v>KY</v>
      </c>
      <c r="C1982" t="str">
        <f>[1]!hospitalinfo[[#This Row],[Hospital Type]]</f>
        <v>Critical Access Hospitals</v>
      </c>
      <c r="D1982" t="str">
        <f>[1]!hospitalinfo[[#This Row],[Hospital Ownership]]</f>
        <v>Voluntary non-profit - Private</v>
      </c>
      <c r="E1982" t="str" cm="1">
        <f t="array" ref="E1982">_xlfn.IFNA(_xlfn.XLOOKUP(1,([1]!hcahps[Facility ID] = clean[[#This Row],[Facility ID]]) * ([1]!hcahps[HCAHPS Measure ID] = "H_HSP_RATING_LINEAR_SCORE"), [1]!hcahps[HCAHPS Linear Mean Value]), "No Match")</f>
        <v>Not Available</v>
      </c>
      <c r="F1982" cm="1">
        <f t="array" ref="F1982">_xlfn.IFNA(_xlfn.XLOOKUP(1,([1]!readmissions[Facility ID] = clean[[#This Row],[Facility ID]]) * ([1]!readmissions[Measure ID] = "Hybrid_HWR"), [1]!readmissions[Score]), "No Match")</f>
        <v>15.6</v>
      </c>
    </row>
    <row r="1983" spans="1:6" x14ac:dyDescent="0.2">
      <c r="A1983">
        <f>[1]!hospitalinfo[[#This Row],[Facility ID]]</f>
        <v>181321</v>
      </c>
      <c r="B1983" t="str">
        <f>[1]!hospitalinfo[[#This Row],[State]]</f>
        <v>KY</v>
      </c>
      <c r="C1983" t="str">
        <f>[1]!hospitalinfo[[#This Row],[Hospital Type]]</f>
        <v>Critical Access Hospitals</v>
      </c>
      <c r="D1983" t="str">
        <f>[1]!hospitalinfo[[#This Row],[Hospital Ownership]]</f>
        <v>Voluntary non-profit - Private</v>
      </c>
      <c r="E1983" t="str" cm="1">
        <f t="array" ref="E1983">_xlfn.IFNA(_xlfn.XLOOKUP(1,([1]!hcahps[Facility ID] = clean[[#This Row],[Facility ID]]) * ([1]!hcahps[HCAHPS Measure ID] = "H_HSP_RATING_LINEAR_SCORE"), [1]!hcahps[HCAHPS Linear Mean Value]), "No Match")</f>
        <v>Not Available</v>
      </c>
      <c r="F1983" t="str" cm="1">
        <f t="array" ref="F1983">_xlfn.IFNA(_xlfn.XLOOKUP(1,([1]!readmissions[Facility ID] = clean[[#This Row],[Facility ID]]) * ([1]!readmissions[Measure ID] = "Hybrid_HWR"), [1]!readmissions[Score]), "No Match")</f>
        <v>Not Available</v>
      </c>
    </row>
    <row r="1984" spans="1:6" x14ac:dyDescent="0.2">
      <c r="A1984">
        <f>[1]!hospitalinfo[[#This Row],[Facility ID]]</f>
        <v>181322</v>
      </c>
      <c r="B1984" t="str">
        <f>[1]!hospitalinfo[[#This Row],[State]]</f>
        <v>KY</v>
      </c>
      <c r="C1984" t="str">
        <f>[1]!hospitalinfo[[#This Row],[Hospital Type]]</f>
        <v>Critical Access Hospitals</v>
      </c>
      <c r="D1984" t="str">
        <f>[1]!hospitalinfo[[#This Row],[Hospital Ownership]]</f>
        <v>Voluntary non-profit - Private</v>
      </c>
      <c r="E1984" t="str" cm="1">
        <f t="array" ref="E1984">_xlfn.IFNA(_xlfn.XLOOKUP(1,([1]!hcahps[Facility ID] = clean[[#This Row],[Facility ID]]) * ([1]!hcahps[HCAHPS Measure ID] = "H_HSP_RATING_LINEAR_SCORE"), [1]!hcahps[HCAHPS Linear Mean Value]), "No Match")</f>
        <v>Not Available</v>
      </c>
      <c r="F1984" cm="1">
        <f t="array" ref="F1984">_xlfn.IFNA(_xlfn.XLOOKUP(1,([1]!readmissions[Facility ID] = clean[[#This Row],[Facility ID]]) * ([1]!readmissions[Measure ID] = "Hybrid_HWR"), [1]!readmissions[Score]), "No Match")</f>
        <v>15.2</v>
      </c>
    </row>
    <row r="1985" spans="1:6" x14ac:dyDescent="0.2">
      <c r="A1985">
        <f>[1]!hospitalinfo[[#This Row],[Facility ID]]</f>
        <v>181323</v>
      </c>
      <c r="B1985" t="str">
        <f>[1]!hospitalinfo[[#This Row],[State]]</f>
        <v>KY</v>
      </c>
      <c r="C1985" t="str">
        <f>[1]!hospitalinfo[[#This Row],[Hospital Type]]</f>
        <v>Critical Access Hospitals</v>
      </c>
      <c r="D1985" t="str">
        <f>[1]!hospitalinfo[[#This Row],[Hospital Ownership]]</f>
        <v>Proprietary</v>
      </c>
      <c r="E1985" t="str" cm="1">
        <f t="array" ref="E1985">_xlfn.IFNA(_xlfn.XLOOKUP(1,([1]!hcahps[Facility ID] = clean[[#This Row],[Facility ID]]) * ([1]!hcahps[HCAHPS Measure ID] = "H_HSP_RATING_LINEAR_SCORE"), [1]!hcahps[HCAHPS Linear Mean Value]), "No Match")</f>
        <v>Not Available</v>
      </c>
      <c r="F1985" cm="1">
        <f t="array" ref="F1985">_xlfn.IFNA(_xlfn.XLOOKUP(1,([1]!readmissions[Facility ID] = clean[[#This Row],[Facility ID]]) * ([1]!readmissions[Measure ID] = "Hybrid_HWR"), [1]!readmissions[Score]), "No Match")</f>
        <v>14.8</v>
      </c>
    </row>
    <row r="1986" spans="1:6" x14ac:dyDescent="0.2">
      <c r="A1986">
        <f>[1]!hospitalinfo[[#This Row],[Facility ID]]</f>
        <v>181324</v>
      </c>
      <c r="B1986" t="str">
        <f>[1]!hospitalinfo[[#This Row],[State]]</f>
        <v>KY</v>
      </c>
      <c r="C1986" t="str">
        <f>[1]!hospitalinfo[[#This Row],[Hospital Type]]</f>
        <v>Critical Access Hospitals</v>
      </c>
      <c r="D1986" t="str">
        <f>[1]!hospitalinfo[[#This Row],[Hospital Ownership]]</f>
        <v>Voluntary non-profit - Private</v>
      </c>
      <c r="E1986" t="str" cm="1">
        <f t="array" ref="E1986">_xlfn.IFNA(_xlfn.XLOOKUP(1,([1]!hcahps[Facility ID] = clean[[#This Row],[Facility ID]]) * ([1]!hcahps[HCAHPS Measure ID] = "H_HSP_RATING_LINEAR_SCORE"), [1]!hcahps[HCAHPS Linear Mean Value]), "No Match")</f>
        <v>Not Available</v>
      </c>
      <c r="F1986" cm="1">
        <f t="array" ref="F1986">_xlfn.IFNA(_xlfn.XLOOKUP(1,([1]!readmissions[Facility ID] = clean[[#This Row],[Facility ID]]) * ([1]!readmissions[Measure ID] = "Hybrid_HWR"), [1]!readmissions[Score]), "No Match")</f>
        <v>14.8</v>
      </c>
    </row>
    <row r="1987" spans="1:6" x14ac:dyDescent="0.2">
      <c r="A1987">
        <f>[1]!hospitalinfo[[#This Row],[Facility ID]]</f>
        <v>181325</v>
      </c>
      <c r="B1987" t="str">
        <f>[1]!hospitalinfo[[#This Row],[State]]</f>
        <v>KY</v>
      </c>
      <c r="C1987" t="str">
        <f>[1]!hospitalinfo[[#This Row],[Hospital Type]]</f>
        <v>Critical Access Hospitals</v>
      </c>
      <c r="D1987" t="str">
        <f>[1]!hospitalinfo[[#This Row],[Hospital Ownership]]</f>
        <v>Voluntary non-profit - Private</v>
      </c>
      <c r="E1987" t="str" cm="1">
        <f t="array" ref="E1987">_xlfn.IFNA(_xlfn.XLOOKUP(1,([1]!hcahps[Facility ID] = clean[[#This Row],[Facility ID]]) * ([1]!hcahps[HCAHPS Measure ID] = "H_HSP_RATING_LINEAR_SCORE"), [1]!hcahps[HCAHPS Linear Mean Value]), "No Match")</f>
        <v>Not Available</v>
      </c>
      <c r="F1987" cm="1">
        <f t="array" ref="F1987">_xlfn.IFNA(_xlfn.XLOOKUP(1,([1]!readmissions[Facility ID] = clean[[#This Row],[Facility ID]]) * ([1]!readmissions[Measure ID] = "Hybrid_HWR"), [1]!readmissions[Score]), "No Match")</f>
        <v>14.9</v>
      </c>
    </row>
    <row r="1988" spans="1:6" x14ac:dyDescent="0.2">
      <c r="A1988">
        <f>[1]!hospitalinfo[[#This Row],[Facility ID]]</f>
        <v>181327</v>
      </c>
      <c r="B1988" t="str">
        <f>[1]!hospitalinfo[[#This Row],[State]]</f>
        <v>KY</v>
      </c>
      <c r="C1988" t="str">
        <f>[1]!hospitalinfo[[#This Row],[Hospital Type]]</f>
        <v>Critical Access Hospitals</v>
      </c>
      <c r="D1988" t="str">
        <f>[1]!hospitalinfo[[#This Row],[Hospital Ownership]]</f>
        <v>Government - Hospital District or Authority</v>
      </c>
      <c r="E1988" t="str" cm="1">
        <f t="array" ref="E1988">_xlfn.IFNA(_xlfn.XLOOKUP(1,([1]!hcahps[Facility ID] = clean[[#This Row],[Facility ID]]) * ([1]!hcahps[HCAHPS Measure ID] = "H_HSP_RATING_LINEAR_SCORE"), [1]!hcahps[HCAHPS Linear Mean Value]), "No Match")</f>
        <v>Not Available</v>
      </c>
      <c r="F1988" cm="1">
        <f t="array" ref="F1988">_xlfn.IFNA(_xlfn.XLOOKUP(1,([1]!readmissions[Facility ID] = clean[[#This Row],[Facility ID]]) * ([1]!readmissions[Measure ID] = "Hybrid_HWR"), [1]!readmissions[Score]), "No Match")</f>
        <v>15.8</v>
      </c>
    </row>
    <row r="1989" spans="1:6" x14ac:dyDescent="0.2">
      <c r="A1989">
        <f>[1]!hospitalinfo[[#This Row],[Facility ID]]</f>
        <v>181328</v>
      </c>
      <c r="B1989" t="str">
        <f>[1]!hospitalinfo[[#This Row],[State]]</f>
        <v>KY</v>
      </c>
      <c r="C1989" t="str">
        <f>[1]!hospitalinfo[[#This Row],[Hospital Type]]</f>
        <v>Critical Access Hospitals</v>
      </c>
      <c r="D1989" t="str">
        <f>[1]!hospitalinfo[[#This Row],[Hospital Ownership]]</f>
        <v>Government - Local</v>
      </c>
      <c r="E1989" t="str" cm="1">
        <f t="array" ref="E1989">_xlfn.IFNA(_xlfn.XLOOKUP(1,([1]!hcahps[Facility ID] = clean[[#This Row],[Facility ID]]) * ([1]!hcahps[HCAHPS Measure ID] = "H_HSP_RATING_LINEAR_SCORE"), [1]!hcahps[HCAHPS Linear Mean Value]), "No Match")</f>
        <v>Not Available</v>
      </c>
      <c r="F1989" cm="1">
        <f t="array" ref="F1989">_xlfn.IFNA(_xlfn.XLOOKUP(1,([1]!readmissions[Facility ID] = clean[[#This Row],[Facility ID]]) * ([1]!readmissions[Measure ID] = "Hybrid_HWR"), [1]!readmissions[Score]), "No Match")</f>
        <v>14.8</v>
      </c>
    </row>
    <row r="1990" spans="1:6" x14ac:dyDescent="0.2">
      <c r="A1990">
        <f>[1]!hospitalinfo[[#This Row],[Facility ID]]</f>
        <v>181329</v>
      </c>
      <c r="B1990" t="str">
        <f>[1]!hospitalinfo[[#This Row],[State]]</f>
        <v>KY</v>
      </c>
      <c r="C1990" t="str">
        <f>[1]!hospitalinfo[[#This Row],[Hospital Type]]</f>
        <v>Critical Access Hospitals</v>
      </c>
      <c r="D1990" t="str">
        <f>[1]!hospitalinfo[[#This Row],[Hospital Ownership]]</f>
        <v>Voluntary non-profit - Private</v>
      </c>
      <c r="E1990" cm="1">
        <f t="array" ref="E1990">_xlfn.IFNA(_xlfn.XLOOKUP(1,([1]!hcahps[Facility ID] = clean[[#This Row],[Facility ID]]) * ([1]!hcahps[HCAHPS Measure ID] = "H_HSP_RATING_LINEAR_SCORE"), [1]!hcahps[HCAHPS Linear Mean Value]), "No Match")</f>
        <v>95</v>
      </c>
      <c r="F1990" cm="1">
        <f t="array" ref="F1990">_xlfn.IFNA(_xlfn.XLOOKUP(1,([1]!readmissions[Facility ID] = clean[[#This Row],[Facility ID]]) * ([1]!readmissions[Measure ID] = "Hybrid_HWR"), [1]!readmissions[Score]), "No Match")</f>
        <v>14.7</v>
      </c>
    </row>
    <row r="1991" spans="1:6" x14ac:dyDescent="0.2">
      <c r="A1991">
        <f>[1]!hospitalinfo[[#This Row],[Facility ID]]</f>
        <v>181330</v>
      </c>
      <c r="B1991" t="str">
        <f>[1]!hospitalinfo[[#This Row],[State]]</f>
        <v>KY</v>
      </c>
      <c r="C1991" t="str">
        <f>[1]!hospitalinfo[[#This Row],[Hospital Type]]</f>
        <v>Critical Access Hospitals</v>
      </c>
      <c r="D1991" t="str">
        <f>[1]!hospitalinfo[[#This Row],[Hospital Ownership]]</f>
        <v>Government - Local</v>
      </c>
      <c r="E1991" t="str" cm="1">
        <f t="array" ref="E1991">_xlfn.IFNA(_xlfn.XLOOKUP(1,([1]!hcahps[Facility ID] = clean[[#This Row],[Facility ID]]) * ([1]!hcahps[HCAHPS Measure ID] = "H_HSP_RATING_LINEAR_SCORE"), [1]!hcahps[HCAHPS Linear Mean Value]), "No Match")</f>
        <v>Not Available</v>
      </c>
      <c r="F1991" cm="1">
        <f t="array" ref="F1991">_xlfn.IFNA(_xlfn.XLOOKUP(1,([1]!readmissions[Facility ID] = clean[[#This Row],[Facility ID]]) * ([1]!readmissions[Measure ID] = "Hybrid_HWR"), [1]!readmissions[Score]), "No Match")</f>
        <v>15</v>
      </c>
    </row>
    <row r="1992" spans="1:6" x14ac:dyDescent="0.2">
      <c r="A1992">
        <f>[1]!hospitalinfo[[#This Row],[Facility ID]]</f>
        <v>181331</v>
      </c>
      <c r="B1992" t="str">
        <f>[1]!hospitalinfo[[#This Row],[State]]</f>
        <v>KY</v>
      </c>
      <c r="C1992" t="str">
        <f>[1]!hospitalinfo[[#This Row],[Hospital Type]]</f>
        <v>Critical Access Hospitals</v>
      </c>
      <c r="D1992" t="str">
        <f>[1]!hospitalinfo[[#This Row],[Hospital Ownership]]</f>
        <v>Voluntary non-profit - Private</v>
      </c>
      <c r="E1992" t="str" cm="1">
        <f t="array" ref="E1992">_xlfn.IFNA(_xlfn.XLOOKUP(1,([1]!hcahps[Facility ID] = clean[[#This Row],[Facility ID]]) * ([1]!hcahps[HCAHPS Measure ID] = "H_HSP_RATING_LINEAR_SCORE"), [1]!hcahps[HCAHPS Linear Mean Value]), "No Match")</f>
        <v>Not Available</v>
      </c>
      <c r="F1992" cm="1">
        <f t="array" ref="F1992">_xlfn.IFNA(_xlfn.XLOOKUP(1,([1]!readmissions[Facility ID] = clean[[#This Row],[Facility ID]]) * ([1]!readmissions[Measure ID] = "Hybrid_HWR"), [1]!readmissions[Score]), "No Match")</f>
        <v>15</v>
      </c>
    </row>
    <row r="1993" spans="1:6" x14ac:dyDescent="0.2">
      <c r="A1993">
        <f>[1]!hospitalinfo[[#This Row],[Facility ID]]</f>
        <v>181333</v>
      </c>
      <c r="B1993" t="str">
        <f>[1]!hospitalinfo[[#This Row],[State]]</f>
        <v>KY</v>
      </c>
      <c r="C1993" t="str">
        <f>[1]!hospitalinfo[[#This Row],[Hospital Type]]</f>
        <v>Critical Access Hospitals</v>
      </c>
      <c r="D1993" t="str">
        <f>[1]!hospitalinfo[[#This Row],[Hospital Ownership]]</f>
        <v>Voluntary non-profit - Private</v>
      </c>
      <c r="E1993" t="str" cm="1">
        <f t="array" ref="E1993">_xlfn.IFNA(_xlfn.XLOOKUP(1,([1]!hcahps[Facility ID] = clean[[#This Row],[Facility ID]]) * ([1]!hcahps[HCAHPS Measure ID] = "H_HSP_RATING_LINEAR_SCORE"), [1]!hcahps[HCAHPS Linear Mean Value]), "No Match")</f>
        <v>Not Available</v>
      </c>
      <c r="F1993" t="str" cm="1">
        <f t="array" ref="F1993">_xlfn.IFNA(_xlfn.XLOOKUP(1,([1]!readmissions[Facility ID] = clean[[#This Row],[Facility ID]]) * ([1]!readmissions[Measure ID] = "Hybrid_HWR"), [1]!readmissions[Score]), "No Match")</f>
        <v>Not Available</v>
      </c>
    </row>
    <row r="1994" spans="1:6" x14ac:dyDescent="0.2">
      <c r="A1994">
        <f>[1]!hospitalinfo[[#This Row],[Facility ID]]</f>
        <v>181334</v>
      </c>
      <c r="B1994" t="str">
        <f>[1]!hospitalinfo[[#This Row],[State]]</f>
        <v>KY</v>
      </c>
      <c r="C1994" t="str">
        <f>[1]!hospitalinfo[[#This Row],[Hospital Type]]</f>
        <v>Critical Access Hospitals</v>
      </c>
      <c r="D1994" t="str">
        <f>[1]!hospitalinfo[[#This Row],[Hospital Ownership]]</f>
        <v>Proprietary</v>
      </c>
      <c r="E1994" t="str" cm="1">
        <f t="array" ref="E1994">_xlfn.IFNA(_xlfn.XLOOKUP(1,([1]!hcahps[Facility ID] = clean[[#This Row],[Facility ID]]) * ([1]!hcahps[HCAHPS Measure ID] = "H_HSP_RATING_LINEAR_SCORE"), [1]!hcahps[HCAHPS Linear Mean Value]), "No Match")</f>
        <v>Not Available</v>
      </c>
      <c r="F1994" t="str" cm="1">
        <f t="array" ref="F1994">_xlfn.IFNA(_xlfn.XLOOKUP(1,([1]!readmissions[Facility ID] = clean[[#This Row],[Facility ID]]) * ([1]!readmissions[Measure ID] = "Hybrid_HWR"), [1]!readmissions[Score]), "No Match")</f>
        <v>Not Available</v>
      </c>
    </row>
    <row r="1995" spans="1:6" x14ac:dyDescent="0.2">
      <c r="A1995">
        <f>[1]!hospitalinfo[[#This Row],[Facility ID]]</f>
        <v>184002</v>
      </c>
      <c r="B1995" t="str">
        <f>[1]!hospitalinfo[[#This Row],[State]]</f>
        <v>KY</v>
      </c>
      <c r="C1995" t="str">
        <f>[1]!hospitalinfo[[#This Row],[Hospital Type]]</f>
        <v>Psychiatric</v>
      </c>
      <c r="D1995" t="str">
        <f>[1]!hospitalinfo[[#This Row],[Hospital Ownership]]</f>
        <v>Government - Local</v>
      </c>
      <c r="E1995" t="str" cm="1">
        <f t="array" ref="E1995">_xlfn.IFNA(_xlfn.XLOOKUP(1,([1]!hcahps[Facility ID] = clean[[#This Row],[Facility ID]]) * ([1]!hcahps[HCAHPS Measure ID] = "H_HSP_RATING_LINEAR_SCORE"), [1]!hcahps[HCAHPS Linear Mean Value]), "No Match")</f>
        <v>No Match</v>
      </c>
      <c r="F1995" t="str" cm="1">
        <f t="array" ref="F1995">_xlfn.IFNA(_xlfn.XLOOKUP(1,([1]!readmissions[Facility ID] = clean[[#This Row],[Facility ID]]) * ([1]!readmissions[Measure ID] = "Hybrid_HWR"), [1]!readmissions[Score]), "No Match")</f>
        <v>No Match</v>
      </c>
    </row>
    <row r="1996" spans="1:6" x14ac:dyDescent="0.2">
      <c r="A1996">
        <f>[1]!hospitalinfo[[#This Row],[Facility ID]]</f>
        <v>184004</v>
      </c>
      <c r="B1996" t="str">
        <f>[1]!hospitalinfo[[#This Row],[State]]</f>
        <v>KY</v>
      </c>
      <c r="C1996" t="str">
        <f>[1]!hospitalinfo[[#This Row],[Hospital Type]]</f>
        <v>Psychiatric</v>
      </c>
      <c r="D1996" t="str">
        <f>[1]!hospitalinfo[[#This Row],[Hospital Ownership]]</f>
        <v>Voluntary non-profit - Private</v>
      </c>
      <c r="E1996" t="str" cm="1">
        <f t="array" ref="E1996">_xlfn.IFNA(_xlfn.XLOOKUP(1,([1]!hcahps[Facility ID] = clean[[#This Row],[Facility ID]]) * ([1]!hcahps[HCAHPS Measure ID] = "H_HSP_RATING_LINEAR_SCORE"), [1]!hcahps[HCAHPS Linear Mean Value]), "No Match")</f>
        <v>No Match</v>
      </c>
      <c r="F1996" t="str" cm="1">
        <f t="array" ref="F1996">_xlfn.IFNA(_xlfn.XLOOKUP(1,([1]!readmissions[Facility ID] = clean[[#This Row],[Facility ID]]) * ([1]!readmissions[Measure ID] = "Hybrid_HWR"), [1]!readmissions[Score]), "No Match")</f>
        <v>No Match</v>
      </c>
    </row>
    <row r="1997" spans="1:6" x14ac:dyDescent="0.2">
      <c r="A1997">
        <f>[1]!hospitalinfo[[#This Row],[Facility ID]]</f>
        <v>184006</v>
      </c>
      <c r="B1997" t="str">
        <f>[1]!hospitalinfo[[#This Row],[State]]</f>
        <v>KY</v>
      </c>
      <c r="C1997" t="str">
        <f>[1]!hospitalinfo[[#This Row],[Hospital Type]]</f>
        <v>Psychiatric</v>
      </c>
      <c r="D1997" t="str">
        <f>[1]!hospitalinfo[[#This Row],[Hospital Ownership]]</f>
        <v>Proprietary</v>
      </c>
      <c r="E1997" t="str" cm="1">
        <f t="array" ref="E1997">_xlfn.IFNA(_xlfn.XLOOKUP(1,([1]!hcahps[Facility ID] = clean[[#This Row],[Facility ID]]) * ([1]!hcahps[HCAHPS Measure ID] = "H_HSP_RATING_LINEAR_SCORE"), [1]!hcahps[HCAHPS Linear Mean Value]), "No Match")</f>
        <v>No Match</v>
      </c>
      <c r="F1997" t="str" cm="1">
        <f t="array" ref="F1997">_xlfn.IFNA(_xlfn.XLOOKUP(1,([1]!readmissions[Facility ID] = clean[[#This Row],[Facility ID]]) * ([1]!readmissions[Measure ID] = "Hybrid_HWR"), [1]!readmissions[Score]), "No Match")</f>
        <v>No Match</v>
      </c>
    </row>
    <row r="1998" spans="1:6" x14ac:dyDescent="0.2">
      <c r="A1998">
        <f>[1]!hospitalinfo[[#This Row],[Facility ID]]</f>
        <v>184007</v>
      </c>
      <c r="B1998" t="str">
        <f>[1]!hospitalinfo[[#This Row],[State]]</f>
        <v>KY</v>
      </c>
      <c r="C1998" t="str">
        <f>[1]!hospitalinfo[[#This Row],[Hospital Type]]</f>
        <v>Psychiatric</v>
      </c>
      <c r="D1998" t="str">
        <f>[1]!hospitalinfo[[#This Row],[Hospital Ownership]]</f>
        <v>Voluntary non-profit - Private</v>
      </c>
      <c r="E1998" t="str" cm="1">
        <f t="array" ref="E1998">_xlfn.IFNA(_xlfn.XLOOKUP(1,([1]!hcahps[Facility ID] = clean[[#This Row],[Facility ID]]) * ([1]!hcahps[HCAHPS Measure ID] = "H_HSP_RATING_LINEAR_SCORE"), [1]!hcahps[HCAHPS Linear Mean Value]), "No Match")</f>
        <v>No Match</v>
      </c>
      <c r="F1998" t="str" cm="1">
        <f t="array" ref="F1998">_xlfn.IFNA(_xlfn.XLOOKUP(1,([1]!readmissions[Facility ID] = clean[[#This Row],[Facility ID]]) * ([1]!readmissions[Measure ID] = "Hybrid_HWR"), [1]!readmissions[Score]), "No Match")</f>
        <v>No Match</v>
      </c>
    </row>
    <row r="1999" spans="1:6" x14ac:dyDescent="0.2">
      <c r="A1999">
        <f>[1]!hospitalinfo[[#This Row],[Facility ID]]</f>
        <v>184008</v>
      </c>
      <c r="B1999" t="str">
        <f>[1]!hospitalinfo[[#This Row],[State]]</f>
        <v>KY</v>
      </c>
      <c r="C1999" t="str">
        <f>[1]!hospitalinfo[[#This Row],[Hospital Type]]</f>
        <v>Psychiatric</v>
      </c>
      <c r="D1999" t="str">
        <f>[1]!hospitalinfo[[#This Row],[Hospital Ownership]]</f>
        <v>Government - Federal</v>
      </c>
      <c r="E1999" t="str" cm="1">
        <f t="array" ref="E1999">_xlfn.IFNA(_xlfn.XLOOKUP(1,([1]!hcahps[Facility ID] = clean[[#This Row],[Facility ID]]) * ([1]!hcahps[HCAHPS Measure ID] = "H_HSP_RATING_LINEAR_SCORE"), [1]!hcahps[HCAHPS Linear Mean Value]), "No Match")</f>
        <v>No Match</v>
      </c>
      <c r="F1999" t="str" cm="1">
        <f t="array" ref="F1999">_xlfn.IFNA(_xlfn.XLOOKUP(1,([1]!readmissions[Facility ID] = clean[[#This Row],[Facility ID]]) * ([1]!readmissions[Measure ID] = "Hybrid_HWR"), [1]!readmissions[Score]), "No Match")</f>
        <v>No Match</v>
      </c>
    </row>
    <row r="2000" spans="1:6" x14ac:dyDescent="0.2">
      <c r="A2000">
        <f>[1]!hospitalinfo[[#This Row],[Facility ID]]</f>
        <v>184009</v>
      </c>
      <c r="B2000" t="str">
        <f>[1]!hospitalinfo[[#This Row],[State]]</f>
        <v>KY</v>
      </c>
      <c r="C2000" t="str">
        <f>[1]!hospitalinfo[[#This Row],[Hospital Type]]</f>
        <v>Psychiatric</v>
      </c>
      <c r="D2000" t="str">
        <f>[1]!hospitalinfo[[#This Row],[Hospital Ownership]]</f>
        <v>Proprietary</v>
      </c>
      <c r="E2000" t="str" cm="1">
        <f t="array" ref="E2000">_xlfn.IFNA(_xlfn.XLOOKUP(1,([1]!hcahps[Facility ID] = clean[[#This Row],[Facility ID]]) * ([1]!hcahps[HCAHPS Measure ID] = "H_HSP_RATING_LINEAR_SCORE"), [1]!hcahps[HCAHPS Linear Mean Value]), "No Match")</f>
        <v>No Match</v>
      </c>
      <c r="F2000" t="str" cm="1">
        <f t="array" ref="F2000">_xlfn.IFNA(_xlfn.XLOOKUP(1,([1]!readmissions[Facility ID] = clean[[#This Row],[Facility ID]]) * ([1]!readmissions[Measure ID] = "Hybrid_HWR"), [1]!readmissions[Score]), "No Match")</f>
        <v>No Match</v>
      </c>
    </row>
    <row r="2001" spans="1:6" x14ac:dyDescent="0.2">
      <c r="A2001">
        <f>[1]!hospitalinfo[[#This Row],[Facility ID]]</f>
        <v>184012</v>
      </c>
      <c r="B2001" t="str">
        <f>[1]!hospitalinfo[[#This Row],[State]]</f>
        <v>KY</v>
      </c>
      <c r="C2001" t="str">
        <f>[1]!hospitalinfo[[#This Row],[Hospital Type]]</f>
        <v>Psychiatric</v>
      </c>
      <c r="D2001" t="str">
        <f>[1]!hospitalinfo[[#This Row],[Hospital Ownership]]</f>
        <v>Proprietary</v>
      </c>
      <c r="E2001" t="str" cm="1">
        <f t="array" ref="E2001">_xlfn.IFNA(_xlfn.XLOOKUP(1,([1]!hcahps[Facility ID] = clean[[#This Row],[Facility ID]]) * ([1]!hcahps[HCAHPS Measure ID] = "H_HSP_RATING_LINEAR_SCORE"), [1]!hcahps[HCAHPS Linear Mean Value]), "No Match")</f>
        <v>No Match</v>
      </c>
      <c r="F2001" t="str" cm="1">
        <f t="array" ref="F2001">_xlfn.IFNA(_xlfn.XLOOKUP(1,([1]!readmissions[Facility ID] = clean[[#This Row],[Facility ID]]) * ([1]!readmissions[Measure ID] = "Hybrid_HWR"), [1]!readmissions[Score]), "No Match")</f>
        <v>No Match</v>
      </c>
    </row>
    <row r="2002" spans="1:6" x14ac:dyDescent="0.2">
      <c r="A2002">
        <f>[1]!hospitalinfo[[#This Row],[Facility ID]]</f>
        <v>184014</v>
      </c>
      <c r="B2002" t="str">
        <f>[1]!hospitalinfo[[#This Row],[State]]</f>
        <v>KY</v>
      </c>
      <c r="C2002" t="str">
        <f>[1]!hospitalinfo[[#This Row],[Hospital Type]]</f>
        <v>Psychiatric</v>
      </c>
      <c r="D2002" t="str">
        <f>[1]!hospitalinfo[[#This Row],[Hospital Ownership]]</f>
        <v>Proprietary</v>
      </c>
      <c r="E2002" t="str" cm="1">
        <f t="array" ref="E2002">_xlfn.IFNA(_xlfn.XLOOKUP(1,([1]!hcahps[Facility ID] = clean[[#This Row],[Facility ID]]) * ([1]!hcahps[HCAHPS Measure ID] = "H_HSP_RATING_LINEAR_SCORE"), [1]!hcahps[HCAHPS Linear Mean Value]), "No Match")</f>
        <v>No Match</v>
      </c>
      <c r="F2002" t="str" cm="1">
        <f t="array" ref="F2002">_xlfn.IFNA(_xlfn.XLOOKUP(1,([1]!readmissions[Facility ID] = clean[[#This Row],[Facility ID]]) * ([1]!readmissions[Measure ID] = "Hybrid_HWR"), [1]!readmissions[Score]), "No Match")</f>
        <v>No Match</v>
      </c>
    </row>
    <row r="2003" spans="1:6" x14ac:dyDescent="0.2">
      <c r="A2003">
        <f>[1]!hospitalinfo[[#This Row],[Facility ID]]</f>
        <v>184015</v>
      </c>
      <c r="B2003" t="str">
        <f>[1]!hospitalinfo[[#This Row],[State]]</f>
        <v>KY</v>
      </c>
      <c r="C2003" t="str">
        <f>[1]!hospitalinfo[[#This Row],[Hospital Type]]</f>
        <v>Psychiatric</v>
      </c>
      <c r="D2003" t="str">
        <f>[1]!hospitalinfo[[#This Row],[Hospital Ownership]]</f>
        <v>Government - State</v>
      </c>
      <c r="E2003" t="str" cm="1">
        <f t="array" ref="E2003">_xlfn.IFNA(_xlfn.XLOOKUP(1,([1]!hcahps[Facility ID] = clean[[#This Row],[Facility ID]]) * ([1]!hcahps[HCAHPS Measure ID] = "H_HSP_RATING_LINEAR_SCORE"), [1]!hcahps[HCAHPS Linear Mean Value]), "No Match")</f>
        <v>No Match</v>
      </c>
      <c r="F2003" t="str" cm="1">
        <f t="array" ref="F2003">_xlfn.IFNA(_xlfn.XLOOKUP(1,([1]!readmissions[Facility ID] = clean[[#This Row],[Facility ID]]) * ([1]!readmissions[Measure ID] = "Hybrid_HWR"), [1]!readmissions[Score]), "No Match")</f>
        <v>No Match</v>
      </c>
    </row>
    <row r="2004" spans="1:6" x14ac:dyDescent="0.2">
      <c r="A2004">
        <f>[1]!hospitalinfo[[#This Row],[Facility ID]]</f>
        <v>184017</v>
      </c>
      <c r="B2004" t="str">
        <f>[1]!hospitalinfo[[#This Row],[State]]</f>
        <v>KY</v>
      </c>
      <c r="C2004" t="str">
        <f>[1]!hospitalinfo[[#This Row],[Hospital Type]]</f>
        <v>Psychiatric</v>
      </c>
      <c r="D2004" t="str">
        <f>[1]!hospitalinfo[[#This Row],[Hospital Ownership]]</f>
        <v>Government - Federal</v>
      </c>
      <c r="E2004" t="str" cm="1">
        <f t="array" ref="E2004">_xlfn.IFNA(_xlfn.XLOOKUP(1,([1]!hcahps[Facility ID] = clean[[#This Row],[Facility ID]]) * ([1]!hcahps[HCAHPS Measure ID] = "H_HSP_RATING_LINEAR_SCORE"), [1]!hcahps[HCAHPS Linear Mean Value]), "No Match")</f>
        <v>No Match</v>
      </c>
      <c r="F2004" t="str" cm="1">
        <f t="array" ref="F2004">_xlfn.IFNA(_xlfn.XLOOKUP(1,([1]!readmissions[Facility ID] = clean[[#This Row],[Facility ID]]) * ([1]!readmissions[Measure ID] = "Hybrid_HWR"), [1]!readmissions[Score]), "No Match")</f>
        <v>No Match</v>
      </c>
    </row>
    <row r="2005" spans="1:6" x14ac:dyDescent="0.2">
      <c r="A2005" t="str">
        <f>[1]!hospitalinfo[[#This Row],[Facility ID]]</f>
        <v>18003F</v>
      </c>
      <c r="B2005" t="str">
        <f>[1]!hospitalinfo[[#This Row],[State]]</f>
        <v>KY</v>
      </c>
      <c r="C2005" t="str">
        <f>[1]!hospitalinfo[[#This Row],[Hospital Type]]</f>
        <v>Acute Care - Department of Defense</v>
      </c>
      <c r="D2005" t="str">
        <f>[1]!hospitalinfo[[#This Row],[Hospital Ownership]]</f>
        <v>Department of Defense</v>
      </c>
      <c r="E2005" cm="1">
        <f t="array" ref="E2005">_xlfn.IFNA(_xlfn.XLOOKUP(1,([1]!hcahps[Facility ID] = clean[[#This Row],[Facility ID]]) * ([1]!hcahps[HCAHPS Measure ID] = "H_HSP_RATING_LINEAR_SCORE"), [1]!hcahps[HCAHPS Linear Mean Value]), "No Match")</f>
        <v>91</v>
      </c>
      <c r="F2005" t="str" cm="1">
        <f t="array" ref="F2005">_xlfn.IFNA(_xlfn.XLOOKUP(1,([1]!readmissions[Facility ID] = clean[[#This Row],[Facility ID]]) * ([1]!readmissions[Measure ID] = "Hybrid_HWR"), [1]!readmissions[Score]), "No Match")</f>
        <v>Not Available</v>
      </c>
    </row>
    <row r="2006" spans="1:6" x14ac:dyDescent="0.2">
      <c r="A2006" t="str">
        <f>[1]!hospitalinfo[[#This Row],[Facility ID]]</f>
        <v>18006F</v>
      </c>
      <c r="B2006" t="str">
        <f>[1]!hospitalinfo[[#This Row],[State]]</f>
        <v>KY</v>
      </c>
      <c r="C2006" t="str">
        <f>[1]!hospitalinfo[[#This Row],[Hospital Type]]</f>
        <v>Acute Care - Veterans Administration</v>
      </c>
      <c r="D2006" t="str">
        <f>[1]!hospitalinfo[[#This Row],[Hospital Ownership]]</f>
        <v>Veterans Health Administration</v>
      </c>
      <c r="E2006" cm="1">
        <f t="array" ref="E2006">_xlfn.IFNA(_xlfn.XLOOKUP(1,([1]!hcahps[Facility ID] = clean[[#This Row],[Facility ID]]) * ([1]!hcahps[HCAHPS Measure ID] = "H_HSP_RATING_LINEAR_SCORE"), [1]!hcahps[HCAHPS Linear Mean Value]), "No Match")</f>
        <v>90</v>
      </c>
      <c r="F2006" cm="1">
        <f t="array" ref="F2006">_xlfn.IFNA(_xlfn.XLOOKUP(1,([1]!readmissions[Facility ID] = clean[[#This Row],[Facility ID]]) * ([1]!readmissions[Measure ID] = "Hybrid_HWR"), [1]!readmissions[Score]), "No Match")</f>
        <v>15.7</v>
      </c>
    </row>
    <row r="2007" spans="1:6" x14ac:dyDescent="0.2">
      <c r="A2007" t="str">
        <f>[1]!hospitalinfo[[#This Row],[Facility ID]]</f>
        <v>18007F</v>
      </c>
      <c r="B2007" t="str">
        <f>[1]!hospitalinfo[[#This Row],[State]]</f>
        <v>KY</v>
      </c>
      <c r="C2007" t="str">
        <f>[1]!hospitalinfo[[#This Row],[Hospital Type]]</f>
        <v>Acute Care - Veterans Administration</v>
      </c>
      <c r="D2007" t="str">
        <f>[1]!hospitalinfo[[#This Row],[Hospital Ownership]]</f>
        <v>Veterans Health Administration</v>
      </c>
      <c r="E2007" cm="1">
        <f t="array" ref="E2007">_xlfn.IFNA(_xlfn.XLOOKUP(1,([1]!hcahps[Facility ID] = clean[[#This Row],[Facility ID]]) * ([1]!hcahps[HCAHPS Measure ID] = "H_HSP_RATING_LINEAR_SCORE"), [1]!hcahps[HCAHPS Linear Mean Value]), "No Match")</f>
        <v>92</v>
      </c>
      <c r="F2007" cm="1">
        <f t="array" ref="F2007">_xlfn.IFNA(_xlfn.XLOOKUP(1,([1]!readmissions[Facility ID] = clean[[#This Row],[Facility ID]]) * ([1]!readmissions[Measure ID] = "Hybrid_HWR"), [1]!readmissions[Score]), "No Match")</f>
        <v>16.2</v>
      </c>
    </row>
    <row r="2008" spans="1:6" x14ac:dyDescent="0.2">
      <c r="A2008">
        <f>[1]!hospitalinfo[[#This Row],[Facility ID]]</f>
        <v>190002</v>
      </c>
      <c r="B2008" t="str">
        <f>[1]!hospitalinfo[[#This Row],[State]]</f>
        <v>LA</v>
      </c>
      <c r="C2008" t="str">
        <f>[1]!hospitalinfo[[#This Row],[Hospital Type]]</f>
        <v>Acute Care Hospitals</v>
      </c>
      <c r="D2008" t="str">
        <f>[1]!hospitalinfo[[#This Row],[Hospital Ownership]]</f>
        <v>Voluntary non-profit - Private</v>
      </c>
      <c r="E2008" cm="1">
        <f t="array" ref="E2008">_xlfn.IFNA(_xlfn.XLOOKUP(1,([1]!hcahps[Facility ID] = clean[[#This Row],[Facility ID]]) * ([1]!hcahps[HCAHPS Measure ID] = "H_HSP_RATING_LINEAR_SCORE"), [1]!hcahps[HCAHPS Linear Mean Value]), "No Match")</f>
        <v>89</v>
      </c>
      <c r="F2008" cm="1">
        <f t="array" ref="F2008">_xlfn.IFNA(_xlfn.XLOOKUP(1,([1]!readmissions[Facility ID] = clean[[#This Row],[Facility ID]]) * ([1]!readmissions[Measure ID] = "Hybrid_HWR"), [1]!readmissions[Score]), "No Match")</f>
        <v>15.7</v>
      </c>
    </row>
    <row r="2009" spans="1:6" x14ac:dyDescent="0.2">
      <c r="A2009">
        <f>[1]!hospitalinfo[[#This Row],[Facility ID]]</f>
        <v>190004</v>
      </c>
      <c r="B2009" t="str">
        <f>[1]!hospitalinfo[[#This Row],[State]]</f>
        <v>LA</v>
      </c>
      <c r="C2009" t="str">
        <f>[1]!hospitalinfo[[#This Row],[Hospital Type]]</f>
        <v>Acute Care Hospitals</v>
      </c>
      <c r="D2009" t="str">
        <f>[1]!hospitalinfo[[#This Row],[Hospital Ownership]]</f>
        <v>Voluntary non-profit - Private</v>
      </c>
      <c r="E2009" cm="1">
        <f t="array" ref="E2009">_xlfn.IFNA(_xlfn.XLOOKUP(1,([1]!hcahps[Facility ID] = clean[[#This Row],[Facility ID]]) * ([1]!hcahps[HCAHPS Measure ID] = "H_HSP_RATING_LINEAR_SCORE"), [1]!hcahps[HCAHPS Linear Mean Value]), "No Match")</f>
        <v>92</v>
      </c>
      <c r="F2009" cm="1">
        <f t="array" ref="F2009">_xlfn.IFNA(_xlfn.XLOOKUP(1,([1]!readmissions[Facility ID] = clean[[#This Row],[Facility ID]]) * ([1]!readmissions[Measure ID] = "Hybrid_HWR"), [1]!readmissions[Score]), "No Match")</f>
        <v>14.3</v>
      </c>
    </row>
    <row r="2010" spans="1:6" x14ac:dyDescent="0.2">
      <c r="A2010">
        <f>[1]!hospitalinfo[[#This Row],[Facility ID]]</f>
        <v>190005</v>
      </c>
      <c r="B2010" t="str">
        <f>[1]!hospitalinfo[[#This Row],[State]]</f>
        <v>LA</v>
      </c>
      <c r="C2010" t="str">
        <f>[1]!hospitalinfo[[#This Row],[Hospital Type]]</f>
        <v>Acute Care Hospitals</v>
      </c>
      <c r="D2010" t="str">
        <f>[1]!hospitalinfo[[#This Row],[Hospital Ownership]]</f>
        <v>Voluntary non-profit - Private</v>
      </c>
      <c r="E2010" cm="1">
        <f t="array" ref="E2010">_xlfn.IFNA(_xlfn.XLOOKUP(1,([1]!hcahps[Facility ID] = clean[[#This Row],[Facility ID]]) * ([1]!hcahps[HCAHPS Measure ID] = "H_HSP_RATING_LINEAR_SCORE"), [1]!hcahps[HCAHPS Linear Mean Value]), "No Match")</f>
        <v>90</v>
      </c>
      <c r="F2010" cm="1">
        <f t="array" ref="F2010">_xlfn.IFNA(_xlfn.XLOOKUP(1,([1]!readmissions[Facility ID] = clean[[#This Row],[Facility ID]]) * ([1]!readmissions[Measure ID] = "Hybrid_HWR"), [1]!readmissions[Score]), "No Match")</f>
        <v>15.5</v>
      </c>
    </row>
    <row r="2011" spans="1:6" x14ac:dyDescent="0.2">
      <c r="A2011">
        <f>[1]!hospitalinfo[[#This Row],[Facility ID]]</f>
        <v>190006</v>
      </c>
      <c r="B2011" t="str">
        <f>[1]!hospitalinfo[[#This Row],[State]]</f>
        <v>LA</v>
      </c>
      <c r="C2011" t="str">
        <f>[1]!hospitalinfo[[#This Row],[Hospital Type]]</f>
        <v>Acute Care Hospitals</v>
      </c>
      <c r="D2011" t="str">
        <f>[1]!hospitalinfo[[#This Row],[Hospital Ownership]]</f>
        <v>Voluntary non-profit - Private</v>
      </c>
      <c r="E2011" cm="1">
        <f t="array" ref="E2011">_xlfn.IFNA(_xlfn.XLOOKUP(1,([1]!hcahps[Facility ID] = clean[[#This Row],[Facility ID]]) * ([1]!hcahps[HCAHPS Measure ID] = "H_HSP_RATING_LINEAR_SCORE"), [1]!hcahps[HCAHPS Linear Mean Value]), "No Match")</f>
        <v>91</v>
      </c>
      <c r="F2011" cm="1">
        <f t="array" ref="F2011">_xlfn.IFNA(_xlfn.XLOOKUP(1,([1]!readmissions[Facility ID] = clean[[#This Row],[Facility ID]]) * ([1]!readmissions[Measure ID] = "Hybrid_HWR"), [1]!readmissions[Score]), "No Match")</f>
        <v>16.100000000000001</v>
      </c>
    </row>
    <row r="2012" spans="1:6" x14ac:dyDescent="0.2">
      <c r="A2012">
        <f>[1]!hospitalinfo[[#This Row],[Facility ID]]</f>
        <v>190007</v>
      </c>
      <c r="B2012" t="str">
        <f>[1]!hospitalinfo[[#This Row],[State]]</f>
        <v>LA</v>
      </c>
      <c r="C2012" t="str">
        <f>[1]!hospitalinfo[[#This Row],[Hospital Type]]</f>
        <v>Acute Care Hospitals</v>
      </c>
      <c r="D2012" t="str">
        <f>[1]!hospitalinfo[[#This Row],[Hospital Ownership]]</f>
        <v>Government - Hospital District or Authority</v>
      </c>
      <c r="E2012" cm="1">
        <f t="array" ref="E2012">_xlfn.IFNA(_xlfn.XLOOKUP(1,([1]!hcahps[Facility ID] = clean[[#This Row],[Facility ID]]) * ([1]!hcahps[HCAHPS Measure ID] = "H_HSP_RATING_LINEAR_SCORE"), [1]!hcahps[HCAHPS Linear Mean Value]), "No Match")</f>
        <v>89</v>
      </c>
      <c r="F2012" cm="1">
        <f t="array" ref="F2012">_xlfn.IFNA(_xlfn.XLOOKUP(1,([1]!readmissions[Facility ID] = clean[[#This Row],[Facility ID]]) * ([1]!readmissions[Measure ID] = "Hybrid_HWR"), [1]!readmissions[Score]), "No Match")</f>
        <v>15.4</v>
      </c>
    </row>
    <row r="2013" spans="1:6" x14ac:dyDescent="0.2">
      <c r="A2013">
        <f>[1]!hospitalinfo[[#This Row],[Facility ID]]</f>
        <v>190008</v>
      </c>
      <c r="B2013" t="str">
        <f>[1]!hospitalinfo[[#This Row],[State]]</f>
        <v>LA</v>
      </c>
      <c r="C2013" t="str">
        <f>[1]!hospitalinfo[[#This Row],[Hospital Type]]</f>
        <v>Acute Care Hospitals</v>
      </c>
      <c r="D2013" t="str">
        <f>[1]!hospitalinfo[[#This Row],[Hospital Ownership]]</f>
        <v>Government - Hospital District or Authority</v>
      </c>
      <c r="E2013" cm="1">
        <f t="array" ref="E2013">_xlfn.IFNA(_xlfn.XLOOKUP(1,([1]!hcahps[Facility ID] = clean[[#This Row],[Facility ID]]) * ([1]!hcahps[HCAHPS Measure ID] = "H_HSP_RATING_LINEAR_SCORE"), [1]!hcahps[HCAHPS Linear Mean Value]), "No Match")</f>
        <v>89</v>
      </c>
      <c r="F2013" cm="1">
        <f t="array" ref="F2013">_xlfn.IFNA(_xlfn.XLOOKUP(1,([1]!readmissions[Facility ID] = clean[[#This Row],[Facility ID]]) * ([1]!readmissions[Measure ID] = "Hybrid_HWR"), [1]!readmissions[Score]), "No Match")</f>
        <v>15.8</v>
      </c>
    </row>
    <row r="2014" spans="1:6" x14ac:dyDescent="0.2">
      <c r="A2014">
        <f>[1]!hospitalinfo[[#This Row],[Facility ID]]</f>
        <v>190011</v>
      </c>
      <c r="B2014" t="str">
        <f>[1]!hospitalinfo[[#This Row],[State]]</f>
        <v>LA</v>
      </c>
      <c r="C2014" t="str">
        <f>[1]!hospitalinfo[[#This Row],[Hospital Type]]</f>
        <v>Acute Care Hospitals</v>
      </c>
      <c r="D2014" t="str">
        <f>[1]!hospitalinfo[[#This Row],[Hospital Ownership]]</f>
        <v>Voluntary non-profit - Private</v>
      </c>
      <c r="E2014" cm="1">
        <f t="array" ref="E2014">_xlfn.IFNA(_xlfn.XLOOKUP(1,([1]!hcahps[Facility ID] = clean[[#This Row],[Facility ID]]) * ([1]!hcahps[HCAHPS Measure ID] = "H_HSP_RATING_LINEAR_SCORE"), [1]!hcahps[HCAHPS Linear Mean Value]), "No Match")</f>
        <v>90</v>
      </c>
      <c r="F2014" cm="1">
        <f t="array" ref="F2014">_xlfn.IFNA(_xlfn.XLOOKUP(1,([1]!readmissions[Facility ID] = clean[[#This Row],[Facility ID]]) * ([1]!readmissions[Measure ID] = "Hybrid_HWR"), [1]!readmissions[Score]), "No Match")</f>
        <v>15.2</v>
      </c>
    </row>
    <row r="2015" spans="1:6" x14ac:dyDescent="0.2">
      <c r="A2015">
        <f>[1]!hospitalinfo[[#This Row],[Facility ID]]</f>
        <v>190013</v>
      </c>
      <c r="B2015" t="str">
        <f>[1]!hospitalinfo[[#This Row],[State]]</f>
        <v>LA</v>
      </c>
      <c r="C2015" t="str">
        <f>[1]!hospitalinfo[[#This Row],[Hospital Type]]</f>
        <v>Acute Care Hospitals</v>
      </c>
      <c r="D2015" t="str">
        <f>[1]!hospitalinfo[[#This Row],[Hospital Ownership]]</f>
        <v>Government - Hospital District or Authority</v>
      </c>
      <c r="E2015" cm="1">
        <f t="array" ref="E2015">_xlfn.IFNA(_xlfn.XLOOKUP(1,([1]!hcahps[Facility ID] = clean[[#This Row],[Facility ID]]) * ([1]!hcahps[HCAHPS Measure ID] = "H_HSP_RATING_LINEAR_SCORE"), [1]!hcahps[HCAHPS Linear Mean Value]), "No Match")</f>
        <v>90</v>
      </c>
      <c r="F2015" cm="1">
        <f t="array" ref="F2015">_xlfn.IFNA(_xlfn.XLOOKUP(1,([1]!readmissions[Facility ID] = clean[[#This Row],[Facility ID]]) * ([1]!readmissions[Measure ID] = "Hybrid_HWR"), [1]!readmissions[Score]), "No Match")</f>
        <v>14.6</v>
      </c>
    </row>
    <row r="2016" spans="1:6" x14ac:dyDescent="0.2">
      <c r="A2016">
        <f>[1]!hospitalinfo[[#This Row],[Facility ID]]</f>
        <v>190014</v>
      </c>
      <c r="B2016" t="str">
        <f>[1]!hospitalinfo[[#This Row],[State]]</f>
        <v>LA</v>
      </c>
      <c r="C2016" t="str">
        <f>[1]!hospitalinfo[[#This Row],[Hospital Type]]</f>
        <v>Acute Care Hospitals</v>
      </c>
      <c r="D2016" t="str">
        <f>[1]!hospitalinfo[[#This Row],[Hospital Ownership]]</f>
        <v>Voluntary non-profit - Private</v>
      </c>
      <c r="E2016" cm="1">
        <f t="array" ref="E2016">_xlfn.IFNA(_xlfn.XLOOKUP(1,([1]!hcahps[Facility ID] = clean[[#This Row],[Facility ID]]) * ([1]!hcahps[HCAHPS Measure ID] = "H_HSP_RATING_LINEAR_SCORE"), [1]!hcahps[HCAHPS Linear Mean Value]), "No Match")</f>
        <v>88</v>
      </c>
      <c r="F2016" cm="1">
        <f t="array" ref="F2016">_xlfn.IFNA(_xlfn.XLOOKUP(1,([1]!readmissions[Facility ID] = clean[[#This Row],[Facility ID]]) * ([1]!readmissions[Measure ID] = "Hybrid_HWR"), [1]!readmissions[Score]), "No Match")</f>
        <v>15.4</v>
      </c>
    </row>
    <row r="2017" spans="1:6" x14ac:dyDescent="0.2">
      <c r="A2017">
        <f>[1]!hospitalinfo[[#This Row],[Facility ID]]</f>
        <v>190015</v>
      </c>
      <c r="B2017" t="str">
        <f>[1]!hospitalinfo[[#This Row],[State]]</f>
        <v>LA</v>
      </c>
      <c r="C2017" t="str">
        <f>[1]!hospitalinfo[[#This Row],[Hospital Type]]</f>
        <v>Acute Care Hospitals</v>
      </c>
      <c r="D2017" t="str">
        <f>[1]!hospitalinfo[[#This Row],[Hospital Ownership]]</f>
        <v>Government - Hospital District or Authority</v>
      </c>
      <c r="E2017" cm="1">
        <f t="array" ref="E2017">_xlfn.IFNA(_xlfn.XLOOKUP(1,([1]!hcahps[Facility ID] = clean[[#This Row],[Facility ID]]) * ([1]!hcahps[HCAHPS Measure ID] = "H_HSP_RATING_LINEAR_SCORE"), [1]!hcahps[HCAHPS Linear Mean Value]), "No Match")</f>
        <v>86</v>
      </c>
      <c r="F2017" cm="1">
        <f t="array" ref="F2017">_xlfn.IFNA(_xlfn.XLOOKUP(1,([1]!readmissions[Facility ID] = clean[[#This Row],[Facility ID]]) * ([1]!readmissions[Measure ID] = "Hybrid_HWR"), [1]!readmissions[Score]), "No Match")</f>
        <v>16.8</v>
      </c>
    </row>
    <row r="2018" spans="1:6" x14ac:dyDescent="0.2">
      <c r="A2018">
        <f>[1]!hospitalinfo[[#This Row],[Facility ID]]</f>
        <v>190017</v>
      </c>
      <c r="B2018" t="str">
        <f>[1]!hospitalinfo[[#This Row],[State]]</f>
        <v>LA</v>
      </c>
      <c r="C2018" t="str">
        <f>[1]!hospitalinfo[[#This Row],[Hospital Type]]</f>
        <v>Acute Care Hospitals</v>
      </c>
      <c r="D2018" t="str">
        <f>[1]!hospitalinfo[[#This Row],[Hospital Ownership]]</f>
        <v>Government - Hospital District or Authority</v>
      </c>
      <c r="E2018" cm="1">
        <f t="array" ref="E2018">_xlfn.IFNA(_xlfn.XLOOKUP(1,([1]!hcahps[Facility ID] = clean[[#This Row],[Facility ID]]) * ([1]!hcahps[HCAHPS Measure ID] = "H_HSP_RATING_LINEAR_SCORE"), [1]!hcahps[HCAHPS Linear Mean Value]), "No Match")</f>
        <v>88</v>
      </c>
      <c r="F2018" cm="1">
        <f t="array" ref="F2018">_xlfn.IFNA(_xlfn.XLOOKUP(1,([1]!readmissions[Facility ID] = clean[[#This Row],[Facility ID]]) * ([1]!readmissions[Measure ID] = "Hybrid_HWR"), [1]!readmissions[Score]), "No Match")</f>
        <v>15.3</v>
      </c>
    </row>
    <row r="2019" spans="1:6" x14ac:dyDescent="0.2">
      <c r="A2019">
        <f>[1]!hospitalinfo[[#This Row],[Facility ID]]</f>
        <v>190019</v>
      </c>
      <c r="B2019" t="str">
        <f>[1]!hospitalinfo[[#This Row],[State]]</f>
        <v>LA</v>
      </c>
      <c r="C2019" t="str">
        <f>[1]!hospitalinfo[[#This Row],[Hospital Type]]</f>
        <v>Acute Care Hospitals</v>
      </c>
      <c r="D2019" t="str">
        <f>[1]!hospitalinfo[[#This Row],[Hospital Ownership]]</f>
        <v>Voluntary non-profit - Private</v>
      </c>
      <c r="E2019" cm="1">
        <f t="array" ref="E2019">_xlfn.IFNA(_xlfn.XLOOKUP(1,([1]!hcahps[Facility ID] = clean[[#This Row],[Facility ID]]) * ([1]!hcahps[HCAHPS Measure ID] = "H_HSP_RATING_LINEAR_SCORE"), [1]!hcahps[HCAHPS Linear Mean Value]), "No Match")</f>
        <v>86</v>
      </c>
      <c r="F2019" cm="1">
        <f t="array" ref="F2019">_xlfn.IFNA(_xlfn.XLOOKUP(1,([1]!readmissions[Facility ID] = clean[[#This Row],[Facility ID]]) * ([1]!readmissions[Measure ID] = "Hybrid_HWR"), [1]!readmissions[Score]), "No Match")</f>
        <v>16.399999999999999</v>
      </c>
    </row>
    <row r="2020" spans="1:6" x14ac:dyDescent="0.2">
      <c r="A2020">
        <f>[1]!hospitalinfo[[#This Row],[Facility ID]]</f>
        <v>190020</v>
      </c>
      <c r="B2020" t="str">
        <f>[1]!hospitalinfo[[#This Row],[State]]</f>
        <v>LA</v>
      </c>
      <c r="C2020" t="str">
        <f>[1]!hospitalinfo[[#This Row],[Hospital Type]]</f>
        <v>Acute Care Hospitals</v>
      </c>
      <c r="D2020" t="str">
        <f>[1]!hospitalinfo[[#This Row],[Hospital Ownership]]</f>
        <v>Government - Hospital District or Authority</v>
      </c>
      <c r="E2020" cm="1">
        <f t="array" ref="E2020">_xlfn.IFNA(_xlfn.XLOOKUP(1,([1]!hcahps[Facility ID] = clean[[#This Row],[Facility ID]]) * ([1]!hcahps[HCAHPS Measure ID] = "H_HSP_RATING_LINEAR_SCORE"), [1]!hcahps[HCAHPS Linear Mean Value]), "No Match")</f>
        <v>88</v>
      </c>
      <c r="F2020" cm="1">
        <f t="array" ref="F2020">_xlfn.IFNA(_xlfn.XLOOKUP(1,([1]!readmissions[Facility ID] = clean[[#This Row],[Facility ID]]) * ([1]!readmissions[Measure ID] = "Hybrid_HWR"), [1]!readmissions[Score]), "No Match")</f>
        <v>15.3</v>
      </c>
    </row>
    <row r="2021" spans="1:6" x14ac:dyDescent="0.2">
      <c r="A2021">
        <f>[1]!hospitalinfo[[#This Row],[Facility ID]]</f>
        <v>190025</v>
      </c>
      <c r="B2021" t="str">
        <f>[1]!hospitalinfo[[#This Row],[State]]</f>
        <v>LA</v>
      </c>
      <c r="C2021" t="str">
        <f>[1]!hospitalinfo[[#This Row],[Hospital Type]]</f>
        <v>Acute Care Hospitals</v>
      </c>
      <c r="D2021" t="str">
        <f>[1]!hospitalinfo[[#This Row],[Hospital Ownership]]</f>
        <v>Voluntary non-profit - Other</v>
      </c>
      <c r="E2021" t="str" cm="1">
        <f t="array" ref="E2021">_xlfn.IFNA(_xlfn.XLOOKUP(1,([1]!hcahps[Facility ID] = clean[[#This Row],[Facility ID]]) * ([1]!hcahps[HCAHPS Measure ID] = "H_HSP_RATING_LINEAR_SCORE"), [1]!hcahps[HCAHPS Linear Mean Value]), "No Match")</f>
        <v>Not Available</v>
      </c>
      <c r="F2021" cm="1">
        <f t="array" ref="F2021">_xlfn.IFNA(_xlfn.XLOOKUP(1,([1]!readmissions[Facility ID] = clean[[#This Row],[Facility ID]]) * ([1]!readmissions[Measure ID] = "Hybrid_HWR"), [1]!readmissions[Score]), "No Match")</f>
        <v>15.1</v>
      </c>
    </row>
    <row r="2022" spans="1:6" x14ac:dyDescent="0.2">
      <c r="A2022">
        <f>[1]!hospitalinfo[[#This Row],[Facility ID]]</f>
        <v>190026</v>
      </c>
      <c r="B2022" t="str">
        <f>[1]!hospitalinfo[[#This Row],[State]]</f>
        <v>LA</v>
      </c>
      <c r="C2022" t="str">
        <f>[1]!hospitalinfo[[#This Row],[Hospital Type]]</f>
        <v>Acute Care Hospitals</v>
      </c>
      <c r="D2022" t="str">
        <f>[1]!hospitalinfo[[#This Row],[Hospital Ownership]]</f>
        <v>Proprietary</v>
      </c>
      <c r="E2022" cm="1">
        <f t="array" ref="E2022">_xlfn.IFNA(_xlfn.XLOOKUP(1,([1]!hcahps[Facility ID] = clean[[#This Row],[Facility ID]]) * ([1]!hcahps[HCAHPS Measure ID] = "H_HSP_RATING_LINEAR_SCORE"), [1]!hcahps[HCAHPS Linear Mean Value]), "No Match")</f>
        <v>82</v>
      </c>
      <c r="F2022" cm="1">
        <f t="array" ref="F2022">_xlfn.IFNA(_xlfn.XLOOKUP(1,([1]!readmissions[Facility ID] = clean[[#This Row],[Facility ID]]) * ([1]!readmissions[Measure ID] = "Hybrid_HWR"), [1]!readmissions[Score]), "No Match")</f>
        <v>16.100000000000001</v>
      </c>
    </row>
    <row r="2023" spans="1:6" x14ac:dyDescent="0.2">
      <c r="A2023">
        <f>[1]!hospitalinfo[[#This Row],[Facility ID]]</f>
        <v>190027</v>
      </c>
      <c r="B2023" t="str">
        <f>[1]!hospitalinfo[[#This Row],[State]]</f>
        <v>LA</v>
      </c>
      <c r="C2023" t="str">
        <f>[1]!hospitalinfo[[#This Row],[Hospital Type]]</f>
        <v>Acute Care Hospitals</v>
      </c>
      <c r="D2023" t="str">
        <f>[1]!hospitalinfo[[#This Row],[Hospital Ownership]]</f>
        <v>Voluntary non-profit - Private</v>
      </c>
      <c r="E2023" cm="1">
        <f t="array" ref="E2023">_xlfn.IFNA(_xlfn.XLOOKUP(1,([1]!hcahps[Facility ID] = clean[[#This Row],[Facility ID]]) * ([1]!hcahps[HCAHPS Measure ID] = "H_HSP_RATING_LINEAR_SCORE"), [1]!hcahps[HCAHPS Linear Mean Value]), "No Match")</f>
        <v>87</v>
      </c>
      <c r="F2023" cm="1">
        <f t="array" ref="F2023">_xlfn.IFNA(_xlfn.XLOOKUP(1,([1]!readmissions[Facility ID] = clean[[#This Row],[Facility ID]]) * ([1]!readmissions[Measure ID] = "Hybrid_HWR"), [1]!readmissions[Score]), "No Match")</f>
        <v>15.1</v>
      </c>
    </row>
    <row r="2024" spans="1:6" x14ac:dyDescent="0.2">
      <c r="A2024">
        <f>[1]!hospitalinfo[[#This Row],[Facility ID]]</f>
        <v>190034</v>
      </c>
      <c r="B2024" t="str">
        <f>[1]!hospitalinfo[[#This Row],[State]]</f>
        <v>LA</v>
      </c>
      <c r="C2024" t="str">
        <f>[1]!hospitalinfo[[#This Row],[Hospital Type]]</f>
        <v>Acute Care Hospitals</v>
      </c>
      <c r="D2024" t="str">
        <f>[1]!hospitalinfo[[#This Row],[Hospital Ownership]]</f>
        <v>Government - Hospital District or Authority</v>
      </c>
      <c r="E2024" cm="1">
        <f t="array" ref="E2024">_xlfn.IFNA(_xlfn.XLOOKUP(1,([1]!hcahps[Facility ID] = clean[[#This Row],[Facility ID]]) * ([1]!hcahps[HCAHPS Measure ID] = "H_HSP_RATING_LINEAR_SCORE"), [1]!hcahps[HCAHPS Linear Mean Value]), "No Match")</f>
        <v>92</v>
      </c>
      <c r="F2024" cm="1">
        <f t="array" ref="F2024">_xlfn.IFNA(_xlfn.XLOOKUP(1,([1]!readmissions[Facility ID] = clean[[#This Row],[Facility ID]]) * ([1]!readmissions[Measure ID] = "Hybrid_HWR"), [1]!readmissions[Score]), "No Match")</f>
        <v>14.3</v>
      </c>
    </row>
    <row r="2025" spans="1:6" x14ac:dyDescent="0.2">
      <c r="A2025">
        <f>[1]!hospitalinfo[[#This Row],[Facility ID]]</f>
        <v>190036</v>
      </c>
      <c r="B2025" t="str">
        <f>[1]!hospitalinfo[[#This Row],[State]]</f>
        <v>LA</v>
      </c>
      <c r="C2025" t="str">
        <f>[1]!hospitalinfo[[#This Row],[Hospital Type]]</f>
        <v>Acute Care Hospitals</v>
      </c>
      <c r="D2025" t="str">
        <f>[1]!hospitalinfo[[#This Row],[Hospital Ownership]]</f>
        <v>Voluntary non-profit - Private</v>
      </c>
      <c r="E2025" cm="1">
        <f t="array" ref="E2025">_xlfn.IFNA(_xlfn.XLOOKUP(1,([1]!hcahps[Facility ID] = clean[[#This Row],[Facility ID]]) * ([1]!hcahps[HCAHPS Measure ID] = "H_HSP_RATING_LINEAR_SCORE"), [1]!hcahps[HCAHPS Linear Mean Value]), "No Match")</f>
        <v>88</v>
      </c>
      <c r="F2025" cm="1">
        <f t="array" ref="F2025">_xlfn.IFNA(_xlfn.XLOOKUP(1,([1]!readmissions[Facility ID] = clean[[#This Row],[Facility ID]]) * ([1]!readmissions[Measure ID] = "Hybrid_HWR"), [1]!readmissions[Score]), "No Match")</f>
        <v>16.2</v>
      </c>
    </row>
    <row r="2026" spans="1:6" x14ac:dyDescent="0.2">
      <c r="A2026">
        <f>[1]!hospitalinfo[[#This Row],[Facility ID]]</f>
        <v>190039</v>
      </c>
      <c r="B2026" t="str">
        <f>[1]!hospitalinfo[[#This Row],[State]]</f>
        <v>LA</v>
      </c>
      <c r="C2026" t="str">
        <f>[1]!hospitalinfo[[#This Row],[Hospital Type]]</f>
        <v>Acute Care Hospitals</v>
      </c>
      <c r="D2026" t="str">
        <f>[1]!hospitalinfo[[#This Row],[Hospital Ownership]]</f>
        <v>Voluntary non-profit - Private</v>
      </c>
      <c r="E2026" cm="1">
        <f t="array" ref="E2026">_xlfn.IFNA(_xlfn.XLOOKUP(1,([1]!hcahps[Facility ID] = clean[[#This Row],[Facility ID]]) * ([1]!hcahps[HCAHPS Measure ID] = "H_HSP_RATING_LINEAR_SCORE"), [1]!hcahps[HCAHPS Linear Mean Value]), "No Match")</f>
        <v>89</v>
      </c>
      <c r="F2026" cm="1">
        <f t="array" ref="F2026">_xlfn.IFNA(_xlfn.XLOOKUP(1,([1]!readmissions[Facility ID] = clean[[#This Row],[Facility ID]]) * ([1]!readmissions[Measure ID] = "Hybrid_HWR"), [1]!readmissions[Score]), "No Match")</f>
        <v>15</v>
      </c>
    </row>
    <row r="2027" spans="1:6" x14ac:dyDescent="0.2">
      <c r="A2027">
        <f>[1]!hospitalinfo[[#This Row],[Facility ID]]</f>
        <v>190040</v>
      </c>
      <c r="B2027" t="str">
        <f>[1]!hospitalinfo[[#This Row],[State]]</f>
        <v>LA</v>
      </c>
      <c r="C2027" t="str">
        <f>[1]!hospitalinfo[[#This Row],[Hospital Type]]</f>
        <v>Acute Care Hospitals</v>
      </c>
      <c r="D2027" t="str">
        <f>[1]!hospitalinfo[[#This Row],[Hospital Ownership]]</f>
        <v>Government - Hospital District or Authority</v>
      </c>
      <c r="E2027" cm="1">
        <f t="array" ref="E2027">_xlfn.IFNA(_xlfn.XLOOKUP(1,([1]!hcahps[Facility ID] = clean[[#This Row],[Facility ID]]) * ([1]!hcahps[HCAHPS Measure ID] = "H_HSP_RATING_LINEAR_SCORE"), [1]!hcahps[HCAHPS Linear Mean Value]), "No Match")</f>
        <v>85</v>
      </c>
      <c r="F2027" cm="1">
        <f t="array" ref="F2027">_xlfn.IFNA(_xlfn.XLOOKUP(1,([1]!readmissions[Facility ID] = clean[[#This Row],[Facility ID]]) * ([1]!readmissions[Measure ID] = "Hybrid_HWR"), [1]!readmissions[Score]), "No Match")</f>
        <v>16</v>
      </c>
    </row>
    <row r="2028" spans="1:6" x14ac:dyDescent="0.2">
      <c r="A2028">
        <f>[1]!hospitalinfo[[#This Row],[Facility ID]]</f>
        <v>190041</v>
      </c>
      <c r="B2028" t="str">
        <f>[1]!hospitalinfo[[#This Row],[State]]</f>
        <v>LA</v>
      </c>
      <c r="C2028" t="str">
        <f>[1]!hospitalinfo[[#This Row],[Hospital Type]]</f>
        <v>Acute Care Hospitals</v>
      </c>
      <c r="D2028" t="str">
        <f>[1]!hospitalinfo[[#This Row],[Hospital Ownership]]</f>
        <v>Voluntary non-profit - Private</v>
      </c>
      <c r="E2028" cm="1">
        <f t="array" ref="E2028">_xlfn.IFNA(_xlfn.XLOOKUP(1,([1]!hcahps[Facility ID] = clean[[#This Row],[Facility ID]]) * ([1]!hcahps[HCAHPS Measure ID] = "H_HSP_RATING_LINEAR_SCORE"), [1]!hcahps[HCAHPS Linear Mean Value]), "No Match")</f>
        <v>87</v>
      </c>
      <c r="F2028" cm="1">
        <f t="array" ref="F2028">_xlfn.IFNA(_xlfn.XLOOKUP(1,([1]!readmissions[Facility ID] = clean[[#This Row],[Facility ID]]) * ([1]!readmissions[Measure ID] = "Hybrid_HWR"), [1]!readmissions[Score]), "No Match")</f>
        <v>15.8</v>
      </c>
    </row>
    <row r="2029" spans="1:6" x14ac:dyDescent="0.2">
      <c r="A2029">
        <f>[1]!hospitalinfo[[#This Row],[Facility ID]]</f>
        <v>190044</v>
      </c>
      <c r="B2029" t="str">
        <f>[1]!hospitalinfo[[#This Row],[State]]</f>
        <v>LA</v>
      </c>
      <c r="C2029" t="str">
        <f>[1]!hospitalinfo[[#This Row],[Hospital Type]]</f>
        <v>Acute Care Hospitals</v>
      </c>
      <c r="D2029" t="str">
        <f>[1]!hospitalinfo[[#This Row],[Hospital Ownership]]</f>
        <v>Voluntary non-profit - Private</v>
      </c>
      <c r="E2029" cm="1">
        <f t="array" ref="E2029">_xlfn.IFNA(_xlfn.XLOOKUP(1,([1]!hcahps[Facility ID] = clean[[#This Row],[Facility ID]]) * ([1]!hcahps[HCAHPS Measure ID] = "H_HSP_RATING_LINEAR_SCORE"), [1]!hcahps[HCAHPS Linear Mean Value]), "No Match")</f>
        <v>89</v>
      </c>
      <c r="F2029" cm="1">
        <f t="array" ref="F2029">_xlfn.IFNA(_xlfn.XLOOKUP(1,([1]!readmissions[Facility ID] = clean[[#This Row],[Facility ID]]) * ([1]!readmissions[Measure ID] = "Hybrid_HWR"), [1]!readmissions[Score]), "No Match")</f>
        <v>15.4</v>
      </c>
    </row>
    <row r="2030" spans="1:6" x14ac:dyDescent="0.2">
      <c r="A2030">
        <f>[1]!hospitalinfo[[#This Row],[Facility ID]]</f>
        <v>190045</v>
      </c>
      <c r="B2030" t="str">
        <f>[1]!hospitalinfo[[#This Row],[State]]</f>
        <v>LA</v>
      </c>
      <c r="C2030" t="str">
        <f>[1]!hospitalinfo[[#This Row],[Hospital Type]]</f>
        <v>Acute Care Hospitals</v>
      </c>
      <c r="D2030" t="str">
        <f>[1]!hospitalinfo[[#This Row],[Hospital Ownership]]</f>
        <v>Government - Hospital District or Authority</v>
      </c>
      <c r="E2030" cm="1">
        <f t="array" ref="E2030">_xlfn.IFNA(_xlfn.XLOOKUP(1,([1]!hcahps[Facility ID] = clean[[#This Row],[Facility ID]]) * ([1]!hcahps[HCAHPS Measure ID] = "H_HSP_RATING_LINEAR_SCORE"), [1]!hcahps[HCAHPS Linear Mean Value]), "No Match")</f>
        <v>92</v>
      </c>
      <c r="F2030" cm="1">
        <f t="array" ref="F2030">_xlfn.IFNA(_xlfn.XLOOKUP(1,([1]!readmissions[Facility ID] = clean[[#This Row],[Facility ID]]) * ([1]!readmissions[Measure ID] = "Hybrid_HWR"), [1]!readmissions[Score]), "No Match")</f>
        <v>15.8</v>
      </c>
    </row>
    <row r="2031" spans="1:6" x14ac:dyDescent="0.2">
      <c r="A2031">
        <f>[1]!hospitalinfo[[#This Row],[Facility ID]]</f>
        <v>190046</v>
      </c>
      <c r="B2031" t="str">
        <f>[1]!hospitalinfo[[#This Row],[State]]</f>
        <v>LA</v>
      </c>
      <c r="C2031" t="str">
        <f>[1]!hospitalinfo[[#This Row],[Hospital Type]]</f>
        <v>Acute Care Hospitals</v>
      </c>
      <c r="D2031" t="str">
        <f>[1]!hospitalinfo[[#This Row],[Hospital Ownership]]</f>
        <v>Voluntary non-profit - Private</v>
      </c>
      <c r="E2031" cm="1">
        <f t="array" ref="E2031">_xlfn.IFNA(_xlfn.XLOOKUP(1,([1]!hcahps[Facility ID] = clean[[#This Row],[Facility ID]]) * ([1]!hcahps[HCAHPS Measure ID] = "H_HSP_RATING_LINEAR_SCORE"), [1]!hcahps[HCAHPS Linear Mean Value]), "No Match")</f>
        <v>90</v>
      </c>
      <c r="F2031" cm="1">
        <f t="array" ref="F2031">_xlfn.IFNA(_xlfn.XLOOKUP(1,([1]!readmissions[Facility ID] = clean[[#This Row],[Facility ID]]) * ([1]!readmissions[Measure ID] = "Hybrid_HWR"), [1]!readmissions[Score]), "No Match")</f>
        <v>15.4</v>
      </c>
    </row>
    <row r="2032" spans="1:6" x14ac:dyDescent="0.2">
      <c r="A2032">
        <f>[1]!hospitalinfo[[#This Row],[Facility ID]]</f>
        <v>190050</v>
      </c>
      <c r="B2032" t="str">
        <f>[1]!hospitalinfo[[#This Row],[State]]</f>
        <v>LA</v>
      </c>
      <c r="C2032" t="str">
        <f>[1]!hospitalinfo[[#This Row],[Hospital Type]]</f>
        <v>Acute Care Hospitals</v>
      </c>
      <c r="D2032" t="str">
        <f>[1]!hospitalinfo[[#This Row],[Hospital Ownership]]</f>
        <v>Government - Hospital District or Authority</v>
      </c>
      <c r="E2032" cm="1">
        <f t="array" ref="E2032">_xlfn.IFNA(_xlfn.XLOOKUP(1,([1]!hcahps[Facility ID] = clean[[#This Row],[Facility ID]]) * ([1]!hcahps[HCAHPS Measure ID] = "H_HSP_RATING_LINEAR_SCORE"), [1]!hcahps[HCAHPS Linear Mean Value]), "No Match")</f>
        <v>90</v>
      </c>
      <c r="F2032" cm="1">
        <f t="array" ref="F2032">_xlfn.IFNA(_xlfn.XLOOKUP(1,([1]!readmissions[Facility ID] = clean[[#This Row],[Facility ID]]) * ([1]!readmissions[Measure ID] = "Hybrid_HWR"), [1]!readmissions[Score]), "No Match")</f>
        <v>14.3</v>
      </c>
    </row>
    <row r="2033" spans="1:6" x14ac:dyDescent="0.2">
      <c r="A2033">
        <f>[1]!hospitalinfo[[#This Row],[Facility ID]]</f>
        <v>190053</v>
      </c>
      <c r="B2033" t="str">
        <f>[1]!hospitalinfo[[#This Row],[State]]</f>
        <v>LA</v>
      </c>
      <c r="C2033" t="str">
        <f>[1]!hospitalinfo[[#This Row],[Hospital Type]]</f>
        <v>Acute Care Hospitals</v>
      </c>
      <c r="D2033" t="str">
        <f>[1]!hospitalinfo[[#This Row],[Hospital Ownership]]</f>
        <v>Voluntary non-profit - Private</v>
      </c>
      <c r="E2033" cm="1">
        <f t="array" ref="E2033">_xlfn.IFNA(_xlfn.XLOOKUP(1,([1]!hcahps[Facility ID] = clean[[#This Row],[Facility ID]]) * ([1]!hcahps[HCAHPS Measure ID] = "H_HSP_RATING_LINEAR_SCORE"), [1]!hcahps[HCAHPS Linear Mean Value]), "No Match")</f>
        <v>90</v>
      </c>
      <c r="F2033" cm="1">
        <f t="array" ref="F2033">_xlfn.IFNA(_xlfn.XLOOKUP(1,([1]!readmissions[Facility ID] = clean[[#This Row],[Facility ID]]) * ([1]!readmissions[Measure ID] = "Hybrid_HWR"), [1]!readmissions[Score]), "No Match")</f>
        <v>15.3</v>
      </c>
    </row>
    <row r="2034" spans="1:6" x14ac:dyDescent="0.2">
      <c r="A2034">
        <f>[1]!hospitalinfo[[#This Row],[Facility ID]]</f>
        <v>190054</v>
      </c>
      <c r="B2034" t="str">
        <f>[1]!hospitalinfo[[#This Row],[State]]</f>
        <v>LA</v>
      </c>
      <c r="C2034" t="str">
        <f>[1]!hospitalinfo[[#This Row],[Hospital Type]]</f>
        <v>Acute Care Hospitals</v>
      </c>
      <c r="D2034" t="str">
        <f>[1]!hospitalinfo[[#This Row],[Hospital Ownership]]</f>
        <v>Voluntary non-profit - Private</v>
      </c>
      <c r="E2034" cm="1">
        <f t="array" ref="E2034">_xlfn.IFNA(_xlfn.XLOOKUP(1,([1]!hcahps[Facility ID] = clean[[#This Row],[Facility ID]]) * ([1]!hcahps[HCAHPS Measure ID] = "H_HSP_RATING_LINEAR_SCORE"), [1]!hcahps[HCAHPS Linear Mean Value]), "No Match")</f>
        <v>87</v>
      </c>
      <c r="F2034" cm="1">
        <f t="array" ref="F2034">_xlfn.IFNA(_xlfn.XLOOKUP(1,([1]!readmissions[Facility ID] = clean[[#This Row],[Facility ID]]) * ([1]!readmissions[Measure ID] = "Hybrid_HWR"), [1]!readmissions[Score]), "No Match")</f>
        <v>14.6</v>
      </c>
    </row>
    <row r="2035" spans="1:6" x14ac:dyDescent="0.2">
      <c r="A2035">
        <f>[1]!hospitalinfo[[#This Row],[Facility ID]]</f>
        <v>190060</v>
      </c>
      <c r="B2035" t="str">
        <f>[1]!hospitalinfo[[#This Row],[State]]</f>
        <v>LA</v>
      </c>
      <c r="C2035" t="str">
        <f>[1]!hospitalinfo[[#This Row],[Hospital Type]]</f>
        <v>Acute Care Hospitals</v>
      </c>
      <c r="D2035" t="str">
        <f>[1]!hospitalinfo[[#This Row],[Hospital Ownership]]</f>
        <v>Voluntary non-profit - Private</v>
      </c>
      <c r="E2035" cm="1">
        <f t="array" ref="E2035">_xlfn.IFNA(_xlfn.XLOOKUP(1,([1]!hcahps[Facility ID] = clean[[#This Row],[Facility ID]]) * ([1]!hcahps[HCAHPS Measure ID] = "H_HSP_RATING_LINEAR_SCORE"), [1]!hcahps[HCAHPS Linear Mean Value]), "No Match")</f>
        <v>86</v>
      </c>
      <c r="F2035" cm="1">
        <f t="array" ref="F2035">_xlfn.IFNA(_xlfn.XLOOKUP(1,([1]!readmissions[Facility ID] = clean[[#This Row],[Facility ID]]) * ([1]!readmissions[Measure ID] = "Hybrid_HWR"), [1]!readmissions[Score]), "No Match")</f>
        <v>15.2</v>
      </c>
    </row>
    <row r="2036" spans="1:6" x14ac:dyDescent="0.2">
      <c r="A2036">
        <f>[1]!hospitalinfo[[#This Row],[Facility ID]]</f>
        <v>190064</v>
      </c>
      <c r="B2036" t="str">
        <f>[1]!hospitalinfo[[#This Row],[State]]</f>
        <v>LA</v>
      </c>
      <c r="C2036" t="str">
        <f>[1]!hospitalinfo[[#This Row],[Hospital Type]]</f>
        <v>Acute Care Hospitals</v>
      </c>
      <c r="D2036" t="str">
        <f>[1]!hospitalinfo[[#This Row],[Hospital Ownership]]</f>
        <v>Voluntary non-profit - Church</v>
      </c>
      <c r="E2036" cm="1">
        <f t="array" ref="E2036">_xlfn.IFNA(_xlfn.XLOOKUP(1,([1]!hcahps[Facility ID] = clean[[#This Row],[Facility ID]]) * ([1]!hcahps[HCAHPS Measure ID] = "H_HSP_RATING_LINEAR_SCORE"), [1]!hcahps[HCAHPS Linear Mean Value]), "No Match")</f>
        <v>88</v>
      </c>
      <c r="F2036" cm="1">
        <f t="array" ref="F2036">_xlfn.IFNA(_xlfn.XLOOKUP(1,([1]!readmissions[Facility ID] = clean[[#This Row],[Facility ID]]) * ([1]!readmissions[Measure ID] = "Hybrid_HWR"), [1]!readmissions[Score]), "No Match")</f>
        <v>15.5</v>
      </c>
    </row>
    <row r="2037" spans="1:6" x14ac:dyDescent="0.2">
      <c r="A2037">
        <f>[1]!hospitalinfo[[#This Row],[Facility ID]]</f>
        <v>190065</v>
      </c>
      <c r="B2037" t="str">
        <f>[1]!hospitalinfo[[#This Row],[State]]</f>
        <v>LA</v>
      </c>
      <c r="C2037" t="str">
        <f>[1]!hospitalinfo[[#This Row],[Hospital Type]]</f>
        <v>Acute Care Hospitals</v>
      </c>
      <c r="D2037" t="str">
        <f>[1]!hospitalinfo[[#This Row],[Hospital Ownership]]</f>
        <v>Voluntary non-profit - Private</v>
      </c>
      <c r="E2037" cm="1">
        <f t="array" ref="E2037">_xlfn.IFNA(_xlfn.XLOOKUP(1,([1]!hcahps[Facility ID] = clean[[#This Row],[Facility ID]]) * ([1]!hcahps[HCAHPS Measure ID] = "H_HSP_RATING_LINEAR_SCORE"), [1]!hcahps[HCAHPS Linear Mean Value]), "No Match")</f>
        <v>88</v>
      </c>
      <c r="F2037" cm="1">
        <f t="array" ref="F2037">_xlfn.IFNA(_xlfn.XLOOKUP(1,([1]!readmissions[Facility ID] = clean[[#This Row],[Facility ID]]) * ([1]!readmissions[Measure ID] = "Hybrid_HWR"), [1]!readmissions[Score]), "No Match")</f>
        <v>15.5</v>
      </c>
    </row>
    <row r="2038" spans="1:6" x14ac:dyDescent="0.2">
      <c r="A2038">
        <f>[1]!hospitalinfo[[#This Row],[Facility ID]]</f>
        <v>190079</v>
      </c>
      <c r="B2038" t="str">
        <f>[1]!hospitalinfo[[#This Row],[State]]</f>
        <v>LA</v>
      </c>
      <c r="C2038" t="str">
        <f>[1]!hospitalinfo[[#This Row],[Hospital Type]]</f>
        <v>Acute Care Hospitals</v>
      </c>
      <c r="D2038" t="str">
        <f>[1]!hospitalinfo[[#This Row],[Hospital Ownership]]</f>
        <v>Government - Hospital District or Authority</v>
      </c>
      <c r="E2038" cm="1">
        <f t="array" ref="E2038">_xlfn.IFNA(_xlfn.XLOOKUP(1,([1]!hcahps[Facility ID] = clean[[#This Row],[Facility ID]]) * ([1]!hcahps[HCAHPS Measure ID] = "H_HSP_RATING_LINEAR_SCORE"), [1]!hcahps[HCAHPS Linear Mean Value]), "No Match")</f>
        <v>91</v>
      </c>
      <c r="F2038" cm="1">
        <f t="array" ref="F2038">_xlfn.IFNA(_xlfn.XLOOKUP(1,([1]!readmissions[Facility ID] = clean[[#This Row],[Facility ID]]) * ([1]!readmissions[Measure ID] = "Hybrid_HWR"), [1]!readmissions[Score]), "No Match")</f>
        <v>15.2</v>
      </c>
    </row>
    <row r="2039" spans="1:6" x14ac:dyDescent="0.2">
      <c r="A2039">
        <f>[1]!hospitalinfo[[#This Row],[Facility ID]]</f>
        <v>190086</v>
      </c>
      <c r="B2039" t="str">
        <f>[1]!hospitalinfo[[#This Row],[State]]</f>
        <v>LA</v>
      </c>
      <c r="C2039" t="str">
        <f>[1]!hospitalinfo[[#This Row],[Hospital Type]]</f>
        <v>Acute Care Hospitals</v>
      </c>
      <c r="D2039" t="str">
        <f>[1]!hospitalinfo[[#This Row],[Hospital Ownership]]</f>
        <v>Proprietary</v>
      </c>
      <c r="E2039" cm="1">
        <f t="array" ref="E2039">_xlfn.IFNA(_xlfn.XLOOKUP(1,([1]!hcahps[Facility ID] = clean[[#This Row],[Facility ID]]) * ([1]!hcahps[HCAHPS Measure ID] = "H_HSP_RATING_LINEAR_SCORE"), [1]!hcahps[HCAHPS Linear Mean Value]), "No Match")</f>
        <v>79</v>
      </c>
      <c r="F2039" cm="1">
        <f t="array" ref="F2039">_xlfn.IFNA(_xlfn.XLOOKUP(1,([1]!readmissions[Facility ID] = clean[[#This Row],[Facility ID]]) * ([1]!readmissions[Measure ID] = "Hybrid_HWR"), [1]!readmissions[Score]), "No Match")</f>
        <v>14.7</v>
      </c>
    </row>
    <row r="2040" spans="1:6" x14ac:dyDescent="0.2">
      <c r="A2040">
        <f>[1]!hospitalinfo[[#This Row],[Facility ID]]</f>
        <v>190088</v>
      </c>
      <c r="B2040" t="str">
        <f>[1]!hospitalinfo[[#This Row],[State]]</f>
        <v>LA</v>
      </c>
      <c r="C2040" t="str">
        <f>[1]!hospitalinfo[[#This Row],[Hospital Type]]</f>
        <v>Acute Care Hospitals</v>
      </c>
      <c r="D2040" t="str">
        <f>[1]!hospitalinfo[[#This Row],[Hospital Ownership]]</f>
        <v>Voluntary non-profit - Private</v>
      </c>
      <c r="E2040" t="str" cm="1">
        <f t="array" ref="E2040">_xlfn.IFNA(_xlfn.XLOOKUP(1,([1]!hcahps[Facility ID] = clean[[#This Row],[Facility ID]]) * ([1]!hcahps[HCAHPS Measure ID] = "H_HSP_RATING_LINEAR_SCORE"), [1]!hcahps[HCAHPS Linear Mean Value]), "No Match")</f>
        <v>Not Available</v>
      </c>
      <c r="F2040" cm="1">
        <f t="array" ref="F2040">_xlfn.IFNA(_xlfn.XLOOKUP(1,([1]!readmissions[Facility ID] = clean[[#This Row],[Facility ID]]) * ([1]!readmissions[Measure ID] = "Hybrid_HWR"), [1]!readmissions[Score]), "No Match")</f>
        <v>14.8</v>
      </c>
    </row>
    <row r="2041" spans="1:6" x14ac:dyDescent="0.2">
      <c r="A2041">
        <f>[1]!hospitalinfo[[#This Row],[Facility ID]]</f>
        <v>190090</v>
      </c>
      <c r="B2041" t="str">
        <f>[1]!hospitalinfo[[#This Row],[State]]</f>
        <v>LA</v>
      </c>
      <c r="C2041" t="str">
        <f>[1]!hospitalinfo[[#This Row],[Hospital Type]]</f>
        <v>Acute Care Hospitals</v>
      </c>
      <c r="D2041" t="str">
        <f>[1]!hospitalinfo[[#This Row],[Hospital Ownership]]</f>
        <v>Proprietary</v>
      </c>
      <c r="E2041" t="str" cm="1">
        <f t="array" ref="E2041">_xlfn.IFNA(_xlfn.XLOOKUP(1,([1]!hcahps[Facility ID] = clean[[#This Row],[Facility ID]]) * ([1]!hcahps[HCAHPS Measure ID] = "H_HSP_RATING_LINEAR_SCORE"), [1]!hcahps[HCAHPS Linear Mean Value]), "No Match")</f>
        <v>Not Available</v>
      </c>
      <c r="F2041" cm="1">
        <f t="array" ref="F2041">_xlfn.IFNA(_xlfn.XLOOKUP(1,([1]!readmissions[Facility ID] = clean[[#This Row],[Facility ID]]) * ([1]!readmissions[Measure ID] = "Hybrid_HWR"), [1]!readmissions[Score]), "No Match")</f>
        <v>14.5</v>
      </c>
    </row>
    <row r="2042" spans="1:6" x14ac:dyDescent="0.2">
      <c r="A2042">
        <f>[1]!hospitalinfo[[#This Row],[Facility ID]]</f>
        <v>190098</v>
      </c>
      <c r="B2042" t="str">
        <f>[1]!hospitalinfo[[#This Row],[State]]</f>
        <v>LA</v>
      </c>
      <c r="C2042" t="str">
        <f>[1]!hospitalinfo[[#This Row],[Hospital Type]]</f>
        <v>Acute Care Hospitals</v>
      </c>
      <c r="D2042" t="str">
        <f>[1]!hospitalinfo[[#This Row],[Hospital Ownership]]</f>
        <v>Voluntary non-profit - Private</v>
      </c>
      <c r="E2042" cm="1">
        <f t="array" ref="E2042">_xlfn.IFNA(_xlfn.XLOOKUP(1,([1]!hcahps[Facility ID] = clean[[#This Row],[Facility ID]]) * ([1]!hcahps[HCAHPS Measure ID] = "H_HSP_RATING_LINEAR_SCORE"), [1]!hcahps[HCAHPS Linear Mean Value]), "No Match")</f>
        <v>87</v>
      </c>
      <c r="F2042" cm="1">
        <f t="array" ref="F2042">_xlfn.IFNA(_xlfn.XLOOKUP(1,([1]!readmissions[Facility ID] = clean[[#This Row],[Facility ID]]) * ([1]!readmissions[Measure ID] = "Hybrid_HWR"), [1]!readmissions[Score]), "No Match")</f>
        <v>15.8</v>
      </c>
    </row>
    <row r="2043" spans="1:6" x14ac:dyDescent="0.2">
      <c r="A2043">
        <f>[1]!hospitalinfo[[#This Row],[Facility ID]]</f>
        <v>190099</v>
      </c>
      <c r="B2043" t="str">
        <f>[1]!hospitalinfo[[#This Row],[State]]</f>
        <v>LA</v>
      </c>
      <c r="C2043" t="str">
        <f>[1]!hospitalinfo[[#This Row],[Hospital Type]]</f>
        <v>Acute Care Hospitals</v>
      </c>
      <c r="D2043" t="str">
        <f>[1]!hospitalinfo[[#This Row],[Hospital Ownership]]</f>
        <v>Proprietary</v>
      </c>
      <c r="E2043" t="str" cm="1">
        <f t="array" ref="E2043">_xlfn.IFNA(_xlfn.XLOOKUP(1,([1]!hcahps[Facility ID] = clean[[#This Row],[Facility ID]]) * ([1]!hcahps[HCAHPS Measure ID] = "H_HSP_RATING_LINEAR_SCORE"), [1]!hcahps[HCAHPS Linear Mean Value]), "No Match")</f>
        <v>Not Available</v>
      </c>
      <c r="F2043" cm="1">
        <f t="array" ref="F2043">_xlfn.IFNA(_xlfn.XLOOKUP(1,([1]!readmissions[Facility ID] = clean[[#This Row],[Facility ID]]) * ([1]!readmissions[Measure ID] = "Hybrid_HWR"), [1]!readmissions[Score]), "No Match")</f>
        <v>15.1</v>
      </c>
    </row>
    <row r="2044" spans="1:6" x14ac:dyDescent="0.2">
      <c r="A2044">
        <f>[1]!hospitalinfo[[#This Row],[Facility ID]]</f>
        <v>190102</v>
      </c>
      <c r="B2044" t="str">
        <f>[1]!hospitalinfo[[#This Row],[State]]</f>
        <v>LA</v>
      </c>
      <c r="C2044" t="str">
        <f>[1]!hospitalinfo[[#This Row],[Hospital Type]]</f>
        <v>Acute Care Hospitals</v>
      </c>
      <c r="D2044" t="str">
        <f>[1]!hospitalinfo[[#This Row],[Hospital Ownership]]</f>
        <v>Voluntary non-profit - Private</v>
      </c>
      <c r="E2044" cm="1">
        <f t="array" ref="E2044">_xlfn.IFNA(_xlfn.XLOOKUP(1,([1]!hcahps[Facility ID] = clean[[#This Row],[Facility ID]]) * ([1]!hcahps[HCAHPS Measure ID] = "H_HSP_RATING_LINEAR_SCORE"), [1]!hcahps[HCAHPS Linear Mean Value]), "No Match")</f>
        <v>92</v>
      </c>
      <c r="F2044" cm="1">
        <f t="array" ref="F2044">_xlfn.IFNA(_xlfn.XLOOKUP(1,([1]!readmissions[Facility ID] = clean[[#This Row],[Facility ID]]) * ([1]!readmissions[Measure ID] = "Hybrid_HWR"), [1]!readmissions[Score]), "No Match")</f>
        <v>15</v>
      </c>
    </row>
    <row r="2045" spans="1:6" x14ac:dyDescent="0.2">
      <c r="A2045">
        <f>[1]!hospitalinfo[[#This Row],[Facility ID]]</f>
        <v>190106</v>
      </c>
      <c r="B2045" t="str">
        <f>[1]!hospitalinfo[[#This Row],[State]]</f>
        <v>LA</v>
      </c>
      <c r="C2045" t="str">
        <f>[1]!hospitalinfo[[#This Row],[Hospital Type]]</f>
        <v>Acute Care Hospitals</v>
      </c>
      <c r="D2045" t="str">
        <f>[1]!hospitalinfo[[#This Row],[Hospital Ownership]]</f>
        <v>Proprietary</v>
      </c>
      <c r="E2045" t="str" cm="1">
        <f t="array" ref="E2045">_xlfn.IFNA(_xlfn.XLOOKUP(1,([1]!hcahps[Facility ID] = clean[[#This Row],[Facility ID]]) * ([1]!hcahps[HCAHPS Measure ID] = "H_HSP_RATING_LINEAR_SCORE"), [1]!hcahps[HCAHPS Linear Mean Value]), "No Match")</f>
        <v>Not Available</v>
      </c>
      <c r="F2045" cm="1">
        <f t="array" ref="F2045">_xlfn.IFNA(_xlfn.XLOOKUP(1,([1]!readmissions[Facility ID] = clean[[#This Row],[Facility ID]]) * ([1]!readmissions[Measure ID] = "Hybrid_HWR"), [1]!readmissions[Score]), "No Match")</f>
        <v>14.4</v>
      </c>
    </row>
    <row r="2046" spans="1:6" x14ac:dyDescent="0.2">
      <c r="A2046">
        <f>[1]!hospitalinfo[[#This Row],[Facility ID]]</f>
        <v>190111</v>
      </c>
      <c r="B2046" t="str">
        <f>[1]!hospitalinfo[[#This Row],[State]]</f>
        <v>LA</v>
      </c>
      <c r="C2046" t="str">
        <f>[1]!hospitalinfo[[#This Row],[Hospital Type]]</f>
        <v>Acute Care Hospitals</v>
      </c>
      <c r="D2046" t="str">
        <f>[1]!hospitalinfo[[#This Row],[Hospital Ownership]]</f>
        <v>Voluntary non-profit - Private</v>
      </c>
      <c r="E2046" cm="1">
        <f t="array" ref="E2046">_xlfn.IFNA(_xlfn.XLOOKUP(1,([1]!hcahps[Facility ID] = clean[[#This Row],[Facility ID]]) * ([1]!hcahps[HCAHPS Measure ID] = "H_HSP_RATING_LINEAR_SCORE"), [1]!hcahps[HCAHPS Linear Mean Value]), "No Match")</f>
        <v>88</v>
      </c>
      <c r="F2046" cm="1">
        <f t="array" ref="F2046">_xlfn.IFNA(_xlfn.XLOOKUP(1,([1]!readmissions[Facility ID] = clean[[#This Row],[Facility ID]]) * ([1]!readmissions[Measure ID] = "Hybrid_HWR"), [1]!readmissions[Score]), "No Match")</f>
        <v>15.3</v>
      </c>
    </row>
    <row r="2047" spans="1:6" x14ac:dyDescent="0.2">
      <c r="A2047">
        <f>[1]!hospitalinfo[[#This Row],[Facility ID]]</f>
        <v>190114</v>
      </c>
      <c r="B2047" t="str">
        <f>[1]!hospitalinfo[[#This Row],[State]]</f>
        <v>LA</v>
      </c>
      <c r="C2047" t="str">
        <f>[1]!hospitalinfo[[#This Row],[Hospital Type]]</f>
        <v>Acute Care Hospitals</v>
      </c>
      <c r="D2047" t="str">
        <f>[1]!hospitalinfo[[#This Row],[Hospital Ownership]]</f>
        <v>Government - Hospital District or Authority</v>
      </c>
      <c r="E2047" cm="1">
        <f t="array" ref="E2047">_xlfn.IFNA(_xlfn.XLOOKUP(1,([1]!hcahps[Facility ID] = clean[[#This Row],[Facility ID]]) * ([1]!hcahps[HCAHPS Measure ID] = "H_HSP_RATING_LINEAR_SCORE"), [1]!hcahps[HCAHPS Linear Mean Value]), "No Match")</f>
        <v>92</v>
      </c>
      <c r="F2047" cm="1">
        <f t="array" ref="F2047">_xlfn.IFNA(_xlfn.XLOOKUP(1,([1]!readmissions[Facility ID] = clean[[#This Row],[Facility ID]]) * ([1]!readmissions[Measure ID] = "Hybrid_HWR"), [1]!readmissions[Score]), "No Match")</f>
        <v>16.600000000000001</v>
      </c>
    </row>
    <row r="2048" spans="1:6" x14ac:dyDescent="0.2">
      <c r="A2048">
        <f>[1]!hospitalinfo[[#This Row],[Facility ID]]</f>
        <v>190116</v>
      </c>
      <c r="B2048" t="str">
        <f>[1]!hospitalinfo[[#This Row],[State]]</f>
        <v>LA</v>
      </c>
      <c r="C2048" t="str">
        <f>[1]!hospitalinfo[[#This Row],[Hospital Type]]</f>
        <v>Acute Care Hospitals</v>
      </c>
      <c r="D2048" t="str">
        <f>[1]!hospitalinfo[[#This Row],[Hospital Ownership]]</f>
        <v>Government - Hospital District or Authority</v>
      </c>
      <c r="E2048" t="str" cm="1">
        <f t="array" ref="E2048">_xlfn.IFNA(_xlfn.XLOOKUP(1,([1]!hcahps[Facility ID] = clean[[#This Row],[Facility ID]]) * ([1]!hcahps[HCAHPS Measure ID] = "H_HSP_RATING_LINEAR_SCORE"), [1]!hcahps[HCAHPS Linear Mean Value]), "No Match")</f>
        <v>Not Available</v>
      </c>
      <c r="F2048" cm="1">
        <f t="array" ref="F2048">_xlfn.IFNA(_xlfn.XLOOKUP(1,([1]!readmissions[Facility ID] = clean[[#This Row],[Facility ID]]) * ([1]!readmissions[Measure ID] = "Hybrid_HWR"), [1]!readmissions[Score]), "No Match")</f>
        <v>14.7</v>
      </c>
    </row>
    <row r="2049" spans="1:6" x14ac:dyDescent="0.2">
      <c r="A2049">
        <f>[1]!hospitalinfo[[#This Row],[Facility ID]]</f>
        <v>190118</v>
      </c>
      <c r="B2049" t="str">
        <f>[1]!hospitalinfo[[#This Row],[State]]</f>
        <v>LA</v>
      </c>
      <c r="C2049" t="str">
        <f>[1]!hospitalinfo[[#This Row],[Hospital Type]]</f>
        <v>Acute Care Hospitals</v>
      </c>
      <c r="D2049" t="str">
        <f>[1]!hospitalinfo[[#This Row],[Hospital Ownership]]</f>
        <v>Voluntary non-profit - Private</v>
      </c>
      <c r="E2049" t="str" cm="1">
        <f t="array" ref="E2049">_xlfn.IFNA(_xlfn.XLOOKUP(1,([1]!hcahps[Facility ID] = clean[[#This Row],[Facility ID]]) * ([1]!hcahps[HCAHPS Measure ID] = "H_HSP_RATING_LINEAR_SCORE"), [1]!hcahps[HCAHPS Linear Mean Value]), "No Match")</f>
        <v>Not Available</v>
      </c>
      <c r="F2049" cm="1">
        <f t="array" ref="F2049">_xlfn.IFNA(_xlfn.XLOOKUP(1,([1]!readmissions[Facility ID] = clean[[#This Row],[Facility ID]]) * ([1]!readmissions[Measure ID] = "Hybrid_HWR"), [1]!readmissions[Score]), "No Match")</f>
        <v>14.3</v>
      </c>
    </row>
    <row r="2050" spans="1:6" x14ac:dyDescent="0.2">
      <c r="A2050">
        <f>[1]!hospitalinfo[[#This Row],[Facility ID]]</f>
        <v>190125</v>
      </c>
      <c r="B2050" t="str">
        <f>[1]!hospitalinfo[[#This Row],[State]]</f>
        <v>LA</v>
      </c>
      <c r="C2050" t="str">
        <f>[1]!hospitalinfo[[#This Row],[Hospital Type]]</f>
        <v>Acute Care Hospitals</v>
      </c>
      <c r="D2050" t="str">
        <f>[1]!hospitalinfo[[#This Row],[Hospital Ownership]]</f>
        <v>Voluntary non-profit - Private</v>
      </c>
      <c r="E2050" cm="1">
        <f t="array" ref="E2050">_xlfn.IFNA(_xlfn.XLOOKUP(1,([1]!hcahps[Facility ID] = clean[[#This Row],[Facility ID]]) * ([1]!hcahps[HCAHPS Measure ID] = "H_HSP_RATING_LINEAR_SCORE"), [1]!hcahps[HCAHPS Linear Mean Value]), "No Match")</f>
        <v>89</v>
      </c>
      <c r="F2050" cm="1">
        <f t="array" ref="F2050">_xlfn.IFNA(_xlfn.XLOOKUP(1,([1]!readmissions[Facility ID] = clean[[#This Row],[Facility ID]]) * ([1]!readmissions[Measure ID] = "Hybrid_HWR"), [1]!readmissions[Score]), "No Match")</f>
        <v>14.6</v>
      </c>
    </row>
    <row r="2051" spans="1:6" x14ac:dyDescent="0.2">
      <c r="A2051">
        <f>[1]!hospitalinfo[[#This Row],[Facility ID]]</f>
        <v>190128</v>
      </c>
      <c r="B2051" t="str">
        <f>[1]!hospitalinfo[[#This Row],[State]]</f>
        <v>LA</v>
      </c>
      <c r="C2051" t="str">
        <f>[1]!hospitalinfo[[#This Row],[Hospital Type]]</f>
        <v>Acute Care Hospitals</v>
      </c>
      <c r="D2051" t="str">
        <f>[1]!hospitalinfo[[#This Row],[Hospital Ownership]]</f>
        <v>Voluntary non-profit - Private</v>
      </c>
      <c r="E2051" cm="1">
        <f t="array" ref="E2051">_xlfn.IFNA(_xlfn.XLOOKUP(1,([1]!hcahps[Facility ID] = clean[[#This Row],[Facility ID]]) * ([1]!hcahps[HCAHPS Measure ID] = "H_HSP_RATING_LINEAR_SCORE"), [1]!hcahps[HCAHPS Linear Mean Value]), "No Match")</f>
        <v>93</v>
      </c>
      <c r="F2051" cm="1">
        <f t="array" ref="F2051">_xlfn.IFNA(_xlfn.XLOOKUP(1,([1]!readmissions[Facility ID] = clean[[#This Row],[Facility ID]]) * ([1]!readmissions[Measure ID] = "Hybrid_HWR"), [1]!readmissions[Score]), "No Match")</f>
        <v>14.8</v>
      </c>
    </row>
    <row r="2052" spans="1:6" x14ac:dyDescent="0.2">
      <c r="A2052">
        <f>[1]!hospitalinfo[[#This Row],[Facility ID]]</f>
        <v>190133</v>
      </c>
      <c r="B2052" t="str">
        <f>[1]!hospitalinfo[[#This Row],[State]]</f>
        <v>LA</v>
      </c>
      <c r="C2052" t="str">
        <f>[1]!hospitalinfo[[#This Row],[Hospital Type]]</f>
        <v>Acute Care Hospitals</v>
      </c>
      <c r="D2052" t="str">
        <f>[1]!hospitalinfo[[#This Row],[Hospital Ownership]]</f>
        <v>Government - Hospital District or Authority</v>
      </c>
      <c r="E2052" t="str" cm="1">
        <f t="array" ref="E2052">_xlfn.IFNA(_xlfn.XLOOKUP(1,([1]!hcahps[Facility ID] = clean[[#This Row],[Facility ID]]) * ([1]!hcahps[HCAHPS Measure ID] = "H_HSP_RATING_LINEAR_SCORE"), [1]!hcahps[HCAHPS Linear Mean Value]), "No Match")</f>
        <v>Not Available</v>
      </c>
      <c r="F2052" cm="1">
        <f t="array" ref="F2052">_xlfn.IFNA(_xlfn.XLOOKUP(1,([1]!readmissions[Facility ID] = clean[[#This Row],[Facility ID]]) * ([1]!readmissions[Measure ID] = "Hybrid_HWR"), [1]!readmissions[Score]), "No Match")</f>
        <v>14.6</v>
      </c>
    </row>
    <row r="2053" spans="1:6" x14ac:dyDescent="0.2">
      <c r="A2053">
        <f>[1]!hospitalinfo[[#This Row],[Facility ID]]</f>
        <v>190140</v>
      </c>
      <c r="B2053" t="str">
        <f>[1]!hospitalinfo[[#This Row],[State]]</f>
        <v>LA</v>
      </c>
      <c r="C2053" t="str">
        <f>[1]!hospitalinfo[[#This Row],[Hospital Type]]</f>
        <v>Acute Care Hospitals</v>
      </c>
      <c r="D2053" t="str">
        <f>[1]!hospitalinfo[[#This Row],[Hospital Ownership]]</f>
        <v>Government - Hospital District or Authority</v>
      </c>
      <c r="E2053" t="str" cm="1">
        <f t="array" ref="E2053">_xlfn.IFNA(_xlfn.XLOOKUP(1,([1]!hcahps[Facility ID] = clean[[#This Row],[Facility ID]]) * ([1]!hcahps[HCAHPS Measure ID] = "H_HSP_RATING_LINEAR_SCORE"), [1]!hcahps[HCAHPS Linear Mean Value]), "No Match")</f>
        <v>Not Available</v>
      </c>
      <c r="F2053" cm="1">
        <f t="array" ref="F2053">_xlfn.IFNA(_xlfn.XLOOKUP(1,([1]!readmissions[Facility ID] = clean[[#This Row],[Facility ID]]) * ([1]!readmissions[Measure ID] = "Hybrid_HWR"), [1]!readmissions[Score]), "No Match")</f>
        <v>15.3</v>
      </c>
    </row>
    <row r="2054" spans="1:6" x14ac:dyDescent="0.2">
      <c r="A2054">
        <f>[1]!hospitalinfo[[#This Row],[Facility ID]]</f>
        <v>190144</v>
      </c>
      <c r="B2054" t="str">
        <f>[1]!hospitalinfo[[#This Row],[State]]</f>
        <v>LA</v>
      </c>
      <c r="C2054" t="str">
        <f>[1]!hospitalinfo[[#This Row],[Hospital Type]]</f>
        <v>Acute Care Hospitals</v>
      </c>
      <c r="D2054" t="str">
        <f>[1]!hospitalinfo[[#This Row],[Hospital Ownership]]</f>
        <v>Proprietary</v>
      </c>
      <c r="E2054" cm="1">
        <f t="array" ref="E2054">_xlfn.IFNA(_xlfn.XLOOKUP(1,([1]!hcahps[Facility ID] = clean[[#This Row],[Facility ID]]) * ([1]!hcahps[HCAHPS Measure ID] = "H_HSP_RATING_LINEAR_SCORE"), [1]!hcahps[HCAHPS Linear Mean Value]), "No Match")</f>
        <v>89</v>
      </c>
      <c r="F2054" cm="1">
        <f t="array" ref="F2054">_xlfn.IFNA(_xlfn.XLOOKUP(1,([1]!readmissions[Facility ID] = clean[[#This Row],[Facility ID]]) * ([1]!readmissions[Measure ID] = "Hybrid_HWR"), [1]!readmissions[Score]), "No Match")</f>
        <v>15.5</v>
      </c>
    </row>
    <row r="2055" spans="1:6" x14ac:dyDescent="0.2">
      <c r="A2055">
        <f>[1]!hospitalinfo[[#This Row],[Facility ID]]</f>
        <v>190145</v>
      </c>
      <c r="B2055" t="str">
        <f>[1]!hospitalinfo[[#This Row],[State]]</f>
        <v>LA</v>
      </c>
      <c r="C2055" t="str">
        <f>[1]!hospitalinfo[[#This Row],[Hospital Type]]</f>
        <v>Acute Care Hospitals</v>
      </c>
      <c r="D2055" t="str">
        <f>[1]!hospitalinfo[[#This Row],[Hospital Ownership]]</f>
        <v>Government - Hospital District or Authority</v>
      </c>
      <c r="E2055" t="str" cm="1">
        <f t="array" ref="E2055">_xlfn.IFNA(_xlfn.XLOOKUP(1,([1]!hcahps[Facility ID] = clean[[#This Row],[Facility ID]]) * ([1]!hcahps[HCAHPS Measure ID] = "H_HSP_RATING_LINEAR_SCORE"), [1]!hcahps[HCAHPS Linear Mean Value]), "No Match")</f>
        <v>Not Available</v>
      </c>
      <c r="F2055" cm="1">
        <f t="array" ref="F2055">_xlfn.IFNA(_xlfn.XLOOKUP(1,([1]!readmissions[Facility ID] = clean[[#This Row],[Facility ID]]) * ([1]!readmissions[Measure ID] = "Hybrid_HWR"), [1]!readmissions[Score]), "No Match")</f>
        <v>15.1</v>
      </c>
    </row>
    <row r="2056" spans="1:6" x14ac:dyDescent="0.2">
      <c r="A2056">
        <f>[1]!hospitalinfo[[#This Row],[Facility ID]]</f>
        <v>190151</v>
      </c>
      <c r="B2056" t="str">
        <f>[1]!hospitalinfo[[#This Row],[State]]</f>
        <v>LA</v>
      </c>
      <c r="C2056" t="str">
        <f>[1]!hospitalinfo[[#This Row],[Hospital Type]]</f>
        <v>Acute Care Hospitals</v>
      </c>
      <c r="D2056" t="str">
        <f>[1]!hospitalinfo[[#This Row],[Hospital Ownership]]</f>
        <v>Government - Hospital District or Authority</v>
      </c>
      <c r="E2056" t="str" cm="1">
        <f t="array" ref="E2056">_xlfn.IFNA(_xlfn.XLOOKUP(1,([1]!hcahps[Facility ID] = clean[[#This Row],[Facility ID]]) * ([1]!hcahps[HCAHPS Measure ID] = "H_HSP_RATING_LINEAR_SCORE"), [1]!hcahps[HCAHPS Linear Mean Value]), "No Match")</f>
        <v>Not Available</v>
      </c>
      <c r="F2056" cm="1">
        <f t="array" ref="F2056">_xlfn.IFNA(_xlfn.XLOOKUP(1,([1]!readmissions[Facility ID] = clean[[#This Row],[Facility ID]]) * ([1]!readmissions[Measure ID] = "Hybrid_HWR"), [1]!readmissions[Score]), "No Match")</f>
        <v>15.1</v>
      </c>
    </row>
    <row r="2057" spans="1:6" x14ac:dyDescent="0.2">
      <c r="A2057">
        <f>[1]!hospitalinfo[[#This Row],[Facility ID]]</f>
        <v>190160</v>
      </c>
      <c r="B2057" t="str">
        <f>[1]!hospitalinfo[[#This Row],[State]]</f>
        <v>LA</v>
      </c>
      <c r="C2057" t="str">
        <f>[1]!hospitalinfo[[#This Row],[Hospital Type]]</f>
        <v>Acute Care Hospitals</v>
      </c>
      <c r="D2057" t="str">
        <f>[1]!hospitalinfo[[#This Row],[Hospital Ownership]]</f>
        <v>Proprietary</v>
      </c>
      <c r="E2057" cm="1">
        <f t="array" ref="E2057">_xlfn.IFNA(_xlfn.XLOOKUP(1,([1]!hcahps[Facility ID] = clean[[#This Row],[Facility ID]]) * ([1]!hcahps[HCAHPS Measure ID] = "H_HSP_RATING_LINEAR_SCORE"), [1]!hcahps[HCAHPS Linear Mean Value]), "No Match")</f>
        <v>89</v>
      </c>
      <c r="F2057" cm="1">
        <f t="array" ref="F2057">_xlfn.IFNA(_xlfn.XLOOKUP(1,([1]!readmissions[Facility ID] = clean[[#This Row],[Facility ID]]) * ([1]!readmissions[Measure ID] = "Hybrid_HWR"), [1]!readmissions[Score]), "No Match")</f>
        <v>15.9</v>
      </c>
    </row>
    <row r="2058" spans="1:6" x14ac:dyDescent="0.2">
      <c r="A2058">
        <f>[1]!hospitalinfo[[#This Row],[Facility ID]]</f>
        <v>190164</v>
      </c>
      <c r="B2058" t="str">
        <f>[1]!hospitalinfo[[#This Row],[State]]</f>
        <v>LA</v>
      </c>
      <c r="C2058" t="str">
        <f>[1]!hospitalinfo[[#This Row],[Hospital Type]]</f>
        <v>Acute Care Hospitals</v>
      </c>
      <c r="D2058" t="str">
        <f>[1]!hospitalinfo[[#This Row],[Hospital Ownership]]</f>
        <v>Proprietary</v>
      </c>
      <c r="E2058" cm="1">
        <f t="array" ref="E2058">_xlfn.IFNA(_xlfn.XLOOKUP(1,([1]!hcahps[Facility ID] = clean[[#This Row],[Facility ID]]) * ([1]!hcahps[HCAHPS Measure ID] = "H_HSP_RATING_LINEAR_SCORE"), [1]!hcahps[HCAHPS Linear Mean Value]), "No Match")</f>
        <v>89</v>
      </c>
      <c r="F2058" cm="1">
        <f t="array" ref="F2058">_xlfn.IFNA(_xlfn.XLOOKUP(1,([1]!readmissions[Facility ID] = clean[[#This Row],[Facility ID]]) * ([1]!readmissions[Measure ID] = "Hybrid_HWR"), [1]!readmissions[Score]), "No Match")</f>
        <v>17.399999999999999</v>
      </c>
    </row>
    <row r="2059" spans="1:6" x14ac:dyDescent="0.2">
      <c r="A2059">
        <f>[1]!hospitalinfo[[#This Row],[Facility ID]]</f>
        <v>190167</v>
      </c>
      <c r="B2059" t="str">
        <f>[1]!hospitalinfo[[#This Row],[State]]</f>
        <v>LA</v>
      </c>
      <c r="C2059" t="str">
        <f>[1]!hospitalinfo[[#This Row],[Hospital Type]]</f>
        <v>Acute Care Hospitals</v>
      </c>
      <c r="D2059" t="str">
        <f>[1]!hospitalinfo[[#This Row],[Hospital Ownership]]</f>
        <v>Proprietary</v>
      </c>
      <c r="E2059" t="str" cm="1">
        <f t="array" ref="E2059">_xlfn.IFNA(_xlfn.XLOOKUP(1,([1]!hcahps[Facility ID] = clean[[#This Row],[Facility ID]]) * ([1]!hcahps[HCAHPS Measure ID] = "H_HSP_RATING_LINEAR_SCORE"), [1]!hcahps[HCAHPS Linear Mean Value]), "No Match")</f>
        <v>Not Available</v>
      </c>
      <c r="F2059" cm="1">
        <f t="array" ref="F2059">_xlfn.IFNA(_xlfn.XLOOKUP(1,([1]!readmissions[Facility ID] = clean[[#This Row],[Facility ID]]) * ([1]!readmissions[Measure ID] = "Hybrid_HWR"), [1]!readmissions[Score]), "No Match")</f>
        <v>15.3</v>
      </c>
    </row>
    <row r="2060" spans="1:6" x14ac:dyDescent="0.2">
      <c r="A2060">
        <f>[1]!hospitalinfo[[#This Row],[Facility ID]]</f>
        <v>190176</v>
      </c>
      <c r="B2060" t="str">
        <f>[1]!hospitalinfo[[#This Row],[State]]</f>
        <v>LA</v>
      </c>
      <c r="C2060" t="str">
        <f>[1]!hospitalinfo[[#This Row],[Hospital Type]]</f>
        <v>Acute Care Hospitals</v>
      </c>
      <c r="D2060" t="str">
        <f>[1]!hospitalinfo[[#This Row],[Hospital Ownership]]</f>
        <v>Voluntary non-profit - Private</v>
      </c>
      <c r="E2060" cm="1">
        <f t="array" ref="E2060">_xlfn.IFNA(_xlfn.XLOOKUP(1,([1]!hcahps[Facility ID] = clean[[#This Row],[Facility ID]]) * ([1]!hcahps[HCAHPS Measure ID] = "H_HSP_RATING_LINEAR_SCORE"), [1]!hcahps[HCAHPS Linear Mean Value]), "No Match")</f>
        <v>90</v>
      </c>
      <c r="F2060" cm="1">
        <f t="array" ref="F2060">_xlfn.IFNA(_xlfn.XLOOKUP(1,([1]!readmissions[Facility ID] = clean[[#This Row],[Facility ID]]) * ([1]!readmissions[Measure ID] = "Hybrid_HWR"), [1]!readmissions[Score]), "No Match")</f>
        <v>15.3</v>
      </c>
    </row>
    <row r="2061" spans="1:6" x14ac:dyDescent="0.2">
      <c r="A2061">
        <f>[1]!hospitalinfo[[#This Row],[Facility ID]]</f>
        <v>190183</v>
      </c>
      <c r="B2061" t="str">
        <f>[1]!hospitalinfo[[#This Row],[State]]</f>
        <v>LA</v>
      </c>
      <c r="C2061" t="str">
        <f>[1]!hospitalinfo[[#This Row],[Hospital Type]]</f>
        <v>Acute Care Hospitals</v>
      </c>
      <c r="D2061" t="str">
        <f>[1]!hospitalinfo[[#This Row],[Hospital Ownership]]</f>
        <v>Voluntary non-profit - Other</v>
      </c>
      <c r="E2061" cm="1">
        <f t="array" ref="E2061">_xlfn.IFNA(_xlfn.XLOOKUP(1,([1]!hcahps[Facility ID] = clean[[#This Row],[Facility ID]]) * ([1]!hcahps[HCAHPS Measure ID] = "H_HSP_RATING_LINEAR_SCORE"), [1]!hcahps[HCAHPS Linear Mean Value]), "No Match")</f>
        <v>90</v>
      </c>
      <c r="F2061" cm="1">
        <f t="array" ref="F2061">_xlfn.IFNA(_xlfn.XLOOKUP(1,([1]!readmissions[Facility ID] = clean[[#This Row],[Facility ID]]) * ([1]!readmissions[Measure ID] = "Hybrid_HWR"), [1]!readmissions[Score]), "No Match")</f>
        <v>14.8</v>
      </c>
    </row>
    <row r="2062" spans="1:6" x14ac:dyDescent="0.2">
      <c r="A2062">
        <f>[1]!hospitalinfo[[#This Row],[Facility ID]]</f>
        <v>190184</v>
      </c>
      <c r="B2062" t="str">
        <f>[1]!hospitalinfo[[#This Row],[State]]</f>
        <v>LA</v>
      </c>
      <c r="C2062" t="str">
        <f>[1]!hospitalinfo[[#This Row],[Hospital Type]]</f>
        <v>Acute Care Hospitals</v>
      </c>
      <c r="D2062" t="str">
        <f>[1]!hospitalinfo[[#This Row],[Hospital Ownership]]</f>
        <v>Government - Hospital District or Authority</v>
      </c>
      <c r="E2062" cm="1">
        <f t="array" ref="E2062">_xlfn.IFNA(_xlfn.XLOOKUP(1,([1]!hcahps[Facility ID] = clean[[#This Row],[Facility ID]]) * ([1]!hcahps[HCAHPS Measure ID] = "H_HSP_RATING_LINEAR_SCORE"), [1]!hcahps[HCAHPS Linear Mean Value]), "No Match")</f>
        <v>92</v>
      </c>
      <c r="F2062" cm="1">
        <f t="array" ref="F2062">_xlfn.IFNA(_xlfn.XLOOKUP(1,([1]!readmissions[Facility ID] = clean[[#This Row],[Facility ID]]) * ([1]!readmissions[Measure ID] = "Hybrid_HWR"), [1]!readmissions[Score]), "No Match")</f>
        <v>15.6</v>
      </c>
    </row>
    <row r="2063" spans="1:6" x14ac:dyDescent="0.2">
      <c r="A2063">
        <f>[1]!hospitalinfo[[#This Row],[Facility ID]]</f>
        <v>190190</v>
      </c>
      <c r="B2063" t="str">
        <f>[1]!hospitalinfo[[#This Row],[State]]</f>
        <v>LA</v>
      </c>
      <c r="C2063" t="str">
        <f>[1]!hospitalinfo[[#This Row],[Hospital Type]]</f>
        <v>Acute Care Hospitals</v>
      </c>
      <c r="D2063" t="str">
        <f>[1]!hospitalinfo[[#This Row],[Hospital Ownership]]</f>
        <v>Proprietary</v>
      </c>
      <c r="E2063" t="str" cm="1">
        <f t="array" ref="E2063">_xlfn.IFNA(_xlfn.XLOOKUP(1,([1]!hcahps[Facility ID] = clean[[#This Row],[Facility ID]]) * ([1]!hcahps[HCAHPS Measure ID] = "H_HSP_RATING_LINEAR_SCORE"), [1]!hcahps[HCAHPS Linear Mean Value]), "No Match")</f>
        <v>Not Available</v>
      </c>
      <c r="F2063" cm="1">
        <f t="array" ref="F2063">_xlfn.IFNA(_xlfn.XLOOKUP(1,([1]!readmissions[Facility ID] = clean[[#This Row],[Facility ID]]) * ([1]!readmissions[Measure ID] = "Hybrid_HWR"), [1]!readmissions[Score]), "No Match")</f>
        <v>15.5</v>
      </c>
    </row>
    <row r="2064" spans="1:6" x14ac:dyDescent="0.2">
      <c r="A2064">
        <f>[1]!hospitalinfo[[#This Row],[Facility ID]]</f>
        <v>190201</v>
      </c>
      <c r="B2064" t="str">
        <f>[1]!hospitalinfo[[#This Row],[State]]</f>
        <v>LA</v>
      </c>
      <c r="C2064" t="str">
        <f>[1]!hospitalinfo[[#This Row],[Hospital Type]]</f>
        <v>Acute Care Hospitals</v>
      </c>
      <c r="D2064" t="str">
        <f>[1]!hospitalinfo[[#This Row],[Hospital Ownership]]</f>
        <v>Voluntary non-profit - Private</v>
      </c>
      <c r="E2064" cm="1">
        <f t="array" ref="E2064">_xlfn.IFNA(_xlfn.XLOOKUP(1,([1]!hcahps[Facility ID] = clean[[#This Row],[Facility ID]]) * ([1]!hcahps[HCAHPS Measure ID] = "H_HSP_RATING_LINEAR_SCORE"), [1]!hcahps[HCAHPS Linear Mean Value]), "No Match")</f>
        <v>89</v>
      </c>
      <c r="F2064" cm="1">
        <f t="array" ref="F2064">_xlfn.IFNA(_xlfn.XLOOKUP(1,([1]!readmissions[Facility ID] = clean[[#This Row],[Facility ID]]) * ([1]!readmissions[Measure ID] = "Hybrid_HWR"), [1]!readmissions[Score]), "No Match")</f>
        <v>14.6</v>
      </c>
    </row>
    <row r="2065" spans="1:6" x14ac:dyDescent="0.2">
      <c r="A2065">
        <f>[1]!hospitalinfo[[#This Row],[Facility ID]]</f>
        <v>190202</v>
      </c>
      <c r="B2065" t="str">
        <f>[1]!hospitalinfo[[#This Row],[State]]</f>
        <v>LA</v>
      </c>
      <c r="C2065" t="str">
        <f>[1]!hospitalinfo[[#This Row],[Hospital Type]]</f>
        <v>Acute Care Hospitals</v>
      </c>
      <c r="D2065" t="str">
        <f>[1]!hospitalinfo[[#This Row],[Hospital Ownership]]</f>
        <v>Voluntary non-profit - Private</v>
      </c>
      <c r="E2065" cm="1">
        <f t="array" ref="E2065">_xlfn.IFNA(_xlfn.XLOOKUP(1,([1]!hcahps[Facility ID] = clean[[#This Row],[Facility ID]]) * ([1]!hcahps[HCAHPS Measure ID] = "H_HSP_RATING_LINEAR_SCORE"), [1]!hcahps[HCAHPS Linear Mean Value]), "No Match")</f>
        <v>88</v>
      </c>
      <c r="F2065" cm="1">
        <f t="array" ref="F2065">_xlfn.IFNA(_xlfn.XLOOKUP(1,([1]!readmissions[Facility ID] = clean[[#This Row],[Facility ID]]) * ([1]!readmissions[Measure ID] = "Hybrid_HWR"), [1]!readmissions[Score]), "No Match")</f>
        <v>14.6</v>
      </c>
    </row>
    <row r="2066" spans="1:6" x14ac:dyDescent="0.2">
      <c r="A2066">
        <f>[1]!hospitalinfo[[#This Row],[Facility ID]]</f>
        <v>190208</v>
      </c>
      <c r="B2066" t="str">
        <f>[1]!hospitalinfo[[#This Row],[State]]</f>
        <v>LA</v>
      </c>
      <c r="C2066" t="str">
        <f>[1]!hospitalinfo[[#This Row],[Hospital Type]]</f>
        <v>Acute Care Hospitals</v>
      </c>
      <c r="D2066" t="str">
        <f>[1]!hospitalinfo[[#This Row],[Hospital Ownership]]</f>
        <v>Government - Hospital District or Authority</v>
      </c>
      <c r="E2066" t="str" cm="1">
        <f t="array" ref="E2066">_xlfn.IFNA(_xlfn.XLOOKUP(1,([1]!hcahps[Facility ID] = clean[[#This Row],[Facility ID]]) * ([1]!hcahps[HCAHPS Measure ID] = "H_HSP_RATING_LINEAR_SCORE"), [1]!hcahps[HCAHPS Linear Mean Value]), "No Match")</f>
        <v>Not Available</v>
      </c>
      <c r="F2066" cm="1">
        <f t="array" ref="F2066">_xlfn.IFNA(_xlfn.XLOOKUP(1,([1]!readmissions[Facility ID] = clean[[#This Row],[Facility ID]]) * ([1]!readmissions[Measure ID] = "Hybrid_HWR"), [1]!readmissions[Score]), "No Match")</f>
        <v>14.9</v>
      </c>
    </row>
    <row r="2067" spans="1:6" x14ac:dyDescent="0.2">
      <c r="A2067">
        <f>[1]!hospitalinfo[[#This Row],[Facility ID]]</f>
        <v>190218</v>
      </c>
      <c r="B2067" t="str">
        <f>[1]!hospitalinfo[[#This Row],[State]]</f>
        <v>LA</v>
      </c>
      <c r="C2067" t="str">
        <f>[1]!hospitalinfo[[#This Row],[Hospital Type]]</f>
        <v>Acute Care Hospitals</v>
      </c>
      <c r="D2067" t="str">
        <f>[1]!hospitalinfo[[#This Row],[Hospital Ownership]]</f>
        <v>Proprietary</v>
      </c>
      <c r="E2067" t="str" cm="1">
        <f t="array" ref="E2067">_xlfn.IFNA(_xlfn.XLOOKUP(1,([1]!hcahps[Facility ID] = clean[[#This Row],[Facility ID]]) * ([1]!hcahps[HCAHPS Measure ID] = "H_HSP_RATING_LINEAR_SCORE"), [1]!hcahps[HCAHPS Linear Mean Value]), "No Match")</f>
        <v>Not Available</v>
      </c>
      <c r="F2067" cm="1">
        <f t="array" ref="F2067">_xlfn.IFNA(_xlfn.XLOOKUP(1,([1]!readmissions[Facility ID] = clean[[#This Row],[Facility ID]]) * ([1]!readmissions[Measure ID] = "Hybrid_HWR"), [1]!readmissions[Score]), "No Match")</f>
        <v>15.4</v>
      </c>
    </row>
    <row r="2068" spans="1:6" x14ac:dyDescent="0.2">
      <c r="A2068">
        <f>[1]!hospitalinfo[[#This Row],[Facility ID]]</f>
        <v>190241</v>
      </c>
      <c r="B2068" t="str">
        <f>[1]!hospitalinfo[[#This Row],[State]]</f>
        <v>LA</v>
      </c>
      <c r="C2068" t="str">
        <f>[1]!hospitalinfo[[#This Row],[Hospital Type]]</f>
        <v>Acute Care Hospitals</v>
      </c>
      <c r="D2068" t="str">
        <f>[1]!hospitalinfo[[#This Row],[Hospital Ownership]]</f>
        <v>Physician</v>
      </c>
      <c r="E2068" t="str" cm="1">
        <f t="array" ref="E2068">_xlfn.IFNA(_xlfn.XLOOKUP(1,([1]!hcahps[Facility ID] = clean[[#This Row],[Facility ID]]) * ([1]!hcahps[HCAHPS Measure ID] = "H_HSP_RATING_LINEAR_SCORE"), [1]!hcahps[HCAHPS Linear Mean Value]), "No Match")</f>
        <v>Not Available</v>
      </c>
      <c r="F2068" t="str" cm="1">
        <f t="array" ref="F2068">_xlfn.IFNA(_xlfn.XLOOKUP(1,([1]!readmissions[Facility ID] = clean[[#This Row],[Facility ID]]) * ([1]!readmissions[Measure ID] = "Hybrid_HWR"), [1]!readmissions[Score]), "No Match")</f>
        <v>Not Available</v>
      </c>
    </row>
    <row r="2069" spans="1:6" x14ac:dyDescent="0.2">
      <c r="A2069">
        <f>[1]!hospitalinfo[[#This Row],[Facility ID]]</f>
        <v>190245</v>
      </c>
      <c r="B2069" t="str">
        <f>[1]!hospitalinfo[[#This Row],[State]]</f>
        <v>LA</v>
      </c>
      <c r="C2069" t="str">
        <f>[1]!hospitalinfo[[#This Row],[Hospital Type]]</f>
        <v>Acute Care Hospitals</v>
      </c>
      <c r="D2069" t="str">
        <f>[1]!hospitalinfo[[#This Row],[Hospital Ownership]]</f>
        <v>Proprietary</v>
      </c>
      <c r="E2069" t="str" cm="1">
        <f t="array" ref="E2069">_xlfn.IFNA(_xlfn.XLOOKUP(1,([1]!hcahps[Facility ID] = clean[[#This Row],[Facility ID]]) * ([1]!hcahps[HCAHPS Measure ID] = "H_HSP_RATING_LINEAR_SCORE"), [1]!hcahps[HCAHPS Linear Mean Value]), "No Match")</f>
        <v>Not Available</v>
      </c>
      <c r="F2069" cm="1">
        <f t="array" ref="F2069">_xlfn.IFNA(_xlfn.XLOOKUP(1,([1]!readmissions[Facility ID] = clean[[#This Row],[Facility ID]]) * ([1]!readmissions[Measure ID] = "Hybrid_HWR"), [1]!readmissions[Score]), "No Match")</f>
        <v>15.2</v>
      </c>
    </row>
    <row r="2070" spans="1:6" x14ac:dyDescent="0.2">
      <c r="A2070">
        <f>[1]!hospitalinfo[[#This Row],[Facility ID]]</f>
        <v>190251</v>
      </c>
      <c r="B2070" t="str">
        <f>[1]!hospitalinfo[[#This Row],[State]]</f>
        <v>LA</v>
      </c>
      <c r="C2070" t="str">
        <f>[1]!hospitalinfo[[#This Row],[Hospital Type]]</f>
        <v>Acute Care Hospitals</v>
      </c>
      <c r="D2070" t="str">
        <f>[1]!hospitalinfo[[#This Row],[Hospital Ownership]]</f>
        <v>Physician</v>
      </c>
      <c r="E2070" t="str" cm="1">
        <f t="array" ref="E2070">_xlfn.IFNA(_xlfn.XLOOKUP(1,([1]!hcahps[Facility ID] = clean[[#This Row],[Facility ID]]) * ([1]!hcahps[HCAHPS Measure ID] = "H_HSP_RATING_LINEAR_SCORE"), [1]!hcahps[HCAHPS Linear Mean Value]), "No Match")</f>
        <v>Not Available</v>
      </c>
      <c r="F2070" cm="1">
        <f t="array" ref="F2070">_xlfn.IFNA(_xlfn.XLOOKUP(1,([1]!readmissions[Facility ID] = clean[[#This Row],[Facility ID]]) * ([1]!readmissions[Measure ID] = "Hybrid_HWR"), [1]!readmissions[Score]), "No Match")</f>
        <v>14.5</v>
      </c>
    </row>
    <row r="2071" spans="1:6" x14ac:dyDescent="0.2">
      <c r="A2071">
        <f>[1]!hospitalinfo[[#This Row],[Facility ID]]</f>
        <v>190255</v>
      </c>
      <c r="B2071" t="str">
        <f>[1]!hospitalinfo[[#This Row],[State]]</f>
        <v>LA</v>
      </c>
      <c r="C2071" t="str">
        <f>[1]!hospitalinfo[[#This Row],[Hospital Type]]</f>
        <v>Acute Care Hospitals</v>
      </c>
      <c r="D2071" t="str">
        <f>[1]!hospitalinfo[[#This Row],[Hospital Ownership]]</f>
        <v>Physician</v>
      </c>
      <c r="E2071" t="str" cm="1">
        <f t="array" ref="E2071">_xlfn.IFNA(_xlfn.XLOOKUP(1,([1]!hcahps[Facility ID] = clean[[#This Row],[Facility ID]]) * ([1]!hcahps[HCAHPS Measure ID] = "H_HSP_RATING_LINEAR_SCORE"), [1]!hcahps[HCAHPS Linear Mean Value]), "No Match")</f>
        <v>Not Available</v>
      </c>
      <c r="F2071" cm="1">
        <f t="array" ref="F2071">_xlfn.IFNA(_xlfn.XLOOKUP(1,([1]!readmissions[Facility ID] = clean[[#This Row],[Facility ID]]) * ([1]!readmissions[Measure ID] = "Hybrid_HWR"), [1]!readmissions[Score]), "No Match")</f>
        <v>14.6</v>
      </c>
    </row>
    <row r="2072" spans="1:6" x14ac:dyDescent="0.2">
      <c r="A2072">
        <f>[1]!hospitalinfo[[#This Row],[Facility ID]]</f>
        <v>190256</v>
      </c>
      <c r="B2072" t="str">
        <f>[1]!hospitalinfo[[#This Row],[State]]</f>
        <v>LA</v>
      </c>
      <c r="C2072" t="str">
        <f>[1]!hospitalinfo[[#This Row],[Hospital Type]]</f>
        <v>Acute Care Hospitals</v>
      </c>
      <c r="D2072" t="str">
        <f>[1]!hospitalinfo[[#This Row],[Hospital Ownership]]</f>
        <v>Proprietary</v>
      </c>
      <c r="E2072" t="str" cm="1">
        <f t="array" ref="E2072">_xlfn.IFNA(_xlfn.XLOOKUP(1,([1]!hcahps[Facility ID] = clean[[#This Row],[Facility ID]]) * ([1]!hcahps[HCAHPS Measure ID] = "H_HSP_RATING_LINEAR_SCORE"), [1]!hcahps[HCAHPS Linear Mean Value]), "No Match")</f>
        <v>Not Available</v>
      </c>
      <c r="F2072" cm="1">
        <f t="array" ref="F2072">_xlfn.IFNA(_xlfn.XLOOKUP(1,([1]!readmissions[Facility ID] = clean[[#This Row],[Facility ID]]) * ([1]!readmissions[Measure ID] = "Hybrid_HWR"), [1]!readmissions[Score]), "No Match")</f>
        <v>15.3</v>
      </c>
    </row>
    <row r="2073" spans="1:6" x14ac:dyDescent="0.2">
      <c r="A2073">
        <f>[1]!hospitalinfo[[#This Row],[Facility ID]]</f>
        <v>190259</v>
      </c>
      <c r="B2073" t="str">
        <f>[1]!hospitalinfo[[#This Row],[State]]</f>
        <v>LA</v>
      </c>
      <c r="C2073" t="str">
        <f>[1]!hospitalinfo[[#This Row],[Hospital Type]]</f>
        <v>Acute Care Hospitals</v>
      </c>
      <c r="D2073" t="str">
        <f>[1]!hospitalinfo[[#This Row],[Hospital Ownership]]</f>
        <v>Physician</v>
      </c>
      <c r="E2073" cm="1">
        <f t="array" ref="E2073">_xlfn.IFNA(_xlfn.XLOOKUP(1,([1]!hcahps[Facility ID] = clean[[#This Row],[Facility ID]]) * ([1]!hcahps[HCAHPS Measure ID] = "H_HSP_RATING_LINEAR_SCORE"), [1]!hcahps[HCAHPS Linear Mean Value]), "No Match")</f>
        <v>96</v>
      </c>
      <c r="F2073" cm="1">
        <f t="array" ref="F2073">_xlfn.IFNA(_xlfn.XLOOKUP(1,([1]!readmissions[Facility ID] = clean[[#This Row],[Facility ID]]) * ([1]!readmissions[Measure ID] = "Hybrid_HWR"), [1]!readmissions[Score]), "No Match")</f>
        <v>14.6</v>
      </c>
    </row>
    <row r="2074" spans="1:6" x14ac:dyDescent="0.2">
      <c r="A2074">
        <f>[1]!hospitalinfo[[#This Row],[Facility ID]]</f>
        <v>190266</v>
      </c>
      <c r="B2074" t="str">
        <f>[1]!hospitalinfo[[#This Row],[State]]</f>
        <v>LA</v>
      </c>
      <c r="C2074" t="str">
        <f>[1]!hospitalinfo[[#This Row],[Hospital Type]]</f>
        <v>Acute Care Hospitals</v>
      </c>
      <c r="D2074" t="str">
        <f>[1]!hospitalinfo[[#This Row],[Hospital Ownership]]</f>
        <v>Physician</v>
      </c>
      <c r="E2074" cm="1">
        <f t="array" ref="E2074">_xlfn.IFNA(_xlfn.XLOOKUP(1,([1]!hcahps[Facility ID] = clean[[#This Row],[Facility ID]]) * ([1]!hcahps[HCAHPS Measure ID] = "H_HSP_RATING_LINEAR_SCORE"), [1]!hcahps[HCAHPS Linear Mean Value]), "No Match")</f>
        <v>94</v>
      </c>
      <c r="F2074" cm="1">
        <f t="array" ref="F2074">_xlfn.IFNA(_xlfn.XLOOKUP(1,([1]!readmissions[Facility ID] = clean[[#This Row],[Facility ID]]) * ([1]!readmissions[Measure ID] = "Hybrid_HWR"), [1]!readmissions[Score]), "No Match")</f>
        <v>16.399999999999999</v>
      </c>
    </row>
    <row r="2075" spans="1:6" x14ac:dyDescent="0.2">
      <c r="A2075">
        <f>[1]!hospitalinfo[[#This Row],[Facility ID]]</f>
        <v>190267</v>
      </c>
      <c r="B2075" t="str">
        <f>[1]!hospitalinfo[[#This Row],[State]]</f>
        <v>LA</v>
      </c>
      <c r="C2075" t="str">
        <f>[1]!hospitalinfo[[#This Row],[Hospital Type]]</f>
        <v>Acute Care Hospitals</v>
      </c>
      <c r="D2075" t="str">
        <f>[1]!hospitalinfo[[#This Row],[Hospital Ownership]]</f>
        <v>Physician</v>
      </c>
      <c r="E2075" cm="1">
        <f t="array" ref="E2075">_xlfn.IFNA(_xlfn.XLOOKUP(1,([1]!hcahps[Facility ID] = clean[[#This Row],[Facility ID]]) * ([1]!hcahps[HCAHPS Measure ID] = "H_HSP_RATING_LINEAR_SCORE"), [1]!hcahps[HCAHPS Linear Mean Value]), "No Match")</f>
        <v>95</v>
      </c>
      <c r="F2075" cm="1">
        <f t="array" ref="F2075">_xlfn.IFNA(_xlfn.XLOOKUP(1,([1]!readmissions[Facility ID] = clean[[#This Row],[Facility ID]]) * ([1]!readmissions[Measure ID] = "Hybrid_HWR"), [1]!readmissions[Score]), "No Match")</f>
        <v>14</v>
      </c>
    </row>
    <row r="2076" spans="1:6" x14ac:dyDescent="0.2">
      <c r="A2076">
        <f>[1]!hospitalinfo[[#This Row],[Facility ID]]</f>
        <v>190270</v>
      </c>
      <c r="B2076" t="str">
        <f>[1]!hospitalinfo[[#This Row],[State]]</f>
        <v>LA</v>
      </c>
      <c r="C2076" t="str">
        <f>[1]!hospitalinfo[[#This Row],[Hospital Type]]</f>
        <v>Acute Care Hospitals</v>
      </c>
      <c r="D2076" t="str">
        <f>[1]!hospitalinfo[[#This Row],[Hospital Ownership]]</f>
        <v>Physician</v>
      </c>
      <c r="E2076" t="str" cm="1">
        <f t="array" ref="E2076">_xlfn.IFNA(_xlfn.XLOOKUP(1,([1]!hcahps[Facility ID] = clean[[#This Row],[Facility ID]]) * ([1]!hcahps[HCAHPS Measure ID] = "H_HSP_RATING_LINEAR_SCORE"), [1]!hcahps[HCAHPS Linear Mean Value]), "No Match")</f>
        <v>Not Available</v>
      </c>
      <c r="F2076" cm="1">
        <f t="array" ref="F2076">_xlfn.IFNA(_xlfn.XLOOKUP(1,([1]!readmissions[Facility ID] = clean[[#This Row],[Facility ID]]) * ([1]!readmissions[Measure ID] = "Hybrid_HWR"), [1]!readmissions[Score]), "No Match")</f>
        <v>14.4</v>
      </c>
    </row>
    <row r="2077" spans="1:6" x14ac:dyDescent="0.2">
      <c r="A2077">
        <f>[1]!hospitalinfo[[#This Row],[Facility ID]]</f>
        <v>190274</v>
      </c>
      <c r="B2077" t="str">
        <f>[1]!hospitalinfo[[#This Row],[State]]</f>
        <v>LA</v>
      </c>
      <c r="C2077" t="str">
        <f>[1]!hospitalinfo[[#This Row],[Hospital Type]]</f>
        <v>Acute Care Hospitals</v>
      </c>
      <c r="D2077" t="str">
        <f>[1]!hospitalinfo[[#This Row],[Hospital Ownership]]</f>
        <v>Voluntary non-profit - Private</v>
      </c>
      <c r="E2077" cm="1">
        <f t="array" ref="E2077">_xlfn.IFNA(_xlfn.XLOOKUP(1,([1]!hcahps[Facility ID] = clean[[#This Row],[Facility ID]]) * ([1]!hcahps[HCAHPS Measure ID] = "H_HSP_RATING_LINEAR_SCORE"), [1]!hcahps[HCAHPS Linear Mean Value]), "No Match")</f>
        <v>86</v>
      </c>
      <c r="F2077" cm="1">
        <f t="array" ref="F2077">_xlfn.IFNA(_xlfn.XLOOKUP(1,([1]!readmissions[Facility ID] = clean[[#This Row],[Facility ID]]) * ([1]!readmissions[Measure ID] = "Hybrid_HWR"), [1]!readmissions[Score]), "No Match")</f>
        <v>15.3</v>
      </c>
    </row>
    <row r="2078" spans="1:6" x14ac:dyDescent="0.2">
      <c r="A2078">
        <f>[1]!hospitalinfo[[#This Row],[Facility ID]]</f>
        <v>190278</v>
      </c>
      <c r="B2078" t="str">
        <f>[1]!hospitalinfo[[#This Row],[State]]</f>
        <v>LA</v>
      </c>
      <c r="C2078" t="str">
        <f>[1]!hospitalinfo[[#This Row],[Hospital Type]]</f>
        <v>Acute Care Hospitals</v>
      </c>
      <c r="D2078" t="str">
        <f>[1]!hospitalinfo[[#This Row],[Hospital Ownership]]</f>
        <v>Proprietary</v>
      </c>
      <c r="E2078" cm="1">
        <f t="array" ref="E2078">_xlfn.IFNA(_xlfn.XLOOKUP(1,([1]!hcahps[Facility ID] = clean[[#This Row],[Facility ID]]) * ([1]!hcahps[HCAHPS Measure ID] = "H_HSP_RATING_LINEAR_SCORE"), [1]!hcahps[HCAHPS Linear Mean Value]), "No Match")</f>
        <v>90</v>
      </c>
      <c r="F2078" cm="1">
        <f t="array" ref="F2078">_xlfn.IFNA(_xlfn.XLOOKUP(1,([1]!readmissions[Facility ID] = clean[[#This Row],[Facility ID]]) * ([1]!readmissions[Measure ID] = "Hybrid_HWR"), [1]!readmissions[Score]), "No Match")</f>
        <v>14.6</v>
      </c>
    </row>
    <row r="2079" spans="1:6" x14ac:dyDescent="0.2">
      <c r="A2079">
        <f>[1]!hospitalinfo[[#This Row],[Facility ID]]</f>
        <v>190298</v>
      </c>
      <c r="B2079" t="str">
        <f>[1]!hospitalinfo[[#This Row],[State]]</f>
        <v>LA</v>
      </c>
      <c r="C2079" t="str">
        <f>[1]!hospitalinfo[[#This Row],[Hospital Type]]</f>
        <v>Acute Care Hospitals</v>
      </c>
      <c r="D2079" t="str">
        <f>[1]!hospitalinfo[[#This Row],[Hospital Ownership]]</f>
        <v>Proprietary</v>
      </c>
      <c r="E2079" t="str" cm="1">
        <f t="array" ref="E2079">_xlfn.IFNA(_xlfn.XLOOKUP(1,([1]!hcahps[Facility ID] = clean[[#This Row],[Facility ID]]) * ([1]!hcahps[HCAHPS Measure ID] = "H_HSP_RATING_LINEAR_SCORE"), [1]!hcahps[HCAHPS Linear Mean Value]), "No Match")</f>
        <v>Not Available</v>
      </c>
      <c r="F2079" cm="1">
        <f t="array" ref="F2079">_xlfn.IFNA(_xlfn.XLOOKUP(1,([1]!readmissions[Facility ID] = clean[[#This Row],[Facility ID]]) * ([1]!readmissions[Measure ID] = "Hybrid_HWR"), [1]!readmissions[Score]), "No Match")</f>
        <v>14.8</v>
      </c>
    </row>
    <row r="2080" spans="1:6" x14ac:dyDescent="0.2">
      <c r="A2080">
        <f>[1]!hospitalinfo[[#This Row],[Facility ID]]</f>
        <v>190300</v>
      </c>
      <c r="B2080" t="str">
        <f>[1]!hospitalinfo[[#This Row],[State]]</f>
        <v>LA</v>
      </c>
      <c r="C2080" t="str">
        <f>[1]!hospitalinfo[[#This Row],[Hospital Type]]</f>
        <v>Acute Care Hospitals</v>
      </c>
      <c r="D2080" t="str">
        <f>[1]!hospitalinfo[[#This Row],[Hospital Ownership]]</f>
        <v>Physician</v>
      </c>
      <c r="E2080" t="str" cm="1">
        <f t="array" ref="E2080">_xlfn.IFNA(_xlfn.XLOOKUP(1,([1]!hcahps[Facility ID] = clean[[#This Row],[Facility ID]]) * ([1]!hcahps[HCAHPS Measure ID] = "H_HSP_RATING_LINEAR_SCORE"), [1]!hcahps[HCAHPS Linear Mean Value]), "No Match")</f>
        <v>Not Available</v>
      </c>
      <c r="F2080" cm="1">
        <f t="array" ref="F2080">_xlfn.IFNA(_xlfn.XLOOKUP(1,([1]!readmissions[Facility ID] = clean[[#This Row],[Facility ID]]) * ([1]!readmissions[Measure ID] = "Hybrid_HWR"), [1]!readmissions[Score]), "No Match")</f>
        <v>14.9</v>
      </c>
    </row>
    <row r="2081" spans="1:6" x14ac:dyDescent="0.2">
      <c r="A2081">
        <f>[1]!hospitalinfo[[#This Row],[Facility ID]]</f>
        <v>190302</v>
      </c>
      <c r="B2081" t="str">
        <f>[1]!hospitalinfo[[#This Row],[State]]</f>
        <v>LA</v>
      </c>
      <c r="C2081" t="str">
        <f>[1]!hospitalinfo[[#This Row],[Hospital Type]]</f>
        <v>Acute Care Hospitals</v>
      </c>
      <c r="D2081" t="str">
        <f>[1]!hospitalinfo[[#This Row],[Hospital Ownership]]</f>
        <v>Physician</v>
      </c>
      <c r="E2081" t="str" cm="1">
        <f t="array" ref="E2081">_xlfn.IFNA(_xlfn.XLOOKUP(1,([1]!hcahps[Facility ID] = clean[[#This Row],[Facility ID]]) * ([1]!hcahps[HCAHPS Measure ID] = "H_HSP_RATING_LINEAR_SCORE"), [1]!hcahps[HCAHPS Linear Mean Value]), "No Match")</f>
        <v>Not Available</v>
      </c>
      <c r="F2081" t="str" cm="1">
        <f t="array" ref="F2081">_xlfn.IFNA(_xlfn.XLOOKUP(1,([1]!readmissions[Facility ID] = clean[[#This Row],[Facility ID]]) * ([1]!readmissions[Measure ID] = "Hybrid_HWR"), [1]!readmissions[Score]), "No Match")</f>
        <v>Not Available</v>
      </c>
    </row>
    <row r="2082" spans="1:6" x14ac:dyDescent="0.2">
      <c r="A2082">
        <f>[1]!hospitalinfo[[#This Row],[Facility ID]]</f>
        <v>190303</v>
      </c>
      <c r="B2082" t="str">
        <f>[1]!hospitalinfo[[#This Row],[State]]</f>
        <v>LA</v>
      </c>
      <c r="C2082" t="str">
        <f>[1]!hospitalinfo[[#This Row],[Hospital Type]]</f>
        <v>Acute Care Hospitals</v>
      </c>
      <c r="D2082" t="str">
        <f>[1]!hospitalinfo[[#This Row],[Hospital Ownership]]</f>
        <v>Proprietary</v>
      </c>
      <c r="E2082" cm="1">
        <f t="array" ref="E2082">_xlfn.IFNA(_xlfn.XLOOKUP(1,([1]!hcahps[Facility ID] = clean[[#This Row],[Facility ID]]) * ([1]!hcahps[HCAHPS Measure ID] = "H_HSP_RATING_LINEAR_SCORE"), [1]!hcahps[HCAHPS Linear Mean Value]), "No Match")</f>
        <v>94</v>
      </c>
      <c r="F2082" cm="1">
        <f t="array" ref="F2082">_xlfn.IFNA(_xlfn.XLOOKUP(1,([1]!readmissions[Facility ID] = clean[[#This Row],[Facility ID]]) * ([1]!readmissions[Measure ID] = "Hybrid_HWR"), [1]!readmissions[Score]), "No Match")</f>
        <v>14.5</v>
      </c>
    </row>
    <row r="2083" spans="1:6" x14ac:dyDescent="0.2">
      <c r="A2083">
        <f>[1]!hospitalinfo[[#This Row],[Facility ID]]</f>
        <v>190308</v>
      </c>
      <c r="B2083" t="str">
        <f>[1]!hospitalinfo[[#This Row],[State]]</f>
        <v>LA</v>
      </c>
      <c r="C2083" t="str">
        <f>[1]!hospitalinfo[[#This Row],[Hospital Type]]</f>
        <v>Acute Care Hospitals</v>
      </c>
      <c r="D2083" t="str">
        <f>[1]!hospitalinfo[[#This Row],[Hospital Ownership]]</f>
        <v>Government - Hospital District or Authority</v>
      </c>
      <c r="E2083" cm="1">
        <f t="array" ref="E2083">_xlfn.IFNA(_xlfn.XLOOKUP(1,([1]!hcahps[Facility ID] = clean[[#This Row],[Facility ID]]) * ([1]!hcahps[HCAHPS Measure ID] = "H_HSP_RATING_LINEAR_SCORE"), [1]!hcahps[HCAHPS Linear Mean Value]), "No Match")</f>
        <v>88</v>
      </c>
      <c r="F2083" cm="1">
        <f t="array" ref="F2083">_xlfn.IFNA(_xlfn.XLOOKUP(1,([1]!readmissions[Facility ID] = clean[[#This Row],[Facility ID]]) * ([1]!readmissions[Measure ID] = "Hybrid_HWR"), [1]!readmissions[Score]), "No Match")</f>
        <v>15</v>
      </c>
    </row>
    <row r="2084" spans="1:6" x14ac:dyDescent="0.2">
      <c r="A2084">
        <f>[1]!hospitalinfo[[#This Row],[Facility ID]]</f>
        <v>190312</v>
      </c>
      <c r="B2084" t="str">
        <f>[1]!hospitalinfo[[#This Row],[State]]</f>
        <v>LA</v>
      </c>
      <c r="C2084" t="str">
        <f>[1]!hospitalinfo[[#This Row],[Hospital Type]]</f>
        <v>Acute Care Hospitals</v>
      </c>
      <c r="D2084" t="str">
        <f>[1]!hospitalinfo[[#This Row],[Hospital Ownership]]</f>
        <v>Voluntary non-profit - Private</v>
      </c>
      <c r="E2084" cm="1">
        <f t="array" ref="E2084">_xlfn.IFNA(_xlfn.XLOOKUP(1,([1]!hcahps[Facility ID] = clean[[#This Row],[Facility ID]]) * ([1]!hcahps[HCAHPS Measure ID] = "H_HSP_RATING_LINEAR_SCORE"), [1]!hcahps[HCAHPS Linear Mean Value]), "No Match")</f>
        <v>90</v>
      </c>
      <c r="F2084" cm="1">
        <f t="array" ref="F2084">_xlfn.IFNA(_xlfn.XLOOKUP(1,([1]!readmissions[Facility ID] = clean[[#This Row],[Facility ID]]) * ([1]!readmissions[Measure ID] = "Hybrid_HWR"), [1]!readmissions[Score]), "No Match")</f>
        <v>15.6</v>
      </c>
    </row>
    <row r="2085" spans="1:6" x14ac:dyDescent="0.2">
      <c r="A2085">
        <f>[1]!hospitalinfo[[#This Row],[Facility ID]]</f>
        <v>190313</v>
      </c>
      <c r="B2085" t="str">
        <f>[1]!hospitalinfo[[#This Row],[State]]</f>
        <v>LA</v>
      </c>
      <c r="C2085" t="str">
        <f>[1]!hospitalinfo[[#This Row],[Hospital Type]]</f>
        <v>Acute Care Hospitals</v>
      </c>
      <c r="D2085" t="str">
        <f>[1]!hospitalinfo[[#This Row],[Hospital Ownership]]</f>
        <v>Government - Hospital District or Authority</v>
      </c>
      <c r="E2085" t="str" cm="1">
        <f t="array" ref="E2085">_xlfn.IFNA(_xlfn.XLOOKUP(1,([1]!hcahps[Facility ID] = clean[[#This Row],[Facility ID]]) * ([1]!hcahps[HCAHPS Measure ID] = "H_HSP_RATING_LINEAR_SCORE"), [1]!hcahps[HCAHPS Linear Mean Value]), "No Match")</f>
        <v>Not Available</v>
      </c>
      <c r="F2085" cm="1">
        <f t="array" ref="F2085">_xlfn.IFNA(_xlfn.XLOOKUP(1,([1]!readmissions[Facility ID] = clean[[#This Row],[Facility ID]]) * ([1]!readmissions[Measure ID] = "Hybrid_HWR"), [1]!readmissions[Score]), "No Match")</f>
        <v>14.9</v>
      </c>
    </row>
    <row r="2086" spans="1:6" x14ac:dyDescent="0.2">
      <c r="A2086">
        <f>[1]!hospitalinfo[[#This Row],[Facility ID]]</f>
        <v>190316</v>
      </c>
      <c r="B2086" t="str">
        <f>[1]!hospitalinfo[[#This Row],[State]]</f>
        <v>LA</v>
      </c>
      <c r="C2086" t="str">
        <f>[1]!hospitalinfo[[#This Row],[Hospital Type]]</f>
        <v>Acute Care Hospitals</v>
      </c>
      <c r="D2086" t="str">
        <f>[1]!hospitalinfo[[#This Row],[Hospital Ownership]]</f>
        <v>Voluntary non-profit - Private</v>
      </c>
      <c r="E2086" t="str" cm="1">
        <f t="array" ref="E2086">_xlfn.IFNA(_xlfn.XLOOKUP(1,([1]!hcahps[Facility ID] = clean[[#This Row],[Facility ID]]) * ([1]!hcahps[HCAHPS Measure ID] = "H_HSP_RATING_LINEAR_SCORE"), [1]!hcahps[HCAHPS Linear Mean Value]), "No Match")</f>
        <v>Not Available</v>
      </c>
      <c r="F2086" cm="1">
        <f t="array" ref="F2086">_xlfn.IFNA(_xlfn.XLOOKUP(1,([1]!readmissions[Facility ID] = clean[[#This Row],[Facility ID]]) * ([1]!readmissions[Measure ID] = "Hybrid_HWR"), [1]!readmissions[Score]), "No Match")</f>
        <v>15</v>
      </c>
    </row>
    <row r="2087" spans="1:6" x14ac:dyDescent="0.2">
      <c r="A2087">
        <f>[1]!hospitalinfo[[#This Row],[Facility ID]]</f>
        <v>190317</v>
      </c>
      <c r="B2087" t="str">
        <f>[1]!hospitalinfo[[#This Row],[State]]</f>
        <v>LA</v>
      </c>
      <c r="C2087" t="str">
        <f>[1]!hospitalinfo[[#This Row],[Hospital Type]]</f>
        <v>Acute Care Hospitals</v>
      </c>
      <c r="D2087" t="str">
        <f>[1]!hospitalinfo[[#This Row],[Hospital Ownership]]</f>
        <v>Voluntary non-profit - Private</v>
      </c>
      <c r="E2087" cm="1">
        <f t="array" ref="E2087">_xlfn.IFNA(_xlfn.XLOOKUP(1,([1]!hcahps[Facility ID] = clean[[#This Row],[Facility ID]]) * ([1]!hcahps[HCAHPS Measure ID] = "H_HSP_RATING_LINEAR_SCORE"), [1]!hcahps[HCAHPS Linear Mean Value]), "No Match")</f>
        <v>89</v>
      </c>
      <c r="F2087" t="str" cm="1">
        <f t="array" ref="F2087">_xlfn.IFNA(_xlfn.XLOOKUP(1,([1]!readmissions[Facility ID] = clean[[#This Row],[Facility ID]]) * ([1]!readmissions[Measure ID] = "Hybrid_HWR"), [1]!readmissions[Score]), "No Match")</f>
        <v>Not Available</v>
      </c>
    </row>
    <row r="2088" spans="1:6" x14ac:dyDescent="0.2">
      <c r="A2088">
        <f>[1]!hospitalinfo[[#This Row],[Facility ID]]</f>
        <v>190318</v>
      </c>
      <c r="B2088" t="str">
        <f>[1]!hospitalinfo[[#This Row],[State]]</f>
        <v>LA</v>
      </c>
      <c r="C2088" t="str">
        <f>[1]!hospitalinfo[[#This Row],[Hospital Type]]</f>
        <v>Acute Care Hospitals</v>
      </c>
      <c r="D2088" t="str">
        <f>[1]!hospitalinfo[[#This Row],[Hospital Ownership]]</f>
        <v>Proprietary</v>
      </c>
      <c r="E2088" cm="1">
        <f t="array" ref="E2088">_xlfn.IFNA(_xlfn.XLOOKUP(1,([1]!hcahps[Facility ID] = clean[[#This Row],[Facility ID]]) * ([1]!hcahps[HCAHPS Measure ID] = "H_HSP_RATING_LINEAR_SCORE"), [1]!hcahps[HCAHPS Linear Mean Value]), "No Match")</f>
        <v>86</v>
      </c>
      <c r="F2088" cm="1">
        <f t="array" ref="F2088">_xlfn.IFNA(_xlfn.XLOOKUP(1,([1]!readmissions[Facility ID] = clean[[#This Row],[Facility ID]]) * ([1]!readmissions[Measure ID] = "Hybrid_HWR"), [1]!readmissions[Score]), "No Match")</f>
        <v>15.1</v>
      </c>
    </row>
    <row r="2089" spans="1:6" x14ac:dyDescent="0.2">
      <c r="A2089">
        <f>[1]!hospitalinfo[[#This Row],[Facility ID]]</f>
        <v>190319</v>
      </c>
      <c r="B2089" t="str">
        <f>[1]!hospitalinfo[[#This Row],[State]]</f>
        <v>LA</v>
      </c>
      <c r="C2089" t="str">
        <f>[1]!hospitalinfo[[#This Row],[Hospital Type]]</f>
        <v>Acute Care Hospitals</v>
      </c>
      <c r="D2089" t="str">
        <f>[1]!hospitalinfo[[#This Row],[Hospital Ownership]]</f>
        <v>Proprietary</v>
      </c>
      <c r="E2089" t="str" cm="1">
        <f t="array" ref="E2089">_xlfn.IFNA(_xlfn.XLOOKUP(1,([1]!hcahps[Facility ID] = clean[[#This Row],[Facility ID]]) * ([1]!hcahps[HCAHPS Measure ID] = "H_HSP_RATING_LINEAR_SCORE"), [1]!hcahps[HCAHPS Linear Mean Value]), "No Match")</f>
        <v>Not Available</v>
      </c>
      <c r="F2089" t="str" cm="1">
        <f t="array" ref="F2089">_xlfn.IFNA(_xlfn.XLOOKUP(1,([1]!readmissions[Facility ID] = clean[[#This Row],[Facility ID]]) * ([1]!readmissions[Measure ID] = "Hybrid_HWR"), [1]!readmissions[Score]), "No Match")</f>
        <v>Not Available</v>
      </c>
    </row>
    <row r="2090" spans="1:6" x14ac:dyDescent="0.2">
      <c r="A2090">
        <f>[1]!hospitalinfo[[#This Row],[Facility ID]]</f>
        <v>190779</v>
      </c>
      <c r="B2090" t="str">
        <f>[1]!hospitalinfo[[#This Row],[State]]</f>
        <v>LA</v>
      </c>
      <c r="C2090" t="str">
        <f>[1]!hospitalinfo[[#This Row],[Hospital Type]]</f>
        <v>Rural Emergency Hospital</v>
      </c>
      <c r="D2090" t="str">
        <f>[1]!hospitalinfo[[#This Row],[Hospital Ownership]]</f>
        <v>Voluntary non-profit - Private</v>
      </c>
      <c r="E2090" t="str" cm="1">
        <f t="array" ref="E2090">_xlfn.IFNA(_xlfn.XLOOKUP(1,([1]!hcahps[Facility ID] = clean[[#This Row],[Facility ID]]) * ([1]!hcahps[HCAHPS Measure ID] = "H_HSP_RATING_LINEAR_SCORE"), [1]!hcahps[HCAHPS Linear Mean Value]), "No Match")</f>
        <v>Not Available</v>
      </c>
      <c r="F2090" t="str" cm="1">
        <f t="array" ref="F2090">_xlfn.IFNA(_xlfn.XLOOKUP(1,([1]!readmissions[Facility ID] = clean[[#This Row],[Facility ID]]) * ([1]!readmissions[Measure ID] = "Hybrid_HWR"), [1]!readmissions[Score]), "No Match")</f>
        <v>Not Available</v>
      </c>
    </row>
    <row r="2091" spans="1:6" x14ac:dyDescent="0.2">
      <c r="A2091">
        <f>[1]!hospitalinfo[[#This Row],[Facility ID]]</f>
        <v>191300</v>
      </c>
      <c r="B2091" t="str">
        <f>[1]!hospitalinfo[[#This Row],[State]]</f>
        <v>LA</v>
      </c>
      <c r="C2091" t="str">
        <f>[1]!hospitalinfo[[#This Row],[Hospital Type]]</f>
        <v>Critical Access Hospitals</v>
      </c>
      <c r="D2091" t="str">
        <f>[1]!hospitalinfo[[#This Row],[Hospital Ownership]]</f>
        <v>Government - Hospital District or Authority</v>
      </c>
      <c r="E2091" t="str" cm="1">
        <f t="array" ref="E2091">_xlfn.IFNA(_xlfn.XLOOKUP(1,([1]!hcahps[Facility ID] = clean[[#This Row],[Facility ID]]) * ([1]!hcahps[HCAHPS Measure ID] = "H_HSP_RATING_LINEAR_SCORE"), [1]!hcahps[HCAHPS Linear Mean Value]), "No Match")</f>
        <v>Not Available</v>
      </c>
      <c r="F2091" t="str" cm="1">
        <f t="array" ref="F2091">_xlfn.IFNA(_xlfn.XLOOKUP(1,([1]!readmissions[Facility ID] = clean[[#This Row],[Facility ID]]) * ([1]!readmissions[Measure ID] = "Hybrid_HWR"), [1]!readmissions[Score]), "No Match")</f>
        <v>Not Available</v>
      </c>
    </row>
    <row r="2092" spans="1:6" x14ac:dyDescent="0.2">
      <c r="A2092">
        <f>[1]!hospitalinfo[[#This Row],[Facility ID]]</f>
        <v>191301</v>
      </c>
      <c r="B2092" t="str">
        <f>[1]!hospitalinfo[[#This Row],[State]]</f>
        <v>LA</v>
      </c>
      <c r="C2092" t="str">
        <f>[1]!hospitalinfo[[#This Row],[Hospital Type]]</f>
        <v>Critical Access Hospitals</v>
      </c>
      <c r="D2092" t="str">
        <f>[1]!hospitalinfo[[#This Row],[Hospital Ownership]]</f>
        <v>Voluntary non-profit - Private</v>
      </c>
      <c r="E2092" t="str" cm="1">
        <f t="array" ref="E2092">_xlfn.IFNA(_xlfn.XLOOKUP(1,([1]!hcahps[Facility ID] = clean[[#This Row],[Facility ID]]) * ([1]!hcahps[HCAHPS Measure ID] = "H_HSP_RATING_LINEAR_SCORE"), [1]!hcahps[HCAHPS Linear Mean Value]), "No Match")</f>
        <v>Not Available</v>
      </c>
      <c r="F2092" cm="1">
        <f t="array" ref="F2092">_xlfn.IFNA(_xlfn.XLOOKUP(1,([1]!readmissions[Facility ID] = clean[[#This Row],[Facility ID]]) * ([1]!readmissions[Measure ID] = "Hybrid_HWR"), [1]!readmissions[Score]), "No Match")</f>
        <v>15.3</v>
      </c>
    </row>
    <row r="2093" spans="1:6" x14ac:dyDescent="0.2">
      <c r="A2093">
        <f>[1]!hospitalinfo[[#This Row],[Facility ID]]</f>
        <v>191302</v>
      </c>
      <c r="B2093" t="str">
        <f>[1]!hospitalinfo[[#This Row],[State]]</f>
        <v>LA</v>
      </c>
      <c r="C2093" t="str">
        <f>[1]!hospitalinfo[[#This Row],[Hospital Type]]</f>
        <v>Critical Access Hospitals</v>
      </c>
      <c r="D2093" t="str">
        <f>[1]!hospitalinfo[[#This Row],[Hospital Ownership]]</f>
        <v>Voluntary non-profit - Private</v>
      </c>
      <c r="E2093" cm="1">
        <f t="array" ref="E2093">_xlfn.IFNA(_xlfn.XLOOKUP(1,([1]!hcahps[Facility ID] = clean[[#This Row],[Facility ID]]) * ([1]!hcahps[HCAHPS Measure ID] = "H_HSP_RATING_LINEAR_SCORE"), [1]!hcahps[HCAHPS Linear Mean Value]), "No Match")</f>
        <v>94</v>
      </c>
      <c r="F2093" cm="1">
        <f t="array" ref="F2093">_xlfn.IFNA(_xlfn.XLOOKUP(1,([1]!readmissions[Facility ID] = clean[[#This Row],[Facility ID]]) * ([1]!readmissions[Measure ID] = "Hybrid_HWR"), [1]!readmissions[Score]), "No Match")</f>
        <v>14.6</v>
      </c>
    </row>
    <row r="2094" spans="1:6" x14ac:dyDescent="0.2">
      <c r="A2094">
        <f>[1]!hospitalinfo[[#This Row],[Facility ID]]</f>
        <v>191304</v>
      </c>
      <c r="B2094" t="str">
        <f>[1]!hospitalinfo[[#This Row],[State]]</f>
        <v>LA</v>
      </c>
      <c r="C2094" t="str">
        <f>[1]!hospitalinfo[[#This Row],[Hospital Type]]</f>
        <v>Critical Access Hospitals</v>
      </c>
      <c r="D2094" t="str">
        <f>[1]!hospitalinfo[[#This Row],[Hospital Ownership]]</f>
        <v>Government - Hospital District or Authority</v>
      </c>
      <c r="E2094" t="str" cm="1">
        <f t="array" ref="E2094">_xlfn.IFNA(_xlfn.XLOOKUP(1,([1]!hcahps[Facility ID] = clean[[#This Row],[Facility ID]]) * ([1]!hcahps[HCAHPS Measure ID] = "H_HSP_RATING_LINEAR_SCORE"), [1]!hcahps[HCAHPS Linear Mean Value]), "No Match")</f>
        <v>Not Available</v>
      </c>
      <c r="F2094" cm="1">
        <f t="array" ref="F2094">_xlfn.IFNA(_xlfn.XLOOKUP(1,([1]!readmissions[Facility ID] = clean[[#This Row],[Facility ID]]) * ([1]!readmissions[Measure ID] = "Hybrid_HWR"), [1]!readmissions[Score]), "No Match")</f>
        <v>14.9</v>
      </c>
    </row>
    <row r="2095" spans="1:6" x14ac:dyDescent="0.2">
      <c r="A2095">
        <f>[1]!hospitalinfo[[#This Row],[Facility ID]]</f>
        <v>191305</v>
      </c>
      <c r="B2095" t="str">
        <f>[1]!hospitalinfo[[#This Row],[State]]</f>
        <v>LA</v>
      </c>
      <c r="C2095" t="str">
        <f>[1]!hospitalinfo[[#This Row],[Hospital Type]]</f>
        <v>Critical Access Hospitals</v>
      </c>
      <c r="D2095" t="str">
        <f>[1]!hospitalinfo[[#This Row],[Hospital Ownership]]</f>
        <v>Government - Hospital District or Authority</v>
      </c>
      <c r="E2095" t="str" cm="1">
        <f t="array" ref="E2095">_xlfn.IFNA(_xlfn.XLOOKUP(1,([1]!hcahps[Facility ID] = clean[[#This Row],[Facility ID]]) * ([1]!hcahps[HCAHPS Measure ID] = "H_HSP_RATING_LINEAR_SCORE"), [1]!hcahps[HCAHPS Linear Mean Value]), "No Match")</f>
        <v>Not Available</v>
      </c>
      <c r="F2095" t="str" cm="1">
        <f t="array" ref="F2095">_xlfn.IFNA(_xlfn.XLOOKUP(1,([1]!readmissions[Facility ID] = clean[[#This Row],[Facility ID]]) * ([1]!readmissions[Measure ID] = "Hybrid_HWR"), [1]!readmissions[Score]), "No Match")</f>
        <v>Not Available</v>
      </c>
    </row>
    <row r="2096" spans="1:6" x14ac:dyDescent="0.2">
      <c r="A2096">
        <f>[1]!hospitalinfo[[#This Row],[Facility ID]]</f>
        <v>191306</v>
      </c>
      <c r="B2096" t="str">
        <f>[1]!hospitalinfo[[#This Row],[State]]</f>
        <v>LA</v>
      </c>
      <c r="C2096" t="str">
        <f>[1]!hospitalinfo[[#This Row],[Hospital Type]]</f>
        <v>Critical Access Hospitals</v>
      </c>
      <c r="D2096" t="str">
        <f>[1]!hospitalinfo[[#This Row],[Hospital Ownership]]</f>
        <v>Government - Hospital District or Authority</v>
      </c>
      <c r="E2096" t="str" cm="1">
        <f t="array" ref="E2096">_xlfn.IFNA(_xlfn.XLOOKUP(1,([1]!hcahps[Facility ID] = clean[[#This Row],[Facility ID]]) * ([1]!hcahps[HCAHPS Measure ID] = "H_HSP_RATING_LINEAR_SCORE"), [1]!hcahps[HCAHPS Linear Mean Value]), "No Match")</f>
        <v>Not Available</v>
      </c>
      <c r="F2096" t="str" cm="1">
        <f t="array" ref="F2096">_xlfn.IFNA(_xlfn.XLOOKUP(1,([1]!readmissions[Facility ID] = clean[[#This Row],[Facility ID]]) * ([1]!readmissions[Measure ID] = "Hybrid_HWR"), [1]!readmissions[Score]), "No Match")</f>
        <v>Not Available</v>
      </c>
    </row>
    <row r="2097" spans="1:6" x14ac:dyDescent="0.2">
      <c r="A2097">
        <f>[1]!hospitalinfo[[#This Row],[Facility ID]]</f>
        <v>191307</v>
      </c>
      <c r="B2097" t="str">
        <f>[1]!hospitalinfo[[#This Row],[State]]</f>
        <v>LA</v>
      </c>
      <c r="C2097" t="str">
        <f>[1]!hospitalinfo[[#This Row],[Hospital Type]]</f>
        <v>Critical Access Hospitals</v>
      </c>
      <c r="D2097" t="str">
        <f>[1]!hospitalinfo[[#This Row],[Hospital Ownership]]</f>
        <v>Proprietary</v>
      </c>
      <c r="E2097" t="str" cm="1">
        <f t="array" ref="E2097">_xlfn.IFNA(_xlfn.XLOOKUP(1,([1]!hcahps[Facility ID] = clean[[#This Row],[Facility ID]]) * ([1]!hcahps[HCAHPS Measure ID] = "H_HSP_RATING_LINEAR_SCORE"), [1]!hcahps[HCAHPS Linear Mean Value]), "No Match")</f>
        <v>Not Available</v>
      </c>
      <c r="F2097" t="str" cm="1">
        <f t="array" ref="F2097">_xlfn.IFNA(_xlfn.XLOOKUP(1,([1]!readmissions[Facility ID] = clean[[#This Row],[Facility ID]]) * ([1]!readmissions[Measure ID] = "Hybrid_HWR"), [1]!readmissions[Score]), "No Match")</f>
        <v>Not Available</v>
      </c>
    </row>
    <row r="2098" spans="1:6" x14ac:dyDescent="0.2">
      <c r="A2098">
        <f>[1]!hospitalinfo[[#This Row],[Facility ID]]</f>
        <v>191308</v>
      </c>
      <c r="B2098" t="str">
        <f>[1]!hospitalinfo[[#This Row],[State]]</f>
        <v>LA</v>
      </c>
      <c r="C2098" t="str">
        <f>[1]!hospitalinfo[[#This Row],[Hospital Type]]</f>
        <v>Critical Access Hospitals</v>
      </c>
      <c r="D2098" t="str">
        <f>[1]!hospitalinfo[[#This Row],[Hospital Ownership]]</f>
        <v>Government - Hospital District or Authority</v>
      </c>
      <c r="E2098" t="str" cm="1">
        <f t="array" ref="E2098">_xlfn.IFNA(_xlfn.XLOOKUP(1,([1]!hcahps[Facility ID] = clean[[#This Row],[Facility ID]]) * ([1]!hcahps[HCAHPS Measure ID] = "H_HSP_RATING_LINEAR_SCORE"), [1]!hcahps[HCAHPS Linear Mean Value]), "No Match")</f>
        <v>Not Available</v>
      </c>
      <c r="F2098" t="str" cm="1">
        <f t="array" ref="F2098">_xlfn.IFNA(_xlfn.XLOOKUP(1,([1]!readmissions[Facility ID] = clean[[#This Row],[Facility ID]]) * ([1]!readmissions[Measure ID] = "Hybrid_HWR"), [1]!readmissions[Score]), "No Match")</f>
        <v>Not Available</v>
      </c>
    </row>
    <row r="2099" spans="1:6" x14ac:dyDescent="0.2">
      <c r="A2099">
        <f>[1]!hospitalinfo[[#This Row],[Facility ID]]</f>
        <v>191309</v>
      </c>
      <c r="B2099" t="str">
        <f>[1]!hospitalinfo[[#This Row],[State]]</f>
        <v>LA</v>
      </c>
      <c r="C2099" t="str">
        <f>[1]!hospitalinfo[[#This Row],[Hospital Type]]</f>
        <v>Critical Access Hospitals</v>
      </c>
      <c r="D2099" t="str">
        <f>[1]!hospitalinfo[[#This Row],[Hospital Ownership]]</f>
        <v>Government - Hospital District or Authority</v>
      </c>
      <c r="E2099" t="str" cm="1">
        <f t="array" ref="E2099">_xlfn.IFNA(_xlfn.XLOOKUP(1,([1]!hcahps[Facility ID] = clean[[#This Row],[Facility ID]]) * ([1]!hcahps[HCAHPS Measure ID] = "H_HSP_RATING_LINEAR_SCORE"), [1]!hcahps[HCAHPS Linear Mean Value]), "No Match")</f>
        <v>Not Available</v>
      </c>
      <c r="F2099" t="str" cm="1">
        <f t="array" ref="F2099">_xlfn.IFNA(_xlfn.XLOOKUP(1,([1]!readmissions[Facility ID] = clean[[#This Row],[Facility ID]]) * ([1]!readmissions[Measure ID] = "Hybrid_HWR"), [1]!readmissions[Score]), "No Match")</f>
        <v>Not Available</v>
      </c>
    </row>
    <row r="2100" spans="1:6" x14ac:dyDescent="0.2">
      <c r="A2100">
        <f>[1]!hospitalinfo[[#This Row],[Facility ID]]</f>
        <v>191310</v>
      </c>
      <c r="B2100" t="str">
        <f>[1]!hospitalinfo[[#This Row],[State]]</f>
        <v>LA</v>
      </c>
      <c r="C2100" t="str">
        <f>[1]!hospitalinfo[[#This Row],[Hospital Type]]</f>
        <v>Critical Access Hospitals</v>
      </c>
      <c r="D2100" t="str">
        <f>[1]!hospitalinfo[[#This Row],[Hospital Ownership]]</f>
        <v>Government - Hospital District or Authority</v>
      </c>
      <c r="E2100" t="str" cm="1">
        <f t="array" ref="E2100">_xlfn.IFNA(_xlfn.XLOOKUP(1,([1]!hcahps[Facility ID] = clean[[#This Row],[Facility ID]]) * ([1]!hcahps[HCAHPS Measure ID] = "H_HSP_RATING_LINEAR_SCORE"), [1]!hcahps[HCAHPS Linear Mean Value]), "No Match")</f>
        <v>Not Available</v>
      </c>
      <c r="F2100" cm="1">
        <f t="array" ref="F2100">_xlfn.IFNA(_xlfn.XLOOKUP(1,([1]!readmissions[Facility ID] = clean[[#This Row],[Facility ID]]) * ([1]!readmissions[Measure ID] = "Hybrid_HWR"), [1]!readmissions[Score]), "No Match")</f>
        <v>14.8</v>
      </c>
    </row>
    <row r="2101" spans="1:6" x14ac:dyDescent="0.2">
      <c r="A2101">
        <f>[1]!hospitalinfo[[#This Row],[Facility ID]]</f>
        <v>191311</v>
      </c>
      <c r="B2101" t="str">
        <f>[1]!hospitalinfo[[#This Row],[State]]</f>
        <v>LA</v>
      </c>
      <c r="C2101" t="str">
        <f>[1]!hospitalinfo[[#This Row],[Hospital Type]]</f>
        <v>Critical Access Hospitals</v>
      </c>
      <c r="D2101" t="str">
        <f>[1]!hospitalinfo[[#This Row],[Hospital Ownership]]</f>
        <v>Government - Hospital District or Authority</v>
      </c>
      <c r="E2101" t="str" cm="1">
        <f t="array" ref="E2101">_xlfn.IFNA(_xlfn.XLOOKUP(1,([1]!hcahps[Facility ID] = clean[[#This Row],[Facility ID]]) * ([1]!hcahps[HCAHPS Measure ID] = "H_HSP_RATING_LINEAR_SCORE"), [1]!hcahps[HCAHPS Linear Mean Value]), "No Match")</f>
        <v>Not Available</v>
      </c>
      <c r="F2101" t="str" cm="1">
        <f t="array" ref="F2101">_xlfn.IFNA(_xlfn.XLOOKUP(1,([1]!readmissions[Facility ID] = clean[[#This Row],[Facility ID]]) * ([1]!readmissions[Measure ID] = "Hybrid_HWR"), [1]!readmissions[Score]), "No Match")</f>
        <v>Not Available</v>
      </c>
    </row>
    <row r="2102" spans="1:6" x14ac:dyDescent="0.2">
      <c r="A2102">
        <f>[1]!hospitalinfo[[#This Row],[Facility ID]]</f>
        <v>191312</v>
      </c>
      <c r="B2102" t="str">
        <f>[1]!hospitalinfo[[#This Row],[State]]</f>
        <v>LA</v>
      </c>
      <c r="C2102" t="str">
        <f>[1]!hospitalinfo[[#This Row],[Hospital Type]]</f>
        <v>Critical Access Hospitals</v>
      </c>
      <c r="D2102" t="str">
        <f>[1]!hospitalinfo[[#This Row],[Hospital Ownership]]</f>
        <v>Voluntary non-profit - Private</v>
      </c>
      <c r="E2102" t="str" cm="1">
        <f t="array" ref="E2102">_xlfn.IFNA(_xlfn.XLOOKUP(1,([1]!hcahps[Facility ID] = clean[[#This Row],[Facility ID]]) * ([1]!hcahps[HCAHPS Measure ID] = "H_HSP_RATING_LINEAR_SCORE"), [1]!hcahps[HCAHPS Linear Mean Value]), "No Match")</f>
        <v>Not Available</v>
      </c>
      <c r="F2102" cm="1">
        <f t="array" ref="F2102">_xlfn.IFNA(_xlfn.XLOOKUP(1,([1]!readmissions[Facility ID] = clean[[#This Row],[Facility ID]]) * ([1]!readmissions[Measure ID] = "Hybrid_HWR"), [1]!readmissions[Score]), "No Match")</f>
        <v>15.6</v>
      </c>
    </row>
    <row r="2103" spans="1:6" x14ac:dyDescent="0.2">
      <c r="A2103">
        <f>[1]!hospitalinfo[[#This Row],[Facility ID]]</f>
        <v>191313</v>
      </c>
      <c r="B2103" t="str">
        <f>[1]!hospitalinfo[[#This Row],[State]]</f>
        <v>LA</v>
      </c>
      <c r="C2103" t="str">
        <f>[1]!hospitalinfo[[#This Row],[Hospital Type]]</f>
        <v>Critical Access Hospitals</v>
      </c>
      <c r="D2103" t="str">
        <f>[1]!hospitalinfo[[#This Row],[Hospital Ownership]]</f>
        <v>Government - Hospital District or Authority</v>
      </c>
      <c r="E2103" t="str" cm="1">
        <f t="array" ref="E2103">_xlfn.IFNA(_xlfn.XLOOKUP(1,([1]!hcahps[Facility ID] = clean[[#This Row],[Facility ID]]) * ([1]!hcahps[HCAHPS Measure ID] = "H_HSP_RATING_LINEAR_SCORE"), [1]!hcahps[HCAHPS Linear Mean Value]), "No Match")</f>
        <v>Not Available</v>
      </c>
      <c r="F2103" cm="1">
        <f t="array" ref="F2103">_xlfn.IFNA(_xlfn.XLOOKUP(1,([1]!readmissions[Facility ID] = clean[[#This Row],[Facility ID]]) * ([1]!readmissions[Measure ID] = "Hybrid_HWR"), [1]!readmissions[Score]), "No Match")</f>
        <v>14.7</v>
      </c>
    </row>
    <row r="2104" spans="1:6" x14ac:dyDescent="0.2">
      <c r="A2104">
        <f>[1]!hospitalinfo[[#This Row],[Facility ID]]</f>
        <v>191314</v>
      </c>
      <c r="B2104" t="str">
        <f>[1]!hospitalinfo[[#This Row],[State]]</f>
        <v>LA</v>
      </c>
      <c r="C2104" t="str">
        <f>[1]!hospitalinfo[[#This Row],[Hospital Type]]</f>
        <v>Critical Access Hospitals</v>
      </c>
      <c r="D2104" t="str">
        <f>[1]!hospitalinfo[[#This Row],[Hospital Ownership]]</f>
        <v>Government - Hospital District or Authority</v>
      </c>
      <c r="E2104" t="str" cm="1">
        <f t="array" ref="E2104">_xlfn.IFNA(_xlfn.XLOOKUP(1,([1]!hcahps[Facility ID] = clean[[#This Row],[Facility ID]]) * ([1]!hcahps[HCAHPS Measure ID] = "H_HSP_RATING_LINEAR_SCORE"), [1]!hcahps[HCAHPS Linear Mean Value]), "No Match")</f>
        <v>Not Available</v>
      </c>
      <c r="F2104" t="str" cm="1">
        <f t="array" ref="F2104">_xlfn.IFNA(_xlfn.XLOOKUP(1,([1]!readmissions[Facility ID] = clean[[#This Row],[Facility ID]]) * ([1]!readmissions[Measure ID] = "Hybrid_HWR"), [1]!readmissions[Score]), "No Match")</f>
        <v>Not Available</v>
      </c>
    </row>
    <row r="2105" spans="1:6" x14ac:dyDescent="0.2">
      <c r="A2105">
        <f>[1]!hospitalinfo[[#This Row],[Facility ID]]</f>
        <v>191315</v>
      </c>
      <c r="B2105" t="str">
        <f>[1]!hospitalinfo[[#This Row],[State]]</f>
        <v>LA</v>
      </c>
      <c r="C2105" t="str">
        <f>[1]!hospitalinfo[[#This Row],[Hospital Type]]</f>
        <v>Critical Access Hospitals</v>
      </c>
      <c r="D2105" t="str">
        <f>[1]!hospitalinfo[[#This Row],[Hospital Ownership]]</f>
        <v>Government - Hospital District or Authority</v>
      </c>
      <c r="E2105" t="str" cm="1">
        <f t="array" ref="E2105">_xlfn.IFNA(_xlfn.XLOOKUP(1,([1]!hcahps[Facility ID] = clean[[#This Row],[Facility ID]]) * ([1]!hcahps[HCAHPS Measure ID] = "H_HSP_RATING_LINEAR_SCORE"), [1]!hcahps[HCAHPS Linear Mean Value]), "No Match")</f>
        <v>Not Available</v>
      </c>
      <c r="F2105" cm="1">
        <f t="array" ref="F2105">_xlfn.IFNA(_xlfn.XLOOKUP(1,([1]!readmissions[Facility ID] = clean[[#This Row],[Facility ID]]) * ([1]!readmissions[Measure ID] = "Hybrid_HWR"), [1]!readmissions[Score]), "No Match")</f>
        <v>15.8</v>
      </c>
    </row>
    <row r="2106" spans="1:6" x14ac:dyDescent="0.2">
      <c r="A2106">
        <f>[1]!hospitalinfo[[#This Row],[Facility ID]]</f>
        <v>191316</v>
      </c>
      <c r="B2106" t="str">
        <f>[1]!hospitalinfo[[#This Row],[State]]</f>
        <v>LA</v>
      </c>
      <c r="C2106" t="str">
        <f>[1]!hospitalinfo[[#This Row],[Hospital Type]]</f>
        <v>Critical Access Hospitals</v>
      </c>
      <c r="D2106" t="str">
        <f>[1]!hospitalinfo[[#This Row],[Hospital Ownership]]</f>
        <v>Government - Hospital District or Authority</v>
      </c>
      <c r="E2106" t="str" cm="1">
        <f t="array" ref="E2106">_xlfn.IFNA(_xlfn.XLOOKUP(1,([1]!hcahps[Facility ID] = clean[[#This Row],[Facility ID]]) * ([1]!hcahps[HCAHPS Measure ID] = "H_HSP_RATING_LINEAR_SCORE"), [1]!hcahps[HCAHPS Linear Mean Value]), "No Match")</f>
        <v>Not Available</v>
      </c>
      <c r="F2106" t="str" cm="1">
        <f t="array" ref="F2106">_xlfn.IFNA(_xlfn.XLOOKUP(1,([1]!readmissions[Facility ID] = clean[[#This Row],[Facility ID]]) * ([1]!readmissions[Measure ID] = "Hybrid_HWR"), [1]!readmissions[Score]), "No Match")</f>
        <v>Not Available</v>
      </c>
    </row>
    <row r="2107" spans="1:6" x14ac:dyDescent="0.2">
      <c r="A2107">
        <f>[1]!hospitalinfo[[#This Row],[Facility ID]]</f>
        <v>191317</v>
      </c>
      <c r="B2107" t="str">
        <f>[1]!hospitalinfo[[#This Row],[State]]</f>
        <v>LA</v>
      </c>
      <c r="C2107" t="str">
        <f>[1]!hospitalinfo[[#This Row],[Hospital Type]]</f>
        <v>Critical Access Hospitals</v>
      </c>
      <c r="D2107" t="str">
        <f>[1]!hospitalinfo[[#This Row],[Hospital Ownership]]</f>
        <v>Government - Hospital District or Authority</v>
      </c>
      <c r="E2107" t="str" cm="1">
        <f t="array" ref="E2107">_xlfn.IFNA(_xlfn.XLOOKUP(1,([1]!hcahps[Facility ID] = clean[[#This Row],[Facility ID]]) * ([1]!hcahps[HCAHPS Measure ID] = "H_HSP_RATING_LINEAR_SCORE"), [1]!hcahps[HCAHPS Linear Mean Value]), "No Match")</f>
        <v>Not Available</v>
      </c>
      <c r="F2107" cm="1">
        <f t="array" ref="F2107">_xlfn.IFNA(_xlfn.XLOOKUP(1,([1]!readmissions[Facility ID] = clean[[#This Row],[Facility ID]]) * ([1]!readmissions[Measure ID] = "Hybrid_HWR"), [1]!readmissions[Score]), "No Match")</f>
        <v>14.1</v>
      </c>
    </row>
    <row r="2108" spans="1:6" x14ac:dyDescent="0.2">
      <c r="A2108">
        <f>[1]!hospitalinfo[[#This Row],[Facility ID]]</f>
        <v>191318</v>
      </c>
      <c r="B2108" t="str">
        <f>[1]!hospitalinfo[[#This Row],[State]]</f>
        <v>LA</v>
      </c>
      <c r="C2108" t="str">
        <f>[1]!hospitalinfo[[#This Row],[Hospital Type]]</f>
        <v>Critical Access Hospitals</v>
      </c>
      <c r="D2108" t="str">
        <f>[1]!hospitalinfo[[#This Row],[Hospital Ownership]]</f>
        <v>Government - Hospital District or Authority</v>
      </c>
      <c r="E2108" t="str" cm="1">
        <f t="array" ref="E2108">_xlfn.IFNA(_xlfn.XLOOKUP(1,([1]!hcahps[Facility ID] = clean[[#This Row],[Facility ID]]) * ([1]!hcahps[HCAHPS Measure ID] = "H_HSP_RATING_LINEAR_SCORE"), [1]!hcahps[HCAHPS Linear Mean Value]), "No Match")</f>
        <v>Not Available</v>
      </c>
      <c r="F2108" cm="1">
        <f t="array" ref="F2108">_xlfn.IFNA(_xlfn.XLOOKUP(1,([1]!readmissions[Facility ID] = clean[[#This Row],[Facility ID]]) * ([1]!readmissions[Measure ID] = "Hybrid_HWR"), [1]!readmissions[Score]), "No Match")</f>
        <v>15.7</v>
      </c>
    </row>
    <row r="2109" spans="1:6" x14ac:dyDescent="0.2">
      <c r="A2109">
        <f>[1]!hospitalinfo[[#This Row],[Facility ID]]</f>
        <v>191319</v>
      </c>
      <c r="B2109" t="str">
        <f>[1]!hospitalinfo[[#This Row],[State]]</f>
        <v>LA</v>
      </c>
      <c r="C2109" t="str">
        <f>[1]!hospitalinfo[[#This Row],[Hospital Type]]</f>
        <v>Critical Access Hospitals</v>
      </c>
      <c r="D2109" t="str">
        <f>[1]!hospitalinfo[[#This Row],[Hospital Ownership]]</f>
        <v>Government - Hospital District or Authority</v>
      </c>
      <c r="E2109" t="str" cm="1">
        <f t="array" ref="E2109">_xlfn.IFNA(_xlfn.XLOOKUP(1,([1]!hcahps[Facility ID] = clean[[#This Row],[Facility ID]]) * ([1]!hcahps[HCAHPS Measure ID] = "H_HSP_RATING_LINEAR_SCORE"), [1]!hcahps[HCAHPS Linear Mean Value]), "No Match")</f>
        <v>Not Available</v>
      </c>
      <c r="F2109" t="str" cm="1">
        <f t="array" ref="F2109">_xlfn.IFNA(_xlfn.XLOOKUP(1,([1]!readmissions[Facility ID] = clean[[#This Row],[Facility ID]]) * ([1]!readmissions[Measure ID] = "Hybrid_HWR"), [1]!readmissions[Score]), "No Match")</f>
        <v>Not Available</v>
      </c>
    </row>
    <row r="2110" spans="1:6" x14ac:dyDescent="0.2">
      <c r="A2110">
        <f>[1]!hospitalinfo[[#This Row],[Facility ID]]</f>
        <v>191320</v>
      </c>
      <c r="B2110" t="str">
        <f>[1]!hospitalinfo[[#This Row],[State]]</f>
        <v>LA</v>
      </c>
      <c r="C2110" t="str">
        <f>[1]!hospitalinfo[[#This Row],[Hospital Type]]</f>
        <v>Critical Access Hospitals</v>
      </c>
      <c r="D2110" t="str">
        <f>[1]!hospitalinfo[[#This Row],[Hospital Ownership]]</f>
        <v>Proprietary</v>
      </c>
      <c r="E2110" t="str" cm="1">
        <f t="array" ref="E2110">_xlfn.IFNA(_xlfn.XLOOKUP(1,([1]!hcahps[Facility ID] = clean[[#This Row],[Facility ID]]) * ([1]!hcahps[HCAHPS Measure ID] = "H_HSP_RATING_LINEAR_SCORE"), [1]!hcahps[HCAHPS Linear Mean Value]), "No Match")</f>
        <v>Not Available</v>
      </c>
      <c r="F2110" t="str" cm="1">
        <f t="array" ref="F2110">_xlfn.IFNA(_xlfn.XLOOKUP(1,([1]!readmissions[Facility ID] = clean[[#This Row],[Facility ID]]) * ([1]!readmissions[Measure ID] = "Hybrid_HWR"), [1]!readmissions[Score]), "No Match")</f>
        <v>Not Available</v>
      </c>
    </row>
    <row r="2111" spans="1:6" x14ac:dyDescent="0.2">
      <c r="A2111">
        <f>[1]!hospitalinfo[[#This Row],[Facility ID]]</f>
        <v>191321</v>
      </c>
      <c r="B2111" t="str">
        <f>[1]!hospitalinfo[[#This Row],[State]]</f>
        <v>LA</v>
      </c>
      <c r="C2111" t="str">
        <f>[1]!hospitalinfo[[#This Row],[Hospital Type]]</f>
        <v>Critical Access Hospitals</v>
      </c>
      <c r="D2111" t="str">
        <f>[1]!hospitalinfo[[#This Row],[Hospital Ownership]]</f>
        <v>Government - State</v>
      </c>
      <c r="E2111" t="str" cm="1">
        <f t="array" ref="E2111">_xlfn.IFNA(_xlfn.XLOOKUP(1,([1]!hcahps[Facility ID] = clean[[#This Row],[Facility ID]]) * ([1]!hcahps[HCAHPS Measure ID] = "H_HSP_RATING_LINEAR_SCORE"), [1]!hcahps[HCAHPS Linear Mean Value]), "No Match")</f>
        <v>Not Available</v>
      </c>
      <c r="F2111" t="str" cm="1">
        <f t="array" ref="F2111">_xlfn.IFNA(_xlfn.XLOOKUP(1,([1]!readmissions[Facility ID] = clean[[#This Row],[Facility ID]]) * ([1]!readmissions[Measure ID] = "Hybrid_HWR"), [1]!readmissions[Score]), "No Match")</f>
        <v>Not Available</v>
      </c>
    </row>
    <row r="2112" spans="1:6" x14ac:dyDescent="0.2">
      <c r="A2112">
        <f>[1]!hospitalinfo[[#This Row],[Facility ID]]</f>
        <v>191322</v>
      </c>
      <c r="B2112" t="str">
        <f>[1]!hospitalinfo[[#This Row],[State]]</f>
        <v>LA</v>
      </c>
      <c r="C2112" t="str">
        <f>[1]!hospitalinfo[[#This Row],[Hospital Type]]</f>
        <v>Critical Access Hospitals</v>
      </c>
      <c r="D2112" t="str">
        <f>[1]!hospitalinfo[[#This Row],[Hospital Ownership]]</f>
        <v>Voluntary non-profit - Private</v>
      </c>
      <c r="E2112" t="str" cm="1">
        <f t="array" ref="E2112">_xlfn.IFNA(_xlfn.XLOOKUP(1,([1]!hcahps[Facility ID] = clean[[#This Row],[Facility ID]]) * ([1]!hcahps[HCAHPS Measure ID] = "H_HSP_RATING_LINEAR_SCORE"), [1]!hcahps[HCAHPS Linear Mean Value]), "No Match")</f>
        <v>Not Available</v>
      </c>
      <c r="F2112" cm="1">
        <f t="array" ref="F2112">_xlfn.IFNA(_xlfn.XLOOKUP(1,([1]!readmissions[Facility ID] = clean[[#This Row],[Facility ID]]) * ([1]!readmissions[Measure ID] = "Hybrid_HWR"), [1]!readmissions[Score]), "No Match")</f>
        <v>14.9</v>
      </c>
    </row>
    <row r="2113" spans="1:6" x14ac:dyDescent="0.2">
      <c r="A2113">
        <f>[1]!hospitalinfo[[#This Row],[Facility ID]]</f>
        <v>191323</v>
      </c>
      <c r="B2113" t="str">
        <f>[1]!hospitalinfo[[#This Row],[State]]</f>
        <v>LA</v>
      </c>
      <c r="C2113" t="str">
        <f>[1]!hospitalinfo[[#This Row],[Hospital Type]]</f>
        <v>Critical Access Hospitals</v>
      </c>
      <c r="D2113" t="str">
        <f>[1]!hospitalinfo[[#This Row],[Hospital Ownership]]</f>
        <v>Government - Hospital District or Authority</v>
      </c>
      <c r="E2113" t="str" cm="1">
        <f t="array" ref="E2113">_xlfn.IFNA(_xlfn.XLOOKUP(1,([1]!hcahps[Facility ID] = clean[[#This Row],[Facility ID]]) * ([1]!hcahps[HCAHPS Measure ID] = "H_HSP_RATING_LINEAR_SCORE"), [1]!hcahps[HCAHPS Linear Mean Value]), "No Match")</f>
        <v>Not Available</v>
      </c>
      <c r="F2113" cm="1">
        <f t="array" ref="F2113">_xlfn.IFNA(_xlfn.XLOOKUP(1,([1]!readmissions[Facility ID] = clean[[#This Row],[Facility ID]]) * ([1]!readmissions[Measure ID] = "Hybrid_HWR"), [1]!readmissions[Score]), "No Match")</f>
        <v>15.3</v>
      </c>
    </row>
    <row r="2114" spans="1:6" x14ac:dyDescent="0.2">
      <c r="A2114">
        <f>[1]!hospitalinfo[[#This Row],[Facility ID]]</f>
        <v>191324</v>
      </c>
      <c r="B2114" t="str">
        <f>[1]!hospitalinfo[[#This Row],[State]]</f>
        <v>LA</v>
      </c>
      <c r="C2114" t="str">
        <f>[1]!hospitalinfo[[#This Row],[Hospital Type]]</f>
        <v>Critical Access Hospitals</v>
      </c>
      <c r="D2114" t="str">
        <f>[1]!hospitalinfo[[#This Row],[Hospital Ownership]]</f>
        <v>Voluntary non-profit - Other</v>
      </c>
      <c r="E2114" cm="1">
        <f t="array" ref="E2114">_xlfn.IFNA(_xlfn.XLOOKUP(1,([1]!hcahps[Facility ID] = clean[[#This Row],[Facility ID]]) * ([1]!hcahps[HCAHPS Measure ID] = "H_HSP_RATING_LINEAR_SCORE"), [1]!hcahps[HCAHPS Linear Mean Value]), "No Match")</f>
        <v>94</v>
      </c>
      <c r="F2114" cm="1">
        <f t="array" ref="F2114">_xlfn.IFNA(_xlfn.XLOOKUP(1,([1]!readmissions[Facility ID] = clean[[#This Row],[Facility ID]]) * ([1]!readmissions[Measure ID] = "Hybrid_HWR"), [1]!readmissions[Score]), "No Match")</f>
        <v>14.5</v>
      </c>
    </row>
    <row r="2115" spans="1:6" x14ac:dyDescent="0.2">
      <c r="A2115">
        <f>[1]!hospitalinfo[[#This Row],[Facility ID]]</f>
        <v>191325</v>
      </c>
      <c r="B2115" t="str">
        <f>[1]!hospitalinfo[[#This Row],[State]]</f>
        <v>LA</v>
      </c>
      <c r="C2115" t="str">
        <f>[1]!hospitalinfo[[#This Row],[Hospital Type]]</f>
        <v>Critical Access Hospitals</v>
      </c>
      <c r="D2115" t="str">
        <f>[1]!hospitalinfo[[#This Row],[Hospital Ownership]]</f>
        <v>Government - Hospital District or Authority</v>
      </c>
      <c r="E2115" t="str" cm="1">
        <f t="array" ref="E2115">_xlfn.IFNA(_xlfn.XLOOKUP(1,([1]!hcahps[Facility ID] = clean[[#This Row],[Facility ID]]) * ([1]!hcahps[HCAHPS Measure ID] = "H_HSP_RATING_LINEAR_SCORE"), [1]!hcahps[HCAHPS Linear Mean Value]), "No Match")</f>
        <v>Not Available</v>
      </c>
      <c r="F2115" t="str" cm="1">
        <f t="array" ref="F2115">_xlfn.IFNA(_xlfn.XLOOKUP(1,([1]!readmissions[Facility ID] = clean[[#This Row],[Facility ID]]) * ([1]!readmissions[Measure ID] = "Hybrid_HWR"), [1]!readmissions[Score]), "No Match")</f>
        <v>Not Available</v>
      </c>
    </row>
    <row r="2116" spans="1:6" x14ac:dyDescent="0.2">
      <c r="A2116">
        <f>[1]!hospitalinfo[[#This Row],[Facility ID]]</f>
        <v>191326</v>
      </c>
      <c r="B2116" t="str">
        <f>[1]!hospitalinfo[[#This Row],[State]]</f>
        <v>LA</v>
      </c>
      <c r="C2116" t="str">
        <f>[1]!hospitalinfo[[#This Row],[Hospital Type]]</f>
        <v>Critical Access Hospitals</v>
      </c>
      <c r="D2116" t="str">
        <f>[1]!hospitalinfo[[#This Row],[Hospital Ownership]]</f>
        <v>Government - Hospital District or Authority</v>
      </c>
      <c r="E2116" t="str" cm="1">
        <f t="array" ref="E2116">_xlfn.IFNA(_xlfn.XLOOKUP(1,([1]!hcahps[Facility ID] = clean[[#This Row],[Facility ID]]) * ([1]!hcahps[HCAHPS Measure ID] = "H_HSP_RATING_LINEAR_SCORE"), [1]!hcahps[HCAHPS Linear Mean Value]), "No Match")</f>
        <v>Not Available</v>
      </c>
      <c r="F2116" cm="1">
        <f t="array" ref="F2116">_xlfn.IFNA(_xlfn.XLOOKUP(1,([1]!readmissions[Facility ID] = clean[[#This Row],[Facility ID]]) * ([1]!readmissions[Measure ID] = "Hybrid_HWR"), [1]!readmissions[Score]), "No Match")</f>
        <v>14.9</v>
      </c>
    </row>
    <row r="2117" spans="1:6" x14ac:dyDescent="0.2">
      <c r="A2117">
        <f>[1]!hospitalinfo[[#This Row],[Facility ID]]</f>
        <v>191327</v>
      </c>
      <c r="B2117" t="str">
        <f>[1]!hospitalinfo[[#This Row],[State]]</f>
        <v>LA</v>
      </c>
      <c r="C2117" t="str">
        <f>[1]!hospitalinfo[[#This Row],[Hospital Type]]</f>
        <v>Critical Access Hospitals</v>
      </c>
      <c r="D2117" t="str">
        <f>[1]!hospitalinfo[[#This Row],[Hospital Ownership]]</f>
        <v>Proprietary</v>
      </c>
      <c r="E2117" t="str" cm="1">
        <f t="array" ref="E2117">_xlfn.IFNA(_xlfn.XLOOKUP(1,([1]!hcahps[Facility ID] = clean[[#This Row],[Facility ID]]) * ([1]!hcahps[HCAHPS Measure ID] = "H_HSP_RATING_LINEAR_SCORE"), [1]!hcahps[HCAHPS Linear Mean Value]), "No Match")</f>
        <v>Not Available</v>
      </c>
      <c r="F2117" cm="1">
        <f t="array" ref="F2117">_xlfn.IFNA(_xlfn.XLOOKUP(1,([1]!readmissions[Facility ID] = clean[[#This Row],[Facility ID]]) * ([1]!readmissions[Measure ID] = "Hybrid_HWR"), [1]!readmissions[Score]), "No Match")</f>
        <v>14.8</v>
      </c>
    </row>
    <row r="2118" spans="1:6" x14ac:dyDescent="0.2">
      <c r="A2118">
        <f>[1]!hospitalinfo[[#This Row],[Facility ID]]</f>
        <v>192008</v>
      </c>
      <c r="B2118" t="str">
        <f>[1]!hospitalinfo[[#This Row],[State]]</f>
        <v>LA</v>
      </c>
      <c r="C2118" t="str">
        <f>[1]!hospitalinfo[[#This Row],[Hospital Type]]</f>
        <v>Long-term</v>
      </c>
      <c r="D2118" t="str">
        <f>[1]!hospitalinfo[[#This Row],[Hospital Ownership]]</f>
        <v>Proprietary</v>
      </c>
      <c r="E2118" t="str" cm="1">
        <f t="array" ref="E2118">_xlfn.IFNA(_xlfn.XLOOKUP(1,([1]!hcahps[Facility ID] = clean[[#This Row],[Facility ID]]) * ([1]!hcahps[HCAHPS Measure ID] = "H_HSP_RATING_LINEAR_SCORE"), [1]!hcahps[HCAHPS Linear Mean Value]), "No Match")</f>
        <v>No Match</v>
      </c>
      <c r="F2118" t="str" cm="1">
        <f t="array" ref="F2118">_xlfn.IFNA(_xlfn.XLOOKUP(1,([1]!readmissions[Facility ID] = clean[[#This Row],[Facility ID]]) * ([1]!readmissions[Measure ID] = "Hybrid_HWR"), [1]!readmissions[Score]), "No Match")</f>
        <v>No Match</v>
      </c>
    </row>
    <row r="2119" spans="1:6" x14ac:dyDescent="0.2">
      <c r="A2119">
        <f>[1]!hospitalinfo[[#This Row],[Facility ID]]</f>
        <v>192010</v>
      </c>
      <c r="B2119" t="str">
        <f>[1]!hospitalinfo[[#This Row],[State]]</f>
        <v>LA</v>
      </c>
      <c r="C2119" t="str">
        <f>[1]!hospitalinfo[[#This Row],[Hospital Type]]</f>
        <v>Long-term</v>
      </c>
      <c r="D2119" t="str">
        <f>[1]!hospitalinfo[[#This Row],[Hospital Ownership]]</f>
        <v>Voluntary non-profit - Private</v>
      </c>
      <c r="E2119" t="str" cm="1">
        <f t="array" ref="E2119">_xlfn.IFNA(_xlfn.XLOOKUP(1,([1]!hcahps[Facility ID] = clean[[#This Row],[Facility ID]]) * ([1]!hcahps[HCAHPS Measure ID] = "H_HSP_RATING_LINEAR_SCORE"), [1]!hcahps[HCAHPS Linear Mean Value]), "No Match")</f>
        <v>No Match</v>
      </c>
      <c r="F2119" t="str" cm="1">
        <f t="array" ref="F2119">_xlfn.IFNA(_xlfn.XLOOKUP(1,([1]!readmissions[Facility ID] = clean[[#This Row],[Facility ID]]) * ([1]!readmissions[Measure ID] = "Hybrid_HWR"), [1]!readmissions[Score]), "No Match")</f>
        <v>No Match</v>
      </c>
    </row>
    <row r="2120" spans="1:6" x14ac:dyDescent="0.2">
      <c r="A2120">
        <f>[1]!hospitalinfo[[#This Row],[Facility ID]]</f>
        <v>193300</v>
      </c>
      <c r="B2120" t="str">
        <f>[1]!hospitalinfo[[#This Row],[State]]</f>
        <v>LA</v>
      </c>
      <c r="C2120" t="str">
        <f>[1]!hospitalinfo[[#This Row],[Hospital Type]]</f>
        <v>Childrens</v>
      </c>
      <c r="D2120" t="str">
        <f>[1]!hospitalinfo[[#This Row],[Hospital Ownership]]</f>
        <v>Voluntary non-profit - Private</v>
      </c>
      <c r="E2120" t="str" cm="1">
        <f t="array" ref="E2120">_xlfn.IFNA(_xlfn.XLOOKUP(1,([1]!hcahps[Facility ID] = clean[[#This Row],[Facility ID]]) * ([1]!hcahps[HCAHPS Measure ID] = "H_HSP_RATING_LINEAR_SCORE"), [1]!hcahps[HCAHPS Linear Mean Value]), "No Match")</f>
        <v>Not Available</v>
      </c>
      <c r="F2120" t="str" cm="1">
        <f t="array" ref="F2120">_xlfn.IFNA(_xlfn.XLOOKUP(1,([1]!readmissions[Facility ID] = clean[[#This Row],[Facility ID]]) * ([1]!readmissions[Measure ID] = "Hybrid_HWR"), [1]!readmissions[Score]), "No Match")</f>
        <v>Not Available</v>
      </c>
    </row>
    <row r="2121" spans="1:6" x14ac:dyDescent="0.2">
      <c r="A2121">
        <f>[1]!hospitalinfo[[#This Row],[Facility ID]]</f>
        <v>194007</v>
      </c>
      <c r="B2121" t="str">
        <f>[1]!hospitalinfo[[#This Row],[State]]</f>
        <v>LA</v>
      </c>
      <c r="C2121" t="str">
        <f>[1]!hospitalinfo[[#This Row],[Hospital Type]]</f>
        <v>Psychiatric</v>
      </c>
      <c r="D2121" t="str">
        <f>[1]!hospitalinfo[[#This Row],[Hospital Ownership]]</f>
        <v>Voluntary non-profit - Private</v>
      </c>
      <c r="E2121" t="str" cm="1">
        <f t="array" ref="E2121">_xlfn.IFNA(_xlfn.XLOOKUP(1,([1]!hcahps[Facility ID] = clean[[#This Row],[Facility ID]]) * ([1]!hcahps[HCAHPS Measure ID] = "H_HSP_RATING_LINEAR_SCORE"), [1]!hcahps[HCAHPS Linear Mean Value]), "No Match")</f>
        <v>No Match</v>
      </c>
      <c r="F2121" t="str" cm="1">
        <f t="array" ref="F2121">_xlfn.IFNA(_xlfn.XLOOKUP(1,([1]!readmissions[Facility ID] = clean[[#This Row],[Facility ID]]) * ([1]!readmissions[Measure ID] = "Hybrid_HWR"), [1]!readmissions[Score]), "No Match")</f>
        <v>No Match</v>
      </c>
    </row>
    <row r="2122" spans="1:6" x14ac:dyDescent="0.2">
      <c r="A2122">
        <f>[1]!hospitalinfo[[#This Row],[Facility ID]]</f>
        <v>194008</v>
      </c>
      <c r="B2122" t="str">
        <f>[1]!hospitalinfo[[#This Row],[State]]</f>
        <v>LA</v>
      </c>
      <c r="C2122" t="str">
        <f>[1]!hospitalinfo[[#This Row],[Hospital Type]]</f>
        <v>Psychiatric</v>
      </c>
      <c r="D2122" t="str">
        <f>[1]!hospitalinfo[[#This Row],[Hospital Ownership]]</f>
        <v>Government - State</v>
      </c>
      <c r="E2122" t="str" cm="1">
        <f t="array" ref="E2122">_xlfn.IFNA(_xlfn.XLOOKUP(1,([1]!hcahps[Facility ID] = clean[[#This Row],[Facility ID]]) * ([1]!hcahps[HCAHPS Measure ID] = "H_HSP_RATING_LINEAR_SCORE"), [1]!hcahps[HCAHPS Linear Mean Value]), "No Match")</f>
        <v>No Match</v>
      </c>
      <c r="F2122" t="str" cm="1">
        <f t="array" ref="F2122">_xlfn.IFNA(_xlfn.XLOOKUP(1,([1]!readmissions[Facility ID] = clean[[#This Row],[Facility ID]]) * ([1]!readmissions[Measure ID] = "Hybrid_HWR"), [1]!readmissions[Score]), "No Match")</f>
        <v>No Match</v>
      </c>
    </row>
    <row r="2123" spans="1:6" x14ac:dyDescent="0.2">
      <c r="A2123">
        <f>[1]!hospitalinfo[[#This Row],[Facility ID]]</f>
        <v>194020</v>
      </c>
      <c r="B2123" t="str">
        <f>[1]!hospitalinfo[[#This Row],[State]]</f>
        <v>LA</v>
      </c>
      <c r="C2123" t="str">
        <f>[1]!hospitalinfo[[#This Row],[Hospital Type]]</f>
        <v>Psychiatric</v>
      </c>
      <c r="D2123" t="str">
        <f>[1]!hospitalinfo[[#This Row],[Hospital Ownership]]</f>
        <v>Proprietary</v>
      </c>
      <c r="E2123" t="str" cm="1">
        <f t="array" ref="E2123">_xlfn.IFNA(_xlfn.XLOOKUP(1,([1]!hcahps[Facility ID] = clean[[#This Row],[Facility ID]]) * ([1]!hcahps[HCAHPS Measure ID] = "H_HSP_RATING_LINEAR_SCORE"), [1]!hcahps[HCAHPS Linear Mean Value]), "No Match")</f>
        <v>No Match</v>
      </c>
      <c r="F2123" t="str" cm="1">
        <f t="array" ref="F2123">_xlfn.IFNA(_xlfn.XLOOKUP(1,([1]!readmissions[Facility ID] = clean[[#This Row],[Facility ID]]) * ([1]!readmissions[Measure ID] = "Hybrid_HWR"), [1]!readmissions[Score]), "No Match")</f>
        <v>No Match</v>
      </c>
    </row>
    <row r="2124" spans="1:6" x14ac:dyDescent="0.2">
      <c r="A2124">
        <f>[1]!hospitalinfo[[#This Row],[Facility ID]]</f>
        <v>194022</v>
      </c>
      <c r="B2124" t="str">
        <f>[1]!hospitalinfo[[#This Row],[State]]</f>
        <v>LA</v>
      </c>
      <c r="C2124" t="str">
        <f>[1]!hospitalinfo[[#This Row],[Hospital Type]]</f>
        <v>Psychiatric</v>
      </c>
      <c r="D2124" t="str">
        <f>[1]!hospitalinfo[[#This Row],[Hospital Ownership]]</f>
        <v>Proprietary</v>
      </c>
      <c r="E2124" t="str" cm="1">
        <f t="array" ref="E2124">_xlfn.IFNA(_xlfn.XLOOKUP(1,([1]!hcahps[Facility ID] = clean[[#This Row],[Facility ID]]) * ([1]!hcahps[HCAHPS Measure ID] = "H_HSP_RATING_LINEAR_SCORE"), [1]!hcahps[HCAHPS Linear Mean Value]), "No Match")</f>
        <v>No Match</v>
      </c>
      <c r="F2124" t="str" cm="1">
        <f t="array" ref="F2124">_xlfn.IFNA(_xlfn.XLOOKUP(1,([1]!readmissions[Facility ID] = clean[[#This Row],[Facility ID]]) * ([1]!readmissions[Measure ID] = "Hybrid_HWR"), [1]!readmissions[Score]), "No Match")</f>
        <v>No Match</v>
      </c>
    </row>
    <row r="2125" spans="1:6" x14ac:dyDescent="0.2">
      <c r="A2125">
        <f>[1]!hospitalinfo[[#This Row],[Facility ID]]</f>
        <v>194025</v>
      </c>
      <c r="B2125" t="str">
        <f>[1]!hospitalinfo[[#This Row],[State]]</f>
        <v>LA</v>
      </c>
      <c r="C2125" t="str">
        <f>[1]!hospitalinfo[[#This Row],[Hospital Type]]</f>
        <v>Psychiatric</v>
      </c>
      <c r="D2125" t="str">
        <f>[1]!hospitalinfo[[#This Row],[Hospital Ownership]]</f>
        <v>Government - State</v>
      </c>
      <c r="E2125" t="str" cm="1">
        <f t="array" ref="E2125">_xlfn.IFNA(_xlfn.XLOOKUP(1,([1]!hcahps[Facility ID] = clean[[#This Row],[Facility ID]]) * ([1]!hcahps[HCAHPS Measure ID] = "H_HSP_RATING_LINEAR_SCORE"), [1]!hcahps[HCAHPS Linear Mean Value]), "No Match")</f>
        <v>No Match</v>
      </c>
      <c r="F2125" t="str" cm="1">
        <f t="array" ref="F2125">_xlfn.IFNA(_xlfn.XLOOKUP(1,([1]!readmissions[Facility ID] = clean[[#This Row],[Facility ID]]) * ([1]!readmissions[Measure ID] = "Hybrid_HWR"), [1]!readmissions[Score]), "No Match")</f>
        <v>No Match</v>
      </c>
    </row>
    <row r="2126" spans="1:6" x14ac:dyDescent="0.2">
      <c r="A2126">
        <f>[1]!hospitalinfo[[#This Row],[Facility ID]]</f>
        <v>194031</v>
      </c>
      <c r="B2126" t="str">
        <f>[1]!hospitalinfo[[#This Row],[State]]</f>
        <v>LA</v>
      </c>
      <c r="C2126" t="str">
        <f>[1]!hospitalinfo[[#This Row],[Hospital Type]]</f>
        <v>Psychiatric</v>
      </c>
      <c r="D2126" t="str">
        <f>[1]!hospitalinfo[[#This Row],[Hospital Ownership]]</f>
        <v>Proprietary</v>
      </c>
      <c r="E2126" t="str" cm="1">
        <f t="array" ref="E2126">_xlfn.IFNA(_xlfn.XLOOKUP(1,([1]!hcahps[Facility ID] = clean[[#This Row],[Facility ID]]) * ([1]!hcahps[HCAHPS Measure ID] = "H_HSP_RATING_LINEAR_SCORE"), [1]!hcahps[HCAHPS Linear Mean Value]), "No Match")</f>
        <v>No Match</v>
      </c>
      <c r="F2126" t="str" cm="1">
        <f t="array" ref="F2126">_xlfn.IFNA(_xlfn.XLOOKUP(1,([1]!readmissions[Facility ID] = clean[[#This Row],[Facility ID]]) * ([1]!readmissions[Measure ID] = "Hybrid_HWR"), [1]!readmissions[Score]), "No Match")</f>
        <v>No Match</v>
      </c>
    </row>
    <row r="2127" spans="1:6" x14ac:dyDescent="0.2">
      <c r="A2127">
        <f>[1]!hospitalinfo[[#This Row],[Facility ID]]</f>
        <v>194044</v>
      </c>
      <c r="B2127" t="str">
        <f>[1]!hospitalinfo[[#This Row],[State]]</f>
        <v>LA</v>
      </c>
      <c r="C2127" t="str">
        <f>[1]!hospitalinfo[[#This Row],[Hospital Type]]</f>
        <v>Psychiatric</v>
      </c>
      <c r="D2127" t="str">
        <f>[1]!hospitalinfo[[#This Row],[Hospital Ownership]]</f>
        <v>Proprietary</v>
      </c>
      <c r="E2127" t="str" cm="1">
        <f t="array" ref="E2127">_xlfn.IFNA(_xlfn.XLOOKUP(1,([1]!hcahps[Facility ID] = clean[[#This Row],[Facility ID]]) * ([1]!hcahps[HCAHPS Measure ID] = "H_HSP_RATING_LINEAR_SCORE"), [1]!hcahps[HCAHPS Linear Mean Value]), "No Match")</f>
        <v>No Match</v>
      </c>
      <c r="F2127" t="str" cm="1">
        <f t="array" ref="F2127">_xlfn.IFNA(_xlfn.XLOOKUP(1,([1]!readmissions[Facility ID] = clean[[#This Row],[Facility ID]]) * ([1]!readmissions[Measure ID] = "Hybrid_HWR"), [1]!readmissions[Score]), "No Match")</f>
        <v>No Match</v>
      </c>
    </row>
    <row r="2128" spans="1:6" x14ac:dyDescent="0.2">
      <c r="A2128">
        <f>[1]!hospitalinfo[[#This Row],[Facility ID]]</f>
        <v>194056</v>
      </c>
      <c r="B2128" t="str">
        <f>[1]!hospitalinfo[[#This Row],[State]]</f>
        <v>LA</v>
      </c>
      <c r="C2128" t="str">
        <f>[1]!hospitalinfo[[#This Row],[Hospital Type]]</f>
        <v>Psychiatric</v>
      </c>
      <c r="D2128" t="str">
        <f>[1]!hospitalinfo[[#This Row],[Hospital Ownership]]</f>
        <v>Proprietary</v>
      </c>
      <c r="E2128" t="str" cm="1">
        <f t="array" ref="E2128">_xlfn.IFNA(_xlfn.XLOOKUP(1,([1]!hcahps[Facility ID] = clean[[#This Row],[Facility ID]]) * ([1]!hcahps[HCAHPS Measure ID] = "H_HSP_RATING_LINEAR_SCORE"), [1]!hcahps[HCAHPS Linear Mean Value]), "No Match")</f>
        <v>No Match</v>
      </c>
      <c r="F2128" t="str" cm="1">
        <f t="array" ref="F2128">_xlfn.IFNA(_xlfn.XLOOKUP(1,([1]!readmissions[Facility ID] = clean[[#This Row],[Facility ID]]) * ([1]!readmissions[Measure ID] = "Hybrid_HWR"), [1]!readmissions[Score]), "No Match")</f>
        <v>No Match</v>
      </c>
    </row>
    <row r="2129" spans="1:6" x14ac:dyDescent="0.2">
      <c r="A2129">
        <f>[1]!hospitalinfo[[#This Row],[Facility ID]]</f>
        <v>194069</v>
      </c>
      <c r="B2129" t="str">
        <f>[1]!hospitalinfo[[#This Row],[State]]</f>
        <v>LA</v>
      </c>
      <c r="C2129" t="str">
        <f>[1]!hospitalinfo[[#This Row],[Hospital Type]]</f>
        <v>Psychiatric</v>
      </c>
      <c r="D2129" t="str">
        <f>[1]!hospitalinfo[[#This Row],[Hospital Ownership]]</f>
        <v>Proprietary</v>
      </c>
      <c r="E2129" t="str" cm="1">
        <f t="array" ref="E2129">_xlfn.IFNA(_xlfn.XLOOKUP(1,([1]!hcahps[Facility ID] = clean[[#This Row],[Facility ID]]) * ([1]!hcahps[HCAHPS Measure ID] = "H_HSP_RATING_LINEAR_SCORE"), [1]!hcahps[HCAHPS Linear Mean Value]), "No Match")</f>
        <v>No Match</v>
      </c>
      <c r="F2129" t="str" cm="1">
        <f t="array" ref="F2129">_xlfn.IFNA(_xlfn.XLOOKUP(1,([1]!readmissions[Facility ID] = clean[[#This Row],[Facility ID]]) * ([1]!readmissions[Measure ID] = "Hybrid_HWR"), [1]!readmissions[Score]), "No Match")</f>
        <v>No Match</v>
      </c>
    </row>
    <row r="2130" spans="1:6" x14ac:dyDescent="0.2">
      <c r="A2130">
        <f>[1]!hospitalinfo[[#This Row],[Facility ID]]</f>
        <v>194073</v>
      </c>
      <c r="B2130" t="str">
        <f>[1]!hospitalinfo[[#This Row],[State]]</f>
        <v>LA</v>
      </c>
      <c r="C2130" t="str">
        <f>[1]!hospitalinfo[[#This Row],[Hospital Type]]</f>
        <v>Psychiatric</v>
      </c>
      <c r="D2130" t="str">
        <f>[1]!hospitalinfo[[#This Row],[Hospital Ownership]]</f>
        <v>Proprietary</v>
      </c>
      <c r="E2130" t="str" cm="1">
        <f t="array" ref="E2130">_xlfn.IFNA(_xlfn.XLOOKUP(1,([1]!hcahps[Facility ID] = clean[[#This Row],[Facility ID]]) * ([1]!hcahps[HCAHPS Measure ID] = "H_HSP_RATING_LINEAR_SCORE"), [1]!hcahps[HCAHPS Linear Mean Value]), "No Match")</f>
        <v>No Match</v>
      </c>
      <c r="F2130" t="str" cm="1">
        <f t="array" ref="F2130">_xlfn.IFNA(_xlfn.XLOOKUP(1,([1]!readmissions[Facility ID] = clean[[#This Row],[Facility ID]]) * ([1]!readmissions[Measure ID] = "Hybrid_HWR"), [1]!readmissions[Score]), "No Match")</f>
        <v>No Match</v>
      </c>
    </row>
    <row r="2131" spans="1:6" x14ac:dyDescent="0.2">
      <c r="A2131">
        <f>[1]!hospitalinfo[[#This Row],[Facility ID]]</f>
        <v>194074</v>
      </c>
      <c r="B2131" t="str">
        <f>[1]!hospitalinfo[[#This Row],[State]]</f>
        <v>LA</v>
      </c>
      <c r="C2131" t="str">
        <f>[1]!hospitalinfo[[#This Row],[Hospital Type]]</f>
        <v>Psychiatric</v>
      </c>
      <c r="D2131" t="str">
        <f>[1]!hospitalinfo[[#This Row],[Hospital Ownership]]</f>
        <v>Proprietary</v>
      </c>
      <c r="E2131" t="str" cm="1">
        <f t="array" ref="E2131">_xlfn.IFNA(_xlfn.XLOOKUP(1,([1]!hcahps[Facility ID] = clean[[#This Row],[Facility ID]]) * ([1]!hcahps[HCAHPS Measure ID] = "H_HSP_RATING_LINEAR_SCORE"), [1]!hcahps[HCAHPS Linear Mean Value]), "No Match")</f>
        <v>No Match</v>
      </c>
      <c r="F2131" t="str" cm="1">
        <f t="array" ref="F2131">_xlfn.IFNA(_xlfn.XLOOKUP(1,([1]!readmissions[Facility ID] = clean[[#This Row],[Facility ID]]) * ([1]!readmissions[Measure ID] = "Hybrid_HWR"), [1]!readmissions[Score]), "No Match")</f>
        <v>No Match</v>
      </c>
    </row>
    <row r="2132" spans="1:6" x14ac:dyDescent="0.2">
      <c r="A2132">
        <f>[1]!hospitalinfo[[#This Row],[Facility ID]]</f>
        <v>194079</v>
      </c>
      <c r="B2132" t="str">
        <f>[1]!hospitalinfo[[#This Row],[State]]</f>
        <v>LA</v>
      </c>
      <c r="C2132" t="str">
        <f>[1]!hospitalinfo[[#This Row],[Hospital Type]]</f>
        <v>Psychiatric</v>
      </c>
      <c r="D2132" t="str">
        <f>[1]!hospitalinfo[[#This Row],[Hospital Ownership]]</f>
        <v>Proprietary</v>
      </c>
      <c r="E2132" t="str" cm="1">
        <f t="array" ref="E2132">_xlfn.IFNA(_xlfn.XLOOKUP(1,([1]!hcahps[Facility ID] = clean[[#This Row],[Facility ID]]) * ([1]!hcahps[HCAHPS Measure ID] = "H_HSP_RATING_LINEAR_SCORE"), [1]!hcahps[HCAHPS Linear Mean Value]), "No Match")</f>
        <v>No Match</v>
      </c>
      <c r="F2132" t="str" cm="1">
        <f t="array" ref="F2132">_xlfn.IFNA(_xlfn.XLOOKUP(1,([1]!readmissions[Facility ID] = clean[[#This Row],[Facility ID]]) * ([1]!readmissions[Measure ID] = "Hybrid_HWR"), [1]!readmissions[Score]), "No Match")</f>
        <v>No Match</v>
      </c>
    </row>
    <row r="2133" spans="1:6" x14ac:dyDescent="0.2">
      <c r="A2133">
        <f>[1]!hospitalinfo[[#This Row],[Facility ID]]</f>
        <v>194080</v>
      </c>
      <c r="B2133" t="str">
        <f>[1]!hospitalinfo[[#This Row],[State]]</f>
        <v>LA</v>
      </c>
      <c r="C2133" t="str">
        <f>[1]!hospitalinfo[[#This Row],[Hospital Type]]</f>
        <v>Psychiatric</v>
      </c>
      <c r="D2133" t="str">
        <f>[1]!hospitalinfo[[#This Row],[Hospital Ownership]]</f>
        <v>Proprietary</v>
      </c>
      <c r="E2133" t="str" cm="1">
        <f t="array" ref="E2133">_xlfn.IFNA(_xlfn.XLOOKUP(1,([1]!hcahps[Facility ID] = clean[[#This Row],[Facility ID]]) * ([1]!hcahps[HCAHPS Measure ID] = "H_HSP_RATING_LINEAR_SCORE"), [1]!hcahps[HCAHPS Linear Mean Value]), "No Match")</f>
        <v>No Match</v>
      </c>
      <c r="F2133" t="str" cm="1">
        <f t="array" ref="F2133">_xlfn.IFNA(_xlfn.XLOOKUP(1,([1]!readmissions[Facility ID] = clean[[#This Row],[Facility ID]]) * ([1]!readmissions[Measure ID] = "Hybrid_HWR"), [1]!readmissions[Score]), "No Match")</f>
        <v>No Match</v>
      </c>
    </row>
    <row r="2134" spans="1:6" x14ac:dyDescent="0.2">
      <c r="A2134">
        <f>[1]!hospitalinfo[[#This Row],[Facility ID]]</f>
        <v>194081</v>
      </c>
      <c r="B2134" t="str">
        <f>[1]!hospitalinfo[[#This Row],[State]]</f>
        <v>LA</v>
      </c>
      <c r="C2134" t="str">
        <f>[1]!hospitalinfo[[#This Row],[Hospital Type]]</f>
        <v>Psychiatric</v>
      </c>
      <c r="D2134" t="str">
        <f>[1]!hospitalinfo[[#This Row],[Hospital Ownership]]</f>
        <v>Proprietary</v>
      </c>
      <c r="E2134" t="str" cm="1">
        <f t="array" ref="E2134">_xlfn.IFNA(_xlfn.XLOOKUP(1,([1]!hcahps[Facility ID] = clean[[#This Row],[Facility ID]]) * ([1]!hcahps[HCAHPS Measure ID] = "H_HSP_RATING_LINEAR_SCORE"), [1]!hcahps[HCAHPS Linear Mean Value]), "No Match")</f>
        <v>No Match</v>
      </c>
      <c r="F2134" t="str" cm="1">
        <f t="array" ref="F2134">_xlfn.IFNA(_xlfn.XLOOKUP(1,([1]!readmissions[Facility ID] = clean[[#This Row],[Facility ID]]) * ([1]!readmissions[Measure ID] = "Hybrid_HWR"), [1]!readmissions[Score]), "No Match")</f>
        <v>No Match</v>
      </c>
    </row>
    <row r="2135" spans="1:6" x14ac:dyDescent="0.2">
      <c r="A2135">
        <f>[1]!hospitalinfo[[#This Row],[Facility ID]]</f>
        <v>194082</v>
      </c>
      <c r="B2135" t="str">
        <f>[1]!hospitalinfo[[#This Row],[State]]</f>
        <v>LA</v>
      </c>
      <c r="C2135" t="str">
        <f>[1]!hospitalinfo[[#This Row],[Hospital Type]]</f>
        <v>Psychiatric</v>
      </c>
      <c r="D2135" t="str">
        <f>[1]!hospitalinfo[[#This Row],[Hospital Ownership]]</f>
        <v>Proprietary</v>
      </c>
      <c r="E2135" t="str" cm="1">
        <f t="array" ref="E2135">_xlfn.IFNA(_xlfn.XLOOKUP(1,([1]!hcahps[Facility ID] = clean[[#This Row],[Facility ID]]) * ([1]!hcahps[HCAHPS Measure ID] = "H_HSP_RATING_LINEAR_SCORE"), [1]!hcahps[HCAHPS Linear Mean Value]), "No Match")</f>
        <v>No Match</v>
      </c>
      <c r="F2135" t="str" cm="1">
        <f t="array" ref="F2135">_xlfn.IFNA(_xlfn.XLOOKUP(1,([1]!readmissions[Facility ID] = clean[[#This Row],[Facility ID]]) * ([1]!readmissions[Measure ID] = "Hybrid_HWR"), [1]!readmissions[Score]), "No Match")</f>
        <v>No Match</v>
      </c>
    </row>
    <row r="2136" spans="1:6" x14ac:dyDescent="0.2">
      <c r="A2136">
        <f>[1]!hospitalinfo[[#This Row],[Facility ID]]</f>
        <v>194083</v>
      </c>
      <c r="B2136" t="str">
        <f>[1]!hospitalinfo[[#This Row],[State]]</f>
        <v>LA</v>
      </c>
      <c r="C2136" t="str">
        <f>[1]!hospitalinfo[[#This Row],[Hospital Type]]</f>
        <v>Psychiatric</v>
      </c>
      <c r="D2136" t="str">
        <f>[1]!hospitalinfo[[#This Row],[Hospital Ownership]]</f>
        <v>Proprietary</v>
      </c>
      <c r="E2136" t="str" cm="1">
        <f t="array" ref="E2136">_xlfn.IFNA(_xlfn.XLOOKUP(1,([1]!hcahps[Facility ID] = clean[[#This Row],[Facility ID]]) * ([1]!hcahps[HCAHPS Measure ID] = "H_HSP_RATING_LINEAR_SCORE"), [1]!hcahps[HCAHPS Linear Mean Value]), "No Match")</f>
        <v>No Match</v>
      </c>
      <c r="F2136" t="str" cm="1">
        <f t="array" ref="F2136">_xlfn.IFNA(_xlfn.XLOOKUP(1,([1]!readmissions[Facility ID] = clean[[#This Row],[Facility ID]]) * ([1]!readmissions[Measure ID] = "Hybrid_HWR"), [1]!readmissions[Score]), "No Match")</f>
        <v>No Match</v>
      </c>
    </row>
    <row r="2137" spans="1:6" x14ac:dyDescent="0.2">
      <c r="A2137">
        <f>[1]!hospitalinfo[[#This Row],[Facility ID]]</f>
        <v>194084</v>
      </c>
      <c r="B2137" t="str">
        <f>[1]!hospitalinfo[[#This Row],[State]]</f>
        <v>LA</v>
      </c>
      <c r="C2137" t="str">
        <f>[1]!hospitalinfo[[#This Row],[Hospital Type]]</f>
        <v>Psychiatric</v>
      </c>
      <c r="D2137" t="str">
        <f>[1]!hospitalinfo[[#This Row],[Hospital Ownership]]</f>
        <v>Proprietary</v>
      </c>
      <c r="E2137" t="str" cm="1">
        <f t="array" ref="E2137">_xlfn.IFNA(_xlfn.XLOOKUP(1,([1]!hcahps[Facility ID] = clean[[#This Row],[Facility ID]]) * ([1]!hcahps[HCAHPS Measure ID] = "H_HSP_RATING_LINEAR_SCORE"), [1]!hcahps[HCAHPS Linear Mean Value]), "No Match")</f>
        <v>No Match</v>
      </c>
      <c r="F2137" t="str" cm="1">
        <f t="array" ref="F2137">_xlfn.IFNA(_xlfn.XLOOKUP(1,([1]!readmissions[Facility ID] = clean[[#This Row],[Facility ID]]) * ([1]!readmissions[Measure ID] = "Hybrid_HWR"), [1]!readmissions[Score]), "No Match")</f>
        <v>No Match</v>
      </c>
    </row>
    <row r="2138" spans="1:6" x14ac:dyDescent="0.2">
      <c r="A2138">
        <f>[1]!hospitalinfo[[#This Row],[Facility ID]]</f>
        <v>194085</v>
      </c>
      <c r="B2138" t="str">
        <f>[1]!hospitalinfo[[#This Row],[State]]</f>
        <v>LA</v>
      </c>
      <c r="C2138" t="str">
        <f>[1]!hospitalinfo[[#This Row],[Hospital Type]]</f>
        <v>Psychiatric</v>
      </c>
      <c r="D2138" t="str">
        <f>[1]!hospitalinfo[[#This Row],[Hospital Ownership]]</f>
        <v>Proprietary</v>
      </c>
      <c r="E2138" t="str" cm="1">
        <f t="array" ref="E2138">_xlfn.IFNA(_xlfn.XLOOKUP(1,([1]!hcahps[Facility ID] = clean[[#This Row],[Facility ID]]) * ([1]!hcahps[HCAHPS Measure ID] = "H_HSP_RATING_LINEAR_SCORE"), [1]!hcahps[HCAHPS Linear Mean Value]), "No Match")</f>
        <v>No Match</v>
      </c>
      <c r="F2138" t="str" cm="1">
        <f t="array" ref="F2138">_xlfn.IFNA(_xlfn.XLOOKUP(1,([1]!readmissions[Facility ID] = clean[[#This Row],[Facility ID]]) * ([1]!readmissions[Measure ID] = "Hybrid_HWR"), [1]!readmissions[Score]), "No Match")</f>
        <v>No Match</v>
      </c>
    </row>
    <row r="2139" spans="1:6" x14ac:dyDescent="0.2">
      <c r="A2139">
        <f>[1]!hospitalinfo[[#This Row],[Facility ID]]</f>
        <v>194086</v>
      </c>
      <c r="B2139" t="str">
        <f>[1]!hospitalinfo[[#This Row],[State]]</f>
        <v>LA</v>
      </c>
      <c r="C2139" t="str">
        <f>[1]!hospitalinfo[[#This Row],[Hospital Type]]</f>
        <v>Psychiatric</v>
      </c>
      <c r="D2139" t="str">
        <f>[1]!hospitalinfo[[#This Row],[Hospital Ownership]]</f>
        <v>Proprietary</v>
      </c>
      <c r="E2139" t="str" cm="1">
        <f t="array" ref="E2139">_xlfn.IFNA(_xlfn.XLOOKUP(1,([1]!hcahps[Facility ID] = clean[[#This Row],[Facility ID]]) * ([1]!hcahps[HCAHPS Measure ID] = "H_HSP_RATING_LINEAR_SCORE"), [1]!hcahps[HCAHPS Linear Mean Value]), "No Match")</f>
        <v>No Match</v>
      </c>
      <c r="F2139" t="str" cm="1">
        <f t="array" ref="F2139">_xlfn.IFNA(_xlfn.XLOOKUP(1,([1]!readmissions[Facility ID] = clean[[#This Row],[Facility ID]]) * ([1]!readmissions[Measure ID] = "Hybrid_HWR"), [1]!readmissions[Score]), "No Match")</f>
        <v>No Match</v>
      </c>
    </row>
    <row r="2140" spans="1:6" x14ac:dyDescent="0.2">
      <c r="A2140">
        <f>[1]!hospitalinfo[[#This Row],[Facility ID]]</f>
        <v>194087</v>
      </c>
      <c r="B2140" t="str">
        <f>[1]!hospitalinfo[[#This Row],[State]]</f>
        <v>LA</v>
      </c>
      <c r="C2140" t="str">
        <f>[1]!hospitalinfo[[#This Row],[Hospital Type]]</f>
        <v>Psychiatric</v>
      </c>
      <c r="D2140" t="str">
        <f>[1]!hospitalinfo[[#This Row],[Hospital Ownership]]</f>
        <v>Proprietary</v>
      </c>
      <c r="E2140" t="str" cm="1">
        <f t="array" ref="E2140">_xlfn.IFNA(_xlfn.XLOOKUP(1,([1]!hcahps[Facility ID] = clean[[#This Row],[Facility ID]]) * ([1]!hcahps[HCAHPS Measure ID] = "H_HSP_RATING_LINEAR_SCORE"), [1]!hcahps[HCAHPS Linear Mean Value]), "No Match")</f>
        <v>No Match</v>
      </c>
      <c r="F2140" t="str" cm="1">
        <f t="array" ref="F2140">_xlfn.IFNA(_xlfn.XLOOKUP(1,([1]!readmissions[Facility ID] = clean[[#This Row],[Facility ID]]) * ([1]!readmissions[Measure ID] = "Hybrid_HWR"), [1]!readmissions[Score]), "No Match")</f>
        <v>No Match</v>
      </c>
    </row>
    <row r="2141" spans="1:6" x14ac:dyDescent="0.2">
      <c r="A2141">
        <f>[1]!hospitalinfo[[#This Row],[Facility ID]]</f>
        <v>194088</v>
      </c>
      <c r="B2141" t="str">
        <f>[1]!hospitalinfo[[#This Row],[State]]</f>
        <v>LA</v>
      </c>
      <c r="C2141" t="str">
        <f>[1]!hospitalinfo[[#This Row],[Hospital Type]]</f>
        <v>Psychiatric</v>
      </c>
      <c r="D2141" t="str">
        <f>[1]!hospitalinfo[[#This Row],[Hospital Ownership]]</f>
        <v>Physician</v>
      </c>
      <c r="E2141" t="str" cm="1">
        <f t="array" ref="E2141">_xlfn.IFNA(_xlfn.XLOOKUP(1,([1]!hcahps[Facility ID] = clean[[#This Row],[Facility ID]]) * ([1]!hcahps[HCAHPS Measure ID] = "H_HSP_RATING_LINEAR_SCORE"), [1]!hcahps[HCAHPS Linear Mean Value]), "No Match")</f>
        <v>No Match</v>
      </c>
      <c r="F2141" t="str" cm="1">
        <f t="array" ref="F2141">_xlfn.IFNA(_xlfn.XLOOKUP(1,([1]!readmissions[Facility ID] = clean[[#This Row],[Facility ID]]) * ([1]!readmissions[Measure ID] = "Hybrid_HWR"), [1]!readmissions[Score]), "No Match")</f>
        <v>No Match</v>
      </c>
    </row>
    <row r="2142" spans="1:6" x14ac:dyDescent="0.2">
      <c r="A2142">
        <f>[1]!hospitalinfo[[#This Row],[Facility ID]]</f>
        <v>194089</v>
      </c>
      <c r="B2142" t="str">
        <f>[1]!hospitalinfo[[#This Row],[State]]</f>
        <v>LA</v>
      </c>
      <c r="C2142" t="str">
        <f>[1]!hospitalinfo[[#This Row],[Hospital Type]]</f>
        <v>Psychiatric</v>
      </c>
      <c r="D2142" t="str">
        <f>[1]!hospitalinfo[[#This Row],[Hospital Ownership]]</f>
        <v>Proprietary</v>
      </c>
      <c r="E2142" t="str" cm="1">
        <f t="array" ref="E2142">_xlfn.IFNA(_xlfn.XLOOKUP(1,([1]!hcahps[Facility ID] = clean[[#This Row],[Facility ID]]) * ([1]!hcahps[HCAHPS Measure ID] = "H_HSP_RATING_LINEAR_SCORE"), [1]!hcahps[HCAHPS Linear Mean Value]), "No Match")</f>
        <v>No Match</v>
      </c>
      <c r="F2142" t="str" cm="1">
        <f t="array" ref="F2142">_xlfn.IFNA(_xlfn.XLOOKUP(1,([1]!readmissions[Facility ID] = clean[[#This Row],[Facility ID]]) * ([1]!readmissions[Measure ID] = "Hybrid_HWR"), [1]!readmissions[Score]), "No Match")</f>
        <v>No Match</v>
      </c>
    </row>
    <row r="2143" spans="1:6" x14ac:dyDescent="0.2">
      <c r="A2143">
        <f>[1]!hospitalinfo[[#This Row],[Facility ID]]</f>
        <v>194090</v>
      </c>
      <c r="B2143" t="str">
        <f>[1]!hospitalinfo[[#This Row],[State]]</f>
        <v>LA</v>
      </c>
      <c r="C2143" t="str">
        <f>[1]!hospitalinfo[[#This Row],[Hospital Type]]</f>
        <v>Psychiatric</v>
      </c>
      <c r="D2143" t="str">
        <f>[1]!hospitalinfo[[#This Row],[Hospital Ownership]]</f>
        <v>Proprietary</v>
      </c>
      <c r="E2143" t="str" cm="1">
        <f t="array" ref="E2143">_xlfn.IFNA(_xlfn.XLOOKUP(1,([1]!hcahps[Facility ID] = clean[[#This Row],[Facility ID]]) * ([1]!hcahps[HCAHPS Measure ID] = "H_HSP_RATING_LINEAR_SCORE"), [1]!hcahps[HCAHPS Linear Mean Value]), "No Match")</f>
        <v>No Match</v>
      </c>
      <c r="F2143" t="str" cm="1">
        <f t="array" ref="F2143">_xlfn.IFNA(_xlfn.XLOOKUP(1,([1]!readmissions[Facility ID] = clean[[#This Row],[Facility ID]]) * ([1]!readmissions[Measure ID] = "Hybrid_HWR"), [1]!readmissions[Score]), "No Match")</f>
        <v>No Match</v>
      </c>
    </row>
    <row r="2144" spans="1:6" x14ac:dyDescent="0.2">
      <c r="A2144">
        <f>[1]!hospitalinfo[[#This Row],[Facility ID]]</f>
        <v>194091</v>
      </c>
      <c r="B2144" t="str">
        <f>[1]!hospitalinfo[[#This Row],[State]]</f>
        <v>LA</v>
      </c>
      <c r="C2144" t="str">
        <f>[1]!hospitalinfo[[#This Row],[Hospital Type]]</f>
        <v>Psychiatric</v>
      </c>
      <c r="D2144" t="str">
        <f>[1]!hospitalinfo[[#This Row],[Hospital Ownership]]</f>
        <v>Proprietary</v>
      </c>
      <c r="E2144" t="str" cm="1">
        <f t="array" ref="E2144">_xlfn.IFNA(_xlfn.XLOOKUP(1,([1]!hcahps[Facility ID] = clean[[#This Row],[Facility ID]]) * ([1]!hcahps[HCAHPS Measure ID] = "H_HSP_RATING_LINEAR_SCORE"), [1]!hcahps[HCAHPS Linear Mean Value]), "No Match")</f>
        <v>No Match</v>
      </c>
      <c r="F2144" t="str" cm="1">
        <f t="array" ref="F2144">_xlfn.IFNA(_xlfn.XLOOKUP(1,([1]!readmissions[Facility ID] = clean[[#This Row],[Facility ID]]) * ([1]!readmissions[Measure ID] = "Hybrid_HWR"), [1]!readmissions[Score]), "No Match")</f>
        <v>No Match</v>
      </c>
    </row>
    <row r="2145" spans="1:6" x14ac:dyDescent="0.2">
      <c r="A2145">
        <f>[1]!hospitalinfo[[#This Row],[Facility ID]]</f>
        <v>194094</v>
      </c>
      <c r="B2145" t="str">
        <f>[1]!hospitalinfo[[#This Row],[State]]</f>
        <v>LA</v>
      </c>
      <c r="C2145" t="str">
        <f>[1]!hospitalinfo[[#This Row],[Hospital Type]]</f>
        <v>Psychiatric</v>
      </c>
      <c r="D2145" t="str">
        <f>[1]!hospitalinfo[[#This Row],[Hospital Ownership]]</f>
        <v>Proprietary</v>
      </c>
      <c r="E2145" t="str" cm="1">
        <f t="array" ref="E2145">_xlfn.IFNA(_xlfn.XLOOKUP(1,([1]!hcahps[Facility ID] = clean[[#This Row],[Facility ID]]) * ([1]!hcahps[HCAHPS Measure ID] = "H_HSP_RATING_LINEAR_SCORE"), [1]!hcahps[HCAHPS Linear Mean Value]), "No Match")</f>
        <v>No Match</v>
      </c>
      <c r="F2145" t="str" cm="1">
        <f t="array" ref="F2145">_xlfn.IFNA(_xlfn.XLOOKUP(1,([1]!readmissions[Facility ID] = clean[[#This Row],[Facility ID]]) * ([1]!readmissions[Measure ID] = "Hybrid_HWR"), [1]!readmissions[Score]), "No Match")</f>
        <v>No Match</v>
      </c>
    </row>
    <row r="2146" spans="1:6" x14ac:dyDescent="0.2">
      <c r="A2146">
        <f>[1]!hospitalinfo[[#This Row],[Facility ID]]</f>
        <v>194095</v>
      </c>
      <c r="B2146" t="str">
        <f>[1]!hospitalinfo[[#This Row],[State]]</f>
        <v>LA</v>
      </c>
      <c r="C2146" t="str">
        <f>[1]!hospitalinfo[[#This Row],[Hospital Type]]</f>
        <v>Psychiatric</v>
      </c>
      <c r="D2146" t="str">
        <f>[1]!hospitalinfo[[#This Row],[Hospital Ownership]]</f>
        <v>Proprietary</v>
      </c>
      <c r="E2146" t="str" cm="1">
        <f t="array" ref="E2146">_xlfn.IFNA(_xlfn.XLOOKUP(1,([1]!hcahps[Facility ID] = clean[[#This Row],[Facility ID]]) * ([1]!hcahps[HCAHPS Measure ID] = "H_HSP_RATING_LINEAR_SCORE"), [1]!hcahps[HCAHPS Linear Mean Value]), "No Match")</f>
        <v>No Match</v>
      </c>
      <c r="F2146" t="str" cm="1">
        <f t="array" ref="F2146">_xlfn.IFNA(_xlfn.XLOOKUP(1,([1]!readmissions[Facility ID] = clean[[#This Row],[Facility ID]]) * ([1]!readmissions[Measure ID] = "Hybrid_HWR"), [1]!readmissions[Score]), "No Match")</f>
        <v>No Match</v>
      </c>
    </row>
    <row r="2147" spans="1:6" x14ac:dyDescent="0.2">
      <c r="A2147">
        <f>[1]!hospitalinfo[[#This Row],[Facility ID]]</f>
        <v>194096</v>
      </c>
      <c r="B2147" t="str">
        <f>[1]!hospitalinfo[[#This Row],[State]]</f>
        <v>LA</v>
      </c>
      <c r="C2147" t="str">
        <f>[1]!hospitalinfo[[#This Row],[Hospital Type]]</f>
        <v>Psychiatric</v>
      </c>
      <c r="D2147" t="str">
        <f>[1]!hospitalinfo[[#This Row],[Hospital Ownership]]</f>
        <v>Proprietary</v>
      </c>
      <c r="E2147" t="str" cm="1">
        <f t="array" ref="E2147">_xlfn.IFNA(_xlfn.XLOOKUP(1,([1]!hcahps[Facility ID] = clean[[#This Row],[Facility ID]]) * ([1]!hcahps[HCAHPS Measure ID] = "H_HSP_RATING_LINEAR_SCORE"), [1]!hcahps[HCAHPS Linear Mean Value]), "No Match")</f>
        <v>No Match</v>
      </c>
      <c r="F2147" t="str" cm="1">
        <f t="array" ref="F2147">_xlfn.IFNA(_xlfn.XLOOKUP(1,([1]!readmissions[Facility ID] = clean[[#This Row],[Facility ID]]) * ([1]!readmissions[Measure ID] = "Hybrid_HWR"), [1]!readmissions[Score]), "No Match")</f>
        <v>No Match</v>
      </c>
    </row>
    <row r="2148" spans="1:6" x14ac:dyDescent="0.2">
      <c r="A2148">
        <f>[1]!hospitalinfo[[#This Row],[Facility ID]]</f>
        <v>194098</v>
      </c>
      <c r="B2148" t="str">
        <f>[1]!hospitalinfo[[#This Row],[State]]</f>
        <v>LA</v>
      </c>
      <c r="C2148" t="str">
        <f>[1]!hospitalinfo[[#This Row],[Hospital Type]]</f>
        <v>Psychiatric</v>
      </c>
      <c r="D2148" t="str">
        <f>[1]!hospitalinfo[[#This Row],[Hospital Ownership]]</f>
        <v>Proprietary</v>
      </c>
      <c r="E2148" t="str" cm="1">
        <f t="array" ref="E2148">_xlfn.IFNA(_xlfn.XLOOKUP(1,([1]!hcahps[Facility ID] = clean[[#This Row],[Facility ID]]) * ([1]!hcahps[HCAHPS Measure ID] = "H_HSP_RATING_LINEAR_SCORE"), [1]!hcahps[HCAHPS Linear Mean Value]), "No Match")</f>
        <v>No Match</v>
      </c>
      <c r="F2148" t="str" cm="1">
        <f t="array" ref="F2148">_xlfn.IFNA(_xlfn.XLOOKUP(1,([1]!readmissions[Facility ID] = clean[[#This Row],[Facility ID]]) * ([1]!readmissions[Measure ID] = "Hybrid_HWR"), [1]!readmissions[Score]), "No Match")</f>
        <v>No Match</v>
      </c>
    </row>
    <row r="2149" spans="1:6" x14ac:dyDescent="0.2">
      <c r="A2149">
        <f>[1]!hospitalinfo[[#This Row],[Facility ID]]</f>
        <v>194102</v>
      </c>
      <c r="B2149" t="str">
        <f>[1]!hospitalinfo[[#This Row],[State]]</f>
        <v>LA</v>
      </c>
      <c r="C2149" t="str">
        <f>[1]!hospitalinfo[[#This Row],[Hospital Type]]</f>
        <v>Psychiatric</v>
      </c>
      <c r="D2149" t="str">
        <f>[1]!hospitalinfo[[#This Row],[Hospital Ownership]]</f>
        <v>Proprietary</v>
      </c>
      <c r="E2149" t="str" cm="1">
        <f t="array" ref="E2149">_xlfn.IFNA(_xlfn.XLOOKUP(1,([1]!hcahps[Facility ID] = clean[[#This Row],[Facility ID]]) * ([1]!hcahps[HCAHPS Measure ID] = "H_HSP_RATING_LINEAR_SCORE"), [1]!hcahps[HCAHPS Linear Mean Value]), "No Match")</f>
        <v>No Match</v>
      </c>
      <c r="F2149" t="str" cm="1">
        <f t="array" ref="F2149">_xlfn.IFNA(_xlfn.XLOOKUP(1,([1]!readmissions[Facility ID] = clean[[#This Row],[Facility ID]]) * ([1]!readmissions[Measure ID] = "Hybrid_HWR"), [1]!readmissions[Score]), "No Match")</f>
        <v>No Match</v>
      </c>
    </row>
    <row r="2150" spans="1:6" x14ac:dyDescent="0.2">
      <c r="A2150">
        <f>[1]!hospitalinfo[[#This Row],[Facility ID]]</f>
        <v>194103</v>
      </c>
      <c r="B2150" t="str">
        <f>[1]!hospitalinfo[[#This Row],[State]]</f>
        <v>LA</v>
      </c>
      <c r="C2150" t="str">
        <f>[1]!hospitalinfo[[#This Row],[Hospital Type]]</f>
        <v>Psychiatric</v>
      </c>
      <c r="D2150" t="str">
        <f>[1]!hospitalinfo[[#This Row],[Hospital Ownership]]</f>
        <v>Government - Federal</v>
      </c>
      <c r="E2150" t="str" cm="1">
        <f t="array" ref="E2150">_xlfn.IFNA(_xlfn.XLOOKUP(1,([1]!hcahps[Facility ID] = clean[[#This Row],[Facility ID]]) * ([1]!hcahps[HCAHPS Measure ID] = "H_HSP_RATING_LINEAR_SCORE"), [1]!hcahps[HCAHPS Linear Mean Value]), "No Match")</f>
        <v>No Match</v>
      </c>
      <c r="F2150" t="str" cm="1">
        <f t="array" ref="F2150">_xlfn.IFNA(_xlfn.XLOOKUP(1,([1]!readmissions[Facility ID] = clean[[#This Row],[Facility ID]]) * ([1]!readmissions[Measure ID] = "Hybrid_HWR"), [1]!readmissions[Score]), "No Match")</f>
        <v>No Match</v>
      </c>
    </row>
    <row r="2151" spans="1:6" x14ac:dyDescent="0.2">
      <c r="A2151">
        <f>[1]!hospitalinfo[[#This Row],[Facility ID]]</f>
        <v>194105</v>
      </c>
      <c r="B2151" t="str">
        <f>[1]!hospitalinfo[[#This Row],[State]]</f>
        <v>LA</v>
      </c>
      <c r="C2151" t="str">
        <f>[1]!hospitalinfo[[#This Row],[Hospital Type]]</f>
        <v>Psychiatric</v>
      </c>
      <c r="D2151" t="str">
        <f>[1]!hospitalinfo[[#This Row],[Hospital Ownership]]</f>
        <v>Proprietary</v>
      </c>
      <c r="E2151" t="str" cm="1">
        <f t="array" ref="E2151">_xlfn.IFNA(_xlfn.XLOOKUP(1,([1]!hcahps[Facility ID] = clean[[#This Row],[Facility ID]]) * ([1]!hcahps[HCAHPS Measure ID] = "H_HSP_RATING_LINEAR_SCORE"), [1]!hcahps[HCAHPS Linear Mean Value]), "No Match")</f>
        <v>No Match</v>
      </c>
      <c r="F2151" t="str" cm="1">
        <f t="array" ref="F2151">_xlfn.IFNA(_xlfn.XLOOKUP(1,([1]!readmissions[Facility ID] = clean[[#This Row],[Facility ID]]) * ([1]!readmissions[Measure ID] = "Hybrid_HWR"), [1]!readmissions[Score]), "No Match")</f>
        <v>No Match</v>
      </c>
    </row>
    <row r="2152" spans="1:6" x14ac:dyDescent="0.2">
      <c r="A2152">
        <f>[1]!hospitalinfo[[#This Row],[Facility ID]]</f>
        <v>194106</v>
      </c>
      <c r="B2152" t="str">
        <f>[1]!hospitalinfo[[#This Row],[State]]</f>
        <v>LA</v>
      </c>
      <c r="C2152" t="str">
        <f>[1]!hospitalinfo[[#This Row],[Hospital Type]]</f>
        <v>Psychiatric</v>
      </c>
      <c r="D2152" t="str">
        <f>[1]!hospitalinfo[[#This Row],[Hospital Ownership]]</f>
        <v>Proprietary</v>
      </c>
      <c r="E2152" t="str" cm="1">
        <f t="array" ref="E2152">_xlfn.IFNA(_xlfn.XLOOKUP(1,([1]!hcahps[Facility ID] = clean[[#This Row],[Facility ID]]) * ([1]!hcahps[HCAHPS Measure ID] = "H_HSP_RATING_LINEAR_SCORE"), [1]!hcahps[HCAHPS Linear Mean Value]), "No Match")</f>
        <v>No Match</v>
      </c>
      <c r="F2152" t="str" cm="1">
        <f t="array" ref="F2152">_xlfn.IFNA(_xlfn.XLOOKUP(1,([1]!readmissions[Facility ID] = clean[[#This Row],[Facility ID]]) * ([1]!readmissions[Measure ID] = "Hybrid_HWR"), [1]!readmissions[Score]), "No Match")</f>
        <v>No Match</v>
      </c>
    </row>
    <row r="2153" spans="1:6" x14ac:dyDescent="0.2">
      <c r="A2153">
        <f>[1]!hospitalinfo[[#This Row],[Facility ID]]</f>
        <v>194107</v>
      </c>
      <c r="B2153" t="str">
        <f>[1]!hospitalinfo[[#This Row],[State]]</f>
        <v>LA</v>
      </c>
      <c r="C2153" t="str">
        <f>[1]!hospitalinfo[[#This Row],[Hospital Type]]</f>
        <v>Psychiatric</v>
      </c>
      <c r="D2153" t="str">
        <f>[1]!hospitalinfo[[#This Row],[Hospital Ownership]]</f>
        <v>Proprietary</v>
      </c>
      <c r="E2153" t="str" cm="1">
        <f t="array" ref="E2153">_xlfn.IFNA(_xlfn.XLOOKUP(1,([1]!hcahps[Facility ID] = clean[[#This Row],[Facility ID]]) * ([1]!hcahps[HCAHPS Measure ID] = "H_HSP_RATING_LINEAR_SCORE"), [1]!hcahps[HCAHPS Linear Mean Value]), "No Match")</f>
        <v>No Match</v>
      </c>
      <c r="F2153" t="str" cm="1">
        <f t="array" ref="F2153">_xlfn.IFNA(_xlfn.XLOOKUP(1,([1]!readmissions[Facility ID] = clean[[#This Row],[Facility ID]]) * ([1]!readmissions[Measure ID] = "Hybrid_HWR"), [1]!readmissions[Score]), "No Match")</f>
        <v>No Match</v>
      </c>
    </row>
    <row r="2154" spans="1:6" x14ac:dyDescent="0.2">
      <c r="A2154">
        <f>[1]!hospitalinfo[[#This Row],[Facility ID]]</f>
        <v>194109</v>
      </c>
      <c r="B2154" t="str">
        <f>[1]!hospitalinfo[[#This Row],[State]]</f>
        <v>LA</v>
      </c>
      <c r="C2154" t="str">
        <f>[1]!hospitalinfo[[#This Row],[Hospital Type]]</f>
        <v>Psychiatric</v>
      </c>
      <c r="D2154" t="str">
        <f>[1]!hospitalinfo[[#This Row],[Hospital Ownership]]</f>
        <v>Proprietary</v>
      </c>
      <c r="E2154" t="str" cm="1">
        <f t="array" ref="E2154">_xlfn.IFNA(_xlfn.XLOOKUP(1,([1]!hcahps[Facility ID] = clean[[#This Row],[Facility ID]]) * ([1]!hcahps[HCAHPS Measure ID] = "H_HSP_RATING_LINEAR_SCORE"), [1]!hcahps[HCAHPS Linear Mean Value]), "No Match")</f>
        <v>No Match</v>
      </c>
      <c r="F2154" t="str" cm="1">
        <f t="array" ref="F2154">_xlfn.IFNA(_xlfn.XLOOKUP(1,([1]!readmissions[Facility ID] = clean[[#This Row],[Facility ID]]) * ([1]!readmissions[Measure ID] = "Hybrid_HWR"), [1]!readmissions[Score]), "No Match")</f>
        <v>No Match</v>
      </c>
    </row>
    <row r="2155" spans="1:6" x14ac:dyDescent="0.2">
      <c r="A2155">
        <f>[1]!hospitalinfo[[#This Row],[Facility ID]]</f>
        <v>194112</v>
      </c>
      <c r="B2155" t="str">
        <f>[1]!hospitalinfo[[#This Row],[State]]</f>
        <v>LA</v>
      </c>
      <c r="C2155" t="str">
        <f>[1]!hospitalinfo[[#This Row],[Hospital Type]]</f>
        <v>Psychiatric</v>
      </c>
      <c r="D2155" t="str">
        <f>[1]!hospitalinfo[[#This Row],[Hospital Ownership]]</f>
        <v>Proprietary</v>
      </c>
      <c r="E2155" t="str" cm="1">
        <f t="array" ref="E2155">_xlfn.IFNA(_xlfn.XLOOKUP(1,([1]!hcahps[Facility ID] = clean[[#This Row],[Facility ID]]) * ([1]!hcahps[HCAHPS Measure ID] = "H_HSP_RATING_LINEAR_SCORE"), [1]!hcahps[HCAHPS Linear Mean Value]), "No Match")</f>
        <v>No Match</v>
      </c>
      <c r="F2155" t="str" cm="1">
        <f t="array" ref="F2155">_xlfn.IFNA(_xlfn.XLOOKUP(1,([1]!readmissions[Facility ID] = clean[[#This Row],[Facility ID]]) * ([1]!readmissions[Measure ID] = "Hybrid_HWR"), [1]!readmissions[Score]), "No Match")</f>
        <v>No Match</v>
      </c>
    </row>
    <row r="2156" spans="1:6" x14ac:dyDescent="0.2">
      <c r="A2156">
        <f>[1]!hospitalinfo[[#This Row],[Facility ID]]</f>
        <v>194113</v>
      </c>
      <c r="B2156" t="str">
        <f>[1]!hospitalinfo[[#This Row],[State]]</f>
        <v>LA</v>
      </c>
      <c r="C2156" t="str">
        <f>[1]!hospitalinfo[[#This Row],[Hospital Type]]</f>
        <v>Psychiatric</v>
      </c>
      <c r="D2156" t="str">
        <f>[1]!hospitalinfo[[#This Row],[Hospital Ownership]]</f>
        <v>Proprietary</v>
      </c>
      <c r="E2156" t="str" cm="1">
        <f t="array" ref="E2156">_xlfn.IFNA(_xlfn.XLOOKUP(1,([1]!hcahps[Facility ID] = clean[[#This Row],[Facility ID]]) * ([1]!hcahps[HCAHPS Measure ID] = "H_HSP_RATING_LINEAR_SCORE"), [1]!hcahps[HCAHPS Linear Mean Value]), "No Match")</f>
        <v>No Match</v>
      </c>
      <c r="F2156" t="str" cm="1">
        <f t="array" ref="F2156">_xlfn.IFNA(_xlfn.XLOOKUP(1,([1]!readmissions[Facility ID] = clean[[#This Row],[Facility ID]]) * ([1]!readmissions[Measure ID] = "Hybrid_HWR"), [1]!readmissions[Score]), "No Match")</f>
        <v>No Match</v>
      </c>
    </row>
    <row r="2157" spans="1:6" x14ac:dyDescent="0.2">
      <c r="A2157">
        <f>[1]!hospitalinfo[[#This Row],[Facility ID]]</f>
        <v>194114</v>
      </c>
      <c r="B2157" t="str">
        <f>[1]!hospitalinfo[[#This Row],[State]]</f>
        <v>LA</v>
      </c>
      <c r="C2157" t="str">
        <f>[1]!hospitalinfo[[#This Row],[Hospital Type]]</f>
        <v>Psychiatric</v>
      </c>
      <c r="D2157" t="str">
        <f>[1]!hospitalinfo[[#This Row],[Hospital Ownership]]</f>
        <v>Proprietary</v>
      </c>
      <c r="E2157" t="str" cm="1">
        <f t="array" ref="E2157">_xlfn.IFNA(_xlfn.XLOOKUP(1,([1]!hcahps[Facility ID] = clean[[#This Row],[Facility ID]]) * ([1]!hcahps[HCAHPS Measure ID] = "H_HSP_RATING_LINEAR_SCORE"), [1]!hcahps[HCAHPS Linear Mean Value]), "No Match")</f>
        <v>No Match</v>
      </c>
      <c r="F2157" t="str" cm="1">
        <f t="array" ref="F2157">_xlfn.IFNA(_xlfn.XLOOKUP(1,([1]!readmissions[Facility ID] = clean[[#This Row],[Facility ID]]) * ([1]!readmissions[Measure ID] = "Hybrid_HWR"), [1]!readmissions[Score]), "No Match")</f>
        <v>No Match</v>
      </c>
    </row>
    <row r="2158" spans="1:6" x14ac:dyDescent="0.2">
      <c r="A2158">
        <f>[1]!hospitalinfo[[#This Row],[Facility ID]]</f>
        <v>194115</v>
      </c>
      <c r="B2158" t="str">
        <f>[1]!hospitalinfo[[#This Row],[State]]</f>
        <v>LA</v>
      </c>
      <c r="C2158" t="str">
        <f>[1]!hospitalinfo[[#This Row],[Hospital Type]]</f>
        <v>Psychiatric</v>
      </c>
      <c r="D2158" t="str">
        <f>[1]!hospitalinfo[[#This Row],[Hospital Ownership]]</f>
        <v>Voluntary non-profit - Private</v>
      </c>
      <c r="E2158" t="str" cm="1">
        <f t="array" ref="E2158">_xlfn.IFNA(_xlfn.XLOOKUP(1,([1]!hcahps[Facility ID] = clean[[#This Row],[Facility ID]]) * ([1]!hcahps[HCAHPS Measure ID] = "H_HSP_RATING_LINEAR_SCORE"), [1]!hcahps[HCAHPS Linear Mean Value]), "No Match")</f>
        <v>No Match</v>
      </c>
      <c r="F2158" t="str" cm="1">
        <f t="array" ref="F2158">_xlfn.IFNA(_xlfn.XLOOKUP(1,([1]!readmissions[Facility ID] = clean[[#This Row],[Facility ID]]) * ([1]!readmissions[Measure ID] = "Hybrid_HWR"), [1]!readmissions[Score]), "No Match")</f>
        <v>No Match</v>
      </c>
    </row>
    <row r="2159" spans="1:6" x14ac:dyDescent="0.2">
      <c r="A2159">
        <f>[1]!hospitalinfo[[#This Row],[Facility ID]]</f>
        <v>194116</v>
      </c>
      <c r="B2159" t="str">
        <f>[1]!hospitalinfo[[#This Row],[State]]</f>
        <v>LA</v>
      </c>
      <c r="C2159" t="str">
        <f>[1]!hospitalinfo[[#This Row],[Hospital Type]]</f>
        <v>Psychiatric</v>
      </c>
      <c r="D2159" t="str">
        <f>[1]!hospitalinfo[[#This Row],[Hospital Ownership]]</f>
        <v>Proprietary</v>
      </c>
      <c r="E2159" t="str" cm="1">
        <f t="array" ref="E2159">_xlfn.IFNA(_xlfn.XLOOKUP(1,([1]!hcahps[Facility ID] = clean[[#This Row],[Facility ID]]) * ([1]!hcahps[HCAHPS Measure ID] = "H_HSP_RATING_LINEAR_SCORE"), [1]!hcahps[HCAHPS Linear Mean Value]), "No Match")</f>
        <v>No Match</v>
      </c>
      <c r="F2159" t="str" cm="1">
        <f t="array" ref="F2159">_xlfn.IFNA(_xlfn.XLOOKUP(1,([1]!readmissions[Facility ID] = clean[[#This Row],[Facility ID]]) * ([1]!readmissions[Measure ID] = "Hybrid_HWR"), [1]!readmissions[Score]), "No Match")</f>
        <v>No Match</v>
      </c>
    </row>
    <row r="2160" spans="1:6" x14ac:dyDescent="0.2">
      <c r="A2160">
        <f>[1]!hospitalinfo[[#This Row],[Facility ID]]</f>
        <v>194117</v>
      </c>
      <c r="B2160" t="str">
        <f>[1]!hospitalinfo[[#This Row],[State]]</f>
        <v>LA</v>
      </c>
      <c r="C2160" t="str">
        <f>[1]!hospitalinfo[[#This Row],[Hospital Type]]</f>
        <v>Psychiatric</v>
      </c>
      <c r="D2160" t="str">
        <f>[1]!hospitalinfo[[#This Row],[Hospital Ownership]]</f>
        <v>Proprietary</v>
      </c>
      <c r="E2160" t="str" cm="1">
        <f t="array" ref="E2160">_xlfn.IFNA(_xlfn.XLOOKUP(1,([1]!hcahps[Facility ID] = clean[[#This Row],[Facility ID]]) * ([1]!hcahps[HCAHPS Measure ID] = "H_HSP_RATING_LINEAR_SCORE"), [1]!hcahps[HCAHPS Linear Mean Value]), "No Match")</f>
        <v>No Match</v>
      </c>
      <c r="F2160" t="str" cm="1">
        <f t="array" ref="F2160">_xlfn.IFNA(_xlfn.XLOOKUP(1,([1]!readmissions[Facility ID] = clean[[#This Row],[Facility ID]]) * ([1]!readmissions[Measure ID] = "Hybrid_HWR"), [1]!readmissions[Score]), "No Match")</f>
        <v>No Match</v>
      </c>
    </row>
    <row r="2161" spans="1:6" x14ac:dyDescent="0.2">
      <c r="A2161">
        <f>[1]!hospitalinfo[[#This Row],[Facility ID]]</f>
        <v>194118</v>
      </c>
      <c r="B2161" t="str">
        <f>[1]!hospitalinfo[[#This Row],[State]]</f>
        <v>LA</v>
      </c>
      <c r="C2161" t="str">
        <f>[1]!hospitalinfo[[#This Row],[Hospital Type]]</f>
        <v>Psychiatric</v>
      </c>
      <c r="D2161" t="str">
        <f>[1]!hospitalinfo[[#This Row],[Hospital Ownership]]</f>
        <v>Proprietary</v>
      </c>
      <c r="E2161" t="str" cm="1">
        <f t="array" ref="E2161">_xlfn.IFNA(_xlfn.XLOOKUP(1,([1]!hcahps[Facility ID] = clean[[#This Row],[Facility ID]]) * ([1]!hcahps[HCAHPS Measure ID] = "H_HSP_RATING_LINEAR_SCORE"), [1]!hcahps[HCAHPS Linear Mean Value]), "No Match")</f>
        <v>No Match</v>
      </c>
      <c r="F2161" t="str" cm="1">
        <f t="array" ref="F2161">_xlfn.IFNA(_xlfn.XLOOKUP(1,([1]!readmissions[Facility ID] = clean[[#This Row],[Facility ID]]) * ([1]!readmissions[Measure ID] = "Hybrid_HWR"), [1]!readmissions[Score]), "No Match")</f>
        <v>No Match</v>
      </c>
    </row>
    <row r="2162" spans="1:6" x14ac:dyDescent="0.2">
      <c r="A2162">
        <f>[1]!hospitalinfo[[#This Row],[Facility ID]]</f>
        <v>194119</v>
      </c>
      <c r="B2162" t="str">
        <f>[1]!hospitalinfo[[#This Row],[State]]</f>
        <v>LA</v>
      </c>
      <c r="C2162" t="str">
        <f>[1]!hospitalinfo[[#This Row],[Hospital Type]]</f>
        <v>Psychiatric</v>
      </c>
      <c r="D2162" t="str">
        <f>[1]!hospitalinfo[[#This Row],[Hospital Ownership]]</f>
        <v>Proprietary</v>
      </c>
      <c r="E2162" t="str" cm="1">
        <f t="array" ref="E2162">_xlfn.IFNA(_xlfn.XLOOKUP(1,([1]!hcahps[Facility ID] = clean[[#This Row],[Facility ID]]) * ([1]!hcahps[HCAHPS Measure ID] = "H_HSP_RATING_LINEAR_SCORE"), [1]!hcahps[HCAHPS Linear Mean Value]), "No Match")</f>
        <v>No Match</v>
      </c>
      <c r="F2162" t="str" cm="1">
        <f t="array" ref="F2162">_xlfn.IFNA(_xlfn.XLOOKUP(1,([1]!readmissions[Facility ID] = clean[[#This Row],[Facility ID]]) * ([1]!readmissions[Measure ID] = "Hybrid_HWR"), [1]!readmissions[Score]), "No Match")</f>
        <v>No Match</v>
      </c>
    </row>
    <row r="2163" spans="1:6" x14ac:dyDescent="0.2">
      <c r="A2163">
        <f>[1]!hospitalinfo[[#This Row],[Facility ID]]</f>
        <v>194120</v>
      </c>
      <c r="B2163" t="str">
        <f>[1]!hospitalinfo[[#This Row],[State]]</f>
        <v>LA</v>
      </c>
      <c r="C2163" t="str">
        <f>[1]!hospitalinfo[[#This Row],[Hospital Type]]</f>
        <v>Psychiatric</v>
      </c>
      <c r="D2163" t="str">
        <f>[1]!hospitalinfo[[#This Row],[Hospital Ownership]]</f>
        <v>Proprietary</v>
      </c>
      <c r="E2163" t="str" cm="1">
        <f t="array" ref="E2163">_xlfn.IFNA(_xlfn.XLOOKUP(1,([1]!hcahps[Facility ID] = clean[[#This Row],[Facility ID]]) * ([1]!hcahps[HCAHPS Measure ID] = "H_HSP_RATING_LINEAR_SCORE"), [1]!hcahps[HCAHPS Linear Mean Value]), "No Match")</f>
        <v>No Match</v>
      </c>
      <c r="F2163" t="str" cm="1">
        <f t="array" ref="F2163">_xlfn.IFNA(_xlfn.XLOOKUP(1,([1]!readmissions[Facility ID] = clean[[#This Row],[Facility ID]]) * ([1]!readmissions[Measure ID] = "Hybrid_HWR"), [1]!readmissions[Score]), "No Match")</f>
        <v>No Match</v>
      </c>
    </row>
    <row r="2164" spans="1:6" x14ac:dyDescent="0.2">
      <c r="A2164">
        <f>[1]!hospitalinfo[[#This Row],[Facility ID]]</f>
        <v>194121</v>
      </c>
      <c r="B2164" t="str">
        <f>[1]!hospitalinfo[[#This Row],[State]]</f>
        <v>LA</v>
      </c>
      <c r="C2164" t="str">
        <f>[1]!hospitalinfo[[#This Row],[Hospital Type]]</f>
        <v>Psychiatric</v>
      </c>
      <c r="D2164" t="str">
        <f>[1]!hospitalinfo[[#This Row],[Hospital Ownership]]</f>
        <v>Proprietary</v>
      </c>
      <c r="E2164" t="str" cm="1">
        <f t="array" ref="E2164">_xlfn.IFNA(_xlfn.XLOOKUP(1,([1]!hcahps[Facility ID] = clean[[#This Row],[Facility ID]]) * ([1]!hcahps[HCAHPS Measure ID] = "H_HSP_RATING_LINEAR_SCORE"), [1]!hcahps[HCAHPS Linear Mean Value]), "No Match")</f>
        <v>No Match</v>
      </c>
      <c r="F2164" t="str" cm="1">
        <f t="array" ref="F2164">_xlfn.IFNA(_xlfn.XLOOKUP(1,([1]!readmissions[Facility ID] = clean[[#This Row],[Facility ID]]) * ([1]!readmissions[Measure ID] = "Hybrid_HWR"), [1]!readmissions[Score]), "No Match")</f>
        <v>No Match</v>
      </c>
    </row>
    <row r="2165" spans="1:6" x14ac:dyDescent="0.2">
      <c r="A2165" t="str">
        <f>[1]!hospitalinfo[[#This Row],[Facility ID]]</f>
        <v>19043F</v>
      </c>
      <c r="B2165" t="str">
        <f>[1]!hospitalinfo[[#This Row],[State]]</f>
        <v>LA</v>
      </c>
      <c r="C2165" t="str">
        <f>[1]!hospitalinfo[[#This Row],[Hospital Type]]</f>
        <v>Acute Care - Veterans Administration</v>
      </c>
      <c r="D2165" t="str">
        <f>[1]!hospitalinfo[[#This Row],[Hospital Ownership]]</f>
        <v>Veterans Health Administration</v>
      </c>
      <c r="E2165" t="str" cm="1">
        <f t="array" ref="E2165">_xlfn.IFNA(_xlfn.XLOOKUP(1,([1]!hcahps[Facility ID] = clean[[#This Row],[Facility ID]]) * ([1]!hcahps[HCAHPS Measure ID] = "H_HSP_RATING_LINEAR_SCORE"), [1]!hcahps[HCAHPS Linear Mean Value]), "No Match")</f>
        <v>Not Available</v>
      </c>
      <c r="F2165" cm="1">
        <f t="array" ref="F2165">_xlfn.IFNA(_xlfn.XLOOKUP(1,([1]!readmissions[Facility ID] = clean[[#This Row],[Facility ID]]) * ([1]!readmissions[Measure ID] = "Hybrid_HWR"), [1]!readmissions[Score]), "No Match")</f>
        <v>14.1</v>
      </c>
    </row>
    <row r="2166" spans="1:6" x14ac:dyDescent="0.2">
      <c r="A2166" t="str">
        <f>[1]!hospitalinfo[[#This Row],[Facility ID]]</f>
        <v>19047F</v>
      </c>
      <c r="B2166" t="str">
        <f>[1]!hospitalinfo[[#This Row],[State]]</f>
        <v>LA</v>
      </c>
      <c r="C2166" t="str">
        <f>[1]!hospitalinfo[[#This Row],[Hospital Type]]</f>
        <v>Acute Care - Veterans Administration</v>
      </c>
      <c r="D2166" t="str">
        <f>[1]!hospitalinfo[[#This Row],[Hospital Ownership]]</f>
        <v>Veterans Health Administration</v>
      </c>
      <c r="E2166" cm="1">
        <f t="array" ref="E2166">_xlfn.IFNA(_xlfn.XLOOKUP(1,([1]!hcahps[Facility ID] = clean[[#This Row],[Facility ID]]) * ([1]!hcahps[HCAHPS Measure ID] = "H_HSP_RATING_LINEAR_SCORE"), [1]!hcahps[HCAHPS Linear Mean Value]), "No Match")</f>
        <v>92</v>
      </c>
      <c r="F2166" cm="1">
        <f t="array" ref="F2166">_xlfn.IFNA(_xlfn.XLOOKUP(1,([1]!readmissions[Facility ID] = clean[[#This Row],[Facility ID]]) * ([1]!readmissions[Measure ID] = "Hybrid_HWR"), [1]!readmissions[Score]), "No Match")</f>
        <v>16.100000000000001</v>
      </c>
    </row>
    <row r="2167" spans="1:6" x14ac:dyDescent="0.2">
      <c r="A2167" t="str">
        <f>[1]!hospitalinfo[[#This Row],[Facility ID]]</f>
        <v>19048F</v>
      </c>
      <c r="B2167" t="str">
        <f>[1]!hospitalinfo[[#This Row],[State]]</f>
        <v>LA</v>
      </c>
      <c r="C2167" t="str">
        <f>[1]!hospitalinfo[[#This Row],[Hospital Type]]</f>
        <v>Acute Care - Veterans Administration</v>
      </c>
      <c r="D2167" t="str">
        <f>[1]!hospitalinfo[[#This Row],[Hospital Ownership]]</f>
        <v>Veterans Health Administration</v>
      </c>
      <c r="E2167" cm="1">
        <f t="array" ref="E2167">_xlfn.IFNA(_xlfn.XLOOKUP(1,([1]!hcahps[Facility ID] = clean[[#This Row],[Facility ID]]) * ([1]!hcahps[HCAHPS Measure ID] = "H_HSP_RATING_LINEAR_SCORE"), [1]!hcahps[HCAHPS Linear Mean Value]), "No Match")</f>
        <v>88</v>
      </c>
      <c r="F2167" cm="1">
        <f t="array" ref="F2167">_xlfn.IFNA(_xlfn.XLOOKUP(1,([1]!readmissions[Facility ID] = clean[[#This Row],[Facility ID]]) * ([1]!readmissions[Measure ID] = "Hybrid_HWR"), [1]!readmissions[Score]), "No Match")</f>
        <v>15</v>
      </c>
    </row>
    <row r="2168" spans="1:6" x14ac:dyDescent="0.2">
      <c r="A2168" t="str">
        <f>[1]!hospitalinfo[[#This Row],[Facility ID]]</f>
        <v>19050F</v>
      </c>
      <c r="B2168" t="str">
        <f>[1]!hospitalinfo[[#This Row],[State]]</f>
        <v>LA</v>
      </c>
      <c r="C2168" t="str">
        <f>[1]!hospitalinfo[[#This Row],[Hospital Type]]</f>
        <v>Acute Care - Department of Defense</v>
      </c>
      <c r="D2168" t="str">
        <f>[1]!hospitalinfo[[#This Row],[Hospital Ownership]]</f>
        <v>Department of Defense</v>
      </c>
      <c r="E2168" t="str" cm="1">
        <f t="array" ref="E2168">_xlfn.IFNA(_xlfn.XLOOKUP(1,([1]!hcahps[Facility ID] = clean[[#This Row],[Facility ID]]) * ([1]!hcahps[HCAHPS Measure ID] = "H_HSP_RATING_LINEAR_SCORE"), [1]!hcahps[HCAHPS Linear Mean Value]), "No Match")</f>
        <v>Not Available</v>
      </c>
      <c r="F2168" t="str" cm="1">
        <f t="array" ref="F2168">_xlfn.IFNA(_xlfn.XLOOKUP(1,([1]!readmissions[Facility ID] = clean[[#This Row],[Facility ID]]) * ([1]!readmissions[Measure ID] = "Hybrid_HWR"), [1]!readmissions[Score]), "No Match")</f>
        <v>Not Available</v>
      </c>
    </row>
    <row r="2169" spans="1:6" x14ac:dyDescent="0.2">
      <c r="A2169">
        <f>[1]!hospitalinfo[[#This Row],[Facility ID]]</f>
        <v>220001</v>
      </c>
      <c r="B2169" t="str">
        <f>[1]!hospitalinfo[[#This Row],[State]]</f>
        <v>MA</v>
      </c>
      <c r="C2169" t="str">
        <f>[1]!hospitalinfo[[#This Row],[Hospital Type]]</f>
        <v>Acute Care Hospitals</v>
      </c>
      <c r="D2169" t="str">
        <f>[1]!hospitalinfo[[#This Row],[Hospital Ownership]]</f>
        <v>Voluntary non-profit - Other</v>
      </c>
      <c r="E2169" cm="1">
        <f t="array" ref="E2169">_xlfn.IFNA(_xlfn.XLOOKUP(1,([1]!hcahps[Facility ID] = clean[[#This Row],[Facility ID]]) * ([1]!hcahps[HCAHPS Measure ID] = "H_HSP_RATING_LINEAR_SCORE"), [1]!hcahps[HCAHPS Linear Mean Value]), "No Match")</f>
        <v>82</v>
      </c>
      <c r="F2169" cm="1">
        <f t="array" ref="F2169">_xlfn.IFNA(_xlfn.XLOOKUP(1,([1]!readmissions[Facility ID] = clean[[#This Row],[Facility ID]]) * ([1]!readmissions[Measure ID] = "Hybrid_HWR"), [1]!readmissions[Score]), "No Match")</f>
        <v>15.5</v>
      </c>
    </row>
    <row r="2170" spans="1:6" x14ac:dyDescent="0.2">
      <c r="A2170">
        <f>[1]!hospitalinfo[[#This Row],[Facility ID]]</f>
        <v>220002</v>
      </c>
      <c r="B2170" t="str">
        <f>[1]!hospitalinfo[[#This Row],[State]]</f>
        <v>MA</v>
      </c>
      <c r="C2170" t="str">
        <f>[1]!hospitalinfo[[#This Row],[Hospital Type]]</f>
        <v>Acute Care Hospitals</v>
      </c>
      <c r="D2170" t="str">
        <f>[1]!hospitalinfo[[#This Row],[Hospital Ownership]]</f>
        <v>Voluntary non-profit - Private</v>
      </c>
      <c r="E2170" cm="1">
        <f t="array" ref="E2170">_xlfn.IFNA(_xlfn.XLOOKUP(1,([1]!hcahps[Facility ID] = clean[[#This Row],[Facility ID]]) * ([1]!hcahps[HCAHPS Measure ID] = "H_HSP_RATING_LINEAR_SCORE"), [1]!hcahps[HCAHPS Linear Mean Value]), "No Match")</f>
        <v>88</v>
      </c>
      <c r="F2170" cm="1">
        <f t="array" ref="F2170">_xlfn.IFNA(_xlfn.XLOOKUP(1,([1]!readmissions[Facility ID] = clean[[#This Row],[Facility ID]]) * ([1]!readmissions[Measure ID] = "Hybrid_HWR"), [1]!readmissions[Score]), "No Match")</f>
        <v>15.5</v>
      </c>
    </row>
    <row r="2171" spans="1:6" x14ac:dyDescent="0.2">
      <c r="A2171">
        <f>[1]!hospitalinfo[[#This Row],[Facility ID]]</f>
        <v>220008</v>
      </c>
      <c r="B2171" t="str">
        <f>[1]!hospitalinfo[[#This Row],[State]]</f>
        <v>MA</v>
      </c>
      <c r="C2171" t="str">
        <f>[1]!hospitalinfo[[#This Row],[Hospital Type]]</f>
        <v>Acute Care Hospitals</v>
      </c>
      <c r="D2171" t="str">
        <f>[1]!hospitalinfo[[#This Row],[Hospital Ownership]]</f>
        <v>Voluntary non-profit - Other</v>
      </c>
      <c r="E2171" cm="1">
        <f t="array" ref="E2171">_xlfn.IFNA(_xlfn.XLOOKUP(1,([1]!hcahps[Facility ID] = clean[[#This Row],[Facility ID]]) * ([1]!hcahps[HCAHPS Measure ID] = "H_HSP_RATING_LINEAR_SCORE"), [1]!hcahps[HCAHPS Linear Mean Value]), "No Match")</f>
        <v>87</v>
      </c>
      <c r="F2171" cm="1">
        <f t="array" ref="F2171">_xlfn.IFNA(_xlfn.XLOOKUP(1,([1]!readmissions[Facility ID] = clean[[#This Row],[Facility ID]]) * ([1]!readmissions[Measure ID] = "Hybrid_HWR"), [1]!readmissions[Score]), "No Match")</f>
        <v>16.2</v>
      </c>
    </row>
    <row r="2172" spans="1:6" x14ac:dyDescent="0.2">
      <c r="A2172">
        <f>[1]!hospitalinfo[[#This Row],[Facility ID]]</f>
        <v>220010</v>
      </c>
      <c r="B2172" t="str">
        <f>[1]!hospitalinfo[[#This Row],[State]]</f>
        <v>MA</v>
      </c>
      <c r="C2172" t="str">
        <f>[1]!hospitalinfo[[#This Row],[Hospital Type]]</f>
        <v>Acute Care Hospitals</v>
      </c>
      <c r="D2172" t="str">
        <f>[1]!hospitalinfo[[#This Row],[Hospital Ownership]]</f>
        <v>Voluntary non-profit - Private</v>
      </c>
      <c r="E2172" cm="1">
        <f t="array" ref="E2172">_xlfn.IFNA(_xlfn.XLOOKUP(1,([1]!hcahps[Facility ID] = clean[[#This Row],[Facility ID]]) * ([1]!hcahps[HCAHPS Measure ID] = "H_HSP_RATING_LINEAR_SCORE"), [1]!hcahps[HCAHPS Linear Mean Value]), "No Match")</f>
        <v>85</v>
      </c>
      <c r="F2172" cm="1">
        <f t="array" ref="F2172">_xlfn.IFNA(_xlfn.XLOOKUP(1,([1]!readmissions[Facility ID] = clean[[#This Row],[Facility ID]]) * ([1]!readmissions[Measure ID] = "Hybrid_HWR"), [1]!readmissions[Score]), "No Match")</f>
        <v>14.9</v>
      </c>
    </row>
    <row r="2173" spans="1:6" x14ac:dyDescent="0.2">
      <c r="A2173">
        <f>[1]!hospitalinfo[[#This Row],[Facility ID]]</f>
        <v>220011</v>
      </c>
      <c r="B2173" t="str">
        <f>[1]!hospitalinfo[[#This Row],[State]]</f>
        <v>MA</v>
      </c>
      <c r="C2173" t="str">
        <f>[1]!hospitalinfo[[#This Row],[Hospital Type]]</f>
        <v>Acute Care Hospitals</v>
      </c>
      <c r="D2173" t="str">
        <f>[1]!hospitalinfo[[#This Row],[Hospital Ownership]]</f>
        <v>Government - Local</v>
      </c>
      <c r="E2173" cm="1">
        <f t="array" ref="E2173">_xlfn.IFNA(_xlfn.XLOOKUP(1,([1]!hcahps[Facility ID] = clean[[#This Row],[Facility ID]]) * ([1]!hcahps[HCAHPS Measure ID] = "H_HSP_RATING_LINEAR_SCORE"), [1]!hcahps[HCAHPS Linear Mean Value]), "No Match")</f>
        <v>86</v>
      </c>
      <c r="F2173" cm="1">
        <f t="array" ref="F2173">_xlfn.IFNA(_xlfn.XLOOKUP(1,([1]!readmissions[Facility ID] = clean[[#This Row],[Facility ID]]) * ([1]!readmissions[Measure ID] = "Hybrid_HWR"), [1]!readmissions[Score]), "No Match")</f>
        <v>14.9</v>
      </c>
    </row>
    <row r="2174" spans="1:6" x14ac:dyDescent="0.2">
      <c r="A2174">
        <f>[1]!hospitalinfo[[#This Row],[Facility ID]]</f>
        <v>220012</v>
      </c>
      <c r="B2174" t="str">
        <f>[1]!hospitalinfo[[#This Row],[State]]</f>
        <v>MA</v>
      </c>
      <c r="C2174" t="str">
        <f>[1]!hospitalinfo[[#This Row],[Hospital Type]]</f>
        <v>Acute Care Hospitals</v>
      </c>
      <c r="D2174" t="str">
        <f>[1]!hospitalinfo[[#This Row],[Hospital Ownership]]</f>
        <v>Voluntary non-profit - Private</v>
      </c>
      <c r="E2174" cm="1">
        <f t="array" ref="E2174">_xlfn.IFNA(_xlfn.XLOOKUP(1,([1]!hcahps[Facility ID] = clean[[#This Row],[Facility ID]]) * ([1]!hcahps[HCAHPS Measure ID] = "H_HSP_RATING_LINEAR_SCORE"), [1]!hcahps[HCAHPS Linear Mean Value]), "No Match")</f>
        <v>87</v>
      </c>
      <c r="F2174" cm="1">
        <f t="array" ref="F2174">_xlfn.IFNA(_xlfn.XLOOKUP(1,([1]!readmissions[Facility ID] = clean[[#This Row],[Facility ID]]) * ([1]!readmissions[Measure ID] = "Hybrid_HWR"), [1]!readmissions[Score]), "No Match")</f>
        <v>16.5</v>
      </c>
    </row>
    <row r="2175" spans="1:6" x14ac:dyDescent="0.2">
      <c r="A2175">
        <f>[1]!hospitalinfo[[#This Row],[Facility ID]]</f>
        <v>220015</v>
      </c>
      <c r="B2175" t="str">
        <f>[1]!hospitalinfo[[#This Row],[State]]</f>
        <v>MA</v>
      </c>
      <c r="C2175" t="str">
        <f>[1]!hospitalinfo[[#This Row],[Hospital Type]]</f>
        <v>Acute Care Hospitals</v>
      </c>
      <c r="D2175" t="str">
        <f>[1]!hospitalinfo[[#This Row],[Hospital Ownership]]</f>
        <v>Voluntary non-profit - Private</v>
      </c>
      <c r="E2175" cm="1">
        <f t="array" ref="E2175">_xlfn.IFNA(_xlfn.XLOOKUP(1,([1]!hcahps[Facility ID] = clean[[#This Row],[Facility ID]]) * ([1]!hcahps[HCAHPS Measure ID] = "H_HSP_RATING_LINEAR_SCORE"), [1]!hcahps[HCAHPS Linear Mean Value]), "No Match")</f>
        <v>88</v>
      </c>
      <c r="F2175" cm="1">
        <f t="array" ref="F2175">_xlfn.IFNA(_xlfn.XLOOKUP(1,([1]!readmissions[Facility ID] = clean[[#This Row],[Facility ID]]) * ([1]!readmissions[Measure ID] = "Hybrid_HWR"), [1]!readmissions[Score]), "No Match")</f>
        <v>15.2</v>
      </c>
    </row>
    <row r="2176" spans="1:6" x14ac:dyDescent="0.2">
      <c r="A2176">
        <f>[1]!hospitalinfo[[#This Row],[Facility ID]]</f>
        <v>220016</v>
      </c>
      <c r="B2176" t="str">
        <f>[1]!hospitalinfo[[#This Row],[State]]</f>
        <v>MA</v>
      </c>
      <c r="C2176" t="str">
        <f>[1]!hospitalinfo[[#This Row],[Hospital Type]]</f>
        <v>Acute Care Hospitals</v>
      </c>
      <c r="D2176" t="str">
        <f>[1]!hospitalinfo[[#This Row],[Hospital Ownership]]</f>
        <v>Voluntary non-profit - Private</v>
      </c>
      <c r="E2176" cm="1">
        <f t="array" ref="E2176">_xlfn.IFNA(_xlfn.XLOOKUP(1,([1]!hcahps[Facility ID] = clean[[#This Row],[Facility ID]]) * ([1]!hcahps[HCAHPS Measure ID] = "H_HSP_RATING_LINEAR_SCORE"), [1]!hcahps[HCAHPS Linear Mean Value]), "No Match")</f>
        <v>87</v>
      </c>
      <c r="F2176" cm="1">
        <f t="array" ref="F2176">_xlfn.IFNA(_xlfn.XLOOKUP(1,([1]!readmissions[Facility ID] = clean[[#This Row],[Facility ID]]) * ([1]!readmissions[Measure ID] = "Hybrid_HWR"), [1]!readmissions[Score]), "No Match")</f>
        <v>17.3</v>
      </c>
    </row>
    <row r="2177" spans="1:6" x14ac:dyDescent="0.2">
      <c r="A2177">
        <f>[1]!hospitalinfo[[#This Row],[Facility ID]]</f>
        <v>220017</v>
      </c>
      <c r="B2177" t="str">
        <f>[1]!hospitalinfo[[#This Row],[State]]</f>
        <v>MA</v>
      </c>
      <c r="C2177" t="str">
        <f>[1]!hospitalinfo[[#This Row],[Hospital Type]]</f>
        <v>Acute Care Hospitals</v>
      </c>
      <c r="D2177" t="str">
        <f>[1]!hospitalinfo[[#This Row],[Hospital Ownership]]</f>
        <v>Proprietary</v>
      </c>
      <c r="E2177" t="str" cm="1">
        <f t="array" ref="E2177">_xlfn.IFNA(_xlfn.XLOOKUP(1,([1]!hcahps[Facility ID] = clean[[#This Row],[Facility ID]]) * ([1]!hcahps[HCAHPS Measure ID] = "H_HSP_RATING_LINEAR_SCORE"), [1]!hcahps[HCAHPS Linear Mean Value]), "No Match")</f>
        <v>Not Available</v>
      </c>
      <c r="F2177" t="str" cm="1">
        <f t="array" ref="F2177">_xlfn.IFNA(_xlfn.XLOOKUP(1,([1]!readmissions[Facility ID] = clean[[#This Row],[Facility ID]]) * ([1]!readmissions[Measure ID] = "Hybrid_HWR"), [1]!readmissions[Score]), "No Match")</f>
        <v>Not Available</v>
      </c>
    </row>
    <row r="2178" spans="1:6" x14ac:dyDescent="0.2">
      <c r="A2178">
        <f>[1]!hospitalinfo[[#This Row],[Facility ID]]</f>
        <v>220019</v>
      </c>
      <c r="B2178" t="str">
        <f>[1]!hospitalinfo[[#This Row],[State]]</f>
        <v>MA</v>
      </c>
      <c r="C2178" t="str">
        <f>[1]!hospitalinfo[[#This Row],[Hospital Type]]</f>
        <v>Acute Care Hospitals</v>
      </c>
      <c r="D2178" t="str">
        <f>[1]!hospitalinfo[[#This Row],[Hospital Ownership]]</f>
        <v>Voluntary non-profit - Private</v>
      </c>
      <c r="E2178" cm="1">
        <f t="array" ref="E2178">_xlfn.IFNA(_xlfn.XLOOKUP(1,([1]!hcahps[Facility ID] = clean[[#This Row],[Facility ID]]) * ([1]!hcahps[HCAHPS Measure ID] = "H_HSP_RATING_LINEAR_SCORE"), [1]!hcahps[HCAHPS Linear Mean Value]), "No Match")</f>
        <v>85</v>
      </c>
      <c r="F2178" cm="1">
        <f t="array" ref="F2178">_xlfn.IFNA(_xlfn.XLOOKUP(1,([1]!readmissions[Facility ID] = clean[[#This Row],[Facility ID]]) * ([1]!readmissions[Measure ID] = "Hybrid_HWR"), [1]!readmissions[Score]), "No Match")</f>
        <v>16</v>
      </c>
    </row>
    <row r="2179" spans="1:6" x14ac:dyDescent="0.2">
      <c r="A2179">
        <f>[1]!hospitalinfo[[#This Row],[Facility ID]]</f>
        <v>220020</v>
      </c>
      <c r="B2179" t="str">
        <f>[1]!hospitalinfo[[#This Row],[State]]</f>
        <v>MA</v>
      </c>
      <c r="C2179" t="str">
        <f>[1]!hospitalinfo[[#This Row],[Hospital Type]]</f>
        <v>Acute Care Hospitals</v>
      </c>
      <c r="D2179" t="str">
        <f>[1]!hospitalinfo[[#This Row],[Hospital Ownership]]</f>
        <v>Proprietary</v>
      </c>
      <c r="E2179" cm="1">
        <f t="array" ref="E2179">_xlfn.IFNA(_xlfn.XLOOKUP(1,([1]!hcahps[Facility ID] = clean[[#This Row],[Facility ID]]) * ([1]!hcahps[HCAHPS Measure ID] = "H_HSP_RATING_LINEAR_SCORE"), [1]!hcahps[HCAHPS Linear Mean Value]), "No Match")</f>
        <v>89</v>
      </c>
      <c r="F2179" cm="1">
        <f t="array" ref="F2179">_xlfn.IFNA(_xlfn.XLOOKUP(1,([1]!readmissions[Facility ID] = clean[[#This Row],[Facility ID]]) * ([1]!readmissions[Measure ID] = "Hybrid_HWR"), [1]!readmissions[Score]), "No Match")</f>
        <v>15.9</v>
      </c>
    </row>
    <row r="2180" spans="1:6" x14ac:dyDescent="0.2">
      <c r="A2180">
        <f>[1]!hospitalinfo[[#This Row],[Facility ID]]</f>
        <v>220024</v>
      </c>
      <c r="B2180" t="str">
        <f>[1]!hospitalinfo[[#This Row],[State]]</f>
        <v>MA</v>
      </c>
      <c r="C2180" t="str">
        <f>[1]!hospitalinfo[[#This Row],[Hospital Type]]</f>
        <v>Acute Care Hospitals</v>
      </c>
      <c r="D2180" t="str">
        <f>[1]!hospitalinfo[[#This Row],[Hospital Ownership]]</f>
        <v>Voluntary non-profit - Private</v>
      </c>
      <c r="E2180" cm="1">
        <f t="array" ref="E2180">_xlfn.IFNA(_xlfn.XLOOKUP(1,([1]!hcahps[Facility ID] = clean[[#This Row],[Facility ID]]) * ([1]!hcahps[HCAHPS Measure ID] = "H_HSP_RATING_LINEAR_SCORE"), [1]!hcahps[HCAHPS Linear Mean Value]), "No Match")</f>
        <v>89</v>
      </c>
      <c r="F2180" cm="1">
        <f t="array" ref="F2180">_xlfn.IFNA(_xlfn.XLOOKUP(1,([1]!readmissions[Facility ID] = clean[[#This Row],[Facility ID]]) * ([1]!readmissions[Measure ID] = "Hybrid_HWR"), [1]!readmissions[Score]), "No Match")</f>
        <v>16.2</v>
      </c>
    </row>
    <row r="2181" spans="1:6" x14ac:dyDescent="0.2">
      <c r="A2181">
        <f>[1]!hospitalinfo[[#This Row],[Facility ID]]</f>
        <v>220029</v>
      </c>
      <c r="B2181" t="str">
        <f>[1]!hospitalinfo[[#This Row],[State]]</f>
        <v>MA</v>
      </c>
      <c r="C2181" t="str">
        <f>[1]!hospitalinfo[[#This Row],[Hospital Type]]</f>
        <v>Acute Care Hospitals</v>
      </c>
      <c r="D2181" t="str">
        <f>[1]!hospitalinfo[[#This Row],[Hospital Ownership]]</f>
        <v>Voluntary non-profit - Private</v>
      </c>
      <c r="E2181" cm="1">
        <f t="array" ref="E2181">_xlfn.IFNA(_xlfn.XLOOKUP(1,([1]!hcahps[Facility ID] = clean[[#This Row],[Facility ID]]) * ([1]!hcahps[HCAHPS Measure ID] = "H_HSP_RATING_LINEAR_SCORE"), [1]!hcahps[HCAHPS Linear Mean Value]), "No Match")</f>
        <v>85</v>
      </c>
      <c r="F2181" cm="1">
        <f t="array" ref="F2181">_xlfn.IFNA(_xlfn.XLOOKUP(1,([1]!readmissions[Facility ID] = clean[[#This Row],[Facility ID]]) * ([1]!readmissions[Measure ID] = "Hybrid_HWR"), [1]!readmissions[Score]), "No Match")</f>
        <v>15.5</v>
      </c>
    </row>
    <row r="2182" spans="1:6" x14ac:dyDescent="0.2">
      <c r="A2182">
        <f>[1]!hospitalinfo[[#This Row],[Facility ID]]</f>
        <v>220030</v>
      </c>
      <c r="B2182" t="str">
        <f>[1]!hospitalinfo[[#This Row],[State]]</f>
        <v>MA</v>
      </c>
      <c r="C2182" t="str">
        <f>[1]!hospitalinfo[[#This Row],[Hospital Type]]</f>
        <v>Acute Care Hospitals</v>
      </c>
      <c r="D2182" t="str">
        <f>[1]!hospitalinfo[[#This Row],[Hospital Ownership]]</f>
        <v>Voluntary non-profit - Other</v>
      </c>
      <c r="E2182" cm="1">
        <f t="array" ref="E2182">_xlfn.IFNA(_xlfn.XLOOKUP(1,([1]!hcahps[Facility ID] = clean[[#This Row],[Facility ID]]) * ([1]!hcahps[HCAHPS Measure ID] = "H_HSP_RATING_LINEAR_SCORE"), [1]!hcahps[HCAHPS Linear Mean Value]), "No Match")</f>
        <v>87</v>
      </c>
      <c r="F2182" cm="1">
        <f t="array" ref="F2182">_xlfn.IFNA(_xlfn.XLOOKUP(1,([1]!readmissions[Facility ID] = clean[[#This Row],[Facility ID]]) * ([1]!readmissions[Measure ID] = "Hybrid_HWR"), [1]!readmissions[Score]), "No Match")</f>
        <v>14.8</v>
      </c>
    </row>
    <row r="2183" spans="1:6" x14ac:dyDescent="0.2">
      <c r="A2183">
        <f>[1]!hospitalinfo[[#This Row],[Facility ID]]</f>
        <v>220031</v>
      </c>
      <c r="B2183" t="str">
        <f>[1]!hospitalinfo[[#This Row],[State]]</f>
        <v>MA</v>
      </c>
      <c r="C2183" t="str">
        <f>[1]!hospitalinfo[[#This Row],[Hospital Type]]</f>
        <v>Acute Care Hospitals</v>
      </c>
      <c r="D2183" t="str">
        <f>[1]!hospitalinfo[[#This Row],[Hospital Ownership]]</f>
        <v>Voluntary non-profit - Private</v>
      </c>
      <c r="E2183" cm="1">
        <f t="array" ref="E2183">_xlfn.IFNA(_xlfn.XLOOKUP(1,([1]!hcahps[Facility ID] = clean[[#This Row],[Facility ID]]) * ([1]!hcahps[HCAHPS Measure ID] = "H_HSP_RATING_LINEAR_SCORE"), [1]!hcahps[HCAHPS Linear Mean Value]), "No Match")</f>
        <v>89</v>
      </c>
      <c r="F2183" cm="1">
        <f t="array" ref="F2183">_xlfn.IFNA(_xlfn.XLOOKUP(1,([1]!readmissions[Facility ID] = clean[[#This Row],[Facility ID]]) * ([1]!readmissions[Measure ID] = "Hybrid_HWR"), [1]!readmissions[Score]), "No Match")</f>
        <v>15.3</v>
      </c>
    </row>
    <row r="2184" spans="1:6" x14ac:dyDescent="0.2">
      <c r="A2184">
        <f>[1]!hospitalinfo[[#This Row],[Facility ID]]</f>
        <v>220033</v>
      </c>
      <c r="B2184" t="str">
        <f>[1]!hospitalinfo[[#This Row],[State]]</f>
        <v>MA</v>
      </c>
      <c r="C2184" t="str">
        <f>[1]!hospitalinfo[[#This Row],[Hospital Type]]</f>
        <v>Acute Care Hospitals</v>
      </c>
      <c r="D2184" t="str">
        <f>[1]!hospitalinfo[[#This Row],[Hospital Ownership]]</f>
        <v>Voluntary non-profit - Private</v>
      </c>
      <c r="E2184" cm="1">
        <f t="array" ref="E2184">_xlfn.IFNA(_xlfn.XLOOKUP(1,([1]!hcahps[Facility ID] = clean[[#This Row],[Facility ID]]) * ([1]!hcahps[HCAHPS Measure ID] = "H_HSP_RATING_LINEAR_SCORE"), [1]!hcahps[HCAHPS Linear Mean Value]), "No Match")</f>
        <v>85</v>
      </c>
      <c r="F2184" cm="1">
        <f t="array" ref="F2184">_xlfn.IFNA(_xlfn.XLOOKUP(1,([1]!readmissions[Facility ID] = clean[[#This Row],[Facility ID]]) * ([1]!readmissions[Measure ID] = "Hybrid_HWR"), [1]!readmissions[Score]), "No Match")</f>
        <v>15.8</v>
      </c>
    </row>
    <row r="2185" spans="1:6" x14ac:dyDescent="0.2">
      <c r="A2185">
        <f>[1]!hospitalinfo[[#This Row],[Facility ID]]</f>
        <v>220035</v>
      </c>
      <c r="B2185" t="str">
        <f>[1]!hospitalinfo[[#This Row],[State]]</f>
        <v>MA</v>
      </c>
      <c r="C2185" t="str">
        <f>[1]!hospitalinfo[[#This Row],[Hospital Type]]</f>
        <v>Acute Care Hospitals</v>
      </c>
      <c r="D2185" t="str">
        <f>[1]!hospitalinfo[[#This Row],[Hospital Ownership]]</f>
        <v>Voluntary non-profit - Private</v>
      </c>
      <c r="E2185" cm="1">
        <f t="array" ref="E2185">_xlfn.IFNA(_xlfn.XLOOKUP(1,([1]!hcahps[Facility ID] = clean[[#This Row],[Facility ID]]) * ([1]!hcahps[HCAHPS Measure ID] = "H_HSP_RATING_LINEAR_SCORE"), [1]!hcahps[HCAHPS Linear Mean Value]), "No Match")</f>
        <v>88</v>
      </c>
      <c r="F2185" cm="1">
        <f t="array" ref="F2185">_xlfn.IFNA(_xlfn.XLOOKUP(1,([1]!readmissions[Facility ID] = clean[[#This Row],[Facility ID]]) * ([1]!readmissions[Measure ID] = "Hybrid_HWR"), [1]!readmissions[Score]), "No Match")</f>
        <v>15.9</v>
      </c>
    </row>
    <row r="2186" spans="1:6" x14ac:dyDescent="0.2">
      <c r="A2186">
        <f>[1]!hospitalinfo[[#This Row],[Facility ID]]</f>
        <v>220036</v>
      </c>
      <c r="B2186" t="str">
        <f>[1]!hospitalinfo[[#This Row],[State]]</f>
        <v>MA</v>
      </c>
      <c r="C2186" t="str">
        <f>[1]!hospitalinfo[[#This Row],[Hospital Type]]</f>
        <v>Acute Care Hospitals</v>
      </c>
      <c r="D2186" t="str">
        <f>[1]!hospitalinfo[[#This Row],[Hospital Ownership]]</f>
        <v>Proprietary</v>
      </c>
      <c r="E2186" cm="1">
        <f t="array" ref="E2186">_xlfn.IFNA(_xlfn.XLOOKUP(1,([1]!hcahps[Facility ID] = clean[[#This Row],[Facility ID]]) * ([1]!hcahps[HCAHPS Measure ID] = "H_HSP_RATING_LINEAR_SCORE"), [1]!hcahps[HCAHPS Linear Mean Value]), "No Match")</f>
        <v>88</v>
      </c>
      <c r="F2186" cm="1">
        <f t="array" ref="F2186">_xlfn.IFNA(_xlfn.XLOOKUP(1,([1]!readmissions[Facility ID] = clean[[#This Row],[Facility ID]]) * ([1]!readmissions[Measure ID] = "Hybrid_HWR"), [1]!readmissions[Score]), "No Match")</f>
        <v>16.399999999999999</v>
      </c>
    </row>
    <row r="2187" spans="1:6" x14ac:dyDescent="0.2">
      <c r="A2187">
        <f>[1]!hospitalinfo[[#This Row],[Facility ID]]</f>
        <v>220046</v>
      </c>
      <c r="B2187" t="str">
        <f>[1]!hospitalinfo[[#This Row],[State]]</f>
        <v>MA</v>
      </c>
      <c r="C2187" t="str">
        <f>[1]!hospitalinfo[[#This Row],[Hospital Type]]</f>
        <v>Acute Care Hospitals</v>
      </c>
      <c r="D2187" t="str">
        <f>[1]!hospitalinfo[[#This Row],[Hospital Ownership]]</f>
        <v>Voluntary non-profit - Other</v>
      </c>
      <c r="E2187" cm="1">
        <f t="array" ref="E2187">_xlfn.IFNA(_xlfn.XLOOKUP(1,([1]!hcahps[Facility ID] = clean[[#This Row],[Facility ID]]) * ([1]!hcahps[HCAHPS Measure ID] = "H_HSP_RATING_LINEAR_SCORE"), [1]!hcahps[HCAHPS Linear Mean Value]), "No Match")</f>
        <v>85</v>
      </c>
      <c r="F2187" cm="1">
        <f t="array" ref="F2187">_xlfn.IFNA(_xlfn.XLOOKUP(1,([1]!readmissions[Facility ID] = clean[[#This Row],[Facility ID]]) * ([1]!readmissions[Measure ID] = "Hybrid_HWR"), [1]!readmissions[Score]), "No Match")</f>
        <v>14.9</v>
      </c>
    </row>
    <row r="2188" spans="1:6" x14ac:dyDescent="0.2">
      <c r="A2188">
        <f>[1]!hospitalinfo[[#This Row],[Facility ID]]</f>
        <v>220049</v>
      </c>
      <c r="B2188" t="str">
        <f>[1]!hospitalinfo[[#This Row],[State]]</f>
        <v>MA</v>
      </c>
      <c r="C2188" t="str">
        <f>[1]!hospitalinfo[[#This Row],[Hospital Type]]</f>
        <v>Acute Care Hospitals</v>
      </c>
      <c r="D2188" t="str">
        <f>[1]!hospitalinfo[[#This Row],[Hospital Ownership]]</f>
        <v>Voluntary non-profit - Private</v>
      </c>
      <c r="E2188" cm="1">
        <f t="array" ref="E2188">_xlfn.IFNA(_xlfn.XLOOKUP(1,([1]!hcahps[Facility ID] = clean[[#This Row],[Facility ID]]) * ([1]!hcahps[HCAHPS Measure ID] = "H_HSP_RATING_LINEAR_SCORE"), [1]!hcahps[HCAHPS Linear Mean Value]), "No Match")</f>
        <v>83</v>
      </c>
      <c r="F2188" cm="1">
        <f t="array" ref="F2188">_xlfn.IFNA(_xlfn.XLOOKUP(1,([1]!readmissions[Facility ID] = clean[[#This Row],[Facility ID]]) * ([1]!readmissions[Measure ID] = "Hybrid_HWR"), [1]!readmissions[Score]), "No Match")</f>
        <v>16.3</v>
      </c>
    </row>
    <row r="2189" spans="1:6" x14ac:dyDescent="0.2">
      <c r="A2189">
        <f>[1]!hospitalinfo[[#This Row],[Facility ID]]</f>
        <v>220052</v>
      </c>
      <c r="B2189" t="str">
        <f>[1]!hospitalinfo[[#This Row],[State]]</f>
        <v>MA</v>
      </c>
      <c r="C2189" t="str">
        <f>[1]!hospitalinfo[[#This Row],[Hospital Type]]</f>
        <v>Acute Care Hospitals</v>
      </c>
      <c r="D2189" t="str">
        <f>[1]!hospitalinfo[[#This Row],[Hospital Ownership]]</f>
        <v>Voluntary non-profit - Other</v>
      </c>
      <c r="E2189" cm="1">
        <f t="array" ref="E2189">_xlfn.IFNA(_xlfn.XLOOKUP(1,([1]!hcahps[Facility ID] = clean[[#This Row],[Facility ID]]) * ([1]!hcahps[HCAHPS Measure ID] = "H_HSP_RATING_LINEAR_SCORE"), [1]!hcahps[HCAHPS Linear Mean Value]), "No Match")</f>
        <v>83</v>
      </c>
      <c r="F2189" t="str" cm="1">
        <f t="array" ref="F2189">_xlfn.IFNA(_xlfn.XLOOKUP(1,([1]!readmissions[Facility ID] = clean[[#This Row],[Facility ID]]) * ([1]!readmissions[Measure ID] = "Hybrid_HWR"), [1]!readmissions[Score]), "No Match")</f>
        <v>Not Available</v>
      </c>
    </row>
    <row r="2190" spans="1:6" x14ac:dyDescent="0.2">
      <c r="A2190">
        <f>[1]!hospitalinfo[[#This Row],[Facility ID]]</f>
        <v>220060</v>
      </c>
      <c r="B2190" t="str">
        <f>[1]!hospitalinfo[[#This Row],[State]]</f>
        <v>MA</v>
      </c>
      <c r="C2190" t="str">
        <f>[1]!hospitalinfo[[#This Row],[Hospital Type]]</f>
        <v>Acute Care Hospitals</v>
      </c>
      <c r="D2190" t="str">
        <f>[1]!hospitalinfo[[#This Row],[Hospital Ownership]]</f>
        <v>Voluntary non-profit - Private</v>
      </c>
      <c r="E2190" cm="1">
        <f t="array" ref="E2190">_xlfn.IFNA(_xlfn.XLOOKUP(1,([1]!hcahps[Facility ID] = clean[[#This Row],[Facility ID]]) * ([1]!hcahps[HCAHPS Measure ID] = "H_HSP_RATING_LINEAR_SCORE"), [1]!hcahps[HCAHPS Linear Mean Value]), "No Match")</f>
        <v>84</v>
      </c>
      <c r="F2190" cm="1">
        <f t="array" ref="F2190">_xlfn.IFNA(_xlfn.XLOOKUP(1,([1]!readmissions[Facility ID] = clean[[#This Row],[Facility ID]]) * ([1]!readmissions[Measure ID] = "Hybrid_HWR"), [1]!readmissions[Score]), "No Match")</f>
        <v>15.3</v>
      </c>
    </row>
    <row r="2191" spans="1:6" x14ac:dyDescent="0.2">
      <c r="A2191">
        <f>[1]!hospitalinfo[[#This Row],[Facility ID]]</f>
        <v>220062</v>
      </c>
      <c r="B2191" t="str">
        <f>[1]!hospitalinfo[[#This Row],[State]]</f>
        <v>MA</v>
      </c>
      <c r="C2191" t="str">
        <f>[1]!hospitalinfo[[#This Row],[Hospital Type]]</f>
        <v>Acute Care Hospitals</v>
      </c>
      <c r="D2191" t="str">
        <f>[1]!hospitalinfo[[#This Row],[Hospital Ownership]]</f>
        <v>Proprietary</v>
      </c>
      <c r="E2191" t="str" cm="1">
        <f t="array" ref="E2191">_xlfn.IFNA(_xlfn.XLOOKUP(1,([1]!hcahps[Facility ID] = clean[[#This Row],[Facility ID]]) * ([1]!hcahps[HCAHPS Measure ID] = "H_HSP_RATING_LINEAR_SCORE"), [1]!hcahps[HCAHPS Linear Mean Value]), "No Match")</f>
        <v>Not Available</v>
      </c>
      <c r="F2191" cm="1">
        <f t="array" ref="F2191">_xlfn.IFNA(_xlfn.XLOOKUP(1,([1]!readmissions[Facility ID] = clean[[#This Row],[Facility ID]]) * ([1]!readmissions[Measure ID] = "Hybrid_HWR"), [1]!readmissions[Score]), "No Match")</f>
        <v>16.399999999999999</v>
      </c>
    </row>
    <row r="2192" spans="1:6" x14ac:dyDescent="0.2">
      <c r="A2192">
        <f>[1]!hospitalinfo[[#This Row],[Facility ID]]</f>
        <v>220063</v>
      </c>
      <c r="B2192" t="str">
        <f>[1]!hospitalinfo[[#This Row],[State]]</f>
        <v>MA</v>
      </c>
      <c r="C2192" t="str">
        <f>[1]!hospitalinfo[[#This Row],[Hospital Type]]</f>
        <v>Acute Care Hospitals</v>
      </c>
      <c r="D2192" t="str">
        <f>[1]!hospitalinfo[[#This Row],[Hospital Ownership]]</f>
        <v>Voluntary non-profit - Private</v>
      </c>
      <c r="E2192" cm="1">
        <f t="array" ref="E2192">_xlfn.IFNA(_xlfn.XLOOKUP(1,([1]!hcahps[Facility ID] = clean[[#This Row],[Facility ID]]) * ([1]!hcahps[HCAHPS Measure ID] = "H_HSP_RATING_LINEAR_SCORE"), [1]!hcahps[HCAHPS Linear Mean Value]), "No Match")</f>
        <v>85</v>
      </c>
      <c r="F2192" cm="1">
        <f t="array" ref="F2192">_xlfn.IFNA(_xlfn.XLOOKUP(1,([1]!readmissions[Facility ID] = clean[[#This Row],[Facility ID]]) * ([1]!readmissions[Measure ID] = "Hybrid_HWR"), [1]!readmissions[Score]), "No Match")</f>
        <v>16.100000000000001</v>
      </c>
    </row>
    <row r="2193" spans="1:6" x14ac:dyDescent="0.2">
      <c r="A2193">
        <f>[1]!hospitalinfo[[#This Row],[Facility ID]]</f>
        <v>220065</v>
      </c>
      <c r="B2193" t="str">
        <f>[1]!hospitalinfo[[#This Row],[State]]</f>
        <v>MA</v>
      </c>
      <c r="C2193" t="str">
        <f>[1]!hospitalinfo[[#This Row],[Hospital Type]]</f>
        <v>Acute Care Hospitals</v>
      </c>
      <c r="D2193" t="str">
        <f>[1]!hospitalinfo[[#This Row],[Hospital Ownership]]</f>
        <v>Voluntary non-profit - Private</v>
      </c>
      <c r="E2193" cm="1">
        <f t="array" ref="E2193">_xlfn.IFNA(_xlfn.XLOOKUP(1,([1]!hcahps[Facility ID] = clean[[#This Row],[Facility ID]]) * ([1]!hcahps[HCAHPS Measure ID] = "H_HSP_RATING_LINEAR_SCORE"), [1]!hcahps[HCAHPS Linear Mean Value]), "No Match")</f>
        <v>86</v>
      </c>
      <c r="F2193" cm="1">
        <f t="array" ref="F2193">_xlfn.IFNA(_xlfn.XLOOKUP(1,([1]!readmissions[Facility ID] = clean[[#This Row],[Facility ID]]) * ([1]!readmissions[Measure ID] = "Hybrid_HWR"), [1]!readmissions[Score]), "No Match")</f>
        <v>15.7</v>
      </c>
    </row>
    <row r="2194" spans="1:6" x14ac:dyDescent="0.2">
      <c r="A2194">
        <f>[1]!hospitalinfo[[#This Row],[Facility ID]]</f>
        <v>220066</v>
      </c>
      <c r="B2194" t="str">
        <f>[1]!hospitalinfo[[#This Row],[State]]</f>
        <v>MA</v>
      </c>
      <c r="C2194" t="str">
        <f>[1]!hospitalinfo[[#This Row],[Hospital Type]]</f>
        <v>Acute Care Hospitals</v>
      </c>
      <c r="D2194" t="str">
        <f>[1]!hospitalinfo[[#This Row],[Hospital Ownership]]</f>
        <v>Voluntary non-profit - Private</v>
      </c>
      <c r="E2194" cm="1">
        <f t="array" ref="E2194">_xlfn.IFNA(_xlfn.XLOOKUP(1,([1]!hcahps[Facility ID] = clean[[#This Row],[Facility ID]]) * ([1]!hcahps[HCAHPS Measure ID] = "H_HSP_RATING_LINEAR_SCORE"), [1]!hcahps[HCAHPS Linear Mean Value]), "No Match")</f>
        <v>87</v>
      </c>
      <c r="F2194" cm="1">
        <f t="array" ref="F2194">_xlfn.IFNA(_xlfn.XLOOKUP(1,([1]!readmissions[Facility ID] = clean[[#This Row],[Facility ID]]) * ([1]!readmissions[Measure ID] = "Hybrid_HWR"), [1]!readmissions[Score]), "No Match")</f>
        <v>15.7</v>
      </c>
    </row>
    <row r="2195" spans="1:6" x14ac:dyDescent="0.2">
      <c r="A2195">
        <f>[1]!hospitalinfo[[#This Row],[Facility ID]]</f>
        <v>220070</v>
      </c>
      <c r="B2195" t="str">
        <f>[1]!hospitalinfo[[#This Row],[State]]</f>
        <v>MA</v>
      </c>
      <c r="C2195" t="str">
        <f>[1]!hospitalinfo[[#This Row],[Hospital Type]]</f>
        <v>Acute Care Hospitals</v>
      </c>
      <c r="D2195" t="str">
        <f>[1]!hospitalinfo[[#This Row],[Hospital Ownership]]</f>
        <v>Voluntary non-profit - Private</v>
      </c>
      <c r="E2195" cm="1">
        <f t="array" ref="E2195">_xlfn.IFNA(_xlfn.XLOOKUP(1,([1]!hcahps[Facility ID] = clean[[#This Row],[Facility ID]]) * ([1]!hcahps[HCAHPS Measure ID] = "H_HSP_RATING_LINEAR_SCORE"), [1]!hcahps[HCAHPS Linear Mean Value]), "No Match")</f>
        <v>87</v>
      </c>
      <c r="F2195" cm="1">
        <f t="array" ref="F2195">_xlfn.IFNA(_xlfn.XLOOKUP(1,([1]!readmissions[Facility ID] = clean[[#This Row],[Facility ID]]) * ([1]!readmissions[Measure ID] = "Hybrid_HWR"), [1]!readmissions[Score]), "No Match")</f>
        <v>16.100000000000001</v>
      </c>
    </row>
    <row r="2196" spans="1:6" x14ac:dyDescent="0.2">
      <c r="A2196">
        <f>[1]!hospitalinfo[[#This Row],[Facility ID]]</f>
        <v>220071</v>
      </c>
      <c r="B2196" t="str">
        <f>[1]!hospitalinfo[[#This Row],[State]]</f>
        <v>MA</v>
      </c>
      <c r="C2196" t="str">
        <f>[1]!hospitalinfo[[#This Row],[Hospital Type]]</f>
        <v>Acute Care Hospitals</v>
      </c>
      <c r="D2196" t="str">
        <f>[1]!hospitalinfo[[#This Row],[Hospital Ownership]]</f>
        <v>Voluntary non-profit - Private</v>
      </c>
      <c r="E2196" cm="1">
        <f t="array" ref="E2196">_xlfn.IFNA(_xlfn.XLOOKUP(1,([1]!hcahps[Facility ID] = clean[[#This Row],[Facility ID]]) * ([1]!hcahps[HCAHPS Measure ID] = "H_HSP_RATING_LINEAR_SCORE"), [1]!hcahps[HCAHPS Linear Mean Value]), "No Match")</f>
        <v>91</v>
      </c>
      <c r="F2196" cm="1">
        <f t="array" ref="F2196">_xlfn.IFNA(_xlfn.XLOOKUP(1,([1]!readmissions[Facility ID] = clean[[#This Row],[Facility ID]]) * ([1]!readmissions[Measure ID] = "Hybrid_HWR"), [1]!readmissions[Score]), "No Match")</f>
        <v>14.3</v>
      </c>
    </row>
    <row r="2197" spans="1:6" x14ac:dyDescent="0.2">
      <c r="A2197">
        <f>[1]!hospitalinfo[[#This Row],[Facility ID]]</f>
        <v>220073</v>
      </c>
      <c r="B2197" t="str">
        <f>[1]!hospitalinfo[[#This Row],[State]]</f>
        <v>MA</v>
      </c>
      <c r="C2197" t="str">
        <f>[1]!hospitalinfo[[#This Row],[Hospital Type]]</f>
        <v>Acute Care Hospitals</v>
      </c>
      <c r="D2197" t="str">
        <f>[1]!hospitalinfo[[#This Row],[Hospital Ownership]]</f>
        <v>Proprietary</v>
      </c>
      <c r="E2197" cm="1">
        <f t="array" ref="E2197">_xlfn.IFNA(_xlfn.XLOOKUP(1,([1]!hcahps[Facility ID] = clean[[#This Row],[Facility ID]]) * ([1]!hcahps[HCAHPS Measure ID] = "H_HSP_RATING_LINEAR_SCORE"), [1]!hcahps[HCAHPS Linear Mean Value]), "No Match")</f>
        <v>79</v>
      </c>
      <c r="F2197" cm="1">
        <f t="array" ref="F2197">_xlfn.IFNA(_xlfn.XLOOKUP(1,([1]!readmissions[Facility ID] = clean[[#This Row],[Facility ID]]) * ([1]!readmissions[Measure ID] = "Hybrid_HWR"), [1]!readmissions[Score]), "No Match")</f>
        <v>16.7</v>
      </c>
    </row>
    <row r="2198" spans="1:6" x14ac:dyDescent="0.2">
      <c r="A2198">
        <f>[1]!hospitalinfo[[#This Row],[Facility ID]]</f>
        <v>220074</v>
      </c>
      <c r="B2198" t="str">
        <f>[1]!hospitalinfo[[#This Row],[State]]</f>
        <v>MA</v>
      </c>
      <c r="C2198" t="str">
        <f>[1]!hospitalinfo[[#This Row],[Hospital Type]]</f>
        <v>Acute Care Hospitals</v>
      </c>
      <c r="D2198" t="str">
        <f>[1]!hospitalinfo[[#This Row],[Hospital Ownership]]</f>
        <v>Voluntary non-profit - Private</v>
      </c>
      <c r="E2198" cm="1">
        <f t="array" ref="E2198">_xlfn.IFNA(_xlfn.XLOOKUP(1,([1]!hcahps[Facility ID] = clean[[#This Row],[Facility ID]]) * ([1]!hcahps[HCAHPS Measure ID] = "H_HSP_RATING_LINEAR_SCORE"), [1]!hcahps[HCAHPS Linear Mean Value]), "No Match")</f>
        <v>88</v>
      </c>
      <c r="F2198" cm="1">
        <f t="array" ref="F2198">_xlfn.IFNA(_xlfn.XLOOKUP(1,([1]!readmissions[Facility ID] = clean[[#This Row],[Facility ID]]) * ([1]!readmissions[Measure ID] = "Hybrid_HWR"), [1]!readmissions[Score]), "No Match")</f>
        <v>15</v>
      </c>
    </row>
    <row r="2199" spans="1:6" x14ac:dyDescent="0.2">
      <c r="A2199">
        <f>[1]!hospitalinfo[[#This Row],[Facility ID]]</f>
        <v>220075</v>
      </c>
      <c r="B2199" t="str">
        <f>[1]!hospitalinfo[[#This Row],[State]]</f>
        <v>MA</v>
      </c>
      <c r="C2199" t="str">
        <f>[1]!hospitalinfo[[#This Row],[Hospital Type]]</f>
        <v>Acute Care Hospitals</v>
      </c>
      <c r="D2199" t="str">
        <f>[1]!hospitalinfo[[#This Row],[Hospital Ownership]]</f>
        <v>Voluntary non-profit - Private</v>
      </c>
      <c r="E2199" cm="1">
        <f t="array" ref="E2199">_xlfn.IFNA(_xlfn.XLOOKUP(1,([1]!hcahps[Facility ID] = clean[[#This Row],[Facility ID]]) * ([1]!hcahps[HCAHPS Measure ID] = "H_HSP_RATING_LINEAR_SCORE"), [1]!hcahps[HCAHPS Linear Mean Value]), "No Match")</f>
        <v>92</v>
      </c>
      <c r="F2199" cm="1">
        <f t="array" ref="F2199">_xlfn.IFNA(_xlfn.XLOOKUP(1,([1]!readmissions[Facility ID] = clean[[#This Row],[Facility ID]]) * ([1]!readmissions[Measure ID] = "Hybrid_HWR"), [1]!readmissions[Score]), "No Match")</f>
        <v>13.9</v>
      </c>
    </row>
    <row r="2200" spans="1:6" x14ac:dyDescent="0.2">
      <c r="A2200">
        <f>[1]!hospitalinfo[[#This Row],[Facility ID]]</f>
        <v>220077</v>
      </c>
      <c r="B2200" t="str">
        <f>[1]!hospitalinfo[[#This Row],[State]]</f>
        <v>MA</v>
      </c>
      <c r="C2200" t="str">
        <f>[1]!hospitalinfo[[#This Row],[Hospital Type]]</f>
        <v>Acute Care Hospitals</v>
      </c>
      <c r="D2200" t="str">
        <f>[1]!hospitalinfo[[#This Row],[Hospital Ownership]]</f>
        <v>Voluntary non-profit - Private</v>
      </c>
      <c r="E2200" cm="1">
        <f t="array" ref="E2200">_xlfn.IFNA(_xlfn.XLOOKUP(1,([1]!hcahps[Facility ID] = clean[[#This Row],[Facility ID]]) * ([1]!hcahps[HCAHPS Measure ID] = "H_HSP_RATING_LINEAR_SCORE"), [1]!hcahps[HCAHPS Linear Mean Value]), "No Match")</f>
        <v>83</v>
      </c>
      <c r="F2200" cm="1">
        <f t="array" ref="F2200">_xlfn.IFNA(_xlfn.XLOOKUP(1,([1]!readmissions[Facility ID] = clean[[#This Row],[Facility ID]]) * ([1]!readmissions[Measure ID] = "Hybrid_HWR"), [1]!readmissions[Score]), "No Match")</f>
        <v>16.399999999999999</v>
      </c>
    </row>
    <row r="2201" spans="1:6" x14ac:dyDescent="0.2">
      <c r="A2201">
        <f>[1]!hospitalinfo[[#This Row],[Facility ID]]</f>
        <v>220080</v>
      </c>
      <c r="B2201" t="str">
        <f>[1]!hospitalinfo[[#This Row],[State]]</f>
        <v>MA</v>
      </c>
      <c r="C2201" t="str">
        <f>[1]!hospitalinfo[[#This Row],[Hospital Type]]</f>
        <v>Acute Care Hospitals</v>
      </c>
      <c r="D2201" t="str">
        <f>[1]!hospitalinfo[[#This Row],[Hospital Ownership]]</f>
        <v>Proprietary</v>
      </c>
      <c r="E2201" cm="1">
        <f t="array" ref="E2201">_xlfn.IFNA(_xlfn.XLOOKUP(1,([1]!hcahps[Facility ID] = clean[[#This Row],[Facility ID]]) * ([1]!hcahps[HCAHPS Measure ID] = "H_HSP_RATING_LINEAR_SCORE"), [1]!hcahps[HCAHPS Linear Mean Value]), "No Match")</f>
        <v>80</v>
      </c>
      <c r="F2201" cm="1">
        <f t="array" ref="F2201">_xlfn.IFNA(_xlfn.XLOOKUP(1,([1]!readmissions[Facility ID] = clean[[#This Row],[Facility ID]]) * ([1]!readmissions[Measure ID] = "Hybrid_HWR"), [1]!readmissions[Score]), "No Match")</f>
        <v>15.8</v>
      </c>
    </row>
    <row r="2202" spans="1:6" x14ac:dyDescent="0.2">
      <c r="A2202">
        <f>[1]!hospitalinfo[[#This Row],[Facility ID]]</f>
        <v>220083</v>
      </c>
      <c r="B2202" t="str">
        <f>[1]!hospitalinfo[[#This Row],[State]]</f>
        <v>MA</v>
      </c>
      <c r="C2202" t="str">
        <f>[1]!hospitalinfo[[#This Row],[Hospital Type]]</f>
        <v>Acute Care Hospitals</v>
      </c>
      <c r="D2202" t="str">
        <f>[1]!hospitalinfo[[#This Row],[Hospital Ownership]]</f>
        <v>Voluntary non-profit - Private</v>
      </c>
      <c r="E2202" cm="1">
        <f t="array" ref="E2202">_xlfn.IFNA(_xlfn.XLOOKUP(1,([1]!hcahps[Facility ID] = clean[[#This Row],[Facility ID]]) * ([1]!hcahps[HCAHPS Measure ID] = "H_HSP_RATING_LINEAR_SCORE"), [1]!hcahps[HCAHPS Linear Mean Value]), "No Match")</f>
        <v>88</v>
      </c>
      <c r="F2202" cm="1">
        <f t="array" ref="F2202">_xlfn.IFNA(_xlfn.XLOOKUP(1,([1]!readmissions[Facility ID] = clean[[#This Row],[Facility ID]]) * ([1]!readmissions[Measure ID] = "Hybrid_HWR"), [1]!readmissions[Score]), "No Match")</f>
        <v>15.8</v>
      </c>
    </row>
    <row r="2203" spans="1:6" x14ac:dyDescent="0.2">
      <c r="A2203">
        <f>[1]!hospitalinfo[[#This Row],[Facility ID]]</f>
        <v>220084</v>
      </c>
      <c r="B2203" t="str">
        <f>[1]!hospitalinfo[[#This Row],[State]]</f>
        <v>MA</v>
      </c>
      <c r="C2203" t="str">
        <f>[1]!hospitalinfo[[#This Row],[Hospital Type]]</f>
        <v>Acute Care Hospitals</v>
      </c>
      <c r="D2203" t="str">
        <f>[1]!hospitalinfo[[#This Row],[Hospital Ownership]]</f>
        <v>Voluntary non-profit - Private</v>
      </c>
      <c r="E2203" cm="1">
        <f t="array" ref="E2203">_xlfn.IFNA(_xlfn.XLOOKUP(1,([1]!hcahps[Facility ID] = clean[[#This Row],[Facility ID]]) * ([1]!hcahps[HCAHPS Measure ID] = "H_HSP_RATING_LINEAR_SCORE"), [1]!hcahps[HCAHPS Linear Mean Value]), "No Match")</f>
        <v>89</v>
      </c>
      <c r="F2203" cm="1">
        <f t="array" ref="F2203">_xlfn.IFNA(_xlfn.XLOOKUP(1,([1]!readmissions[Facility ID] = clean[[#This Row],[Facility ID]]) * ([1]!readmissions[Measure ID] = "Hybrid_HWR"), [1]!readmissions[Score]), "No Match")</f>
        <v>13.5</v>
      </c>
    </row>
    <row r="2204" spans="1:6" x14ac:dyDescent="0.2">
      <c r="A2204">
        <f>[1]!hospitalinfo[[#This Row],[Facility ID]]</f>
        <v>220086</v>
      </c>
      <c r="B2204" t="str">
        <f>[1]!hospitalinfo[[#This Row],[State]]</f>
        <v>MA</v>
      </c>
      <c r="C2204" t="str">
        <f>[1]!hospitalinfo[[#This Row],[Hospital Type]]</f>
        <v>Acute Care Hospitals</v>
      </c>
      <c r="D2204" t="str">
        <f>[1]!hospitalinfo[[#This Row],[Hospital Ownership]]</f>
        <v>Voluntary non-profit - Private</v>
      </c>
      <c r="E2204" cm="1">
        <f t="array" ref="E2204">_xlfn.IFNA(_xlfn.XLOOKUP(1,([1]!hcahps[Facility ID] = clean[[#This Row],[Facility ID]]) * ([1]!hcahps[HCAHPS Measure ID] = "H_HSP_RATING_LINEAR_SCORE"), [1]!hcahps[HCAHPS Linear Mean Value]), "No Match")</f>
        <v>90</v>
      </c>
      <c r="F2204" cm="1">
        <f t="array" ref="F2204">_xlfn.IFNA(_xlfn.XLOOKUP(1,([1]!readmissions[Facility ID] = clean[[#This Row],[Facility ID]]) * ([1]!readmissions[Measure ID] = "Hybrid_HWR"), [1]!readmissions[Score]), "No Match")</f>
        <v>16</v>
      </c>
    </row>
    <row r="2205" spans="1:6" x14ac:dyDescent="0.2">
      <c r="A2205">
        <f>[1]!hospitalinfo[[#This Row],[Facility ID]]</f>
        <v>220088</v>
      </c>
      <c r="B2205" t="str">
        <f>[1]!hospitalinfo[[#This Row],[State]]</f>
        <v>MA</v>
      </c>
      <c r="C2205" t="str">
        <f>[1]!hospitalinfo[[#This Row],[Hospital Type]]</f>
        <v>Acute Care Hospitals</v>
      </c>
      <c r="D2205" t="str">
        <f>[1]!hospitalinfo[[#This Row],[Hospital Ownership]]</f>
        <v>Voluntary non-profit - Private</v>
      </c>
      <c r="E2205" cm="1">
        <f t="array" ref="E2205">_xlfn.IFNA(_xlfn.XLOOKUP(1,([1]!hcahps[Facility ID] = clean[[#This Row],[Facility ID]]) * ([1]!hcahps[HCAHPS Measure ID] = "H_HSP_RATING_LINEAR_SCORE"), [1]!hcahps[HCAHPS Linear Mean Value]), "No Match")</f>
        <v>93</v>
      </c>
      <c r="F2205" cm="1">
        <f t="array" ref="F2205">_xlfn.IFNA(_xlfn.XLOOKUP(1,([1]!readmissions[Facility ID] = clean[[#This Row],[Facility ID]]) * ([1]!readmissions[Measure ID] = "Hybrid_HWR"), [1]!readmissions[Score]), "No Match")</f>
        <v>11.7</v>
      </c>
    </row>
    <row r="2206" spans="1:6" x14ac:dyDescent="0.2">
      <c r="A2206">
        <f>[1]!hospitalinfo[[#This Row],[Facility ID]]</f>
        <v>220090</v>
      </c>
      <c r="B2206" t="str">
        <f>[1]!hospitalinfo[[#This Row],[State]]</f>
        <v>MA</v>
      </c>
      <c r="C2206" t="str">
        <f>[1]!hospitalinfo[[#This Row],[Hospital Type]]</f>
        <v>Acute Care Hospitals</v>
      </c>
      <c r="D2206" t="str">
        <f>[1]!hospitalinfo[[#This Row],[Hospital Ownership]]</f>
        <v>Voluntary non-profit - Other</v>
      </c>
      <c r="E2206" cm="1">
        <f t="array" ref="E2206">_xlfn.IFNA(_xlfn.XLOOKUP(1,([1]!hcahps[Facility ID] = clean[[#This Row],[Facility ID]]) * ([1]!hcahps[HCAHPS Measure ID] = "H_HSP_RATING_LINEAR_SCORE"), [1]!hcahps[HCAHPS Linear Mean Value]), "No Match")</f>
        <v>90</v>
      </c>
      <c r="F2206" cm="1">
        <f t="array" ref="F2206">_xlfn.IFNA(_xlfn.XLOOKUP(1,([1]!readmissions[Facility ID] = clean[[#This Row],[Facility ID]]) * ([1]!readmissions[Measure ID] = "Hybrid_HWR"), [1]!readmissions[Score]), "No Match")</f>
        <v>17.2</v>
      </c>
    </row>
    <row r="2207" spans="1:6" x14ac:dyDescent="0.2">
      <c r="A2207">
        <f>[1]!hospitalinfo[[#This Row],[Facility ID]]</f>
        <v>220095</v>
      </c>
      <c r="B2207" t="str">
        <f>[1]!hospitalinfo[[#This Row],[State]]</f>
        <v>MA</v>
      </c>
      <c r="C2207" t="str">
        <f>[1]!hospitalinfo[[#This Row],[Hospital Type]]</f>
        <v>Acute Care Hospitals</v>
      </c>
      <c r="D2207" t="str">
        <f>[1]!hospitalinfo[[#This Row],[Hospital Ownership]]</f>
        <v>Voluntary non-profit - Private</v>
      </c>
      <c r="E2207" cm="1">
        <f t="array" ref="E2207">_xlfn.IFNA(_xlfn.XLOOKUP(1,([1]!hcahps[Facility ID] = clean[[#This Row],[Facility ID]]) * ([1]!hcahps[HCAHPS Measure ID] = "H_HSP_RATING_LINEAR_SCORE"), [1]!hcahps[HCAHPS Linear Mean Value]), "No Match")</f>
        <v>88</v>
      </c>
      <c r="F2207" cm="1">
        <f t="array" ref="F2207">_xlfn.IFNA(_xlfn.XLOOKUP(1,([1]!readmissions[Facility ID] = clean[[#This Row],[Facility ID]]) * ([1]!readmissions[Measure ID] = "Hybrid_HWR"), [1]!readmissions[Score]), "No Match")</f>
        <v>15.7</v>
      </c>
    </row>
    <row r="2208" spans="1:6" x14ac:dyDescent="0.2">
      <c r="A2208">
        <f>[1]!hospitalinfo[[#This Row],[Facility ID]]</f>
        <v>220098</v>
      </c>
      <c r="B2208" t="str">
        <f>[1]!hospitalinfo[[#This Row],[State]]</f>
        <v>MA</v>
      </c>
      <c r="C2208" t="str">
        <f>[1]!hospitalinfo[[#This Row],[Hospital Type]]</f>
        <v>Acute Care Hospitals</v>
      </c>
      <c r="D2208" t="str">
        <f>[1]!hospitalinfo[[#This Row],[Hospital Ownership]]</f>
        <v>Proprietary</v>
      </c>
      <c r="E2208" t="str" cm="1">
        <f t="array" ref="E2208">_xlfn.IFNA(_xlfn.XLOOKUP(1,([1]!hcahps[Facility ID] = clean[[#This Row],[Facility ID]]) * ([1]!hcahps[HCAHPS Measure ID] = "H_HSP_RATING_LINEAR_SCORE"), [1]!hcahps[HCAHPS Linear Mean Value]), "No Match")</f>
        <v>Not Available</v>
      </c>
      <c r="F2208" t="str" cm="1">
        <f t="array" ref="F2208">_xlfn.IFNA(_xlfn.XLOOKUP(1,([1]!readmissions[Facility ID] = clean[[#This Row],[Facility ID]]) * ([1]!readmissions[Measure ID] = "Hybrid_HWR"), [1]!readmissions[Score]), "No Match")</f>
        <v>Not Available</v>
      </c>
    </row>
    <row r="2209" spans="1:6" x14ac:dyDescent="0.2">
      <c r="A2209">
        <f>[1]!hospitalinfo[[#This Row],[Facility ID]]</f>
        <v>220100</v>
      </c>
      <c r="B2209" t="str">
        <f>[1]!hospitalinfo[[#This Row],[State]]</f>
        <v>MA</v>
      </c>
      <c r="C2209" t="str">
        <f>[1]!hospitalinfo[[#This Row],[Hospital Type]]</f>
        <v>Acute Care Hospitals</v>
      </c>
      <c r="D2209" t="str">
        <f>[1]!hospitalinfo[[#This Row],[Hospital Ownership]]</f>
        <v>Voluntary non-profit - Private</v>
      </c>
      <c r="E2209" cm="1">
        <f t="array" ref="E2209">_xlfn.IFNA(_xlfn.XLOOKUP(1,([1]!hcahps[Facility ID] = clean[[#This Row],[Facility ID]]) * ([1]!hcahps[HCAHPS Measure ID] = "H_HSP_RATING_LINEAR_SCORE"), [1]!hcahps[HCAHPS Linear Mean Value]), "No Match")</f>
        <v>86</v>
      </c>
      <c r="F2209" cm="1">
        <f t="array" ref="F2209">_xlfn.IFNA(_xlfn.XLOOKUP(1,([1]!readmissions[Facility ID] = clean[[#This Row],[Facility ID]]) * ([1]!readmissions[Measure ID] = "Hybrid_HWR"), [1]!readmissions[Score]), "No Match")</f>
        <v>17.399999999999999</v>
      </c>
    </row>
    <row r="2210" spans="1:6" x14ac:dyDescent="0.2">
      <c r="A2210">
        <f>[1]!hospitalinfo[[#This Row],[Facility ID]]</f>
        <v>220101</v>
      </c>
      <c r="B2210" t="str">
        <f>[1]!hospitalinfo[[#This Row],[State]]</f>
        <v>MA</v>
      </c>
      <c r="C2210" t="str">
        <f>[1]!hospitalinfo[[#This Row],[Hospital Type]]</f>
        <v>Acute Care Hospitals</v>
      </c>
      <c r="D2210" t="str">
        <f>[1]!hospitalinfo[[#This Row],[Hospital Ownership]]</f>
        <v>Voluntary non-profit - Private</v>
      </c>
      <c r="E2210" cm="1">
        <f t="array" ref="E2210">_xlfn.IFNA(_xlfn.XLOOKUP(1,([1]!hcahps[Facility ID] = clean[[#This Row],[Facility ID]]) * ([1]!hcahps[HCAHPS Measure ID] = "H_HSP_RATING_LINEAR_SCORE"), [1]!hcahps[HCAHPS Linear Mean Value]), "No Match")</f>
        <v>89</v>
      </c>
      <c r="F2210" cm="1">
        <f t="array" ref="F2210">_xlfn.IFNA(_xlfn.XLOOKUP(1,([1]!readmissions[Facility ID] = clean[[#This Row],[Facility ID]]) * ([1]!readmissions[Measure ID] = "Hybrid_HWR"), [1]!readmissions[Score]), "No Match")</f>
        <v>15.1</v>
      </c>
    </row>
    <row r="2211" spans="1:6" x14ac:dyDescent="0.2">
      <c r="A2211">
        <f>[1]!hospitalinfo[[#This Row],[Facility ID]]</f>
        <v>220105</v>
      </c>
      <c r="B2211" t="str">
        <f>[1]!hospitalinfo[[#This Row],[State]]</f>
        <v>MA</v>
      </c>
      <c r="C2211" t="str">
        <f>[1]!hospitalinfo[[#This Row],[Hospital Type]]</f>
        <v>Acute Care Hospitals</v>
      </c>
      <c r="D2211" t="str">
        <f>[1]!hospitalinfo[[#This Row],[Hospital Ownership]]</f>
        <v>Voluntary non-profit - Private</v>
      </c>
      <c r="E2211" cm="1">
        <f t="array" ref="E2211">_xlfn.IFNA(_xlfn.XLOOKUP(1,([1]!hcahps[Facility ID] = clean[[#This Row],[Facility ID]]) * ([1]!hcahps[HCAHPS Measure ID] = "H_HSP_RATING_LINEAR_SCORE"), [1]!hcahps[HCAHPS Linear Mean Value]), "No Match")</f>
        <v>88</v>
      </c>
      <c r="F2211" cm="1">
        <f t="array" ref="F2211">_xlfn.IFNA(_xlfn.XLOOKUP(1,([1]!readmissions[Facility ID] = clean[[#This Row],[Facility ID]]) * ([1]!readmissions[Measure ID] = "Hybrid_HWR"), [1]!readmissions[Score]), "No Match")</f>
        <v>16.8</v>
      </c>
    </row>
    <row r="2212" spans="1:6" x14ac:dyDescent="0.2">
      <c r="A2212">
        <f>[1]!hospitalinfo[[#This Row],[Facility ID]]</f>
        <v>220108</v>
      </c>
      <c r="B2212" t="str">
        <f>[1]!hospitalinfo[[#This Row],[State]]</f>
        <v>MA</v>
      </c>
      <c r="C2212" t="str">
        <f>[1]!hospitalinfo[[#This Row],[Hospital Type]]</f>
        <v>Acute Care Hospitals</v>
      </c>
      <c r="D2212" t="str">
        <f>[1]!hospitalinfo[[#This Row],[Hospital Ownership]]</f>
        <v>Government - Federal</v>
      </c>
      <c r="E2212" cm="1">
        <f t="array" ref="E2212">_xlfn.IFNA(_xlfn.XLOOKUP(1,([1]!hcahps[Facility ID] = clean[[#This Row],[Facility ID]]) * ([1]!hcahps[HCAHPS Measure ID] = "H_HSP_RATING_LINEAR_SCORE"), [1]!hcahps[HCAHPS Linear Mean Value]), "No Match")</f>
        <v>87</v>
      </c>
      <c r="F2212" cm="1">
        <f t="array" ref="F2212">_xlfn.IFNA(_xlfn.XLOOKUP(1,([1]!readmissions[Facility ID] = clean[[#This Row],[Facility ID]]) * ([1]!readmissions[Measure ID] = "Hybrid_HWR"), [1]!readmissions[Score]), "No Match")</f>
        <v>16.3</v>
      </c>
    </row>
    <row r="2213" spans="1:6" x14ac:dyDescent="0.2">
      <c r="A2213">
        <f>[1]!hospitalinfo[[#This Row],[Facility ID]]</f>
        <v>220110</v>
      </c>
      <c r="B2213" t="str">
        <f>[1]!hospitalinfo[[#This Row],[State]]</f>
        <v>MA</v>
      </c>
      <c r="C2213" t="str">
        <f>[1]!hospitalinfo[[#This Row],[Hospital Type]]</f>
        <v>Acute Care Hospitals</v>
      </c>
      <c r="D2213" t="str">
        <f>[1]!hospitalinfo[[#This Row],[Hospital Ownership]]</f>
        <v>Voluntary non-profit - Private</v>
      </c>
      <c r="E2213" cm="1">
        <f t="array" ref="E2213">_xlfn.IFNA(_xlfn.XLOOKUP(1,([1]!hcahps[Facility ID] = clean[[#This Row],[Facility ID]]) * ([1]!hcahps[HCAHPS Measure ID] = "H_HSP_RATING_LINEAR_SCORE"), [1]!hcahps[HCAHPS Linear Mean Value]), "No Match")</f>
        <v>90</v>
      </c>
      <c r="F2213" cm="1">
        <f t="array" ref="F2213">_xlfn.IFNA(_xlfn.XLOOKUP(1,([1]!readmissions[Facility ID] = clean[[#This Row],[Facility ID]]) * ([1]!readmissions[Measure ID] = "Hybrid_HWR"), [1]!readmissions[Score]), "No Match")</f>
        <v>14.9</v>
      </c>
    </row>
    <row r="2214" spans="1:6" x14ac:dyDescent="0.2">
      <c r="A2214">
        <f>[1]!hospitalinfo[[#This Row],[Facility ID]]</f>
        <v>220111</v>
      </c>
      <c r="B2214" t="str">
        <f>[1]!hospitalinfo[[#This Row],[State]]</f>
        <v>MA</v>
      </c>
      <c r="C2214" t="str">
        <f>[1]!hospitalinfo[[#This Row],[Hospital Type]]</f>
        <v>Acute Care Hospitals</v>
      </c>
      <c r="D2214" t="str">
        <f>[1]!hospitalinfo[[#This Row],[Hospital Ownership]]</f>
        <v>Proprietary</v>
      </c>
      <c r="E2214" cm="1">
        <f t="array" ref="E2214">_xlfn.IFNA(_xlfn.XLOOKUP(1,([1]!hcahps[Facility ID] = clean[[#This Row],[Facility ID]]) * ([1]!hcahps[HCAHPS Measure ID] = "H_HSP_RATING_LINEAR_SCORE"), [1]!hcahps[HCAHPS Linear Mean Value]), "No Match")</f>
        <v>80</v>
      </c>
      <c r="F2214" cm="1">
        <f t="array" ref="F2214">_xlfn.IFNA(_xlfn.XLOOKUP(1,([1]!readmissions[Facility ID] = clean[[#This Row],[Facility ID]]) * ([1]!readmissions[Measure ID] = "Hybrid_HWR"), [1]!readmissions[Score]), "No Match")</f>
        <v>16.100000000000001</v>
      </c>
    </row>
    <row r="2215" spans="1:6" x14ac:dyDescent="0.2">
      <c r="A2215">
        <f>[1]!hospitalinfo[[#This Row],[Facility ID]]</f>
        <v>220116</v>
      </c>
      <c r="B2215" t="str">
        <f>[1]!hospitalinfo[[#This Row],[State]]</f>
        <v>MA</v>
      </c>
      <c r="C2215" t="str">
        <f>[1]!hospitalinfo[[#This Row],[Hospital Type]]</f>
        <v>Acute Care Hospitals</v>
      </c>
      <c r="D2215" t="str">
        <f>[1]!hospitalinfo[[#This Row],[Hospital Ownership]]</f>
        <v>Voluntary non-profit - Private</v>
      </c>
      <c r="E2215" cm="1">
        <f t="array" ref="E2215">_xlfn.IFNA(_xlfn.XLOOKUP(1,([1]!hcahps[Facility ID] = clean[[#This Row],[Facility ID]]) * ([1]!hcahps[HCAHPS Measure ID] = "H_HSP_RATING_LINEAR_SCORE"), [1]!hcahps[HCAHPS Linear Mean Value]), "No Match")</f>
        <v>90</v>
      </c>
      <c r="F2215" cm="1">
        <f t="array" ref="F2215">_xlfn.IFNA(_xlfn.XLOOKUP(1,([1]!readmissions[Facility ID] = clean[[#This Row],[Facility ID]]) * ([1]!readmissions[Measure ID] = "Hybrid_HWR"), [1]!readmissions[Score]), "No Match")</f>
        <v>17.2</v>
      </c>
    </row>
    <row r="2216" spans="1:6" x14ac:dyDescent="0.2">
      <c r="A2216">
        <f>[1]!hospitalinfo[[#This Row],[Facility ID]]</f>
        <v>220119</v>
      </c>
      <c r="B2216" t="str">
        <f>[1]!hospitalinfo[[#This Row],[State]]</f>
        <v>MA</v>
      </c>
      <c r="C2216" t="str">
        <f>[1]!hospitalinfo[[#This Row],[Hospital Type]]</f>
        <v>Acute Care Hospitals</v>
      </c>
      <c r="D2216" t="str">
        <f>[1]!hospitalinfo[[#This Row],[Hospital Ownership]]</f>
        <v>Voluntary non-profit - Private</v>
      </c>
      <c r="E2216" cm="1">
        <f t="array" ref="E2216">_xlfn.IFNA(_xlfn.XLOOKUP(1,([1]!hcahps[Facility ID] = clean[[#This Row],[Facility ID]]) * ([1]!hcahps[HCAHPS Measure ID] = "H_HSP_RATING_LINEAR_SCORE"), [1]!hcahps[HCAHPS Linear Mean Value]), "No Match")</f>
        <v>87</v>
      </c>
      <c r="F2216" cm="1">
        <f t="array" ref="F2216">_xlfn.IFNA(_xlfn.XLOOKUP(1,([1]!readmissions[Facility ID] = clean[[#This Row],[Facility ID]]) * ([1]!readmissions[Measure ID] = "Hybrid_HWR"), [1]!readmissions[Score]), "No Match")</f>
        <v>14.1</v>
      </c>
    </row>
    <row r="2217" spans="1:6" x14ac:dyDescent="0.2">
      <c r="A2217">
        <f>[1]!hospitalinfo[[#This Row],[Facility ID]]</f>
        <v>220126</v>
      </c>
      <c r="B2217" t="str">
        <f>[1]!hospitalinfo[[#This Row],[State]]</f>
        <v>MA</v>
      </c>
      <c r="C2217" t="str">
        <f>[1]!hospitalinfo[[#This Row],[Hospital Type]]</f>
        <v>Acute Care Hospitals</v>
      </c>
      <c r="D2217" t="str">
        <f>[1]!hospitalinfo[[#This Row],[Hospital Ownership]]</f>
        <v>Proprietary</v>
      </c>
      <c r="E2217" t="str" cm="1">
        <f t="array" ref="E2217">_xlfn.IFNA(_xlfn.XLOOKUP(1,([1]!hcahps[Facility ID] = clean[[#This Row],[Facility ID]]) * ([1]!hcahps[HCAHPS Measure ID] = "H_HSP_RATING_LINEAR_SCORE"), [1]!hcahps[HCAHPS Linear Mean Value]), "No Match")</f>
        <v>Not Available</v>
      </c>
      <c r="F2217" t="str" cm="1">
        <f t="array" ref="F2217">_xlfn.IFNA(_xlfn.XLOOKUP(1,([1]!readmissions[Facility ID] = clean[[#This Row],[Facility ID]]) * ([1]!readmissions[Measure ID] = "Hybrid_HWR"), [1]!readmissions[Score]), "No Match")</f>
        <v>Not Available</v>
      </c>
    </row>
    <row r="2218" spans="1:6" x14ac:dyDescent="0.2">
      <c r="A2218">
        <f>[1]!hospitalinfo[[#This Row],[Facility ID]]</f>
        <v>220135</v>
      </c>
      <c r="B2218" t="str">
        <f>[1]!hospitalinfo[[#This Row],[State]]</f>
        <v>MA</v>
      </c>
      <c r="C2218" t="str">
        <f>[1]!hospitalinfo[[#This Row],[Hospital Type]]</f>
        <v>Acute Care Hospitals</v>
      </c>
      <c r="D2218" t="str">
        <f>[1]!hospitalinfo[[#This Row],[Hospital Ownership]]</f>
        <v>Voluntary non-profit - Private</v>
      </c>
      <c r="E2218" cm="1">
        <f t="array" ref="E2218">_xlfn.IFNA(_xlfn.XLOOKUP(1,([1]!hcahps[Facility ID] = clean[[#This Row],[Facility ID]]) * ([1]!hcahps[HCAHPS Measure ID] = "H_HSP_RATING_LINEAR_SCORE"), [1]!hcahps[HCAHPS Linear Mean Value]), "No Match")</f>
        <v>88</v>
      </c>
      <c r="F2218" cm="1">
        <f t="array" ref="F2218">_xlfn.IFNA(_xlfn.XLOOKUP(1,([1]!readmissions[Facility ID] = clean[[#This Row],[Facility ID]]) * ([1]!readmissions[Measure ID] = "Hybrid_HWR"), [1]!readmissions[Score]), "No Match")</f>
        <v>16</v>
      </c>
    </row>
    <row r="2219" spans="1:6" x14ac:dyDescent="0.2">
      <c r="A2219">
        <f>[1]!hospitalinfo[[#This Row],[Facility ID]]</f>
        <v>220163</v>
      </c>
      <c r="B2219" t="str">
        <f>[1]!hospitalinfo[[#This Row],[State]]</f>
        <v>MA</v>
      </c>
      <c r="C2219" t="str">
        <f>[1]!hospitalinfo[[#This Row],[Hospital Type]]</f>
        <v>Acute Care Hospitals</v>
      </c>
      <c r="D2219" t="str">
        <f>[1]!hospitalinfo[[#This Row],[Hospital Ownership]]</f>
        <v>Voluntary non-profit - Private</v>
      </c>
      <c r="E2219" cm="1">
        <f t="array" ref="E2219">_xlfn.IFNA(_xlfn.XLOOKUP(1,([1]!hcahps[Facility ID] = clean[[#This Row],[Facility ID]]) * ([1]!hcahps[HCAHPS Measure ID] = "H_HSP_RATING_LINEAR_SCORE"), [1]!hcahps[HCAHPS Linear Mean Value]), "No Match")</f>
        <v>87</v>
      </c>
      <c r="F2219" cm="1">
        <f t="array" ref="F2219">_xlfn.IFNA(_xlfn.XLOOKUP(1,([1]!readmissions[Facility ID] = clean[[#This Row],[Facility ID]]) * ([1]!readmissions[Measure ID] = "Hybrid_HWR"), [1]!readmissions[Score]), "No Match")</f>
        <v>14.9</v>
      </c>
    </row>
    <row r="2220" spans="1:6" x14ac:dyDescent="0.2">
      <c r="A2220">
        <f>[1]!hospitalinfo[[#This Row],[Facility ID]]</f>
        <v>220171</v>
      </c>
      <c r="B2220" t="str">
        <f>[1]!hospitalinfo[[#This Row],[State]]</f>
        <v>MA</v>
      </c>
      <c r="C2220" t="str">
        <f>[1]!hospitalinfo[[#This Row],[Hospital Type]]</f>
        <v>Acute Care Hospitals</v>
      </c>
      <c r="D2220" t="str">
        <f>[1]!hospitalinfo[[#This Row],[Hospital Ownership]]</f>
        <v>Voluntary non-profit - Private</v>
      </c>
      <c r="E2220" cm="1">
        <f t="array" ref="E2220">_xlfn.IFNA(_xlfn.XLOOKUP(1,([1]!hcahps[Facility ID] = clean[[#This Row],[Facility ID]]) * ([1]!hcahps[HCAHPS Measure ID] = "H_HSP_RATING_LINEAR_SCORE"), [1]!hcahps[HCAHPS Linear Mean Value]), "No Match")</f>
        <v>87</v>
      </c>
      <c r="F2220" cm="1">
        <f t="array" ref="F2220">_xlfn.IFNA(_xlfn.XLOOKUP(1,([1]!readmissions[Facility ID] = clean[[#This Row],[Facility ID]]) * ([1]!readmissions[Measure ID] = "Hybrid_HWR"), [1]!readmissions[Score]), "No Match")</f>
        <v>15.6</v>
      </c>
    </row>
    <row r="2221" spans="1:6" x14ac:dyDescent="0.2">
      <c r="A2221">
        <f>[1]!hospitalinfo[[#This Row],[Facility ID]]</f>
        <v>220175</v>
      </c>
      <c r="B2221" t="str">
        <f>[1]!hospitalinfo[[#This Row],[State]]</f>
        <v>MA</v>
      </c>
      <c r="C2221" t="str">
        <f>[1]!hospitalinfo[[#This Row],[Hospital Type]]</f>
        <v>Acute Care Hospitals</v>
      </c>
      <c r="D2221" t="str">
        <f>[1]!hospitalinfo[[#This Row],[Hospital Ownership]]</f>
        <v>Voluntary non-profit - Private</v>
      </c>
      <c r="E2221" cm="1">
        <f t="array" ref="E2221">_xlfn.IFNA(_xlfn.XLOOKUP(1,([1]!hcahps[Facility ID] = clean[[#This Row],[Facility ID]]) * ([1]!hcahps[HCAHPS Measure ID] = "H_HSP_RATING_LINEAR_SCORE"), [1]!hcahps[HCAHPS Linear Mean Value]), "No Match")</f>
        <v>76</v>
      </c>
      <c r="F2221" cm="1">
        <f t="array" ref="F2221">_xlfn.IFNA(_xlfn.XLOOKUP(1,([1]!readmissions[Facility ID] = clean[[#This Row],[Facility ID]]) * ([1]!readmissions[Measure ID] = "Hybrid_HWR"), [1]!readmissions[Score]), "No Match")</f>
        <v>15.8</v>
      </c>
    </row>
    <row r="2222" spans="1:6" x14ac:dyDescent="0.2">
      <c r="A2222">
        <f>[1]!hospitalinfo[[#This Row],[Facility ID]]</f>
        <v>220176</v>
      </c>
      <c r="B2222" t="str">
        <f>[1]!hospitalinfo[[#This Row],[State]]</f>
        <v>MA</v>
      </c>
      <c r="C2222" t="str">
        <f>[1]!hospitalinfo[[#This Row],[Hospital Type]]</f>
        <v>Acute Care Hospitals</v>
      </c>
      <c r="D2222" t="str">
        <f>[1]!hospitalinfo[[#This Row],[Hospital Ownership]]</f>
        <v>Proprietary</v>
      </c>
      <c r="E2222" cm="1">
        <f t="array" ref="E2222">_xlfn.IFNA(_xlfn.XLOOKUP(1,([1]!hcahps[Facility ID] = clean[[#This Row],[Facility ID]]) * ([1]!hcahps[HCAHPS Measure ID] = "H_HSP_RATING_LINEAR_SCORE"), [1]!hcahps[HCAHPS Linear Mean Value]), "No Match")</f>
        <v>79</v>
      </c>
      <c r="F2222" cm="1">
        <f t="array" ref="F2222">_xlfn.IFNA(_xlfn.XLOOKUP(1,([1]!readmissions[Facility ID] = clean[[#This Row],[Facility ID]]) * ([1]!readmissions[Measure ID] = "Hybrid_HWR"), [1]!readmissions[Score]), "No Match")</f>
        <v>14.8</v>
      </c>
    </row>
    <row r="2223" spans="1:6" x14ac:dyDescent="0.2">
      <c r="A2223">
        <f>[1]!hospitalinfo[[#This Row],[Facility ID]]</f>
        <v>220177</v>
      </c>
      <c r="B2223" t="str">
        <f>[1]!hospitalinfo[[#This Row],[State]]</f>
        <v>MA</v>
      </c>
      <c r="C2223" t="str">
        <f>[1]!hospitalinfo[[#This Row],[Hospital Type]]</f>
        <v>Acute Care Hospitals</v>
      </c>
      <c r="D2223" t="str">
        <f>[1]!hospitalinfo[[#This Row],[Hospital Ownership]]</f>
        <v>Voluntary non-profit - Private</v>
      </c>
      <c r="E2223" t="str" cm="1">
        <f t="array" ref="E2223">_xlfn.IFNA(_xlfn.XLOOKUP(1,([1]!hcahps[Facility ID] = clean[[#This Row],[Facility ID]]) * ([1]!hcahps[HCAHPS Measure ID] = "H_HSP_RATING_LINEAR_SCORE"), [1]!hcahps[HCAHPS Linear Mean Value]), "No Match")</f>
        <v>Not Available</v>
      </c>
      <c r="F2223" cm="1">
        <f t="array" ref="F2223">_xlfn.IFNA(_xlfn.XLOOKUP(1,([1]!readmissions[Facility ID] = clean[[#This Row],[Facility ID]]) * ([1]!readmissions[Measure ID] = "Hybrid_HWR"), [1]!readmissions[Score]), "No Match")</f>
        <v>15.1</v>
      </c>
    </row>
    <row r="2224" spans="1:6" x14ac:dyDescent="0.2">
      <c r="A2224">
        <f>[1]!hospitalinfo[[#This Row],[Facility ID]]</f>
        <v>221300</v>
      </c>
      <c r="B2224" t="str">
        <f>[1]!hospitalinfo[[#This Row],[State]]</f>
        <v>MA</v>
      </c>
      <c r="C2224" t="str">
        <f>[1]!hospitalinfo[[#This Row],[Hospital Type]]</f>
        <v>Critical Access Hospitals</v>
      </c>
      <c r="D2224" t="str">
        <f>[1]!hospitalinfo[[#This Row],[Hospital Ownership]]</f>
        <v>Voluntary non-profit - Private</v>
      </c>
      <c r="E2224" cm="1">
        <f t="array" ref="E2224">_xlfn.IFNA(_xlfn.XLOOKUP(1,([1]!hcahps[Facility ID] = clean[[#This Row],[Facility ID]]) * ([1]!hcahps[HCAHPS Measure ID] = "H_HSP_RATING_LINEAR_SCORE"), [1]!hcahps[HCAHPS Linear Mean Value]), "No Match")</f>
        <v>92</v>
      </c>
      <c r="F2224" cm="1">
        <f t="array" ref="F2224">_xlfn.IFNA(_xlfn.XLOOKUP(1,([1]!readmissions[Facility ID] = clean[[#This Row],[Facility ID]]) * ([1]!readmissions[Measure ID] = "Hybrid_HWR"), [1]!readmissions[Score]), "No Match")</f>
        <v>17</v>
      </c>
    </row>
    <row r="2225" spans="1:6" x14ac:dyDescent="0.2">
      <c r="A2225">
        <f>[1]!hospitalinfo[[#This Row],[Facility ID]]</f>
        <v>221302</v>
      </c>
      <c r="B2225" t="str">
        <f>[1]!hospitalinfo[[#This Row],[State]]</f>
        <v>MA</v>
      </c>
      <c r="C2225" t="str">
        <f>[1]!hospitalinfo[[#This Row],[Hospital Type]]</f>
        <v>Critical Access Hospitals</v>
      </c>
      <c r="D2225" t="str">
        <f>[1]!hospitalinfo[[#This Row],[Hospital Ownership]]</f>
        <v>Voluntary non-profit - Private</v>
      </c>
      <c r="E2225" cm="1">
        <f t="array" ref="E2225">_xlfn.IFNA(_xlfn.XLOOKUP(1,([1]!hcahps[Facility ID] = clean[[#This Row],[Facility ID]]) * ([1]!hcahps[HCAHPS Measure ID] = "H_HSP_RATING_LINEAR_SCORE"), [1]!hcahps[HCAHPS Linear Mean Value]), "No Match")</f>
        <v>94</v>
      </c>
      <c r="F2225" cm="1">
        <f t="array" ref="F2225">_xlfn.IFNA(_xlfn.XLOOKUP(1,([1]!readmissions[Facility ID] = clean[[#This Row],[Facility ID]]) * ([1]!readmissions[Measure ID] = "Hybrid_HWR"), [1]!readmissions[Score]), "No Match")</f>
        <v>14.2</v>
      </c>
    </row>
    <row r="2226" spans="1:6" x14ac:dyDescent="0.2">
      <c r="A2226">
        <f>[1]!hospitalinfo[[#This Row],[Facility ID]]</f>
        <v>221303</v>
      </c>
      <c r="B2226" t="str">
        <f>[1]!hospitalinfo[[#This Row],[State]]</f>
        <v>MA</v>
      </c>
      <c r="C2226" t="str">
        <f>[1]!hospitalinfo[[#This Row],[Hospital Type]]</f>
        <v>Critical Access Hospitals</v>
      </c>
      <c r="D2226" t="str">
        <f>[1]!hospitalinfo[[#This Row],[Hospital Ownership]]</f>
        <v>Voluntary non-profit - Private</v>
      </c>
      <c r="E2226" t="str" cm="1">
        <f t="array" ref="E2226">_xlfn.IFNA(_xlfn.XLOOKUP(1,([1]!hcahps[Facility ID] = clean[[#This Row],[Facility ID]]) * ([1]!hcahps[HCAHPS Measure ID] = "H_HSP_RATING_LINEAR_SCORE"), [1]!hcahps[HCAHPS Linear Mean Value]), "No Match")</f>
        <v>Not Available</v>
      </c>
      <c r="F2226" cm="1">
        <f t="array" ref="F2226">_xlfn.IFNA(_xlfn.XLOOKUP(1,([1]!readmissions[Facility ID] = clean[[#This Row],[Facility ID]]) * ([1]!readmissions[Measure ID] = "Hybrid_HWR"), [1]!readmissions[Score]), "No Match")</f>
        <v>15.3</v>
      </c>
    </row>
    <row r="2227" spans="1:6" x14ac:dyDescent="0.2">
      <c r="A2227">
        <f>[1]!hospitalinfo[[#This Row],[Facility ID]]</f>
        <v>221304</v>
      </c>
      <c r="B2227" t="str">
        <f>[1]!hospitalinfo[[#This Row],[State]]</f>
        <v>MA</v>
      </c>
      <c r="C2227" t="str">
        <f>[1]!hospitalinfo[[#This Row],[Hospital Type]]</f>
        <v>Critical Access Hospitals</v>
      </c>
      <c r="D2227" t="str">
        <f>[1]!hospitalinfo[[#This Row],[Hospital Ownership]]</f>
        <v>Government - Federal</v>
      </c>
      <c r="E2227" cm="1">
        <f t="array" ref="E2227">_xlfn.IFNA(_xlfn.XLOOKUP(1,([1]!hcahps[Facility ID] = clean[[#This Row],[Facility ID]]) * ([1]!hcahps[HCAHPS Measure ID] = "H_HSP_RATING_LINEAR_SCORE"), [1]!hcahps[HCAHPS Linear Mean Value]), "No Match")</f>
        <v>94</v>
      </c>
      <c r="F2227" t="str" cm="1">
        <f t="array" ref="F2227">_xlfn.IFNA(_xlfn.XLOOKUP(1,([1]!readmissions[Facility ID] = clean[[#This Row],[Facility ID]]) * ([1]!readmissions[Measure ID] = "Hybrid_HWR"), [1]!readmissions[Score]), "No Match")</f>
        <v>Not Available</v>
      </c>
    </row>
    <row r="2228" spans="1:6" x14ac:dyDescent="0.2">
      <c r="A2228">
        <f>[1]!hospitalinfo[[#This Row],[Facility ID]]</f>
        <v>223300</v>
      </c>
      <c r="B2228" t="str">
        <f>[1]!hospitalinfo[[#This Row],[State]]</f>
        <v>MA</v>
      </c>
      <c r="C2228" t="str">
        <f>[1]!hospitalinfo[[#This Row],[Hospital Type]]</f>
        <v>Childrens</v>
      </c>
      <c r="D2228" t="str">
        <f>[1]!hospitalinfo[[#This Row],[Hospital Ownership]]</f>
        <v>Voluntary non-profit - Private</v>
      </c>
      <c r="E2228" t="str" cm="1">
        <f t="array" ref="E2228">_xlfn.IFNA(_xlfn.XLOOKUP(1,([1]!hcahps[Facility ID] = clean[[#This Row],[Facility ID]]) * ([1]!hcahps[HCAHPS Measure ID] = "H_HSP_RATING_LINEAR_SCORE"), [1]!hcahps[HCAHPS Linear Mean Value]), "No Match")</f>
        <v>Not Available</v>
      </c>
      <c r="F2228" t="str" cm="1">
        <f t="array" ref="F2228">_xlfn.IFNA(_xlfn.XLOOKUP(1,([1]!readmissions[Facility ID] = clean[[#This Row],[Facility ID]]) * ([1]!readmissions[Measure ID] = "Hybrid_HWR"), [1]!readmissions[Score]), "No Match")</f>
        <v>Not Available</v>
      </c>
    </row>
    <row r="2229" spans="1:6" x14ac:dyDescent="0.2">
      <c r="A2229">
        <f>[1]!hospitalinfo[[#This Row],[Facility ID]]</f>
        <v>223302</v>
      </c>
      <c r="B2229" t="str">
        <f>[1]!hospitalinfo[[#This Row],[State]]</f>
        <v>MA</v>
      </c>
      <c r="C2229" t="str">
        <f>[1]!hospitalinfo[[#This Row],[Hospital Type]]</f>
        <v>Childrens</v>
      </c>
      <c r="D2229" t="str">
        <f>[1]!hospitalinfo[[#This Row],[Hospital Ownership]]</f>
        <v>Voluntary non-profit - Private</v>
      </c>
      <c r="E2229" t="str" cm="1">
        <f t="array" ref="E2229">_xlfn.IFNA(_xlfn.XLOOKUP(1,([1]!hcahps[Facility ID] = clean[[#This Row],[Facility ID]]) * ([1]!hcahps[HCAHPS Measure ID] = "H_HSP_RATING_LINEAR_SCORE"), [1]!hcahps[HCAHPS Linear Mean Value]), "No Match")</f>
        <v>Not Available</v>
      </c>
      <c r="F2229" t="str" cm="1">
        <f t="array" ref="F2229">_xlfn.IFNA(_xlfn.XLOOKUP(1,([1]!readmissions[Facility ID] = clean[[#This Row],[Facility ID]]) * ([1]!readmissions[Measure ID] = "Hybrid_HWR"), [1]!readmissions[Score]), "No Match")</f>
        <v>Not Available</v>
      </c>
    </row>
    <row r="2230" spans="1:6" x14ac:dyDescent="0.2">
      <c r="A2230">
        <f>[1]!hospitalinfo[[#This Row],[Facility ID]]</f>
        <v>223304</v>
      </c>
      <c r="B2230" t="str">
        <f>[1]!hospitalinfo[[#This Row],[State]]</f>
        <v>MA</v>
      </c>
      <c r="C2230" t="str">
        <f>[1]!hospitalinfo[[#This Row],[Hospital Type]]</f>
        <v>Childrens</v>
      </c>
      <c r="D2230" t="str">
        <f>[1]!hospitalinfo[[#This Row],[Hospital Ownership]]</f>
        <v>Proprietary</v>
      </c>
      <c r="E2230" t="str" cm="1">
        <f t="array" ref="E2230">_xlfn.IFNA(_xlfn.XLOOKUP(1,([1]!hcahps[Facility ID] = clean[[#This Row],[Facility ID]]) * ([1]!hcahps[HCAHPS Measure ID] = "H_HSP_RATING_LINEAR_SCORE"), [1]!hcahps[HCAHPS Linear Mean Value]), "No Match")</f>
        <v>Not Available</v>
      </c>
      <c r="F2230" t="str" cm="1">
        <f t="array" ref="F2230">_xlfn.IFNA(_xlfn.XLOOKUP(1,([1]!readmissions[Facility ID] = clean[[#This Row],[Facility ID]]) * ([1]!readmissions[Measure ID] = "Hybrid_HWR"), [1]!readmissions[Score]), "No Match")</f>
        <v>Not Available</v>
      </c>
    </row>
    <row r="2231" spans="1:6" x14ac:dyDescent="0.2">
      <c r="A2231">
        <f>[1]!hospitalinfo[[#This Row],[Facility ID]]</f>
        <v>224001</v>
      </c>
      <c r="B2231" t="str">
        <f>[1]!hospitalinfo[[#This Row],[State]]</f>
        <v>MA</v>
      </c>
      <c r="C2231" t="str">
        <f>[1]!hospitalinfo[[#This Row],[Hospital Type]]</f>
        <v>Psychiatric</v>
      </c>
      <c r="D2231" t="str">
        <f>[1]!hospitalinfo[[#This Row],[Hospital Ownership]]</f>
        <v>Government - State</v>
      </c>
      <c r="E2231" t="str" cm="1">
        <f t="array" ref="E2231">_xlfn.IFNA(_xlfn.XLOOKUP(1,([1]!hcahps[Facility ID] = clean[[#This Row],[Facility ID]]) * ([1]!hcahps[HCAHPS Measure ID] = "H_HSP_RATING_LINEAR_SCORE"), [1]!hcahps[HCAHPS Linear Mean Value]), "No Match")</f>
        <v>No Match</v>
      </c>
      <c r="F2231" t="str" cm="1">
        <f t="array" ref="F2231">_xlfn.IFNA(_xlfn.XLOOKUP(1,([1]!readmissions[Facility ID] = clean[[#This Row],[Facility ID]]) * ([1]!readmissions[Measure ID] = "Hybrid_HWR"), [1]!readmissions[Score]), "No Match")</f>
        <v>No Match</v>
      </c>
    </row>
    <row r="2232" spans="1:6" x14ac:dyDescent="0.2">
      <c r="A2232">
        <f>[1]!hospitalinfo[[#This Row],[Facility ID]]</f>
        <v>224007</v>
      </c>
      <c r="B2232" t="str">
        <f>[1]!hospitalinfo[[#This Row],[State]]</f>
        <v>MA</v>
      </c>
      <c r="C2232" t="str">
        <f>[1]!hospitalinfo[[#This Row],[Hospital Type]]</f>
        <v>Psychiatric</v>
      </c>
      <c r="D2232" t="str">
        <f>[1]!hospitalinfo[[#This Row],[Hospital Ownership]]</f>
        <v>Voluntary non-profit - Private</v>
      </c>
      <c r="E2232" t="str" cm="1">
        <f t="array" ref="E2232">_xlfn.IFNA(_xlfn.XLOOKUP(1,([1]!hcahps[Facility ID] = clean[[#This Row],[Facility ID]]) * ([1]!hcahps[HCAHPS Measure ID] = "H_HSP_RATING_LINEAR_SCORE"), [1]!hcahps[HCAHPS Linear Mean Value]), "No Match")</f>
        <v>No Match</v>
      </c>
      <c r="F2232" t="str" cm="1">
        <f t="array" ref="F2232">_xlfn.IFNA(_xlfn.XLOOKUP(1,([1]!readmissions[Facility ID] = clean[[#This Row],[Facility ID]]) * ([1]!readmissions[Measure ID] = "Hybrid_HWR"), [1]!readmissions[Score]), "No Match")</f>
        <v>No Match</v>
      </c>
    </row>
    <row r="2233" spans="1:6" x14ac:dyDescent="0.2">
      <c r="A2233">
        <f>[1]!hospitalinfo[[#This Row],[Facility ID]]</f>
        <v>224013</v>
      </c>
      <c r="B2233" t="str">
        <f>[1]!hospitalinfo[[#This Row],[State]]</f>
        <v>MA</v>
      </c>
      <c r="C2233" t="str">
        <f>[1]!hospitalinfo[[#This Row],[Hospital Type]]</f>
        <v>Psychiatric</v>
      </c>
      <c r="D2233" t="str">
        <f>[1]!hospitalinfo[[#This Row],[Hospital Ownership]]</f>
        <v>Proprietary</v>
      </c>
      <c r="E2233" t="str" cm="1">
        <f t="array" ref="E2233">_xlfn.IFNA(_xlfn.XLOOKUP(1,([1]!hcahps[Facility ID] = clean[[#This Row],[Facility ID]]) * ([1]!hcahps[HCAHPS Measure ID] = "H_HSP_RATING_LINEAR_SCORE"), [1]!hcahps[HCAHPS Linear Mean Value]), "No Match")</f>
        <v>No Match</v>
      </c>
      <c r="F2233" t="str" cm="1">
        <f t="array" ref="F2233">_xlfn.IFNA(_xlfn.XLOOKUP(1,([1]!readmissions[Facility ID] = clean[[#This Row],[Facility ID]]) * ([1]!readmissions[Measure ID] = "Hybrid_HWR"), [1]!readmissions[Score]), "No Match")</f>
        <v>No Match</v>
      </c>
    </row>
    <row r="2234" spans="1:6" x14ac:dyDescent="0.2">
      <c r="A2234">
        <f>[1]!hospitalinfo[[#This Row],[Facility ID]]</f>
        <v>224018</v>
      </c>
      <c r="B2234" t="str">
        <f>[1]!hospitalinfo[[#This Row],[State]]</f>
        <v>MA</v>
      </c>
      <c r="C2234" t="str">
        <f>[1]!hospitalinfo[[#This Row],[Hospital Type]]</f>
        <v>Psychiatric</v>
      </c>
      <c r="D2234" t="str">
        <f>[1]!hospitalinfo[[#This Row],[Hospital Ownership]]</f>
        <v>Proprietary</v>
      </c>
      <c r="E2234" t="str" cm="1">
        <f t="array" ref="E2234">_xlfn.IFNA(_xlfn.XLOOKUP(1,([1]!hcahps[Facility ID] = clean[[#This Row],[Facility ID]]) * ([1]!hcahps[HCAHPS Measure ID] = "H_HSP_RATING_LINEAR_SCORE"), [1]!hcahps[HCAHPS Linear Mean Value]), "No Match")</f>
        <v>No Match</v>
      </c>
      <c r="F2234" t="str" cm="1">
        <f t="array" ref="F2234">_xlfn.IFNA(_xlfn.XLOOKUP(1,([1]!readmissions[Facility ID] = clean[[#This Row],[Facility ID]]) * ([1]!readmissions[Measure ID] = "Hybrid_HWR"), [1]!readmissions[Score]), "No Match")</f>
        <v>No Match</v>
      </c>
    </row>
    <row r="2235" spans="1:6" x14ac:dyDescent="0.2">
      <c r="A2235">
        <f>[1]!hospitalinfo[[#This Row],[Facility ID]]</f>
        <v>224021</v>
      </c>
      <c r="B2235" t="str">
        <f>[1]!hospitalinfo[[#This Row],[State]]</f>
        <v>MA</v>
      </c>
      <c r="C2235" t="str">
        <f>[1]!hospitalinfo[[#This Row],[Hospital Type]]</f>
        <v>Psychiatric</v>
      </c>
      <c r="D2235" t="str">
        <f>[1]!hospitalinfo[[#This Row],[Hospital Ownership]]</f>
        <v>Proprietary</v>
      </c>
      <c r="E2235" t="str" cm="1">
        <f t="array" ref="E2235">_xlfn.IFNA(_xlfn.XLOOKUP(1,([1]!hcahps[Facility ID] = clean[[#This Row],[Facility ID]]) * ([1]!hcahps[HCAHPS Measure ID] = "H_HSP_RATING_LINEAR_SCORE"), [1]!hcahps[HCAHPS Linear Mean Value]), "No Match")</f>
        <v>No Match</v>
      </c>
      <c r="F2235" t="str" cm="1">
        <f t="array" ref="F2235">_xlfn.IFNA(_xlfn.XLOOKUP(1,([1]!readmissions[Facility ID] = clean[[#This Row],[Facility ID]]) * ([1]!readmissions[Measure ID] = "Hybrid_HWR"), [1]!readmissions[Score]), "No Match")</f>
        <v>No Match</v>
      </c>
    </row>
    <row r="2236" spans="1:6" x14ac:dyDescent="0.2">
      <c r="A2236">
        <f>[1]!hospitalinfo[[#This Row],[Facility ID]]</f>
        <v>224022</v>
      </c>
      <c r="B2236" t="str">
        <f>[1]!hospitalinfo[[#This Row],[State]]</f>
        <v>MA</v>
      </c>
      <c r="C2236" t="str">
        <f>[1]!hospitalinfo[[#This Row],[Hospital Type]]</f>
        <v>Psychiatric</v>
      </c>
      <c r="D2236" t="str">
        <f>[1]!hospitalinfo[[#This Row],[Hospital Ownership]]</f>
        <v>Proprietary</v>
      </c>
      <c r="E2236" t="str" cm="1">
        <f t="array" ref="E2236">_xlfn.IFNA(_xlfn.XLOOKUP(1,([1]!hcahps[Facility ID] = clean[[#This Row],[Facility ID]]) * ([1]!hcahps[HCAHPS Measure ID] = "H_HSP_RATING_LINEAR_SCORE"), [1]!hcahps[HCAHPS Linear Mean Value]), "No Match")</f>
        <v>No Match</v>
      </c>
      <c r="F2236" t="str" cm="1">
        <f t="array" ref="F2236">_xlfn.IFNA(_xlfn.XLOOKUP(1,([1]!readmissions[Facility ID] = clean[[#This Row],[Facility ID]]) * ([1]!readmissions[Measure ID] = "Hybrid_HWR"), [1]!readmissions[Score]), "No Match")</f>
        <v>No Match</v>
      </c>
    </row>
    <row r="2237" spans="1:6" x14ac:dyDescent="0.2">
      <c r="A2237">
        <f>[1]!hospitalinfo[[#This Row],[Facility ID]]</f>
        <v>224023</v>
      </c>
      <c r="B2237" t="str">
        <f>[1]!hospitalinfo[[#This Row],[State]]</f>
        <v>MA</v>
      </c>
      <c r="C2237" t="str">
        <f>[1]!hospitalinfo[[#This Row],[Hospital Type]]</f>
        <v>Psychiatric</v>
      </c>
      <c r="D2237" t="str">
        <f>[1]!hospitalinfo[[#This Row],[Hospital Ownership]]</f>
        <v>Proprietary</v>
      </c>
      <c r="E2237" t="str" cm="1">
        <f t="array" ref="E2237">_xlfn.IFNA(_xlfn.XLOOKUP(1,([1]!hcahps[Facility ID] = clean[[#This Row],[Facility ID]]) * ([1]!hcahps[HCAHPS Measure ID] = "H_HSP_RATING_LINEAR_SCORE"), [1]!hcahps[HCAHPS Linear Mean Value]), "No Match")</f>
        <v>No Match</v>
      </c>
      <c r="F2237" t="str" cm="1">
        <f t="array" ref="F2237">_xlfn.IFNA(_xlfn.XLOOKUP(1,([1]!readmissions[Facility ID] = clean[[#This Row],[Facility ID]]) * ([1]!readmissions[Measure ID] = "Hybrid_HWR"), [1]!readmissions[Score]), "No Match")</f>
        <v>No Match</v>
      </c>
    </row>
    <row r="2238" spans="1:6" x14ac:dyDescent="0.2">
      <c r="A2238">
        <f>[1]!hospitalinfo[[#This Row],[Facility ID]]</f>
        <v>224028</v>
      </c>
      <c r="B2238" t="str">
        <f>[1]!hospitalinfo[[#This Row],[State]]</f>
        <v>MA</v>
      </c>
      <c r="C2238" t="str">
        <f>[1]!hospitalinfo[[#This Row],[Hospital Type]]</f>
        <v>Psychiatric</v>
      </c>
      <c r="D2238" t="str">
        <f>[1]!hospitalinfo[[#This Row],[Hospital Ownership]]</f>
        <v>Government - State</v>
      </c>
      <c r="E2238" t="str" cm="1">
        <f t="array" ref="E2238">_xlfn.IFNA(_xlfn.XLOOKUP(1,([1]!hcahps[Facility ID] = clean[[#This Row],[Facility ID]]) * ([1]!hcahps[HCAHPS Measure ID] = "H_HSP_RATING_LINEAR_SCORE"), [1]!hcahps[HCAHPS Linear Mean Value]), "No Match")</f>
        <v>No Match</v>
      </c>
      <c r="F2238" t="str" cm="1">
        <f t="array" ref="F2238">_xlfn.IFNA(_xlfn.XLOOKUP(1,([1]!readmissions[Facility ID] = clean[[#This Row],[Facility ID]]) * ([1]!readmissions[Measure ID] = "Hybrid_HWR"), [1]!readmissions[Score]), "No Match")</f>
        <v>No Match</v>
      </c>
    </row>
    <row r="2239" spans="1:6" x14ac:dyDescent="0.2">
      <c r="A2239">
        <f>[1]!hospitalinfo[[#This Row],[Facility ID]]</f>
        <v>224031</v>
      </c>
      <c r="B2239" t="str">
        <f>[1]!hospitalinfo[[#This Row],[State]]</f>
        <v>MA</v>
      </c>
      <c r="C2239" t="str">
        <f>[1]!hospitalinfo[[#This Row],[Hospital Type]]</f>
        <v>Psychiatric</v>
      </c>
      <c r="D2239" t="str">
        <f>[1]!hospitalinfo[[#This Row],[Hospital Ownership]]</f>
        <v>Government - State</v>
      </c>
      <c r="E2239" t="str" cm="1">
        <f t="array" ref="E2239">_xlfn.IFNA(_xlfn.XLOOKUP(1,([1]!hcahps[Facility ID] = clean[[#This Row],[Facility ID]]) * ([1]!hcahps[HCAHPS Measure ID] = "H_HSP_RATING_LINEAR_SCORE"), [1]!hcahps[HCAHPS Linear Mean Value]), "No Match")</f>
        <v>No Match</v>
      </c>
      <c r="F2239" t="str" cm="1">
        <f t="array" ref="F2239">_xlfn.IFNA(_xlfn.XLOOKUP(1,([1]!readmissions[Facility ID] = clean[[#This Row],[Facility ID]]) * ([1]!readmissions[Measure ID] = "Hybrid_HWR"), [1]!readmissions[Score]), "No Match")</f>
        <v>No Match</v>
      </c>
    </row>
    <row r="2240" spans="1:6" x14ac:dyDescent="0.2">
      <c r="A2240">
        <f>[1]!hospitalinfo[[#This Row],[Facility ID]]</f>
        <v>224032</v>
      </c>
      <c r="B2240" t="str">
        <f>[1]!hospitalinfo[[#This Row],[State]]</f>
        <v>MA</v>
      </c>
      <c r="C2240" t="str">
        <f>[1]!hospitalinfo[[#This Row],[Hospital Type]]</f>
        <v>Psychiatric</v>
      </c>
      <c r="D2240" t="str">
        <f>[1]!hospitalinfo[[#This Row],[Hospital Ownership]]</f>
        <v>Government - State</v>
      </c>
      <c r="E2240" t="str" cm="1">
        <f t="array" ref="E2240">_xlfn.IFNA(_xlfn.XLOOKUP(1,([1]!hcahps[Facility ID] = clean[[#This Row],[Facility ID]]) * ([1]!hcahps[HCAHPS Measure ID] = "H_HSP_RATING_LINEAR_SCORE"), [1]!hcahps[HCAHPS Linear Mean Value]), "No Match")</f>
        <v>No Match</v>
      </c>
      <c r="F2240" t="str" cm="1">
        <f t="array" ref="F2240">_xlfn.IFNA(_xlfn.XLOOKUP(1,([1]!readmissions[Facility ID] = clean[[#This Row],[Facility ID]]) * ([1]!readmissions[Measure ID] = "Hybrid_HWR"), [1]!readmissions[Score]), "No Match")</f>
        <v>No Match</v>
      </c>
    </row>
    <row r="2241" spans="1:6" x14ac:dyDescent="0.2">
      <c r="A2241">
        <f>[1]!hospitalinfo[[#This Row],[Facility ID]]</f>
        <v>224038</v>
      </c>
      <c r="B2241" t="str">
        <f>[1]!hospitalinfo[[#This Row],[State]]</f>
        <v>MA</v>
      </c>
      <c r="C2241" t="str">
        <f>[1]!hospitalinfo[[#This Row],[Hospital Type]]</f>
        <v>Psychiatric</v>
      </c>
      <c r="D2241" t="str">
        <f>[1]!hospitalinfo[[#This Row],[Hospital Ownership]]</f>
        <v>Government - Federal</v>
      </c>
      <c r="E2241" t="str" cm="1">
        <f t="array" ref="E2241">_xlfn.IFNA(_xlfn.XLOOKUP(1,([1]!hcahps[Facility ID] = clean[[#This Row],[Facility ID]]) * ([1]!hcahps[HCAHPS Measure ID] = "H_HSP_RATING_LINEAR_SCORE"), [1]!hcahps[HCAHPS Linear Mean Value]), "No Match")</f>
        <v>No Match</v>
      </c>
      <c r="F2241" t="str" cm="1">
        <f t="array" ref="F2241">_xlfn.IFNA(_xlfn.XLOOKUP(1,([1]!readmissions[Facility ID] = clean[[#This Row],[Facility ID]]) * ([1]!readmissions[Measure ID] = "Hybrid_HWR"), [1]!readmissions[Score]), "No Match")</f>
        <v>No Match</v>
      </c>
    </row>
    <row r="2242" spans="1:6" x14ac:dyDescent="0.2">
      <c r="A2242">
        <f>[1]!hospitalinfo[[#This Row],[Facility ID]]</f>
        <v>224039</v>
      </c>
      <c r="B2242" t="str">
        <f>[1]!hospitalinfo[[#This Row],[State]]</f>
        <v>MA</v>
      </c>
      <c r="C2242" t="str">
        <f>[1]!hospitalinfo[[#This Row],[Hospital Type]]</f>
        <v>Psychiatric</v>
      </c>
      <c r="D2242" t="str">
        <f>[1]!hospitalinfo[[#This Row],[Hospital Ownership]]</f>
        <v>Proprietary</v>
      </c>
      <c r="E2242" t="str" cm="1">
        <f t="array" ref="E2242">_xlfn.IFNA(_xlfn.XLOOKUP(1,([1]!hcahps[Facility ID] = clean[[#This Row],[Facility ID]]) * ([1]!hcahps[HCAHPS Measure ID] = "H_HSP_RATING_LINEAR_SCORE"), [1]!hcahps[HCAHPS Linear Mean Value]), "No Match")</f>
        <v>No Match</v>
      </c>
      <c r="F2242" t="str" cm="1">
        <f t="array" ref="F2242">_xlfn.IFNA(_xlfn.XLOOKUP(1,([1]!readmissions[Facility ID] = clean[[#This Row],[Facility ID]]) * ([1]!readmissions[Measure ID] = "Hybrid_HWR"), [1]!readmissions[Score]), "No Match")</f>
        <v>No Match</v>
      </c>
    </row>
    <row r="2243" spans="1:6" x14ac:dyDescent="0.2">
      <c r="A2243">
        <f>[1]!hospitalinfo[[#This Row],[Facility ID]]</f>
        <v>224040</v>
      </c>
      <c r="B2243" t="str">
        <f>[1]!hospitalinfo[[#This Row],[State]]</f>
        <v>MA</v>
      </c>
      <c r="C2243" t="str">
        <f>[1]!hospitalinfo[[#This Row],[Hospital Type]]</f>
        <v>Psychiatric</v>
      </c>
      <c r="D2243" t="str">
        <f>[1]!hospitalinfo[[#This Row],[Hospital Ownership]]</f>
        <v>Government - State</v>
      </c>
      <c r="E2243" t="str" cm="1">
        <f t="array" ref="E2243">_xlfn.IFNA(_xlfn.XLOOKUP(1,([1]!hcahps[Facility ID] = clean[[#This Row],[Facility ID]]) * ([1]!hcahps[HCAHPS Measure ID] = "H_HSP_RATING_LINEAR_SCORE"), [1]!hcahps[HCAHPS Linear Mean Value]), "No Match")</f>
        <v>No Match</v>
      </c>
      <c r="F2243" t="str" cm="1">
        <f t="array" ref="F2243">_xlfn.IFNA(_xlfn.XLOOKUP(1,([1]!readmissions[Facility ID] = clean[[#This Row],[Facility ID]]) * ([1]!readmissions[Measure ID] = "Hybrid_HWR"), [1]!readmissions[Score]), "No Match")</f>
        <v>No Match</v>
      </c>
    </row>
    <row r="2244" spans="1:6" x14ac:dyDescent="0.2">
      <c r="A2244">
        <f>[1]!hospitalinfo[[#This Row],[Facility ID]]</f>
        <v>224041</v>
      </c>
      <c r="B2244" t="str">
        <f>[1]!hospitalinfo[[#This Row],[State]]</f>
        <v>MA</v>
      </c>
      <c r="C2244" t="str">
        <f>[1]!hospitalinfo[[#This Row],[Hospital Type]]</f>
        <v>Psychiatric</v>
      </c>
      <c r="D2244" t="str">
        <f>[1]!hospitalinfo[[#This Row],[Hospital Ownership]]</f>
        <v>Proprietary</v>
      </c>
      <c r="E2244" t="str" cm="1">
        <f t="array" ref="E2244">_xlfn.IFNA(_xlfn.XLOOKUP(1,([1]!hcahps[Facility ID] = clean[[#This Row],[Facility ID]]) * ([1]!hcahps[HCAHPS Measure ID] = "H_HSP_RATING_LINEAR_SCORE"), [1]!hcahps[HCAHPS Linear Mean Value]), "No Match")</f>
        <v>No Match</v>
      </c>
      <c r="F2244" t="str" cm="1">
        <f t="array" ref="F2244">_xlfn.IFNA(_xlfn.XLOOKUP(1,([1]!readmissions[Facility ID] = clean[[#This Row],[Facility ID]]) * ([1]!readmissions[Measure ID] = "Hybrid_HWR"), [1]!readmissions[Score]), "No Match")</f>
        <v>No Match</v>
      </c>
    </row>
    <row r="2245" spans="1:6" x14ac:dyDescent="0.2">
      <c r="A2245">
        <f>[1]!hospitalinfo[[#This Row],[Facility ID]]</f>
        <v>224043</v>
      </c>
      <c r="B2245" t="str">
        <f>[1]!hospitalinfo[[#This Row],[State]]</f>
        <v>MA</v>
      </c>
      <c r="C2245" t="str">
        <f>[1]!hospitalinfo[[#This Row],[Hospital Type]]</f>
        <v>Psychiatric</v>
      </c>
      <c r="D2245" t="str">
        <f>[1]!hospitalinfo[[#This Row],[Hospital Ownership]]</f>
        <v>Proprietary</v>
      </c>
      <c r="E2245" t="str" cm="1">
        <f t="array" ref="E2245">_xlfn.IFNA(_xlfn.XLOOKUP(1,([1]!hcahps[Facility ID] = clean[[#This Row],[Facility ID]]) * ([1]!hcahps[HCAHPS Measure ID] = "H_HSP_RATING_LINEAR_SCORE"), [1]!hcahps[HCAHPS Linear Mean Value]), "No Match")</f>
        <v>No Match</v>
      </c>
      <c r="F2245" t="str" cm="1">
        <f t="array" ref="F2245">_xlfn.IFNA(_xlfn.XLOOKUP(1,([1]!readmissions[Facility ID] = clean[[#This Row],[Facility ID]]) * ([1]!readmissions[Measure ID] = "Hybrid_HWR"), [1]!readmissions[Score]), "No Match")</f>
        <v>No Match</v>
      </c>
    </row>
    <row r="2246" spans="1:6" x14ac:dyDescent="0.2">
      <c r="A2246">
        <f>[1]!hospitalinfo[[#This Row],[Facility ID]]</f>
        <v>224044</v>
      </c>
      <c r="B2246" t="str">
        <f>[1]!hospitalinfo[[#This Row],[State]]</f>
        <v>MA</v>
      </c>
      <c r="C2246" t="str">
        <f>[1]!hospitalinfo[[#This Row],[Hospital Type]]</f>
        <v>Psychiatric</v>
      </c>
      <c r="D2246" t="str">
        <f>[1]!hospitalinfo[[#This Row],[Hospital Ownership]]</f>
        <v>Proprietary</v>
      </c>
      <c r="E2246" t="str" cm="1">
        <f t="array" ref="E2246">_xlfn.IFNA(_xlfn.XLOOKUP(1,([1]!hcahps[Facility ID] = clean[[#This Row],[Facility ID]]) * ([1]!hcahps[HCAHPS Measure ID] = "H_HSP_RATING_LINEAR_SCORE"), [1]!hcahps[HCAHPS Linear Mean Value]), "No Match")</f>
        <v>No Match</v>
      </c>
      <c r="F2246" t="str" cm="1">
        <f t="array" ref="F2246">_xlfn.IFNA(_xlfn.XLOOKUP(1,([1]!readmissions[Facility ID] = clean[[#This Row],[Facility ID]]) * ([1]!readmissions[Measure ID] = "Hybrid_HWR"), [1]!readmissions[Score]), "No Match")</f>
        <v>No Match</v>
      </c>
    </row>
    <row r="2247" spans="1:6" x14ac:dyDescent="0.2">
      <c r="A2247">
        <f>[1]!hospitalinfo[[#This Row],[Facility ID]]</f>
        <v>224045</v>
      </c>
      <c r="B2247" t="str">
        <f>[1]!hospitalinfo[[#This Row],[State]]</f>
        <v>MA</v>
      </c>
      <c r="C2247" t="str">
        <f>[1]!hospitalinfo[[#This Row],[Hospital Type]]</f>
        <v>Psychiatric</v>
      </c>
      <c r="D2247" t="str">
        <f>[1]!hospitalinfo[[#This Row],[Hospital Ownership]]</f>
        <v>Proprietary</v>
      </c>
      <c r="E2247" t="str" cm="1">
        <f t="array" ref="E2247">_xlfn.IFNA(_xlfn.XLOOKUP(1,([1]!hcahps[Facility ID] = clean[[#This Row],[Facility ID]]) * ([1]!hcahps[HCAHPS Measure ID] = "H_HSP_RATING_LINEAR_SCORE"), [1]!hcahps[HCAHPS Linear Mean Value]), "No Match")</f>
        <v>No Match</v>
      </c>
      <c r="F2247" t="str" cm="1">
        <f t="array" ref="F2247">_xlfn.IFNA(_xlfn.XLOOKUP(1,([1]!readmissions[Facility ID] = clean[[#This Row],[Facility ID]]) * ([1]!readmissions[Measure ID] = "Hybrid_HWR"), [1]!readmissions[Score]), "No Match")</f>
        <v>No Match</v>
      </c>
    </row>
    <row r="2248" spans="1:6" x14ac:dyDescent="0.2">
      <c r="A2248">
        <f>[1]!hospitalinfo[[#This Row],[Facility ID]]</f>
        <v>224046</v>
      </c>
      <c r="B2248" t="str">
        <f>[1]!hospitalinfo[[#This Row],[State]]</f>
        <v>MA</v>
      </c>
      <c r="C2248" t="str">
        <f>[1]!hospitalinfo[[#This Row],[Hospital Type]]</f>
        <v>Psychiatric</v>
      </c>
      <c r="D2248" t="str">
        <f>[1]!hospitalinfo[[#This Row],[Hospital Ownership]]</f>
        <v>Proprietary</v>
      </c>
      <c r="E2248" t="str" cm="1">
        <f t="array" ref="E2248">_xlfn.IFNA(_xlfn.XLOOKUP(1,([1]!hcahps[Facility ID] = clean[[#This Row],[Facility ID]]) * ([1]!hcahps[HCAHPS Measure ID] = "H_HSP_RATING_LINEAR_SCORE"), [1]!hcahps[HCAHPS Linear Mean Value]), "No Match")</f>
        <v>No Match</v>
      </c>
      <c r="F2248" t="str" cm="1">
        <f t="array" ref="F2248">_xlfn.IFNA(_xlfn.XLOOKUP(1,([1]!readmissions[Facility ID] = clean[[#This Row],[Facility ID]]) * ([1]!readmissions[Measure ID] = "Hybrid_HWR"), [1]!readmissions[Score]), "No Match")</f>
        <v>No Match</v>
      </c>
    </row>
    <row r="2249" spans="1:6" x14ac:dyDescent="0.2">
      <c r="A2249">
        <f>[1]!hospitalinfo[[#This Row],[Facility ID]]</f>
        <v>224047</v>
      </c>
      <c r="B2249" t="str">
        <f>[1]!hospitalinfo[[#This Row],[State]]</f>
        <v>MA</v>
      </c>
      <c r="C2249" t="str">
        <f>[1]!hospitalinfo[[#This Row],[Hospital Type]]</f>
        <v>Psychiatric</v>
      </c>
      <c r="D2249" t="str">
        <f>[1]!hospitalinfo[[#This Row],[Hospital Ownership]]</f>
        <v>Proprietary</v>
      </c>
      <c r="E2249" t="str" cm="1">
        <f t="array" ref="E2249">_xlfn.IFNA(_xlfn.XLOOKUP(1,([1]!hcahps[Facility ID] = clean[[#This Row],[Facility ID]]) * ([1]!hcahps[HCAHPS Measure ID] = "H_HSP_RATING_LINEAR_SCORE"), [1]!hcahps[HCAHPS Linear Mean Value]), "No Match")</f>
        <v>No Match</v>
      </c>
      <c r="F2249" t="str" cm="1">
        <f t="array" ref="F2249">_xlfn.IFNA(_xlfn.XLOOKUP(1,([1]!readmissions[Facility ID] = clean[[#This Row],[Facility ID]]) * ([1]!readmissions[Measure ID] = "Hybrid_HWR"), [1]!readmissions[Score]), "No Match")</f>
        <v>No Match</v>
      </c>
    </row>
    <row r="2250" spans="1:6" x14ac:dyDescent="0.2">
      <c r="A2250" t="str">
        <f>[1]!hospitalinfo[[#This Row],[Facility ID]]</f>
        <v>22001F</v>
      </c>
      <c r="B2250" t="str">
        <f>[1]!hospitalinfo[[#This Row],[State]]</f>
        <v>MA</v>
      </c>
      <c r="C2250" t="str">
        <f>[1]!hospitalinfo[[#This Row],[Hospital Type]]</f>
        <v>Acute Care - Veterans Administration</v>
      </c>
      <c r="D2250" t="str">
        <f>[1]!hospitalinfo[[#This Row],[Hospital Ownership]]</f>
        <v>Veterans Health Administration</v>
      </c>
      <c r="E2250" t="str" cm="1">
        <f t="array" ref="E2250">_xlfn.IFNA(_xlfn.XLOOKUP(1,([1]!hcahps[Facility ID] = clean[[#This Row],[Facility ID]]) * ([1]!hcahps[HCAHPS Measure ID] = "H_HSP_RATING_LINEAR_SCORE"), [1]!hcahps[HCAHPS Linear Mean Value]), "No Match")</f>
        <v>Not Available</v>
      </c>
      <c r="F2250" t="str" cm="1">
        <f t="array" ref="F2250">_xlfn.IFNA(_xlfn.XLOOKUP(1,([1]!readmissions[Facility ID] = clean[[#This Row],[Facility ID]]) * ([1]!readmissions[Measure ID] = "Hybrid_HWR"), [1]!readmissions[Score]), "No Match")</f>
        <v>Not Available</v>
      </c>
    </row>
    <row r="2251" spans="1:6" x14ac:dyDescent="0.2">
      <c r="A2251" t="str">
        <f>[1]!hospitalinfo[[#This Row],[Facility ID]]</f>
        <v>22009F</v>
      </c>
      <c r="B2251" t="str">
        <f>[1]!hospitalinfo[[#This Row],[State]]</f>
        <v>MA</v>
      </c>
      <c r="C2251" t="str">
        <f>[1]!hospitalinfo[[#This Row],[Hospital Type]]</f>
        <v>Acute Care - Veterans Administration</v>
      </c>
      <c r="D2251" t="str">
        <f>[1]!hospitalinfo[[#This Row],[Hospital Ownership]]</f>
        <v>Veterans Health Administration</v>
      </c>
      <c r="E2251" t="str" cm="1">
        <f t="array" ref="E2251">_xlfn.IFNA(_xlfn.XLOOKUP(1,([1]!hcahps[Facility ID] = clean[[#This Row],[Facility ID]]) * ([1]!hcahps[HCAHPS Measure ID] = "H_HSP_RATING_LINEAR_SCORE"), [1]!hcahps[HCAHPS Linear Mean Value]), "No Match")</f>
        <v>Not Available</v>
      </c>
      <c r="F2251" t="str" cm="1">
        <f t="array" ref="F2251">_xlfn.IFNA(_xlfn.XLOOKUP(1,([1]!readmissions[Facility ID] = clean[[#This Row],[Facility ID]]) * ([1]!readmissions[Measure ID] = "Hybrid_HWR"), [1]!readmissions[Score]), "No Match")</f>
        <v>Not Available</v>
      </c>
    </row>
    <row r="2252" spans="1:6" x14ac:dyDescent="0.2">
      <c r="A2252" t="str">
        <f>[1]!hospitalinfo[[#This Row],[Facility ID]]</f>
        <v>22010F</v>
      </c>
      <c r="B2252" t="str">
        <f>[1]!hospitalinfo[[#This Row],[State]]</f>
        <v>MA</v>
      </c>
      <c r="C2252" t="str">
        <f>[1]!hospitalinfo[[#This Row],[Hospital Type]]</f>
        <v>Acute Care - Veterans Administration</v>
      </c>
      <c r="D2252" t="str">
        <f>[1]!hospitalinfo[[#This Row],[Hospital Ownership]]</f>
        <v>Veterans Health Administration</v>
      </c>
      <c r="E2252" cm="1">
        <f t="array" ref="E2252">_xlfn.IFNA(_xlfn.XLOOKUP(1,([1]!hcahps[Facility ID] = clean[[#This Row],[Facility ID]]) * ([1]!hcahps[HCAHPS Measure ID] = "H_HSP_RATING_LINEAR_SCORE"), [1]!hcahps[HCAHPS Linear Mean Value]), "No Match")</f>
        <v>90</v>
      </c>
      <c r="F2252" cm="1">
        <f t="array" ref="F2252">_xlfn.IFNA(_xlfn.XLOOKUP(1,([1]!readmissions[Facility ID] = clean[[#This Row],[Facility ID]]) * ([1]!readmissions[Measure ID] = "Hybrid_HWR"), [1]!readmissions[Score]), "No Match")</f>
        <v>17.2</v>
      </c>
    </row>
    <row r="2253" spans="1:6" x14ac:dyDescent="0.2">
      <c r="A2253">
        <f>[1]!hospitalinfo[[#This Row],[Facility ID]]</f>
        <v>210001</v>
      </c>
      <c r="B2253" t="str">
        <f>[1]!hospitalinfo[[#This Row],[State]]</f>
        <v>MD</v>
      </c>
      <c r="C2253" t="str">
        <f>[1]!hospitalinfo[[#This Row],[Hospital Type]]</f>
        <v>Acute Care Hospitals</v>
      </c>
      <c r="D2253" t="str">
        <f>[1]!hospitalinfo[[#This Row],[Hospital Ownership]]</f>
        <v>Voluntary non-profit - Private</v>
      </c>
      <c r="E2253" cm="1">
        <f t="array" ref="E2253">_xlfn.IFNA(_xlfn.XLOOKUP(1,([1]!hcahps[Facility ID] = clean[[#This Row],[Facility ID]]) * ([1]!hcahps[HCAHPS Measure ID] = "H_HSP_RATING_LINEAR_SCORE"), [1]!hcahps[HCAHPS Linear Mean Value]), "No Match")</f>
        <v>88</v>
      </c>
      <c r="F2253" cm="1">
        <f t="array" ref="F2253">_xlfn.IFNA(_xlfn.XLOOKUP(1,([1]!readmissions[Facility ID] = clean[[#This Row],[Facility ID]]) * ([1]!readmissions[Measure ID] = "Hybrid_HWR"), [1]!readmissions[Score]), "No Match")</f>
        <v>15.9</v>
      </c>
    </row>
    <row r="2254" spans="1:6" x14ac:dyDescent="0.2">
      <c r="A2254">
        <f>[1]!hospitalinfo[[#This Row],[Facility ID]]</f>
        <v>210002</v>
      </c>
      <c r="B2254" t="str">
        <f>[1]!hospitalinfo[[#This Row],[State]]</f>
        <v>MD</v>
      </c>
      <c r="C2254" t="str">
        <f>[1]!hospitalinfo[[#This Row],[Hospital Type]]</f>
        <v>Acute Care Hospitals</v>
      </c>
      <c r="D2254" t="str">
        <f>[1]!hospitalinfo[[#This Row],[Hospital Ownership]]</f>
        <v>Voluntary non-profit - Private</v>
      </c>
      <c r="E2254" cm="1">
        <f t="array" ref="E2254">_xlfn.IFNA(_xlfn.XLOOKUP(1,([1]!hcahps[Facility ID] = clean[[#This Row],[Facility ID]]) * ([1]!hcahps[HCAHPS Measure ID] = "H_HSP_RATING_LINEAR_SCORE"), [1]!hcahps[HCAHPS Linear Mean Value]), "No Match")</f>
        <v>87</v>
      </c>
      <c r="F2254" cm="1">
        <f t="array" ref="F2254">_xlfn.IFNA(_xlfn.XLOOKUP(1,([1]!readmissions[Facility ID] = clean[[#This Row],[Facility ID]]) * ([1]!readmissions[Measure ID] = "Hybrid_HWR"), [1]!readmissions[Score]), "No Match")</f>
        <v>14.3</v>
      </c>
    </row>
    <row r="2255" spans="1:6" x14ac:dyDescent="0.2">
      <c r="A2255">
        <f>[1]!hospitalinfo[[#This Row],[Facility ID]]</f>
        <v>210003</v>
      </c>
      <c r="B2255" t="str">
        <f>[1]!hospitalinfo[[#This Row],[State]]</f>
        <v>MD</v>
      </c>
      <c r="C2255" t="str">
        <f>[1]!hospitalinfo[[#This Row],[Hospital Type]]</f>
        <v>Acute Care Hospitals</v>
      </c>
      <c r="D2255" t="str">
        <f>[1]!hospitalinfo[[#This Row],[Hospital Ownership]]</f>
        <v>Voluntary non-profit - Private</v>
      </c>
      <c r="E2255" cm="1">
        <f t="array" ref="E2255">_xlfn.IFNA(_xlfn.XLOOKUP(1,([1]!hcahps[Facility ID] = clean[[#This Row],[Facility ID]]) * ([1]!hcahps[HCAHPS Measure ID] = "H_HSP_RATING_LINEAR_SCORE"), [1]!hcahps[HCAHPS Linear Mean Value]), "No Match")</f>
        <v>80</v>
      </c>
      <c r="F2255" cm="1">
        <f t="array" ref="F2255">_xlfn.IFNA(_xlfn.XLOOKUP(1,([1]!readmissions[Facility ID] = clean[[#This Row],[Facility ID]]) * ([1]!readmissions[Measure ID] = "Hybrid_HWR"), [1]!readmissions[Score]), "No Match")</f>
        <v>15.2</v>
      </c>
    </row>
    <row r="2256" spans="1:6" x14ac:dyDescent="0.2">
      <c r="A2256">
        <f>[1]!hospitalinfo[[#This Row],[Facility ID]]</f>
        <v>210004</v>
      </c>
      <c r="B2256" t="str">
        <f>[1]!hospitalinfo[[#This Row],[State]]</f>
        <v>MD</v>
      </c>
      <c r="C2256" t="str">
        <f>[1]!hospitalinfo[[#This Row],[Hospital Type]]</f>
        <v>Acute Care Hospitals</v>
      </c>
      <c r="D2256" t="str">
        <f>[1]!hospitalinfo[[#This Row],[Hospital Ownership]]</f>
        <v>Voluntary non-profit - Church</v>
      </c>
      <c r="E2256" cm="1">
        <f t="array" ref="E2256">_xlfn.IFNA(_xlfn.XLOOKUP(1,([1]!hcahps[Facility ID] = clean[[#This Row],[Facility ID]]) * ([1]!hcahps[HCAHPS Measure ID] = "H_HSP_RATING_LINEAR_SCORE"), [1]!hcahps[HCAHPS Linear Mean Value]), "No Match")</f>
        <v>86</v>
      </c>
      <c r="F2256" cm="1">
        <f t="array" ref="F2256">_xlfn.IFNA(_xlfn.XLOOKUP(1,([1]!readmissions[Facility ID] = clean[[#This Row],[Facility ID]]) * ([1]!readmissions[Measure ID] = "Hybrid_HWR"), [1]!readmissions[Score]), "No Match")</f>
        <v>15.5</v>
      </c>
    </row>
    <row r="2257" spans="1:6" x14ac:dyDescent="0.2">
      <c r="A2257">
        <f>[1]!hospitalinfo[[#This Row],[Facility ID]]</f>
        <v>210005</v>
      </c>
      <c r="B2257" t="str">
        <f>[1]!hospitalinfo[[#This Row],[State]]</f>
        <v>MD</v>
      </c>
      <c r="C2257" t="str">
        <f>[1]!hospitalinfo[[#This Row],[Hospital Type]]</f>
        <v>Acute Care Hospitals</v>
      </c>
      <c r="D2257" t="str">
        <f>[1]!hospitalinfo[[#This Row],[Hospital Ownership]]</f>
        <v>Voluntary non-profit - Private</v>
      </c>
      <c r="E2257" cm="1">
        <f t="array" ref="E2257">_xlfn.IFNA(_xlfn.XLOOKUP(1,([1]!hcahps[Facility ID] = clean[[#This Row],[Facility ID]]) * ([1]!hcahps[HCAHPS Measure ID] = "H_HSP_RATING_LINEAR_SCORE"), [1]!hcahps[HCAHPS Linear Mean Value]), "No Match")</f>
        <v>85</v>
      </c>
      <c r="F2257" cm="1">
        <f t="array" ref="F2257">_xlfn.IFNA(_xlfn.XLOOKUP(1,([1]!readmissions[Facility ID] = clean[[#This Row],[Facility ID]]) * ([1]!readmissions[Measure ID] = "Hybrid_HWR"), [1]!readmissions[Score]), "No Match")</f>
        <v>14.1</v>
      </c>
    </row>
    <row r="2258" spans="1:6" x14ac:dyDescent="0.2">
      <c r="A2258">
        <f>[1]!hospitalinfo[[#This Row],[Facility ID]]</f>
        <v>210008</v>
      </c>
      <c r="B2258" t="str">
        <f>[1]!hospitalinfo[[#This Row],[State]]</f>
        <v>MD</v>
      </c>
      <c r="C2258" t="str">
        <f>[1]!hospitalinfo[[#This Row],[Hospital Type]]</f>
        <v>Acute Care Hospitals</v>
      </c>
      <c r="D2258" t="str">
        <f>[1]!hospitalinfo[[#This Row],[Hospital Ownership]]</f>
        <v>Voluntary non-profit - Church</v>
      </c>
      <c r="E2258" cm="1">
        <f t="array" ref="E2258">_xlfn.IFNA(_xlfn.XLOOKUP(1,([1]!hcahps[Facility ID] = clean[[#This Row],[Facility ID]]) * ([1]!hcahps[HCAHPS Measure ID] = "H_HSP_RATING_LINEAR_SCORE"), [1]!hcahps[HCAHPS Linear Mean Value]), "No Match")</f>
        <v>90</v>
      </c>
      <c r="F2258" cm="1">
        <f t="array" ref="F2258">_xlfn.IFNA(_xlfn.XLOOKUP(1,([1]!readmissions[Facility ID] = clean[[#This Row],[Facility ID]]) * ([1]!readmissions[Measure ID] = "Hybrid_HWR"), [1]!readmissions[Score]), "No Match")</f>
        <v>15.5</v>
      </c>
    </row>
    <row r="2259" spans="1:6" x14ac:dyDescent="0.2">
      <c r="A2259">
        <f>[1]!hospitalinfo[[#This Row],[Facility ID]]</f>
        <v>210009</v>
      </c>
      <c r="B2259" t="str">
        <f>[1]!hospitalinfo[[#This Row],[State]]</f>
        <v>MD</v>
      </c>
      <c r="C2259" t="str">
        <f>[1]!hospitalinfo[[#This Row],[Hospital Type]]</f>
        <v>Acute Care Hospitals</v>
      </c>
      <c r="D2259" t="str">
        <f>[1]!hospitalinfo[[#This Row],[Hospital Ownership]]</f>
        <v>Voluntary non-profit - Private</v>
      </c>
      <c r="E2259" cm="1">
        <f t="array" ref="E2259">_xlfn.IFNA(_xlfn.XLOOKUP(1,([1]!hcahps[Facility ID] = clean[[#This Row],[Facility ID]]) * ([1]!hcahps[HCAHPS Measure ID] = "H_HSP_RATING_LINEAR_SCORE"), [1]!hcahps[HCAHPS Linear Mean Value]), "No Match")</f>
        <v>92</v>
      </c>
      <c r="F2259" cm="1">
        <f t="array" ref="F2259">_xlfn.IFNA(_xlfn.XLOOKUP(1,([1]!readmissions[Facility ID] = clean[[#This Row],[Facility ID]]) * ([1]!readmissions[Measure ID] = "Hybrid_HWR"), [1]!readmissions[Score]), "No Match")</f>
        <v>14.7</v>
      </c>
    </row>
    <row r="2260" spans="1:6" x14ac:dyDescent="0.2">
      <c r="A2260">
        <f>[1]!hospitalinfo[[#This Row],[Facility ID]]</f>
        <v>210011</v>
      </c>
      <c r="B2260" t="str">
        <f>[1]!hospitalinfo[[#This Row],[State]]</f>
        <v>MD</v>
      </c>
      <c r="C2260" t="str">
        <f>[1]!hospitalinfo[[#This Row],[Hospital Type]]</f>
        <v>Acute Care Hospitals</v>
      </c>
      <c r="D2260" t="str">
        <f>[1]!hospitalinfo[[#This Row],[Hospital Ownership]]</f>
        <v>Voluntary non-profit - Church</v>
      </c>
      <c r="E2260" cm="1">
        <f t="array" ref="E2260">_xlfn.IFNA(_xlfn.XLOOKUP(1,([1]!hcahps[Facility ID] = clean[[#This Row],[Facility ID]]) * ([1]!hcahps[HCAHPS Measure ID] = "H_HSP_RATING_LINEAR_SCORE"), [1]!hcahps[HCAHPS Linear Mean Value]), "No Match")</f>
        <v>80</v>
      </c>
      <c r="F2260" cm="1">
        <f t="array" ref="F2260">_xlfn.IFNA(_xlfn.XLOOKUP(1,([1]!readmissions[Facility ID] = clean[[#This Row],[Facility ID]]) * ([1]!readmissions[Measure ID] = "Hybrid_HWR"), [1]!readmissions[Score]), "No Match")</f>
        <v>14.1</v>
      </c>
    </row>
    <row r="2261" spans="1:6" x14ac:dyDescent="0.2">
      <c r="A2261">
        <f>[1]!hospitalinfo[[#This Row],[Facility ID]]</f>
        <v>210012</v>
      </c>
      <c r="B2261" t="str">
        <f>[1]!hospitalinfo[[#This Row],[State]]</f>
        <v>MD</v>
      </c>
      <c r="C2261" t="str">
        <f>[1]!hospitalinfo[[#This Row],[Hospital Type]]</f>
        <v>Acute Care Hospitals</v>
      </c>
      <c r="D2261" t="str">
        <f>[1]!hospitalinfo[[#This Row],[Hospital Ownership]]</f>
        <v>Voluntary non-profit - Private</v>
      </c>
      <c r="E2261" cm="1">
        <f t="array" ref="E2261">_xlfn.IFNA(_xlfn.XLOOKUP(1,([1]!hcahps[Facility ID] = clean[[#This Row],[Facility ID]]) * ([1]!hcahps[HCAHPS Measure ID] = "H_HSP_RATING_LINEAR_SCORE"), [1]!hcahps[HCAHPS Linear Mean Value]), "No Match")</f>
        <v>84</v>
      </c>
      <c r="F2261" cm="1">
        <f t="array" ref="F2261">_xlfn.IFNA(_xlfn.XLOOKUP(1,([1]!readmissions[Facility ID] = clean[[#This Row],[Facility ID]]) * ([1]!readmissions[Measure ID] = "Hybrid_HWR"), [1]!readmissions[Score]), "No Match")</f>
        <v>13.7</v>
      </c>
    </row>
    <row r="2262" spans="1:6" x14ac:dyDescent="0.2">
      <c r="A2262">
        <f>[1]!hospitalinfo[[#This Row],[Facility ID]]</f>
        <v>210015</v>
      </c>
      <c r="B2262" t="str">
        <f>[1]!hospitalinfo[[#This Row],[State]]</f>
        <v>MD</v>
      </c>
      <c r="C2262" t="str">
        <f>[1]!hospitalinfo[[#This Row],[Hospital Type]]</f>
        <v>Acute Care Hospitals</v>
      </c>
      <c r="D2262" t="str">
        <f>[1]!hospitalinfo[[#This Row],[Hospital Ownership]]</f>
        <v>Voluntary non-profit - Private</v>
      </c>
      <c r="E2262" cm="1">
        <f t="array" ref="E2262">_xlfn.IFNA(_xlfn.XLOOKUP(1,([1]!hcahps[Facility ID] = clean[[#This Row],[Facility ID]]) * ([1]!hcahps[HCAHPS Measure ID] = "H_HSP_RATING_LINEAR_SCORE"), [1]!hcahps[HCAHPS Linear Mean Value]), "No Match")</f>
        <v>84</v>
      </c>
      <c r="F2262" cm="1">
        <f t="array" ref="F2262">_xlfn.IFNA(_xlfn.XLOOKUP(1,([1]!readmissions[Facility ID] = clean[[#This Row],[Facility ID]]) * ([1]!readmissions[Measure ID] = "Hybrid_HWR"), [1]!readmissions[Score]), "No Match")</f>
        <v>15</v>
      </c>
    </row>
    <row r="2263" spans="1:6" x14ac:dyDescent="0.2">
      <c r="A2263">
        <f>[1]!hospitalinfo[[#This Row],[Facility ID]]</f>
        <v>210016</v>
      </c>
      <c r="B2263" t="str">
        <f>[1]!hospitalinfo[[#This Row],[State]]</f>
        <v>MD</v>
      </c>
      <c r="C2263" t="str">
        <f>[1]!hospitalinfo[[#This Row],[Hospital Type]]</f>
        <v>Acute Care Hospitals</v>
      </c>
      <c r="D2263" t="str">
        <f>[1]!hospitalinfo[[#This Row],[Hospital Ownership]]</f>
        <v>Voluntary non-profit - Private</v>
      </c>
      <c r="E2263" cm="1">
        <f t="array" ref="E2263">_xlfn.IFNA(_xlfn.XLOOKUP(1,([1]!hcahps[Facility ID] = clean[[#This Row],[Facility ID]]) * ([1]!hcahps[HCAHPS Measure ID] = "H_HSP_RATING_LINEAR_SCORE"), [1]!hcahps[HCAHPS Linear Mean Value]), "No Match")</f>
        <v>90</v>
      </c>
      <c r="F2263" cm="1">
        <f t="array" ref="F2263">_xlfn.IFNA(_xlfn.XLOOKUP(1,([1]!readmissions[Facility ID] = clean[[#This Row],[Facility ID]]) * ([1]!readmissions[Measure ID] = "Hybrid_HWR"), [1]!readmissions[Score]), "No Match")</f>
        <v>14.9</v>
      </c>
    </row>
    <row r="2264" spans="1:6" x14ac:dyDescent="0.2">
      <c r="A2264">
        <f>[1]!hospitalinfo[[#This Row],[Facility ID]]</f>
        <v>210017</v>
      </c>
      <c r="B2264" t="str">
        <f>[1]!hospitalinfo[[#This Row],[State]]</f>
        <v>MD</v>
      </c>
      <c r="C2264" t="str">
        <f>[1]!hospitalinfo[[#This Row],[Hospital Type]]</f>
        <v>Acute Care Hospitals</v>
      </c>
      <c r="D2264" t="str">
        <f>[1]!hospitalinfo[[#This Row],[Hospital Ownership]]</f>
        <v>Voluntary non-profit - Private</v>
      </c>
      <c r="E2264" cm="1">
        <f t="array" ref="E2264">_xlfn.IFNA(_xlfn.XLOOKUP(1,([1]!hcahps[Facility ID] = clean[[#This Row],[Facility ID]]) * ([1]!hcahps[HCAHPS Measure ID] = "H_HSP_RATING_LINEAR_SCORE"), [1]!hcahps[HCAHPS Linear Mean Value]), "No Match")</f>
        <v>92</v>
      </c>
      <c r="F2264" cm="1">
        <f t="array" ref="F2264">_xlfn.IFNA(_xlfn.XLOOKUP(1,([1]!readmissions[Facility ID] = clean[[#This Row],[Facility ID]]) * ([1]!readmissions[Measure ID] = "Hybrid_HWR"), [1]!readmissions[Score]), "No Match")</f>
        <v>14.4</v>
      </c>
    </row>
    <row r="2265" spans="1:6" x14ac:dyDescent="0.2">
      <c r="A2265">
        <f>[1]!hospitalinfo[[#This Row],[Facility ID]]</f>
        <v>210018</v>
      </c>
      <c r="B2265" t="str">
        <f>[1]!hospitalinfo[[#This Row],[State]]</f>
        <v>MD</v>
      </c>
      <c r="C2265" t="str">
        <f>[1]!hospitalinfo[[#This Row],[Hospital Type]]</f>
        <v>Acute Care Hospitals</v>
      </c>
      <c r="D2265" t="str">
        <f>[1]!hospitalinfo[[#This Row],[Hospital Ownership]]</f>
        <v>Voluntary non-profit - Private</v>
      </c>
      <c r="E2265" cm="1">
        <f t="array" ref="E2265">_xlfn.IFNA(_xlfn.XLOOKUP(1,([1]!hcahps[Facility ID] = clean[[#This Row],[Facility ID]]) * ([1]!hcahps[HCAHPS Measure ID] = "H_HSP_RATING_LINEAR_SCORE"), [1]!hcahps[HCAHPS Linear Mean Value]), "No Match")</f>
        <v>85</v>
      </c>
      <c r="F2265" cm="1">
        <f t="array" ref="F2265">_xlfn.IFNA(_xlfn.XLOOKUP(1,([1]!readmissions[Facility ID] = clean[[#This Row],[Facility ID]]) * ([1]!readmissions[Measure ID] = "Hybrid_HWR"), [1]!readmissions[Score]), "No Match")</f>
        <v>14.4</v>
      </c>
    </row>
    <row r="2266" spans="1:6" x14ac:dyDescent="0.2">
      <c r="A2266">
        <f>[1]!hospitalinfo[[#This Row],[Facility ID]]</f>
        <v>210019</v>
      </c>
      <c r="B2266" t="str">
        <f>[1]!hospitalinfo[[#This Row],[State]]</f>
        <v>MD</v>
      </c>
      <c r="C2266" t="str">
        <f>[1]!hospitalinfo[[#This Row],[Hospital Type]]</f>
        <v>Acute Care Hospitals</v>
      </c>
      <c r="D2266" t="str">
        <f>[1]!hospitalinfo[[#This Row],[Hospital Ownership]]</f>
        <v>Voluntary non-profit - Private</v>
      </c>
      <c r="E2266" cm="1">
        <f t="array" ref="E2266">_xlfn.IFNA(_xlfn.XLOOKUP(1,([1]!hcahps[Facility ID] = clean[[#This Row],[Facility ID]]) * ([1]!hcahps[HCAHPS Measure ID] = "H_HSP_RATING_LINEAR_SCORE"), [1]!hcahps[HCAHPS Linear Mean Value]), "No Match")</f>
        <v>88</v>
      </c>
      <c r="F2266" cm="1">
        <f t="array" ref="F2266">_xlfn.IFNA(_xlfn.XLOOKUP(1,([1]!readmissions[Facility ID] = clean[[#This Row],[Facility ID]]) * ([1]!readmissions[Measure ID] = "Hybrid_HWR"), [1]!readmissions[Score]), "No Match")</f>
        <v>13.8</v>
      </c>
    </row>
    <row r="2267" spans="1:6" x14ac:dyDescent="0.2">
      <c r="A2267">
        <f>[1]!hospitalinfo[[#This Row],[Facility ID]]</f>
        <v>210022</v>
      </c>
      <c r="B2267" t="str">
        <f>[1]!hospitalinfo[[#This Row],[State]]</f>
        <v>MD</v>
      </c>
      <c r="C2267" t="str">
        <f>[1]!hospitalinfo[[#This Row],[Hospital Type]]</f>
        <v>Acute Care Hospitals</v>
      </c>
      <c r="D2267" t="str">
        <f>[1]!hospitalinfo[[#This Row],[Hospital Ownership]]</f>
        <v>Voluntary non-profit - Private</v>
      </c>
      <c r="E2267" cm="1">
        <f t="array" ref="E2267">_xlfn.IFNA(_xlfn.XLOOKUP(1,([1]!hcahps[Facility ID] = clean[[#This Row],[Facility ID]]) * ([1]!hcahps[HCAHPS Measure ID] = "H_HSP_RATING_LINEAR_SCORE"), [1]!hcahps[HCAHPS Linear Mean Value]), "No Match")</f>
        <v>90</v>
      </c>
      <c r="F2267" cm="1">
        <f t="array" ref="F2267">_xlfn.IFNA(_xlfn.XLOOKUP(1,([1]!readmissions[Facility ID] = clean[[#This Row],[Facility ID]]) * ([1]!readmissions[Measure ID] = "Hybrid_HWR"), [1]!readmissions[Score]), "No Match")</f>
        <v>14.5</v>
      </c>
    </row>
    <row r="2268" spans="1:6" x14ac:dyDescent="0.2">
      <c r="A2268">
        <f>[1]!hospitalinfo[[#This Row],[Facility ID]]</f>
        <v>210023</v>
      </c>
      <c r="B2268" t="str">
        <f>[1]!hospitalinfo[[#This Row],[State]]</f>
        <v>MD</v>
      </c>
      <c r="C2268" t="str">
        <f>[1]!hospitalinfo[[#This Row],[Hospital Type]]</f>
        <v>Acute Care Hospitals</v>
      </c>
      <c r="D2268" t="str">
        <f>[1]!hospitalinfo[[#This Row],[Hospital Ownership]]</f>
        <v>Voluntary non-profit - Private</v>
      </c>
      <c r="E2268" cm="1">
        <f t="array" ref="E2268">_xlfn.IFNA(_xlfn.XLOOKUP(1,([1]!hcahps[Facility ID] = clean[[#This Row],[Facility ID]]) * ([1]!hcahps[HCAHPS Measure ID] = "H_HSP_RATING_LINEAR_SCORE"), [1]!hcahps[HCAHPS Linear Mean Value]), "No Match")</f>
        <v>87</v>
      </c>
      <c r="F2268" cm="1">
        <f t="array" ref="F2268">_xlfn.IFNA(_xlfn.XLOOKUP(1,([1]!readmissions[Facility ID] = clean[[#This Row],[Facility ID]]) * ([1]!readmissions[Measure ID] = "Hybrid_HWR"), [1]!readmissions[Score]), "No Match")</f>
        <v>14.8</v>
      </c>
    </row>
    <row r="2269" spans="1:6" x14ac:dyDescent="0.2">
      <c r="A2269">
        <f>[1]!hospitalinfo[[#This Row],[Facility ID]]</f>
        <v>210024</v>
      </c>
      <c r="B2269" t="str">
        <f>[1]!hospitalinfo[[#This Row],[State]]</f>
        <v>MD</v>
      </c>
      <c r="C2269" t="str">
        <f>[1]!hospitalinfo[[#This Row],[Hospital Type]]</f>
        <v>Acute Care Hospitals</v>
      </c>
      <c r="D2269" t="str">
        <f>[1]!hospitalinfo[[#This Row],[Hospital Ownership]]</f>
        <v>Voluntary non-profit - Other</v>
      </c>
      <c r="E2269" cm="1">
        <f t="array" ref="E2269">_xlfn.IFNA(_xlfn.XLOOKUP(1,([1]!hcahps[Facility ID] = clean[[#This Row],[Facility ID]]) * ([1]!hcahps[HCAHPS Measure ID] = "H_HSP_RATING_LINEAR_SCORE"), [1]!hcahps[HCAHPS Linear Mean Value]), "No Match")</f>
        <v>87</v>
      </c>
      <c r="F2269" cm="1">
        <f t="array" ref="F2269">_xlfn.IFNA(_xlfn.XLOOKUP(1,([1]!readmissions[Facility ID] = clean[[#This Row],[Facility ID]]) * ([1]!readmissions[Measure ID] = "Hybrid_HWR"), [1]!readmissions[Score]), "No Match")</f>
        <v>13.5</v>
      </c>
    </row>
    <row r="2270" spans="1:6" x14ac:dyDescent="0.2">
      <c r="A2270">
        <f>[1]!hospitalinfo[[#This Row],[Facility ID]]</f>
        <v>210027</v>
      </c>
      <c r="B2270" t="str">
        <f>[1]!hospitalinfo[[#This Row],[State]]</f>
        <v>MD</v>
      </c>
      <c r="C2270" t="str">
        <f>[1]!hospitalinfo[[#This Row],[Hospital Type]]</f>
        <v>Acute Care Hospitals</v>
      </c>
      <c r="D2270" t="str">
        <f>[1]!hospitalinfo[[#This Row],[Hospital Ownership]]</f>
        <v>Voluntary non-profit - Private</v>
      </c>
      <c r="E2270" cm="1">
        <f t="array" ref="E2270">_xlfn.IFNA(_xlfn.XLOOKUP(1,([1]!hcahps[Facility ID] = clean[[#This Row],[Facility ID]]) * ([1]!hcahps[HCAHPS Measure ID] = "H_HSP_RATING_LINEAR_SCORE"), [1]!hcahps[HCAHPS Linear Mean Value]), "No Match")</f>
        <v>86</v>
      </c>
      <c r="F2270" cm="1">
        <f t="array" ref="F2270">_xlfn.IFNA(_xlfn.XLOOKUP(1,([1]!readmissions[Facility ID] = clean[[#This Row],[Facility ID]]) * ([1]!readmissions[Measure ID] = "Hybrid_HWR"), [1]!readmissions[Score]), "No Match")</f>
        <v>13.6</v>
      </c>
    </row>
    <row r="2271" spans="1:6" x14ac:dyDescent="0.2">
      <c r="A2271">
        <f>[1]!hospitalinfo[[#This Row],[Facility ID]]</f>
        <v>210028</v>
      </c>
      <c r="B2271" t="str">
        <f>[1]!hospitalinfo[[#This Row],[State]]</f>
        <v>MD</v>
      </c>
      <c r="C2271" t="str">
        <f>[1]!hospitalinfo[[#This Row],[Hospital Type]]</f>
        <v>Acute Care Hospitals</v>
      </c>
      <c r="D2271" t="str">
        <f>[1]!hospitalinfo[[#This Row],[Hospital Ownership]]</f>
        <v>Voluntary non-profit - Private</v>
      </c>
      <c r="E2271" cm="1">
        <f t="array" ref="E2271">_xlfn.IFNA(_xlfn.XLOOKUP(1,([1]!hcahps[Facility ID] = clean[[#This Row],[Facility ID]]) * ([1]!hcahps[HCAHPS Measure ID] = "H_HSP_RATING_LINEAR_SCORE"), [1]!hcahps[HCAHPS Linear Mean Value]), "No Match")</f>
        <v>87</v>
      </c>
      <c r="F2271" cm="1">
        <f t="array" ref="F2271">_xlfn.IFNA(_xlfn.XLOOKUP(1,([1]!readmissions[Facility ID] = clean[[#This Row],[Facility ID]]) * ([1]!readmissions[Measure ID] = "Hybrid_HWR"), [1]!readmissions[Score]), "No Match")</f>
        <v>13.3</v>
      </c>
    </row>
    <row r="2272" spans="1:6" x14ac:dyDescent="0.2">
      <c r="A2272">
        <f>[1]!hospitalinfo[[#This Row],[Facility ID]]</f>
        <v>210029</v>
      </c>
      <c r="B2272" t="str">
        <f>[1]!hospitalinfo[[#This Row],[State]]</f>
        <v>MD</v>
      </c>
      <c r="C2272" t="str">
        <f>[1]!hospitalinfo[[#This Row],[Hospital Type]]</f>
        <v>Acute Care Hospitals</v>
      </c>
      <c r="D2272" t="str">
        <f>[1]!hospitalinfo[[#This Row],[Hospital Ownership]]</f>
        <v>Voluntary non-profit - Private</v>
      </c>
      <c r="E2272" cm="1">
        <f t="array" ref="E2272">_xlfn.IFNA(_xlfn.XLOOKUP(1,([1]!hcahps[Facility ID] = clean[[#This Row],[Facility ID]]) * ([1]!hcahps[HCAHPS Measure ID] = "H_HSP_RATING_LINEAR_SCORE"), [1]!hcahps[HCAHPS Linear Mean Value]), "No Match")</f>
        <v>87</v>
      </c>
      <c r="F2272" cm="1">
        <f t="array" ref="F2272">_xlfn.IFNA(_xlfn.XLOOKUP(1,([1]!readmissions[Facility ID] = clean[[#This Row],[Facility ID]]) * ([1]!readmissions[Measure ID] = "Hybrid_HWR"), [1]!readmissions[Score]), "No Match")</f>
        <v>13.7</v>
      </c>
    </row>
    <row r="2273" spans="1:6" x14ac:dyDescent="0.2">
      <c r="A2273">
        <f>[1]!hospitalinfo[[#This Row],[Facility ID]]</f>
        <v>210030</v>
      </c>
      <c r="B2273" t="str">
        <f>[1]!hospitalinfo[[#This Row],[State]]</f>
        <v>MD</v>
      </c>
      <c r="C2273" t="str">
        <f>[1]!hospitalinfo[[#This Row],[Hospital Type]]</f>
        <v>Acute Care Hospitals</v>
      </c>
      <c r="D2273" t="str">
        <f>[1]!hospitalinfo[[#This Row],[Hospital Ownership]]</f>
        <v>Voluntary non-profit - Private</v>
      </c>
      <c r="E2273" t="str" cm="1">
        <f t="array" ref="E2273">_xlfn.IFNA(_xlfn.XLOOKUP(1,([1]!hcahps[Facility ID] = clean[[#This Row],[Facility ID]]) * ([1]!hcahps[HCAHPS Measure ID] = "H_HSP_RATING_LINEAR_SCORE"), [1]!hcahps[HCAHPS Linear Mean Value]), "No Match")</f>
        <v>Not Available</v>
      </c>
      <c r="F2273" cm="1">
        <f t="array" ref="F2273">_xlfn.IFNA(_xlfn.XLOOKUP(1,([1]!readmissions[Facility ID] = clean[[#This Row],[Facility ID]]) * ([1]!readmissions[Measure ID] = "Hybrid_HWR"), [1]!readmissions[Score]), "No Match")</f>
        <v>14</v>
      </c>
    </row>
    <row r="2274" spans="1:6" x14ac:dyDescent="0.2">
      <c r="A2274">
        <f>[1]!hospitalinfo[[#This Row],[Facility ID]]</f>
        <v>210032</v>
      </c>
      <c r="B2274" t="str">
        <f>[1]!hospitalinfo[[#This Row],[State]]</f>
        <v>MD</v>
      </c>
      <c r="C2274" t="str">
        <f>[1]!hospitalinfo[[#This Row],[Hospital Type]]</f>
        <v>Acute Care Hospitals</v>
      </c>
      <c r="D2274" t="str">
        <f>[1]!hospitalinfo[[#This Row],[Hospital Ownership]]</f>
        <v>Voluntary non-profit - Private</v>
      </c>
      <c r="E2274" cm="1">
        <f t="array" ref="E2274">_xlfn.IFNA(_xlfn.XLOOKUP(1,([1]!hcahps[Facility ID] = clean[[#This Row],[Facility ID]]) * ([1]!hcahps[HCAHPS Measure ID] = "H_HSP_RATING_LINEAR_SCORE"), [1]!hcahps[HCAHPS Linear Mean Value]), "No Match")</f>
        <v>85</v>
      </c>
      <c r="F2274" cm="1">
        <f t="array" ref="F2274">_xlfn.IFNA(_xlfn.XLOOKUP(1,([1]!readmissions[Facility ID] = clean[[#This Row],[Facility ID]]) * ([1]!readmissions[Measure ID] = "Hybrid_HWR"), [1]!readmissions[Score]), "No Match")</f>
        <v>14.8</v>
      </c>
    </row>
    <row r="2275" spans="1:6" x14ac:dyDescent="0.2">
      <c r="A2275">
        <f>[1]!hospitalinfo[[#This Row],[Facility ID]]</f>
        <v>210033</v>
      </c>
      <c r="B2275" t="str">
        <f>[1]!hospitalinfo[[#This Row],[State]]</f>
        <v>MD</v>
      </c>
      <c r="C2275" t="str">
        <f>[1]!hospitalinfo[[#This Row],[Hospital Type]]</f>
        <v>Acute Care Hospitals</v>
      </c>
      <c r="D2275" t="str">
        <f>[1]!hospitalinfo[[#This Row],[Hospital Ownership]]</f>
        <v>Voluntary non-profit - Private</v>
      </c>
      <c r="E2275" cm="1">
        <f t="array" ref="E2275">_xlfn.IFNA(_xlfn.XLOOKUP(1,([1]!hcahps[Facility ID] = clean[[#This Row],[Facility ID]]) * ([1]!hcahps[HCAHPS Measure ID] = "H_HSP_RATING_LINEAR_SCORE"), [1]!hcahps[HCAHPS Linear Mean Value]), "No Match")</f>
        <v>85</v>
      </c>
      <c r="F2275" cm="1">
        <f t="array" ref="F2275">_xlfn.IFNA(_xlfn.XLOOKUP(1,([1]!readmissions[Facility ID] = clean[[#This Row],[Facility ID]]) * ([1]!readmissions[Measure ID] = "Hybrid_HWR"), [1]!readmissions[Score]), "No Match")</f>
        <v>15.1</v>
      </c>
    </row>
    <row r="2276" spans="1:6" x14ac:dyDescent="0.2">
      <c r="A2276">
        <f>[1]!hospitalinfo[[#This Row],[Facility ID]]</f>
        <v>210034</v>
      </c>
      <c r="B2276" t="str">
        <f>[1]!hospitalinfo[[#This Row],[State]]</f>
        <v>MD</v>
      </c>
      <c r="C2276" t="str">
        <f>[1]!hospitalinfo[[#This Row],[Hospital Type]]</f>
        <v>Acute Care Hospitals</v>
      </c>
      <c r="D2276" t="str">
        <f>[1]!hospitalinfo[[#This Row],[Hospital Ownership]]</f>
        <v>Voluntary non-profit - Private</v>
      </c>
      <c r="E2276" cm="1">
        <f t="array" ref="E2276">_xlfn.IFNA(_xlfn.XLOOKUP(1,([1]!hcahps[Facility ID] = clean[[#This Row],[Facility ID]]) * ([1]!hcahps[HCAHPS Measure ID] = "H_HSP_RATING_LINEAR_SCORE"), [1]!hcahps[HCAHPS Linear Mean Value]), "No Match")</f>
        <v>85</v>
      </c>
      <c r="F2276" cm="1">
        <f t="array" ref="F2276">_xlfn.IFNA(_xlfn.XLOOKUP(1,([1]!readmissions[Facility ID] = clean[[#This Row],[Facility ID]]) * ([1]!readmissions[Measure ID] = "Hybrid_HWR"), [1]!readmissions[Score]), "No Match")</f>
        <v>13.7</v>
      </c>
    </row>
    <row r="2277" spans="1:6" x14ac:dyDescent="0.2">
      <c r="A2277">
        <f>[1]!hospitalinfo[[#This Row],[Facility ID]]</f>
        <v>210035</v>
      </c>
      <c r="B2277" t="str">
        <f>[1]!hospitalinfo[[#This Row],[State]]</f>
        <v>MD</v>
      </c>
      <c r="C2277" t="str">
        <f>[1]!hospitalinfo[[#This Row],[Hospital Type]]</f>
        <v>Acute Care Hospitals</v>
      </c>
      <c r="D2277" t="str">
        <f>[1]!hospitalinfo[[#This Row],[Hospital Ownership]]</f>
        <v>Voluntary non-profit - Private</v>
      </c>
      <c r="E2277" cm="1">
        <f t="array" ref="E2277">_xlfn.IFNA(_xlfn.XLOOKUP(1,([1]!hcahps[Facility ID] = clean[[#This Row],[Facility ID]]) * ([1]!hcahps[HCAHPS Measure ID] = "H_HSP_RATING_LINEAR_SCORE"), [1]!hcahps[HCAHPS Linear Mean Value]), "No Match")</f>
        <v>84</v>
      </c>
      <c r="F2277" cm="1">
        <f t="array" ref="F2277">_xlfn.IFNA(_xlfn.XLOOKUP(1,([1]!readmissions[Facility ID] = clean[[#This Row],[Facility ID]]) * ([1]!readmissions[Measure ID] = "Hybrid_HWR"), [1]!readmissions[Score]), "No Match")</f>
        <v>13.6</v>
      </c>
    </row>
    <row r="2278" spans="1:6" x14ac:dyDescent="0.2">
      <c r="A2278">
        <f>[1]!hospitalinfo[[#This Row],[Facility ID]]</f>
        <v>210037</v>
      </c>
      <c r="B2278" t="str">
        <f>[1]!hospitalinfo[[#This Row],[State]]</f>
        <v>MD</v>
      </c>
      <c r="C2278" t="str">
        <f>[1]!hospitalinfo[[#This Row],[Hospital Type]]</f>
        <v>Acute Care Hospitals</v>
      </c>
      <c r="D2278" t="str">
        <f>[1]!hospitalinfo[[#This Row],[Hospital Ownership]]</f>
        <v>Voluntary non-profit - Private</v>
      </c>
      <c r="E2278" cm="1">
        <f t="array" ref="E2278">_xlfn.IFNA(_xlfn.XLOOKUP(1,([1]!hcahps[Facility ID] = clean[[#This Row],[Facility ID]]) * ([1]!hcahps[HCAHPS Measure ID] = "H_HSP_RATING_LINEAR_SCORE"), [1]!hcahps[HCAHPS Linear Mean Value]), "No Match")</f>
        <v>82</v>
      </c>
      <c r="F2278" cm="1">
        <f t="array" ref="F2278">_xlfn.IFNA(_xlfn.XLOOKUP(1,([1]!readmissions[Facility ID] = clean[[#This Row],[Facility ID]]) * ([1]!readmissions[Measure ID] = "Hybrid_HWR"), [1]!readmissions[Score]), "No Match")</f>
        <v>12.6</v>
      </c>
    </row>
    <row r="2279" spans="1:6" x14ac:dyDescent="0.2">
      <c r="A2279">
        <f>[1]!hospitalinfo[[#This Row],[Facility ID]]</f>
        <v>210038</v>
      </c>
      <c r="B2279" t="str">
        <f>[1]!hospitalinfo[[#This Row],[State]]</f>
        <v>MD</v>
      </c>
      <c r="C2279" t="str">
        <f>[1]!hospitalinfo[[#This Row],[Hospital Type]]</f>
        <v>Acute Care Hospitals</v>
      </c>
      <c r="D2279" t="str">
        <f>[1]!hospitalinfo[[#This Row],[Hospital Ownership]]</f>
        <v>Voluntary non-profit - Other</v>
      </c>
      <c r="E2279" cm="1">
        <f t="array" ref="E2279">_xlfn.IFNA(_xlfn.XLOOKUP(1,([1]!hcahps[Facility ID] = clean[[#This Row],[Facility ID]]) * ([1]!hcahps[HCAHPS Measure ID] = "H_HSP_RATING_LINEAR_SCORE"), [1]!hcahps[HCAHPS Linear Mean Value]), "No Match")</f>
        <v>84</v>
      </c>
      <c r="F2279" cm="1">
        <f t="array" ref="F2279">_xlfn.IFNA(_xlfn.XLOOKUP(1,([1]!readmissions[Facility ID] = clean[[#This Row],[Facility ID]]) * ([1]!readmissions[Measure ID] = "Hybrid_HWR"), [1]!readmissions[Score]), "No Match")</f>
        <v>14.4</v>
      </c>
    </row>
    <row r="2280" spans="1:6" x14ac:dyDescent="0.2">
      <c r="A2280">
        <f>[1]!hospitalinfo[[#This Row],[Facility ID]]</f>
        <v>210039</v>
      </c>
      <c r="B2280" t="str">
        <f>[1]!hospitalinfo[[#This Row],[State]]</f>
        <v>MD</v>
      </c>
      <c r="C2280" t="str">
        <f>[1]!hospitalinfo[[#This Row],[Hospital Type]]</f>
        <v>Acute Care Hospitals</v>
      </c>
      <c r="D2280" t="str">
        <f>[1]!hospitalinfo[[#This Row],[Hospital Ownership]]</f>
        <v>Voluntary non-profit - Other</v>
      </c>
      <c r="E2280" cm="1">
        <f t="array" ref="E2280">_xlfn.IFNA(_xlfn.XLOOKUP(1,([1]!hcahps[Facility ID] = clean[[#This Row],[Facility ID]]) * ([1]!hcahps[HCAHPS Measure ID] = "H_HSP_RATING_LINEAR_SCORE"), [1]!hcahps[HCAHPS Linear Mean Value]), "No Match")</f>
        <v>89</v>
      </c>
      <c r="F2280" cm="1">
        <f t="array" ref="F2280">_xlfn.IFNA(_xlfn.XLOOKUP(1,([1]!readmissions[Facility ID] = clean[[#This Row],[Facility ID]]) * ([1]!readmissions[Measure ID] = "Hybrid_HWR"), [1]!readmissions[Score]), "No Match")</f>
        <v>14.3</v>
      </c>
    </row>
    <row r="2281" spans="1:6" x14ac:dyDescent="0.2">
      <c r="A2281">
        <f>[1]!hospitalinfo[[#This Row],[Facility ID]]</f>
        <v>210040</v>
      </c>
      <c r="B2281" t="str">
        <f>[1]!hospitalinfo[[#This Row],[State]]</f>
        <v>MD</v>
      </c>
      <c r="C2281" t="str">
        <f>[1]!hospitalinfo[[#This Row],[Hospital Type]]</f>
        <v>Acute Care Hospitals</v>
      </c>
      <c r="D2281" t="str">
        <f>[1]!hospitalinfo[[#This Row],[Hospital Ownership]]</f>
        <v>Voluntary non-profit - Private</v>
      </c>
      <c r="E2281" cm="1">
        <f t="array" ref="E2281">_xlfn.IFNA(_xlfn.XLOOKUP(1,([1]!hcahps[Facility ID] = clean[[#This Row],[Facility ID]]) * ([1]!hcahps[HCAHPS Measure ID] = "H_HSP_RATING_LINEAR_SCORE"), [1]!hcahps[HCAHPS Linear Mean Value]), "No Match")</f>
        <v>83</v>
      </c>
      <c r="F2281" cm="1">
        <f t="array" ref="F2281">_xlfn.IFNA(_xlfn.XLOOKUP(1,([1]!readmissions[Facility ID] = clean[[#This Row],[Facility ID]]) * ([1]!readmissions[Measure ID] = "Hybrid_HWR"), [1]!readmissions[Score]), "No Match")</f>
        <v>14.6</v>
      </c>
    </row>
    <row r="2282" spans="1:6" x14ac:dyDescent="0.2">
      <c r="A2282">
        <f>[1]!hospitalinfo[[#This Row],[Facility ID]]</f>
        <v>210043</v>
      </c>
      <c r="B2282" t="str">
        <f>[1]!hospitalinfo[[#This Row],[State]]</f>
        <v>MD</v>
      </c>
      <c r="C2282" t="str">
        <f>[1]!hospitalinfo[[#This Row],[Hospital Type]]</f>
        <v>Acute Care Hospitals</v>
      </c>
      <c r="D2282" t="str">
        <f>[1]!hospitalinfo[[#This Row],[Hospital Ownership]]</f>
        <v>Voluntary non-profit - Other</v>
      </c>
      <c r="E2282" cm="1">
        <f t="array" ref="E2282">_xlfn.IFNA(_xlfn.XLOOKUP(1,([1]!hcahps[Facility ID] = clean[[#This Row],[Facility ID]]) * ([1]!hcahps[HCAHPS Measure ID] = "H_HSP_RATING_LINEAR_SCORE"), [1]!hcahps[HCAHPS Linear Mean Value]), "No Match")</f>
        <v>86</v>
      </c>
      <c r="F2282" cm="1">
        <f t="array" ref="F2282">_xlfn.IFNA(_xlfn.XLOOKUP(1,([1]!readmissions[Facility ID] = clean[[#This Row],[Facility ID]]) * ([1]!readmissions[Measure ID] = "Hybrid_HWR"), [1]!readmissions[Score]), "No Match")</f>
        <v>14.5</v>
      </c>
    </row>
    <row r="2283" spans="1:6" x14ac:dyDescent="0.2">
      <c r="A2283">
        <f>[1]!hospitalinfo[[#This Row],[Facility ID]]</f>
        <v>210044</v>
      </c>
      <c r="B2283" t="str">
        <f>[1]!hospitalinfo[[#This Row],[State]]</f>
        <v>MD</v>
      </c>
      <c r="C2283" t="str">
        <f>[1]!hospitalinfo[[#This Row],[Hospital Type]]</f>
        <v>Acute Care Hospitals</v>
      </c>
      <c r="D2283" t="str">
        <f>[1]!hospitalinfo[[#This Row],[Hospital Ownership]]</f>
        <v>Voluntary non-profit - Private</v>
      </c>
      <c r="E2283" cm="1">
        <f t="array" ref="E2283">_xlfn.IFNA(_xlfn.XLOOKUP(1,([1]!hcahps[Facility ID] = clean[[#This Row],[Facility ID]]) * ([1]!hcahps[HCAHPS Measure ID] = "H_HSP_RATING_LINEAR_SCORE"), [1]!hcahps[HCAHPS Linear Mean Value]), "No Match")</f>
        <v>89</v>
      </c>
      <c r="F2283" cm="1">
        <f t="array" ref="F2283">_xlfn.IFNA(_xlfn.XLOOKUP(1,([1]!readmissions[Facility ID] = clean[[#This Row],[Facility ID]]) * ([1]!readmissions[Measure ID] = "Hybrid_HWR"), [1]!readmissions[Score]), "No Match")</f>
        <v>13.5</v>
      </c>
    </row>
    <row r="2284" spans="1:6" x14ac:dyDescent="0.2">
      <c r="A2284">
        <f>[1]!hospitalinfo[[#This Row],[Facility ID]]</f>
        <v>210048</v>
      </c>
      <c r="B2284" t="str">
        <f>[1]!hospitalinfo[[#This Row],[State]]</f>
        <v>MD</v>
      </c>
      <c r="C2284" t="str">
        <f>[1]!hospitalinfo[[#This Row],[Hospital Type]]</f>
        <v>Acute Care Hospitals</v>
      </c>
      <c r="D2284" t="str">
        <f>[1]!hospitalinfo[[#This Row],[Hospital Ownership]]</f>
        <v>Voluntary non-profit - Private</v>
      </c>
      <c r="E2284" cm="1">
        <f t="array" ref="E2284">_xlfn.IFNA(_xlfn.XLOOKUP(1,([1]!hcahps[Facility ID] = clean[[#This Row],[Facility ID]]) * ([1]!hcahps[HCAHPS Measure ID] = "H_HSP_RATING_LINEAR_SCORE"), [1]!hcahps[HCAHPS Linear Mean Value]), "No Match")</f>
        <v>86</v>
      </c>
      <c r="F2284" cm="1">
        <f t="array" ref="F2284">_xlfn.IFNA(_xlfn.XLOOKUP(1,([1]!readmissions[Facility ID] = clean[[#This Row],[Facility ID]]) * ([1]!readmissions[Measure ID] = "Hybrid_HWR"), [1]!readmissions[Score]), "No Match")</f>
        <v>15.1</v>
      </c>
    </row>
    <row r="2285" spans="1:6" x14ac:dyDescent="0.2">
      <c r="A2285">
        <f>[1]!hospitalinfo[[#This Row],[Facility ID]]</f>
        <v>210049</v>
      </c>
      <c r="B2285" t="str">
        <f>[1]!hospitalinfo[[#This Row],[State]]</f>
        <v>MD</v>
      </c>
      <c r="C2285" t="str">
        <f>[1]!hospitalinfo[[#This Row],[Hospital Type]]</f>
        <v>Acute Care Hospitals</v>
      </c>
      <c r="D2285" t="str">
        <f>[1]!hospitalinfo[[#This Row],[Hospital Ownership]]</f>
        <v>Voluntary non-profit - Other</v>
      </c>
      <c r="E2285" cm="1">
        <f t="array" ref="E2285">_xlfn.IFNA(_xlfn.XLOOKUP(1,([1]!hcahps[Facility ID] = clean[[#This Row],[Facility ID]]) * ([1]!hcahps[HCAHPS Measure ID] = "H_HSP_RATING_LINEAR_SCORE"), [1]!hcahps[HCAHPS Linear Mean Value]), "No Match")</f>
        <v>83</v>
      </c>
      <c r="F2285" cm="1">
        <f t="array" ref="F2285">_xlfn.IFNA(_xlfn.XLOOKUP(1,([1]!readmissions[Facility ID] = clean[[#This Row],[Facility ID]]) * ([1]!readmissions[Measure ID] = "Hybrid_HWR"), [1]!readmissions[Score]), "No Match")</f>
        <v>14.5</v>
      </c>
    </row>
    <row r="2286" spans="1:6" x14ac:dyDescent="0.2">
      <c r="A2286">
        <f>[1]!hospitalinfo[[#This Row],[Facility ID]]</f>
        <v>210051</v>
      </c>
      <c r="B2286" t="str">
        <f>[1]!hospitalinfo[[#This Row],[State]]</f>
        <v>MD</v>
      </c>
      <c r="C2286" t="str">
        <f>[1]!hospitalinfo[[#This Row],[Hospital Type]]</f>
        <v>Acute Care Hospitals</v>
      </c>
      <c r="D2286" t="str">
        <f>[1]!hospitalinfo[[#This Row],[Hospital Ownership]]</f>
        <v>Proprietary</v>
      </c>
      <c r="E2286" cm="1">
        <f t="array" ref="E2286">_xlfn.IFNA(_xlfn.XLOOKUP(1,([1]!hcahps[Facility ID] = clean[[#This Row],[Facility ID]]) * ([1]!hcahps[HCAHPS Measure ID] = "H_HSP_RATING_LINEAR_SCORE"), [1]!hcahps[HCAHPS Linear Mean Value]), "No Match")</f>
        <v>84</v>
      </c>
      <c r="F2286" cm="1">
        <f t="array" ref="F2286">_xlfn.IFNA(_xlfn.XLOOKUP(1,([1]!readmissions[Facility ID] = clean[[#This Row],[Facility ID]]) * ([1]!readmissions[Measure ID] = "Hybrid_HWR"), [1]!readmissions[Score]), "No Match")</f>
        <v>12.8</v>
      </c>
    </row>
    <row r="2287" spans="1:6" x14ac:dyDescent="0.2">
      <c r="A2287">
        <f>[1]!hospitalinfo[[#This Row],[Facility ID]]</f>
        <v>210056</v>
      </c>
      <c r="B2287" t="str">
        <f>[1]!hospitalinfo[[#This Row],[State]]</f>
        <v>MD</v>
      </c>
      <c r="C2287" t="str">
        <f>[1]!hospitalinfo[[#This Row],[Hospital Type]]</f>
        <v>Acute Care Hospitals</v>
      </c>
      <c r="D2287" t="str">
        <f>[1]!hospitalinfo[[#This Row],[Hospital Ownership]]</f>
        <v>Voluntary non-profit - Other</v>
      </c>
      <c r="E2287" cm="1">
        <f t="array" ref="E2287">_xlfn.IFNA(_xlfn.XLOOKUP(1,([1]!hcahps[Facility ID] = clean[[#This Row],[Facility ID]]) * ([1]!hcahps[HCAHPS Measure ID] = "H_HSP_RATING_LINEAR_SCORE"), [1]!hcahps[HCAHPS Linear Mean Value]), "No Match")</f>
        <v>84</v>
      </c>
      <c r="F2287" cm="1">
        <f t="array" ref="F2287">_xlfn.IFNA(_xlfn.XLOOKUP(1,([1]!readmissions[Facility ID] = clean[[#This Row],[Facility ID]]) * ([1]!readmissions[Measure ID] = "Hybrid_HWR"), [1]!readmissions[Score]), "No Match")</f>
        <v>14.9</v>
      </c>
    </row>
    <row r="2288" spans="1:6" x14ac:dyDescent="0.2">
      <c r="A2288">
        <f>[1]!hospitalinfo[[#This Row],[Facility ID]]</f>
        <v>210057</v>
      </c>
      <c r="B2288" t="str">
        <f>[1]!hospitalinfo[[#This Row],[State]]</f>
        <v>MD</v>
      </c>
      <c r="C2288" t="str">
        <f>[1]!hospitalinfo[[#This Row],[Hospital Type]]</f>
        <v>Acute Care Hospitals</v>
      </c>
      <c r="D2288" t="str">
        <f>[1]!hospitalinfo[[#This Row],[Hospital Ownership]]</f>
        <v>Voluntary non-profit - Private</v>
      </c>
      <c r="E2288" cm="1">
        <f t="array" ref="E2288">_xlfn.IFNA(_xlfn.XLOOKUP(1,([1]!hcahps[Facility ID] = clean[[#This Row],[Facility ID]]) * ([1]!hcahps[HCAHPS Measure ID] = "H_HSP_RATING_LINEAR_SCORE"), [1]!hcahps[HCAHPS Linear Mean Value]), "No Match")</f>
        <v>87</v>
      </c>
      <c r="F2288" cm="1">
        <f t="array" ref="F2288">_xlfn.IFNA(_xlfn.XLOOKUP(1,([1]!readmissions[Facility ID] = clean[[#This Row],[Facility ID]]) * ([1]!readmissions[Measure ID] = "Hybrid_HWR"), [1]!readmissions[Score]), "No Match")</f>
        <v>14.5</v>
      </c>
    </row>
    <row r="2289" spans="1:6" x14ac:dyDescent="0.2">
      <c r="A2289">
        <f>[1]!hospitalinfo[[#This Row],[Facility ID]]</f>
        <v>210058</v>
      </c>
      <c r="B2289" t="str">
        <f>[1]!hospitalinfo[[#This Row],[State]]</f>
        <v>MD</v>
      </c>
      <c r="C2289" t="str">
        <f>[1]!hospitalinfo[[#This Row],[Hospital Type]]</f>
        <v>Acute Care Hospitals</v>
      </c>
      <c r="D2289" t="str">
        <f>[1]!hospitalinfo[[#This Row],[Hospital Ownership]]</f>
        <v>Voluntary non-profit - Private</v>
      </c>
      <c r="E2289" t="str" cm="1">
        <f t="array" ref="E2289">_xlfn.IFNA(_xlfn.XLOOKUP(1,([1]!hcahps[Facility ID] = clean[[#This Row],[Facility ID]]) * ([1]!hcahps[HCAHPS Measure ID] = "H_HSP_RATING_LINEAR_SCORE"), [1]!hcahps[HCAHPS Linear Mean Value]), "No Match")</f>
        <v>Not Available</v>
      </c>
      <c r="F2289" t="str" cm="1">
        <f t="array" ref="F2289">_xlfn.IFNA(_xlfn.XLOOKUP(1,([1]!readmissions[Facility ID] = clean[[#This Row],[Facility ID]]) * ([1]!readmissions[Measure ID] = "Hybrid_HWR"), [1]!readmissions[Score]), "No Match")</f>
        <v>Not Available</v>
      </c>
    </row>
    <row r="2290" spans="1:6" x14ac:dyDescent="0.2">
      <c r="A2290">
        <f>[1]!hospitalinfo[[#This Row],[Facility ID]]</f>
        <v>210060</v>
      </c>
      <c r="B2290" t="str">
        <f>[1]!hospitalinfo[[#This Row],[State]]</f>
        <v>MD</v>
      </c>
      <c r="C2290" t="str">
        <f>[1]!hospitalinfo[[#This Row],[Hospital Type]]</f>
        <v>Acute Care Hospitals</v>
      </c>
      <c r="D2290" t="str">
        <f>[1]!hospitalinfo[[#This Row],[Hospital Ownership]]</f>
        <v>Voluntary non-profit - Other</v>
      </c>
      <c r="E2290" cm="1">
        <f t="array" ref="E2290">_xlfn.IFNA(_xlfn.XLOOKUP(1,([1]!hcahps[Facility ID] = clean[[#This Row],[Facility ID]]) * ([1]!hcahps[HCAHPS Measure ID] = "H_HSP_RATING_LINEAR_SCORE"), [1]!hcahps[HCAHPS Linear Mean Value]), "No Match")</f>
        <v>84</v>
      </c>
      <c r="F2290" cm="1">
        <f t="array" ref="F2290">_xlfn.IFNA(_xlfn.XLOOKUP(1,([1]!readmissions[Facility ID] = clean[[#This Row],[Facility ID]]) * ([1]!readmissions[Measure ID] = "Hybrid_HWR"), [1]!readmissions[Score]), "No Match")</f>
        <v>14.9</v>
      </c>
    </row>
    <row r="2291" spans="1:6" x14ac:dyDescent="0.2">
      <c r="A2291">
        <f>[1]!hospitalinfo[[#This Row],[Facility ID]]</f>
        <v>210061</v>
      </c>
      <c r="B2291" t="str">
        <f>[1]!hospitalinfo[[#This Row],[State]]</f>
        <v>MD</v>
      </c>
      <c r="C2291" t="str">
        <f>[1]!hospitalinfo[[#This Row],[Hospital Type]]</f>
        <v>Acute Care Hospitals</v>
      </c>
      <c r="D2291" t="str">
        <f>[1]!hospitalinfo[[#This Row],[Hospital Ownership]]</f>
        <v>Voluntary non-profit - Private</v>
      </c>
      <c r="E2291" cm="1">
        <f t="array" ref="E2291">_xlfn.IFNA(_xlfn.XLOOKUP(1,([1]!hcahps[Facility ID] = clean[[#This Row],[Facility ID]]) * ([1]!hcahps[HCAHPS Measure ID] = "H_HSP_RATING_LINEAR_SCORE"), [1]!hcahps[HCAHPS Linear Mean Value]), "No Match")</f>
        <v>90</v>
      </c>
      <c r="F2291" cm="1">
        <f t="array" ref="F2291">_xlfn.IFNA(_xlfn.XLOOKUP(1,([1]!readmissions[Facility ID] = clean[[#This Row],[Facility ID]]) * ([1]!readmissions[Measure ID] = "Hybrid_HWR"), [1]!readmissions[Score]), "No Match")</f>
        <v>14.9</v>
      </c>
    </row>
    <row r="2292" spans="1:6" x14ac:dyDescent="0.2">
      <c r="A2292">
        <f>[1]!hospitalinfo[[#This Row],[Facility ID]]</f>
        <v>210062</v>
      </c>
      <c r="B2292" t="str">
        <f>[1]!hospitalinfo[[#This Row],[State]]</f>
        <v>MD</v>
      </c>
      <c r="C2292" t="str">
        <f>[1]!hospitalinfo[[#This Row],[Hospital Type]]</f>
        <v>Acute Care Hospitals</v>
      </c>
      <c r="D2292" t="str">
        <f>[1]!hospitalinfo[[#This Row],[Hospital Ownership]]</f>
        <v>Voluntary non-profit - Private</v>
      </c>
      <c r="E2292" cm="1">
        <f t="array" ref="E2292">_xlfn.IFNA(_xlfn.XLOOKUP(1,([1]!hcahps[Facility ID] = clean[[#This Row],[Facility ID]]) * ([1]!hcahps[HCAHPS Measure ID] = "H_HSP_RATING_LINEAR_SCORE"), [1]!hcahps[HCAHPS Linear Mean Value]), "No Match")</f>
        <v>79</v>
      </c>
      <c r="F2292" cm="1">
        <f t="array" ref="F2292">_xlfn.IFNA(_xlfn.XLOOKUP(1,([1]!readmissions[Facility ID] = clean[[#This Row],[Facility ID]]) * ([1]!readmissions[Measure ID] = "Hybrid_HWR"), [1]!readmissions[Score]), "No Match")</f>
        <v>15</v>
      </c>
    </row>
    <row r="2293" spans="1:6" x14ac:dyDescent="0.2">
      <c r="A2293">
        <f>[1]!hospitalinfo[[#This Row],[Facility ID]]</f>
        <v>210063</v>
      </c>
      <c r="B2293" t="str">
        <f>[1]!hospitalinfo[[#This Row],[State]]</f>
        <v>MD</v>
      </c>
      <c r="C2293" t="str">
        <f>[1]!hospitalinfo[[#This Row],[Hospital Type]]</f>
        <v>Acute Care Hospitals</v>
      </c>
      <c r="D2293" t="str">
        <f>[1]!hospitalinfo[[#This Row],[Hospital Ownership]]</f>
        <v>Voluntary non-profit - Private</v>
      </c>
      <c r="E2293" cm="1">
        <f t="array" ref="E2293">_xlfn.IFNA(_xlfn.XLOOKUP(1,([1]!hcahps[Facility ID] = clean[[#This Row],[Facility ID]]) * ([1]!hcahps[HCAHPS Measure ID] = "H_HSP_RATING_LINEAR_SCORE"), [1]!hcahps[HCAHPS Linear Mean Value]), "No Match")</f>
        <v>90</v>
      </c>
      <c r="F2293" cm="1">
        <f t="array" ref="F2293">_xlfn.IFNA(_xlfn.XLOOKUP(1,([1]!readmissions[Facility ID] = clean[[#This Row],[Facility ID]]) * ([1]!readmissions[Measure ID] = "Hybrid_HWR"), [1]!readmissions[Score]), "No Match")</f>
        <v>13.1</v>
      </c>
    </row>
    <row r="2294" spans="1:6" x14ac:dyDescent="0.2">
      <c r="A2294">
        <f>[1]!hospitalinfo[[#This Row],[Facility ID]]</f>
        <v>210064</v>
      </c>
      <c r="B2294" t="str">
        <f>[1]!hospitalinfo[[#This Row],[State]]</f>
        <v>MD</v>
      </c>
      <c r="C2294" t="str">
        <f>[1]!hospitalinfo[[#This Row],[Hospital Type]]</f>
        <v>Acute Care Hospitals</v>
      </c>
      <c r="D2294" t="str">
        <f>[1]!hospitalinfo[[#This Row],[Hospital Ownership]]</f>
        <v>Voluntary non-profit - Private</v>
      </c>
      <c r="E2294" t="str" cm="1">
        <f t="array" ref="E2294">_xlfn.IFNA(_xlfn.XLOOKUP(1,([1]!hcahps[Facility ID] = clean[[#This Row],[Facility ID]]) * ([1]!hcahps[HCAHPS Measure ID] = "H_HSP_RATING_LINEAR_SCORE"), [1]!hcahps[HCAHPS Linear Mean Value]), "No Match")</f>
        <v>Not Available</v>
      </c>
      <c r="F2294" cm="1">
        <f t="array" ref="F2294">_xlfn.IFNA(_xlfn.XLOOKUP(1,([1]!readmissions[Facility ID] = clean[[#This Row],[Facility ID]]) * ([1]!readmissions[Measure ID] = "Hybrid_HWR"), [1]!readmissions[Score]), "No Match")</f>
        <v>14.1</v>
      </c>
    </row>
    <row r="2295" spans="1:6" x14ac:dyDescent="0.2">
      <c r="A2295">
        <f>[1]!hospitalinfo[[#This Row],[Facility ID]]</f>
        <v>210065</v>
      </c>
      <c r="B2295" t="str">
        <f>[1]!hospitalinfo[[#This Row],[State]]</f>
        <v>MD</v>
      </c>
      <c r="C2295" t="str">
        <f>[1]!hospitalinfo[[#This Row],[Hospital Type]]</f>
        <v>Acute Care Hospitals</v>
      </c>
      <c r="D2295" t="str">
        <f>[1]!hospitalinfo[[#This Row],[Hospital Ownership]]</f>
        <v>Voluntary non-profit - Private</v>
      </c>
      <c r="E2295" cm="1">
        <f t="array" ref="E2295">_xlfn.IFNA(_xlfn.XLOOKUP(1,([1]!hcahps[Facility ID] = clean[[#This Row],[Facility ID]]) * ([1]!hcahps[HCAHPS Measure ID] = "H_HSP_RATING_LINEAR_SCORE"), [1]!hcahps[HCAHPS Linear Mean Value]), "No Match")</f>
        <v>86</v>
      </c>
      <c r="F2295" cm="1">
        <f t="array" ref="F2295">_xlfn.IFNA(_xlfn.XLOOKUP(1,([1]!readmissions[Facility ID] = clean[[#This Row],[Facility ID]]) * ([1]!readmissions[Measure ID] = "Hybrid_HWR"), [1]!readmissions[Score]), "No Match")</f>
        <v>15.4</v>
      </c>
    </row>
    <row r="2296" spans="1:6" x14ac:dyDescent="0.2">
      <c r="A2296">
        <f>[1]!hospitalinfo[[#This Row],[Facility ID]]</f>
        <v>213300</v>
      </c>
      <c r="B2296" t="str">
        <f>[1]!hospitalinfo[[#This Row],[State]]</f>
        <v>MD</v>
      </c>
      <c r="C2296" t="str">
        <f>[1]!hospitalinfo[[#This Row],[Hospital Type]]</f>
        <v>Childrens</v>
      </c>
      <c r="D2296" t="str">
        <f>[1]!hospitalinfo[[#This Row],[Hospital Ownership]]</f>
        <v>Voluntary non-profit - Private</v>
      </c>
      <c r="E2296" t="str" cm="1">
        <f t="array" ref="E2296">_xlfn.IFNA(_xlfn.XLOOKUP(1,([1]!hcahps[Facility ID] = clean[[#This Row],[Facility ID]]) * ([1]!hcahps[HCAHPS Measure ID] = "H_HSP_RATING_LINEAR_SCORE"), [1]!hcahps[HCAHPS Linear Mean Value]), "No Match")</f>
        <v>Not Available</v>
      </c>
      <c r="F2296" t="str" cm="1">
        <f t="array" ref="F2296">_xlfn.IFNA(_xlfn.XLOOKUP(1,([1]!readmissions[Facility ID] = clean[[#This Row],[Facility ID]]) * ([1]!readmissions[Measure ID] = "Hybrid_HWR"), [1]!readmissions[Score]), "No Match")</f>
        <v>Not Available</v>
      </c>
    </row>
    <row r="2297" spans="1:6" x14ac:dyDescent="0.2">
      <c r="A2297">
        <f>[1]!hospitalinfo[[#This Row],[Facility ID]]</f>
        <v>213301</v>
      </c>
      <c r="B2297" t="str">
        <f>[1]!hospitalinfo[[#This Row],[State]]</f>
        <v>MD</v>
      </c>
      <c r="C2297" t="str">
        <f>[1]!hospitalinfo[[#This Row],[Hospital Type]]</f>
        <v>Childrens</v>
      </c>
      <c r="D2297" t="str">
        <f>[1]!hospitalinfo[[#This Row],[Hospital Ownership]]</f>
        <v>Voluntary non-profit - Private</v>
      </c>
      <c r="E2297" t="str" cm="1">
        <f t="array" ref="E2297">_xlfn.IFNA(_xlfn.XLOOKUP(1,([1]!hcahps[Facility ID] = clean[[#This Row],[Facility ID]]) * ([1]!hcahps[HCAHPS Measure ID] = "H_HSP_RATING_LINEAR_SCORE"), [1]!hcahps[HCAHPS Linear Mean Value]), "No Match")</f>
        <v>Not Available</v>
      </c>
      <c r="F2297" t="str" cm="1">
        <f t="array" ref="F2297">_xlfn.IFNA(_xlfn.XLOOKUP(1,([1]!readmissions[Facility ID] = clean[[#This Row],[Facility ID]]) * ([1]!readmissions[Measure ID] = "Hybrid_HWR"), [1]!readmissions[Score]), "No Match")</f>
        <v>Not Available</v>
      </c>
    </row>
    <row r="2298" spans="1:6" x14ac:dyDescent="0.2">
      <c r="A2298">
        <f>[1]!hospitalinfo[[#This Row],[Facility ID]]</f>
        <v>214000</v>
      </c>
      <c r="B2298" t="str">
        <f>[1]!hospitalinfo[[#This Row],[State]]</f>
        <v>MD</v>
      </c>
      <c r="C2298" t="str">
        <f>[1]!hospitalinfo[[#This Row],[Hospital Type]]</f>
        <v>Psychiatric</v>
      </c>
      <c r="D2298" t="str">
        <f>[1]!hospitalinfo[[#This Row],[Hospital Ownership]]</f>
        <v>Voluntary non-profit - Private</v>
      </c>
      <c r="E2298" t="str" cm="1">
        <f t="array" ref="E2298">_xlfn.IFNA(_xlfn.XLOOKUP(1,([1]!hcahps[Facility ID] = clean[[#This Row],[Facility ID]]) * ([1]!hcahps[HCAHPS Measure ID] = "H_HSP_RATING_LINEAR_SCORE"), [1]!hcahps[HCAHPS Linear Mean Value]), "No Match")</f>
        <v>No Match</v>
      </c>
      <c r="F2298" t="str" cm="1">
        <f t="array" ref="F2298">_xlfn.IFNA(_xlfn.XLOOKUP(1,([1]!readmissions[Facility ID] = clean[[#This Row],[Facility ID]]) * ([1]!readmissions[Measure ID] = "Hybrid_HWR"), [1]!readmissions[Score]), "No Match")</f>
        <v>No Match</v>
      </c>
    </row>
    <row r="2299" spans="1:6" x14ac:dyDescent="0.2">
      <c r="A2299">
        <f>[1]!hospitalinfo[[#This Row],[Facility ID]]</f>
        <v>214002</v>
      </c>
      <c r="B2299" t="str">
        <f>[1]!hospitalinfo[[#This Row],[State]]</f>
        <v>MD</v>
      </c>
      <c r="C2299" t="str">
        <f>[1]!hospitalinfo[[#This Row],[Hospital Type]]</f>
        <v>Psychiatric</v>
      </c>
      <c r="D2299" t="str">
        <f>[1]!hospitalinfo[[#This Row],[Hospital Ownership]]</f>
        <v>Government - State</v>
      </c>
      <c r="E2299" t="str" cm="1">
        <f t="array" ref="E2299">_xlfn.IFNA(_xlfn.XLOOKUP(1,([1]!hcahps[Facility ID] = clean[[#This Row],[Facility ID]]) * ([1]!hcahps[HCAHPS Measure ID] = "H_HSP_RATING_LINEAR_SCORE"), [1]!hcahps[HCAHPS Linear Mean Value]), "No Match")</f>
        <v>No Match</v>
      </c>
      <c r="F2299" t="str" cm="1">
        <f t="array" ref="F2299">_xlfn.IFNA(_xlfn.XLOOKUP(1,([1]!readmissions[Facility ID] = clean[[#This Row],[Facility ID]]) * ([1]!readmissions[Measure ID] = "Hybrid_HWR"), [1]!readmissions[Score]), "No Match")</f>
        <v>No Match</v>
      </c>
    </row>
    <row r="2300" spans="1:6" x14ac:dyDescent="0.2">
      <c r="A2300">
        <f>[1]!hospitalinfo[[#This Row],[Facility ID]]</f>
        <v>214003</v>
      </c>
      <c r="B2300" t="str">
        <f>[1]!hospitalinfo[[#This Row],[State]]</f>
        <v>MD</v>
      </c>
      <c r="C2300" t="str">
        <f>[1]!hospitalinfo[[#This Row],[Hospital Type]]</f>
        <v>Psychiatric</v>
      </c>
      <c r="D2300" t="str">
        <f>[1]!hospitalinfo[[#This Row],[Hospital Ownership]]</f>
        <v>Voluntary non-profit - Private</v>
      </c>
      <c r="E2300" t="str" cm="1">
        <f t="array" ref="E2300">_xlfn.IFNA(_xlfn.XLOOKUP(1,([1]!hcahps[Facility ID] = clean[[#This Row],[Facility ID]]) * ([1]!hcahps[HCAHPS Measure ID] = "H_HSP_RATING_LINEAR_SCORE"), [1]!hcahps[HCAHPS Linear Mean Value]), "No Match")</f>
        <v>No Match</v>
      </c>
      <c r="F2300" t="str" cm="1">
        <f t="array" ref="F2300">_xlfn.IFNA(_xlfn.XLOOKUP(1,([1]!readmissions[Facility ID] = clean[[#This Row],[Facility ID]]) * ([1]!readmissions[Measure ID] = "Hybrid_HWR"), [1]!readmissions[Score]), "No Match")</f>
        <v>No Match</v>
      </c>
    </row>
    <row r="2301" spans="1:6" x14ac:dyDescent="0.2">
      <c r="A2301">
        <f>[1]!hospitalinfo[[#This Row],[Facility ID]]</f>
        <v>214004</v>
      </c>
      <c r="B2301" t="str">
        <f>[1]!hospitalinfo[[#This Row],[State]]</f>
        <v>MD</v>
      </c>
      <c r="C2301" t="str">
        <f>[1]!hospitalinfo[[#This Row],[Hospital Type]]</f>
        <v>Psychiatric</v>
      </c>
      <c r="D2301" t="str">
        <f>[1]!hospitalinfo[[#This Row],[Hospital Ownership]]</f>
        <v>Government - State</v>
      </c>
      <c r="E2301" t="str" cm="1">
        <f t="array" ref="E2301">_xlfn.IFNA(_xlfn.XLOOKUP(1,([1]!hcahps[Facility ID] = clean[[#This Row],[Facility ID]]) * ([1]!hcahps[HCAHPS Measure ID] = "H_HSP_RATING_LINEAR_SCORE"), [1]!hcahps[HCAHPS Linear Mean Value]), "No Match")</f>
        <v>No Match</v>
      </c>
      <c r="F2301" t="str" cm="1">
        <f t="array" ref="F2301">_xlfn.IFNA(_xlfn.XLOOKUP(1,([1]!readmissions[Facility ID] = clean[[#This Row],[Facility ID]]) * ([1]!readmissions[Measure ID] = "Hybrid_HWR"), [1]!readmissions[Score]), "No Match")</f>
        <v>No Match</v>
      </c>
    </row>
    <row r="2302" spans="1:6" x14ac:dyDescent="0.2">
      <c r="A2302">
        <f>[1]!hospitalinfo[[#This Row],[Facility ID]]</f>
        <v>214012</v>
      </c>
      <c r="B2302" t="str">
        <f>[1]!hospitalinfo[[#This Row],[State]]</f>
        <v>MD</v>
      </c>
      <c r="C2302" t="str">
        <f>[1]!hospitalinfo[[#This Row],[Hospital Type]]</f>
        <v>Psychiatric</v>
      </c>
      <c r="D2302" t="str">
        <f>[1]!hospitalinfo[[#This Row],[Hospital Ownership]]</f>
        <v>Government - Local</v>
      </c>
      <c r="E2302" t="str" cm="1">
        <f t="array" ref="E2302">_xlfn.IFNA(_xlfn.XLOOKUP(1,([1]!hcahps[Facility ID] = clean[[#This Row],[Facility ID]]) * ([1]!hcahps[HCAHPS Measure ID] = "H_HSP_RATING_LINEAR_SCORE"), [1]!hcahps[HCAHPS Linear Mean Value]), "No Match")</f>
        <v>No Match</v>
      </c>
      <c r="F2302" t="str" cm="1">
        <f t="array" ref="F2302">_xlfn.IFNA(_xlfn.XLOOKUP(1,([1]!readmissions[Facility ID] = clean[[#This Row],[Facility ID]]) * ([1]!readmissions[Measure ID] = "Hybrid_HWR"), [1]!readmissions[Score]), "No Match")</f>
        <v>No Match</v>
      </c>
    </row>
    <row r="2303" spans="1:6" x14ac:dyDescent="0.2">
      <c r="A2303">
        <f>[1]!hospitalinfo[[#This Row],[Facility ID]]</f>
        <v>214018</v>
      </c>
      <c r="B2303" t="str">
        <f>[1]!hospitalinfo[[#This Row],[State]]</f>
        <v>MD</v>
      </c>
      <c r="C2303" t="str">
        <f>[1]!hospitalinfo[[#This Row],[Hospital Type]]</f>
        <v>Psychiatric</v>
      </c>
      <c r="D2303" t="str">
        <f>[1]!hospitalinfo[[#This Row],[Hospital Ownership]]</f>
        <v>Government - State</v>
      </c>
      <c r="E2303" t="str" cm="1">
        <f t="array" ref="E2303">_xlfn.IFNA(_xlfn.XLOOKUP(1,([1]!hcahps[Facility ID] = clean[[#This Row],[Facility ID]]) * ([1]!hcahps[HCAHPS Measure ID] = "H_HSP_RATING_LINEAR_SCORE"), [1]!hcahps[HCAHPS Linear Mean Value]), "No Match")</f>
        <v>No Match</v>
      </c>
      <c r="F2303" t="str" cm="1">
        <f t="array" ref="F2303">_xlfn.IFNA(_xlfn.XLOOKUP(1,([1]!readmissions[Facility ID] = clean[[#This Row],[Facility ID]]) * ([1]!readmissions[Measure ID] = "Hybrid_HWR"), [1]!readmissions[Score]), "No Match")</f>
        <v>No Match</v>
      </c>
    </row>
    <row r="2304" spans="1:6" x14ac:dyDescent="0.2">
      <c r="A2304">
        <f>[1]!hospitalinfo[[#This Row],[Facility ID]]</f>
        <v>214020</v>
      </c>
      <c r="B2304" t="str">
        <f>[1]!hospitalinfo[[#This Row],[State]]</f>
        <v>MD</v>
      </c>
      <c r="C2304" t="str">
        <f>[1]!hospitalinfo[[#This Row],[Hospital Type]]</f>
        <v>Psychiatric</v>
      </c>
      <c r="D2304" t="str">
        <f>[1]!hospitalinfo[[#This Row],[Hospital Ownership]]</f>
        <v>Voluntary non-profit - Private</v>
      </c>
      <c r="E2304" t="str" cm="1">
        <f t="array" ref="E2304">_xlfn.IFNA(_xlfn.XLOOKUP(1,([1]!hcahps[Facility ID] = clean[[#This Row],[Facility ID]]) * ([1]!hcahps[HCAHPS Measure ID] = "H_HSP_RATING_LINEAR_SCORE"), [1]!hcahps[HCAHPS Linear Mean Value]), "No Match")</f>
        <v>No Match</v>
      </c>
      <c r="F2304" t="str" cm="1">
        <f t="array" ref="F2304">_xlfn.IFNA(_xlfn.XLOOKUP(1,([1]!readmissions[Facility ID] = clean[[#This Row],[Facility ID]]) * ([1]!readmissions[Measure ID] = "Hybrid_HWR"), [1]!readmissions[Score]), "No Match")</f>
        <v>No Match</v>
      </c>
    </row>
    <row r="2305" spans="1:6" x14ac:dyDescent="0.2">
      <c r="A2305">
        <f>[1]!hospitalinfo[[#This Row],[Facility ID]]</f>
        <v>214022</v>
      </c>
      <c r="B2305" t="str">
        <f>[1]!hospitalinfo[[#This Row],[State]]</f>
        <v>MD</v>
      </c>
      <c r="C2305" t="str">
        <f>[1]!hospitalinfo[[#This Row],[Hospital Type]]</f>
        <v>Psychiatric</v>
      </c>
      <c r="D2305" t="str">
        <f>[1]!hospitalinfo[[#This Row],[Hospital Ownership]]</f>
        <v>Voluntary non-profit - Private</v>
      </c>
      <c r="E2305" t="str" cm="1">
        <f t="array" ref="E2305">_xlfn.IFNA(_xlfn.XLOOKUP(1,([1]!hcahps[Facility ID] = clean[[#This Row],[Facility ID]]) * ([1]!hcahps[HCAHPS Measure ID] = "H_HSP_RATING_LINEAR_SCORE"), [1]!hcahps[HCAHPS Linear Mean Value]), "No Match")</f>
        <v>No Match</v>
      </c>
      <c r="F2305" t="str" cm="1">
        <f t="array" ref="F2305">_xlfn.IFNA(_xlfn.XLOOKUP(1,([1]!readmissions[Facility ID] = clean[[#This Row],[Facility ID]]) * ([1]!readmissions[Measure ID] = "Hybrid_HWR"), [1]!readmissions[Score]), "No Match")</f>
        <v>No Match</v>
      </c>
    </row>
    <row r="2306" spans="1:6" x14ac:dyDescent="0.2">
      <c r="A2306" t="str">
        <f>[1]!hospitalinfo[[#This Row],[Facility ID]]</f>
        <v>21007F</v>
      </c>
      <c r="B2306" t="str">
        <f>[1]!hospitalinfo[[#This Row],[State]]</f>
        <v>MD</v>
      </c>
      <c r="C2306" t="str">
        <f>[1]!hospitalinfo[[#This Row],[Hospital Type]]</f>
        <v>Acute Care - Department of Defense</v>
      </c>
      <c r="D2306" t="str">
        <f>[1]!hospitalinfo[[#This Row],[Hospital Ownership]]</f>
        <v>Department of Defense</v>
      </c>
      <c r="E2306" cm="1">
        <f t="array" ref="E2306">_xlfn.IFNA(_xlfn.XLOOKUP(1,([1]!hcahps[Facility ID] = clean[[#This Row],[Facility ID]]) * ([1]!hcahps[HCAHPS Measure ID] = "H_HSP_RATING_LINEAR_SCORE"), [1]!hcahps[HCAHPS Linear Mean Value]), "No Match")</f>
        <v>91</v>
      </c>
      <c r="F2306" t="str" cm="1">
        <f t="array" ref="F2306">_xlfn.IFNA(_xlfn.XLOOKUP(1,([1]!readmissions[Facility ID] = clean[[#This Row],[Facility ID]]) * ([1]!readmissions[Measure ID] = "Hybrid_HWR"), [1]!readmissions[Score]), "No Match")</f>
        <v>Not Available</v>
      </c>
    </row>
    <row r="2307" spans="1:6" x14ac:dyDescent="0.2">
      <c r="A2307" t="str">
        <f>[1]!hospitalinfo[[#This Row],[Facility ID]]</f>
        <v>21010F</v>
      </c>
      <c r="B2307" t="str">
        <f>[1]!hospitalinfo[[#This Row],[State]]</f>
        <v>MD</v>
      </c>
      <c r="C2307" t="str">
        <f>[1]!hospitalinfo[[#This Row],[Hospital Type]]</f>
        <v>Acute Care - Veterans Administration</v>
      </c>
      <c r="D2307" t="str">
        <f>[1]!hospitalinfo[[#This Row],[Hospital Ownership]]</f>
        <v>Veterans Health Administration</v>
      </c>
      <c r="E2307" t="str" cm="1">
        <f t="array" ref="E2307">_xlfn.IFNA(_xlfn.XLOOKUP(1,([1]!hcahps[Facility ID] = clean[[#This Row],[Facility ID]]) * ([1]!hcahps[HCAHPS Measure ID] = "H_HSP_RATING_LINEAR_SCORE"), [1]!hcahps[HCAHPS Linear Mean Value]), "No Match")</f>
        <v>Not Available</v>
      </c>
      <c r="F2307" t="str" cm="1">
        <f t="array" ref="F2307">_xlfn.IFNA(_xlfn.XLOOKUP(1,([1]!readmissions[Facility ID] = clean[[#This Row],[Facility ID]]) * ([1]!readmissions[Measure ID] = "Hybrid_HWR"), [1]!readmissions[Score]), "No Match")</f>
        <v>Not Available</v>
      </c>
    </row>
    <row r="2308" spans="1:6" x14ac:dyDescent="0.2">
      <c r="A2308" t="str">
        <f>[1]!hospitalinfo[[#This Row],[Facility ID]]</f>
        <v>21020F</v>
      </c>
      <c r="B2308" t="str">
        <f>[1]!hospitalinfo[[#This Row],[State]]</f>
        <v>MD</v>
      </c>
      <c r="C2308" t="str">
        <f>[1]!hospitalinfo[[#This Row],[Hospital Type]]</f>
        <v>Acute Care - Veterans Administration</v>
      </c>
      <c r="D2308" t="str">
        <f>[1]!hospitalinfo[[#This Row],[Hospital Ownership]]</f>
        <v>Veterans Health Administration</v>
      </c>
      <c r="E2308" cm="1">
        <f t="array" ref="E2308">_xlfn.IFNA(_xlfn.XLOOKUP(1,([1]!hcahps[Facility ID] = clean[[#This Row],[Facility ID]]) * ([1]!hcahps[HCAHPS Measure ID] = "H_HSP_RATING_LINEAR_SCORE"), [1]!hcahps[HCAHPS Linear Mean Value]), "No Match")</f>
        <v>85</v>
      </c>
      <c r="F2308" cm="1">
        <f t="array" ref="F2308">_xlfn.IFNA(_xlfn.XLOOKUP(1,([1]!readmissions[Facility ID] = clean[[#This Row],[Facility ID]]) * ([1]!readmissions[Measure ID] = "Hybrid_HWR"), [1]!readmissions[Score]), "No Match")</f>
        <v>17.2</v>
      </c>
    </row>
    <row r="2309" spans="1:6" x14ac:dyDescent="0.2">
      <c r="A2309">
        <f>[1]!hospitalinfo[[#This Row],[Facility ID]]</f>
        <v>200001</v>
      </c>
      <c r="B2309" t="str">
        <f>[1]!hospitalinfo[[#This Row],[State]]</f>
        <v>ME</v>
      </c>
      <c r="C2309" t="str">
        <f>[1]!hospitalinfo[[#This Row],[Hospital Type]]</f>
        <v>Acute Care Hospitals</v>
      </c>
      <c r="D2309" t="str">
        <f>[1]!hospitalinfo[[#This Row],[Hospital Ownership]]</f>
        <v>Voluntary non-profit - Church</v>
      </c>
      <c r="E2309" cm="1">
        <f t="array" ref="E2309">_xlfn.IFNA(_xlfn.XLOOKUP(1,([1]!hcahps[Facility ID] = clean[[#This Row],[Facility ID]]) * ([1]!hcahps[HCAHPS Measure ID] = "H_HSP_RATING_LINEAR_SCORE"), [1]!hcahps[HCAHPS Linear Mean Value]), "No Match")</f>
        <v>91</v>
      </c>
      <c r="F2309" cm="1">
        <f t="array" ref="F2309">_xlfn.IFNA(_xlfn.XLOOKUP(1,([1]!readmissions[Facility ID] = clean[[#This Row],[Facility ID]]) * ([1]!readmissions[Measure ID] = "Hybrid_HWR"), [1]!readmissions[Score]), "No Match")</f>
        <v>15.6</v>
      </c>
    </row>
    <row r="2310" spans="1:6" x14ac:dyDescent="0.2">
      <c r="A2310">
        <f>[1]!hospitalinfo[[#This Row],[Facility ID]]</f>
        <v>200008</v>
      </c>
      <c r="B2310" t="str">
        <f>[1]!hospitalinfo[[#This Row],[State]]</f>
        <v>ME</v>
      </c>
      <c r="C2310" t="str">
        <f>[1]!hospitalinfo[[#This Row],[Hospital Type]]</f>
        <v>Acute Care Hospitals</v>
      </c>
      <c r="D2310" t="str">
        <f>[1]!hospitalinfo[[#This Row],[Hospital Ownership]]</f>
        <v>Voluntary non-profit - Church</v>
      </c>
      <c r="E2310" cm="1">
        <f t="array" ref="E2310">_xlfn.IFNA(_xlfn.XLOOKUP(1,([1]!hcahps[Facility ID] = clean[[#This Row],[Facility ID]]) * ([1]!hcahps[HCAHPS Measure ID] = "H_HSP_RATING_LINEAR_SCORE"), [1]!hcahps[HCAHPS Linear Mean Value]), "No Match")</f>
        <v>93</v>
      </c>
      <c r="F2310" cm="1">
        <f t="array" ref="F2310">_xlfn.IFNA(_xlfn.XLOOKUP(1,([1]!readmissions[Facility ID] = clean[[#This Row],[Facility ID]]) * ([1]!readmissions[Measure ID] = "Hybrid_HWR"), [1]!readmissions[Score]), "No Match")</f>
        <v>13.9</v>
      </c>
    </row>
    <row r="2311" spans="1:6" x14ac:dyDescent="0.2">
      <c r="A2311">
        <f>[1]!hospitalinfo[[#This Row],[Facility ID]]</f>
        <v>200009</v>
      </c>
      <c r="B2311" t="str">
        <f>[1]!hospitalinfo[[#This Row],[State]]</f>
        <v>ME</v>
      </c>
      <c r="C2311" t="str">
        <f>[1]!hospitalinfo[[#This Row],[Hospital Type]]</f>
        <v>Acute Care Hospitals</v>
      </c>
      <c r="D2311" t="str">
        <f>[1]!hospitalinfo[[#This Row],[Hospital Ownership]]</f>
        <v>Voluntary non-profit - Private</v>
      </c>
      <c r="E2311" cm="1">
        <f t="array" ref="E2311">_xlfn.IFNA(_xlfn.XLOOKUP(1,([1]!hcahps[Facility ID] = clean[[#This Row],[Facility ID]]) * ([1]!hcahps[HCAHPS Measure ID] = "H_HSP_RATING_LINEAR_SCORE"), [1]!hcahps[HCAHPS Linear Mean Value]), "No Match")</f>
        <v>87</v>
      </c>
      <c r="F2311" cm="1">
        <f t="array" ref="F2311">_xlfn.IFNA(_xlfn.XLOOKUP(1,([1]!readmissions[Facility ID] = clean[[#This Row],[Facility ID]]) * ([1]!readmissions[Measure ID] = "Hybrid_HWR"), [1]!readmissions[Score]), "No Match")</f>
        <v>14.2</v>
      </c>
    </row>
    <row r="2312" spans="1:6" x14ac:dyDescent="0.2">
      <c r="A2312">
        <f>[1]!hospitalinfo[[#This Row],[Facility ID]]</f>
        <v>200018</v>
      </c>
      <c r="B2312" t="str">
        <f>[1]!hospitalinfo[[#This Row],[State]]</f>
        <v>ME</v>
      </c>
      <c r="C2312" t="str">
        <f>[1]!hospitalinfo[[#This Row],[Hospital Type]]</f>
        <v>Acute Care Hospitals</v>
      </c>
      <c r="D2312" t="str">
        <f>[1]!hospitalinfo[[#This Row],[Hospital Ownership]]</f>
        <v>Voluntary non-profit - Private</v>
      </c>
      <c r="E2312" cm="1">
        <f t="array" ref="E2312">_xlfn.IFNA(_xlfn.XLOOKUP(1,([1]!hcahps[Facility ID] = clean[[#This Row],[Facility ID]]) * ([1]!hcahps[HCAHPS Measure ID] = "H_HSP_RATING_LINEAR_SCORE"), [1]!hcahps[HCAHPS Linear Mean Value]), "No Match")</f>
        <v>86</v>
      </c>
      <c r="F2312" cm="1">
        <f t="array" ref="F2312">_xlfn.IFNA(_xlfn.XLOOKUP(1,([1]!readmissions[Facility ID] = clean[[#This Row],[Facility ID]]) * ([1]!readmissions[Measure ID] = "Hybrid_HWR"), [1]!readmissions[Score]), "No Match")</f>
        <v>15</v>
      </c>
    </row>
    <row r="2313" spans="1:6" x14ac:dyDescent="0.2">
      <c r="A2313">
        <f>[1]!hospitalinfo[[#This Row],[Facility ID]]</f>
        <v>200020</v>
      </c>
      <c r="B2313" t="str">
        <f>[1]!hospitalinfo[[#This Row],[State]]</f>
        <v>ME</v>
      </c>
      <c r="C2313" t="str">
        <f>[1]!hospitalinfo[[#This Row],[Hospital Type]]</f>
        <v>Acute Care Hospitals</v>
      </c>
      <c r="D2313" t="str">
        <f>[1]!hospitalinfo[[#This Row],[Hospital Ownership]]</f>
        <v>Voluntary non-profit - Private</v>
      </c>
      <c r="E2313" cm="1">
        <f t="array" ref="E2313">_xlfn.IFNA(_xlfn.XLOOKUP(1,([1]!hcahps[Facility ID] = clean[[#This Row],[Facility ID]]) * ([1]!hcahps[HCAHPS Measure ID] = "H_HSP_RATING_LINEAR_SCORE"), [1]!hcahps[HCAHPS Linear Mean Value]), "No Match")</f>
        <v>92</v>
      </c>
      <c r="F2313" cm="1">
        <f t="array" ref="F2313">_xlfn.IFNA(_xlfn.XLOOKUP(1,([1]!readmissions[Facility ID] = clean[[#This Row],[Facility ID]]) * ([1]!readmissions[Measure ID] = "Hybrid_HWR"), [1]!readmissions[Score]), "No Match")</f>
        <v>14.8</v>
      </c>
    </row>
    <row r="2314" spans="1:6" x14ac:dyDescent="0.2">
      <c r="A2314">
        <f>[1]!hospitalinfo[[#This Row],[Facility ID]]</f>
        <v>200021</v>
      </c>
      <c r="B2314" t="str">
        <f>[1]!hospitalinfo[[#This Row],[State]]</f>
        <v>ME</v>
      </c>
      <c r="C2314" t="str">
        <f>[1]!hospitalinfo[[#This Row],[Hospital Type]]</f>
        <v>Acute Care Hospitals</v>
      </c>
      <c r="D2314" t="str">
        <f>[1]!hospitalinfo[[#This Row],[Hospital Ownership]]</f>
        <v>Voluntary non-profit - Private</v>
      </c>
      <c r="E2314" cm="1">
        <f t="array" ref="E2314">_xlfn.IFNA(_xlfn.XLOOKUP(1,([1]!hcahps[Facility ID] = clean[[#This Row],[Facility ID]]) * ([1]!hcahps[HCAHPS Measure ID] = "H_HSP_RATING_LINEAR_SCORE"), [1]!hcahps[HCAHPS Linear Mean Value]), "No Match")</f>
        <v>88</v>
      </c>
      <c r="F2314" cm="1">
        <f t="array" ref="F2314">_xlfn.IFNA(_xlfn.XLOOKUP(1,([1]!readmissions[Facility ID] = clean[[#This Row],[Facility ID]]) * ([1]!readmissions[Measure ID] = "Hybrid_HWR"), [1]!readmissions[Score]), "No Match")</f>
        <v>15.5</v>
      </c>
    </row>
    <row r="2315" spans="1:6" x14ac:dyDescent="0.2">
      <c r="A2315">
        <f>[1]!hospitalinfo[[#This Row],[Facility ID]]</f>
        <v>200024</v>
      </c>
      <c r="B2315" t="str">
        <f>[1]!hospitalinfo[[#This Row],[State]]</f>
        <v>ME</v>
      </c>
      <c r="C2315" t="str">
        <f>[1]!hospitalinfo[[#This Row],[Hospital Type]]</f>
        <v>Acute Care Hospitals</v>
      </c>
      <c r="D2315" t="str">
        <f>[1]!hospitalinfo[[#This Row],[Hospital Ownership]]</f>
        <v>Voluntary non-profit - Private</v>
      </c>
      <c r="E2315" cm="1">
        <f t="array" ref="E2315">_xlfn.IFNA(_xlfn.XLOOKUP(1,([1]!hcahps[Facility ID] = clean[[#This Row],[Facility ID]]) * ([1]!hcahps[HCAHPS Measure ID] = "H_HSP_RATING_LINEAR_SCORE"), [1]!hcahps[HCAHPS Linear Mean Value]), "No Match")</f>
        <v>85</v>
      </c>
      <c r="F2315" cm="1">
        <f t="array" ref="F2315">_xlfn.IFNA(_xlfn.XLOOKUP(1,([1]!readmissions[Facility ID] = clean[[#This Row],[Facility ID]]) * ([1]!readmissions[Measure ID] = "Hybrid_HWR"), [1]!readmissions[Score]), "No Match")</f>
        <v>14.5</v>
      </c>
    </row>
    <row r="2316" spans="1:6" x14ac:dyDescent="0.2">
      <c r="A2316">
        <f>[1]!hospitalinfo[[#This Row],[Facility ID]]</f>
        <v>200031</v>
      </c>
      <c r="B2316" t="str">
        <f>[1]!hospitalinfo[[#This Row],[State]]</f>
        <v>ME</v>
      </c>
      <c r="C2316" t="str">
        <f>[1]!hospitalinfo[[#This Row],[Hospital Type]]</f>
        <v>Acute Care Hospitals</v>
      </c>
      <c r="D2316" t="str">
        <f>[1]!hospitalinfo[[#This Row],[Hospital Ownership]]</f>
        <v>Government - Local</v>
      </c>
      <c r="E2316" cm="1">
        <f t="array" ref="E2316">_xlfn.IFNA(_xlfn.XLOOKUP(1,([1]!hcahps[Facility ID] = clean[[#This Row],[Facility ID]]) * ([1]!hcahps[HCAHPS Measure ID] = "H_HSP_RATING_LINEAR_SCORE"), [1]!hcahps[HCAHPS Linear Mean Value]), "No Match")</f>
        <v>90</v>
      </c>
      <c r="F2316" cm="1">
        <f t="array" ref="F2316">_xlfn.IFNA(_xlfn.XLOOKUP(1,([1]!readmissions[Facility ID] = clean[[#This Row],[Facility ID]]) * ([1]!readmissions[Measure ID] = "Hybrid_HWR"), [1]!readmissions[Score]), "No Match")</f>
        <v>15</v>
      </c>
    </row>
    <row r="2317" spans="1:6" x14ac:dyDescent="0.2">
      <c r="A2317">
        <f>[1]!hospitalinfo[[#This Row],[Facility ID]]</f>
        <v>200033</v>
      </c>
      <c r="B2317" t="str">
        <f>[1]!hospitalinfo[[#This Row],[State]]</f>
        <v>ME</v>
      </c>
      <c r="C2317" t="str">
        <f>[1]!hospitalinfo[[#This Row],[Hospital Type]]</f>
        <v>Acute Care Hospitals</v>
      </c>
      <c r="D2317" t="str">
        <f>[1]!hospitalinfo[[#This Row],[Hospital Ownership]]</f>
        <v>Voluntary non-profit - Private</v>
      </c>
      <c r="E2317" cm="1">
        <f t="array" ref="E2317">_xlfn.IFNA(_xlfn.XLOOKUP(1,([1]!hcahps[Facility ID] = clean[[#This Row],[Facility ID]]) * ([1]!hcahps[HCAHPS Measure ID] = "H_HSP_RATING_LINEAR_SCORE"), [1]!hcahps[HCAHPS Linear Mean Value]), "No Match")</f>
        <v>83</v>
      </c>
      <c r="F2317" cm="1">
        <f t="array" ref="F2317">_xlfn.IFNA(_xlfn.XLOOKUP(1,([1]!readmissions[Facility ID] = clean[[#This Row],[Facility ID]]) * ([1]!readmissions[Measure ID] = "Hybrid_HWR"), [1]!readmissions[Score]), "No Match")</f>
        <v>13.4</v>
      </c>
    </row>
    <row r="2318" spans="1:6" x14ac:dyDescent="0.2">
      <c r="A2318">
        <f>[1]!hospitalinfo[[#This Row],[Facility ID]]</f>
        <v>200034</v>
      </c>
      <c r="B2318" t="str">
        <f>[1]!hospitalinfo[[#This Row],[State]]</f>
        <v>ME</v>
      </c>
      <c r="C2318" t="str">
        <f>[1]!hospitalinfo[[#This Row],[Hospital Type]]</f>
        <v>Acute Care Hospitals</v>
      </c>
      <c r="D2318" t="str">
        <f>[1]!hospitalinfo[[#This Row],[Hospital Ownership]]</f>
        <v>Voluntary non-profit - Church</v>
      </c>
      <c r="E2318" cm="1">
        <f t="array" ref="E2318">_xlfn.IFNA(_xlfn.XLOOKUP(1,([1]!hcahps[Facility ID] = clean[[#This Row],[Facility ID]]) * ([1]!hcahps[HCAHPS Measure ID] = "H_HSP_RATING_LINEAR_SCORE"), [1]!hcahps[HCAHPS Linear Mean Value]), "No Match")</f>
        <v>88</v>
      </c>
      <c r="F2318" cm="1">
        <f t="array" ref="F2318">_xlfn.IFNA(_xlfn.XLOOKUP(1,([1]!readmissions[Facility ID] = clean[[#This Row],[Facility ID]]) * ([1]!readmissions[Measure ID] = "Hybrid_HWR"), [1]!readmissions[Score]), "No Match")</f>
        <v>14.7</v>
      </c>
    </row>
    <row r="2319" spans="1:6" x14ac:dyDescent="0.2">
      <c r="A2319">
        <f>[1]!hospitalinfo[[#This Row],[Facility ID]]</f>
        <v>200039</v>
      </c>
      <c r="B2319" t="str">
        <f>[1]!hospitalinfo[[#This Row],[State]]</f>
        <v>ME</v>
      </c>
      <c r="C2319" t="str">
        <f>[1]!hospitalinfo[[#This Row],[Hospital Type]]</f>
        <v>Acute Care Hospitals</v>
      </c>
      <c r="D2319" t="str">
        <f>[1]!hospitalinfo[[#This Row],[Hospital Ownership]]</f>
        <v>Voluntary non-profit - Other</v>
      </c>
      <c r="E2319" cm="1">
        <f t="array" ref="E2319">_xlfn.IFNA(_xlfn.XLOOKUP(1,([1]!hcahps[Facility ID] = clean[[#This Row],[Facility ID]]) * ([1]!hcahps[HCAHPS Measure ID] = "H_HSP_RATING_LINEAR_SCORE"), [1]!hcahps[HCAHPS Linear Mean Value]), "No Match")</f>
        <v>91</v>
      </c>
      <c r="F2319" cm="1">
        <f t="array" ref="F2319">_xlfn.IFNA(_xlfn.XLOOKUP(1,([1]!readmissions[Facility ID] = clean[[#This Row],[Facility ID]]) * ([1]!readmissions[Measure ID] = "Hybrid_HWR"), [1]!readmissions[Score]), "No Match")</f>
        <v>14.4</v>
      </c>
    </row>
    <row r="2320" spans="1:6" x14ac:dyDescent="0.2">
      <c r="A2320">
        <f>[1]!hospitalinfo[[#This Row],[Facility ID]]</f>
        <v>200050</v>
      </c>
      <c r="B2320" t="str">
        <f>[1]!hospitalinfo[[#This Row],[State]]</f>
        <v>ME</v>
      </c>
      <c r="C2320" t="str">
        <f>[1]!hospitalinfo[[#This Row],[Hospital Type]]</f>
        <v>Acute Care Hospitals</v>
      </c>
      <c r="D2320" t="str">
        <f>[1]!hospitalinfo[[#This Row],[Hospital Ownership]]</f>
        <v>Voluntary non-profit - Other</v>
      </c>
      <c r="E2320" cm="1">
        <f t="array" ref="E2320">_xlfn.IFNA(_xlfn.XLOOKUP(1,([1]!hcahps[Facility ID] = clean[[#This Row],[Facility ID]]) * ([1]!hcahps[HCAHPS Measure ID] = "H_HSP_RATING_LINEAR_SCORE"), [1]!hcahps[HCAHPS Linear Mean Value]), "No Match")</f>
        <v>84</v>
      </c>
      <c r="F2320" cm="1">
        <f t="array" ref="F2320">_xlfn.IFNA(_xlfn.XLOOKUP(1,([1]!readmissions[Facility ID] = clean[[#This Row],[Facility ID]]) * ([1]!readmissions[Measure ID] = "Hybrid_HWR"), [1]!readmissions[Score]), "No Match")</f>
        <v>15.3</v>
      </c>
    </row>
    <row r="2321" spans="1:6" x14ac:dyDescent="0.2">
      <c r="A2321">
        <f>[1]!hospitalinfo[[#This Row],[Facility ID]]</f>
        <v>200063</v>
      </c>
      <c r="B2321" t="str">
        <f>[1]!hospitalinfo[[#This Row],[State]]</f>
        <v>ME</v>
      </c>
      <c r="C2321" t="str">
        <f>[1]!hospitalinfo[[#This Row],[Hospital Type]]</f>
        <v>Acute Care Hospitals</v>
      </c>
      <c r="D2321" t="str">
        <f>[1]!hospitalinfo[[#This Row],[Hospital Ownership]]</f>
        <v>Voluntary non-profit - Private</v>
      </c>
      <c r="E2321" cm="1">
        <f t="array" ref="E2321">_xlfn.IFNA(_xlfn.XLOOKUP(1,([1]!hcahps[Facility ID] = clean[[#This Row],[Facility ID]]) * ([1]!hcahps[HCAHPS Measure ID] = "H_HSP_RATING_LINEAR_SCORE"), [1]!hcahps[HCAHPS Linear Mean Value]), "No Match")</f>
        <v>89</v>
      </c>
      <c r="F2321" cm="1">
        <f t="array" ref="F2321">_xlfn.IFNA(_xlfn.XLOOKUP(1,([1]!readmissions[Facility ID] = clean[[#This Row],[Facility ID]]) * ([1]!readmissions[Measure ID] = "Hybrid_HWR"), [1]!readmissions[Score]), "No Match")</f>
        <v>15.3</v>
      </c>
    </row>
    <row r="2322" spans="1:6" x14ac:dyDescent="0.2">
      <c r="A2322">
        <f>[1]!hospitalinfo[[#This Row],[Facility ID]]</f>
        <v>201300</v>
      </c>
      <c r="B2322" t="str">
        <f>[1]!hospitalinfo[[#This Row],[State]]</f>
        <v>ME</v>
      </c>
      <c r="C2322" t="str">
        <f>[1]!hospitalinfo[[#This Row],[Hospital Type]]</f>
        <v>Critical Access Hospitals</v>
      </c>
      <c r="D2322" t="str">
        <f>[1]!hospitalinfo[[#This Row],[Hospital Ownership]]</f>
        <v>Voluntary non-profit - Private</v>
      </c>
      <c r="E2322" t="str" cm="1">
        <f t="array" ref="E2322">_xlfn.IFNA(_xlfn.XLOOKUP(1,([1]!hcahps[Facility ID] = clean[[#This Row],[Facility ID]]) * ([1]!hcahps[HCAHPS Measure ID] = "H_HSP_RATING_LINEAR_SCORE"), [1]!hcahps[HCAHPS Linear Mean Value]), "No Match")</f>
        <v>Not Available</v>
      </c>
      <c r="F2322" cm="1">
        <f t="array" ref="F2322">_xlfn.IFNA(_xlfn.XLOOKUP(1,([1]!readmissions[Facility ID] = clean[[#This Row],[Facility ID]]) * ([1]!readmissions[Measure ID] = "Hybrid_HWR"), [1]!readmissions[Score]), "No Match")</f>
        <v>14.9</v>
      </c>
    </row>
    <row r="2323" spans="1:6" x14ac:dyDescent="0.2">
      <c r="A2323">
        <f>[1]!hospitalinfo[[#This Row],[Facility ID]]</f>
        <v>201301</v>
      </c>
      <c r="B2323" t="str">
        <f>[1]!hospitalinfo[[#This Row],[State]]</f>
        <v>ME</v>
      </c>
      <c r="C2323" t="str">
        <f>[1]!hospitalinfo[[#This Row],[Hospital Type]]</f>
        <v>Critical Access Hospitals</v>
      </c>
      <c r="D2323" t="str">
        <f>[1]!hospitalinfo[[#This Row],[Hospital Ownership]]</f>
        <v>Government - Hospital District or Authority</v>
      </c>
      <c r="E2323" t="str" cm="1">
        <f t="array" ref="E2323">_xlfn.IFNA(_xlfn.XLOOKUP(1,([1]!hcahps[Facility ID] = clean[[#This Row],[Facility ID]]) * ([1]!hcahps[HCAHPS Measure ID] = "H_HSP_RATING_LINEAR_SCORE"), [1]!hcahps[HCAHPS Linear Mean Value]), "No Match")</f>
        <v>Not Available</v>
      </c>
      <c r="F2323" cm="1">
        <f t="array" ref="F2323">_xlfn.IFNA(_xlfn.XLOOKUP(1,([1]!readmissions[Facility ID] = clean[[#This Row],[Facility ID]]) * ([1]!readmissions[Measure ID] = "Hybrid_HWR"), [1]!readmissions[Score]), "No Match")</f>
        <v>14.6</v>
      </c>
    </row>
    <row r="2324" spans="1:6" x14ac:dyDescent="0.2">
      <c r="A2324">
        <f>[1]!hospitalinfo[[#This Row],[Facility ID]]</f>
        <v>201302</v>
      </c>
      <c r="B2324" t="str">
        <f>[1]!hospitalinfo[[#This Row],[State]]</f>
        <v>ME</v>
      </c>
      <c r="C2324" t="str">
        <f>[1]!hospitalinfo[[#This Row],[Hospital Type]]</f>
        <v>Critical Access Hospitals</v>
      </c>
      <c r="D2324" t="str">
        <f>[1]!hospitalinfo[[#This Row],[Hospital Ownership]]</f>
        <v>Voluntary non-profit - Private</v>
      </c>
      <c r="E2324" cm="1">
        <f t="array" ref="E2324">_xlfn.IFNA(_xlfn.XLOOKUP(1,([1]!hcahps[Facility ID] = clean[[#This Row],[Facility ID]]) * ([1]!hcahps[HCAHPS Measure ID] = "H_HSP_RATING_LINEAR_SCORE"), [1]!hcahps[HCAHPS Linear Mean Value]), "No Match")</f>
        <v>93</v>
      </c>
      <c r="F2324" cm="1">
        <f t="array" ref="F2324">_xlfn.IFNA(_xlfn.XLOOKUP(1,([1]!readmissions[Facility ID] = clean[[#This Row],[Facility ID]]) * ([1]!readmissions[Measure ID] = "Hybrid_HWR"), [1]!readmissions[Score]), "No Match")</f>
        <v>14.4</v>
      </c>
    </row>
    <row r="2325" spans="1:6" x14ac:dyDescent="0.2">
      <c r="A2325">
        <f>[1]!hospitalinfo[[#This Row],[Facility ID]]</f>
        <v>201303</v>
      </c>
      <c r="B2325" t="str">
        <f>[1]!hospitalinfo[[#This Row],[State]]</f>
        <v>ME</v>
      </c>
      <c r="C2325" t="str">
        <f>[1]!hospitalinfo[[#This Row],[Hospital Type]]</f>
        <v>Critical Access Hospitals</v>
      </c>
      <c r="D2325" t="str">
        <f>[1]!hospitalinfo[[#This Row],[Hospital Ownership]]</f>
        <v>Voluntary non-profit - Private</v>
      </c>
      <c r="E2325" t="str" cm="1">
        <f t="array" ref="E2325">_xlfn.IFNA(_xlfn.XLOOKUP(1,([1]!hcahps[Facility ID] = clean[[#This Row],[Facility ID]]) * ([1]!hcahps[HCAHPS Measure ID] = "H_HSP_RATING_LINEAR_SCORE"), [1]!hcahps[HCAHPS Linear Mean Value]), "No Match")</f>
        <v>Not Available</v>
      </c>
      <c r="F2325" cm="1">
        <f t="array" ref="F2325">_xlfn.IFNA(_xlfn.XLOOKUP(1,([1]!readmissions[Facility ID] = clean[[#This Row],[Facility ID]]) * ([1]!readmissions[Measure ID] = "Hybrid_HWR"), [1]!readmissions[Score]), "No Match")</f>
        <v>14.8</v>
      </c>
    </row>
    <row r="2326" spans="1:6" x14ac:dyDescent="0.2">
      <c r="A2326">
        <f>[1]!hospitalinfo[[#This Row],[Facility ID]]</f>
        <v>201304</v>
      </c>
      <c r="B2326" t="str">
        <f>[1]!hospitalinfo[[#This Row],[State]]</f>
        <v>ME</v>
      </c>
      <c r="C2326" t="str">
        <f>[1]!hospitalinfo[[#This Row],[Hospital Type]]</f>
        <v>Critical Access Hospitals</v>
      </c>
      <c r="D2326" t="str">
        <f>[1]!hospitalinfo[[#This Row],[Hospital Ownership]]</f>
        <v>Voluntary non-profit - Private</v>
      </c>
      <c r="E2326" cm="1">
        <f t="array" ref="E2326">_xlfn.IFNA(_xlfn.XLOOKUP(1,([1]!hcahps[Facility ID] = clean[[#This Row],[Facility ID]]) * ([1]!hcahps[HCAHPS Measure ID] = "H_HSP_RATING_LINEAR_SCORE"), [1]!hcahps[HCAHPS Linear Mean Value]), "No Match")</f>
        <v>94</v>
      </c>
      <c r="F2326" cm="1">
        <f t="array" ref="F2326">_xlfn.IFNA(_xlfn.XLOOKUP(1,([1]!readmissions[Facility ID] = clean[[#This Row],[Facility ID]]) * ([1]!readmissions[Measure ID] = "Hybrid_HWR"), [1]!readmissions[Score]), "No Match")</f>
        <v>14.6</v>
      </c>
    </row>
    <row r="2327" spans="1:6" x14ac:dyDescent="0.2">
      <c r="A2327">
        <f>[1]!hospitalinfo[[#This Row],[Facility ID]]</f>
        <v>201305</v>
      </c>
      <c r="B2327" t="str">
        <f>[1]!hospitalinfo[[#This Row],[State]]</f>
        <v>ME</v>
      </c>
      <c r="C2327" t="str">
        <f>[1]!hospitalinfo[[#This Row],[Hospital Type]]</f>
        <v>Critical Access Hospitals</v>
      </c>
      <c r="D2327" t="str">
        <f>[1]!hospitalinfo[[#This Row],[Hospital Ownership]]</f>
        <v>Voluntary non-profit - Private</v>
      </c>
      <c r="E2327" t="str" cm="1">
        <f t="array" ref="E2327">_xlfn.IFNA(_xlfn.XLOOKUP(1,([1]!hcahps[Facility ID] = clean[[#This Row],[Facility ID]]) * ([1]!hcahps[HCAHPS Measure ID] = "H_HSP_RATING_LINEAR_SCORE"), [1]!hcahps[HCAHPS Linear Mean Value]), "No Match")</f>
        <v>Not Available</v>
      </c>
      <c r="F2327" cm="1">
        <f t="array" ref="F2327">_xlfn.IFNA(_xlfn.XLOOKUP(1,([1]!readmissions[Facility ID] = clean[[#This Row],[Facility ID]]) * ([1]!readmissions[Measure ID] = "Hybrid_HWR"), [1]!readmissions[Score]), "No Match")</f>
        <v>15</v>
      </c>
    </row>
    <row r="2328" spans="1:6" x14ac:dyDescent="0.2">
      <c r="A2328">
        <f>[1]!hospitalinfo[[#This Row],[Facility ID]]</f>
        <v>201306</v>
      </c>
      <c r="B2328" t="str">
        <f>[1]!hospitalinfo[[#This Row],[State]]</f>
        <v>ME</v>
      </c>
      <c r="C2328" t="str">
        <f>[1]!hospitalinfo[[#This Row],[Hospital Type]]</f>
        <v>Critical Access Hospitals</v>
      </c>
      <c r="D2328" t="str">
        <f>[1]!hospitalinfo[[#This Row],[Hospital Ownership]]</f>
        <v>Proprietary</v>
      </c>
      <c r="E2328" t="str" cm="1">
        <f t="array" ref="E2328">_xlfn.IFNA(_xlfn.XLOOKUP(1,([1]!hcahps[Facility ID] = clean[[#This Row],[Facility ID]]) * ([1]!hcahps[HCAHPS Measure ID] = "H_HSP_RATING_LINEAR_SCORE"), [1]!hcahps[HCAHPS Linear Mean Value]), "No Match")</f>
        <v>Not Available</v>
      </c>
      <c r="F2328" cm="1">
        <f t="array" ref="F2328">_xlfn.IFNA(_xlfn.XLOOKUP(1,([1]!readmissions[Facility ID] = clean[[#This Row],[Facility ID]]) * ([1]!readmissions[Measure ID] = "Hybrid_HWR"), [1]!readmissions[Score]), "No Match")</f>
        <v>15</v>
      </c>
    </row>
    <row r="2329" spans="1:6" x14ac:dyDescent="0.2">
      <c r="A2329">
        <f>[1]!hospitalinfo[[#This Row],[Facility ID]]</f>
        <v>201307</v>
      </c>
      <c r="B2329" t="str">
        <f>[1]!hospitalinfo[[#This Row],[State]]</f>
        <v>ME</v>
      </c>
      <c r="C2329" t="str">
        <f>[1]!hospitalinfo[[#This Row],[Hospital Type]]</f>
        <v>Critical Access Hospitals</v>
      </c>
      <c r="D2329" t="str">
        <f>[1]!hospitalinfo[[#This Row],[Hospital Ownership]]</f>
        <v>Voluntary non-profit - Private</v>
      </c>
      <c r="E2329" t="str" cm="1">
        <f t="array" ref="E2329">_xlfn.IFNA(_xlfn.XLOOKUP(1,([1]!hcahps[Facility ID] = clean[[#This Row],[Facility ID]]) * ([1]!hcahps[HCAHPS Measure ID] = "H_HSP_RATING_LINEAR_SCORE"), [1]!hcahps[HCAHPS Linear Mean Value]), "No Match")</f>
        <v>Not Available</v>
      </c>
      <c r="F2329" cm="1">
        <f t="array" ref="F2329">_xlfn.IFNA(_xlfn.XLOOKUP(1,([1]!readmissions[Facility ID] = clean[[#This Row],[Facility ID]]) * ([1]!readmissions[Measure ID] = "Hybrid_HWR"), [1]!readmissions[Score]), "No Match")</f>
        <v>14.9</v>
      </c>
    </row>
    <row r="2330" spans="1:6" x14ac:dyDescent="0.2">
      <c r="A2330">
        <f>[1]!hospitalinfo[[#This Row],[Facility ID]]</f>
        <v>201308</v>
      </c>
      <c r="B2330" t="str">
        <f>[1]!hospitalinfo[[#This Row],[State]]</f>
        <v>ME</v>
      </c>
      <c r="C2330" t="str">
        <f>[1]!hospitalinfo[[#This Row],[Hospital Type]]</f>
        <v>Critical Access Hospitals</v>
      </c>
      <c r="D2330" t="str">
        <f>[1]!hospitalinfo[[#This Row],[Hospital Ownership]]</f>
        <v>Voluntary non-profit - Private</v>
      </c>
      <c r="E2330" cm="1">
        <f t="array" ref="E2330">_xlfn.IFNA(_xlfn.XLOOKUP(1,([1]!hcahps[Facility ID] = clean[[#This Row],[Facility ID]]) * ([1]!hcahps[HCAHPS Measure ID] = "H_HSP_RATING_LINEAR_SCORE"), [1]!hcahps[HCAHPS Linear Mean Value]), "No Match")</f>
        <v>89</v>
      </c>
      <c r="F2330" cm="1">
        <f t="array" ref="F2330">_xlfn.IFNA(_xlfn.XLOOKUP(1,([1]!readmissions[Facility ID] = clean[[#This Row],[Facility ID]]) * ([1]!readmissions[Measure ID] = "Hybrid_HWR"), [1]!readmissions[Score]), "No Match")</f>
        <v>14.1</v>
      </c>
    </row>
    <row r="2331" spans="1:6" x14ac:dyDescent="0.2">
      <c r="A2331">
        <f>[1]!hospitalinfo[[#This Row],[Facility ID]]</f>
        <v>201309</v>
      </c>
      <c r="B2331" t="str">
        <f>[1]!hospitalinfo[[#This Row],[State]]</f>
        <v>ME</v>
      </c>
      <c r="C2331" t="str">
        <f>[1]!hospitalinfo[[#This Row],[Hospital Type]]</f>
        <v>Critical Access Hospitals</v>
      </c>
      <c r="D2331" t="str">
        <f>[1]!hospitalinfo[[#This Row],[Hospital Ownership]]</f>
        <v>Government - Hospital District or Authority</v>
      </c>
      <c r="E2331" cm="1">
        <f t="array" ref="E2331">_xlfn.IFNA(_xlfn.XLOOKUP(1,([1]!hcahps[Facility ID] = clean[[#This Row],[Facility ID]]) * ([1]!hcahps[HCAHPS Measure ID] = "H_HSP_RATING_LINEAR_SCORE"), [1]!hcahps[HCAHPS Linear Mean Value]), "No Match")</f>
        <v>85</v>
      </c>
      <c r="F2331" cm="1">
        <f t="array" ref="F2331">_xlfn.IFNA(_xlfn.XLOOKUP(1,([1]!readmissions[Facility ID] = clean[[#This Row],[Facility ID]]) * ([1]!readmissions[Measure ID] = "Hybrid_HWR"), [1]!readmissions[Score]), "No Match")</f>
        <v>15.4</v>
      </c>
    </row>
    <row r="2332" spans="1:6" x14ac:dyDescent="0.2">
      <c r="A2332">
        <f>[1]!hospitalinfo[[#This Row],[Facility ID]]</f>
        <v>201310</v>
      </c>
      <c r="B2332" t="str">
        <f>[1]!hospitalinfo[[#This Row],[State]]</f>
        <v>ME</v>
      </c>
      <c r="C2332" t="str">
        <f>[1]!hospitalinfo[[#This Row],[Hospital Type]]</f>
        <v>Critical Access Hospitals</v>
      </c>
      <c r="D2332" t="str">
        <f>[1]!hospitalinfo[[#This Row],[Hospital Ownership]]</f>
        <v>Voluntary non-profit - Private</v>
      </c>
      <c r="E2332" cm="1">
        <f t="array" ref="E2332">_xlfn.IFNA(_xlfn.XLOOKUP(1,([1]!hcahps[Facility ID] = clean[[#This Row],[Facility ID]]) * ([1]!hcahps[HCAHPS Measure ID] = "H_HSP_RATING_LINEAR_SCORE"), [1]!hcahps[HCAHPS Linear Mean Value]), "No Match")</f>
        <v>88</v>
      </c>
      <c r="F2332" cm="1">
        <f t="array" ref="F2332">_xlfn.IFNA(_xlfn.XLOOKUP(1,([1]!readmissions[Facility ID] = clean[[#This Row],[Facility ID]]) * ([1]!readmissions[Measure ID] = "Hybrid_HWR"), [1]!readmissions[Score]), "No Match")</f>
        <v>15.3</v>
      </c>
    </row>
    <row r="2333" spans="1:6" x14ac:dyDescent="0.2">
      <c r="A2333">
        <f>[1]!hospitalinfo[[#This Row],[Facility ID]]</f>
        <v>201311</v>
      </c>
      <c r="B2333" t="str">
        <f>[1]!hospitalinfo[[#This Row],[State]]</f>
        <v>ME</v>
      </c>
      <c r="C2333" t="str">
        <f>[1]!hospitalinfo[[#This Row],[Hospital Type]]</f>
        <v>Critical Access Hospitals</v>
      </c>
      <c r="D2333" t="str">
        <f>[1]!hospitalinfo[[#This Row],[Hospital Ownership]]</f>
        <v>Voluntary non-profit - Private</v>
      </c>
      <c r="E2333" t="str" cm="1">
        <f t="array" ref="E2333">_xlfn.IFNA(_xlfn.XLOOKUP(1,([1]!hcahps[Facility ID] = clean[[#This Row],[Facility ID]]) * ([1]!hcahps[HCAHPS Measure ID] = "H_HSP_RATING_LINEAR_SCORE"), [1]!hcahps[HCAHPS Linear Mean Value]), "No Match")</f>
        <v>Not Available</v>
      </c>
      <c r="F2333" cm="1">
        <f t="array" ref="F2333">_xlfn.IFNA(_xlfn.XLOOKUP(1,([1]!readmissions[Facility ID] = clean[[#This Row],[Facility ID]]) * ([1]!readmissions[Measure ID] = "Hybrid_HWR"), [1]!readmissions[Score]), "No Match")</f>
        <v>14.7</v>
      </c>
    </row>
    <row r="2334" spans="1:6" x14ac:dyDescent="0.2">
      <c r="A2334">
        <f>[1]!hospitalinfo[[#This Row],[Facility ID]]</f>
        <v>201312</v>
      </c>
      <c r="B2334" t="str">
        <f>[1]!hospitalinfo[[#This Row],[State]]</f>
        <v>ME</v>
      </c>
      <c r="C2334" t="str">
        <f>[1]!hospitalinfo[[#This Row],[Hospital Type]]</f>
        <v>Critical Access Hospitals</v>
      </c>
      <c r="D2334" t="str">
        <f>[1]!hospitalinfo[[#This Row],[Hospital Ownership]]</f>
        <v>Voluntary non-profit - Private</v>
      </c>
      <c r="E2334" cm="1">
        <f t="array" ref="E2334">_xlfn.IFNA(_xlfn.XLOOKUP(1,([1]!hcahps[Facility ID] = clean[[#This Row],[Facility ID]]) * ([1]!hcahps[HCAHPS Measure ID] = "H_HSP_RATING_LINEAR_SCORE"), [1]!hcahps[HCAHPS Linear Mean Value]), "No Match")</f>
        <v>89</v>
      </c>
      <c r="F2334" cm="1">
        <f t="array" ref="F2334">_xlfn.IFNA(_xlfn.XLOOKUP(1,([1]!readmissions[Facility ID] = clean[[#This Row],[Facility ID]]) * ([1]!readmissions[Measure ID] = "Hybrid_HWR"), [1]!readmissions[Score]), "No Match")</f>
        <v>15</v>
      </c>
    </row>
    <row r="2335" spans="1:6" x14ac:dyDescent="0.2">
      <c r="A2335">
        <f>[1]!hospitalinfo[[#This Row],[Facility ID]]</f>
        <v>201313</v>
      </c>
      <c r="B2335" t="str">
        <f>[1]!hospitalinfo[[#This Row],[State]]</f>
        <v>ME</v>
      </c>
      <c r="C2335" t="str">
        <f>[1]!hospitalinfo[[#This Row],[Hospital Type]]</f>
        <v>Critical Access Hospitals</v>
      </c>
      <c r="D2335" t="str">
        <f>[1]!hospitalinfo[[#This Row],[Hospital Ownership]]</f>
        <v>Voluntary non-profit - Private</v>
      </c>
      <c r="E2335" cm="1">
        <f t="array" ref="E2335">_xlfn.IFNA(_xlfn.XLOOKUP(1,([1]!hcahps[Facility ID] = clean[[#This Row],[Facility ID]]) * ([1]!hcahps[HCAHPS Measure ID] = "H_HSP_RATING_LINEAR_SCORE"), [1]!hcahps[HCAHPS Linear Mean Value]), "No Match")</f>
        <v>88</v>
      </c>
      <c r="F2335" cm="1">
        <f t="array" ref="F2335">_xlfn.IFNA(_xlfn.XLOOKUP(1,([1]!readmissions[Facility ID] = clean[[#This Row],[Facility ID]]) * ([1]!readmissions[Measure ID] = "Hybrid_HWR"), [1]!readmissions[Score]), "No Match")</f>
        <v>15.3</v>
      </c>
    </row>
    <row r="2336" spans="1:6" x14ac:dyDescent="0.2">
      <c r="A2336">
        <f>[1]!hospitalinfo[[#This Row],[Facility ID]]</f>
        <v>201314</v>
      </c>
      <c r="B2336" t="str">
        <f>[1]!hospitalinfo[[#This Row],[State]]</f>
        <v>ME</v>
      </c>
      <c r="C2336" t="str">
        <f>[1]!hospitalinfo[[#This Row],[Hospital Type]]</f>
        <v>Critical Access Hospitals</v>
      </c>
      <c r="D2336" t="str">
        <f>[1]!hospitalinfo[[#This Row],[Hospital Ownership]]</f>
        <v>Voluntary non-profit - Private</v>
      </c>
      <c r="E2336" cm="1">
        <f t="array" ref="E2336">_xlfn.IFNA(_xlfn.XLOOKUP(1,([1]!hcahps[Facility ID] = clean[[#This Row],[Facility ID]]) * ([1]!hcahps[HCAHPS Measure ID] = "H_HSP_RATING_LINEAR_SCORE"), [1]!hcahps[HCAHPS Linear Mean Value]), "No Match")</f>
        <v>93</v>
      </c>
      <c r="F2336" cm="1">
        <f t="array" ref="F2336">_xlfn.IFNA(_xlfn.XLOOKUP(1,([1]!readmissions[Facility ID] = clean[[#This Row],[Facility ID]]) * ([1]!readmissions[Measure ID] = "Hybrid_HWR"), [1]!readmissions[Score]), "No Match")</f>
        <v>14.5</v>
      </c>
    </row>
    <row r="2337" spans="1:6" x14ac:dyDescent="0.2">
      <c r="A2337">
        <f>[1]!hospitalinfo[[#This Row],[Facility ID]]</f>
        <v>201315</v>
      </c>
      <c r="B2337" t="str">
        <f>[1]!hospitalinfo[[#This Row],[State]]</f>
        <v>ME</v>
      </c>
      <c r="C2337" t="str">
        <f>[1]!hospitalinfo[[#This Row],[Hospital Type]]</f>
        <v>Critical Access Hospitals</v>
      </c>
      <c r="D2337" t="str">
        <f>[1]!hospitalinfo[[#This Row],[Hospital Ownership]]</f>
        <v>Voluntary non-profit - Private</v>
      </c>
      <c r="E2337" cm="1">
        <f t="array" ref="E2337">_xlfn.IFNA(_xlfn.XLOOKUP(1,([1]!hcahps[Facility ID] = clean[[#This Row],[Facility ID]]) * ([1]!hcahps[HCAHPS Measure ID] = "H_HSP_RATING_LINEAR_SCORE"), [1]!hcahps[HCAHPS Linear Mean Value]), "No Match")</f>
        <v>91</v>
      </c>
      <c r="F2337" cm="1">
        <f t="array" ref="F2337">_xlfn.IFNA(_xlfn.XLOOKUP(1,([1]!readmissions[Facility ID] = clean[[#This Row],[Facility ID]]) * ([1]!readmissions[Measure ID] = "Hybrid_HWR"), [1]!readmissions[Score]), "No Match")</f>
        <v>15</v>
      </c>
    </row>
    <row r="2338" spans="1:6" x14ac:dyDescent="0.2">
      <c r="A2338">
        <f>[1]!hospitalinfo[[#This Row],[Facility ID]]</f>
        <v>201316</v>
      </c>
      <c r="B2338" t="str">
        <f>[1]!hospitalinfo[[#This Row],[State]]</f>
        <v>ME</v>
      </c>
      <c r="C2338" t="str">
        <f>[1]!hospitalinfo[[#This Row],[Hospital Type]]</f>
        <v>Critical Access Hospitals</v>
      </c>
      <c r="D2338" t="str">
        <f>[1]!hospitalinfo[[#This Row],[Hospital Ownership]]</f>
        <v>Voluntary non-profit - Private</v>
      </c>
      <c r="E2338" cm="1">
        <f t="array" ref="E2338">_xlfn.IFNA(_xlfn.XLOOKUP(1,([1]!hcahps[Facility ID] = clean[[#This Row],[Facility ID]]) * ([1]!hcahps[HCAHPS Measure ID] = "H_HSP_RATING_LINEAR_SCORE"), [1]!hcahps[HCAHPS Linear Mean Value]), "No Match")</f>
        <v>89</v>
      </c>
      <c r="F2338" cm="1">
        <f t="array" ref="F2338">_xlfn.IFNA(_xlfn.XLOOKUP(1,([1]!readmissions[Facility ID] = clean[[#This Row],[Facility ID]]) * ([1]!readmissions[Measure ID] = "Hybrid_HWR"), [1]!readmissions[Score]), "No Match")</f>
        <v>15.1</v>
      </c>
    </row>
    <row r="2339" spans="1:6" x14ac:dyDescent="0.2">
      <c r="A2339">
        <f>[1]!hospitalinfo[[#This Row],[Facility ID]]</f>
        <v>201317</v>
      </c>
      <c r="B2339" t="str">
        <f>[1]!hospitalinfo[[#This Row],[State]]</f>
        <v>ME</v>
      </c>
      <c r="C2339" t="str">
        <f>[1]!hospitalinfo[[#This Row],[Hospital Type]]</f>
        <v>Critical Access Hospitals</v>
      </c>
      <c r="D2339" t="str">
        <f>[1]!hospitalinfo[[#This Row],[Hospital Ownership]]</f>
        <v>Voluntary non-profit - Private</v>
      </c>
      <c r="E2339" cm="1">
        <f t="array" ref="E2339">_xlfn.IFNA(_xlfn.XLOOKUP(1,([1]!hcahps[Facility ID] = clean[[#This Row],[Facility ID]]) * ([1]!hcahps[HCAHPS Measure ID] = "H_HSP_RATING_LINEAR_SCORE"), [1]!hcahps[HCAHPS Linear Mean Value]), "No Match")</f>
        <v>93</v>
      </c>
      <c r="F2339" t="str" cm="1">
        <f t="array" ref="F2339">_xlfn.IFNA(_xlfn.XLOOKUP(1,([1]!readmissions[Facility ID] = clean[[#This Row],[Facility ID]]) * ([1]!readmissions[Measure ID] = "Hybrid_HWR"), [1]!readmissions[Score]), "No Match")</f>
        <v>Not Available</v>
      </c>
    </row>
    <row r="2340" spans="1:6" x14ac:dyDescent="0.2">
      <c r="A2340">
        <f>[1]!hospitalinfo[[#This Row],[Facility ID]]</f>
        <v>204004</v>
      </c>
      <c r="B2340" t="str">
        <f>[1]!hospitalinfo[[#This Row],[State]]</f>
        <v>ME</v>
      </c>
      <c r="C2340" t="str">
        <f>[1]!hospitalinfo[[#This Row],[Hospital Type]]</f>
        <v>Psychiatric</v>
      </c>
      <c r="D2340" t="str">
        <f>[1]!hospitalinfo[[#This Row],[Hospital Ownership]]</f>
        <v>Government - Local</v>
      </c>
      <c r="E2340" t="str" cm="1">
        <f t="array" ref="E2340">_xlfn.IFNA(_xlfn.XLOOKUP(1,([1]!hcahps[Facility ID] = clean[[#This Row],[Facility ID]]) * ([1]!hcahps[HCAHPS Measure ID] = "H_HSP_RATING_LINEAR_SCORE"), [1]!hcahps[HCAHPS Linear Mean Value]), "No Match")</f>
        <v>No Match</v>
      </c>
      <c r="F2340" t="str" cm="1">
        <f t="array" ref="F2340">_xlfn.IFNA(_xlfn.XLOOKUP(1,([1]!readmissions[Facility ID] = clean[[#This Row],[Facility ID]]) * ([1]!readmissions[Measure ID] = "Hybrid_HWR"), [1]!readmissions[Score]), "No Match")</f>
        <v>No Match</v>
      </c>
    </row>
    <row r="2341" spans="1:6" x14ac:dyDescent="0.2">
      <c r="A2341">
        <f>[1]!hospitalinfo[[#This Row],[Facility ID]]</f>
        <v>204005</v>
      </c>
      <c r="B2341" t="str">
        <f>[1]!hospitalinfo[[#This Row],[State]]</f>
        <v>ME</v>
      </c>
      <c r="C2341" t="str">
        <f>[1]!hospitalinfo[[#This Row],[Hospital Type]]</f>
        <v>Psychiatric</v>
      </c>
      <c r="D2341" t="str">
        <f>[1]!hospitalinfo[[#This Row],[Hospital Ownership]]</f>
        <v>Government - Federal</v>
      </c>
      <c r="E2341" t="str" cm="1">
        <f t="array" ref="E2341">_xlfn.IFNA(_xlfn.XLOOKUP(1,([1]!hcahps[Facility ID] = clean[[#This Row],[Facility ID]]) * ([1]!hcahps[HCAHPS Measure ID] = "H_HSP_RATING_LINEAR_SCORE"), [1]!hcahps[HCAHPS Linear Mean Value]), "No Match")</f>
        <v>No Match</v>
      </c>
      <c r="F2341" t="str" cm="1">
        <f t="array" ref="F2341">_xlfn.IFNA(_xlfn.XLOOKUP(1,([1]!readmissions[Facility ID] = clean[[#This Row],[Facility ID]]) * ([1]!readmissions[Measure ID] = "Hybrid_HWR"), [1]!readmissions[Score]), "No Match")</f>
        <v>No Match</v>
      </c>
    </row>
    <row r="2342" spans="1:6" x14ac:dyDescent="0.2">
      <c r="A2342">
        <f>[1]!hospitalinfo[[#This Row],[Facility ID]]</f>
        <v>204006</v>
      </c>
      <c r="B2342" t="str">
        <f>[1]!hospitalinfo[[#This Row],[State]]</f>
        <v>ME</v>
      </c>
      <c r="C2342" t="str">
        <f>[1]!hospitalinfo[[#This Row],[Hospital Type]]</f>
        <v>Psychiatric</v>
      </c>
      <c r="D2342" t="str">
        <f>[1]!hospitalinfo[[#This Row],[Hospital Ownership]]</f>
        <v>Voluntary non-profit - Private</v>
      </c>
      <c r="E2342" t="str" cm="1">
        <f t="array" ref="E2342">_xlfn.IFNA(_xlfn.XLOOKUP(1,([1]!hcahps[Facility ID] = clean[[#This Row],[Facility ID]]) * ([1]!hcahps[HCAHPS Measure ID] = "H_HSP_RATING_LINEAR_SCORE"), [1]!hcahps[HCAHPS Linear Mean Value]), "No Match")</f>
        <v>No Match</v>
      </c>
      <c r="F2342" t="str" cm="1">
        <f t="array" ref="F2342">_xlfn.IFNA(_xlfn.XLOOKUP(1,([1]!readmissions[Facility ID] = clean[[#This Row],[Facility ID]]) * ([1]!readmissions[Measure ID] = "Hybrid_HWR"), [1]!readmissions[Score]), "No Match")</f>
        <v>No Match</v>
      </c>
    </row>
    <row r="2343" spans="1:6" x14ac:dyDescent="0.2">
      <c r="A2343">
        <f>[1]!hospitalinfo[[#This Row],[Facility ID]]</f>
        <v>204008</v>
      </c>
      <c r="B2343" t="str">
        <f>[1]!hospitalinfo[[#This Row],[State]]</f>
        <v>ME</v>
      </c>
      <c r="C2343" t="str">
        <f>[1]!hospitalinfo[[#This Row],[Hospital Type]]</f>
        <v>Psychiatric</v>
      </c>
      <c r="D2343" t="str">
        <f>[1]!hospitalinfo[[#This Row],[Hospital Ownership]]</f>
        <v>Government - State</v>
      </c>
      <c r="E2343" t="str" cm="1">
        <f t="array" ref="E2343">_xlfn.IFNA(_xlfn.XLOOKUP(1,([1]!hcahps[Facility ID] = clean[[#This Row],[Facility ID]]) * ([1]!hcahps[HCAHPS Measure ID] = "H_HSP_RATING_LINEAR_SCORE"), [1]!hcahps[HCAHPS Linear Mean Value]), "No Match")</f>
        <v>No Match</v>
      </c>
      <c r="F2343" t="str" cm="1">
        <f t="array" ref="F2343">_xlfn.IFNA(_xlfn.XLOOKUP(1,([1]!readmissions[Facility ID] = clean[[#This Row],[Facility ID]]) * ([1]!readmissions[Measure ID] = "Hybrid_HWR"), [1]!readmissions[Score]), "No Match")</f>
        <v>No Match</v>
      </c>
    </row>
    <row r="2344" spans="1:6" x14ac:dyDescent="0.2">
      <c r="A2344" t="str">
        <f>[1]!hospitalinfo[[#This Row],[Facility ID]]</f>
        <v>20003F</v>
      </c>
      <c r="B2344" t="str">
        <f>[1]!hospitalinfo[[#This Row],[State]]</f>
        <v>ME</v>
      </c>
      <c r="C2344" t="str">
        <f>[1]!hospitalinfo[[#This Row],[Hospital Type]]</f>
        <v>Acute Care - Veterans Administration</v>
      </c>
      <c r="D2344" t="str">
        <f>[1]!hospitalinfo[[#This Row],[Hospital Ownership]]</f>
        <v>Veterans Health Administration</v>
      </c>
      <c r="E2344" cm="1">
        <f t="array" ref="E2344">_xlfn.IFNA(_xlfn.XLOOKUP(1,([1]!hcahps[Facility ID] = clean[[#This Row],[Facility ID]]) * ([1]!hcahps[HCAHPS Measure ID] = "H_HSP_RATING_LINEAR_SCORE"), [1]!hcahps[HCAHPS Linear Mean Value]), "No Match")</f>
        <v>93</v>
      </c>
      <c r="F2344" cm="1">
        <f t="array" ref="F2344">_xlfn.IFNA(_xlfn.XLOOKUP(1,([1]!readmissions[Facility ID] = clean[[#This Row],[Facility ID]]) * ([1]!readmissions[Measure ID] = "Hybrid_HWR"), [1]!readmissions[Score]), "No Match")</f>
        <v>14.7</v>
      </c>
    </row>
    <row r="2345" spans="1:6" x14ac:dyDescent="0.2">
      <c r="A2345">
        <f>[1]!hospitalinfo[[#This Row],[Facility ID]]</f>
        <v>230002</v>
      </c>
      <c r="B2345" t="str">
        <f>[1]!hospitalinfo[[#This Row],[State]]</f>
        <v>MI</v>
      </c>
      <c r="C2345" t="str">
        <f>[1]!hospitalinfo[[#This Row],[Hospital Type]]</f>
        <v>Acute Care Hospitals</v>
      </c>
      <c r="D2345" t="str">
        <f>[1]!hospitalinfo[[#This Row],[Hospital Ownership]]</f>
        <v>Voluntary non-profit - Private</v>
      </c>
      <c r="E2345" cm="1">
        <f t="array" ref="E2345">_xlfn.IFNA(_xlfn.XLOOKUP(1,([1]!hcahps[Facility ID] = clean[[#This Row],[Facility ID]]) * ([1]!hcahps[HCAHPS Measure ID] = "H_HSP_RATING_LINEAR_SCORE"), [1]!hcahps[HCAHPS Linear Mean Value]), "No Match")</f>
        <v>86</v>
      </c>
      <c r="F2345" cm="1">
        <f t="array" ref="F2345">_xlfn.IFNA(_xlfn.XLOOKUP(1,([1]!readmissions[Facility ID] = clean[[#This Row],[Facility ID]]) * ([1]!readmissions[Measure ID] = "Hybrid_HWR"), [1]!readmissions[Score]), "No Match")</f>
        <v>15.8</v>
      </c>
    </row>
    <row r="2346" spans="1:6" x14ac:dyDescent="0.2">
      <c r="A2346">
        <f>[1]!hospitalinfo[[#This Row],[Facility ID]]</f>
        <v>230003</v>
      </c>
      <c r="B2346" t="str">
        <f>[1]!hospitalinfo[[#This Row],[State]]</f>
        <v>MI</v>
      </c>
      <c r="C2346" t="str">
        <f>[1]!hospitalinfo[[#This Row],[Hospital Type]]</f>
        <v>Acute Care Hospitals</v>
      </c>
      <c r="D2346" t="str">
        <f>[1]!hospitalinfo[[#This Row],[Hospital Ownership]]</f>
        <v>Voluntary non-profit - Private</v>
      </c>
      <c r="E2346" cm="1">
        <f t="array" ref="E2346">_xlfn.IFNA(_xlfn.XLOOKUP(1,([1]!hcahps[Facility ID] = clean[[#This Row],[Facility ID]]) * ([1]!hcahps[HCAHPS Measure ID] = "H_HSP_RATING_LINEAR_SCORE"), [1]!hcahps[HCAHPS Linear Mean Value]), "No Match")</f>
        <v>93</v>
      </c>
      <c r="F2346" cm="1">
        <f t="array" ref="F2346">_xlfn.IFNA(_xlfn.XLOOKUP(1,([1]!readmissions[Facility ID] = clean[[#This Row],[Facility ID]]) * ([1]!readmissions[Measure ID] = "Hybrid_HWR"), [1]!readmissions[Score]), "No Match")</f>
        <v>14.4</v>
      </c>
    </row>
    <row r="2347" spans="1:6" x14ac:dyDescent="0.2">
      <c r="A2347">
        <f>[1]!hospitalinfo[[#This Row],[Facility ID]]</f>
        <v>230005</v>
      </c>
      <c r="B2347" t="str">
        <f>[1]!hospitalinfo[[#This Row],[State]]</f>
        <v>MI</v>
      </c>
      <c r="C2347" t="str">
        <f>[1]!hospitalinfo[[#This Row],[Hospital Type]]</f>
        <v>Acute Care Hospitals</v>
      </c>
      <c r="D2347" t="str">
        <f>[1]!hospitalinfo[[#This Row],[Hospital Ownership]]</f>
        <v>Voluntary non-profit - Private</v>
      </c>
      <c r="E2347" cm="1">
        <f t="array" ref="E2347">_xlfn.IFNA(_xlfn.XLOOKUP(1,([1]!hcahps[Facility ID] = clean[[#This Row],[Facility ID]]) * ([1]!hcahps[HCAHPS Measure ID] = "H_HSP_RATING_LINEAR_SCORE"), [1]!hcahps[HCAHPS Linear Mean Value]), "No Match")</f>
        <v>86</v>
      </c>
      <c r="F2347" cm="1">
        <f t="array" ref="F2347">_xlfn.IFNA(_xlfn.XLOOKUP(1,([1]!readmissions[Facility ID] = clean[[#This Row],[Facility ID]]) * ([1]!readmissions[Measure ID] = "Hybrid_HWR"), [1]!readmissions[Score]), "No Match")</f>
        <v>14.2</v>
      </c>
    </row>
    <row r="2348" spans="1:6" x14ac:dyDescent="0.2">
      <c r="A2348">
        <f>[1]!hospitalinfo[[#This Row],[Facility ID]]</f>
        <v>230015</v>
      </c>
      <c r="B2348" t="str">
        <f>[1]!hospitalinfo[[#This Row],[State]]</f>
        <v>MI</v>
      </c>
      <c r="C2348" t="str">
        <f>[1]!hospitalinfo[[#This Row],[Hospital Type]]</f>
        <v>Acute Care Hospitals</v>
      </c>
      <c r="D2348" t="str">
        <f>[1]!hospitalinfo[[#This Row],[Hospital Ownership]]</f>
        <v>Government - Hospital District or Authority</v>
      </c>
      <c r="E2348" cm="1">
        <f t="array" ref="E2348">_xlfn.IFNA(_xlfn.XLOOKUP(1,([1]!hcahps[Facility ID] = clean[[#This Row],[Facility ID]]) * ([1]!hcahps[HCAHPS Measure ID] = "H_HSP_RATING_LINEAR_SCORE"), [1]!hcahps[HCAHPS Linear Mean Value]), "No Match")</f>
        <v>87</v>
      </c>
      <c r="F2348" cm="1">
        <f t="array" ref="F2348">_xlfn.IFNA(_xlfn.XLOOKUP(1,([1]!readmissions[Facility ID] = clean[[#This Row],[Facility ID]]) * ([1]!readmissions[Measure ID] = "Hybrid_HWR"), [1]!readmissions[Score]), "No Match")</f>
        <v>15</v>
      </c>
    </row>
    <row r="2349" spans="1:6" x14ac:dyDescent="0.2">
      <c r="A2349">
        <f>[1]!hospitalinfo[[#This Row],[Facility ID]]</f>
        <v>230017</v>
      </c>
      <c r="B2349" t="str">
        <f>[1]!hospitalinfo[[#This Row],[State]]</f>
        <v>MI</v>
      </c>
      <c r="C2349" t="str">
        <f>[1]!hospitalinfo[[#This Row],[Hospital Type]]</f>
        <v>Acute Care Hospitals</v>
      </c>
      <c r="D2349" t="str">
        <f>[1]!hospitalinfo[[#This Row],[Hospital Ownership]]</f>
        <v>Voluntary non-profit - Private</v>
      </c>
      <c r="E2349" cm="1">
        <f t="array" ref="E2349">_xlfn.IFNA(_xlfn.XLOOKUP(1,([1]!hcahps[Facility ID] = clean[[#This Row],[Facility ID]]) * ([1]!hcahps[HCAHPS Measure ID] = "H_HSP_RATING_LINEAR_SCORE"), [1]!hcahps[HCAHPS Linear Mean Value]), "No Match")</f>
        <v>89</v>
      </c>
      <c r="F2349" cm="1">
        <f t="array" ref="F2349">_xlfn.IFNA(_xlfn.XLOOKUP(1,([1]!readmissions[Facility ID] = clean[[#This Row],[Facility ID]]) * ([1]!readmissions[Measure ID] = "Hybrid_HWR"), [1]!readmissions[Score]), "No Match")</f>
        <v>15.1</v>
      </c>
    </row>
    <row r="2350" spans="1:6" x14ac:dyDescent="0.2">
      <c r="A2350">
        <f>[1]!hospitalinfo[[#This Row],[Facility ID]]</f>
        <v>230019</v>
      </c>
      <c r="B2350" t="str">
        <f>[1]!hospitalinfo[[#This Row],[State]]</f>
        <v>MI</v>
      </c>
      <c r="C2350" t="str">
        <f>[1]!hospitalinfo[[#This Row],[Hospital Type]]</f>
        <v>Acute Care Hospitals</v>
      </c>
      <c r="D2350" t="str">
        <f>[1]!hospitalinfo[[#This Row],[Hospital Ownership]]</f>
        <v>Voluntary non-profit - Church</v>
      </c>
      <c r="E2350" cm="1">
        <f t="array" ref="E2350">_xlfn.IFNA(_xlfn.XLOOKUP(1,([1]!hcahps[Facility ID] = clean[[#This Row],[Facility ID]]) * ([1]!hcahps[HCAHPS Measure ID] = "H_HSP_RATING_LINEAR_SCORE"), [1]!hcahps[HCAHPS Linear Mean Value]), "No Match")</f>
        <v>85</v>
      </c>
      <c r="F2350" cm="1">
        <f t="array" ref="F2350">_xlfn.IFNA(_xlfn.XLOOKUP(1,([1]!readmissions[Facility ID] = clean[[#This Row],[Facility ID]]) * ([1]!readmissions[Measure ID] = "Hybrid_HWR"), [1]!readmissions[Score]), "No Match")</f>
        <v>14.2</v>
      </c>
    </row>
    <row r="2351" spans="1:6" x14ac:dyDescent="0.2">
      <c r="A2351">
        <f>[1]!hospitalinfo[[#This Row],[Facility ID]]</f>
        <v>230020</v>
      </c>
      <c r="B2351" t="str">
        <f>[1]!hospitalinfo[[#This Row],[State]]</f>
        <v>MI</v>
      </c>
      <c r="C2351" t="str">
        <f>[1]!hospitalinfo[[#This Row],[Hospital Type]]</f>
        <v>Acute Care Hospitals</v>
      </c>
      <c r="D2351" t="str">
        <f>[1]!hospitalinfo[[#This Row],[Hospital Ownership]]</f>
        <v>Voluntary non-profit - Private</v>
      </c>
      <c r="E2351" cm="1">
        <f t="array" ref="E2351">_xlfn.IFNA(_xlfn.XLOOKUP(1,([1]!hcahps[Facility ID] = clean[[#This Row],[Facility ID]]) * ([1]!hcahps[HCAHPS Measure ID] = "H_HSP_RATING_LINEAR_SCORE"), [1]!hcahps[HCAHPS Linear Mean Value]), "No Match")</f>
        <v>79</v>
      </c>
      <c r="F2351" cm="1">
        <f t="array" ref="F2351">_xlfn.IFNA(_xlfn.XLOOKUP(1,([1]!readmissions[Facility ID] = clean[[#This Row],[Facility ID]]) * ([1]!readmissions[Measure ID] = "Hybrid_HWR"), [1]!readmissions[Score]), "No Match")</f>
        <v>15.5</v>
      </c>
    </row>
    <row r="2352" spans="1:6" x14ac:dyDescent="0.2">
      <c r="A2352">
        <f>[1]!hospitalinfo[[#This Row],[Facility ID]]</f>
        <v>230021</v>
      </c>
      <c r="B2352" t="str">
        <f>[1]!hospitalinfo[[#This Row],[State]]</f>
        <v>MI</v>
      </c>
      <c r="C2352" t="str">
        <f>[1]!hospitalinfo[[#This Row],[Hospital Type]]</f>
        <v>Acute Care Hospitals</v>
      </c>
      <c r="D2352" t="str">
        <f>[1]!hospitalinfo[[#This Row],[Hospital Ownership]]</f>
        <v>Voluntary non-profit - Private</v>
      </c>
      <c r="E2352" cm="1">
        <f t="array" ref="E2352">_xlfn.IFNA(_xlfn.XLOOKUP(1,([1]!hcahps[Facility ID] = clean[[#This Row],[Facility ID]]) * ([1]!hcahps[HCAHPS Measure ID] = "H_HSP_RATING_LINEAR_SCORE"), [1]!hcahps[HCAHPS Linear Mean Value]), "No Match")</f>
        <v>86</v>
      </c>
      <c r="F2352" cm="1">
        <f t="array" ref="F2352">_xlfn.IFNA(_xlfn.XLOOKUP(1,([1]!readmissions[Facility ID] = clean[[#This Row],[Facility ID]]) * ([1]!readmissions[Measure ID] = "Hybrid_HWR"), [1]!readmissions[Score]), "No Match")</f>
        <v>14</v>
      </c>
    </row>
    <row r="2353" spans="1:6" x14ac:dyDescent="0.2">
      <c r="A2353">
        <f>[1]!hospitalinfo[[#This Row],[Facility ID]]</f>
        <v>230022</v>
      </c>
      <c r="B2353" t="str">
        <f>[1]!hospitalinfo[[#This Row],[State]]</f>
        <v>MI</v>
      </c>
      <c r="C2353" t="str">
        <f>[1]!hospitalinfo[[#This Row],[Hospital Type]]</f>
        <v>Acute Care Hospitals</v>
      </c>
      <c r="D2353" t="str">
        <f>[1]!hospitalinfo[[#This Row],[Hospital Ownership]]</f>
        <v>Government - Local</v>
      </c>
      <c r="E2353" cm="1">
        <f t="array" ref="E2353">_xlfn.IFNA(_xlfn.XLOOKUP(1,([1]!hcahps[Facility ID] = clean[[#This Row],[Facility ID]]) * ([1]!hcahps[HCAHPS Measure ID] = "H_HSP_RATING_LINEAR_SCORE"), [1]!hcahps[HCAHPS Linear Mean Value]), "No Match")</f>
        <v>85</v>
      </c>
      <c r="F2353" cm="1">
        <f t="array" ref="F2353">_xlfn.IFNA(_xlfn.XLOOKUP(1,([1]!readmissions[Facility ID] = clean[[#This Row],[Facility ID]]) * ([1]!readmissions[Measure ID] = "Hybrid_HWR"), [1]!readmissions[Score]), "No Match")</f>
        <v>14.8</v>
      </c>
    </row>
    <row r="2354" spans="1:6" x14ac:dyDescent="0.2">
      <c r="A2354">
        <f>[1]!hospitalinfo[[#This Row],[Facility ID]]</f>
        <v>230024</v>
      </c>
      <c r="B2354" t="str">
        <f>[1]!hospitalinfo[[#This Row],[State]]</f>
        <v>MI</v>
      </c>
      <c r="C2354" t="str">
        <f>[1]!hospitalinfo[[#This Row],[Hospital Type]]</f>
        <v>Acute Care Hospitals</v>
      </c>
      <c r="D2354" t="str">
        <f>[1]!hospitalinfo[[#This Row],[Hospital Ownership]]</f>
        <v>Proprietary</v>
      </c>
      <c r="E2354" cm="1">
        <f t="array" ref="E2354">_xlfn.IFNA(_xlfn.XLOOKUP(1,([1]!hcahps[Facility ID] = clean[[#This Row],[Facility ID]]) * ([1]!hcahps[HCAHPS Measure ID] = "H_HSP_RATING_LINEAR_SCORE"), [1]!hcahps[HCAHPS Linear Mean Value]), "No Match")</f>
        <v>71</v>
      </c>
      <c r="F2354" cm="1">
        <f t="array" ref="F2354">_xlfn.IFNA(_xlfn.XLOOKUP(1,([1]!readmissions[Facility ID] = clean[[#This Row],[Facility ID]]) * ([1]!readmissions[Measure ID] = "Hybrid_HWR"), [1]!readmissions[Score]), "No Match")</f>
        <v>15.4</v>
      </c>
    </row>
    <row r="2355" spans="1:6" x14ac:dyDescent="0.2">
      <c r="A2355">
        <f>[1]!hospitalinfo[[#This Row],[Facility ID]]</f>
        <v>230029</v>
      </c>
      <c r="B2355" t="str">
        <f>[1]!hospitalinfo[[#This Row],[State]]</f>
        <v>MI</v>
      </c>
      <c r="C2355" t="str">
        <f>[1]!hospitalinfo[[#This Row],[Hospital Type]]</f>
        <v>Acute Care Hospitals</v>
      </c>
      <c r="D2355" t="str">
        <f>[1]!hospitalinfo[[#This Row],[Hospital Ownership]]</f>
        <v>Voluntary non-profit - Private</v>
      </c>
      <c r="E2355" cm="1">
        <f t="array" ref="E2355">_xlfn.IFNA(_xlfn.XLOOKUP(1,([1]!hcahps[Facility ID] = clean[[#This Row],[Facility ID]]) * ([1]!hcahps[HCAHPS Measure ID] = "H_HSP_RATING_LINEAR_SCORE"), [1]!hcahps[HCAHPS Linear Mean Value]), "No Match")</f>
        <v>85</v>
      </c>
      <c r="F2355" cm="1">
        <f t="array" ref="F2355">_xlfn.IFNA(_xlfn.XLOOKUP(1,([1]!readmissions[Facility ID] = clean[[#This Row],[Facility ID]]) * ([1]!readmissions[Measure ID] = "Hybrid_HWR"), [1]!readmissions[Score]), "No Match")</f>
        <v>15.2</v>
      </c>
    </row>
    <row r="2356" spans="1:6" x14ac:dyDescent="0.2">
      <c r="A2356">
        <f>[1]!hospitalinfo[[#This Row],[Facility ID]]</f>
        <v>230030</v>
      </c>
      <c r="B2356" t="str">
        <f>[1]!hospitalinfo[[#This Row],[State]]</f>
        <v>MI</v>
      </c>
      <c r="C2356" t="str">
        <f>[1]!hospitalinfo[[#This Row],[Hospital Type]]</f>
        <v>Acute Care Hospitals</v>
      </c>
      <c r="D2356" t="str">
        <f>[1]!hospitalinfo[[#This Row],[Hospital Ownership]]</f>
        <v>Voluntary non-profit - Private</v>
      </c>
      <c r="E2356" cm="1">
        <f t="array" ref="E2356">_xlfn.IFNA(_xlfn.XLOOKUP(1,([1]!hcahps[Facility ID] = clean[[#This Row],[Facility ID]]) * ([1]!hcahps[HCAHPS Measure ID] = "H_HSP_RATING_LINEAR_SCORE"), [1]!hcahps[HCAHPS Linear Mean Value]), "No Match")</f>
        <v>92</v>
      </c>
      <c r="F2356" cm="1">
        <f t="array" ref="F2356">_xlfn.IFNA(_xlfn.XLOOKUP(1,([1]!readmissions[Facility ID] = clean[[#This Row],[Facility ID]]) * ([1]!readmissions[Measure ID] = "Hybrid_HWR"), [1]!readmissions[Score]), "No Match")</f>
        <v>14.3</v>
      </c>
    </row>
    <row r="2357" spans="1:6" x14ac:dyDescent="0.2">
      <c r="A2357">
        <f>[1]!hospitalinfo[[#This Row],[Facility ID]]</f>
        <v>230031</v>
      </c>
      <c r="B2357" t="str">
        <f>[1]!hospitalinfo[[#This Row],[State]]</f>
        <v>MI</v>
      </c>
      <c r="C2357" t="str">
        <f>[1]!hospitalinfo[[#This Row],[Hospital Type]]</f>
        <v>Acute Care Hospitals</v>
      </c>
      <c r="D2357" t="str">
        <f>[1]!hospitalinfo[[#This Row],[Hospital Ownership]]</f>
        <v>Voluntary non-profit - Church</v>
      </c>
      <c r="E2357" cm="1">
        <f t="array" ref="E2357">_xlfn.IFNA(_xlfn.XLOOKUP(1,([1]!hcahps[Facility ID] = clean[[#This Row],[Facility ID]]) * ([1]!hcahps[HCAHPS Measure ID] = "H_HSP_RATING_LINEAR_SCORE"), [1]!hcahps[HCAHPS Linear Mean Value]), "No Match")</f>
        <v>86</v>
      </c>
      <c r="F2357" cm="1">
        <f t="array" ref="F2357">_xlfn.IFNA(_xlfn.XLOOKUP(1,([1]!readmissions[Facility ID] = clean[[#This Row],[Facility ID]]) * ([1]!readmissions[Measure ID] = "Hybrid_HWR"), [1]!readmissions[Score]), "No Match")</f>
        <v>14.6</v>
      </c>
    </row>
    <row r="2358" spans="1:6" x14ac:dyDescent="0.2">
      <c r="A2358">
        <f>[1]!hospitalinfo[[#This Row],[Facility ID]]</f>
        <v>230035</v>
      </c>
      <c r="B2358" t="str">
        <f>[1]!hospitalinfo[[#This Row],[State]]</f>
        <v>MI</v>
      </c>
      <c r="C2358" t="str">
        <f>[1]!hospitalinfo[[#This Row],[Hospital Type]]</f>
        <v>Acute Care Hospitals</v>
      </c>
      <c r="D2358" t="str">
        <f>[1]!hospitalinfo[[#This Row],[Hospital Ownership]]</f>
        <v>Voluntary non-profit - Other</v>
      </c>
      <c r="E2358" cm="1">
        <f t="array" ref="E2358">_xlfn.IFNA(_xlfn.XLOOKUP(1,([1]!hcahps[Facility ID] = clean[[#This Row],[Facility ID]]) * ([1]!hcahps[HCAHPS Measure ID] = "H_HSP_RATING_LINEAR_SCORE"), [1]!hcahps[HCAHPS Linear Mean Value]), "No Match")</f>
        <v>90</v>
      </c>
      <c r="F2358" cm="1">
        <f t="array" ref="F2358">_xlfn.IFNA(_xlfn.XLOOKUP(1,([1]!readmissions[Facility ID] = clean[[#This Row],[Facility ID]]) * ([1]!readmissions[Measure ID] = "Hybrid_HWR"), [1]!readmissions[Score]), "No Match")</f>
        <v>15</v>
      </c>
    </row>
    <row r="2359" spans="1:6" x14ac:dyDescent="0.2">
      <c r="A2359">
        <f>[1]!hospitalinfo[[#This Row],[Facility ID]]</f>
        <v>230036</v>
      </c>
      <c r="B2359" t="str">
        <f>[1]!hospitalinfo[[#This Row],[State]]</f>
        <v>MI</v>
      </c>
      <c r="C2359" t="str">
        <f>[1]!hospitalinfo[[#This Row],[Hospital Type]]</f>
        <v>Acute Care Hospitals</v>
      </c>
      <c r="D2359" t="str">
        <f>[1]!hospitalinfo[[#This Row],[Hospital Ownership]]</f>
        <v>Proprietary</v>
      </c>
      <c r="E2359" cm="1">
        <f t="array" ref="E2359">_xlfn.IFNA(_xlfn.XLOOKUP(1,([1]!hcahps[Facility ID] = clean[[#This Row],[Facility ID]]) * ([1]!hcahps[HCAHPS Measure ID] = "H_HSP_RATING_LINEAR_SCORE"), [1]!hcahps[HCAHPS Linear Mean Value]), "No Match")</f>
        <v>92</v>
      </c>
      <c r="F2359" cm="1">
        <f t="array" ref="F2359">_xlfn.IFNA(_xlfn.XLOOKUP(1,([1]!readmissions[Facility ID] = clean[[#This Row],[Facility ID]]) * ([1]!readmissions[Measure ID] = "Hybrid_HWR"), [1]!readmissions[Score]), "No Match")</f>
        <v>14.2</v>
      </c>
    </row>
    <row r="2360" spans="1:6" x14ac:dyDescent="0.2">
      <c r="A2360">
        <f>[1]!hospitalinfo[[#This Row],[Facility ID]]</f>
        <v>230037</v>
      </c>
      <c r="B2360" t="str">
        <f>[1]!hospitalinfo[[#This Row],[State]]</f>
        <v>MI</v>
      </c>
      <c r="C2360" t="str">
        <f>[1]!hospitalinfo[[#This Row],[Hospital Type]]</f>
        <v>Acute Care Hospitals</v>
      </c>
      <c r="D2360" t="str">
        <f>[1]!hospitalinfo[[#This Row],[Hospital Ownership]]</f>
        <v>Voluntary non-profit - Private</v>
      </c>
      <c r="E2360" cm="1">
        <f t="array" ref="E2360">_xlfn.IFNA(_xlfn.XLOOKUP(1,([1]!hcahps[Facility ID] = clean[[#This Row],[Facility ID]]) * ([1]!hcahps[HCAHPS Measure ID] = "H_HSP_RATING_LINEAR_SCORE"), [1]!hcahps[HCAHPS Linear Mean Value]), "No Match")</f>
        <v>89</v>
      </c>
      <c r="F2360" cm="1">
        <f t="array" ref="F2360">_xlfn.IFNA(_xlfn.XLOOKUP(1,([1]!readmissions[Facility ID] = clean[[#This Row],[Facility ID]]) * ([1]!readmissions[Measure ID] = "Hybrid_HWR"), [1]!readmissions[Score]), "No Match")</f>
        <v>14.9</v>
      </c>
    </row>
    <row r="2361" spans="1:6" x14ac:dyDescent="0.2">
      <c r="A2361">
        <f>[1]!hospitalinfo[[#This Row],[Facility ID]]</f>
        <v>230038</v>
      </c>
      <c r="B2361" t="str">
        <f>[1]!hospitalinfo[[#This Row],[State]]</f>
        <v>MI</v>
      </c>
      <c r="C2361" t="str">
        <f>[1]!hospitalinfo[[#This Row],[Hospital Type]]</f>
        <v>Acute Care Hospitals</v>
      </c>
      <c r="D2361" t="str">
        <f>[1]!hospitalinfo[[#This Row],[Hospital Ownership]]</f>
        <v>Voluntary non-profit - Private</v>
      </c>
      <c r="E2361" cm="1">
        <f t="array" ref="E2361">_xlfn.IFNA(_xlfn.XLOOKUP(1,([1]!hcahps[Facility ID] = clean[[#This Row],[Facility ID]]) * ([1]!hcahps[HCAHPS Measure ID] = "H_HSP_RATING_LINEAR_SCORE"), [1]!hcahps[HCAHPS Linear Mean Value]), "No Match")</f>
        <v>89</v>
      </c>
      <c r="F2361" cm="1">
        <f t="array" ref="F2361">_xlfn.IFNA(_xlfn.XLOOKUP(1,([1]!readmissions[Facility ID] = clean[[#This Row],[Facility ID]]) * ([1]!readmissions[Measure ID] = "Hybrid_HWR"), [1]!readmissions[Score]), "No Match")</f>
        <v>14.7</v>
      </c>
    </row>
    <row r="2362" spans="1:6" x14ac:dyDescent="0.2">
      <c r="A2362">
        <f>[1]!hospitalinfo[[#This Row],[Facility ID]]</f>
        <v>230041</v>
      </c>
      <c r="B2362" t="str">
        <f>[1]!hospitalinfo[[#This Row],[State]]</f>
        <v>MI</v>
      </c>
      <c r="C2362" t="str">
        <f>[1]!hospitalinfo[[#This Row],[Hospital Type]]</f>
        <v>Acute Care Hospitals</v>
      </c>
      <c r="D2362" t="str">
        <f>[1]!hospitalinfo[[#This Row],[Hospital Ownership]]</f>
        <v>Voluntary non-profit - Private</v>
      </c>
      <c r="E2362" cm="1">
        <f t="array" ref="E2362">_xlfn.IFNA(_xlfn.XLOOKUP(1,([1]!hcahps[Facility ID] = clean[[#This Row],[Facility ID]]) * ([1]!hcahps[HCAHPS Measure ID] = "H_HSP_RATING_LINEAR_SCORE"), [1]!hcahps[HCAHPS Linear Mean Value]), "No Match")</f>
        <v>82</v>
      </c>
      <c r="F2362" cm="1">
        <f t="array" ref="F2362">_xlfn.IFNA(_xlfn.XLOOKUP(1,([1]!readmissions[Facility ID] = clean[[#This Row],[Facility ID]]) * ([1]!readmissions[Measure ID] = "Hybrid_HWR"), [1]!readmissions[Score]), "No Match")</f>
        <v>16.3</v>
      </c>
    </row>
    <row r="2363" spans="1:6" x14ac:dyDescent="0.2">
      <c r="A2363">
        <f>[1]!hospitalinfo[[#This Row],[Facility ID]]</f>
        <v>230046</v>
      </c>
      <c r="B2363" t="str">
        <f>[1]!hospitalinfo[[#This Row],[State]]</f>
        <v>MI</v>
      </c>
      <c r="C2363" t="str">
        <f>[1]!hospitalinfo[[#This Row],[Hospital Type]]</f>
        <v>Acute Care Hospitals</v>
      </c>
      <c r="D2363" t="str">
        <f>[1]!hospitalinfo[[#This Row],[Hospital Ownership]]</f>
        <v>Voluntary non-profit - Private</v>
      </c>
      <c r="E2363" cm="1">
        <f t="array" ref="E2363">_xlfn.IFNA(_xlfn.XLOOKUP(1,([1]!hcahps[Facility ID] = clean[[#This Row],[Facility ID]]) * ([1]!hcahps[HCAHPS Measure ID] = "H_HSP_RATING_LINEAR_SCORE"), [1]!hcahps[HCAHPS Linear Mean Value]), "No Match")</f>
        <v>92</v>
      </c>
      <c r="F2363" cm="1">
        <f t="array" ref="F2363">_xlfn.IFNA(_xlfn.XLOOKUP(1,([1]!readmissions[Facility ID] = clean[[#This Row],[Facility ID]]) * ([1]!readmissions[Measure ID] = "Hybrid_HWR"), [1]!readmissions[Score]), "No Match")</f>
        <v>15.3</v>
      </c>
    </row>
    <row r="2364" spans="1:6" x14ac:dyDescent="0.2">
      <c r="A2364">
        <f>[1]!hospitalinfo[[#This Row],[Facility ID]]</f>
        <v>230047</v>
      </c>
      <c r="B2364" t="str">
        <f>[1]!hospitalinfo[[#This Row],[State]]</f>
        <v>MI</v>
      </c>
      <c r="C2364" t="str">
        <f>[1]!hospitalinfo[[#This Row],[Hospital Type]]</f>
        <v>Acute Care Hospitals</v>
      </c>
      <c r="D2364" t="str">
        <f>[1]!hospitalinfo[[#This Row],[Hospital Ownership]]</f>
        <v>Voluntary non-profit - Private</v>
      </c>
      <c r="E2364" cm="1">
        <f t="array" ref="E2364">_xlfn.IFNA(_xlfn.XLOOKUP(1,([1]!hcahps[Facility ID] = clean[[#This Row],[Facility ID]]) * ([1]!hcahps[HCAHPS Measure ID] = "H_HSP_RATING_LINEAR_SCORE"), [1]!hcahps[HCAHPS Linear Mean Value]), "No Match")</f>
        <v>86</v>
      </c>
      <c r="F2364" cm="1">
        <f t="array" ref="F2364">_xlfn.IFNA(_xlfn.XLOOKUP(1,([1]!readmissions[Facility ID] = clean[[#This Row],[Facility ID]]) * ([1]!readmissions[Measure ID] = "Hybrid_HWR"), [1]!readmissions[Score]), "No Match")</f>
        <v>14.5</v>
      </c>
    </row>
    <row r="2365" spans="1:6" x14ac:dyDescent="0.2">
      <c r="A2365">
        <f>[1]!hospitalinfo[[#This Row],[Facility ID]]</f>
        <v>230053</v>
      </c>
      <c r="B2365" t="str">
        <f>[1]!hospitalinfo[[#This Row],[State]]</f>
        <v>MI</v>
      </c>
      <c r="C2365" t="str">
        <f>[1]!hospitalinfo[[#This Row],[Hospital Type]]</f>
        <v>Acute Care Hospitals</v>
      </c>
      <c r="D2365" t="str">
        <f>[1]!hospitalinfo[[#This Row],[Hospital Ownership]]</f>
        <v>Voluntary non-profit - Private</v>
      </c>
      <c r="E2365" cm="1">
        <f t="array" ref="E2365">_xlfn.IFNA(_xlfn.XLOOKUP(1,([1]!hcahps[Facility ID] = clean[[#This Row],[Facility ID]]) * ([1]!hcahps[HCAHPS Measure ID] = "H_HSP_RATING_LINEAR_SCORE"), [1]!hcahps[HCAHPS Linear Mean Value]), "No Match")</f>
        <v>87</v>
      </c>
      <c r="F2365" cm="1">
        <f t="array" ref="F2365">_xlfn.IFNA(_xlfn.XLOOKUP(1,([1]!readmissions[Facility ID] = clean[[#This Row],[Facility ID]]) * ([1]!readmissions[Measure ID] = "Hybrid_HWR"), [1]!readmissions[Score]), "No Match")</f>
        <v>16.399999999999999</v>
      </c>
    </row>
    <row r="2366" spans="1:6" x14ac:dyDescent="0.2">
      <c r="A2366">
        <f>[1]!hospitalinfo[[#This Row],[Facility ID]]</f>
        <v>230054</v>
      </c>
      <c r="B2366" t="str">
        <f>[1]!hospitalinfo[[#This Row],[State]]</f>
        <v>MI</v>
      </c>
      <c r="C2366" t="str">
        <f>[1]!hospitalinfo[[#This Row],[Hospital Type]]</f>
        <v>Acute Care Hospitals</v>
      </c>
      <c r="D2366" t="str">
        <f>[1]!hospitalinfo[[#This Row],[Hospital Ownership]]</f>
        <v>Government - Local</v>
      </c>
      <c r="E2366" cm="1">
        <f t="array" ref="E2366">_xlfn.IFNA(_xlfn.XLOOKUP(1,([1]!hcahps[Facility ID] = clean[[#This Row],[Facility ID]]) * ([1]!hcahps[HCAHPS Measure ID] = "H_HSP_RATING_LINEAR_SCORE"), [1]!hcahps[HCAHPS Linear Mean Value]), "No Match")</f>
        <v>85</v>
      </c>
      <c r="F2366" cm="1">
        <f t="array" ref="F2366">_xlfn.IFNA(_xlfn.XLOOKUP(1,([1]!readmissions[Facility ID] = clean[[#This Row],[Facility ID]]) * ([1]!readmissions[Measure ID] = "Hybrid_HWR"), [1]!readmissions[Score]), "No Match")</f>
        <v>13.9</v>
      </c>
    </row>
    <row r="2367" spans="1:6" x14ac:dyDescent="0.2">
      <c r="A2367">
        <f>[1]!hospitalinfo[[#This Row],[Facility ID]]</f>
        <v>230055</v>
      </c>
      <c r="B2367" t="str">
        <f>[1]!hospitalinfo[[#This Row],[State]]</f>
        <v>MI</v>
      </c>
      <c r="C2367" t="str">
        <f>[1]!hospitalinfo[[#This Row],[Hospital Type]]</f>
        <v>Acute Care Hospitals</v>
      </c>
      <c r="D2367" t="str">
        <f>[1]!hospitalinfo[[#This Row],[Hospital Ownership]]</f>
        <v>Government - Local</v>
      </c>
      <c r="E2367" cm="1">
        <f t="array" ref="E2367">_xlfn.IFNA(_xlfn.XLOOKUP(1,([1]!hcahps[Facility ID] = clean[[#This Row],[Facility ID]]) * ([1]!hcahps[HCAHPS Measure ID] = "H_HSP_RATING_LINEAR_SCORE"), [1]!hcahps[HCAHPS Linear Mean Value]), "No Match")</f>
        <v>86</v>
      </c>
      <c r="F2367" cm="1">
        <f t="array" ref="F2367">_xlfn.IFNA(_xlfn.XLOOKUP(1,([1]!readmissions[Facility ID] = clean[[#This Row],[Facility ID]]) * ([1]!readmissions[Measure ID] = "Hybrid_HWR"), [1]!readmissions[Score]), "No Match")</f>
        <v>15.1</v>
      </c>
    </row>
    <row r="2368" spans="1:6" x14ac:dyDescent="0.2">
      <c r="A2368">
        <f>[1]!hospitalinfo[[#This Row],[Facility ID]]</f>
        <v>230058</v>
      </c>
      <c r="B2368" t="str">
        <f>[1]!hospitalinfo[[#This Row],[State]]</f>
        <v>MI</v>
      </c>
      <c r="C2368" t="str">
        <f>[1]!hospitalinfo[[#This Row],[Hospital Type]]</f>
        <v>Acute Care Hospitals</v>
      </c>
      <c r="D2368" t="str">
        <f>[1]!hospitalinfo[[#This Row],[Hospital Ownership]]</f>
        <v>Voluntary non-profit - Church</v>
      </c>
      <c r="E2368" cm="1">
        <f t="array" ref="E2368">_xlfn.IFNA(_xlfn.XLOOKUP(1,([1]!hcahps[Facility ID] = clean[[#This Row],[Facility ID]]) * ([1]!hcahps[HCAHPS Measure ID] = "H_HSP_RATING_LINEAR_SCORE"), [1]!hcahps[HCAHPS Linear Mean Value]), "No Match")</f>
        <v>88</v>
      </c>
      <c r="F2368" cm="1">
        <f t="array" ref="F2368">_xlfn.IFNA(_xlfn.XLOOKUP(1,([1]!readmissions[Facility ID] = clean[[#This Row],[Facility ID]]) * ([1]!readmissions[Measure ID] = "Hybrid_HWR"), [1]!readmissions[Score]), "No Match")</f>
        <v>14.5</v>
      </c>
    </row>
    <row r="2369" spans="1:6" x14ac:dyDescent="0.2">
      <c r="A2369">
        <f>[1]!hospitalinfo[[#This Row],[Facility ID]]</f>
        <v>230059</v>
      </c>
      <c r="B2369" t="str">
        <f>[1]!hospitalinfo[[#This Row],[State]]</f>
        <v>MI</v>
      </c>
      <c r="C2369" t="str">
        <f>[1]!hospitalinfo[[#This Row],[Hospital Type]]</f>
        <v>Acute Care Hospitals</v>
      </c>
      <c r="D2369" t="str">
        <f>[1]!hospitalinfo[[#This Row],[Hospital Ownership]]</f>
        <v>Voluntary non-profit - Church</v>
      </c>
      <c r="E2369" cm="1">
        <f t="array" ref="E2369">_xlfn.IFNA(_xlfn.XLOOKUP(1,([1]!hcahps[Facility ID] = clean[[#This Row],[Facility ID]]) * ([1]!hcahps[HCAHPS Measure ID] = "H_HSP_RATING_LINEAR_SCORE"), [1]!hcahps[HCAHPS Linear Mean Value]), "No Match")</f>
        <v>90</v>
      </c>
      <c r="F2369" cm="1">
        <f t="array" ref="F2369">_xlfn.IFNA(_xlfn.XLOOKUP(1,([1]!readmissions[Facility ID] = clean[[#This Row],[Facility ID]]) * ([1]!readmissions[Measure ID] = "Hybrid_HWR"), [1]!readmissions[Score]), "No Match")</f>
        <v>14.9</v>
      </c>
    </row>
    <row r="2370" spans="1:6" x14ac:dyDescent="0.2">
      <c r="A2370">
        <f>[1]!hospitalinfo[[#This Row],[Facility ID]]</f>
        <v>230066</v>
      </c>
      <c r="B2370" t="str">
        <f>[1]!hospitalinfo[[#This Row],[State]]</f>
        <v>MI</v>
      </c>
      <c r="C2370" t="str">
        <f>[1]!hospitalinfo[[#This Row],[Hospital Type]]</f>
        <v>Acute Care Hospitals</v>
      </c>
      <c r="D2370" t="str">
        <f>[1]!hospitalinfo[[#This Row],[Hospital Ownership]]</f>
        <v>Voluntary non-profit - Private</v>
      </c>
      <c r="E2370" cm="1">
        <f t="array" ref="E2370">_xlfn.IFNA(_xlfn.XLOOKUP(1,([1]!hcahps[Facility ID] = clean[[#This Row],[Facility ID]]) * ([1]!hcahps[HCAHPS Measure ID] = "H_HSP_RATING_LINEAR_SCORE"), [1]!hcahps[HCAHPS Linear Mean Value]), "No Match")</f>
        <v>84</v>
      </c>
      <c r="F2370" cm="1">
        <f t="array" ref="F2370">_xlfn.IFNA(_xlfn.XLOOKUP(1,([1]!readmissions[Facility ID] = clean[[#This Row],[Facility ID]]) * ([1]!readmissions[Measure ID] = "Hybrid_HWR"), [1]!readmissions[Score]), "No Match")</f>
        <v>12.9</v>
      </c>
    </row>
    <row r="2371" spans="1:6" x14ac:dyDescent="0.2">
      <c r="A2371">
        <f>[1]!hospitalinfo[[#This Row],[Facility ID]]</f>
        <v>230069</v>
      </c>
      <c r="B2371" t="str">
        <f>[1]!hospitalinfo[[#This Row],[State]]</f>
        <v>MI</v>
      </c>
      <c r="C2371" t="str">
        <f>[1]!hospitalinfo[[#This Row],[Hospital Type]]</f>
        <v>Acute Care Hospitals</v>
      </c>
      <c r="D2371" t="str">
        <f>[1]!hospitalinfo[[#This Row],[Hospital Ownership]]</f>
        <v>Voluntary non-profit - Other</v>
      </c>
      <c r="E2371" cm="1">
        <f t="array" ref="E2371">_xlfn.IFNA(_xlfn.XLOOKUP(1,([1]!hcahps[Facility ID] = clean[[#This Row],[Facility ID]]) * ([1]!hcahps[HCAHPS Measure ID] = "H_HSP_RATING_LINEAR_SCORE"), [1]!hcahps[HCAHPS Linear Mean Value]), "No Match")</f>
        <v>89</v>
      </c>
      <c r="F2371" cm="1">
        <f t="array" ref="F2371">_xlfn.IFNA(_xlfn.XLOOKUP(1,([1]!readmissions[Facility ID] = clean[[#This Row],[Facility ID]]) * ([1]!readmissions[Measure ID] = "Hybrid_HWR"), [1]!readmissions[Score]), "No Match")</f>
        <v>14.6</v>
      </c>
    </row>
    <row r="2372" spans="1:6" x14ac:dyDescent="0.2">
      <c r="A2372">
        <f>[1]!hospitalinfo[[#This Row],[Facility ID]]</f>
        <v>230070</v>
      </c>
      <c r="B2372" t="str">
        <f>[1]!hospitalinfo[[#This Row],[State]]</f>
        <v>MI</v>
      </c>
      <c r="C2372" t="str">
        <f>[1]!hospitalinfo[[#This Row],[Hospital Type]]</f>
        <v>Acute Care Hospitals</v>
      </c>
      <c r="D2372" t="str">
        <f>[1]!hospitalinfo[[#This Row],[Hospital Ownership]]</f>
        <v>Voluntary non-profit - Private</v>
      </c>
      <c r="E2372" cm="1">
        <f t="array" ref="E2372">_xlfn.IFNA(_xlfn.XLOOKUP(1,([1]!hcahps[Facility ID] = clean[[#This Row],[Facility ID]]) * ([1]!hcahps[HCAHPS Measure ID] = "H_HSP_RATING_LINEAR_SCORE"), [1]!hcahps[HCAHPS Linear Mean Value]), "No Match")</f>
        <v>88</v>
      </c>
      <c r="F2372" cm="1">
        <f t="array" ref="F2372">_xlfn.IFNA(_xlfn.XLOOKUP(1,([1]!readmissions[Facility ID] = clean[[#This Row],[Facility ID]]) * ([1]!readmissions[Measure ID] = "Hybrid_HWR"), [1]!readmissions[Score]), "No Match")</f>
        <v>15.8</v>
      </c>
    </row>
    <row r="2373" spans="1:6" x14ac:dyDescent="0.2">
      <c r="A2373">
        <f>[1]!hospitalinfo[[#This Row],[Facility ID]]</f>
        <v>230071</v>
      </c>
      <c r="B2373" t="str">
        <f>[1]!hospitalinfo[[#This Row],[State]]</f>
        <v>MI</v>
      </c>
      <c r="C2373" t="str">
        <f>[1]!hospitalinfo[[#This Row],[Hospital Type]]</f>
        <v>Acute Care Hospitals</v>
      </c>
      <c r="D2373" t="str">
        <f>[1]!hospitalinfo[[#This Row],[Hospital Ownership]]</f>
        <v>Voluntary non-profit - Private</v>
      </c>
      <c r="E2373" t="str" cm="1">
        <f t="array" ref="E2373">_xlfn.IFNA(_xlfn.XLOOKUP(1,([1]!hcahps[Facility ID] = clean[[#This Row],[Facility ID]]) * ([1]!hcahps[HCAHPS Measure ID] = "H_HSP_RATING_LINEAR_SCORE"), [1]!hcahps[HCAHPS Linear Mean Value]), "No Match")</f>
        <v>Not Available</v>
      </c>
      <c r="F2373" cm="1">
        <f t="array" ref="F2373">_xlfn.IFNA(_xlfn.XLOOKUP(1,([1]!readmissions[Facility ID] = clean[[#This Row],[Facility ID]]) * ([1]!readmissions[Measure ID] = "Hybrid_HWR"), [1]!readmissions[Score]), "No Match")</f>
        <v>18.5</v>
      </c>
    </row>
    <row r="2374" spans="1:6" x14ac:dyDescent="0.2">
      <c r="A2374">
        <f>[1]!hospitalinfo[[#This Row],[Facility ID]]</f>
        <v>230072</v>
      </c>
      <c r="B2374" t="str">
        <f>[1]!hospitalinfo[[#This Row],[State]]</f>
        <v>MI</v>
      </c>
      <c r="C2374" t="str">
        <f>[1]!hospitalinfo[[#This Row],[Hospital Type]]</f>
        <v>Acute Care Hospitals</v>
      </c>
      <c r="D2374" t="str">
        <f>[1]!hospitalinfo[[#This Row],[Hospital Ownership]]</f>
        <v>Voluntary non-profit - Private</v>
      </c>
      <c r="E2374" cm="1">
        <f t="array" ref="E2374">_xlfn.IFNA(_xlfn.XLOOKUP(1,([1]!hcahps[Facility ID] = clean[[#This Row],[Facility ID]]) * ([1]!hcahps[HCAHPS Measure ID] = "H_HSP_RATING_LINEAR_SCORE"), [1]!hcahps[HCAHPS Linear Mean Value]), "No Match")</f>
        <v>91</v>
      </c>
      <c r="F2374" cm="1">
        <f t="array" ref="F2374">_xlfn.IFNA(_xlfn.XLOOKUP(1,([1]!readmissions[Facility ID] = clean[[#This Row],[Facility ID]]) * ([1]!readmissions[Measure ID] = "Hybrid_HWR"), [1]!readmissions[Score]), "No Match")</f>
        <v>14</v>
      </c>
    </row>
    <row r="2375" spans="1:6" x14ac:dyDescent="0.2">
      <c r="A2375">
        <f>[1]!hospitalinfo[[#This Row],[Facility ID]]</f>
        <v>230075</v>
      </c>
      <c r="B2375" t="str">
        <f>[1]!hospitalinfo[[#This Row],[State]]</f>
        <v>MI</v>
      </c>
      <c r="C2375" t="str">
        <f>[1]!hospitalinfo[[#This Row],[Hospital Type]]</f>
        <v>Acute Care Hospitals</v>
      </c>
      <c r="D2375" t="str">
        <f>[1]!hospitalinfo[[#This Row],[Hospital Ownership]]</f>
        <v>Proprietary</v>
      </c>
      <c r="E2375" cm="1">
        <f t="array" ref="E2375">_xlfn.IFNA(_xlfn.XLOOKUP(1,([1]!hcahps[Facility ID] = clean[[#This Row],[Facility ID]]) * ([1]!hcahps[HCAHPS Measure ID] = "H_HSP_RATING_LINEAR_SCORE"), [1]!hcahps[HCAHPS Linear Mean Value]), "No Match")</f>
        <v>87</v>
      </c>
      <c r="F2375" cm="1">
        <f t="array" ref="F2375">_xlfn.IFNA(_xlfn.XLOOKUP(1,([1]!readmissions[Facility ID] = clean[[#This Row],[Facility ID]]) * ([1]!readmissions[Measure ID] = "Hybrid_HWR"), [1]!readmissions[Score]), "No Match")</f>
        <v>15.4</v>
      </c>
    </row>
    <row r="2376" spans="1:6" x14ac:dyDescent="0.2">
      <c r="A2376">
        <f>[1]!hospitalinfo[[#This Row],[Facility ID]]</f>
        <v>230077</v>
      </c>
      <c r="B2376" t="str">
        <f>[1]!hospitalinfo[[#This Row],[State]]</f>
        <v>MI</v>
      </c>
      <c r="C2376" t="str">
        <f>[1]!hospitalinfo[[#This Row],[Hospital Type]]</f>
        <v>Acute Care Hospitals</v>
      </c>
      <c r="D2376" t="str">
        <f>[1]!hospitalinfo[[#This Row],[Hospital Ownership]]</f>
        <v>Voluntary non-profit - Church</v>
      </c>
      <c r="E2376" cm="1">
        <f t="array" ref="E2376">_xlfn.IFNA(_xlfn.XLOOKUP(1,([1]!hcahps[Facility ID] = clean[[#This Row],[Facility ID]]) * ([1]!hcahps[HCAHPS Measure ID] = "H_HSP_RATING_LINEAR_SCORE"), [1]!hcahps[HCAHPS Linear Mean Value]), "No Match")</f>
        <v>86</v>
      </c>
      <c r="F2376" cm="1">
        <f t="array" ref="F2376">_xlfn.IFNA(_xlfn.XLOOKUP(1,([1]!readmissions[Facility ID] = clean[[#This Row],[Facility ID]]) * ([1]!readmissions[Measure ID] = "Hybrid_HWR"), [1]!readmissions[Score]), "No Match")</f>
        <v>15</v>
      </c>
    </row>
    <row r="2377" spans="1:6" x14ac:dyDescent="0.2">
      <c r="A2377">
        <f>[1]!hospitalinfo[[#This Row],[Facility ID]]</f>
        <v>230078</v>
      </c>
      <c r="B2377" t="str">
        <f>[1]!hospitalinfo[[#This Row],[State]]</f>
        <v>MI</v>
      </c>
      <c r="C2377" t="str">
        <f>[1]!hospitalinfo[[#This Row],[Hospital Type]]</f>
        <v>Acute Care Hospitals</v>
      </c>
      <c r="D2377" t="str">
        <f>[1]!hospitalinfo[[#This Row],[Hospital Ownership]]</f>
        <v>Voluntary non-profit - Private</v>
      </c>
      <c r="E2377" t="str" cm="1">
        <f t="array" ref="E2377">_xlfn.IFNA(_xlfn.XLOOKUP(1,([1]!hcahps[Facility ID] = clean[[#This Row],[Facility ID]]) * ([1]!hcahps[HCAHPS Measure ID] = "H_HSP_RATING_LINEAR_SCORE"), [1]!hcahps[HCAHPS Linear Mean Value]), "No Match")</f>
        <v>Not Available</v>
      </c>
      <c r="F2377" t="str" cm="1">
        <f t="array" ref="F2377">_xlfn.IFNA(_xlfn.XLOOKUP(1,([1]!readmissions[Facility ID] = clean[[#This Row],[Facility ID]]) * ([1]!readmissions[Measure ID] = "Hybrid_HWR"), [1]!readmissions[Score]), "No Match")</f>
        <v>Not Available</v>
      </c>
    </row>
    <row r="2378" spans="1:6" x14ac:dyDescent="0.2">
      <c r="A2378">
        <f>[1]!hospitalinfo[[#This Row],[Facility ID]]</f>
        <v>230080</v>
      </c>
      <c r="B2378" t="str">
        <f>[1]!hospitalinfo[[#This Row],[State]]</f>
        <v>MI</v>
      </c>
      <c r="C2378" t="str">
        <f>[1]!hospitalinfo[[#This Row],[Hospital Type]]</f>
        <v>Acute Care Hospitals</v>
      </c>
      <c r="D2378" t="str">
        <f>[1]!hospitalinfo[[#This Row],[Hospital Ownership]]</f>
        <v>Voluntary non-profit - Private</v>
      </c>
      <c r="E2378" cm="1">
        <f t="array" ref="E2378">_xlfn.IFNA(_xlfn.XLOOKUP(1,([1]!hcahps[Facility ID] = clean[[#This Row],[Facility ID]]) * ([1]!hcahps[HCAHPS Measure ID] = "H_HSP_RATING_LINEAR_SCORE"), [1]!hcahps[HCAHPS Linear Mean Value]), "No Match")</f>
        <v>88</v>
      </c>
      <c r="F2378" cm="1">
        <f t="array" ref="F2378">_xlfn.IFNA(_xlfn.XLOOKUP(1,([1]!readmissions[Facility ID] = clean[[#This Row],[Facility ID]]) * ([1]!readmissions[Measure ID] = "Hybrid_HWR"), [1]!readmissions[Score]), "No Match")</f>
        <v>15.1</v>
      </c>
    </row>
    <row r="2379" spans="1:6" x14ac:dyDescent="0.2">
      <c r="A2379">
        <f>[1]!hospitalinfo[[#This Row],[Facility ID]]</f>
        <v>230081</v>
      </c>
      <c r="B2379" t="str">
        <f>[1]!hospitalinfo[[#This Row],[State]]</f>
        <v>MI</v>
      </c>
      <c r="C2379" t="str">
        <f>[1]!hospitalinfo[[#This Row],[Hospital Type]]</f>
        <v>Acute Care Hospitals</v>
      </c>
      <c r="D2379" t="str">
        <f>[1]!hospitalinfo[[#This Row],[Hospital Ownership]]</f>
        <v>Voluntary non-profit - Church</v>
      </c>
      <c r="E2379" cm="1">
        <f t="array" ref="E2379">_xlfn.IFNA(_xlfn.XLOOKUP(1,([1]!hcahps[Facility ID] = clean[[#This Row],[Facility ID]]) * ([1]!hcahps[HCAHPS Measure ID] = "H_HSP_RATING_LINEAR_SCORE"), [1]!hcahps[HCAHPS Linear Mean Value]), "No Match")</f>
        <v>88</v>
      </c>
      <c r="F2379" cm="1">
        <f t="array" ref="F2379">_xlfn.IFNA(_xlfn.XLOOKUP(1,([1]!readmissions[Facility ID] = clean[[#This Row],[Facility ID]]) * ([1]!readmissions[Measure ID] = "Hybrid_HWR"), [1]!readmissions[Score]), "No Match")</f>
        <v>14.1</v>
      </c>
    </row>
    <row r="2380" spans="1:6" x14ac:dyDescent="0.2">
      <c r="A2380">
        <f>[1]!hospitalinfo[[#This Row],[Facility ID]]</f>
        <v>230085</v>
      </c>
      <c r="B2380" t="str">
        <f>[1]!hospitalinfo[[#This Row],[State]]</f>
        <v>MI</v>
      </c>
      <c r="C2380" t="str">
        <f>[1]!hospitalinfo[[#This Row],[Hospital Type]]</f>
        <v>Acute Care Hospitals</v>
      </c>
      <c r="D2380" t="str">
        <f>[1]!hospitalinfo[[#This Row],[Hospital Ownership]]</f>
        <v>Government - Hospital District or Authority</v>
      </c>
      <c r="E2380" t="str" cm="1">
        <f t="array" ref="E2380">_xlfn.IFNA(_xlfn.XLOOKUP(1,([1]!hcahps[Facility ID] = clean[[#This Row],[Facility ID]]) * ([1]!hcahps[HCAHPS Measure ID] = "H_HSP_RATING_LINEAR_SCORE"), [1]!hcahps[HCAHPS Linear Mean Value]), "No Match")</f>
        <v>Not Available</v>
      </c>
      <c r="F2380" cm="1">
        <f t="array" ref="F2380">_xlfn.IFNA(_xlfn.XLOOKUP(1,([1]!readmissions[Facility ID] = clean[[#This Row],[Facility ID]]) * ([1]!readmissions[Measure ID] = "Hybrid_HWR"), [1]!readmissions[Score]), "No Match")</f>
        <v>15.3</v>
      </c>
    </row>
    <row r="2381" spans="1:6" x14ac:dyDescent="0.2">
      <c r="A2381">
        <f>[1]!hospitalinfo[[#This Row],[Facility ID]]</f>
        <v>230089</v>
      </c>
      <c r="B2381" t="str">
        <f>[1]!hospitalinfo[[#This Row],[State]]</f>
        <v>MI</v>
      </c>
      <c r="C2381" t="str">
        <f>[1]!hospitalinfo[[#This Row],[Hospital Type]]</f>
        <v>Acute Care Hospitals</v>
      </c>
      <c r="D2381" t="str">
        <f>[1]!hospitalinfo[[#This Row],[Hospital Ownership]]</f>
        <v>Voluntary non-profit - Private</v>
      </c>
      <c r="E2381" cm="1">
        <f t="array" ref="E2381">_xlfn.IFNA(_xlfn.XLOOKUP(1,([1]!hcahps[Facility ID] = clean[[#This Row],[Facility ID]]) * ([1]!hcahps[HCAHPS Measure ID] = "H_HSP_RATING_LINEAR_SCORE"), [1]!hcahps[HCAHPS Linear Mean Value]), "No Match")</f>
        <v>86</v>
      </c>
      <c r="F2381" cm="1">
        <f t="array" ref="F2381">_xlfn.IFNA(_xlfn.XLOOKUP(1,([1]!readmissions[Facility ID] = clean[[#This Row],[Facility ID]]) * ([1]!readmissions[Measure ID] = "Hybrid_HWR"), [1]!readmissions[Score]), "No Match")</f>
        <v>13.8</v>
      </c>
    </row>
    <row r="2382" spans="1:6" x14ac:dyDescent="0.2">
      <c r="A2382">
        <f>[1]!hospitalinfo[[#This Row],[Facility ID]]</f>
        <v>230092</v>
      </c>
      <c r="B2382" t="str">
        <f>[1]!hospitalinfo[[#This Row],[State]]</f>
        <v>MI</v>
      </c>
      <c r="C2382" t="str">
        <f>[1]!hospitalinfo[[#This Row],[Hospital Type]]</f>
        <v>Acute Care Hospitals</v>
      </c>
      <c r="D2382" t="str">
        <f>[1]!hospitalinfo[[#This Row],[Hospital Ownership]]</f>
        <v>Voluntary non-profit - Other</v>
      </c>
      <c r="E2382" cm="1">
        <f t="array" ref="E2382">_xlfn.IFNA(_xlfn.XLOOKUP(1,([1]!hcahps[Facility ID] = clean[[#This Row],[Facility ID]]) * ([1]!hcahps[HCAHPS Measure ID] = "H_HSP_RATING_LINEAR_SCORE"), [1]!hcahps[HCAHPS Linear Mean Value]), "No Match")</f>
        <v>85</v>
      </c>
      <c r="F2382" cm="1">
        <f t="array" ref="F2382">_xlfn.IFNA(_xlfn.XLOOKUP(1,([1]!readmissions[Facility ID] = clean[[#This Row],[Facility ID]]) * ([1]!readmissions[Measure ID] = "Hybrid_HWR"), [1]!readmissions[Score]), "No Match")</f>
        <v>15.3</v>
      </c>
    </row>
    <row r="2383" spans="1:6" x14ac:dyDescent="0.2">
      <c r="A2383">
        <f>[1]!hospitalinfo[[#This Row],[Facility ID]]</f>
        <v>230093</v>
      </c>
      <c r="B2383" t="str">
        <f>[1]!hospitalinfo[[#This Row],[State]]</f>
        <v>MI</v>
      </c>
      <c r="C2383" t="str">
        <f>[1]!hospitalinfo[[#This Row],[Hospital Type]]</f>
        <v>Acute Care Hospitals</v>
      </c>
      <c r="D2383" t="str">
        <f>[1]!hospitalinfo[[#This Row],[Hospital Ownership]]</f>
        <v>Voluntary non-profit - Private</v>
      </c>
      <c r="E2383" cm="1">
        <f t="array" ref="E2383">_xlfn.IFNA(_xlfn.XLOOKUP(1,([1]!hcahps[Facility ID] = clean[[#This Row],[Facility ID]]) * ([1]!hcahps[HCAHPS Measure ID] = "H_HSP_RATING_LINEAR_SCORE"), [1]!hcahps[HCAHPS Linear Mean Value]), "No Match")</f>
        <v>88</v>
      </c>
      <c r="F2383" cm="1">
        <f t="array" ref="F2383">_xlfn.IFNA(_xlfn.XLOOKUP(1,([1]!readmissions[Facility ID] = clean[[#This Row],[Facility ID]]) * ([1]!readmissions[Measure ID] = "Hybrid_HWR"), [1]!readmissions[Score]), "No Match")</f>
        <v>14.9</v>
      </c>
    </row>
    <row r="2384" spans="1:6" x14ac:dyDescent="0.2">
      <c r="A2384">
        <f>[1]!hospitalinfo[[#This Row],[Facility ID]]</f>
        <v>230095</v>
      </c>
      <c r="B2384" t="str">
        <f>[1]!hospitalinfo[[#This Row],[State]]</f>
        <v>MI</v>
      </c>
      <c r="C2384" t="str">
        <f>[1]!hospitalinfo[[#This Row],[Hospital Type]]</f>
        <v>Acute Care Hospitals</v>
      </c>
      <c r="D2384" t="str">
        <f>[1]!hospitalinfo[[#This Row],[Hospital Ownership]]</f>
        <v>Government - Local</v>
      </c>
      <c r="E2384" cm="1">
        <f t="array" ref="E2384">_xlfn.IFNA(_xlfn.XLOOKUP(1,([1]!hcahps[Facility ID] = clean[[#This Row],[Facility ID]]) * ([1]!hcahps[HCAHPS Measure ID] = "H_HSP_RATING_LINEAR_SCORE"), [1]!hcahps[HCAHPS Linear Mean Value]), "No Match")</f>
        <v>92</v>
      </c>
      <c r="F2384" cm="1">
        <f t="array" ref="F2384">_xlfn.IFNA(_xlfn.XLOOKUP(1,([1]!readmissions[Facility ID] = clean[[#This Row],[Facility ID]]) * ([1]!readmissions[Measure ID] = "Hybrid_HWR"), [1]!readmissions[Score]), "No Match")</f>
        <v>14.9</v>
      </c>
    </row>
    <row r="2385" spans="1:6" x14ac:dyDescent="0.2">
      <c r="A2385">
        <f>[1]!hospitalinfo[[#This Row],[Facility ID]]</f>
        <v>230097</v>
      </c>
      <c r="B2385" t="str">
        <f>[1]!hospitalinfo[[#This Row],[State]]</f>
        <v>MI</v>
      </c>
      <c r="C2385" t="str">
        <f>[1]!hospitalinfo[[#This Row],[Hospital Type]]</f>
        <v>Acute Care Hospitals</v>
      </c>
      <c r="D2385" t="str">
        <f>[1]!hospitalinfo[[#This Row],[Hospital Ownership]]</f>
        <v>Voluntary non-profit - Other</v>
      </c>
      <c r="E2385" cm="1">
        <f t="array" ref="E2385">_xlfn.IFNA(_xlfn.XLOOKUP(1,([1]!hcahps[Facility ID] = clean[[#This Row],[Facility ID]]) * ([1]!hcahps[HCAHPS Measure ID] = "H_HSP_RATING_LINEAR_SCORE"), [1]!hcahps[HCAHPS Linear Mean Value]), "No Match")</f>
        <v>87</v>
      </c>
      <c r="F2385" cm="1">
        <f t="array" ref="F2385">_xlfn.IFNA(_xlfn.XLOOKUP(1,([1]!readmissions[Facility ID] = clean[[#This Row],[Facility ID]]) * ([1]!readmissions[Measure ID] = "Hybrid_HWR"), [1]!readmissions[Score]), "No Match")</f>
        <v>14.4</v>
      </c>
    </row>
    <row r="2386" spans="1:6" x14ac:dyDescent="0.2">
      <c r="A2386">
        <f>[1]!hospitalinfo[[#This Row],[Facility ID]]</f>
        <v>230099</v>
      </c>
      <c r="B2386" t="str">
        <f>[1]!hospitalinfo[[#This Row],[State]]</f>
        <v>MI</v>
      </c>
      <c r="C2386" t="str">
        <f>[1]!hospitalinfo[[#This Row],[Hospital Type]]</f>
        <v>Acute Care Hospitals</v>
      </c>
      <c r="D2386" t="str">
        <f>[1]!hospitalinfo[[#This Row],[Hospital Ownership]]</f>
        <v>Voluntary non-profit - Other</v>
      </c>
      <c r="E2386" cm="1">
        <f t="array" ref="E2386">_xlfn.IFNA(_xlfn.XLOOKUP(1,([1]!hcahps[Facility ID] = clean[[#This Row],[Facility ID]]) * ([1]!hcahps[HCAHPS Measure ID] = "H_HSP_RATING_LINEAR_SCORE"), [1]!hcahps[HCAHPS Linear Mean Value]), "No Match")</f>
        <v>84</v>
      </c>
      <c r="F2386" cm="1">
        <f t="array" ref="F2386">_xlfn.IFNA(_xlfn.XLOOKUP(1,([1]!readmissions[Facility ID] = clean[[#This Row],[Facility ID]]) * ([1]!readmissions[Measure ID] = "Hybrid_HWR"), [1]!readmissions[Score]), "No Match")</f>
        <v>16.7</v>
      </c>
    </row>
    <row r="2387" spans="1:6" x14ac:dyDescent="0.2">
      <c r="A2387">
        <f>[1]!hospitalinfo[[#This Row],[Facility ID]]</f>
        <v>230100</v>
      </c>
      <c r="B2387" t="str">
        <f>[1]!hospitalinfo[[#This Row],[State]]</f>
        <v>MI</v>
      </c>
      <c r="C2387" t="str">
        <f>[1]!hospitalinfo[[#This Row],[Hospital Type]]</f>
        <v>Acute Care Hospitals</v>
      </c>
      <c r="D2387" t="str">
        <f>[1]!hospitalinfo[[#This Row],[Hospital Ownership]]</f>
        <v>Government - Hospital District or Authority</v>
      </c>
      <c r="E2387" cm="1">
        <f t="array" ref="E2387">_xlfn.IFNA(_xlfn.XLOOKUP(1,([1]!hcahps[Facility ID] = clean[[#This Row],[Facility ID]]) * ([1]!hcahps[HCAHPS Measure ID] = "H_HSP_RATING_LINEAR_SCORE"), [1]!hcahps[HCAHPS Linear Mean Value]), "No Match")</f>
        <v>88</v>
      </c>
      <c r="F2387" cm="1">
        <f t="array" ref="F2387">_xlfn.IFNA(_xlfn.XLOOKUP(1,([1]!readmissions[Facility ID] = clean[[#This Row],[Facility ID]]) * ([1]!readmissions[Measure ID] = "Hybrid_HWR"), [1]!readmissions[Score]), "No Match")</f>
        <v>14.8</v>
      </c>
    </row>
    <row r="2388" spans="1:6" x14ac:dyDescent="0.2">
      <c r="A2388">
        <f>[1]!hospitalinfo[[#This Row],[Facility ID]]</f>
        <v>230104</v>
      </c>
      <c r="B2388" t="str">
        <f>[1]!hospitalinfo[[#This Row],[State]]</f>
        <v>MI</v>
      </c>
      <c r="C2388" t="str">
        <f>[1]!hospitalinfo[[#This Row],[Hospital Type]]</f>
        <v>Acute Care Hospitals</v>
      </c>
      <c r="D2388" t="str">
        <f>[1]!hospitalinfo[[#This Row],[Hospital Ownership]]</f>
        <v>Proprietary</v>
      </c>
      <c r="E2388" cm="1">
        <f t="array" ref="E2388">_xlfn.IFNA(_xlfn.XLOOKUP(1,([1]!hcahps[Facility ID] = clean[[#This Row],[Facility ID]]) * ([1]!hcahps[HCAHPS Measure ID] = "H_HSP_RATING_LINEAR_SCORE"), [1]!hcahps[HCAHPS Linear Mean Value]), "No Match")</f>
        <v>79</v>
      </c>
      <c r="F2388" cm="1">
        <f t="array" ref="F2388">_xlfn.IFNA(_xlfn.XLOOKUP(1,([1]!readmissions[Facility ID] = clean[[#This Row],[Facility ID]]) * ([1]!readmissions[Measure ID] = "Hybrid_HWR"), [1]!readmissions[Score]), "No Match")</f>
        <v>15.2</v>
      </c>
    </row>
    <row r="2389" spans="1:6" x14ac:dyDescent="0.2">
      <c r="A2389">
        <f>[1]!hospitalinfo[[#This Row],[Facility ID]]</f>
        <v>230105</v>
      </c>
      <c r="B2389" t="str">
        <f>[1]!hospitalinfo[[#This Row],[State]]</f>
        <v>MI</v>
      </c>
      <c r="C2389" t="str">
        <f>[1]!hospitalinfo[[#This Row],[Hospital Type]]</f>
        <v>Acute Care Hospitals</v>
      </c>
      <c r="D2389" t="str">
        <f>[1]!hospitalinfo[[#This Row],[Hospital Ownership]]</f>
        <v>Voluntary non-profit - Other</v>
      </c>
      <c r="E2389" cm="1">
        <f t="array" ref="E2389">_xlfn.IFNA(_xlfn.XLOOKUP(1,([1]!hcahps[Facility ID] = clean[[#This Row],[Facility ID]]) * ([1]!hcahps[HCAHPS Measure ID] = "H_HSP_RATING_LINEAR_SCORE"), [1]!hcahps[HCAHPS Linear Mean Value]), "No Match")</f>
        <v>85</v>
      </c>
      <c r="F2389" cm="1">
        <f t="array" ref="F2389">_xlfn.IFNA(_xlfn.XLOOKUP(1,([1]!readmissions[Facility ID] = clean[[#This Row],[Facility ID]]) * ([1]!readmissions[Measure ID] = "Hybrid_HWR"), [1]!readmissions[Score]), "No Match")</f>
        <v>14.8</v>
      </c>
    </row>
    <row r="2390" spans="1:6" x14ac:dyDescent="0.2">
      <c r="A2390">
        <f>[1]!hospitalinfo[[#This Row],[Facility ID]]</f>
        <v>230108</v>
      </c>
      <c r="B2390" t="str">
        <f>[1]!hospitalinfo[[#This Row],[State]]</f>
        <v>MI</v>
      </c>
      <c r="C2390" t="str">
        <f>[1]!hospitalinfo[[#This Row],[Hospital Type]]</f>
        <v>Acute Care Hospitals</v>
      </c>
      <c r="D2390" t="str">
        <f>[1]!hospitalinfo[[#This Row],[Hospital Ownership]]</f>
        <v>Voluntary non-profit - Other</v>
      </c>
      <c r="E2390" cm="1">
        <f t="array" ref="E2390">_xlfn.IFNA(_xlfn.XLOOKUP(1,([1]!hcahps[Facility ID] = clean[[#This Row],[Facility ID]]) * ([1]!hcahps[HCAHPS Measure ID] = "H_HSP_RATING_LINEAR_SCORE"), [1]!hcahps[HCAHPS Linear Mean Value]), "No Match")</f>
        <v>91</v>
      </c>
      <c r="F2390" cm="1">
        <f t="array" ref="F2390">_xlfn.IFNA(_xlfn.XLOOKUP(1,([1]!readmissions[Facility ID] = clean[[#This Row],[Facility ID]]) * ([1]!readmissions[Measure ID] = "Hybrid_HWR"), [1]!readmissions[Score]), "No Match")</f>
        <v>14.6</v>
      </c>
    </row>
    <row r="2391" spans="1:6" x14ac:dyDescent="0.2">
      <c r="A2391">
        <f>[1]!hospitalinfo[[#This Row],[Facility ID]]</f>
        <v>230110</v>
      </c>
      <c r="B2391" t="str">
        <f>[1]!hospitalinfo[[#This Row],[State]]</f>
        <v>MI</v>
      </c>
      <c r="C2391" t="str">
        <f>[1]!hospitalinfo[[#This Row],[Hospital Type]]</f>
        <v>Acute Care Hospitals</v>
      </c>
      <c r="D2391" t="str">
        <f>[1]!hospitalinfo[[#This Row],[Hospital Ownership]]</f>
        <v>Voluntary non-profit - Private</v>
      </c>
      <c r="E2391" cm="1">
        <f t="array" ref="E2391">_xlfn.IFNA(_xlfn.XLOOKUP(1,([1]!hcahps[Facility ID] = clean[[#This Row],[Facility ID]]) * ([1]!hcahps[HCAHPS Measure ID] = "H_HSP_RATING_LINEAR_SCORE"), [1]!hcahps[HCAHPS Linear Mean Value]), "No Match")</f>
        <v>90</v>
      </c>
      <c r="F2391" cm="1">
        <f t="array" ref="F2391">_xlfn.IFNA(_xlfn.XLOOKUP(1,([1]!readmissions[Facility ID] = clean[[#This Row],[Facility ID]]) * ([1]!readmissions[Measure ID] = "Hybrid_HWR"), [1]!readmissions[Score]), "No Match")</f>
        <v>13.9</v>
      </c>
    </row>
    <row r="2392" spans="1:6" x14ac:dyDescent="0.2">
      <c r="A2392">
        <f>[1]!hospitalinfo[[#This Row],[Facility ID]]</f>
        <v>230117</v>
      </c>
      <c r="B2392" t="str">
        <f>[1]!hospitalinfo[[#This Row],[State]]</f>
        <v>MI</v>
      </c>
      <c r="C2392" t="str">
        <f>[1]!hospitalinfo[[#This Row],[Hospital Type]]</f>
        <v>Acute Care Hospitals</v>
      </c>
      <c r="D2392" t="str">
        <f>[1]!hospitalinfo[[#This Row],[Hospital Ownership]]</f>
        <v>Voluntary non-profit - Other</v>
      </c>
      <c r="E2392" cm="1">
        <f t="array" ref="E2392">_xlfn.IFNA(_xlfn.XLOOKUP(1,([1]!hcahps[Facility ID] = clean[[#This Row],[Facility ID]]) * ([1]!hcahps[HCAHPS Measure ID] = "H_HSP_RATING_LINEAR_SCORE"), [1]!hcahps[HCAHPS Linear Mean Value]), "No Match")</f>
        <v>84</v>
      </c>
      <c r="F2392" cm="1">
        <f t="array" ref="F2392">_xlfn.IFNA(_xlfn.XLOOKUP(1,([1]!readmissions[Facility ID] = clean[[#This Row],[Facility ID]]) * ([1]!readmissions[Measure ID] = "Hybrid_HWR"), [1]!readmissions[Score]), "No Match")</f>
        <v>14.1</v>
      </c>
    </row>
    <row r="2393" spans="1:6" x14ac:dyDescent="0.2">
      <c r="A2393">
        <f>[1]!hospitalinfo[[#This Row],[Facility ID]]</f>
        <v>230121</v>
      </c>
      <c r="B2393" t="str">
        <f>[1]!hospitalinfo[[#This Row],[State]]</f>
        <v>MI</v>
      </c>
      <c r="C2393" t="str">
        <f>[1]!hospitalinfo[[#This Row],[Hospital Type]]</f>
        <v>Acute Care Hospitals</v>
      </c>
      <c r="D2393" t="str">
        <f>[1]!hospitalinfo[[#This Row],[Hospital Ownership]]</f>
        <v>Voluntary non-profit - Other</v>
      </c>
      <c r="E2393" cm="1">
        <f t="array" ref="E2393">_xlfn.IFNA(_xlfn.XLOOKUP(1,([1]!hcahps[Facility ID] = clean[[#This Row],[Facility ID]]) * ([1]!hcahps[HCAHPS Measure ID] = "H_HSP_RATING_LINEAR_SCORE"), [1]!hcahps[HCAHPS Linear Mean Value]), "No Match")</f>
        <v>87</v>
      </c>
      <c r="F2393" cm="1">
        <f t="array" ref="F2393">_xlfn.IFNA(_xlfn.XLOOKUP(1,([1]!readmissions[Facility ID] = clean[[#This Row],[Facility ID]]) * ([1]!readmissions[Measure ID] = "Hybrid_HWR"), [1]!readmissions[Score]), "No Match")</f>
        <v>14.9</v>
      </c>
    </row>
    <row r="2394" spans="1:6" x14ac:dyDescent="0.2">
      <c r="A2394">
        <f>[1]!hospitalinfo[[#This Row],[Facility ID]]</f>
        <v>230130</v>
      </c>
      <c r="B2394" t="str">
        <f>[1]!hospitalinfo[[#This Row],[State]]</f>
        <v>MI</v>
      </c>
      <c r="C2394" t="str">
        <f>[1]!hospitalinfo[[#This Row],[Hospital Type]]</f>
        <v>Acute Care Hospitals</v>
      </c>
      <c r="D2394" t="str">
        <f>[1]!hospitalinfo[[#This Row],[Hospital Ownership]]</f>
        <v>Voluntary non-profit - Private</v>
      </c>
      <c r="E2394" cm="1">
        <f t="array" ref="E2394">_xlfn.IFNA(_xlfn.XLOOKUP(1,([1]!hcahps[Facility ID] = clean[[#This Row],[Facility ID]]) * ([1]!hcahps[HCAHPS Measure ID] = "H_HSP_RATING_LINEAR_SCORE"), [1]!hcahps[HCAHPS Linear Mean Value]), "No Match")</f>
        <v>84</v>
      </c>
      <c r="F2394" cm="1">
        <f t="array" ref="F2394">_xlfn.IFNA(_xlfn.XLOOKUP(1,([1]!readmissions[Facility ID] = clean[[#This Row],[Facility ID]]) * ([1]!readmissions[Measure ID] = "Hybrid_HWR"), [1]!readmissions[Score]), "No Match")</f>
        <v>14.7</v>
      </c>
    </row>
    <row r="2395" spans="1:6" x14ac:dyDescent="0.2">
      <c r="A2395">
        <f>[1]!hospitalinfo[[#This Row],[Facility ID]]</f>
        <v>230132</v>
      </c>
      <c r="B2395" t="str">
        <f>[1]!hospitalinfo[[#This Row],[State]]</f>
        <v>MI</v>
      </c>
      <c r="C2395" t="str">
        <f>[1]!hospitalinfo[[#This Row],[Hospital Type]]</f>
        <v>Acute Care Hospitals</v>
      </c>
      <c r="D2395" t="str">
        <f>[1]!hospitalinfo[[#This Row],[Hospital Ownership]]</f>
        <v>Voluntary non-profit - Other</v>
      </c>
      <c r="E2395" cm="1">
        <f t="array" ref="E2395">_xlfn.IFNA(_xlfn.XLOOKUP(1,([1]!hcahps[Facility ID] = clean[[#This Row],[Facility ID]]) * ([1]!hcahps[HCAHPS Measure ID] = "H_HSP_RATING_LINEAR_SCORE"), [1]!hcahps[HCAHPS Linear Mean Value]), "No Match")</f>
        <v>84</v>
      </c>
      <c r="F2395" cm="1">
        <f t="array" ref="F2395">_xlfn.IFNA(_xlfn.XLOOKUP(1,([1]!readmissions[Facility ID] = clean[[#This Row],[Facility ID]]) * ([1]!readmissions[Measure ID] = "Hybrid_HWR"), [1]!readmissions[Score]), "No Match")</f>
        <v>15.6</v>
      </c>
    </row>
    <row r="2396" spans="1:6" x14ac:dyDescent="0.2">
      <c r="A2396">
        <f>[1]!hospitalinfo[[#This Row],[Facility ID]]</f>
        <v>230133</v>
      </c>
      <c r="B2396" t="str">
        <f>[1]!hospitalinfo[[#This Row],[State]]</f>
        <v>MI</v>
      </c>
      <c r="C2396" t="str">
        <f>[1]!hospitalinfo[[#This Row],[Hospital Type]]</f>
        <v>Acute Care Hospitals</v>
      </c>
      <c r="D2396" t="str">
        <f>[1]!hospitalinfo[[#This Row],[Hospital Ownership]]</f>
        <v>Voluntary non-profit - Private</v>
      </c>
      <c r="E2396" cm="1">
        <f t="array" ref="E2396">_xlfn.IFNA(_xlfn.XLOOKUP(1,([1]!hcahps[Facility ID] = clean[[#This Row],[Facility ID]]) * ([1]!hcahps[HCAHPS Measure ID] = "H_HSP_RATING_LINEAR_SCORE"), [1]!hcahps[HCAHPS Linear Mean Value]), "No Match")</f>
        <v>85</v>
      </c>
      <c r="F2396" cm="1">
        <f t="array" ref="F2396">_xlfn.IFNA(_xlfn.XLOOKUP(1,([1]!readmissions[Facility ID] = clean[[#This Row],[Facility ID]]) * ([1]!readmissions[Measure ID] = "Hybrid_HWR"), [1]!readmissions[Score]), "No Match")</f>
        <v>15</v>
      </c>
    </row>
    <row r="2397" spans="1:6" x14ac:dyDescent="0.2">
      <c r="A2397">
        <f>[1]!hospitalinfo[[#This Row],[Facility ID]]</f>
        <v>230141</v>
      </c>
      <c r="B2397" t="str">
        <f>[1]!hospitalinfo[[#This Row],[State]]</f>
        <v>MI</v>
      </c>
      <c r="C2397" t="str">
        <f>[1]!hospitalinfo[[#This Row],[Hospital Type]]</f>
        <v>Acute Care Hospitals</v>
      </c>
      <c r="D2397" t="str">
        <f>[1]!hospitalinfo[[#This Row],[Hospital Ownership]]</f>
        <v>Voluntary non-profit - Private</v>
      </c>
      <c r="E2397" cm="1">
        <f t="array" ref="E2397">_xlfn.IFNA(_xlfn.XLOOKUP(1,([1]!hcahps[Facility ID] = clean[[#This Row],[Facility ID]]) * ([1]!hcahps[HCAHPS Measure ID] = "H_HSP_RATING_LINEAR_SCORE"), [1]!hcahps[HCAHPS Linear Mean Value]), "No Match")</f>
        <v>84</v>
      </c>
      <c r="F2397" cm="1">
        <f t="array" ref="F2397">_xlfn.IFNA(_xlfn.XLOOKUP(1,([1]!readmissions[Facility ID] = clean[[#This Row],[Facility ID]]) * ([1]!readmissions[Measure ID] = "Hybrid_HWR"), [1]!readmissions[Score]), "No Match")</f>
        <v>16</v>
      </c>
    </row>
    <row r="2398" spans="1:6" x14ac:dyDescent="0.2">
      <c r="A2398">
        <f>[1]!hospitalinfo[[#This Row],[Facility ID]]</f>
        <v>230142</v>
      </c>
      <c r="B2398" t="str">
        <f>[1]!hospitalinfo[[#This Row],[State]]</f>
        <v>MI</v>
      </c>
      <c r="C2398" t="str">
        <f>[1]!hospitalinfo[[#This Row],[Hospital Type]]</f>
        <v>Acute Care Hospitals</v>
      </c>
      <c r="D2398" t="str">
        <f>[1]!hospitalinfo[[#This Row],[Hospital Ownership]]</f>
        <v>Voluntary non-profit - Private</v>
      </c>
      <c r="E2398" cm="1">
        <f t="array" ref="E2398">_xlfn.IFNA(_xlfn.XLOOKUP(1,([1]!hcahps[Facility ID] = clean[[#This Row],[Facility ID]]) * ([1]!hcahps[HCAHPS Measure ID] = "H_HSP_RATING_LINEAR_SCORE"), [1]!hcahps[HCAHPS Linear Mean Value]), "No Match")</f>
        <v>77</v>
      </c>
      <c r="F2398" cm="1">
        <f t="array" ref="F2398">_xlfn.IFNA(_xlfn.XLOOKUP(1,([1]!readmissions[Facility ID] = clean[[#This Row],[Facility ID]]) * ([1]!readmissions[Measure ID] = "Hybrid_HWR"), [1]!readmissions[Score]), "No Match")</f>
        <v>15.4</v>
      </c>
    </row>
    <row r="2399" spans="1:6" x14ac:dyDescent="0.2">
      <c r="A2399">
        <f>[1]!hospitalinfo[[#This Row],[Facility ID]]</f>
        <v>230144</v>
      </c>
      <c r="B2399" t="str">
        <f>[1]!hospitalinfo[[#This Row],[State]]</f>
        <v>MI</v>
      </c>
      <c r="C2399" t="str">
        <f>[1]!hospitalinfo[[#This Row],[Hospital Type]]</f>
        <v>Acute Care Hospitals</v>
      </c>
      <c r="D2399" t="str">
        <f>[1]!hospitalinfo[[#This Row],[Hospital Ownership]]</f>
        <v>Government - Hospital District or Authority</v>
      </c>
      <c r="E2399" t="str" cm="1">
        <f t="array" ref="E2399">_xlfn.IFNA(_xlfn.XLOOKUP(1,([1]!hcahps[Facility ID] = clean[[#This Row],[Facility ID]]) * ([1]!hcahps[HCAHPS Measure ID] = "H_HSP_RATING_LINEAR_SCORE"), [1]!hcahps[HCAHPS Linear Mean Value]), "No Match")</f>
        <v>Not Available</v>
      </c>
      <c r="F2399" t="str" cm="1">
        <f t="array" ref="F2399">_xlfn.IFNA(_xlfn.XLOOKUP(1,([1]!readmissions[Facility ID] = clean[[#This Row],[Facility ID]]) * ([1]!readmissions[Measure ID] = "Hybrid_HWR"), [1]!readmissions[Score]), "No Match")</f>
        <v>Not Available</v>
      </c>
    </row>
    <row r="2400" spans="1:6" x14ac:dyDescent="0.2">
      <c r="A2400">
        <f>[1]!hospitalinfo[[#This Row],[Facility ID]]</f>
        <v>230146</v>
      </c>
      <c r="B2400" t="str">
        <f>[1]!hospitalinfo[[#This Row],[State]]</f>
        <v>MI</v>
      </c>
      <c r="C2400" t="str">
        <f>[1]!hospitalinfo[[#This Row],[Hospital Type]]</f>
        <v>Acute Care Hospitals</v>
      </c>
      <c r="D2400" t="str">
        <f>[1]!hospitalinfo[[#This Row],[Hospital Ownership]]</f>
        <v>Voluntary non-profit - Private</v>
      </c>
      <c r="E2400" cm="1">
        <f t="array" ref="E2400">_xlfn.IFNA(_xlfn.XLOOKUP(1,([1]!hcahps[Facility ID] = clean[[#This Row],[Facility ID]]) * ([1]!hcahps[HCAHPS Measure ID] = "H_HSP_RATING_LINEAR_SCORE"), [1]!hcahps[HCAHPS Linear Mean Value]), "No Match")</f>
        <v>85</v>
      </c>
      <c r="F2400" cm="1">
        <f t="array" ref="F2400">_xlfn.IFNA(_xlfn.XLOOKUP(1,([1]!readmissions[Facility ID] = clean[[#This Row],[Facility ID]]) * ([1]!readmissions[Measure ID] = "Hybrid_HWR"), [1]!readmissions[Score]), "No Match")</f>
        <v>15.5</v>
      </c>
    </row>
    <row r="2401" spans="1:6" x14ac:dyDescent="0.2">
      <c r="A2401">
        <f>[1]!hospitalinfo[[#This Row],[Facility ID]]</f>
        <v>230151</v>
      </c>
      <c r="B2401" t="str">
        <f>[1]!hospitalinfo[[#This Row],[State]]</f>
        <v>MI</v>
      </c>
      <c r="C2401" t="str">
        <f>[1]!hospitalinfo[[#This Row],[Hospital Type]]</f>
        <v>Acute Care Hospitals</v>
      </c>
      <c r="D2401" t="str">
        <f>[1]!hospitalinfo[[#This Row],[Hospital Ownership]]</f>
        <v>Voluntary non-profit - Private</v>
      </c>
      <c r="E2401" cm="1">
        <f t="array" ref="E2401">_xlfn.IFNA(_xlfn.XLOOKUP(1,([1]!hcahps[Facility ID] = clean[[#This Row],[Facility ID]]) * ([1]!hcahps[HCAHPS Measure ID] = "H_HSP_RATING_LINEAR_SCORE"), [1]!hcahps[HCAHPS Linear Mean Value]), "No Match")</f>
        <v>79</v>
      </c>
      <c r="F2401" cm="1">
        <f t="array" ref="F2401">_xlfn.IFNA(_xlfn.XLOOKUP(1,([1]!readmissions[Facility ID] = clean[[#This Row],[Facility ID]]) * ([1]!readmissions[Measure ID] = "Hybrid_HWR"), [1]!readmissions[Score]), "No Match")</f>
        <v>14.6</v>
      </c>
    </row>
    <row r="2402" spans="1:6" x14ac:dyDescent="0.2">
      <c r="A2402">
        <f>[1]!hospitalinfo[[#This Row],[Facility ID]]</f>
        <v>230156</v>
      </c>
      <c r="B2402" t="str">
        <f>[1]!hospitalinfo[[#This Row],[State]]</f>
        <v>MI</v>
      </c>
      <c r="C2402" t="str">
        <f>[1]!hospitalinfo[[#This Row],[Hospital Type]]</f>
        <v>Acute Care Hospitals</v>
      </c>
      <c r="D2402" t="str">
        <f>[1]!hospitalinfo[[#This Row],[Hospital Ownership]]</f>
        <v>Voluntary non-profit - Church</v>
      </c>
      <c r="E2402" cm="1">
        <f t="array" ref="E2402">_xlfn.IFNA(_xlfn.XLOOKUP(1,([1]!hcahps[Facility ID] = clean[[#This Row],[Facility ID]]) * ([1]!hcahps[HCAHPS Measure ID] = "H_HSP_RATING_LINEAR_SCORE"), [1]!hcahps[HCAHPS Linear Mean Value]), "No Match")</f>
        <v>89</v>
      </c>
      <c r="F2402" cm="1">
        <f t="array" ref="F2402">_xlfn.IFNA(_xlfn.XLOOKUP(1,([1]!readmissions[Facility ID] = clean[[#This Row],[Facility ID]]) * ([1]!readmissions[Measure ID] = "Hybrid_HWR"), [1]!readmissions[Score]), "No Match")</f>
        <v>15.5</v>
      </c>
    </row>
    <row r="2403" spans="1:6" x14ac:dyDescent="0.2">
      <c r="A2403">
        <f>[1]!hospitalinfo[[#This Row],[Facility ID]]</f>
        <v>230165</v>
      </c>
      <c r="B2403" t="str">
        <f>[1]!hospitalinfo[[#This Row],[State]]</f>
        <v>MI</v>
      </c>
      <c r="C2403" t="str">
        <f>[1]!hospitalinfo[[#This Row],[Hospital Type]]</f>
        <v>Acute Care Hospitals</v>
      </c>
      <c r="D2403" t="str">
        <f>[1]!hospitalinfo[[#This Row],[Hospital Ownership]]</f>
        <v>Voluntary non-profit - Church</v>
      </c>
      <c r="E2403" cm="1">
        <f t="array" ref="E2403">_xlfn.IFNA(_xlfn.XLOOKUP(1,([1]!hcahps[Facility ID] = clean[[#This Row],[Facility ID]]) * ([1]!hcahps[HCAHPS Measure ID] = "H_HSP_RATING_LINEAR_SCORE"), [1]!hcahps[HCAHPS Linear Mean Value]), "No Match")</f>
        <v>81</v>
      </c>
      <c r="F2403" cm="1">
        <f t="array" ref="F2403">_xlfn.IFNA(_xlfn.XLOOKUP(1,([1]!readmissions[Facility ID] = clean[[#This Row],[Facility ID]]) * ([1]!readmissions[Measure ID] = "Hybrid_HWR"), [1]!readmissions[Score]), "No Match")</f>
        <v>15.3</v>
      </c>
    </row>
    <row r="2404" spans="1:6" x14ac:dyDescent="0.2">
      <c r="A2404">
        <f>[1]!hospitalinfo[[#This Row],[Facility ID]]</f>
        <v>230167</v>
      </c>
      <c r="B2404" t="str">
        <f>[1]!hospitalinfo[[#This Row],[State]]</f>
        <v>MI</v>
      </c>
      <c r="C2404" t="str">
        <f>[1]!hospitalinfo[[#This Row],[Hospital Type]]</f>
        <v>Acute Care Hospitals</v>
      </c>
      <c r="D2404" t="str">
        <f>[1]!hospitalinfo[[#This Row],[Hospital Ownership]]</f>
        <v>Voluntary non-profit - Private</v>
      </c>
      <c r="E2404" cm="1">
        <f t="array" ref="E2404">_xlfn.IFNA(_xlfn.XLOOKUP(1,([1]!hcahps[Facility ID] = clean[[#This Row],[Facility ID]]) * ([1]!hcahps[HCAHPS Measure ID] = "H_HSP_RATING_LINEAR_SCORE"), [1]!hcahps[HCAHPS Linear Mean Value]), "No Match")</f>
        <v>87</v>
      </c>
      <c r="F2404" cm="1">
        <f t="array" ref="F2404">_xlfn.IFNA(_xlfn.XLOOKUP(1,([1]!readmissions[Facility ID] = clean[[#This Row],[Facility ID]]) * ([1]!readmissions[Measure ID] = "Hybrid_HWR"), [1]!readmissions[Score]), "No Match")</f>
        <v>14.7</v>
      </c>
    </row>
    <row r="2405" spans="1:6" x14ac:dyDescent="0.2">
      <c r="A2405">
        <f>[1]!hospitalinfo[[#This Row],[Facility ID]]</f>
        <v>230174</v>
      </c>
      <c r="B2405" t="str">
        <f>[1]!hospitalinfo[[#This Row],[State]]</f>
        <v>MI</v>
      </c>
      <c r="C2405" t="str">
        <f>[1]!hospitalinfo[[#This Row],[Hospital Type]]</f>
        <v>Acute Care Hospitals</v>
      </c>
      <c r="D2405" t="str">
        <f>[1]!hospitalinfo[[#This Row],[Hospital Ownership]]</f>
        <v>Government - Hospital District or Authority</v>
      </c>
      <c r="E2405" cm="1">
        <f t="array" ref="E2405">_xlfn.IFNA(_xlfn.XLOOKUP(1,([1]!hcahps[Facility ID] = clean[[#This Row],[Facility ID]]) * ([1]!hcahps[HCAHPS Measure ID] = "H_HSP_RATING_LINEAR_SCORE"), [1]!hcahps[HCAHPS Linear Mean Value]), "No Match")</f>
        <v>88</v>
      </c>
      <c r="F2405" cm="1">
        <f t="array" ref="F2405">_xlfn.IFNA(_xlfn.XLOOKUP(1,([1]!readmissions[Facility ID] = clean[[#This Row],[Facility ID]]) * ([1]!readmissions[Measure ID] = "Hybrid_HWR"), [1]!readmissions[Score]), "No Match")</f>
        <v>14.9</v>
      </c>
    </row>
    <row r="2406" spans="1:6" x14ac:dyDescent="0.2">
      <c r="A2406">
        <f>[1]!hospitalinfo[[#This Row],[Facility ID]]</f>
        <v>230176</v>
      </c>
      <c r="B2406" t="str">
        <f>[1]!hospitalinfo[[#This Row],[State]]</f>
        <v>MI</v>
      </c>
      <c r="C2406" t="str">
        <f>[1]!hospitalinfo[[#This Row],[Hospital Type]]</f>
        <v>Acute Care Hospitals</v>
      </c>
      <c r="D2406" t="str">
        <f>[1]!hospitalinfo[[#This Row],[Hospital Ownership]]</f>
        <v>Voluntary non-profit - Private</v>
      </c>
      <c r="E2406" cm="1">
        <f t="array" ref="E2406">_xlfn.IFNA(_xlfn.XLOOKUP(1,([1]!hcahps[Facility ID] = clean[[#This Row],[Facility ID]]) * ([1]!hcahps[HCAHPS Measure ID] = "H_HSP_RATING_LINEAR_SCORE"), [1]!hcahps[HCAHPS Linear Mean Value]), "No Match")</f>
        <v>87</v>
      </c>
      <c r="F2406" cm="1">
        <f t="array" ref="F2406">_xlfn.IFNA(_xlfn.XLOOKUP(1,([1]!readmissions[Facility ID] = clean[[#This Row],[Facility ID]]) * ([1]!readmissions[Measure ID] = "Hybrid_HWR"), [1]!readmissions[Score]), "No Match")</f>
        <v>15.6</v>
      </c>
    </row>
    <row r="2407" spans="1:6" x14ac:dyDescent="0.2">
      <c r="A2407">
        <f>[1]!hospitalinfo[[#This Row],[Facility ID]]</f>
        <v>230180</v>
      </c>
      <c r="B2407" t="str">
        <f>[1]!hospitalinfo[[#This Row],[State]]</f>
        <v>MI</v>
      </c>
      <c r="C2407" t="str">
        <f>[1]!hospitalinfo[[#This Row],[Hospital Type]]</f>
        <v>Acute Care Hospitals</v>
      </c>
      <c r="D2407" t="str">
        <f>[1]!hospitalinfo[[#This Row],[Hospital Ownership]]</f>
        <v>Voluntary non-profit - Other</v>
      </c>
      <c r="E2407" cm="1">
        <f t="array" ref="E2407">_xlfn.IFNA(_xlfn.XLOOKUP(1,([1]!hcahps[Facility ID] = clean[[#This Row],[Facility ID]]) * ([1]!hcahps[HCAHPS Measure ID] = "H_HSP_RATING_LINEAR_SCORE"), [1]!hcahps[HCAHPS Linear Mean Value]), "No Match")</f>
        <v>90</v>
      </c>
      <c r="F2407" cm="1">
        <f t="array" ref="F2407">_xlfn.IFNA(_xlfn.XLOOKUP(1,([1]!readmissions[Facility ID] = clean[[#This Row],[Facility ID]]) * ([1]!readmissions[Measure ID] = "Hybrid_HWR"), [1]!readmissions[Score]), "No Match")</f>
        <v>15.8</v>
      </c>
    </row>
    <row r="2408" spans="1:6" x14ac:dyDescent="0.2">
      <c r="A2408">
        <f>[1]!hospitalinfo[[#This Row],[Facility ID]]</f>
        <v>230193</v>
      </c>
      <c r="B2408" t="str">
        <f>[1]!hospitalinfo[[#This Row],[State]]</f>
        <v>MI</v>
      </c>
      <c r="C2408" t="str">
        <f>[1]!hospitalinfo[[#This Row],[Hospital Type]]</f>
        <v>Acute Care Hospitals</v>
      </c>
      <c r="D2408" t="str">
        <f>[1]!hospitalinfo[[#This Row],[Hospital Ownership]]</f>
        <v>Voluntary non-profit - Private</v>
      </c>
      <c r="E2408" cm="1">
        <f t="array" ref="E2408">_xlfn.IFNA(_xlfn.XLOOKUP(1,([1]!hcahps[Facility ID] = clean[[#This Row],[Facility ID]]) * ([1]!hcahps[HCAHPS Measure ID] = "H_HSP_RATING_LINEAR_SCORE"), [1]!hcahps[HCAHPS Linear Mean Value]), "No Match")</f>
        <v>80</v>
      </c>
      <c r="F2408" cm="1">
        <f t="array" ref="F2408">_xlfn.IFNA(_xlfn.XLOOKUP(1,([1]!readmissions[Facility ID] = clean[[#This Row],[Facility ID]]) * ([1]!readmissions[Measure ID] = "Hybrid_HWR"), [1]!readmissions[Score]), "No Match")</f>
        <v>14.6</v>
      </c>
    </row>
    <row r="2409" spans="1:6" x14ac:dyDescent="0.2">
      <c r="A2409">
        <f>[1]!hospitalinfo[[#This Row],[Facility ID]]</f>
        <v>230195</v>
      </c>
      <c r="B2409" t="str">
        <f>[1]!hospitalinfo[[#This Row],[State]]</f>
        <v>MI</v>
      </c>
      <c r="C2409" t="str">
        <f>[1]!hospitalinfo[[#This Row],[Hospital Type]]</f>
        <v>Acute Care Hospitals</v>
      </c>
      <c r="D2409" t="str">
        <f>[1]!hospitalinfo[[#This Row],[Hospital Ownership]]</f>
        <v>Voluntary non-profit - Private</v>
      </c>
      <c r="E2409" cm="1">
        <f t="array" ref="E2409">_xlfn.IFNA(_xlfn.XLOOKUP(1,([1]!hcahps[Facility ID] = clean[[#This Row],[Facility ID]]) * ([1]!hcahps[HCAHPS Measure ID] = "H_HSP_RATING_LINEAR_SCORE"), [1]!hcahps[HCAHPS Linear Mean Value]), "No Match")</f>
        <v>79</v>
      </c>
      <c r="F2409" cm="1">
        <f t="array" ref="F2409">_xlfn.IFNA(_xlfn.XLOOKUP(1,([1]!readmissions[Facility ID] = clean[[#This Row],[Facility ID]]) * ([1]!readmissions[Measure ID] = "Hybrid_HWR"), [1]!readmissions[Score]), "No Match")</f>
        <v>15.1</v>
      </c>
    </row>
    <row r="2410" spans="1:6" x14ac:dyDescent="0.2">
      <c r="A2410">
        <f>[1]!hospitalinfo[[#This Row],[Facility ID]]</f>
        <v>230197</v>
      </c>
      <c r="B2410" t="str">
        <f>[1]!hospitalinfo[[#This Row],[State]]</f>
        <v>MI</v>
      </c>
      <c r="C2410" t="str">
        <f>[1]!hospitalinfo[[#This Row],[Hospital Type]]</f>
        <v>Acute Care Hospitals</v>
      </c>
      <c r="D2410" t="str">
        <f>[1]!hospitalinfo[[#This Row],[Hospital Ownership]]</f>
        <v>Voluntary non-profit - Church</v>
      </c>
      <c r="E2410" cm="1">
        <f t="array" ref="E2410">_xlfn.IFNA(_xlfn.XLOOKUP(1,([1]!hcahps[Facility ID] = clean[[#This Row],[Facility ID]]) * ([1]!hcahps[HCAHPS Measure ID] = "H_HSP_RATING_LINEAR_SCORE"), [1]!hcahps[HCAHPS Linear Mean Value]), "No Match")</f>
        <v>83</v>
      </c>
      <c r="F2410" cm="1">
        <f t="array" ref="F2410">_xlfn.IFNA(_xlfn.XLOOKUP(1,([1]!readmissions[Facility ID] = clean[[#This Row],[Facility ID]]) * ([1]!readmissions[Measure ID] = "Hybrid_HWR"), [1]!readmissions[Score]), "No Match")</f>
        <v>15.2</v>
      </c>
    </row>
    <row r="2411" spans="1:6" x14ac:dyDescent="0.2">
      <c r="A2411">
        <f>[1]!hospitalinfo[[#This Row],[Facility ID]]</f>
        <v>230207</v>
      </c>
      <c r="B2411" t="str">
        <f>[1]!hospitalinfo[[#This Row],[State]]</f>
        <v>MI</v>
      </c>
      <c r="C2411" t="str">
        <f>[1]!hospitalinfo[[#This Row],[Hospital Type]]</f>
        <v>Acute Care Hospitals</v>
      </c>
      <c r="D2411" t="str">
        <f>[1]!hospitalinfo[[#This Row],[Hospital Ownership]]</f>
        <v>Voluntary non-profit - Private</v>
      </c>
      <c r="E2411" cm="1">
        <f t="array" ref="E2411">_xlfn.IFNA(_xlfn.XLOOKUP(1,([1]!hcahps[Facility ID] = clean[[#This Row],[Facility ID]]) * ([1]!hcahps[HCAHPS Measure ID] = "H_HSP_RATING_LINEAR_SCORE"), [1]!hcahps[HCAHPS Linear Mean Value]), "No Match")</f>
        <v>78</v>
      </c>
      <c r="F2411" cm="1">
        <f t="array" ref="F2411">_xlfn.IFNA(_xlfn.XLOOKUP(1,([1]!readmissions[Facility ID] = clean[[#This Row],[Facility ID]]) * ([1]!readmissions[Measure ID] = "Hybrid_HWR"), [1]!readmissions[Score]), "No Match")</f>
        <v>15.2</v>
      </c>
    </row>
    <row r="2412" spans="1:6" x14ac:dyDescent="0.2">
      <c r="A2412">
        <f>[1]!hospitalinfo[[#This Row],[Facility ID]]</f>
        <v>230208</v>
      </c>
      <c r="B2412" t="str">
        <f>[1]!hospitalinfo[[#This Row],[State]]</f>
        <v>MI</v>
      </c>
      <c r="C2412" t="str">
        <f>[1]!hospitalinfo[[#This Row],[Hospital Type]]</f>
        <v>Acute Care Hospitals</v>
      </c>
      <c r="D2412" t="str">
        <f>[1]!hospitalinfo[[#This Row],[Hospital Ownership]]</f>
        <v>Voluntary non-profit - Other</v>
      </c>
      <c r="E2412" cm="1">
        <f t="array" ref="E2412">_xlfn.IFNA(_xlfn.XLOOKUP(1,([1]!hcahps[Facility ID] = clean[[#This Row],[Facility ID]]) * ([1]!hcahps[HCAHPS Measure ID] = "H_HSP_RATING_LINEAR_SCORE"), [1]!hcahps[HCAHPS Linear Mean Value]), "No Match")</f>
        <v>95</v>
      </c>
      <c r="F2412" cm="1">
        <f t="array" ref="F2412">_xlfn.IFNA(_xlfn.XLOOKUP(1,([1]!readmissions[Facility ID] = clean[[#This Row],[Facility ID]]) * ([1]!readmissions[Measure ID] = "Hybrid_HWR"), [1]!readmissions[Score]), "No Match")</f>
        <v>15.2</v>
      </c>
    </row>
    <row r="2413" spans="1:6" x14ac:dyDescent="0.2">
      <c r="A2413">
        <f>[1]!hospitalinfo[[#This Row],[Facility ID]]</f>
        <v>230216</v>
      </c>
      <c r="B2413" t="str">
        <f>[1]!hospitalinfo[[#This Row],[State]]</f>
        <v>MI</v>
      </c>
      <c r="C2413" t="str">
        <f>[1]!hospitalinfo[[#This Row],[Hospital Type]]</f>
        <v>Acute Care Hospitals</v>
      </c>
      <c r="D2413" t="str">
        <f>[1]!hospitalinfo[[#This Row],[Hospital Ownership]]</f>
        <v>Voluntary non-profit - Private</v>
      </c>
      <c r="E2413" cm="1">
        <f t="array" ref="E2413">_xlfn.IFNA(_xlfn.XLOOKUP(1,([1]!hcahps[Facility ID] = clean[[#This Row],[Facility ID]]) * ([1]!hcahps[HCAHPS Measure ID] = "H_HSP_RATING_LINEAR_SCORE"), [1]!hcahps[HCAHPS Linear Mean Value]), "No Match")</f>
        <v>87</v>
      </c>
      <c r="F2413" cm="1">
        <f t="array" ref="F2413">_xlfn.IFNA(_xlfn.XLOOKUP(1,([1]!readmissions[Facility ID] = clean[[#This Row],[Facility ID]]) * ([1]!readmissions[Measure ID] = "Hybrid_HWR"), [1]!readmissions[Score]), "No Match")</f>
        <v>15.2</v>
      </c>
    </row>
    <row r="2414" spans="1:6" x14ac:dyDescent="0.2">
      <c r="A2414">
        <f>[1]!hospitalinfo[[#This Row],[Facility ID]]</f>
        <v>230217</v>
      </c>
      <c r="B2414" t="str">
        <f>[1]!hospitalinfo[[#This Row],[State]]</f>
        <v>MI</v>
      </c>
      <c r="C2414" t="str">
        <f>[1]!hospitalinfo[[#This Row],[Hospital Type]]</f>
        <v>Acute Care Hospitals</v>
      </c>
      <c r="D2414" t="str">
        <f>[1]!hospitalinfo[[#This Row],[Hospital Ownership]]</f>
        <v>Voluntary non-profit - Other</v>
      </c>
      <c r="E2414" cm="1">
        <f t="array" ref="E2414">_xlfn.IFNA(_xlfn.XLOOKUP(1,([1]!hcahps[Facility ID] = clean[[#This Row],[Facility ID]]) * ([1]!hcahps[HCAHPS Measure ID] = "H_HSP_RATING_LINEAR_SCORE"), [1]!hcahps[HCAHPS Linear Mean Value]), "No Match")</f>
        <v>90</v>
      </c>
      <c r="F2414" cm="1">
        <f t="array" ref="F2414">_xlfn.IFNA(_xlfn.XLOOKUP(1,([1]!readmissions[Facility ID] = clean[[#This Row],[Facility ID]]) * ([1]!readmissions[Measure ID] = "Hybrid_HWR"), [1]!readmissions[Score]), "No Match")</f>
        <v>14.1</v>
      </c>
    </row>
    <row r="2415" spans="1:6" x14ac:dyDescent="0.2">
      <c r="A2415">
        <f>[1]!hospitalinfo[[#This Row],[Facility ID]]</f>
        <v>230222</v>
      </c>
      <c r="B2415" t="str">
        <f>[1]!hospitalinfo[[#This Row],[State]]</f>
        <v>MI</v>
      </c>
      <c r="C2415" t="str">
        <f>[1]!hospitalinfo[[#This Row],[Hospital Type]]</f>
        <v>Acute Care Hospitals</v>
      </c>
      <c r="D2415" t="str">
        <f>[1]!hospitalinfo[[#This Row],[Hospital Ownership]]</f>
        <v>Voluntary non-profit - Other</v>
      </c>
      <c r="E2415" cm="1">
        <f t="array" ref="E2415">_xlfn.IFNA(_xlfn.XLOOKUP(1,([1]!hcahps[Facility ID] = clean[[#This Row],[Facility ID]]) * ([1]!hcahps[HCAHPS Measure ID] = "H_HSP_RATING_LINEAR_SCORE"), [1]!hcahps[HCAHPS Linear Mean Value]), "No Match")</f>
        <v>91</v>
      </c>
      <c r="F2415" cm="1">
        <f t="array" ref="F2415">_xlfn.IFNA(_xlfn.XLOOKUP(1,([1]!readmissions[Facility ID] = clean[[#This Row],[Facility ID]]) * ([1]!readmissions[Measure ID] = "Hybrid_HWR"), [1]!readmissions[Score]), "No Match")</f>
        <v>14.9</v>
      </c>
    </row>
    <row r="2416" spans="1:6" x14ac:dyDescent="0.2">
      <c r="A2416">
        <f>[1]!hospitalinfo[[#This Row],[Facility ID]]</f>
        <v>230227</v>
      </c>
      <c r="B2416" t="str">
        <f>[1]!hospitalinfo[[#This Row],[State]]</f>
        <v>MI</v>
      </c>
      <c r="C2416" t="str">
        <f>[1]!hospitalinfo[[#This Row],[Hospital Type]]</f>
        <v>Acute Care Hospitals</v>
      </c>
      <c r="D2416" t="str">
        <f>[1]!hospitalinfo[[#This Row],[Hospital Ownership]]</f>
        <v>Voluntary non-profit - Private</v>
      </c>
      <c r="E2416" cm="1">
        <f t="array" ref="E2416">_xlfn.IFNA(_xlfn.XLOOKUP(1,([1]!hcahps[Facility ID] = clean[[#This Row],[Facility ID]]) * ([1]!hcahps[HCAHPS Measure ID] = "H_HSP_RATING_LINEAR_SCORE"), [1]!hcahps[HCAHPS Linear Mean Value]), "No Match")</f>
        <v>80</v>
      </c>
      <c r="F2416" cm="1">
        <f t="array" ref="F2416">_xlfn.IFNA(_xlfn.XLOOKUP(1,([1]!readmissions[Facility ID] = clean[[#This Row],[Facility ID]]) * ([1]!readmissions[Measure ID] = "Hybrid_HWR"), [1]!readmissions[Score]), "No Match")</f>
        <v>15.2</v>
      </c>
    </row>
    <row r="2417" spans="1:6" x14ac:dyDescent="0.2">
      <c r="A2417">
        <f>[1]!hospitalinfo[[#This Row],[Facility ID]]</f>
        <v>230230</v>
      </c>
      <c r="B2417" t="str">
        <f>[1]!hospitalinfo[[#This Row],[State]]</f>
        <v>MI</v>
      </c>
      <c r="C2417" t="str">
        <f>[1]!hospitalinfo[[#This Row],[Hospital Type]]</f>
        <v>Acute Care Hospitals</v>
      </c>
      <c r="D2417" t="str">
        <f>[1]!hospitalinfo[[#This Row],[Hospital Ownership]]</f>
        <v>Voluntary non-profit - Other</v>
      </c>
      <c r="E2417" cm="1">
        <f t="array" ref="E2417">_xlfn.IFNA(_xlfn.XLOOKUP(1,([1]!hcahps[Facility ID] = clean[[#This Row],[Facility ID]]) * ([1]!hcahps[HCAHPS Measure ID] = "H_HSP_RATING_LINEAR_SCORE"), [1]!hcahps[HCAHPS Linear Mean Value]), "No Match")</f>
        <v>85</v>
      </c>
      <c r="F2417" cm="1">
        <f t="array" ref="F2417">_xlfn.IFNA(_xlfn.XLOOKUP(1,([1]!readmissions[Facility ID] = clean[[#This Row],[Facility ID]]) * ([1]!readmissions[Measure ID] = "Hybrid_HWR"), [1]!readmissions[Score]), "No Match")</f>
        <v>13.6</v>
      </c>
    </row>
    <row r="2418" spans="1:6" x14ac:dyDescent="0.2">
      <c r="A2418">
        <f>[1]!hospitalinfo[[#This Row],[Facility ID]]</f>
        <v>230236</v>
      </c>
      <c r="B2418" t="str">
        <f>[1]!hospitalinfo[[#This Row],[State]]</f>
        <v>MI</v>
      </c>
      <c r="C2418" t="str">
        <f>[1]!hospitalinfo[[#This Row],[Hospital Type]]</f>
        <v>Acute Care Hospitals</v>
      </c>
      <c r="D2418" t="str">
        <f>[1]!hospitalinfo[[#This Row],[Hospital Ownership]]</f>
        <v>Voluntary non-profit - Private</v>
      </c>
      <c r="E2418" cm="1">
        <f t="array" ref="E2418">_xlfn.IFNA(_xlfn.XLOOKUP(1,([1]!hcahps[Facility ID] = clean[[#This Row],[Facility ID]]) * ([1]!hcahps[HCAHPS Measure ID] = "H_HSP_RATING_LINEAR_SCORE"), [1]!hcahps[HCAHPS Linear Mean Value]), "No Match")</f>
        <v>89</v>
      </c>
      <c r="F2418" cm="1">
        <f t="array" ref="F2418">_xlfn.IFNA(_xlfn.XLOOKUP(1,([1]!readmissions[Facility ID] = clean[[#This Row],[Facility ID]]) * ([1]!readmissions[Measure ID] = "Hybrid_HWR"), [1]!readmissions[Score]), "No Match")</f>
        <v>14.5</v>
      </c>
    </row>
    <row r="2419" spans="1:6" x14ac:dyDescent="0.2">
      <c r="A2419">
        <f>[1]!hospitalinfo[[#This Row],[Facility ID]]</f>
        <v>230239</v>
      </c>
      <c r="B2419" t="str">
        <f>[1]!hospitalinfo[[#This Row],[State]]</f>
        <v>MI</v>
      </c>
      <c r="C2419" t="str">
        <f>[1]!hospitalinfo[[#This Row],[Hospital Type]]</f>
        <v>Acute Care Hospitals</v>
      </c>
      <c r="D2419" t="str">
        <f>[1]!hospitalinfo[[#This Row],[Hospital Ownership]]</f>
        <v>Voluntary non-profit - Private</v>
      </c>
      <c r="E2419" cm="1">
        <f t="array" ref="E2419">_xlfn.IFNA(_xlfn.XLOOKUP(1,([1]!hcahps[Facility ID] = clean[[#This Row],[Facility ID]]) * ([1]!hcahps[HCAHPS Measure ID] = "H_HSP_RATING_LINEAR_SCORE"), [1]!hcahps[HCAHPS Linear Mean Value]), "No Match")</f>
        <v>90</v>
      </c>
      <c r="F2419" cm="1">
        <f t="array" ref="F2419">_xlfn.IFNA(_xlfn.XLOOKUP(1,([1]!readmissions[Facility ID] = clean[[#This Row],[Facility ID]]) * ([1]!readmissions[Measure ID] = "Hybrid_HWR"), [1]!readmissions[Score]), "No Match")</f>
        <v>15.3</v>
      </c>
    </row>
    <row r="2420" spans="1:6" x14ac:dyDescent="0.2">
      <c r="A2420">
        <f>[1]!hospitalinfo[[#This Row],[Facility ID]]</f>
        <v>230241</v>
      </c>
      <c r="B2420" t="str">
        <f>[1]!hospitalinfo[[#This Row],[State]]</f>
        <v>MI</v>
      </c>
      <c r="C2420" t="str">
        <f>[1]!hospitalinfo[[#This Row],[Hospital Type]]</f>
        <v>Acute Care Hospitals</v>
      </c>
      <c r="D2420" t="str">
        <f>[1]!hospitalinfo[[#This Row],[Hospital Ownership]]</f>
        <v>Government - Hospital District or Authority</v>
      </c>
      <c r="E2420" t="str" cm="1">
        <f t="array" ref="E2420">_xlfn.IFNA(_xlfn.XLOOKUP(1,([1]!hcahps[Facility ID] = clean[[#This Row],[Facility ID]]) * ([1]!hcahps[HCAHPS Measure ID] = "H_HSP_RATING_LINEAR_SCORE"), [1]!hcahps[HCAHPS Linear Mean Value]), "No Match")</f>
        <v>Not Available</v>
      </c>
      <c r="F2420" cm="1">
        <f t="array" ref="F2420">_xlfn.IFNA(_xlfn.XLOOKUP(1,([1]!readmissions[Facility ID] = clean[[#This Row],[Facility ID]]) * ([1]!readmissions[Measure ID] = "Hybrid_HWR"), [1]!readmissions[Score]), "No Match")</f>
        <v>14.6</v>
      </c>
    </row>
    <row r="2421" spans="1:6" x14ac:dyDescent="0.2">
      <c r="A2421">
        <f>[1]!hospitalinfo[[#This Row],[Facility ID]]</f>
        <v>230244</v>
      </c>
      <c r="B2421" t="str">
        <f>[1]!hospitalinfo[[#This Row],[State]]</f>
        <v>MI</v>
      </c>
      <c r="C2421" t="str">
        <f>[1]!hospitalinfo[[#This Row],[Hospital Type]]</f>
        <v>Acute Care Hospitals</v>
      </c>
      <c r="D2421" t="str">
        <f>[1]!hospitalinfo[[#This Row],[Hospital Ownership]]</f>
        <v>Voluntary non-profit - Private</v>
      </c>
      <c r="E2421" cm="1">
        <f t="array" ref="E2421">_xlfn.IFNA(_xlfn.XLOOKUP(1,([1]!hcahps[Facility ID] = clean[[#This Row],[Facility ID]]) * ([1]!hcahps[HCAHPS Measure ID] = "H_HSP_RATING_LINEAR_SCORE"), [1]!hcahps[HCAHPS Linear Mean Value]), "No Match")</f>
        <v>81</v>
      </c>
      <c r="F2421" cm="1">
        <f t="array" ref="F2421">_xlfn.IFNA(_xlfn.XLOOKUP(1,([1]!readmissions[Facility ID] = clean[[#This Row],[Facility ID]]) * ([1]!readmissions[Measure ID] = "Hybrid_HWR"), [1]!readmissions[Score]), "No Match")</f>
        <v>16.3</v>
      </c>
    </row>
    <row r="2422" spans="1:6" x14ac:dyDescent="0.2">
      <c r="A2422">
        <f>[1]!hospitalinfo[[#This Row],[Facility ID]]</f>
        <v>230254</v>
      </c>
      <c r="B2422" t="str">
        <f>[1]!hospitalinfo[[#This Row],[State]]</f>
        <v>MI</v>
      </c>
      <c r="C2422" t="str">
        <f>[1]!hospitalinfo[[#This Row],[Hospital Type]]</f>
        <v>Acute Care Hospitals</v>
      </c>
      <c r="D2422" t="str">
        <f>[1]!hospitalinfo[[#This Row],[Hospital Ownership]]</f>
        <v>Voluntary non-profit - Private</v>
      </c>
      <c r="E2422" cm="1">
        <f t="array" ref="E2422">_xlfn.IFNA(_xlfn.XLOOKUP(1,([1]!hcahps[Facility ID] = clean[[#This Row],[Facility ID]]) * ([1]!hcahps[HCAHPS Measure ID] = "H_HSP_RATING_LINEAR_SCORE"), [1]!hcahps[HCAHPS Linear Mean Value]), "No Match")</f>
        <v>82</v>
      </c>
      <c r="F2422" cm="1">
        <f t="array" ref="F2422">_xlfn.IFNA(_xlfn.XLOOKUP(1,([1]!readmissions[Facility ID] = clean[[#This Row],[Facility ID]]) * ([1]!readmissions[Measure ID] = "Hybrid_HWR"), [1]!readmissions[Score]), "No Match")</f>
        <v>15.2</v>
      </c>
    </row>
    <row r="2423" spans="1:6" x14ac:dyDescent="0.2">
      <c r="A2423">
        <f>[1]!hospitalinfo[[#This Row],[Facility ID]]</f>
        <v>230259</v>
      </c>
      <c r="B2423" t="str">
        <f>[1]!hospitalinfo[[#This Row],[State]]</f>
        <v>MI</v>
      </c>
      <c r="C2423" t="str">
        <f>[1]!hospitalinfo[[#This Row],[Hospital Type]]</f>
        <v>Acute Care Hospitals</v>
      </c>
      <c r="D2423" t="str">
        <f>[1]!hospitalinfo[[#This Row],[Hospital Ownership]]</f>
        <v>Voluntary non-profit - Private</v>
      </c>
      <c r="E2423" cm="1">
        <f t="array" ref="E2423">_xlfn.IFNA(_xlfn.XLOOKUP(1,([1]!hcahps[Facility ID] = clean[[#This Row],[Facility ID]]) * ([1]!hcahps[HCAHPS Measure ID] = "H_HSP_RATING_LINEAR_SCORE"), [1]!hcahps[HCAHPS Linear Mean Value]), "No Match")</f>
        <v>93</v>
      </c>
      <c r="F2423" cm="1">
        <f t="array" ref="F2423">_xlfn.IFNA(_xlfn.XLOOKUP(1,([1]!readmissions[Facility ID] = clean[[#This Row],[Facility ID]]) * ([1]!readmissions[Measure ID] = "Hybrid_HWR"), [1]!readmissions[Score]), "No Match")</f>
        <v>14.6</v>
      </c>
    </row>
    <row r="2424" spans="1:6" x14ac:dyDescent="0.2">
      <c r="A2424">
        <f>[1]!hospitalinfo[[#This Row],[Facility ID]]</f>
        <v>230264</v>
      </c>
      <c r="B2424" t="str">
        <f>[1]!hospitalinfo[[#This Row],[State]]</f>
        <v>MI</v>
      </c>
      <c r="C2424" t="str">
        <f>[1]!hospitalinfo[[#This Row],[Hospital Type]]</f>
        <v>Acute Care Hospitals</v>
      </c>
      <c r="D2424" t="str">
        <f>[1]!hospitalinfo[[#This Row],[Hospital Ownership]]</f>
        <v>Voluntary non-profit - Private</v>
      </c>
      <c r="E2424" t="str" cm="1">
        <f t="array" ref="E2424">_xlfn.IFNA(_xlfn.XLOOKUP(1,([1]!hcahps[Facility ID] = clean[[#This Row],[Facility ID]]) * ([1]!hcahps[HCAHPS Measure ID] = "H_HSP_RATING_LINEAR_SCORE"), [1]!hcahps[HCAHPS Linear Mean Value]), "No Match")</f>
        <v>Not Available</v>
      </c>
      <c r="F2424" t="str" cm="1">
        <f t="array" ref="F2424">_xlfn.IFNA(_xlfn.XLOOKUP(1,([1]!readmissions[Facility ID] = clean[[#This Row],[Facility ID]]) * ([1]!readmissions[Measure ID] = "Hybrid_HWR"), [1]!readmissions[Score]), "No Match")</f>
        <v>Not Available</v>
      </c>
    </row>
    <row r="2425" spans="1:6" x14ac:dyDescent="0.2">
      <c r="A2425">
        <f>[1]!hospitalinfo[[#This Row],[Facility ID]]</f>
        <v>230269</v>
      </c>
      <c r="B2425" t="str">
        <f>[1]!hospitalinfo[[#This Row],[State]]</f>
        <v>MI</v>
      </c>
      <c r="C2425" t="str">
        <f>[1]!hospitalinfo[[#This Row],[Hospital Type]]</f>
        <v>Acute Care Hospitals</v>
      </c>
      <c r="D2425" t="str">
        <f>[1]!hospitalinfo[[#This Row],[Hospital Ownership]]</f>
        <v>Voluntary non-profit - Private</v>
      </c>
      <c r="E2425" cm="1">
        <f t="array" ref="E2425">_xlfn.IFNA(_xlfn.XLOOKUP(1,([1]!hcahps[Facility ID] = clean[[#This Row],[Facility ID]]) * ([1]!hcahps[HCAHPS Measure ID] = "H_HSP_RATING_LINEAR_SCORE"), [1]!hcahps[HCAHPS Linear Mean Value]), "No Match")</f>
        <v>85</v>
      </c>
      <c r="F2425" cm="1">
        <f t="array" ref="F2425">_xlfn.IFNA(_xlfn.XLOOKUP(1,([1]!readmissions[Facility ID] = clean[[#This Row],[Facility ID]]) * ([1]!readmissions[Measure ID] = "Hybrid_HWR"), [1]!readmissions[Score]), "No Match")</f>
        <v>15.2</v>
      </c>
    </row>
    <row r="2426" spans="1:6" x14ac:dyDescent="0.2">
      <c r="A2426">
        <f>[1]!hospitalinfo[[#This Row],[Facility ID]]</f>
        <v>230270</v>
      </c>
      <c r="B2426" t="str">
        <f>[1]!hospitalinfo[[#This Row],[State]]</f>
        <v>MI</v>
      </c>
      <c r="C2426" t="str">
        <f>[1]!hospitalinfo[[#This Row],[Hospital Type]]</f>
        <v>Acute Care Hospitals</v>
      </c>
      <c r="D2426" t="str">
        <f>[1]!hospitalinfo[[#This Row],[Hospital Ownership]]</f>
        <v>Voluntary non-profit - Private</v>
      </c>
      <c r="E2426" cm="1">
        <f t="array" ref="E2426">_xlfn.IFNA(_xlfn.XLOOKUP(1,([1]!hcahps[Facility ID] = clean[[#This Row],[Facility ID]]) * ([1]!hcahps[HCAHPS Measure ID] = "H_HSP_RATING_LINEAR_SCORE"), [1]!hcahps[HCAHPS Linear Mean Value]), "No Match")</f>
        <v>81</v>
      </c>
      <c r="F2426" cm="1">
        <f t="array" ref="F2426">_xlfn.IFNA(_xlfn.XLOOKUP(1,([1]!readmissions[Facility ID] = clean[[#This Row],[Facility ID]]) * ([1]!readmissions[Measure ID] = "Hybrid_HWR"), [1]!readmissions[Score]), "No Match")</f>
        <v>14.9</v>
      </c>
    </row>
    <row r="2427" spans="1:6" x14ac:dyDescent="0.2">
      <c r="A2427">
        <f>[1]!hospitalinfo[[#This Row],[Facility ID]]</f>
        <v>230273</v>
      </c>
      <c r="B2427" t="str">
        <f>[1]!hospitalinfo[[#This Row],[State]]</f>
        <v>MI</v>
      </c>
      <c r="C2427" t="str">
        <f>[1]!hospitalinfo[[#This Row],[Hospital Type]]</f>
        <v>Acute Care Hospitals</v>
      </c>
      <c r="D2427" t="str">
        <f>[1]!hospitalinfo[[#This Row],[Hospital Ownership]]</f>
        <v>Proprietary</v>
      </c>
      <c r="E2427" cm="1">
        <f t="array" ref="E2427">_xlfn.IFNA(_xlfn.XLOOKUP(1,([1]!hcahps[Facility ID] = clean[[#This Row],[Facility ID]]) * ([1]!hcahps[HCAHPS Measure ID] = "H_HSP_RATING_LINEAR_SCORE"), [1]!hcahps[HCAHPS Linear Mean Value]), "No Match")</f>
        <v>74</v>
      </c>
      <c r="F2427" cm="1">
        <f t="array" ref="F2427">_xlfn.IFNA(_xlfn.XLOOKUP(1,([1]!readmissions[Facility ID] = clean[[#This Row],[Facility ID]]) * ([1]!readmissions[Measure ID] = "Hybrid_HWR"), [1]!readmissions[Score]), "No Match")</f>
        <v>15.7</v>
      </c>
    </row>
    <row r="2428" spans="1:6" x14ac:dyDescent="0.2">
      <c r="A2428">
        <f>[1]!hospitalinfo[[#This Row],[Facility ID]]</f>
        <v>230275</v>
      </c>
      <c r="B2428" t="str">
        <f>[1]!hospitalinfo[[#This Row],[State]]</f>
        <v>MI</v>
      </c>
      <c r="C2428" t="str">
        <f>[1]!hospitalinfo[[#This Row],[Hospital Type]]</f>
        <v>Acute Care Hospitals</v>
      </c>
      <c r="D2428" t="str">
        <f>[1]!hospitalinfo[[#This Row],[Hospital Ownership]]</f>
        <v>Voluntary non-profit - Other</v>
      </c>
      <c r="E2428" t="str" cm="1">
        <f t="array" ref="E2428">_xlfn.IFNA(_xlfn.XLOOKUP(1,([1]!hcahps[Facility ID] = clean[[#This Row],[Facility ID]]) * ([1]!hcahps[HCAHPS Measure ID] = "H_HSP_RATING_LINEAR_SCORE"), [1]!hcahps[HCAHPS Linear Mean Value]), "No Match")</f>
        <v>Not Available</v>
      </c>
      <c r="F2428" t="str" cm="1">
        <f t="array" ref="F2428">_xlfn.IFNA(_xlfn.XLOOKUP(1,([1]!readmissions[Facility ID] = clean[[#This Row],[Facility ID]]) * ([1]!readmissions[Measure ID] = "Hybrid_HWR"), [1]!readmissions[Score]), "No Match")</f>
        <v>Not Available</v>
      </c>
    </row>
    <row r="2429" spans="1:6" x14ac:dyDescent="0.2">
      <c r="A2429">
        <f>[1]!hospitalinfo[[#This Row],[Facility ID]]</f>
        <v>230277</v>
      </c>
      <c r="B2429" t="str">
        <f>[1]!hospitalinfo[[#This Row],[State]]</f>
        <v>MI</v>
      </c>
      <c r="C2429" t="str">
        <f>[1]!hospitalinfo[[#This Row],[Hospital Type]]</f>
        <v>Acute Care Hospitals</v>
      </c>
      <c r="D2429" t="str">
        <f>[1]!hospitalinfo[[#This Row],[Hospital Ownership]]</f>
        <v>Proprietary</v>
      </c>
      <c r="E2429" cm="1">
        <f t="array" ref="E2429">_xlfn.IFNA(_xlfn.XLOOKUP(1,([1]!hcahps[Facility ID] = clean[[#This Row],[Facility ID]]) * ([1]!hcahps[HCAHPS Measure ID] = "H_HSP_RATING_LINEAR_SCORE"), [1]!hcahps[HCAHPS Linear Mean Value]), "No Match")</f>
        <v>85</v>
      </c>
      <c r="F2429" cm="1">
        <f t="array" ref="F2429">_xlfn.IFNA(_xlfn.XLOOKUP(1,([1]!readmissions[Facility ID] = clean[[#This Row],[Facility ID]]) * ([1]!readmissions[Measure ID] = "Hybrid_HWR"), [1]!readmissions[Score]), "No Match")</f>
        <v>13.9</v>
      </c>
    </row>
    <row r="2430" spans="1:6" x14ac:dyDescent="0.2">
      <c r="A2430">
        <f>[1]!hospitalinfo[[#This Row],[Facility ID]]</f>
        <v>230279</v>
      </c>
      <c r="B2430" t="str">
        <f>[1]!hospitalinfo[[#This Row],[State]]</f>
        <v>MI</v>
      </c>
      <c r="C2430" t="str">
        <f>[1]!hospitalinfo[[#This Row],[Hospital Type]]</f>
        <v>Acute Care Hospitals</v>
      </c>
      <c r="D2430" t="str">
        <f>[1]!hospitalinfo[[#This Row],[Hospital Ownership]]</f>
        <v>Voluntary non-profit - Private</v>
      </c>
      <c r="E2430" t="str" cm="1">
        <f t="array" ref="E2430">_xlfn.IFNA(_xlfn.XLOOKUP(1,([1]!hcahps[Facility ID] = clean[[#This Row],[Facility ID]]) * ([1]!hcahps[HCAHPS Measure ID] = "H_HSP_RATING_LINEAR_SCORE"), [1]!hcahps[HCAHPS Linear Mean Value]), "No Match")</f>
        <v>Not Available</v>
      </c>
      <c r="F2430" cm="1">
        <f t="array" ref="F2430">_xlfn.IFNA(_xlfn.XLOOKUP(1,([1]!readmissions[Facility ID] = clean[[#This Row],[Facility ID]]) * ([1]!readmissions[Measure ID] = "Hybrid_HWR"), [1]!readmissions[Score]), "No Match")</f>
        <v>14.2</v>
      </c>
    </row>
    <row r="2431" spans="1:6" x14ac:dyDescent="0.2">
      <c r="A2431">
        <f>[1]!hospitalinfo[[#This Row],[Facility ID]]</f>
        <v>230297</v>
      </c>
      <c r="B2431" t="str">
        <f>[1]!hospitalinfo[[#This Row],[State]]</f>
        <v>MI</v>
      </c>
      <c r="C2431" t="str">
        <f>[1]!hospitalinfo[[#This Row],[Hospital Type]]</f>
        <v>Acute Care Hospitals</v>
      </c>
      <c r="D2431" t="str">
        <f>[1]!hospitalinfo[[#This Row],[Hospital Ownership]]</f>
        <v>Proprietary</v>
      </c>
      <c r="E2431" cm="1">
        <f t="array" ref="E2431">_xlfn.IFNA(_xlfn.XLOOKUP(1,([1]!hcahps[Facility ID] = clean[[#This Row],[Facility ID]]) * ([1]!hcahps[HCAHPS Measure ID] = "H_HSP_RATING_LINEAR_SCORE"), [1]!hcahps[HCAHPS Linear Mean Value]), "No Match")</f>
        <v>90</v>
      </c>
      <c r="F2431" cm="1">
        <f t="array" ref="F2431">_xlfn.IFNA(_xlfn.XLOOKUP(1,([1]!readmissions[Facility ID] = clean[[#This Row],[Facility ID]]) * ([1]!readmissions[Measure ID] = "Hybrid_HWR"), [1]!readmissions[Score]), "No Match")</f>
        <v>15</v>
      </c>
    </row>
    <row r="2432" spans="1:6" x14ac:dyDescent="0.2">
      <c r="A2432">
        <f>[1]!hospitalinfo[[#This Row],[Facility ID]]</f>
        <v>230301</v>
      </c>
      <c r="B2432" t="str">
        <f>[1]!hospitalinfo[[#This Row],[State]]</f>
        <v>MI</v>
      </c>
      <c r="C2432" t="str">
        <f>[1]!hospitalinfo[[#This Row],[Hospital Type]]</f>
        <v>Acute Care Hospitals</v>
      </c>
      <c r="D2432" t="str">
        <f>[1]!hospitalinfo[[#This Row],[Hospital Ownership]]</f>
        <v>Proprietary</v>
      </c>
      <c r="E2432" t="str" cm="1">
        <f t="array" ref="E2432">_xlfn.IFNA(_xlfn.XLOOKUP(1,([1]!hcahps[Facility ID] = clean[[#This Row],[Facility ID]]) * ([1]!hcahps[HCAHPS Measure ID] = "H_HSP_RATING_LINEAR_SCORE"), [1]!hcahps[HCAHPS Linear Mean Value]), "No Match")</f>
        <v>Not Available</v>
      </c>
      <c r="F2432" cm="1">
        <f t="array" ref="F2432">_xlfn.IFNA(_xlfn.XLOOKUP(1,([1]!readmissions[Facility ID] = clean[[#This Row],[Facility ID]]) * ([1]!readmissions[Measure ID] = "Hybrid_HWR"), [1]!readmissions[Score]), "No Match")</f>
        <v>15.9</v>
      </c>
    </row>
    <row r="2433" spans="1:6" x14ac:dyDescent="0.2">
      <c r="A2433">
        <f>[1]!hospitalinfo[[#This Row],[Facility ID]]</f>
        <v>230302</v>
      </c>
      <c r="B2433" t="str">
        <f>[1]!hospitalinfo[[#This Row],[State]]</f>
        <v>MI</v>
      </c>
      <c r="C2433" t="str">
        <f>[1]!hospitalinfo[[#This Row],[Hospital Type]]</f>
        <v>Acute Care Hospitals</v>
      </c>
      <c r="D2433" t="str">
        <f>[1]!hospitalinfo[[#This Row],[Hospital Ownership]]</f>
        <v>Voluntary non-profit - Private</v>
      </c>
      <c r="E2433" cm="1">
        <f t="array" ref="E2433">_xlfn.IFNA(_xlfn.XLOOKUP(1,([1]!hcahps[Facility ID] = clean[[#This Row],[Facility ID]]) * ([1]!hcahps[HCAHPS Measure ID] = "H_HSP_RATING_LINEAR_SCORE"), [1]!hcahps[HCAHPS Linear Mean Value]), "No Match")</f>
        <v>88</v>
      </c>
      <c r="F2433" cm="1">
        <f t="array" ref="F2433">_xlfn.IFNA(_xlfn.XLOOKUP(1,([1]!readmissions[Facility ID] = clean[[#This Row],[Facility ID]]) * ([1]!readmissions[Measure ID] = "Hybrid_HWR"), [1]!readmissions[Score]), "No Match")</f>
        <v>15.4</v>
      </c>
    </row>
    <row r="2434" spans="1:6" x14ac:dyDescent="0.2">
      <c r="A2434">
        <f>[1]!hospitalinfo[[#This Row],[Facility ID]]</f>
        <v>230303</v>
      </c>
      <c r="B2434" t="str">
        <f>[1]!hospitalinfo[[#This Row],[State]]</f>
        <v>MI</v>
      </c>
      <c r="C2434" t="str">
        <f>[1]!hospitalinfo[[#This Row],[Hospital Type]]</f>
        <v>Acute Care Hospitals</v>
      </c>
      <c r="D2434" t="str">
        <f>[1]!hospitalinfo[[#This Row],[Hospital Ownership]]</f>
        <v>Voluntary non-profit - Other</v>
      </c>
      <c r="E2434" cm="1">
        <f t="array" ref="E2434">_xlfn.IFNA(_xlfn.XLOOKUP(1,([1]!hcahps[Facility ID] = clean[[#This Row],[Facility ID]]) * ([1]!hcahps[HCAHPS Measure ID] = "H_HSP_RATING_LINEAR_SCORE"), [1]!hcahps[HCAHPS Linear Mean Value]), "No Match")</f>
        <v>87</v>
      </c>
      <c r="F2434" cm="1">
        <f t="array" ref="F2434">_xlfn.IFNA(_xlfn.XLOOKUP(1,([1]!readmissions[Facility ID] = clean[[#This Row],[Facility ID]]) * ([1]!readmissions[Measure ID] = "Hybrid_HWR"), [1]!readmissions[Score]), "No Match")</f>
        <v>14.1</v>
      </c>
    </row>
    <row r="2435" spans="1:6" x14ac:dyDescent="0.2">
      <c r="A2435">
        <f>[1]!hospitalinfo[[#This Row],[Facility ID]]</f>
        <v>230779</v>
      </c>
      <c r="B2435" t="str">
        <f>[1]!hospitalinfo[[#This Row],[State]]</f>
        <v>MI</v>
      </c>
      <c r="C2435" t="str">
        <f>[1]!hospitalinfo[[#This Row],[Hospital Type]]</f>
        <v>Rural Emergency Hospital</v>
      </c>
      <c r="D2435" t="str">
        <f>[1]!hospitalinfo[[#This Row],[Hospital Ownership]]</f>
        <v>Government - Local</v>
      </c>
      <c r="E2435" t="str" cm="1">
        <f t="array" ref="E2435">_xlfn.IFNA(_xlfn.XLOOKUP(1,([1]!hcahps[Facility ID] = clean[[#This Row],[Facility ID]]) * ([1]!hcahps[HCAHPS Measure ID] = "H_HSP_RATING_LINEAR_SCORE"), [1]!hcahps[HCAHPS Linear Mean Value]), "No Match")</f>
        <v>Not Available</v>
      </c>
      <c r="F2435" t="str" cm="1">
        <f t="array" ref="F2435">_xlfn.IFNA(_xlfn.XLOOKUP(1,([1]!readmissions[Facility ID] = clean[[#This Row],[Facility ID]]) * ([1]!readmissions[Measure ID] = "Hybrid_HWR"), [1]!readmissions[Score]), "No Match")</f>
        <v>Not Available</v>
      </c>
    </row>
    <row r="2436" spans="1:6" x14ac:dyDescent="0.2">
      <c r="A2436">
        <f>[1]!hospitalinfo[[#This Row],[Facility ID]]</f>
        <v>231300</v>
      </c>
      <c r="B2436" t="str">
        <f>[1]!hospitalinfo[[#This Row],[State]]</f>
        <v>MI</v>
      </c>
      <c r="C2436" t="str">
        <f>[1]!hospitalinfo[[#This Row],[Hospital Type]]</f>
        <v>Critical Access Hospitals</v>
      </c>
      <c r="D2436" t="str">
        <f>[1]!hospitalinfo[[#This Row],[Hospital Ownership]]</f>
        <v>Government - Local</v>
      </c>
      <c r="E2436" t="str" cm="1">
        <f t="array" ref="E2436">_xlfn.IFNA(_xlfn.XLOOKUP(1,([1]!hcahps[Facility ID] = clean[[#This Row],[Facility ID]]) * ([1]!hcahps[HCAHPS Measure ID] = "H_HSP_RATING_LINEAR_SCORE"), [1]!hcahps[HCAHPS Linear Mean Value]), "No Match")</f>
        <v>Not Available</v>
      </c>
      <c r="F2436" t="str" cm="1">
        <f t="array" ref="F2436">_xlfn.IFNA(_xlfn.XLOOKUP(1,([1]!readmissions[Facility ID] = clean[[#This Row],[Facility ID]]) * ([1]!readmissions[Measure ID] = "Hybrid_HWR"), [1]!readmissions[Score]), "No Match")</f>
        <v>Not Available</v>
      </c>
    </row>
    <row r="2437" spans="1:6" x14ac:dyDescent="0.2">
      <c r="A2437">
        <f>[1]!hospitalinfo[[#This Row],[Facility ID]]</f>
        <v>231301</v>
      </c>
      <c r="B2437" t="str">
        <f>[1]!hospitalinfo[[#This Row],[State]]</f>
        <v>MI</v>
      </c>
      <c r="C2437" t="str">
        <f>[1]!hospitalinfo[[#This Row],[Hospital Type]]</f>
        <v>Critical Access Hospitals</v>
      </c>
      <c r="D2437" t="str">
        <f>[1]!hospitalinfo[[#This Row],[Hospital Ownership]]</f>
        <v>Government - Hospital District or Authority</v>
      </c>
      <c r="E2437" t="str" cm="1">
        <f t="array" ref="E2437">_xlfn.IFNA(_xlfn.XLOOKUP(1,([1]!hcahps[Facility ID] = clean[[#This Row],[Facility ID]]) * ([1]!hcahps[HCAHPS Measure ID] = "H_HSP_RATING_LINEAR_SCORE"), [1]!hcahps[HCAHPS Linear Mean Value]), "No Match")</f>
        <v>Not Available</v>
      </c>
      <c r="F2437" cm="1">
        <f t="array" ref="F2437">_xlfn.IFNA(_xlfn.XLOOKUP(1,([1]!readmissions[Facility ID] = clean[[#This Row],[Facility ID]]) * ([1]!readmissions[Measure ID] = "Hybrid_HWR"), [1]!readmissions[Score]), "No Match")</f>
        <v>14.9</v>
      </c>
    </row>
    <row r="2438" spans="1:6" x14ac:dyDescent="0.2">
      <c r="A2438">
        <f>[1]!hospitalinfo[[#This Row],[Facility ID]]</f>
        <v>231303</v>
      </c>
      <c r="B2438" t="str">
        <f>[1]!hospitalinfo[[#This Row],[State]]</f>
        <v>MI</v>
      </c>
      <c r="C2438" t="str">
        <f>[1]!hospitalinfo[[#This Row],[Hospital Type]]</f>
        <v>Critical Access Hospitals</v>
      </c>
      <c r="D2438" t="str">
        <f>[1]!hospitalinfo[[#This Row],[Hospital Ownership]]</f>
        <v>Government - Local</v>
      </c>
      <c r="E2438" t="str" cm="1">
        <f t="array" ref="E2438">_xlfn.IFNA(_xlfn.XLOOKUP(1,([1]!hcahps[Facility ID] = clean[[#This Row],[Facility ID]]) * ([1]!hcahps[HCAHPS Measure ID] = "H_HSP_RATING_LINEAR_SCORE"), [1]!hcahps[HCAHPS Linear Mean Value]), "No Match")</f>
        <v>Not Available</v>
      </c>
      <c r="F2438" cm="1">
        <f t="array" ref="F2438">_xlfn.IFNA(_xlfn.XLOOKUP(1,([1]!readmissions[Facility ID] = clean[[#This Row],[Facility ID]]) * ([1]!readmissions[Measure ID] = "Hybrid_HWR"), [1]!readmissions[Score]), "No Match")</f>
        <v>15.1</v>
      </c>
    </row>
    <row r="2439" spans="1:6" x14ac:dyDescent="0.2">
      <c r="A2439">
        <f>[1]!hospitalinfo[[#This Row],[Facility ID]]</f>
        <v>231304</v>
      </c>
      <c r="B2439" t="str">
        <f>[1]!hospitalinfo[[#This Row],[State]]</f>
        <v>MI</v>
      </c>
      <c r="C2439" t="str">
        <f>[1]!hospitalinfo[[#This Row],[Hospital Type]]</f>
        <v>Critical Access Hospitals</v>
      </c>
      <c r="D2439" t="str">
        <f>[1]!hospitalinfo[[#This Row],[Hospital Ownership]]</f>
        <v>Government - Local</v>
      </c>
      <c r="E2439" t="str" cm="1">
        <f t="array" ref="E2439">_xlfn.IFNA(_xlfn.XLOOKUP(1,([1]!hcahps[Facility ID] = clean[[#This Row],[Facility ID]]) * ([1]!hcahps[HCAHPS Measure ID] = "H_HSP_RATING_LINEAR_SCORE"), [1]!hcahps[HCAHPS Linear Mean Value]), "No Match")</f>
        <v>Not Available</v>
      </c>
      <c r="F2439" cm="1">
        <f t="array" ref="F2439">_xlfn.IFNA(_xlfn.XLOOKUP(1,([1]!readmissions[Facility ID] = clean[[#This Row],[Facility ID]]) * ([1]!readmissions[Measure ID] = "Hybrid_HWR"), [1]!readmissions[Score]), "No Match")</f>
        <v>15</v>
      </c>
    </row>
    <row r="2440" spans="1:6" x14ac:dyDescent="0.2">
      <c r="A2440">
        <f>[1]!hospitalinfo[[#This Row],[Facility ID]]</f>
        <v>231305</v>
      </c>
      <c r="B2440" t="str">
        <f>[1]!hospitalinfo[[#This Row],[State]]</f>
        <v>MI</v>
      </c>
      <c r="C2440" t="str">
        <f>[1]!hospitalinfo[[#This Row],[Hospital Type]]</f>
        <v>Critical Access Hospitals</v>
      </c>
      <c r="D2440" t="str">
        <f>[1]!hospitalinfo[[#This Row],[Hospital Ownership]]</f>
        <v>Voluntary non-profit - Church</v>
      </c>
      <c r="E2440" t="str" cm="1">
        <f t="array" ref="E2440">_xlfn.IFNA(_xlfn.XLOOKUP(1,([1]!hcahps[Facility ID] = clean[[#This Row],[Facility ID]]) * ([1]!hcahps[HCAHPS Measure ID] = "H_HSP_RATING_LINEAR_SCORE"), [1]!hcahps[HCAHPS Linear Mean Value]), "No Match")</f>
        <v>Not Available</v>
      </c>
      <c r="F2440" cm="1">
        <f t="array" ref="F2440">_xlfn.IFNA(_xlfn.XLOOKUP(1,([1]!readmissions[Facility ID] = clean[[#This Row],[Facility ID]]) * ([1]!readmissions[Measure ID] = "Hybrid_HWR"), [1]!readmissions[Score]), "No Match")</f>
        <v>15.2</v>
      </c>
    </row>
    <row r="2441" spans="1:6" x14ac:dyDescent="0.2">
      <c r="A2441">
        <f>[1]!hospitalinfo[[#This Row],[Facility ID]]</f>
        <v>231306</v>
      </c>
      <c r="B2441" t="str">
        <f>[1]!hospitalinfo[[#This Row],[State]]</f>
        <v>MI</v>
      </c>
      <c r="C2441" t="str">
        <f>[1]!hospitalinfo[[#This Row],[Hospital Type]]</f>
        <v>Critical Access Hospitals</v>
      </c>
      <c r="D2441" t="str">
        <f>[1]!hospitalinfo[[#This Row],[Hospital Ownership]]</f>
        <v>Voluntary non-profit - Private</v>
      </c>
      <c r="E2441" t="str" cm="1">
        <f t="array" ref="E2441">_xlfn.IFNA(_xlfn.XLOOKUP(1,([1]!hcahps[Facility ID] = clean[[#This Row],[Facility ID]]) * ([1]!hcahps[HCAHPS Measure ID] = "H_HSP_RATING_LINEAR_SCORE"), [1]!hcahps[HCAHPS Linear Mean Value]), "No Match")</f>
        <v>Not Available</v>
      </c>
      <c r="F2441" cm="1">
        <f t="array" ref="F2441">_xlfn.IFNA(_xlfn.XLOOKUP(1,([1]!readmissions[Facility ID] = clean[[#This Row],[Facility ID]]) * ([1]!readmissions[Measure ID] = "Hybrid_HWR"), [1]!readmissions[Score]), "No Match")</f>
        <v>14.7</v>
      </c>
    </row>
    <row r="2442" spans="1:6" x14ac:dyDescent="0.2">
      <c r="A2442">
        <f>[1]!hospitalinfo[[#This Row],[Facility ID]]</f>
        <v>231307</v>
      </c>
      <c r="B2442" t="str">
        <f>[1]!hospitalinfo[[#This Row],[State]]</f>
        <v>MI</v>
      </c>
      <c r="C2442" t="str">
        <f>[1]!hospitalinfo[[#This Row],[Hospital Type]]</f>
        <v>Critical Access Hospitals</v>
      </c>
      <c r="D2442" t="str">
        <f>[1]!hospitalinfo[[#This Row],[Hospital Ownership]]</f>
        <v>Government - Local</v>
      </c>
      <c r="E2442" t="str" cm="1">
        <f t="array" ref="E2442">_xlfn.IFNA(_xlfn.XLOOKUP(1,([1]!hcahps[Facility ID] = clean[[#This Row],[Facility ID]]) * ([1]!hcahps[HCAHPS Measure ID] = "H_HSP_RATING_LINEAR_SCORE"), [1]!hcahps[HCAHPS Linear Mean Value]), "No Match")</f>
        <v>Not Available</v>
      </c>
      <c r="F2442" cm="1">
        <f t="array" ref="F2442">_xlfn.IFNA(_xlfn.XLOOKUP(1,([1]!readmissions[Facility ID] = clean[[#This Row],[Facility ID]]) * ([1]!readmissions[Measure ID] = "Hybrid_HWR"), [1]!readmissions[Score]), "No Match")</f>
        <v>14.8</v>
      </c>
    </row>
    <row r="2443" spans="1:6" x14ac:dyDescent="0.2">
      <c r="A2443">
        <f>[1]!hospitalinfo[[#This Row],[Facility ID]]</f>
        <v>231308</v>
      </c>
      <c r="B2443" t="str">
        <f>[1]!hospitalinfo[[#This Row],[State]]</f>
        <v>MI</v>
      </c>
      <c r="C2443" t="str">
        <f>[1]!hospitalinfo[[#This Row],[Hospital Type]]</f>
        <v>Critical Access Hospitals</v>
      </c>
      <c r="D2443" t="str">
        <f>[1]!hospitalinfo[[#This Row],[Hospital Ownership]]</f>
        <v>Voluntary non-profit - Private</v>
      </c>
      <c r="E2443" t="str" cm="1">
        <f t="array" ref="E2443">_xlfn.IFNA(_xlfn.XLOOKUP(1,([1]!hcahps[Facility ID] = clean[[#This Row],[Facility ID]]) * ([1]!hcahps[HCAHPS Measure ID] = "H_HSP_RATING_LINEAR_SCORE"), [1]!hcahps[HCAHPS Linear Mean Value]), "No Match")</f>
        <v>Not Available</v>
      </c>
      <c r="F2443" cm="1">
        <f t="array" ref="F2443">_xlfn.IFNA(_xlfn.XLOOKUP(1,([1]!readmissions[Facility ID] = clean[[#This Row],[Facility ID]]) * ([1]!readmissions[Measure ID] = "Hybrid_HWR"), [1]!readmissions[Score]), "No Match")</f>
        <v>15</v>
      </c>
    </row>
    <row r="2444" spans="1:6" x14ac:dyDescent="0.2">
      <c r="A2444">
        <f>[1]!hospitalinfo[[#This Row],[Facility ID]]</f>
        <v>231310</v>
      </c>
      <c r="B2444" t="str">
        <f>[1]!hospitalinfo[[#This Row],[State]]</f>
        <v>MI</v>
      </c>
      <c r="C2444" t="str">
        <f>[1]!hospitalinfo[[#This Row],[Hospital Type]]</f>
        <v>Critical Access Hospitals</v>
      </c>
      <c r="D2444" t="str">
        <f>[1]!hospitalinfo[[#This Row],[Hospital Ownership]]</f>
        <v>Voluntary non-profit - Other</v>
      </c>
      <c r="E2444" t="str" cm="1">
        <f t="array" ref="E2444">_xlfn.IFNA(_xlfn.XLOOKUP(1,([1]!hcahps[Facility ID] = clean[[#This Row],[Facility ID]]) * ([1]!hcahps[HCAHPS Measure ID] = "H_HSP_RATING_LINEAR_SCORE"), [1]!hcahps[HCAHPS Linear Mean Value]), "No Match")</f>
        <v>Not Available</v>
      </c>
      <c r="F2444" cm="1">
        <f t="array" ref="F2444">_xlfn.IFNA(_xlfn.XLOOKUP(1,([1]!readmissions[Facility ID] = clean[[#This Row],[Facility ID]]) * ([1]!readmissions[Measure ID] = "Hybrid_HWR"), [1]!readmissions[Score]), "No Match")</f>
        <v>14.9</v>
      </c>
    </row>
    <row r="2445" spans="1:6" x14ac:dyDescent="0.2">
      <c r="A2445">
        <f>[1]!hospitalinfo[[#This Row],[Facility ID]]</f>
        <v>231311</v>
      </c>
      <c r="B2445" t="str">
        <f>[1]!hospitalinfo[[#This Row],[State]]</f>
        <v>MI</v>
      </c>
      <c r="C2445" t="str">
        <f>[1]!hospitalinfo[[#This Row],[Hospital Type]]</f>
        <v>Critical Access Hospitals</v>
      </c>
      <c r="D2445" t="str">
        <f>[1]!hospitalinfo[[#This Row],[Hospital Ownership]]</f>
        <v>Voluntary non-profit - Private</v>
      </c>
      <c r="E2445" t="str" cm="1">
        <f t="array" ref="E2445">_xlfn.IFNA(_xlfn.XLOOKUP(1,([1]!hcahps[Facility ID] = clean[[#This Row],[Facility ID]]) * ([1]!hcahps[HCAHPS Measure ID] = "H_HSP_RATING_LINEAR_SCORE"), [1]!hcahps[HCAHPS Linear Mean Value]), "No Match")</f>
        <v>Not Available</v>
      </c>
      <c r="F2445" t="str" cm="1">
        <f t="array" ref="F2445">_xlfn.IFNA(_xlfn.XLOOKUP(1,([1]!readmissions[Facility ID] = clean[[#This Row],[Facility ID]]) * ([1]!readmissions[Measure ID] = "Hybrid_HWR"), [1]!readmissions[Score]), "No Match")</f>
        <v>Not Available</v>
      </c>
    </row>
    <row r="2446" spans="1:6" x14ac:dyDescent="0.2">
      <c r="A2446">
        <f>[1]!hospitalinfo[[#This Row],[Facility ID]]</f>
        <v>231312</v>
      </c>
      <c r="B2446" t="str">
        <f>[1]!hospitalinfo[[#This Row],[State]]</f>
        <v>MI</v>
      </c>
      <c r="C2446" t="str">
        <f>[1]!hospitalinfo[[#This Row],[Hospital Type]]</f>
        <v>Critical Access Hospitals</v>
      </c>
      <c r="D2446" t="str">
        <f>[1]!hospitalinfo[[#This Row],[Hospital Ownership]]</f>
        <v>Voluntary non-profit - Private</v>
      </c>
      <c r="E2446" t="str" cm="1">
        <f t="array" ref="E2446">_xlfn.IFNA(_xlfn.XLOOKUP(1,([1]!hcahps[Facility ID] = clean[[#This Row],[Facility ID]]) * ([1]!hcahps[HCAHPS Measure ID] = "H_HSP_RATING_LINEAR_SCORE"), [1]!hcahps[HCAHPS Linear Mean Value]), "No Match")</f>
        <v>Not Available</v>
      </c>
      <c r="F2446" t="str" cm="1">
        <f t="array" ref="F2446">_xlfn.IFNA(_xlfn.XLOOKUP(1,([1]!readmissions[Facility ID] = clean[[#This Row],[Facility ID]]) * ([1]!readmissions[Measure ID] = "Hybrid_HWR"), [1]!readmissions[Score]), "No Match")</f>
        <v>Not Available</v>
      </c>
    </row>
    <row r="2447" spans="1:6" x14ac:dyDescent="0.2">
      <c r="A2447">
        <f>[1]!hospitalinfo[[#This Row],[Facility ID]]</f>
        <v>231313</v>
      </c>
      <c r="B2447" t="str">
        <f>[1]!hospitalinfo[[#This Row],[State]]</f>
        <v>MI</v>
      </c>
      <c r="C2447" t="str">
        <f>[1]!hospitalinfo[[#This Row],[Hospital Type]]</f>
        <v>Critical Access Hospitals</v>
      </c>
      <c r="D2447" t="str">
        <f>[1]!hospitalinfo[[#This Row],[Hospital Ownership]]</f>
        <v>Voluntary non-profit - Private</v>
      </c>
      <c r="E2447" t="str" cm="1">
        <f t="array" ref="E2447">_xlfn.IFNA(_xlfn.XLOOKUP(1,([1]!hcahps[Facility ID] = clean[[#This Row],[Facility ID]]) * ([1]!hcahps[HCAHPS Measure ID] = "H_HSP_RATING_LINEAR_SCORE"), [1]!hcahps[HCAHPS Linear Mean Value]), "No Match")</f>
        <v>Not Available</v>
      </c>
      <c r="F2447" t="str" cm="1">
        <f t="array" ref="F2447">_xlfn.IFNA(_xlfn.XLOOKUP(1,([1]!readmissions[Facility ID] = clean[[#This Row],[Facility ID]]) * ([1]!readmissions[Measure ID] = "Hybrid_HWR"), [1]!readmissions[Score]), "No Match")</f>
        <v>Not Available</v>
      </c>
    </row>
    <row r="2448" spans="1:6" x14ac:dyDescent="0.2">
      <c r="A2448">
        <f>[1]!hospitalinfo[[#This Row],[Facility ID]]</f>
        <v>231314</v>
      </c>
      <c r="B2448" t="str">
        <f>[1]!hospitalinfo[[#This Row],[State]]</f>
        <v>MI</v>
      </c>
      <c r="C2448" t="str">
        <f>[1]!hospitalinfo[[#This Row],[Hospital Type]]</f>
        <v>Critical Access Hospitals</v>
      </c>
      <c r="D2448" t="str">
        <f>[1]!hospitalinfo[[#This Row],[Hospital Ownership]]</f>
        <v>Voluntary non-profit - Private</v>
      </c>
      <c r="E2448" t="str" cm="1">
        <f t="array" ref="E2448">_xlfn.IFNA(_xlfn.XLOOKUP(1,([1]!hcahps[Facility ID] = clean[[#This Row],[Facility ID]]) * ([1]!hcahps[HCAHPS Measure ID] = "H_HSP_RATING_LINEAR_SCORE"), [1]!hcahps[HCAHPS Linear Mean Value]), "No Match")</f>
        <v>Not Available</v>
      </c>
      <c r="F2448" cm="1">
        <f t="array" ref="F2448">_xlfn.IFNA(_xlfn.XLOOKUP(1,([1]!readmissions[Facility ID] = clean[[#This Row],[Facility ID]]) * ([1]!readmissions[Measure ID] = "Hybrid_HWR"), [1]!readmissions[Score]), "No Match")</f>
        <v>15.1</v>
      </c>
    </row>
    <row r="2449" spans="1:6" x14ac:dyDescent="0.2">
      <c r="A2449">
        <f>[1]!hospitalinfo[[#This Row],[Facility ID]]</f>
        <v>231315</v>
      </c>
      <c r="B2449" t="str">
        <f>[1]!hospitalinfo[[#This Row],[State]]</f>
        <v>MI</v>
      </c>
      <c r="C2449" t="str">
        <f>[1]!hospitalinfo[[#This Row],[Hospital Type]]</f>
        <v>Critical Access Hospitals</v>
      </c>
      <c r="D2449" t="str">
        <f>[1]!hospitalinfo[[#This Row],[Hospital Ownership]]</f>
        <v>Voluntary non-profit - Church</v>
      </c>
      <c r="E2449" t="str" cm="1">
        <f t="array" ref="E2449">_xlfn.IFNA(_xlfn.XLOOKUP(1,([1]!hcahps[Facility ID] = clean[[#This Row],[Facility ID]]) * ([1]!hcahps[HCAHPS Measure ID] = "H_HSP_RATING_LINEAR_SCORE"), [1]!hcahps[HCAHPS Linear Mean Value]), "No Match")</f>
        <v>Not Available</v>
      </c>
      <c r="F2449" cm="1">
        <f t="array" ref="F2449">_xlfn.IFNA(_xlfn.XLOOKUP(1,([1]!readmissions[Facility ID] = clean[[#This Row],[Facility ID]]) * ([1]!readmissions[Measure ID] = "Hybrid_HWR"), [1]!readmissions[Score]), "No Match")</f>
        <v>14.5</v>
      </c>
    </row>
    <row r="2450" spans="1:6" x14ac:dyDescent="0.2">
      <c r="A2450">
        <f>[1]!hospitalinfo[[#This Row],[Facility ID]]</f>
        <v>231316</v>
      </c>
      <c r="B2450" t="str">
        <f>[1]!hospitalinfo[[#This Row],[State]]</f>
        <v>MI</v>
      </c>
      <c r="C2450" t="str">
        <f>[1]!hospitalinfo[[#This Row],[Hospital Type]]</f>
        <v>Critical Access Hospitals</v>
      </c>
      <c r="D2450" t="str">
        <f>[1]!hospitalinfo[[#This Row],[Hospital Ownership]]</f>
        <v>Voluntary non-profit - Private</v>
      </c>
      <c r="E2450" cm="1">
        <f t="array" ref="E2450">_xlfn.IFNA(_xlfn.XLOOKUP(1,([1]!hcahps[Facility ID] = clean[[#This Row],[Facility ID]]) * ([1]!hcahps[HCAHPS Measure ID] = "H_HSP_RATING_LINEAR_SCORE"), [1]!hcahps[HCAHPS Linear Mean Value]), "No Match")</f>
        <v>95</v>
      </c>
      <c r="F2450" cm="1">
        <f t="array" ref="F2450">_xlfn.IFNA(_xlfn.XLOOKUP(1,([1]!readmissions[Facility ID] = clean[[#This Row],[Facility ID]]) * ([1]!readmissions[Measure ID] = "Hybrid_HWR"), [1]!readmissions[Score]), "No Match")</f>
        <v>14.7</v>
      </c>
    </row>
    <row r="2451" spans="1:6" x14ac:dyDescent="0.2">
      <c r="A2451">
        <f>[1]!hospitalinfo[[#This Row],[Facility ID]]</f>
        <v>231318</v>
      </c>
      <c r="B2451" t="str">
        <f>[1]!hospitalinfo[[#This Row],[State]]</f>
        <v>MI</v>
      </c>
      <c r="C2451" t="str">
        <f>[1]!hospitalinfo[[#This Row],[Hospital Type]]</f>
        <v>Critical Access Hospitals</v>
      </c>
      <c r="D2451" t="str">
        <f>[1]!hospitalinfo[[#This Row],[Hospital Ownership]]</f>
        <v>Voluntary non-profit - Other</v>
      </c>
      <c r="E2451" t="str" cm="1">
        <f t="array" ref="E2451">_xlfn.IFNA(_xlfn.XLOOKUP(1,([1]!hcahps[Facility ID] = clean[[#This Row],[Facility ID]]) * ([1]!hcahps[HCAHPS Measure ID] = "H_HSP_RATING_LINEAR_SCORE"), [1]!hcahps[HCAHPS Linear Mean Value]), "No Match")</f>
        <v>Not Available</v>
      </c>
      <c r="F2451" cm="1">
        <f t="array" ref="F2451">_xlfn.IFNA(_xlfn.XLOOKUP(1,([1]!readmissions[Facility ID] = clean[[#This Row],[Facility ID]]) * ([1]!readmissions[Measure ID] = "Hybrid_HWR"), [1]!readmissions[Score]), "No Match")</f>
        <v>14.7</v>
      </c>
    </row>
    <row r="2452" spans="1:6" x14ac:dyDescent="0.2">
      <c r="A2452">
        <f>[1]!hospitalinfo[[#This Row],[Facility ID]]</f>
        <v>231319</v>
      </c>
      <c r="B2452" t="str">
        <f>[1]!hospitalinfo[[#This Row],[State]]</f>
        <v>MI</v>
      </c>
      <c r="C2452" t="str">
        <f>[1]!hospitalinfo[[#This Row],[Hospital Type]]</f>
        <v>Critical Access Hospitals</v>
      </c>
      <c r="D2452" t="str">
        <f>[1]!hospitalinfo[[#This Row],[Hospital Ownership]]</f>
        <v>Voluntary non-profit - Private</v>
      </c>
      <c r="E2452" t="str" cm="1">
        <f t="array" ref="E2452">_xlfn.IFNA(_xlfn.XLOOKUP(1,([1]!hcahps[Facility ID] = clean[[#This Row],[Facility ID]]) * ([1]!hcahps[HCAHPS Measure ID] = "H_HSP_RATING_LINEAR_SCORE"), [1]!hcahps[HCAHPS Linear Mean Value]), "No Match")</f>
        <v>Not Available</v>
      </c>
      <c r="F2452" cm="1">
        <f t="array" ref="F2452">_xlfn.IFNA(_xlfn.XLOOKUP(1,([1]!readmissions[Facility ID] = clean[[#This Row],[Facility ID]]) * ([1]!readmissions[Measure ID] = "Hybrid_HWR"), [1]!readmissions[Score]), "No Match")</f>
        <v>16</v>
      </c>
    </row>
    <row r="2453" spans="1:6" x14ac:dyDescent="0.2">
      <c r="A2453">
        <f>[1]!hospitalinfo[[#This Row],[Facility ID]]</f>
        <v>231320</v>
      </c>
      <c r="B2453" t="str">
        <f>[1]!hospitalinfo[[#This Row],[State]]</f>
        <v>MI</v>
      </c>
      <c r="C2453" t="str">
        <f>[1]!hospitalinfo[[#This Row],[Hospital Type]]</f>
        <v>Critical Access Hospitals</v>
      </c>
      <c r="D2453" t="str">
        <f>[1]!hospitalinfo[[#This Row],[Hospital Ownership]]</f>
        <v>Voluntary non-profit - Private</v>
      </c>
      <c r="E2453" cm="1">
        <f t="array" ref="E2453">_xlfn.IFNA(_xlfn.XLOOKUP(1,([1]!hcahps[Facility ID] = clean[[#This Row],[Facility ID]]) * ([1]!hcahps[HCAHPS Measure ID] = "H_HSP_RATING_LINEAR_SCORE"), [1]!hcahps[HCAHPS Linear Mean Value]), "No Match")</f>
        <v>93</v>
      </c>
      <c r="F2453" cm="1">
        <f t="array" ref="F2453">_xlfn.IFNA(_xlfn.XLOOKUP(1,([1]!readmissions[Facility ID] = clean[[#This Row],[Facility ID]]) * ([1]!readmissions[Measure ID] = "Hybrid_HWR"), [1]!readmissions[Score]), "No Match")</f>
        <v>15.4</v>
      </c>
    </row>
    <row r="2454" spans="1:6" x14ac:dyDescent="0.2">
      <c r="A2454">
        <f>[1]!hospitalinfo[[#This Row],[Facility ID]]</f>
        <v>231321</v>
      </c>
      <c r="B2454" t="str">
        <f>[1]!hospitalinfo[[#This Row],[State]]</f>
        <v>MI</v>
      </c>
      <c r="C2454" t="str">
        <f>[1]!hospitalinfo[[#This Row],[Hospital Type]]</f>
        <v>Critical Access Hospitals</v>
      </c>
      <c r="D2454" t="str">
        <f>[1]!hospitalinfo[[#This Row],[Hospital Ownership]]</f>
        <v>Proprietary</v>
      </c>
      <c r="E2454" cm="1">
        <f t="array" ref="E2454">_xlfn.IFNA(_xlfn.XLOOKUP(1,([1]!hcahps[Facility ID] = clean[[#This Row],[Facility ID]]) * ([1]!hcahps[HCAHPS Measure ID] = "H_HSP_RATING_LINEAR_SCORE"), [1]!hcahps[HCAHPS Linear Mean Value]), "No Match")</f>
        <v>93</v>
      </c>
      <c r="F2454" cm="1">
        <f t="array" ref="F2454">_xlfn.IFNA(_xlfn.XLOOKUP(1,([1]!readmissions[Facility ID] = clean[[#This Row],[Facility ID]]) * ([1]!readmissions[Measure ID] = "Hybrid_HWR"), [1]!readmissions[Score]), "No Match")</f>
        <v>15.2</v>
      </c>
    </row>
    <row r="2455" spans="1:6" x14ac:dyDescent="0.2">
      <c r="A2455">
        <f>[1]!hospitalinfo[[#This Row],[Facility ID]]</f>
        <v>231322</v>
      </c>
      <c r="B2455" t="str">
        <f>[1]!hospitalinfo[[#This Row],[State]]</f>
        <v>MI</v>
      </c>
      <c r="C2455" t="str">
        <f>[1]!hospitalinfo[[#This Row],[Hospital Type]]</f>
        <v>Critical Access Hospitals</v>
      </c>
      <c r="D2455" t="str">
        <f>[1]!hospitalinfo[[#This Row],[Hospital Ownership]]</f>
        <v>Voluntary non-profit - Other</v>
      </c>
      <c r="E2455" cm="1">
        <f t="array" ref="E2455">_xlfn.IFNA(_xlfn.XLOOKUP(1,([1]!hcahps[Facility ID] = clean[[#This Row],[Facility ID]]) * ([1]!hcahps[HCAHPS Measure ID] = "H_HSP_RATING_LINEAR_SCORE"), [1]!hcahps[HCAHPS Linear Mean Value]), "No Match")</f>
        <v>91</v>
      </c>
      <c r="F2455" cm="1">
        <f t="array" ref="F2455">_xlfn.IFNA(_xlfn.XLOOKUP(1,([1]!readmissions[Facility ID] = clean[[#This Row],[Facility ID]]) * ([1]!readmissions[Measure ID] = "Hybrid_HWR"), [1]!readmissions[Score]), "No Match")</f>
        <v>14.7</v>
      </c>
    </row>
    <row r="2456" spans="1:6" x14ac:dyDescent="0.2">
      <c r="A2456">
        <f>[1]!hospitalinfo[[#This Row],[Facility ID]]</f>
        <v>231323</v>
      </c>
      <c r="B2456" t="str">
        <f>[1]!hospitalinfo[[#This Row],[State]]</f>
        <v>MI</v>
      </c>
      <c r="C2456" t="str">
        <f>[1]!hospitalinfo[[#This Row],[Hospital Type]]</f>
        <v>Critical Access Hospitals</v>
      </c>
      <c r="D2456" t="str">
        <f>[1]!hospitalinfo[[#This Row],[Hospital Ownership]]</f>
        <v>Voluntary non-profit - Private</v>
      </c>
      <c r="E2456" t="str" cm="1">
        <f t="array" ref="E2456">_xlfn.IFNA(_xlfn.XLOOKUP(1,([1]!hcahps[Facility ID] = clean[[#This Row],[Facility ID]]) * ([1]!hcahps[HCAHPS Measure ID] = "H_HSP_RATING_LINEAR_SCORE"), [1]!hcahps[HCAHPS Linear Mean Value]), "No Match")</f>
        <v>Not Available</v>
      </c>
      <c r="F2456" cm="1">
        <f t="array" ref="F2456">_xlfn.IFNA(_xlfn.XLOOKUP(1,([1]!readmissions[Facility ID] = clean[[#This Row],[Facility ID]]) * ([1]!readmissions[Measure ID] = "Hybrid_HWR"), [1]!readmissions[Score]), "No Match")</f>
        <v>15.1</v>
      </c>
    </row>
    <row r="2457" spans="1:6" x14ac:dyDescent="0.2">
      <c r="A2457">
        <f>[1]!hospitalinfo[[#This Row],[Facility ID]]</f>
        <v>231324</v>
      </c>
      <c r="B2457" t="str">
        <f>[1]!hospitalinfo[[#This Row],[State]]</f>
        <v>MI</v>
      </c>
      <c r="C2457" t="str">
        <f>[1]!hospitalinfo[[#This Row],[Hospital Type]]</f>
        <v>Critical Access Hospitals</v>
      </c>
      <c r="D2457" t="str">
        <f>[1]!hospitalinfo[[#This Row],[Hospital Ownership]]</f>
        <v>Voluntary non-profit - Private</v>
      </c>
      <c r="E2457" t="str" cm="1">
        <f t="array" ref="E2457">_xlfn.IFNA(_xlfn.XLOOKUP(1,([1]!hcahps[Facility ID] = clean[[#This Row],[Facility ID]]) * ([1]!hcahps[HCAHPS Measure ID] = "H_HSP_RATING_LINEAR_SCORE"), [1]!hcahps[HCAHPS Linear Mean Value]), "No Match")</f>
        <v>Not Available</v>
      </c>
      <c r="F2457" cm="1">
        <f t="array" ref="F2457">_xlfn.IFNA(_xlfn.XLOOKUP(1,([1]!readmissions[Facility ID] = clean[[#This Row],[Facility ID]]) * ([1]!readmissions[Measure ID] = "Hybrid_HWR"), [1]!readmissions[Score]), "No Match")</f>
        <v>15.1</v>
      </c>
    </row>
    <row r="2458" spans="1:6" x14ac:dyDescent="0.2">
      <c r="A2458">
        <f>[1]!hospitalinfo[[#This Row],[Facility ID]]</f>
        <v>231325</v>
      </c>
      <c r="B2458" t="str">
        <f>[1]!hospitalinfo[[#This Row],[State]]</f>
        <v>MI</v>
      </c>
      <c r="C2458" t="str">
        <f>[1]!hospitalinfo[[#This Row],[Hospital Type]]</f>
        <v>Critical Access Hospitals</v>
      </c>
      <c r="D2458" t="str">
        <f>[1]!hospitalinfo[[#This Row],[Hospital Ownership]]</f>
        <v>Voluntary non-profit - Private</v>
      </c>
      <c r="E2458" cm="1">
        <f t="array" ref="E2458">_xlfn.IFNA(_xlfn.XLOOKUP(1,([1]!hcahps[Facility ID] = clean[[#This Row],[Facility ID]]) * ([1]!hcahps[HCAHPS Measure ID] = "H_HSP_RATING_LINEAR_SCORE"), [1]!hcahps[HCAHPS Linear Mean Value]), "No Match")</f>
        <v>94</v>
      </c>
      <c r="F2458" cm="1">
        <f t="array" ref="F2458">_xlfn.IFNA(_xlfn.XLOOKUP(1,([1]!readmissions[Facility ID] = clean[[#This Row],[Facility ID]]) * ([1]!readmissions[Measure ID] = "Hybrid_HWR"), [1]!readmissions[Score]), "No Match")</f>
        <v>14.7</v>
      </c>
    </row>
    <row r="2459" spans="1:6" x14ac:dyDescent="0.2">
      <c r="A2459">
        <f>[1]!hospitalinfo[[#This Row],[Facility ID]]</f>
        <v>231326</v>
      </c>
      <c r="B2459" t="str">
        <f>[1]!hospitalinfo[[#This Row],[State]]</f>
        <v>MI</v>
      </c>
      <c r="C2459" t="str">
        <f>[1]!hospitalinfo[[#This Row],[Hospital Type]]</f>
        <v>Critical Access Hospitals</v>
      </c>
      <c r="D2459" t="str">
        <f>[1]!hospitalinfo[[#This Row],[Hospital Ownership]]</f>
        <v>Proprietary</v>
      </c>
      <c r="E2459" cm="1">
        <f t="array" ref="E2459">_xlfn.IFNA(_xlfn.XLOOKUP(1,([1]!hcahps[Facility ID] = clean[[#This Row],[Facility ID]]) * ([1]!hcahps[HCAHPS Measure ID] = "H_HSP_RATING_LINEAR_SCORE"), [1]!hcahps[HCAHPS Linear Mean Value]), "No Match")</f>
        <v>93</v>
      </c>
      <c r="F2459" cm="1">
        <f t="array" ref="F2459">_xlfn.IFNA(_xlfn.XLOOKUP(1,([1]!readmissions[Facility ID] = clean[[#This Row],[Facility ID]]) * ([1]!readmissions[Measure ID] = "Hybrid_HWR"), [1]!readmissions[Score]), "No Match")</f>
        <v>15</v>
      </c>
    </row>
    <row r="2460" spans="1:6" x14ac:dyDescent="0.2">
      <c r="A2460">
        <f>[1]!hospitalinfo[[#This Row],[Facility ID]]</f>
        <v>231327</v>
      </c>
      <c r="B2460" t="str">
        <f>[1]!hospitalinfo[[#This Row],[State]]</f>
        <v>MI</v>
      </c>
      <c r="C2460" t="str">
        <f>[1]!hospitalinfo[[#This Row],[Hospital Type]]</f>
        <v>Critical Access Hospitals</v>
      </c>
      <c r="D2460" t="str">
        <f>[1]!hospitalinfo[[#This Row],[Hospital Ownership]]</f>
        <v>Voluntary non-profit - Other</v>
      </c>
      <c r="E2460" cm="1">
        <f t="array" ref="E2460">_xlfn.IFNA(_xlfn.XLOOKUP(1,([1]!hcahps[Facility ID] = clean[[#This Row],[Facility ID]]) * ([1]!hcahps[HCAHPS Measure ID] = "H_HSP_RATING_LINEAR_SCORE"), [1]!hcahps[HCAHPS Linear Mean Value]), "No Match")</f>
        <v>90</v>
      </c>
      <c r="F2460" cm="1">
        <f t="array" ref="F2460">_xlfn.IFNA(_xlfn.XLOOKUP(1,([1]!readmissions[Facility ID] = clean[[#This Row],[Facility ID]]) * ([1]!readmissions[Measure ID] = "Hybrid_HWR"), [1]!readmissions[Score]), "No Match")</f>
        <v>15</v>
      </c>
    </row>
    <row r="2461" spans="1:6" x14ac:dyDescent="0.2">
      <c r="A2461">
        <f>[1]!hospitalinfo[[#This Row],[Facility ID]]</f>
        <v>231328</v>
      </c>
      <c r="B2461" t="str">
        <f>[1]!hospitalinfo[[#This Row],[State]]</f>
        <v>MI</v>
      </c>
      <c r="C2461" t="str">
        <f>[1]!hospitalinfo[[#This Row],[Hospital Type]]</f>
        <v>Critical Access Hospitals</v>
      </c>
      <c r="D2461" t="str">
        <f>[1]!hospitalinfo[[#This Row],[Hospital Ownership]]</f>
        <v>Voluntary non-profit - Private</v>
      </c>
      <c r="E2461" t="str" cm="1">
        <f t="array" ref="E2461">_xlfn.IFNA(_xlfn.XLOOKUP(1,([1]!hcahps[Facility ID] = clean[[#This Row],[Facility ID]]) * ([1]!hcahps[HCAHPS Measure ID] = "H_HSP_RATING_LINEAR_SCORE"), [1]!hcahps[HCAHPS Linear Mean Value]), "No Match")</f>
        <v>Not Available</v>
      </c>
      <c r="F2461" cm="1">
        <f t="array" ref="F2461">_xlfn.IFNA(_xlfn.XLOOKUP(1,([1]!readmissions[Facility ID] = clean[[#This Row],[Facility ID]]) * ([1]!readmissions[Measure ID] = "Hybrid_HWR"), [1]!readmissions[Score]), "No Match")</f>
        <v>14.9</v>
      </c>
    </row>
    <row r="2462" spans="1:6" x14ac:dyDescent="0.2">
      <c r="A2462">
        <f>[1]!hospitalinfo[[#This Row],[Facility ID]]</f>
        <v>231329</v>
      </c>
      <c r="B2462" t="str">
        <f>[1]!hospitalinfo[[#This Row],[State]]</f>
        <v>MI</v>
      </c>
      <c r="C2462" t="str">
        <f>[1]!hospitalinfo[[#This Row],[Hospital Type]]</f>
        <v>Critical Access Hospitals</v>
      </c>
      <c r="D2462" t="str">
        <f>[1]!hospitalinfo[[#This Row],[Hospital Ownership]]</f>
        <v>Voluntary non-profit - Private</v>
      </c>
      <c r="E2462" t="str" cm="1">
        <f t="array" ref="E2462">_xlfn.IFNA(_xlfn.XLOOKUP(1,([1]!hcahps[Facility ID] = clean[[#This Row],[Facility ID]]) * ([1]!hcahps[HCAHPS Measure ID] = "H_HSP_RATING_LINEAR_SCORE"), [1]!hcahps[HCAHPS Linear Mean Value]), "No Match")</f>
        <v>Not Available</v>
      </c>
      <c r="F2462" t="str" cm="1">
        <f t="array" ref="F2462">_xlfn.IFNA(_xlfn.XLOOKUP(1,([1]!readmissions[Facility ID] = clean[[#This Row],[Facility ID]]) * ([1]!readmissions[Measure ID] = "Hybrid_HWR"), [1]!readmissions[Score]), "No Match")</f>
        <v>Not Available</v>
      </c>
    </row>
    <row r="2463" spans="1:6" x14ac:dyDescent="0.2">
      <c r="A2463">
        <f>[1]!hospitalinfo[[#This Row],[Facility ID]]</f>
        <v>231330</v>
      </c>
      <c r="B2463" t="str">
        <f>[1]!hospitalinfo[[#This Row],[State]]</f>
        <v>MI</v>
      </c>
      <c r="C2463" t="str">
        <f>[1]!hospitalinfo[[#This Row],[Hospital Type]]</f>
        <v>Critical Access Hospitals</v>
      </c>
      <c r="D2463" t="str">
        <f>[1]!hospitalinfo[[#This Row],[Hospital Ownership]]</f>
        <v>Voluntary non-profit - Private</v>
      </c>
      <c r="E2463" t="str" cm="1">
        <f t="array" ref="E2463">_xlfn.IFNA(_xlfn.XLOOKUP(1,([1]!hcahps[Facility ID] = clean[[#This Row],[Facility ID]]) * ([1]!hcahps[HCAHPS Measure ID] = "H_HSP_RATING_LINEAR_SCORE"), [1]!hcahps[HCAHPS Linear Mean Value]), "No Match")</f>
        <v>Not Available</v>
      </c>
      <c r="F2463" cm="1">
        <f t="array" ref="F2463">_xlfn.IFNA(_xlfn.XLOOKUP(1,([1]!readmissions[Facility ID] = clean[[#This Row],[Facility ID]]) * ([1]!readmissions[Measure ID] = "Hybrid_HWR"), [1]!readmissions[Score]), "No Match")</f>
        <v>15</v>
      </c>
    </row>
    <row r="2464" spans="1:6" x14ac:dyDescent="0.2">
      <c r="A2464">
        <f>[1]!hospitalinfo[[#This Row],[Facility ID]]</f>
        <v>231331</v>
      </c>
      <c r="B2464" t="str">
        <f>[1]!hospitalinfo[[#This Row],[State]]</f>
        <v>MI</v>
      </c>
      <c r="C2464" t="str">
        <f>[1]!hospitalinfo[[#This Row],[Hospital Type]]</f>
        <v>Critical Access Hospitals</v>
      </c>
      <c r="D2464" t="str">
        <f>[1]!hospitalinfo[[#This Row],[Hospital Ownership]]</f>
        <v>Voluntary non-profit - Private</v>
      </c>
      <c r="E2464" cm="1">
        <f t="array" ref="E2464">_xlfn.IFNA(_xlfn.XLOOKUP(1,([1]!hcahps[Facility ID] = clean[[#This Row],[Facility ID]]) * ([1]!hcahps[HCAHPS Measure ID] = "H_HSP_RATING_LINEAR_SCORE"), [1]!hcahps[HCAHPS Linear Mean Value]), "No Match")</f>
        <v>89</v>
      </c>
      <c r="F2464" cm="1">
        <f t="array" ref="F2464">_xlfn.IFNA(_xlfn.XLOOKUP(1,([1]!readmissions[Facility ID] = clean[[#This Row],[Facility ID]]) * ([1]!readmissions[Measure ID] = "Hybrid_HWR"), [1]!readmissions[Score]), "No Match")</f>
        <v>15.2</v>
      </c>
    </row>
    <row r="2465" spans="1:6" x14ac:dyDescent="0.2">
      <c r="A2465">
        <f>[1]!hospitalinfo[[#This Row],[Facility ID]]</f>
        <v>231332</v>
      </c>
      <c r="B2465" t="str">
        <f>[1]!hospitalinfo[[#This Row],[State]]</f>
        <v>MI</v>
      </c>
      <c r="C2465" t="str">
        <f>[1]!hospitalinfo[[#This Row],[Hospital Type]]</f>
        <v>Critical Access Hospitals</v>
      </c>
      <c r="D2465" t="str">
        <f>[1]!hospitalinfo[[#This Row],[Hospital Ownership]]</f>
        <v>Voluntary non-profit - Private</v>
      </c>
      <c r="E2465" cm="1">
        <f t="array" ref="E2465">_xlfn.IFNA(_xlfn.XLOOKUP(1,([1]!hcahps[Facility ID] = clean[[#This Row],[Facility ID]]) * ([1]!hcahps[HCAHPS Measure ID] = "H_HSP_RATING_LINEAR_SCORE"), [1]!hcahps[HCAHPS Linear Mean Value]), "No Match")</f>
        <v>93</v>
      </c>
      <c r="F2465" cm="1">
        <f t="array" ref="F2465">_xlfn.IFNA(_xlfn.XLOOKUP(1,([1]!readmissions[Facility ID] = clean[[#This Row],[Facility ID]]) * ([1]!readmissions[Measure ID] = "Hybrid_HWR"), [1]!readmissions[Score]), "No Match")</f>
        <v>14.8</v>
      </c>
    </row>
    <row r="2466" spans="1:6" x14ac:dyDescent="0.2">
      <c r="A2466">
        <f>[1]!hospitalinfo[[#This Row],[Facility ID]]</f>
        <v>231333</v>
      </c>
      <c r="B2466" t="str">
        <f>[1]!hospitalinfo[[#This Row],[State]]</f>
        <v>MI</v>
      </c>
      <c r="C2466" t="str">
        <f>[1]!hospitalinfo[[#This Row],[Hospital Type]]</f>
        <v>Critical Access Hospitals</v>
      </c>
      <c r="D2466" t="str">
        <f>[1]!hospitalinfo[[#This Row],[Hospital Ownership]]</f>
        <v>Voluntary non-profit - Private</v>
      </c>
      <c r="E2466" cm="1">
        <f t="array" ref="E2466">_xlfn.IFNA(_xlfn.XLOOKUP(1,([1]!hcahps[Facility ID] = clean[[#This Row],[Facility ID]]) * ([1]!hcahps[HCAHPS Measure ID] = "H_HSP_RATING_LINEAR_SCORE"), [1]!hcahps[HCAHPS Linear Mean Value]), "No Match")</f>
        <v>86</v>
      </c>
      <c r="F2466" cm="1">
        <f t="array" ref="F2466">_xlfn.IFNA(_xlfn.XLOOKUP(1,([1]!readmissions[Facility ID] = clean[[#This Row],[Facility ID]]) * ([1]!readmissions[Measure ID] = "Hybrid_HWR"), [1]!readmissions[Score]), "No Match")</f>
        <v>15.6</v>
      </c>
    </row>
    <row r="2467" spans="1:6" x14ac:dyDescent="0.2">
      <c r="A2467">
        <f>[1]!hospitalinfo[[#This Row],[Facility ID]]</f>
        <v>231337</v>
      </c>
      <c r="B2467" t="str">
        <f>[1]!hospitalinfo[[#This Row],[State]]</f>
        <v>MI</v>
      </c>
      <c r="C2467" t="str">
        <f>[1]!hospitalinfo[[#This Row],[Hospital Type]]</f>
        <v>Critical Access Hospitals</v>
      </c>
      <c r="D2467" t="str">
        <f>[1]!hospitalinfo[[#This Row],[Hospital Ownership]]</f>
        <v>Voluntary non-profit - Church</v>
      </c>
      <c r="E2467" cm="1">
        <f t="array" ref="E2467">_xlfn.IFNA(_xlfn.XLOOKUP(1,([1]!hcahps[Facility ID] = clean[[#This Row],[Facility ID]]) * ([1]!hcahps[HCAHPS Measure ID] = "H_HSP_RATING_LINEAR_SCORE"), [1]!hcahps[HCAHPS Linear Mean Value]), "No Match")</f>
        <v>89</v>
      </c>
      <c r="F2467" cm="1">
        <f t="array" ref="F2467">_xlfn.IFNA(_xlfn.XLOOKUP(1,([1]!readmissions[Facility ID] = clean[[#This Row],[Facility ID]]) * ([1]!readmissions[Measure ID] = "Hybrid_HWR"), [1]!readmissions[Score]), "No Match")</f>
        <v>15.4</v>
      </c>
    </row>
    <row r="2468" spans="1:6" x14ac:dyDescent="0.2">
      <c r="A2468">
        <f>[1]!hospitalinfo[[#This Row],[Facility ID]]</f>
        <v>231338</v>
      </c>
      <c r="B2468" t="str">
        <f>[1]!hospitalinfo[[#This Row],[State]]</f>
        <v>MI</v>
      </c>
      <c r="C2468" t="str">
        <f>[1]!hospitalinfo[[#This Row],[Hospital Type]]</f>
        <v>Critical Access Hospitals</v>
      </c>
      <c r="D2468" t="str">
        <f>[1]!hospitalinfo[[#This Row],[Hospital Ownership]]</f>
        <v>Voluntary non-profit - Private</v>
      </c>
      <c r="E2468" cm="1">
        <f t="array" ref="E2468">_xlfn.IFNA(_xlfn.XLOOKUP(1,([1]!hcahps[Facility ID] = clean[[#This Row],[Facility ID]]) * ([1]!hcahps[HCAHPS Measure ID] = "H_HSP_RATING_LINEAR_SCORE"), [1]!hcahps[HCAHPS Linear Mean Value]), "No Match")</f>
        <v>93</v>
      </c>
      <c r="F2468" cm="1">
        <f t="array" ref="F2468">_xlfn.IFNA(_xlfn.XLOOKUP(1,([1]!readmissions[Facility ID] = clean[[#This Row],[Facility ID]]) * ([1]!readmissions[Measure ID] = "Hybrid_HWR"), [1]!readmissions[Score]), "No Match")</f>
        <v>15</v>
      </c>
    </row>
    <row r="2469" spans="1:6" x14ac:dyDescent="0.2">
      <c r="A2469">
        <f>[1]!hospitalinfo[[#This Row],[Facility ID]]</f>
        <v>231339</v>
      </c>
      <c r="B2469" t="str">
        <f>[1]!hospitalinfo[[#This Row],[State]]</f>
        <v>MI</v>
      </c>
      <c r="C2469" t="str">
        <f>[1]!hospitalinfo[[#This Row],[Hospital Type]]</f>
        <v>Critical Access Hospitals</v>
      </c>
      <c r="D2469" t="str">
        <f>[1]!hospitalinfo[[#This Row],[Hospital Ownership]]</f>
        <v>Voluntary non-profit - Other</v>
      </c>
      <c r="E2469" cm="1">
        <f t="array" ref="E2469">_xlfn.IFNA(_xlfn.XLOOKUP(1,([1]!hcahps[Facility ID] = clean[[#This Row],[Facility ID]]) * ([1]!hcahps[HCAHPS Measure ID] = "H_HSP_RATING_LINEAR_SCORE"), [1]!hcahps[HCAHPS Linear Mean Value]), "No Match")</f>
        <v>89</v>
      </c>
      <c r="F2469" cm="1">
        <f t="array" ref="F2469">_xlfn.IFNA(_xlfn.XLOOKUP(1,([1]!readmissions[Facility ID] = clean[[#This Row],[Facility ID]]) * ([1]!readmissions[Measure ID] = "Hybrid_HWR"), [1]!readmissions[Score]), "No Match")</f>
        <v>14.4</v>
      </c>
    </row>
    <row r="2470" spans="1:6" x14ac:dyDescent="0.2">
      <c r="A2470">
        <f>[1]!hospitalinfo[[#This Row],[Facility ID]]</f>
        <v>231340</v>
      </c>
      <c r="B2470" t="str">
        <f>[1]!hospitalinfo[[#This Row],[State]]</f>
        <v>MI</v>
      </c>
      <c r="C2470" t="str">
        <f>[1]!hospitalinfo[[#This Row],[Hospital Type]]</f>
        <v>Critical Access Hospitals</v>
      </c>
      <c r="D2470" t="str">
        <f>[1]!hospitalinfo[[#This Row],[Hospital Ownership]]</f>
        <v>Voluntary non-profit - Private</v>
      </c>
      <c r="E2470" cm="1">
        <f t="array" ref="E2470">_xlfn.IFNA(_xlfn.XLOOKUP(1,([1]!hcahps[Facility ID] = clean[[#This Row],[Facility ID]]) * ([1]!hcahps[HCAHPS Measure ID] = "H_HSP_RATING_LINEAR_SCORE"), [1]!hcahps[HCAHPS Linear Mean Value]), "No Match")</f>
        <v>88</v>
      </c>
      <c r="F2470" cm="1">
        <f t="array" ref="F2470">_xlfn.IFNA(_xlfn.XLOOKUP(1,([1]!readmissions[Facility ID] = clean[[#This Row],[Facility ID]]) * ([1]!readmissions[Measure ID] = "Hybrid_HWR"), [1]!readmissions[Score]), "No Match")</f>
        <v>14.2</v>
      </c>
    </row>
    <row r="2471" spans="1:6" x14ac:dyDescent="0.2">
      <c r="A2471">
        <f>[1]!hospitalinfo[[#This Row],[Facility ID]]</f>
        <v>233300</v>
      </c>
      <c r="B2471" t="str">
        <f>[1]!hospitalinfo[[#This Row],[State]]</f>
        <v>MI</v>
      </c>
      <c r="C2471" t="str">
        <f>[1]!hospitalinfo[[#This Row],[Hospital Type]]</f>
        <v>Childrens</v>
      </c>
      <c r="D2471" t="str">
        <f>[1]!hospitalinfo[[#This Row],[Hospital Ownership]]</f>
        <v>Proprietary</v>
      </c>
      <c r="E2471" t="str" cm="1">
        <f t="array" ref="E2471">_xlfn.IFNA(_xlfn.XLOOKUP(1,([1]!hcahps[Facility ID] = clean[[#This Row],[Facility ID]]) * ([1]!hcahps[HCAHPS Measure ID] = "H_HSP_RATING_LINEAR_SCORE"), [1]!hcahps[HCAHPS Linear Mean Value]), "No Match")</f>
        <v>Not Available</v>
      </c>
      <c r="F2471" t="str" cm="1">
        <f t="array" ref="F2471">_xlfn.IFNA(_xlfn.XLOOKUP(1,([1]!readmissions[Facility ID] = clean[[#This Row],[Facility ID]]) * ([1]!readmissions[Measure ID] = "Hybrid_HWR"), [1]!readmissions[Score]), "No Match")</f>
        <v>Not Available</v>
      </c>
    </row>
    <row r="2472" spans="1:6" x14ac:dyDescent="0.2">
      <c r="A2472">
        <f>[1]!hospitalinfo[[#This Row],[Facility ID]]</f>
        <v>234006</v>
      </c>
      <c r="B2472" t="str">
        <f>[1]!hospitalinfo[[#This Row],[State]]</f>
        <v>MI</v>
      </c>
      <c r="C2472" t="str">
        <f>[1]!hospitalinfo[[#This Row],[Hospital Type]]</f>
        <v>Psychiatric</v>
      </c>
      <c r="D2472" t="str">
        <f>[1]!hospitalinfo[[#This Row],[Hospital Ownership]]</f>
        <v>Government - Federal</v>
      </c>
      <c r="E2472" t="str" cm="1">
        <f t="array" ref="E2472">_xlfn.IFNA(_xlfn.XLOOKUP(1,([1]!hcahps[Facility ID] = clean[[#This Row],[Facility ID]]) * ([1]!hcahps[HCAHPS Measure ID] = "H_HSP_RATING_LINEAR_SCORE"), [1]!hcahps[HCAHPS Linear Mean Value]), "No Match")</f>
        <v>No Match</v>
      </c>
      <c r="F2472" t="str" cm="1">
        <f t="array" ref="F2472">_xlfn.IFNA(_xlfn.XLOOKUP(1,([1]!readmissions[Facility ID] = clean[[#This Row],[Facility ID]]) * ([1]!readmissions[Measure ID] = "Hybrid_HWR"), [1]!readmissions[Score]), "No Match")</f>
        <v>No Match</v>
      </c>
    </row>
    <row r="2473" spans="1:6" x14ac:dyDescent="0.2">
      <c r="A2473">
        <f>[1]!hospitalinfo[[#This Row],[Facility ID]]</f>
        <v>234011</v>
      </c>
      <c r="B2473" t="str">
        <f>[1]!hospitalinfo[[#This Row],[State]]</f>
        <v>MI</v>
      </c>
      <c r="C2473" t="str">
        <f>[1]!hospitalinfo[[#This Row],[Hospital Type]]</f>
        <v>Psychiatric</v>
      </c>
      <c r="D2473" t="str">
        <f>[1]!hospitalinfo[[#This Row],[Hospital Ownership]]</f>
        <v>Voluntary non-profit - Private</v>
      </c>
      <c r="E2473" t="str" cm="1">
        <f t="array" ref="E2473">_xlfn.IFNA(_xlfn.XLOOKUP(1,([1]!hcahps[Facility ID] = clean[[#This Row],[Facility ID]]) * ([1]!hcahps[HCAHPS Measure ID] = "H_HSP_RATING_LINEAR_SCORE"), [1]!hcahps[HCAHPS Linear Mean Value]), "No Match")</f>
        <v>No Match</v>
      </c>
      <c r="F2473" t="str" cm="1">
        <f t="array" ref="F2473">_xlfn.IFNA(_xlfn.XLOOKUP(1,([1]!readmissions[Facility ID] = clean[[#This Row],[Facility ID]]) * ([1]!readmissions[Measure ID] = "Hybrid_HWR"), [1]!readmissions[Score]), "No Match")</f>
        <v>No Match</v>
      </c>
    </row>
    <row r="2474" spans="1:6" x14ac:dyDescent="0.2">
      <c r="A2474">
        <f>[1]!hospitalinfo[[#This Row],[Facility ID]]</f>
        <v>234021</v>
      </c>
      <c r="B2474" t="str">
        <f>[1]!hospitalinfo[[#This Row],[State]]</f>
        <v>MI</v>
      </c>
      <c r="C2474" t="str">
        <f>[1]!hospitalinfo[[#This Row],[Hospital Type]]</f>
        <v>Psychiatric</v>
      </c>
      <c r="D2474" t="str">
        <f>[1]!hospitalinfo[[#This Row],[Hospital Ownership]]</f>
        <v>Proprietary</v>
      </c>
      <c r="E2474" t="str" cm="1">
        <f t="array" ref="E2474">_xlfn.IFNA(_xlfn.XLOOKUP(1,([1]!hcahps[Facility ID] = clean[[#This Row],[Facility ID]]) * ([1]!hcahps[HCAHPS Measure ID] = "H_HSP_RATING_LINEAR_SCORE"), [1]!hcahps[HCAHPS Linear Mean Value]), "No Match")</f>
        <v>No Match</v>
      </c>
      <c r="F2474" t="str" cm="1">
        <f t="array" ref="F2474">_xlfn.IFNA(_xlfn.XLOOKUP(1,([1]!readmissions[Facility ID] = clean[[#This Row],[Facility ID]]) * ([1]!readmissions[Measure ID] = "Hybrid_HWR"), [1]!readmissions[Score]), "No Match")</f>
        <v>No Match</v>
      </c>
    </row>
    <row r="2475" spans="1:6" x14ac:dyDescent="0.2">
      <c r="A2475">
        <f>[1]!hospitalinfo[[#This Row],[Facility ID]]</f>
        <v>234023</v>
      </c>
      <c r="B2475" t="str">
        <f>[1]!hospitalinfo[[#This Row],[State]]</f>
        <v>MI</v>
      </c>
      <c r="C2475" t="str">
        <f>[1]!hospitalinfo[[#This Row],[Hospital Type]]</f>
        <v>Psychiatric</v>
      </c>
      <c r="D2475" t="str">
        <f>[1]!hospitalinfo[[#This Row],[Hospital Ownership]]</f>
        <v>Proprietary</v>
      </c>
      <c r="E2475" t="str" cm="1">
        <f t="array" ref="E2475">_xlfn.IFNA(_xlfn.XLOOKUP(1,([1]!hcahps[Facility ID] = clean[[#This Row],[Facility ID]]) * ([1]!hcahps[HCAHPS Measure ID] = "H_HSP_RATING_LINEAR_SCORE"), [1]!hcahps[HCAHPS Linear Mean Value]), "No Match")</f>
        <v>No Match</v>
      </c>
      <c r="F2475" t="str" cm="1">
        <f t="array" ref="F2475">_xlfn.IFNA(_xlfn.XLOOKUP(1,([1]!readmissions[Facility ID] = clean[[#This Row],[Facility ID]]) * ([1]!readmissions[Measure ID] = "Hybrid_HWR"), [1]!readmissions[Score]), "No Match")</f>
        <v>No Match</v>
      </c>
    </row>
    <row r="2476" spans="1:6" x14ac:dyDescent="0.2">
      <c r="A2476">
        <f>[1]!hospitalinfo[[#This Row],[Facility ID]]</f>
        <v>234025</v>
      </c>
      <c r="B2476" t="str">
        <f>[1]!hospitalinfo[[#This Row],[State]]</f>
        <v>MI</v>
      </c>
      <c r="C2476" t="str">
        <f>[1]!hospitalinfo[[#This Row],[Hospital Type]]</f>
        <v>Psychiatric</v>
      </c>
      <c r="D2476" t="str">
        <f>[1]!hospitalinfo[[#This Row],[Hospital Ownership]]</f>
        <v>Government - State</v>
      </c>
      <c r="E2476" t="str" cm="1">
        <f t="array" ref="E2476">_xlfn.IFNA(_xlfn.XLOOKUP(1,([1]!hcahps[Facility ID] = clean[[#This Row],[Facility ID]]) * ([1]!hcahps[HCAHPS Measure ID] = "H_HSP_RATING_LINEAR_SCORE"), [1]!hcahps[HCAHPS Linear Mean Value]), "No Match")</f>
        <v>No Match</v>
      </c>
      <c r="F2476" t="str" cm="1">
        <f t="array" ref="F2476">_xlfn.IFNA(_xlfn.XLOOKUP(1,([1]!readmissions[Facility ID] = clean[[#This Row],[Facility ID]]) * ([1]!readmissions[Measure ID] = "Hybrid_HWR"), [1]!readmissions[Score]), "No Match")</f>
        <v>No Match</v>
      </c>
    </row>
    <row r="2477" spans="1:6" x14ac:dyDescent="0.2">
      <c r="A2477">
        <f>[1]!hospitalinfo[[#This Row],[Facility ID]]</f>
        <v>234026</v>
      </c>
      <c r="B2477" t="str">
        <f>[1]!hospitalinfo[[#This Row],[State]]</f>
        <v>MI</v>
      </c>
      <c r="C2477" t="str">
        <f>[1]!hospitalinfo[[#This Row],[Hospital Type]]</f>
        <v>Psychiatric</v>
      </c>
      <c r="D2477" t="str">
        <f>[1]!hospitalinfo[[#This Row],[Hospital Ownership]]</f>
        <v>Government - State</v>
      </c>
      <c r="E2477" t="str" cm="1">
        <f t="array" ref="E2477">_xlfn.IFNA(_xlfn.XLOOKUP(1,([1]!hcahps[Facility ID] = clean[[#This Row],[Facility ID]]) * ([1]!hcahps[HCAHPS Measure ID] = "H_HSP_RATING_LINEAR_SCORE"), [1]!hcahps[HCAHPS Linear Mean Value]), "No Match")</f>
        <v>No Match</v>
      </c>
      <c r="F2477" t="str" cm="1">
        <f t="array" ref="F2477">_xlfn.IFNA(_xlfn.XLOOKUP(1,([1]!readmissions[Facility ID] = clean[[#This Row],[Facility ID]]) * ([1]!readmissions[Measure ID] = "Hybrid_HWR"), [1]!readmissions[Score]), "No Match")</f>
        <v>No Match</v>
      </c>
    </row>
    <row r="2478" spans="1:6" x14ac:dyDescent="0.2">
      <c r="A2478">
        <f>[1]!hospitalinfo[[#This Row],[Facility ID]]</f>
        <v>234030</v>
      </c>
      <c r="B2478" t="str">
        <f>[1]!hospitalinfo[[#This Row],[State]]</f>
        <v>MI</v>
      </c>
      <c r="C2478" t="str">
        <f>[1]!hospitalinfo[[#This Row],[Hospital Type]]</f>
        <v>Psychiatric</v>
      </c>
      <c r="D2478" t="str">
        <f>[1]!hospitalinfo[[#This Row],[Hospital Ownership]]</f>
        <v>Proprietary</v>
      </c>
      <c r="E2478" t="str" cm="1">
        <f t="array" ref="E2478">_xlfn.IFNA(_xlfn.XLOOKUP(1,([1]!hcahps[Facility ID] = clean[[#This Row],[Facility ID]]) * ([1]!hcahps[HCAHPS Measure ID] = "H_HSP_RATING_LINEAR_SCORE"), [1]!hcahps[HCAHPS Linear Mean Value]), "No Match")</f>
        <v>No Match</v>
      </c>
      <c r="F2478" t="str" cm="1">
        <f t="array" ref="F2478">_xlfn.IFNA(_xlfn.XLOOKUP(1,([1]!readmissions[Facility ID] = clean[[#This Row],[Facility ID]]) * ([1]!readmissions[Measure ID] = "Hybrid_HWR"), [1]!readmissions[Score]), "No Match")</f>
        <v>No Match</v>
      </c>
    </row>
    <row r="2479" spans="1:6" x14ac:dyDescent="0.2">
      <c r="A2479">
        <f>[1]!hospitalinfo[[#This Row],[Facility ID]]</f>
        <v>234035</v>
      </c>
      <c r="B2479" t="str">
        <f>[1]!hospitalinfo[[#This Row],[State]]</f>
        <v>MI</v>
      </c>
      <c r="C2479" t="str">
        <f>[1]!hospitalinfo[[#This Row],[Hospital Type]]</f>
        <v>Psychiatric</v>
      </c>
      <c r="D2479" t="str">
        <f>[1]!hospitalinfo[[#This Row],[Hospital Ownership]]</f>
        <v>Government - State</v>
      </c>
      <c r="E2479" t="str" cm="1">
        <f t="array" ref="E2479">_xlfn.IFNA(_xlfn.XLOOKUP(1,([1]!hcahps[Facility ID] = clean[[#This Row],[Facility ID]]) * ([1]!hcahps[HCAHPS Measure ID] = "H_HSP_RATING_LINEAR_SCORE"), [1]!hcahps[HCAHPS Linear Mean Value]), "No Match")</f>
        <v>No Match</v>
      </c>
      <c r="F2479" t="str" cm="1">
        <f t="array" ref="F2479">_xlfn.IFNA(_xlfn.XLOOKUP(1,([1]!readmissions[Facility ID] = clean[[#This Row],[Facility ID]]) * ([1]!readmissions[Measure ID] = "Hybrid_HWR"), [1]!readmissions[Score]), "No Match")</f>
        <v>No Match</v>
      </c>
    </row>
    <row r="2480" spans="1:6" x14ac:dyDescent="0.2">
      <c r="A2480">
        <f>[1]!hospitalinfo[[#This Row],[Facility ID]]</f>
        <v>234038</v>
      </c>
      <c r="B2480" t="str">
        <f>[1]!hospitalinfo[[#This Row],[State]]</f>
        <v>MI</v>
      </c>
      <c r="C2480" t="str">
        <f>[1]!hospitalinfo[[#This Row],[Hospital Type]]</f>
        <v>Psychiatric</v>
      </c>
      <c r="D2480" t="str">
        <f>[1]!hospitalinfo[[#This Row],[Hospital Ownership]]</f>
        <v>Proprietary</v>
      </c>
      <c r="E2480" t="str" cm="1">
        <f t="array" ref="E2480">_xlfn.IFNA(_xlfn.XLOOKUP(1,([1]!hcahps[Facility ID] = clean[[#This Row],[Facility ID]]) * ([1]!hcahps[HCAHPS Measure ID] = "H_HSP_RATING_LINEAR_SCORE"), [1]!hcahps[HCAHPS Linear Mean Value]), "No Match")</f>
        <v>No Match</v>
      </c>
      <c r="F2480" t="str" cm="1">
        <f t="array" ref="F2480">_xlfn.IFNA(_xlfn.XLOOKUP(1,([1]!readmissions[Facility ID] = clean[[#This Row],[Facility ID]]) * ([1]!readmissions[Measure ID] = "Hybrid_HWR"), [1]!readmissions[Score]), "No Match")</f>
        <v>No Match</v>
      </c>
    </row>
    <row r="2481" spans="1:6" x14ac:dyDescent="0.2">
      <c r="A2481">
        <f>[1]!hospitalinfo[[#This Row],[Facility ID]]</f>
        <v>234040</v>
      </c>
      <c r="B2481" t="str">
        <f>[1]!hospitalinfo[[#This Row],[State]]</f>
        <v>MI</v>
      </c>
      <c r="C2481" t="str">
        <f>[1]!hospitalinfo[[#This Row],[Hospital Type]]</f>
        <v>Psychiatric</v>
      </c>
      <c r="D2481" t="str">
        <f>[1]!hospitalinfo[[#This Row],[Hospital Ownership]]</f>
        <v>Voluntary non-profit - Private</v>
      </c>
      <c r="E2481" t="str" cm="1">
        <f t="array" ref="E2481">_xlfn.IFNA(_xlfn.XLOOKUP(1,([1]!hcahps[Facility ID] = clean[[#This Row],[Facility ID]]) * ([1]!hcahps[HCAHPS Measure ID] = "H_HSP_RATING_LINEAR_SCORE"), [1]!hcahps[HCAHPS Linear Mean Value]), "No Match")</f>
        <v>No Match</v>
      </c>
      <c r="F2481" t="str" cm="1">
        <f t="array" ref="F2481">_xlfn.IFNA(_xlfn.XLOOKUP(1,([1]!readmissions[Facility ID] = clean[[#This Row],[Facility ID]]) * ([1]!readmissions[Measure ID] = "Hybrid_HWR"), [1]!readmissions[Score]), "No Match")</f>
        <v>No Match</v>
      </c>
    </row>
    <row r="2482" spans="1:6" x14ac:dyDescent="0.2">
      <c r="A2482">
        <f>[1]!hospitalinfo[[#This Row],[Facility ID]]</f>
        <v>234041</v>
      </c>
      <c r="B2482" t="str">
        <f>[1]!hospitalinfo[[#This Row],[State]]</f>
        <v>MI</v>
      </c>
      <c r="C2482" t="str">
        <f>[1]!hospitalinfo[[#This Row],[Hospital Type]]</f>
        <v>Psychiatric</v>
      </c>
      <c r="D2482" t="str">
        <f>[1]!hospitalinfo[[#This Row],[Hospital Ownership]]</f>
        <v>Government - State</v>
      </c>
      <c r="E2482" t="str" cm="1">
        <f t="array" ref="E2482">_xlfn.IFNA(_xlfn.XLOOKUP(1,([1]!hcahps[Facility ID] = clean[[#This Row],[Facility ID]]) * ([1]!hcahps[HCAHPS Measure ID] = "H_HSP_RATING_LINEAR_SCORE"), [1]!hcahps[HCAHPS Linear Mean Value]), "No Match")</f>
        <v>No Match</v>
      </c>
      <c r="F2482" t="str" cm="1">
        <f t="array" ref="F2482">_xlfn.IFNA(_xlfn.XLOOKUP(1,([1]!readmissions[Facility ID] = clean[[#This Row],[Facility ID]]) * ([1]!readmissions[Measure ID] = "Hybrid_HWR"), [1]!readmissions[Score]), "No Match")</f>
        <v>No Match</v>
      </c>
    </row>
    <row r="2483" spans="1:6" x14ac:dyDescent="0.2">
      <c r="A2483">
        <f>[1]!hospitalinfo[[#This Row],[Facility ID]]</f>
        <v>234042</v>
      </c>
      <c r="B2483" t="str">
        <f>[1]!hospitalinfo[[#This Row],[State]]</f>
        <v>MI</v>
      </c>
      <c r="C2483" t="str">
        <f>[1]!hospitalinfo[[#This Row],[Hospital Type]]</f>
        <v>Psychiatric</v>
      </c>
      <c r="D2483" t="str">
        <f>[1]!hospitalinfo[[#This Row],[Hospital Ownership]]</f>
        <v>Proprietary</v>
      </c>
      <c r="E2483" t="str" cm="1">
        <f t="array" ref="E2483">_xlfn.IFNA(_xlfn.XLOOKUP(1,([1]!hcahps[Facility ID] = clean[[#This Row],[Facility ID]]) * ([1]!hcahps[HCAHPS Measure ID] = "H_HSP_RATING_LINEAR_SCORE"), [1]!hcahps[HCAHPS Linear Mean Value]), "No Match")</f>
        <v>No Match</v>
      </c>
      <c r="F2483" t="str" cm="1">
        <f t="array" ref="F2483">_xlfn.IFNA(_xlfn.XLOOKUP(1,([1]!readmissions[Facility ID] = clean[[#This Row],[Facility ID]]) * ([1]!readmissions[Measure ID] = "Hybrid_HWR"), [1]!readmissions[Score]), "No Match")</f>
        <v>No Match</v>
      </c>
    </row>
    <row r="2484" spans="1:6" x14ac:dyDescent="0.2">
      <c r="A2484">
        <f>[1]!hospitalinfo[[#This Row],[Facility ID]]</f>
        <v>234043</v>
      </c>
      <c r="B2484" t="str">
        <f>[1]!hospitalinfo[[#This Row],[State]]</f>
        <v>MI</v>
      </c>
      <c r="C2484" t="str">
        <f>[1]!hospitalinfo[[#This Row],[Hospital Type]]</f>
        <v>Psychiatric</v>
      </c>
      <c r="D2484" t="str">
        <f>[1]!hospitalinfo[[#This Row],[Hospital Ownership]]</f>
        <v>Proprietary</v>
      </c>
      <c r="E2484" t="str" cm="1">
        <f t="array" ref="E2484">_xlfn.IFNA(_xlfn.XLOOKUP(1,([1]!hcahps[Facility ID] = clean[[#This Row],[Facility ID]]) * ([1]!hcahps[HCAHPS Measure ID] = "H_HSP_RATING_LINEAR_SCORE"), [1]!hcahps[HCAHPS Linear Mean Value]), "No Match")</f>
        <v>No Match</v>
      </c>
      <c r="F2484" t="str" cm="1">
        <f t="array" ref="F2484">_xlfn.IFNA(_xlfn.XLOOKUP(1,([1]!readmissions[Facility ID] = clean[[#This Row],[Facility ID]]) * ([1]!readmissions[Measure ID] = "Hybrid_HWR"), [1]!readmissions[Score]), "No Match")</f>
        <v>No Match</v>
      </c>
    </row>
    <row r="2485" spans="1:6" x14ac:dyDescent="0.2">
      <c r="A2485">
        <f>[1]!hospitalinfo[[#This Row],[Facility ID]]</f>
        <v>234044</v>
      </c>
      <c r="B2485" t="str">
        <f>[1]!hospitalinfo[[#This Row],[State]]</f>
        <v>MI</v>
      </c>
      <c r="C2485" t="str">
        <f>[1]!hospitalinfo[[#This Row],[Hospital Type]]</f>
        <v>Psychiatric</v>
      </c>
      <c r="D2485" t="str">
        <f>[1]!hospitalinfo[[#This Row],[Hospital Ownership]]</f>
        <v>Proprietary</v>
      </c>
      <c r="E2485" t="str" cm="1">
        <f t="array" ref="E2485">_xlfn.IFNA(_xlfn.XLOOKUP(1,([1]!hcahps[Facility ID] = clean[[#This Row],[Facility ID]]) * ([1]!hcahps[HCAHPS Measure ID] = "H_HSP_RATING_LINEAR_SCORE"), [1]!hcahps[HCAHPS Linear Mean Value]), "No Match")</f>
        <v>No Match</v>
      </c>
      <c r="F2485" t="str" cm="1">
        <f t="array" ref="F2485">_xlfn.IFNA(_xlfn.XLOOKUP(1,([1]!readmissions[Facility ID] = clean[[#This Row],[Facility ID]]) * ([1]!readmissions[Measure ID] = "Hybrid_HWR"), [1]!readmissions[Score]), "No Match")</f>
        <v>No Match</v>
      </c>
    </row>
    <row r="2486" spans="1:6" x14ac:dyDescent="0.2">
      <c r="A2486">
        <f>[1]!hospitalinfo[[#This Row],[Facility ID]]</f>
        <v>234045</v>
      </c>
      <c r="B2486" t="str">
        <f>[1]!hospitalinfo[[#This Row],[State]]</f>
        <v>MI</v>
      </c>
      <c r="C2486" t="str">
        <f>[1]!hospitalinfo[[#This Row],[Hospital Type]]</f>
        <v>Psychiatric</v>
      </c>
      <c r="D2486" t="str">
        <f>[1]!hospitalinfo[[#This Row],[Hospital Ownership]]</f>
        <v>Proprietary</v>
      </c>
      <c r="E2486" t="str" cm="1">
        <f t="array" ref="E2486">_xlfn.IFNA(_xlfn.XLOOKUP(1,([1]!hcahps[Facility ID] = clean[[#This Row],[Facility ID]]) * ([1]!hcahps[HCAHPS Measure ID] = "H_HSP_RATING_LINEAR_SCORE"), [1]!hcahps[HCAHPS Linear Mean Value]), "No Match")</f>
        <v>No Match</v>
      </c>
      <c r="F2486" t="str" cm="1">
        <f t="array" ref="F2486">_xlfn.IFNA(_xlfn.XLOOKUP(1,([1]!readmissions[Facility ID] = clean[[#This Row],[Facility ID]]) * ([1]!readmissions[Measure ID] = "Hybrid_HWR"), [1]!readmissions[Score]), "No Match")</f>
        <v>No Match</v>
      </c>
    </row>
    <row r="2487" spans="1:6" x14ac:dyDescent="0.2">
      <c r="A2487">
        <f>[1]!hospitalinfo[[#This Row],[Facility ID]]</f>
        <v>234046</v>
      </c>
      <c r="B2487" t="str">
        <f>[1]!hospitalinfo[[#This Row],[State]]</f>
        <v>MI</v>
      </c>
      <c r="C2487" t="str">
        <f>[1]!hospitalinfo[[#This Row],[Hospital Type]]</f>
        <v>Psychiatric</v>
      </c>
      <c r="D2487" t="str">
        <f>[1]!hospitalinfo[[#This Row],[Hospital Ownership]]</f>
        <v>Proprietary</v>
      </c>
      <c r="E2487" t="str" cm="1">
        <f t="array" ref="E2487">_xlfn.IFNA(_xlfn.XLOOKUP(1,([1]!hcahps[Facility ID] = clean[[#This Row],[Facility ID]]) * ([1]!hcahps[HCAHPS Measure ID] = "H_HSP_RATING_LINEAR_SCORE"), [1]!hcahps[HCAHPS Linear Mean Value]), "No Match")</f>
        <v>No Match</v>
      </c>
      <c r="F2487" t="str" cm="1">
        <f t="array" ref="F2487">_xlfn.IFNA(_xlfn.XLOOKUP(1,([1]!readmissions[Facility ID] = clean[[#This Row],[Facility ID]]) * ([1]!readmissions[Measure ID] = "Hybrid_HWR"), [1]!readmissions[Score]), "No Match")</f>
        <v>No Match</v>
      </c>
    </row>
    <row r="2488" spans="1:6" x14ac:dyDescent="0.2">
      <c r="A2488">
        <f>[1]!hospitalinfo[[#This Row],[Facility ID]]</f>
        <v>234047</v>
      </c>
      <c r="B2488" t="str">
        <f>[1]!hospitalinfo[[#This Row],[State]]</f>
        <v>MI</v>
      </c>
      <c r="C2488" t="str">
        <f>[1]!hospitalinfo[[#This Row],[Hospital Type]]</f>
        <v>Psychiatric</v>
      </c>
      <c r="D2488" t="str">
        <f>[1]!hospitalinfo[[#This Row],[Hospital Ownership]]</f>
        <v>Proprietary</v>
      </c>
      <c r="E2488" t="str" cm="1">
        <f t="array" ref="E2488">_xlfn.IFNA(_xlfn.XLOOKUP(1,([1]!hcahps[Facility ID] = clean[[#This Row],[Facility ID]]) * ([1]!hcahps[HCAHPS Measure ID] = "H_HSP_RATING_LINEAR_SCORE"), [1]!hcahps[HCAHPS Linear Mean Value]), "No Match")</f>
        <v>No Match</v>
      </c>
      <c r="F2488" t="str" cm="1">
        <f t="array" ref="F2488">_xlfn.IFNA(_xlfn.XLOOKUP(1,([1]!readmissions[Facility ID] = clean[[#This Row],[Facility ID]]) * ([1]!readmissions[Measure ID] = "Hybrid_HWR"), [1]!readmissions[Score]), "No Match")</f>
        <v>No Match</v>
      </c>
    </row>
    <row r="2489" spans="1:6" x14ac:dyDescent="0.2">
      <c r="A2489" t="str">
        <f>[1]!hospitalinfo[[#This Row],[Facility ID]]</f>
        <v>23005F</v>
      </c>
      <c r="B2489" t="str">
        <f>[1]!hospitalinfo[[#This Row],[State]]</f>
        <v>MI</v>
      </c>
      <c r="C2489" t="str">
        <f>[1]!hospitalinfo[[#This Row],[Hospital Type]]</f>
        <v>Acute Care - Veterans Administration</v>
      </c>
      <c r="D2489" t="str">
        <f>[1]!hospitalinfo[[#This Row],[Hospital Ownership]]</f>
        <v>Veterans Health Administration</v>
      </c>
      <c r="E2489" t="str" cm="1">
        <f t="array" ref="E2489">_xlfn.IFNA(_xlfn.XLOOKUP(1,([1]!hcahps[Facility ID] = clean[[#This Row],[Facility ID]]) * ([1]!hcahps[HCAHPS Measure ID] = "H_HSP_RATING_LINEAR_SCORE"), [1]!hcahps[HCAHPS Linear Mean Value]), "No Match")</f>
        <v>Not Available</v>
      </c>
      <c r="F2489" cm="1">
        <f t="array" ref="F2489">_xlfn.IFNA(_xlfn.XLOOKUP(1,([1]!readmissions[Facility ID] = clean[[#This Row],[Facility ID]]) * ([1]!readmissions[Measure ID] = "Hybrid_HWR"), [1]!readmissions[Score]), "No Match")</f>
        <v>14.3</v>
      </c>
    </row>
    <row r="2490" spans="1:6" x14ac:dyDescent="0.2">
      <c r="A2490" t="str">
        <f>[1]!hospitalinfo[[#This Row],[Facility ID]]</f>
        <v>23011F</v>
      </c>
      <c r="B2490" t="str">
        <f>[1]!hospitalinfo[[#This Row],[State]]</f>
        <v>MI</v>
      </c>
      <c r="C2490" t="str">
        <f>[1]!hospitalinfo[[#This Row],[Hospital Type]]</f>
        <v>Acute Care - Veterans Administration</v>
      </c>
      <c r="D2490" t="str">
        <f>[1]!hospitalinfo[[#This Row],[Hospital Ownership]]</f>
        <v>Veterans Health Administration</v>
      </c>
      <c r="E2490" cm="1">
        <f t="array" ref="E2490">_xlfn.IFNA(_xlfn.XLOOKUP(1,([1]!hcahps[Facility ID] = clean[[#This Row],[Facility ID]]) * ([1]!hcahps[HCAHPS Measure ID] = "H_HSP_RATING_LINEAR_SCORE"), [1]!hcahps[HCAHPS Linear Mean Value]), "No Match")</f>
        <v>94</v>
      </c>
      <c r="F2490" cm="1">
        <f t="array" ref="F2490">_xlfn.IFNA(_xlfn.XLOOKUP(1,([1]!readmissions[Facility ID] = clean[[#This Row],[Facility ID]]) * ([1]!readmissions[Measure ID] = "Hybrid_HWR"), [1]!readmissions[Score]), "No Match")</f>
        <v>14.4</v>
      </c>
    </row>
    <row r="2491" spans="1:6" x14ac:dyDescent="0.2">
      <c r="A2491" t="str">
        <f>[1]!hospitalinfo[[#This Row],[Facility ID]]</f>
        <v>23012F</v>
      </c>
      <c r="B2491" t="str">
        <f>[1]!hospitalinfo[[#This Row],[State]]</f>
        <v>MI</v>
      </c>
      <c r="C2491" t="str">
        <f>[1]!hospitalinfo[[#This Row],[Hospital Type]]</f>
        <v>Acute Care - Veterans Administration</v>
      </c>
      <c r="D2491" t="str">
        <f>[1]!hospitalinfo[[#This Row],[Hospital Ownership]]</f>
        <v>Veterans Health Administration</v>
      </c>
      <c r="E2491" t="str" cm="1">
        <f t="array" ref="E2491">_xlfn.IFNA(_xlfn.XLOOKUP(1,([1]!hcahps[Facility ID] = clean[[#This Row],[Facility ID]]) * ([1]!hcahps[HCAHPS Measure ID] = "H_HSP_RATING_LINEAR_SCORE"), [1]!hcahps[HCAHPS Linear Mean Value]), "No Match")</f>
        <v>Not Available</v>
      </c>
      <c r="F2491" t="str" cm="1">
        <f t="array" ref="F2491">_xlfn.IFNA(_xlfn.XLOOKUP(1,([1]!readmissions[Facility ID] = clean[[#This Row],[Facility ID]]) * ([1]!readmissions[Measure ID] = "Hybrid_HWR"), [1]!readmissions[Score]), "No Match")</f>
        <v>Not Available</v>
      </c>
    </row>
    <row r="2492" spans="1:6" x14ac:dyDescent="0.2">
      <c r="A2492" t="str">
        <f>[1]!hospitalinfo[[#This Row],[Facility ID]]</f>
        <v>23037F</v>
      </c>
      <c r="B2492" t="str">
        <f>[1]!hospitalinfo[[#This Row],[State]]</f>
        <v>MI</v>
      </c>
      <c r="C2492" t="str">
        <f>[1]!hospitalinfo[[#This Row],[Hospital Type]]</f>
        <v>Acute Care - Veterans Administration</v>
      </c>
      <c r="D2492" t="str">
        <f>[1]!hospitalinfo[[#This Row],[Hospital Ownership]]</f>
        <v>Veterans Health Administration</v>
      </c>
      <c r="E2492" cm="1">
        <f t="array" ref="E2492">_xlfn.IFNA(_xlfn.XLOOKUP(1,([1]!hcahps[Facility ID] = clean[[#This Row],[Facility ID]]) * ([1]!hcahps[HCAHPS Measure ID] = "H_HSP_RATING_LINEAR_SCORE"), [1]!hcahps[HCAHPS Linear Mean Value]), "No Match")</f>
        <v>88</v>
      </c>
      <c r="F2492" cm="1">
        <f t="array" ref="F2492">_xlfn.IFNA(_xlfn.XLOOKUP(1,([1]!readmissions[Facility ID] = clean[[#This Row],[Facility ID]]) * ([1]!readmissions[Measure ID] = "Hybrid_HWR"), [1]!readmissions[Score]), "No Match")</f>
        <v>14.6</v>
      </c>
    </row>
    <row r="2493" spans="1:6" x14ac:dyDescent="0.2">
      <c r="A2493">
        <f>[1]!hospitalinfo[[#This Row],[Facility ID]]</f>
        <v>240001</v>
      </c>
      <c r="B2493" t="str">
        <f>[1]!hospitalinfo[[#This Row],[State]]</f>
        <v>MN</v>
      </c>
      <c r="C2493" t="str">
        <f>[1]!hospitalinfo[[#This Row],[Hospital Type]]</f>
        <v>Acute Care Hospitals</v>
      </c>
      <c r="D2493" t="str">
        <f>[1]!hospitalinfo[[#This Row],[Hospital Ownership]]</f>
        <v>Voluntary non-profit - Private</v>
      </c>
      <c r="E2493" cm="1">
        <f t="array" ref="E2493">_xlfn.IFNA(_xlfn.XLOOKUP(1,([1]!hcahps[Facility ID] = clean[[#This Row],[Facility ID]]) * ([1]!hcahps[HCAHPS Measure ID] = "H_HSP_RATING_LINEAR_SCORE"), [1]!hcahps[HCAHPS Linear Mean Value]), "No Match")</f>
        <v>87</v>
      </c>
      <c r="F2493" cm="1">
        <f t="array" ref="F2493">_xlfn.IFNA(_xlfn.XLOOKUP(1,([1]!readmissions[Facility ID] = clean[[#This Row],[Facility ID]]) * ([1]!readmissions[Measure ID] = "Hybrid_HWR"), [1]!readmissions[Score]), "No Match")</f>
        <v>15.8</v>
      </c>
    </row>
    <row r="2494" spans="1:6" x14ac:dyDescent="0.2">
      <c r="A2494">
        <f>[1]!hospitalinfo[[#This Row],[Facility ID]]</f>
        <v>240002</v>
      </c>
      <c r="B2494" t="str">
        <f>[1]!hospitalinfo[[#This Row],[State]]</f>
        <v>MN</v>
      </c>
      <c r="C2494" t="str">
        <f>[1]!hospitalinfo[[#This Row],[Hospital Type]]</f>
        <v>Acute Care Hospitals</v>
      </c>
      <c r="D2494" t="str">
        <f>[1]!hospitalinfo[[#This Row],[Hospital Ownership]]</f>
        <v>Voluntary non-profit - Private</v>
      </c>
      <c r="E2494" cm="1">
        <f t="array" ref="E2494">_xlfn.IFNA(_xlfn.XLOOKUP(1,([1]!hcahps[Facility ID] = clean[[#This Row],[Facility ID]]) * ([1]!hcahps[HCAHPS Measure ID] = "H_HSP_RATING_LINEAR_SCORE"), [1]!hcahps[HCAHPS Linear Mean Value]), "No Match")</f>
        <v>89</v>
      </c>
      <c r="F2494" cm="1">
        <f t="array" ref="F2494">_xlfn.IFNA(_xlfn.XLOOKUP(1,([1]!readmissions[Facility ID] = clean[[#This Row],[Facility ID]]) * ([1]!readmissions[Measure ID] = "Hybrid_HWR"), [1]!readmissions[Score]), "No Match")</f>
        <v>14.4</v>
      </c>
    </row>
    <row r="2495" spans="1:6" x14ac:dyDescent="0.2">
      <c r="A2495">
        <f>[1]!hospitalinfo[[#This Row],[Facility ID]]</f>
        <v>240004</v>
      </c>
      <c r="B2495" t="str">
        <f>[1]!hospitalinfo[[#This Row],[State]]</f>
        <v>MN</v>
      </c>
      <c r="C2495" t="str">
        <f>[1]!hospitalinfo[[#This Row],[Hospital Type]]</f>
        <v>Acute Care Hospitals</v>
      </c>
      <c r="D2495" t="str">
        <f>[1]!hospitalinfo[[#This Row],[Hospital Ownership]]</f>
        <v>Government - Local</v>
      </c>
      <c r="E2495" cm="1">
        <f t="array" ref="E2495">_xlfn.IFNA(_xlfn.XLOOKUP(1,([1]!hcahps[Facility ID] = clean[[#This Row],[Facility ID]]) * ([1]!hcahps[HCAHPS Measure ID] = "H_HSP_RATING_LINEAR_SCORE"), [1]!hcahps[HCAHPS Linear Mean Value]), "No Match")</f>
        <v>85</v>
      </c>
      <c r="F2495" cm="1">
        <f t="array" ref="F2495">_xlfn.IFNA(_xlfn.XLOOKUP(1,([1]!readmissions[Facility ID] = clean[[#This Row],[Facility ID]]) * ([1]!readmissions[Measure ID] = "Hybrid_HWR"), [1]!readmissions[Score]), "No Match")</f>
        <v>14.5</v>
      </c>
    </row>
    <row r="2496" spans="1:6" x14ac:dyDescent="0.2">
      <c r="A2496">
        <f>[1]!hospitalinfo[[#This Row],[Facility ID]]</f>
        <v>240006</v>
      </c>
      <c r="B2496" t="str">
        <f>[1]!hospitalinfo[[#This Row],[State]]</f>
        <v>MN</v>
      </c>
      <c r="C2496" t="str">
        <f>[1]!hospitalinfo[[#This Row],[Hospital Type]]</f>
        <v>Acute Care Hospitals</v>
      </c>
      <c r="D2496" t="str">
        <f>[1]!hospitalinfo[[#This Row],[Hospital Ownership]]</f>
        <v>Voluntary non-profit - Private</v>
      </c>
      <c r="E2496" cm="1">
        <f t="array" ref="E2496">_xlfn.IFNA(_xlfn.XLOOKUP(1,([1]!hcahps[Facility ID] = clean[[#This Row],[Facility ID]]) * ([1]!hcahps[HCAHPS Measure ID] = "H_HSP_RATING_LINEAR_SCORE"), [1]!hcahps[HCAHPS Linear Mean Value]), "No Match")</f>
        <v>91</v>
      </c>
      <c r="F2496" cm="1">
        <f t="array" ref="F2496">_xlfn.IFNA(_xlfn.XLOOKUP(1,([1]!readmissions[Facility ID] = clean[[#This Row],[Facility ID]]) * ([1]!readmissions[Measure ID] = "Hybrid_HWR"), [1]!readmissions[Score]), "No Match")</f>
        <v>14.8</v>
      </c>
    </row>
    <row r="2497" spans="1:6" x14ac:dyDescent="0.2">
      <c r="A2497">
        <f>[1]!hospitalinfo[[#This Row],[Facility ID]]</f>
        <v>240010</v>
      </c>
      <c r="B2497" t="str">
        <f>[1]!hospitalinfo[[#This Row],[State]]</f>
        <v>MN</v>
      </c>
      <c r="C2497" t="str">
        <f>[1]!hospitalinfo[[#This Row],[Hospital Type]]</f>
        <v>Acute Care Hospitals</v>
      </c>
      <c r="D2497" t="str">
        <f>[1]!hospitalinfo[[#This Row],[Hospital Ownership]]</f>
        <v>Voluntary non-profit - Church</v>
      </c>
      <c r="E2497" cm="1">
        <f t="array" ref="E2497">_xlfn.IFNA(_xlfn.XLOOKUP(1,([1]!hcahps[Facility ID] = clean[[#This Row],[Facility ID]]) * ([1]!hcahps[HCAHPS Measure ID] = "H_HSP_RATING_LINEAR_SCORE"), [1]!hcahps[HCAHPS Linear Mean Value]), "No Match")</f>
        <v>94</v>
      </c>
      <c r="F2497" cm="1">
        <f t="array" ref="F2497">_xlfn.IFNA(_xlfn.XLOOKUP(1,([1]!readmissions[Facility ID] = clean[[#This Row],[Facility ID]]) * ([1]!readmissions[Measure ID] = "Hybrid_HWR"), [1]!readmissions[Score]), "No Match")</f>
        <v>13.9</v>
      </c>
    </row>
    <row r="2498" spans="1:6" x14ac:dyDescent="0.2">
      <c r="A2498">
        <f>[1]!hospitalinfo[[#This Row],[Facility ID]]</f>
        <v>240014</v>
      </c>
      <c r="B2498" t="str">
        <f>[1]!hospitalinfo[[#This Row],[State]]</f>
        <v>MN</v>
      </c>
      <c r="C2498" t="str">
        <f>[1]!hospitalinfo[[#This Row],[Hospital Type]]</f>
        <v>Acute Care Hospitals</v>
      </c>
      <c r="D2498" t="str">
        <f>[1]!hospitalinfo[[#This Row],[Hospital Ownership]]</f>
        <v>Government - Local</v>
      </c>
      <c r="E2498" cm="1">
        <f t="array" ref="E2498">_xlfn.IFNA(_xlfn.XLOOKUP(1,([1]!hcahps[Facility ID] = clean[[#This Row],[Facility ID]]) * ([1]!hcahps[HCAHPS Measure ID] = "H_HSP_RATING_LINEAR_SCORE"), [1]!hcahps[HCAHPS Linear Mean Value]), "No Match")</f>
        <v>92</v>
      </c>
      <c r="F2498" cm="1">
        <f t="array" ref="F2498">_xlfn.IFNA(_xlfn.XLOOKUP(1,([1]!readmissions[Facility ID] = clean[[#This Row],[Facility ID]]) * ([1]!readmissions[Measure ID] = "Hybrid_HWR"), [1]!readmissions[Score]), "No Match")</f>
        <v>14.6</v>
      </c>
    </row>
    <row r="2499" spans="1:6" x14ac:dyDescent="0.2">
      <c r="A2499">
        <f>[1]!hospitalinfo[[#This Row],[Facility ID]]</f>
        <v>240018</v>
      </c>
      <c r="B2499" t="str">
        <f>[1]!hospitalinfo[[#This Row],[State]]</f>
        <v>MN</v>
      </c>
      <c r="C2499" t="str">
        <f>[1]!hospitalinfo[[#This Row],[Hospital Type]]</f>
        <v>Acute Care Hospitals</v>
      </c>
      <c r="D2499" t="str">
        <f>[1]!hospitalinfo[[#This Row],[Hospital Ownership]]</f>
        <v>Voluntary non-profit - Private</v>
      </c>
      <c r="E2499" cm="1">
        <f t="array" ref="E2499">_xlfn.IFNA(_xlfn.XLOOKUP(1,([1]!hcahps[Facility ID] = clean[[#This Row],[Facility ID]]) * ([1]!hcahps[HCAHPS Measure ID] = "H_HSP_RATING_LINEAR_SCORE"), [1]!hcahps[HCAHPS Linear Mean Value]), "No Match")</f>
        <v>90</v>
      </c>
      <c r="F2499" cm="1">
        <f t="array" ref="F2499">_xlfn.IFNA(_xlfn.XLOOKUP(1,([1]!readmissions[Facility ID] = clean[[#This Row],[Facility ID]]) * ([1]!readmissions[Measure ID] = "Hybrid_HWR"), [1]!readmissions[Score]), "No Match")</f>
        <v>14.3</v>
      </c>
    </row>
    <row r="2500" spans="1:6" x14ac:dyDescent="0.2">
      <c r="A2500">
        <f>[1]!hospitalinfo[[#This Row],[Facility ID]]</f>
        <v>240019</v>
      </c>
      <c r="B2500" t="str">
        <f>[1]!hospitalinfo[[#This Row],[State]]</f>
        <v>MN</v>
      </c>
      <c r="C2500" t="str">
        <f>[1]!hospitalinfo[[#This Row],[Hospital Type]]</f>
        <v>Acute Care Hospitals</v>
      </c>
      <c r="D2500" t="str">
        <f>[1]!hospitalinfo[[#This Row],[Hospital Ownership]]</f>
        <v>Voluntary non-profit - Private</v>
      </c>
      <c r="E2500" cm="1">
        <f t="array" ref="E2500">_xlfn.IFNA(_xlfn.XLOOKUP(1,([1]!hcahps[Facility ID] = clean[[#This Row],[Facility ID]]) * ([1]!hcahps[HCAHPS Measure ID] = "H_HSP_RATING_LINEAR_SCORE"), [1]!hcahps[HCAHPS Linear Mean Value]), "No Match")</f>
        <v>83</v>
      </c>
      <c r="F2500" cm="1">
        <f t="array" ref="F2500">_xlfn.IFNA(_xlfn.XLOOKUP(1,([1]!readmissions[Facility ID] = clean[[#This Row],[Facility ID]]) * ([1]!readmissions[Measure ID] = "Hybrid_HWR"), [1]!readmissions[Score]), "No Match")</f>
        <v>14.7</v>
      </c>
    </row>
    <row r="2501" spans="1:6" x14ac:dyDescent="0.2">
      <c r="A2501">
        <f>[1]!hospitalinfo[[#This Row],[Facility ID]]</f>
        <v>240020</v>
      </c>
      <c r="B2501" t="str">
        <f>[1]!hospitalinfo[[#This Row],[State]]</f>
        <v>MN</v>
      </c>
      <c r="C2501" t="str">
        <f>[1]!hospitalinfo[[#This Row],[Hospital Type]]</f>
        <v>Acute Care Hospitals</v>
      </c>
      <c r="D2501" t="str">
        <f>[1]!hospitalinfo[[#This Row],[Hospital Ownership]]</f>
        <v>Voluntary non-profit - Private</v>
      </c>
      <c r="E2501" cm="1">
        <f t="array" ref="E2501">_xlfn.IFNA(_xlfn.XLOOKUP(1,([1]!hcahps[Facility ID] = clean[[#This Row],[Facility ID]]) * ([1]!hcahps[HCAHPS Measure ID] = "H_HSP_RATING_LINEAR_SCORE"), [1]!hcahps[HCAHPS Linear Mean Value]), "No Match")</f>
        <v>88</v>
      </c>
      <c r="F2501" cm="1">
        <f t="array" ref="F2501">_xlfn.IFNA(_xlfn.XLOOKUP(1,([1]!readmissions[Facility ID] = clean[[#This Row],[Facility ID]]) * ([1]!readmissions[Measure ID] = "Hybrid_HWR"), [1]!readmissions[Score]), "No Match")</f>
        <v>15</v>
      </c>
    </row>
    <row r="2502" spans="1:6" x14ac:dyDescent="0.2">
      <c r="A2502">
        <f>[1]!hospitalinfo[[#This Row],[Facility ID]]</f>
        <v>240022</v>
      </c>
      <c r="B2502" t="str">
        <f>[1]!hospitalinfo[[#This Row],[State]]</f>
        <v>MN</v>
      </c>
      <c r="C2502" t="str">
        <f>[1]!hospitalinfo[[#This Row],[Hospital Type]]</f>
        <v>Acute Care Hospitals</v>
      </c>
      <c r="D2502" t="str">
        <f>[1]!hospitalinfo[[#This Row],[Hospital Ownership]]</f>
        <v>Voluntary non-profit - Private</v>
      </c>
      <c r="E2502" cm="1">
        <f t="array" ref="E2502">_xlfn.IFNA(_xlfn.XLOOKUP(1,([1]!hcahps[Facility ID] = clean[[#This Row],[Facility ID]]) * ([1]!hcahps[HCAHPS Measure ID] = "H_HSP_RATING_LINEAR_SCORE"), [1]!hcahps[HCAHPS Linear Mean Value]), "No Match")</f>
        <v>89</v>
      </c>
      <c r="F2502" cm="1">
        <f t="array" ref="F2502">_xlfn.IFNA(_xlfn.XLOOKUP(1,([1]!readmissions[Facility ID] = clean[[#This Row],[Facility ID]]) * ([1]!readmissions[Measure ID] = "Hybrid_HWR"), [1]!readmissions[Score]), "No Match")</f>
        <v>14.4</v>
      </c>
    </row>
    <row r="2503" spans="1:6" x14ac:dyDescent="0.2">
      <c r="A2503">
        <f>[1]!hospitalinfo[[#This Row],[Facility ID]]</f>
        <v>240030</v>
      </c>
      <c r="B2503" t="str">
        <f>[1]!hospitalinfo[[#This Row],[State]]</f>
        <v>MN</v>
      </c>
      <c r="C2503" t="str">
        <f>[1]!hospitalinfo[[#This Row],[Hospital Type]]</f>
        <v>Acute Care Hospitals</v>
      </c>
      <c r="D2503" t="str">
        <f>[1]!hospitalinfo[[#This Row],[Hospital Ownership]]</f>
        <v>Government - Local</v>
      </c>
      <c r="E2503" cm="1">
        <f t="array" ref="E2503">_xlfn.IFNA(_xlfn.XLOOKUP(1,([1]!hcahps[Facility ID] = clean[[#This Row],[Facility ID]]) * ([1]!hcahps[HCAHPS Measure ID] = "H_HSP_RATING_LINEAR_SCORE"), [1]!hcahps[HCAHPS Linear Mean Value]), "No Match")</f>
        <v>89</v>
      </c>
      <c r="F2503" cm="1">
        <f t="array" ref="F2503">_xlfn.IFNA(_xlfn.XLOOKUP(1,([1]!readmissions[Facility ID] = clean[[#This Row],[Facility ID]]) * ([1]!readmissions[Measure ID] = "Hybrid_HWR"), [1]!readmissions[Score]), "No Match")</f>
        <v>13.8</v>
      </c>
    </row>
    <row r="2504" spans="1:6" x14ac:dyDescent="0.2">
      <c r="A2504">
        <f>[1]!hospitalinfo[[#This Row],[Facility ID]]</f>
        <v>240036</v>
      </c>
      <c r="B2504" t="str">
        <f>[1]!hospitalinfo[[#This Row],[State]]</f>
        <v>MN</v>
      </c>
      <c r="C2504" t="str">
        <f>[1]!hospitalinfo[[#This Row],[Hospital Type]]</f>
        <v>Acute Care Hospitals</v>
      </c>
      <c r="D2504" t="str">
        <f>[1]!hospitalinfo[[#This Row],[Hospital Ownership]]</f>
        <v>Voluntary non-profit - Private</v>
      </c>
      <c r="E2504" cm="1">
        <f t="array" ref="E2504">_xlfn.IFNA(_xlfn.XLOOKUP(1,([1]!hcahps[Facility ID] = clean[[#This Row],[Facility ID]]) * ([1]!hcahps[HCAHPS Measure ID] = "H_HSP_RATING_LINEAR_SCORE"), [1]!hcahps[HCAHPS Linear Mean Value]), "No Match")</f>
        <v>88</v>
      </c>
      <c r="F2504" cm="1">
        <f t="array" ref="F2504">_xlfn.IFNA(_xlfn.XLOOKUP(1,([1]!readmissions[Facility ID] = clean[[#This Row],[Facility ID]]) * ([1]!readmissions[Measure ID] = "Hybrid_HWR"), [1]!readmissions[Score]), "No Match")</f>
        <v>14.5</v>
      </c>
    </row>
    <row r="2505" spans="1:6" x14ac:dyDescent="0.2">
      <c r="A2505">
        <f>[1]!hospitalinfo[[#This Row],[Facility ID]]</f>
        <v>240038</v>
      </c>
      <c r="B2505" t="str">
        <f>[1]!hospitalinfo[[#This Row],[State]]</f>
        <v>MN</v>
      </c>
      <c r="C2505" t="str">
        <f>[1]!hospitalinfo[[#This Row],[Hospital Type]]</f>
        <v>Acute Care Hospitals</v>
      </c>
      <c r="D2505" t="str">
        <f>[1]!hospitalinfo[[#This Row],[Hospital Ownership]]</f>
        <v>Voluntary non-profit - Private</v>
      </c>
      <c r="E2505" cm="1">
        <f t="array" ref="E2505">_xlfn.IFNA(_xlfn.XLOOKUP(1,([1]!hcahps[Facility ID] = clean[[#This Row],[Facility ID]]) * ([1]!hcahps[HCAHPS Measure ID] = "H_HSP_RATING_LINEAR_SCORE"), [1]!hcahps[HCAHPS Linear Mean Value]), "No Match")</f>
        <v>86</v>
      </c>
      <c r="F2505" cm="1">
        <f t="array" ref="F2505">_xlfn.IFNA(_xlfn.XLOOKUP(1,([1]!readmissions[Facility ID] = clean[[#This Row],[Facility ID]]) * ([1]!readmissions[Measure ID] = "Hybrid_HWR"), [1]!readmissions[Score]), "No Match")</f>
        <v>14.9</v>
      </c>
    </row>
    <row r="2506" spans="1:6" x14ac:dyDescent="0.2">
      <c r="A2506">
        <f>[1]!hospitalinfo[[#This Row],[Facility ID]]</f>
        <v>240040</v>
      </c>
      <c r="B2506" t="str">
        <f>[1]!hospitalinfo[[#This Row],[State]]</f>
        <v>MN</v>
      </c>
      <c r="C2506" t="str">
        <f>[1]!hospitalinfo[[#This Row],[Hospital Type]]</f>
        <v>Acute Care Hospitals</v>
      </c>
      <c r="D2506" t="str">
        <f>[1]!hospitalinfo[[#This Row],[Hospital Ownership]]</f>
        <v>Voluntary non-profit - Other</v>
      </c>
      <c r="E2506" cm="1">
        <f t="array" ref="E2506">_xlfn.IFNA(_xlfn.XLOOKUP(1,([1]!hcahps[Facility ID] = clean[[#This Row],[Facility ID]]) * ([1]!hcahps[HCAHPS Measure ID] = "H_HSP_RATING_LINEAR_SCORE"), [1]!hcahps[HCAHPS Linear Mean Value]), "No Match")</f>
        <v>89</v>
      </c>
      <c r="F2506" cm="1">
        <f t="array" ref="F2506">_xlfn.IFNA(_xlfn.XLOOKUP(1,([1]!readmissions[Facility ID] = clean[[#This Row],[Facility ID]]) * ([1]!readmissions[Measure ID] = "Hybrid_HWR"), [1]!readmissions[Score]), "No Match")</f>
        <v>14.4</v>
      </c>
    </row>
    <row r="2507" spans="1:6" x14ac:dyDescent="0.2">
      <c r="A2507">
        <f>[1]!hospitalinfo[[#This Row],[Facility ID]]</f>
        <v>240043</v>
      </c>
      <c r="B2507" t="str">
        <f>[1]!hospitalinfo[[#This Row],[State]]</f>
        <v>MN</v>
      </c>
      <c r="C2507" t="str">
        <f>[1]!hospitalinfo[[#This Row],[Hospital Type]]</f>
        <v>Acute Care Hospitals</v>
      </c>
      <c r="D2507" t="str">
        <f>[1]!hospitalinfo[[#This Row],[Hospital Ownership]]</f>
        <v>Voluntary non-profit - Private</v>
      </c>
      <c r="E2507" cm="1">
        <f t="array" ref="E2507">_xlfn.IFNA(_xlfn.XLOOKUP(1,([1]!hcahps[Facility ID] = clean[[#This Row],[Facility ID]]) * ([1]!hcahps[HCAHPS Measure ID] = "H_HSP_RATING_LINEAR_SCORE"), [1]!hcahps[HCAHPS Linear Mean Value]), "No Match")</f>
        <v>89</v>
      </c>
      <c r="F2507" cm="1">
        <f t="array" ref="F2507">_xlfn.IFNA(_xlfn.XLOOKUP(1,([1]!readmissions[Facility ID] = clean[[#This Row],[Facility ID]]) * ([1]!readmissions[Measure ID] = "Hybrid_HWR"), [1]!readmissions[Score]), "No Match")</f>
        <v>13.9</v>
      </c>
    </row>
    <row r="2508" spans="1:6" x14ac:dyDescent="0.2">
      <c r="A2508">
        <f>[1]!hospitalinfo[[#This Row],[Facility ID]]</f>
        <v>240044</v>
      </c>
      <c r="B2508" t="str">
        <f>[1]!hospitalinfo[[#This Row],[State]]</f>
        <v>MN</v>
      </c>
      <c r="C2508" t="str">
        <f>[1]!hospitalinfo[[#This Row],[Hospital Type]]</f>
        <v>Acute Care Hospitals</v>
      </c>
      <c r="D2508" t="str">
        <f>[1]!hospitalinfo[[#This Row],[Hospital Ownership]]</f>
        <v>Voluntary non-profit - Private</v>
      </c>
      <c r="E2508" cm="1">
        <f t="array" ref="E2508">_xlfn.IFNA(_xlfn.XLOOKUP(1,([1]!hcahps[Facility ID] = clean[[#This Row],[Facility ID]]) * ([1]!hcahps[HCAHPS Measure ID] = "H_HSP_RATING_LINEAR_SCORE"), [1]!hcahps[HCAHPS Linear Mean Value]), "No Match")</f>
        <v>87</v>
      </c>
      <c r="F2508" cm="1">
        <f t="array" ref="F2508">_xlfn.IFNA(_xlfn.XLOOKUP(1,([1]!readmissions[Facility ID] = clean[[#This Row],[Facility ID]]) * ([1]!readmissions[Measure ID] = "Hybrid_HWR"), [1]!readmissions[Score]), "No Match")</f>
        <v>15.3</v>
      </c>
    </row>
    <row r="2509" spans="1:6" x14ac:dyDescent="0.2">
      <c r="A2509">
        <f>[1]!hospitalinfo[[#This Row],[Facility ID]]</f>
        <v>240047</v>
      </c>
      <c r="B2509" t="str">
        <f>[1]!hospitalinfo[[#This Row],[State]]</f>
        <v>MN</v>
      </c>
      <c r="C2509" t="str">
        <f>[1]!hospitalinfo[[#This Row],[Hospital Type]]</f>
        <v>Acute Care Hospitals</v>
      </c>
      <c r="D2509" t="str">
        <f>[1]!hospitalinfo[[#This Row],[Hospital Ownership]]</f>
        <v>Voluntary non-profit - Private</v>
      </c>
      <c r="E2509" cm="1">
        <f t="array" ref="E2509">_xlfn.IFNA(_xlfn.XLOOKUP(1,([1]!hcahps[Facility ID] = clean[[#This Row],[Facility ID]]) * ([1]!hcahps[HCAHPS Measure ID] = "H_HSP_RATING_LINEAR_SCORE"), [1]!hcahps[HCAHPS Linear Mean Value]), "No Match")</f>
        <v>86</v>
      </c>
      <c r="F2509" cm="1">
        <f t="array" ref="F2509">_xlfn.IFNA(_xlfn.XLOOKUP(1,([1]!readmissions[Facility ID] = clean[[#This Row],[Facility ID]]) * ([1]!readmissions[Measure ID] = "Hybrid_HWR"), [1]!readmissions[Score]), "No Match")</f>
        <v>15.4</v>
      </c>
    </row>
    <row r="2510" spans="1:6" x14ac:dyDescent="0.2">
      <c r="A2510">
        <f>[1]!hospitalinfo[[#This Row],[Facility ID]]</f>
        <v>240050</v>
      </c>
      <c r="B2510" t="str">
        <f>[1]!hospitalinfo[[#This Row],[State]]</f>
        <v>MN</v>
      </c>
      <c r="C2510" t="str">
        <f>[1]!hospitalinfo[[#This Row],[Hospital Type]]</f>
        <v>Acute Care Hospitals</v>
      </c>
      <c r="D2510" t="str">
        <f>[1]!hospitalinfo[[#This Row],[Hospital Ownership]]</f>
        <v>Voluntary non-profit - Private</v>
      </c>
      <c r="E2510" cm="1">
        <f t="array" ref="E2510">_xlfn.IFNA(_xlfn.XLOOKUP(1,([1]!hcahps[Facility ID] = clean[[#This Row],[Facility ID]]) * ([1]!hcahps[HCAHPS Measure ID] = "H_HSP_RATING_LINEAR_SCORE"), [1]!hcahps[HCAHPS Linear Mean Value]), "No Match")</f>
        <v>88</v>
      </c>
      <c r="F2510" cm="1">
        <f t="array" ref="F2510">_xlfn.IFNA(_xlfn.XLOOKUP(1,([1]!readmissions[Facility ID] = clean[[#This Row],[Facility ID]]) * ([1]!readmissions[Measure ID] = "Hybrid_HWR"), [1]!readmissions[Score]), "No Match")</f>
        <v>14.6</v>
      </c>
    </row>
    <row r="2511" spans="1:6" x14ac:dyDescent="0.2">
      <c r="A2511">
        <f>[1]!hospitalinfo[[#This Row],[Facility ID]]</f>
        <v>240052</v>
      </c>
      <c r="B2511" t="str">
        <f>[1]!hospitalinfo[[#This Row],[State]]</f>
        <v>MN</v>
      </c>
      <c r="C2511" t="str">
        <f>[1]!hospitalinfo[[#This Row],[Hospital Type]]</f>
        <v>Acute Care Hospitals</v>
      </c>
      <c r="D2511" t="str">
        <f>[1]!hospitalinfo[[#This Row],[Hospital Ownership]]</f>
        <v>Voluntary non-profit - Private</v>
      </c>
      <c r="E2511" cm="1">
        <f t="array" ref="E2511">_xlfn.IFNA(_xlfn.XLOOKUP(1,([1]!hcahps[Facility ID] = clean[[#This Row],[Facility ID]]) * ([1]!hcahps[HCAHPS Measure ID] = "H_HSP_RATING_LINEAR_SCORE"), [1]!hcahps[HCAHPS Linear Mean Value]), "No Match")</f>
        <v>92</v>
      </c>
      <c r="F2511" cm="1">
        <f t="array" ref="F2511">_xlfn.IFNA(_xlfn.XLOOKUP(1,([1]!readmissions[Facility ID] = clean[[#This Row],[Facility ID]]) * ([1]!readmissions[Measure ID] = "Hybrid_HWR"), [1]!readmissions[Score]), "No Match")</f>
        <v>13.8</v>
      </c>
    </row>
    <row r="2512" spans="1:6" x14ac:dyDescent="0.2">
      <c r="A2512">
        <f>[1]!hospitalinfo[[#This Row],[Facility ID]]</f>
        <v>240053</v>
      </c>
      <c r="B2512" t="str">
        <f>[1]!hospitalinfo[[#This Row],[State]]</f>
        <v>MN</v>
      </c>
      <c r="C2512" t="str">
        <f>[1]!hospitalinfo[[#This Row],[Hospital Type]]</f>
        <v>Acute Care Hospitals</v>
      </c>
      <c r="D2512" t="str">
        <f>[1]!hospitalinfo[[#This Row],[Hospital Ownership]]</f>
        <v>Voluntary non-profit - Private</v>
      </c>
      <c r="E2512" cm="1">
        <f t="array" ref="E2512">_xlfn.IFNA(_xlfn.XLOOKUP(1,([1]!hcahps[Facility ID] = clean[[#This Row],[Facility ID]]) * ([1]!hcahps[HCAHPS Measure ID] = "H_HSP_RATING_LINEAR_SCORE"), [1]!hcahps[HCAHPS Linear Mean Value]), "No Match")</f>
        <v>91</v>
      </c>
      <c r="F2512" cm="1">
        <f t="array" ref="F2512">_xlfn.IFNA(_xlfn.XLOOKUP(1,([1]!readmissions[Facility ID] = clean[[#This Row],[Facility ID]]) * ([1]!readmissions[Measure ID] = "Hybrid_HWR"), [1]!readmissions[Score]), "No Match")</f>
        <v>15.4</v>
      </c>
    </row>
    <row r="2513" spans="1:6" x14ac:dyDescent="0.2">
      <c r="A2513">
        <f>[1]!hospitalinfo[[#This Row],[Facility ID]]</f>
        <v>240056</v>
      </c>
      <c r="B2513" t="str">
        <f>[1]!hospitalinfo[[#This Row],[State]]</f>
        <v>MN</v>
      </c>
      <c r="C2513" t="str">
        <f>[1]!hospitalinfo[[#This Row],[Hospital Type]]</f>
        <v>Acute Care Hospitals</v>
      </c>
      <c r="D2513" t="str">
        <f>[1]!hospitalinfo[[#This Row],[Hospital Ownership]]</f>
        <v>Voluntary non-profit - Private</v>
      </c>
      <c r="E2513" cm="1">
        <f t="array" ref="E2513">_xlfn.IFNA(_xlfn.XLOOKUP(1,([1]!hcahps[Facility ID] = clean[[#This Row],[Facility ID]]) * ([1]!hcahps[HCAHPS Measure ID] = "H_HSP_RATING_LINEAR_SCORE"), [1]!hcahps[HCAHPS Linear Mean Value]), "No Match")</f>
        <v>91</v>
      </c>
      <c r="F2513" cm="1">
        <f t="array" ref="F2513">_xlfn.IFNA(_xlfn.XLOOKUP(1,([1]!readmissions[Facility ID] = clean[[#This Row],[Facility ID]]) * ([1]!readmissions[Measure ID] = "Hybrid_HWR"), [1]!readmissions[Score]), "No Match")</f>
        <v>15.7</v>
      </c>
    </row>
    <row r="2514" spans="1:6" x14ac:dyDescent="0.2">
      <c r="A2514">
        <f>[1]!hospitalinfo[[#This Row],[Facility ID]]</f>
        <v>240057</v>
      </c>
      <c r="B2514" t="str">
        <f>[1]!hospitalinfo[[#This Row],[State]]</f>
        <v>MN</v>
      </c>
      <c r="C2514" t="str">
        <f>[1]!hospitalinfo[[#This Row],[Hospital Type]]</f>
        <v>Acute Care Hospitals</v>
      </c>
      <c r="D2514" t="str">
        <f>[1]!hospitalinfo[[#This Row],[Hospital Ownership]]</f>
        <v>Voluntary non-profit - Private</v>
      </c>
      <c r="E2514" cm="1">
        <f t="array" ref="E2514">_xlfn.IFNA(_xlfn.XLOOKUP(1,([1]!hcahps[Facility ID] = clean[[#This Row],[Facility ID]]) * ([1]!hcahps[HCAHPS Measure ID] = "H_HSP_RATING_LINEAR_SCORE"), [1]!hcahps[HCAHPS Linear Mean Value]), "No Match")</f>
        <v>88</v>
      </c>
      <c r="F2514" cm="1">
        <f t="array" ref="F2514">_xlfn.IFNA(_xlfn.XLOOKUP(1,([1]!readmissions[Facility ID] = clean[[#This Row],[Facility ID]]) * ([1]!readmissions[Measure ID] = "Hybrid_HWR"), [1]!readmissions[Score]), "No Match")</f>
        <v>14.9</v>
      </c>
    </row>
    <row r="2515" spans="1:6" x14ac:dyDescent="0.2">
      <c r="A2515">
        <f>[1]!hospitalinfo[[#This Row],[Facility ID]]</f>
        <v>240064</v>
      </c>
      <c r="B2515" t="str">
        <f>[1]!hospitalinfo[[#This Row],[State]]</f>
        <v>MN</v>
      </c>
      <c r="C2515" t="str">
        <f>[1]!hospitalinfo[[#This Row],[Hospital Type]]</f>
        <v>Acute Care Hospitals</v>
      </c>
      <c r="D2515" t="str">
        <f>[1]!hospitalinfo[[#This Row],[Hospital Ownership]]</f>
        <v>Voluntary non-profit - Private</v>
      </c>
      <c r="E2515" cm="1">
        <f t="array" ref="E2515">_xlfn.IFNA(_xlfn.XLOOKUP(1,([1]!hcahps[Facility ID] = clean[[#This Row],[Facility ID]]) * ([1]!hcahps[HCAHPS Measure ID] = "H_HSP_RATING_LINEAR_SCORE"), [1]!hcahps[HCAHPS Linear Mean Value]), "No Match")</f>
        <v>91</v>
      </c>
      <c r="F2515" cm="1">
        <f t="array" ref="F2515">_xlfn.IFNA(_xlfn.XLOOKUP(1,([1]!readmissions[Facility ID] = clean[[#This Row],[Facility ID]]) * ([1]!readmissions[Measure ID] = "Hybrid_HWR"), [1]!readmissions[Score]), "No Match")</f>
        <v>14.4</v>
      </c>
    </row>
    <row r="2516" spans="1:6" x14ac:dyDescent="0.2">
      <c r="A2516">
        <f>[1]!hospitalinfo[[#This Row],[Facility ID]]</f>
        <v>240066</v>
      </c>
      <c r="B2516" t="str">
        <f>[1]!hospitalinfo[[#This Row],[State]]</f>
        <v>MN</v>
      </c>
      <c r="C2516" t="str">
        <f>[1]!hospitalinfo[[#This Row],[Hospital Type]]</f>
        <v>Acute Care Hospitals</v>
      </c>
      <c r="D2516" t="str">
        <f>[1]!hospitalinfo[[#This Row],[Hospital Ownership]]</f>
        <v>Voluntary non-profit - Other</v>
      </c>
      <c r="E2516" cm="1">
        <f t="array" ref="E2516">_xlfn.IFNA(_xlfn.XLOOKUP(1,([1]!hcahps[Facility ID] = clean[[#This Row],[Facility ID]]) * ([1]!hcahps[HCAHPS Measure ID] = "H_HSP_RATING_LINEAR_SCORE"), [1]!hcahps[HCAHPS Linear Mean Value]), "No Match")</f>
        <v>92</v>
      </c>
      <c r="F2516" cm="1">
        <f t="array" ref="F2516">_xlfn.IFNA(_xlfn.XLOOKUP(1,([1]!readmissions[Facility ID] = clean[[#This Row],[Facility ID]]) * ([1]!readmissions[Measure ID] = "Hybrid_HWR"), [1]!readmissions[Score]), "No Match")</f>
        <v>14.2</v>
      </c>
    </row>
    <row r="2517" spans="1:6" x14ac:dyDescent="0.2">
      <c r="A2517">
        <f>[1]!hospitalinfo[[#This Row],[Facility ID]]</f>
        <v>240069</v>
      </c>
      <c r="B2517" t="str">
        <f>[1]!hospitalinfo[[#This Row],[State]]</f>
        <v>MN</v>
      </c>
      <c r="C2517" t="str">
        <f>[1]!hospitalinfo[[#This Row],[Hospital Type]]</f>
        <v>Acute Care Hospitals</v>
      </c>
      <c r="D2517" t="str">
        <f>[1]!hospitalinfo[[#This Row],[Hospital Ownership]]</f>
        <v>Voluntary non-profit - Other</v>
      </c>
      <c r="E2517" cm="1">
        <f t="array" ref="E2517">_xlfn.IFNA(_xlfn.XLOOKUP(1,([1]!hcahps[Facility ID] = clean[[#This Row],[Facility ID]]) * ([1]!hcahps[HCAHPS Measure ID] = "H_HSP_RATING_LINEAR_SCORE"), [1]!hcahps[HCAHPS Linear Mean Value]), "No Match")</f>
        <v>87</v>
      </c>
      <c r="F2517" cm="1">
        <f t="array" ref="F2517">_xlfn.IFNA(_xlfn.XLOOKUP(1,([1]!readmissions[Facility ID] = clean[[#This Row],[Facility ID]]) * ([1]!readmissions[Measure ID] = "Hybrid_HWR"), [1]!readmissions[Score]), "No Match")</f>
        <v>14.1</v>
      </c>
    </row>
    <row r="2518" spans="1:6" x14ac:dyDescent="0.2">
      <c r="A2518">
        <f>[1]!hospitalinfo[[#This Row],[Facility ID]]</f>
        <v>240071</v>
      </c>
      <c r="B2518" t="str">
        <f>[1]!hospitalinfo[[#This Row],[State]]</f>
        <v>MN</v>
      </c>
      <c r="C2518" t="str">
        <f>[1]!hospitalinfo[[#This Row],[Hospital Type]]</f>
        <v>Acute Care Hospitals</v>
      </c>
      <c r="D2518" t="str">
        <f>[1]!hospitalinfo[[#This Row],[Hospital Ownership]]</f>
        <v>Voluntary non-profit - Private</v>
      </c>
      <c r="E2518" cm="1">
        <f t="array" ref="E2518">_xlfn.IFNA(_xlfn.XLOOKUP(1,([1]!hcahps[Facility ID] = clean[[#This Row],[Facility ID]]) * ([1]!hcahps[HCAHPS Measure ID] = "H_HSP_RATING_LINEAR_SCORE"), [1]!hcahps[HCAHPS Linear Mean Value]), "No Match")</f>
        <v>90</v>
      </c>
      <c r="F2518" cm="1">
        <f t="array" ref="F2518">_xlfn.IFNA(_xlfn.XLOOKUP(1,([1]!readmissions[Facility ID] = clean[[#This Row],[Facility ID]]) * ([1]!readmissions[Measure ID] = "Hybrid_HWR"), [1]!readmissions[Score]), "No Match")</f>
        <v>15.2</v>
      </c>
    </row>
    <row r="2519" spans="1:6" x14ac:dyDescent="0.2">
      <c r="A2519">
        <f>[1]!hospitalinfo[[#This Row],[Facility ID]]</f>
        <v>240075</v>
      </c>
      <c r="B2519" t="str">
        <f>[1]!hospitalinfo[[#This Row],[State]]</f>
        <v>MN</v>
      </c>
      <c r="C2519" t="str">
        <f>[1]!hospitalinfo[[#This Row],[Hospital Type]]</f>
        <v>Acute Care Hospitals</v>
      </c>
      <c r="D2519" t="str">
        <f>[1]!hospitalinfo[[#This Row],[Hospital Ownership]]</f>
        <v>Voluntary non-profit - Private</v>
      </c>
      <c r="E2519" cm="1">
        <f t="array" ref="E2519">_xlfn.IFNA(_xlfn.XLOOKUP(1,([1]!hcahps[Facility ID] = clean[[#This Row],[Facility ID]]) * ([1]!hcahps[HCAHPS Measure ID] = "H_HSP_RATING_LINEAR_SCORE"), [1]!hcahps[HCAHPS Linear Mean Value]), "No Match")</f>
        <v>88</v>
      </c>
      <c r="F2519" cm="1">
        <f t="array" ref="F2519">_xlfn.IFNA(_xlfn.XLOOKUP(1,([1]!readmissions[Facility ID] = clean[[#This Row],[Facility ID]]) * ([1]!readmissions[Measure ID] = "Hybrid_HWR"), [1]!readmissions[Score]), "No Match")</f>
        <v>14.6</v>
      </c>
    </row>
    <row r="2520" spans="1:6" x14ac:dyDescent="0.2">
      <c r="A2520">
        <f>[1]!hospitalinfo[[#This Row],[Facility ID]]</f>
        <v>240076</v>
      </c>
      <c r="B2520" t="str">
        <f>[1]!hospitalinfo[[#This Row],[State]]</f>
        <v>MN</v>
      </c>
      <c r="C2520" t="str">
        <f>[1]!hospitalinfo[[#This Row],[Hospital Type]]</f>
        <v>Acute Care Hospitals</v>
      </c>
      <c r="D2520" t="str">
        <f>[1]!hospitalinfo[[#This Row],[Hospital Ownership]]</f>
        <v>Voluntary non-profit - Other</v>
      </c>
      <c r="E2520" cm="1">
        <f t="array" ref="E2520">_xlfn.IFNA(_xlfn.XLOOKUP(1,([1]!hcahps[Facility ID] = clean[[#This Row],[Facility ID]]) * ([1]!hcahps[HCAHPS Measure ID] = "H_HSP_RATING_LINEAR_SCORE"), [1]!hcahps[HCAHPS Linear Mean Value]), "No Match")</f>
        <v>91</v>
      </c>
      <c r="F2520" cm="1">
        <f t="array" ref="F2520">_xlfn.IFNA(_xlfn.XLOOKUP(1,([1]!readmissions[Facility ID] = clean[[#This Row],[Facility ID]]) * ([1]!readmissions[Measure ID] = "Hybrid_HWR"), [1]!readmissions[Score]), "No Match")</f>
        <v>13.8</v>
      </c>
    </row>
    <row r="2521" spans="1:6" x14ac:dyDescent="0.2">
      <c r="A2521">
        <f>[1]!hospitalinfo[[#This Row],[Facility ID]]</f>
        <v>240078</v>
      </c>
      <c r="B2521" t="str">
        <f>[1]!hospitalinfo[[#This Row],[State]]</f>
        <v>MN</v>
      </c>
      <c r="C2521" t="str">
        <f>[1]!hospitalinfo[[#This Row],[Hospital Type]]</f>
        <v>Acute Care Hospitals</v>
      </c>
      <c r="D2521" t="str">
        <f>[1]!hospitalinfo[[#This Row],[Hospital Ownership]]</f>
        <v>Voluntary non-profit - Private</v>
      </c>
      <c r="E2521" cm="1">
        <f t="array" ref="E2521">_xlfn.IFNA(_xlfn.XLOOKUP(1,([1]!hcahps[Facility ID] = clean[[#This Row],[Facility ID]]) * ([1]!hcahps[HCAHPS Measure ID] = "H_HSP_RATING_LINEAR_SCORE"), [1]!hcahps[HCAHPS Linear Mean Value]), "No Match")</f>
        <v>87</v>
      </c>
      <c r="F2521" cm="1">
        <f t="array" ref="F2521">_xlfn.IFNA(_xlfn.XLOOKUP(1,([1]!readmissions[Facility ID] = clean[[#This Row],[Facility ID]]) * ([1]!readmissions[Measure ID] = "Hybrid_HWR"), [1]!readmissions[Score]), "No Match")</f>
        <v>13.1</v>
      </c>
    </row>
    <row r="2522" spans="1:6" x14ac:dyDescent="0.2">
      <c r="A2522">
        <f>[1]!hospitalinfo[[#This Row],[Facility ID]]</f>
        <v>240080</v>
      </c>
      <c r="B2522" t="str">
        <f>[1]!hospitalinfo[[#This Row],[State]]</f>
        <v>MN</v>
      </c>
      <c r="C2522" t="str">
        <f>[1]!hospitalinfo[[#This Row],[Hospital Type]]</f>
        <v>Acute Care Hospitals</v>
      </c>
      <c r="D2522" t="str">
        <f>[1]!hospitalinfo[[#This Row],[Hospital Ownership]]</f>
        <v>Voluntary non-profit - Private</v>
      </c>
      <c r="E2522" cm="1">
        <f t="array" ref="E2522">_xlfn.IFNA(_xlfn.XLOOKUP(1,([1]!hcahps[Facility ID] = clean[[#This Row],[Facility ID]]) * ([1]!hcahps[HCAHPS Measure ID] = "H_HSP_RATING_LINEAR_SCORE"), [1]!hcahps[HCAHPS Linear Mean Value]), "No Match")</f>
        <v>87</v>
      </c>
      <c r="F2522" cm="1">
        <f t="array" ref="F2522">_xlfn.IFNA(_xlfn.XLOOKUP(1,([1]!readmissions[Facility ID] = clean[[#This Row],[Facility ID]]) * ([1]!readmissions[Measure ID] = "Hybrid_HWR"), [1]!readmissions[Score]), "No Match")</f>
        <v>14.4</v>
      </c>
    </row>
    <row r="2523" spans="1:6" x14ac:dyDescent="0.2">
      <c r="A2523">
        <f>[1]!hospitalinfo[[#This Row],[Facility ID]]</f>
        <v>240084</v>
      </c>
      <c r="B2523" t="str">
        <f>[1]!hospitalinfo[[#This Row],[State]]</f>
        <v>MN</v>
      </c>
      <c r="C2523" t="str">
        <f>[1]!hospitalinfo[[#This Row],[Hospital Type]]</f>
        <v>Acute Care Hospitals</v>
      </c>
      <c r="D2523" t="str">
        <f>[1]!hospitalinfo[[#This Row],[Hospital Ownership]]</f>
        <v>Government - Local</v>
      </c>
      <c r="E2523" cm="1">
        <f t="array" ref="E2523">_xlfn.IFNA(_xlfn.XLOOKUP(1,([1]!hcahps[Facility ID] = clean[[#This Row],[Facility ID]]) * ([1]!hcahps[HCAHPS Measure ID] = "H_HSP_RATING_LINEAR_SCORE"), [1]!hcahps[HCAHPS Linear Mean Value]), "No Match")</f>
        <v>87</v>
      </c>
      <c r="F2523" cm="1">
        <f t="array" ref="F2523">_xlfn.IFNA(_xlfn.XLOOKUP(1,([1]!readmissions[Facility ID] = clean[[#This Row],[Facility ID]]) * ([1]!readmissions[Measure ID] = "Hybrid_HWR"), [1]!readmissions[Score]), "No Match")</f>
        <v>14.6</v>
      </c>
    </row>
    <row r="2524" spans="1:6" x14ac:dyDescent="0.2">
      <c r="A2524">
        <f>[1]!hospitalinfo[[#This Row],[Facility ID]]</f>
        <v>240088</v>
      </c>
      <c r="B2524" t="str">
        <f>[1]!hospitalinfo[[#This Row],[State]]</f>
        <v>MN</v>
      </c>
      <c r="C2524" t="str">
        <f>[1]!hospitalinfo[[#This Row],[Hospital Type]]</f>
        <v>Acute Care Hospitals</v>
      </c>
      <c r="D2524" t="str">
        <f>[1]!hospitalinfo[[#This Row],[Hospital Ownership]]</f>
        <v>Government - Local</v>
      </c>
      <c r="E2524" cm="1">
        <f t="array" ref="E2524">_xlfn.IFNA(_xlfn.XLOOKUP(1,([1]!hcahps[Facility ID] = clean[[#This Row],[Facility ID]]) * ([1]!hcahps[HCAHPS Measure ID] = "H_HSP_RATING_LINEAR_SCORE"), [1]!hcahps[HCAHPS Linear Mean Value]), "No Match")</f>
        <v>84</v>
      </c>
      <c r="F2524" cm="1">
        <f t="array" ref="F2524">_xlfn.IFNA(_xlfn.XLOOKUP(1,([1]!readmissions[Facility ID] = clean[[#This Row],[Facility ID]]) * ([1]!readmissions[Measure ID] = "Hybrid_HWR"), [1]!readmissions[Score]), "No Match")</f>
        <v>14.7</v>
      </c>
    </row>
    <row r="2525" spans="1:6" x14ac:dyDescent="0.2">
      <c r="A2525">
        <f>[1]!hospitalinfo[[#This Row],[Facility ID]]</f>
        <v>240093</v>
      </c>
      <c r="B2525" t="str">
        <f>[1]!hospitalinfo[[#This Row],[State]]</f>
        <v>MN</v>
      </c>
      <c r="C2525" t="str">
        <f>[1]!hospitalinfo[[#This Row],[Hospital Type]]</f>
        <v>Acute Care Hospitals</v>
      </c>
      <c r="D2525" t="str">
        <f>[1]!hospitalinfo[[#This Row],[Hospital Ownership]]</f>
        <v>Voluntary non-profit - Private</v>
      </c>
      <c r="E2525" cm="1">
        <f t="array" ref="E2525">_xlfn.IFNA(_xlfn.XLOOKUP(1,([1]!hcahps[Facility ID] = clean[[#This Row],[Facility ID]]) * ([1]!hcahps[HCAHPS Measure ID] = "H_HSP_RATING_LINEAR_SCORE"), [1]!hcahps[HCAHPS Linear Mean Value]), "No Match")</f>
        <v>91</v>
      </c>
      <c r="F2525" cm="1">
        <f t="array" ref="F2525">_xlfn.IFNA(_xlfn.XLOOKUP(1,([1]!readmissions[Facility ID] = clean[[#This Row],[Facility ID]]) * ([1]!readmissions[Measure ID] = "Hybrid_HWR"), [1]!readmissions[Score]), "No Match")</f>
        <v>13.1</v>
      </c>
    </row>
    <row r="2526" spans="1:6" x14ac:dyDescent="0.2">
      <c r="A2526">
        <f>[1]!hospitalinfo[[#This Row],[Facility ID]]</f>
        <v>240100</v>
      </c>
      <c r="B2526" t="str">
        <f>[1]!hospitalinfo[[#This Row],[State]]</f>
        <v>MN</v>
      </c>
      <c r="C2526" t="str">
        <f>[1]!hospitalinfo[[#This Row],[Hospital Type]]</f>
        <v>Acute Care Hospitals</v>
      </c>
      <c r="D2526" t="str">
        <f>[1]!hospitalinfo[[#This Row],[Hospital Ownership]]</f>
        <v>Voluntary non-profit - Private</v>
      </c>
      <c r="E2526" cm="1">
        <f t="array" ref="E2526">_xlfn.IFNA(_xlfn.XLOOKUP(1,([1]!hcahps[Facility ID] = clean[[#This Row],[Facility ID]]) * ([1]!hcahps[HCAHPS Measure ID] = "H_HSP_RATING_LINEAR_SCORE"), [1]!hcahps[HCAHPS Linear Mean Value]), "No Match")</f>
        <v>87</v>
      </c>
      <c r="F2526" cm="1">
        <f t="array" ref="F2526">_xlfn.IFNA(_xlfn.XLOOKUP(1,([1]!readmissions[Facility ID] = clean[[#This Row],[Facility ID]]) * ([1]!readmissions[Measure ID] = "Hybrid_HWR"), [1]!readmissions[Score]), "No Match")</f>
        <v>14.4</v>
      </c>
    </row>
    <row r="2527" spans="1:6" x14ac:dyDescent="0.2">
      <c r="A2527">
        <f>[1]!hospitalinfo[[#This Row],[Facility ID]]</f>
        <v>240101</v>
      </c>
      <c r="B2527" t="str">
        <f>[1]!hospitalinfo[[#This Row],[State]]</f>
        <v>MN</v>
      </c>
      <c r="C2527" t="str">
        <f>[1]!hospitalinfo[[#This Row],[Hospital Type]]</f>
        <v>Acute Care Hospitals</v>
      </c>
      <c r="D2527" t="str">
        <f>[1]!hospitalinfo[[#This Row],[Hospital Ownership]]</f>
        <v>Voluntary non-profit - Church</v>
      </c>
      <c r="E2527" cm="1">
        <f t="array" ref="E2527">_xlfn.IFNA(_xlfn.XLOOKUP(1,([1]!hcahps[Facility ID] = clean[[#This Row],[Facility ID]]) * ([1]!hcahps[HCAHPS Measure ID] = "H_HSP_RATING_LINEAR_SCORE"), [1]!hcahps[HCAHPS Linear Mean Value]), "No Match")</f>
        <v>90</v>
      </c>
      <c r="F2527" cm="1">
        <f t="array" ref="F2527">_xlfn.IFNA(_xlfn.XLOOKUP(1,([1]!readmissions[Facility ID] = clean[[#This Row],[Facility ID]]) * ([1]!readmissions[Measure ID] = "Hybrid_HWR"), [1]!readmissions[Score]), "No Match")</f>
        <v>14.7</v>
      </c>
    </row>
    <row r="2528" spans="1:6" x14ac:dyDescent="0.2">
      <c r="A2528">
        <f>[1]!hospitalinfo[[#This Row],[Facility ID]]</f>
        <v>240104</v>
      </c>
      <c r="B2528" t="str">
        <f>[1]!hospitalinfo[[#This Row],[State]]</f>
        <v>MN</v>
      </c>
      <c r="C2528" t="str">
        <f>[1]!hospitalinfo[[#This Row],[Hospital Type]]</f>
        <v>Acute Care Hospitals</v>
      </c>
      <c r="D2528" t="str">
        <f>[1]!hospitalinfo[[#This Row],[Hospital Ownership]]</f>
        <v>Voluntary non-profit - Church</v>
      </c>
      <c r="E2528" cm="1">
        <f t="array" ref="E2528">_xlfn.IFNA(_xlfn.XLOOKUP(1,([1]!hcahps[Facility ID] = clean[[#This Row],[Facility ID]]) * ([1]!hcahps[HCAHPS Measure ID] = "H_HSP_RATING_LINEAR_SCORE"), [1]!hcahps[HCAHPS Linear Mean Value]), "No Match")</f>
        <v>87</v>
      </c>
      <c r="F2528" cm="1">
        <f t="array" ref="F2528">_xlfn.IFNA(_xlfn.XLOOKUP(1,([1]!readmissions[Facility ID] = clean[[#This Row],[Facility ID]]) * ([1]!readmissions[Measure ID] = "Hybrid_HWR"), [1]!readmissions[Score]), "No Match")</f>
        <v>15.5</v>
      </c>
    </row>
    <row r="2529" spans="1:6" x14ac:dyDescent="0.2">
      <c r="A2529">
        <f>[1]!hospitalinfo[[#This Row],[Facility ID]]</f>
        <v>240106</v>
      </c>
      <c r="B2529" t="str">
        <f>[1]!hospitalinfo[[#This Row],[State]]</f>
        <v>MN</v>
      </c>
      <c r="C2529" t="str">
        <f>[1]!hospitalinfo[[#This Row],[Hospital Type]]</f>
        <v>Acute Care Hospitals</v>
      </c>
      <c r="D2529" t="str">
        <f>[1]!hospitalinfo[[#This Row],[Hospital Ownership]]</f>
        <v>Voluntary non-profit - Private</v>
      </c>
      <c r="E2529" cm="1">
        <f t="array" ref="E2529">_xlfn.IFNA(_xlfn.XLOOKUP(1,([1]!hcahps[Facility ID] = clean[[#This Row],[Facility ID]]) * ([1]!hcahps[HCAHPS Measure ID] = "H_HSP_RATING_LINEAR_SCORE"), [1]!hcahps[HCAHPS Linear Mean Value]), "No Match")</f>
        <v>89</v>
      </c>
      <c r="F2529" cm="1">
        <f t="array" ref="F2529">_xlfn.IFNA(_xlfn.XLOOKUP(1,([1]!readmissions[Facility ID] = clean[[#This Row],[Facility ID]]) * ([1]!readmissions[Measure ID] = "Hybrid_HWR"), [1]!readmissions[Score]), "No Match")</f>
        <v>14.1</v>
      </c>
    </row>
    <row r="2530" spans="1:6" x14ac:dyDescent="0.2">
      <c r="A2530">
        <f>[1]!hospitalinfo[[#This Row],[Facility ID]]</f>
        <v>240115</v>
      </c>
      <c r="B2530" t="str">
        <f>[1]!hospitalinfo[[#This Row],[State]]</f>
        <v>MN</v>
      </c>
      <c r="C2530" t="str">
        <f>[1]!hospitalinfo[[#This Row],[Hospital Type]]</f>
        <v>Acute Care Hospitals</v>
      </c>
      <c r="D2530" t="str">
        <f>[1]!hospitalinfo[[#This Row],[Hospital Ownership]]</f>
        <v>Voluntary non-profit - Private</v>
      </c>
      <c r="E2530" cm="1">
        <f t="array" ref="E2530">_xlfn.IFNA(_xlfn.XLOOKUP(1,([1]!hcahps[Facility ID] = clean[[#This Row],[Facility ID]]) * ([1]!hcahps[HCAHPS Measure ID] = "H_HSP_RATING_LINEAR_SCORE"), [1]!hcahps[HCAHPS Linear Mean Value]), "No Match")</f>
        <v>85</v>
      </c>
      <c r="F2530" cm="1">
        <f t="array" ref="F2530">_xlfn.IFNA(_xlfn.XLOOKUP(1,([1]!readmissions[Facility ID] = clean[[#This Row],[Facility ID]]) * ([1]!readmissions[Measure ID] = "Hybrid_HWR"), [1]!readmissions[Score]), "No Match")</f>
        <v>15</v>
      </c>
    </row>
    <row r="2531" spans="1:6" x14ac:dyDescent="0.2">
      <c r="A2531">
        <f>[1]!hospitalinfo[[#This Row],[Facility ID]]</f>
        <v>240141</v>
      </c>
      <c r="B2531" t="str">
        <f>[1]!hospitalinfo[[#This Row],[State]]</f>
        <v>MN</v>
      </c>
      <c r="C2531" t="str">
        <f>[1]!hospitalinfo[[#This Row],[Hospital Type]]</f>
        <v>Acute Care Hospitals</v>
      </c>
      <c r="D2531" t="str">
        <f>[1]!hospitalinfo[[#This Row],[Hospital Ownership]]</f>
        <v>Voluntary non-profit - Other</v>
      </c>
      <c r="E2531" cm="1">
        <f t="array" ref="E2531">_xlfn.IFNA(_xlfn.XLOOKUP(1,([1]!hcahps[Facility ID] = clean[[#This Row],[Facility ID]]) * ([1]!hcahps[HCAHPS Measure ID] = "H_HSP_RATING_LINEAR_SCORE"), [1]!hcahps[HCAHPS Linear Mean Value]), "No Match")</f>
        <v>89</v>
      </c>
      <c r="F2531" cm="1">
        <f t="array" ref="F2531">_xlfn.IFNA(_xlfn.XLOOKUP(1,([1]!readmissions[Facility ID] = clean[[#This Row],[Facility ID]]) * ([1]!readmissions[Measure ID] = "Hybrid_HWR"), [1]!readmissions[Score]), "No Match")</f>
        <v>14.3</v>
      </c>
    </row>
    <row r="2532" spans="1:6" x14ac:dyDescent="0.2">
      <c r="A2532">
        <f>[1]!hospitalinfo[[#This Row],[Facility ID]]</f>
        <v>240166</v>
      </c>
      <c r="B2532" t="str">
        <f>[1]!hospitalinfo[[#This Row],[State]]</f>
        <v>MN</v>
      </c>
      <c r="C2532" t="str">
        <f>[1]!hospitalinfo[[#This Row],[Hospital Type]]</f>
        <v>Acute Care Hospitals</v>
      </c>
      <c r="D2532" t="str">
        <f>[1]!hospitalinfo[[#This Row],[Hospital Ownership]]</f>
        <v>Voluntary non-profit - Private</v>
      </c>
      <c r="E2532" cm="1">
        <f t="array" ref="E2532">_xlfn.IFNA(_xlfn.XLOOKUP(1,([1]!hcahps[Facility ID] = clean[[#This Row],[Facility ID]]) * ([1]!hcahps[HCAHPS Measure ID] = "H_HSP_RATING_LINEAR_SCORE"), [1]!hcahps[HCAHPS Linear Mean Value]), "No Match")</f>
        <v>91</v>
      </c>
      <c r="F2532" cm="1">
        <f t="array" ref="F2532">_xlfn.IFNA(_xlfn.XLOOKUP(1,([1]!readmissions[Facility ID] = clean[[#This Row],[Facility ID]]) * ([1]!readmissions[Measure ID] = "Hybrid_HWR"), [1]!readmissions[Score]), "No Match")</f>
        <v>14.3</v>
      </c>
    </row>
    <row r="2533" spans="1:6" x14ac:dyDescent="0.2">
      <c r="A2533">
        <f>[1]!hospitalinfo[[#This Row],[Facility ID]]</f>
        <v>240187</v>
      </c>
      <c r="B2533" t="str">
        <f>[1]!hospitalinfo[[#This Row],[State]]</f>
        <v>MN</v>
      </c>
      <c r="C2533" t="str">
        <f>[1]!hospitalinfo[[#This Row],[Hospital Type]]</f>
        <v>Acute Care Hospitals</v>
      </c>
      <c r="D2533" t="str">
        <f>[1]!hospitalinfo[[#This Row],[Hospital Ownership]]</f>
        <v>Voluntary non-profit - Private</v>
      </c>
      <c r="E2533" cm="1">
        <f t="array" ref="E2533">_xlfn.IFNA(_xlfn.XLOOKUP(1,([1]!hcahps[Facility ID] = clean[[#This Row],[Facility ID]]) * ([1]!hcahps[HCAHPS Measure ID] = "H_HSP_RATING_LINEAR_SCORE"), [1]!hcahps[HCAHPS Linear Mean Value]), "No Match")</f>
        <v>92</v>
      </c>
      <c r="F2533" cm="1">
        <f t="array" ref="F2533">_xlfn.IFNA(_xlfn.XLOOKUP(1,([1]!readmissions[Facility ID] = clean[[#This Row],[Facility ID]]) * ([1]!readmissions[Measure ID] = "Hybrid_HWR"), [1]!readmissions[Score]), "No Match")</f>
        <v>15.2</v>
      </c>
    </row>
    <row r="2534" spans="1:6" x14ac:dyDescent="0.2">
      <c r="A2534">
        <f>[1]!hospitalinfo[[#This Row],[Facility ID]]</f>
        <v>240206</v>
      </c>
      <c r="B2534" t="str">
        <f>[1]!hospitalinfo[[#This Row],[State]]</f>
        <v>MN</v>
      </c>
      <c r="C2534" t="str">
        <f>[1]!hospitalinfo[[#This Row],[Hospital Type]]</f>
        <v>Acute Care Hospitals</v>
      </c>
      <c r="D2534" t="str">
        <f>[1]!hospitalinfo[[#This Row],[Hospital Ownership]]</f>
        <v>Government - Federal</v>
      </c>
      <c r="E2534" t="str" cm="1">
        <f t="array" ref="E2534">_xlfn.IFNA(_xlfn.XLOOKUP(1,([1]!hcahps[Facility ID] = clean[[#This Row],[Facility ID]]) * ([1]!hcahps[HCAHPS Measure ID] = "H_HSP_RATING_LINEAR_SCORE"), [1]!hcahps[HCAHPS Linear Mean Value]), "No Match")</f>
        <v>Not Available</v>
      </c>
      <c r="F2534" t="str" cm="1">
        <f t="array" ref="F2534">_xlfn.IFNA(_xlfn.XLOOKUP(1,([1]!readmissions[Facility ID] = clean[[#This Row],[Facility ID]]) * ([1]!readmissions[Measure ID] = "Hybrid_HWR"), [1]!readmissions[Score]), "No Match")</f>
        <v>Not Available</v>
      </c>
    </row>
    <row r="2535" spans="1:6" x14ac:dyDescent="0.2">
      <c r="A2535">
        <f>[1]!hospitalinfo[[#This Row],[Facility ID]]</f>
        <v>240207</v>
      </c>
      <c r="B2535" t="str">
        <f>[1]!hospitalinfo[[#This Row],[State]]</f>
        <v>MN</v>
      </c>
      <c r="C2535" t="str">
        <f>[1]!hospitalinfo[[#This Row],[Hospital Type]]</f>
        <v>Acute Care Hospitals</v>
      </c>
      <c r="D2535" t="str">
        <f>[1]!hospitalinfo[[#This Row],[Hospital Ownership]]</f>
        <v>Voluntary non-profit - Church</v>
      </c>
      <c r="E2535" cm="1">
        <f t="array" ref="E2535">_xlfn.IFNA(_xlfn.XLOOKUP(1,([1]!hcahps[Facility ID] = clean[[#This Row],[Facility ID]]) * ([1]!hcahps[HCAHPS Measure ID] = "H_HSP_RATING_LINEAR_SCORE"), [1]!hcahps[HCAHPS Linear Mean Value]), "No Match")</f>
        <v>87</v>
      </c>
      <c r="F2535" cm="1">
        <f t="array" ref="F2535">_xlfn.IFNA(_xlfn.XLOOKUP(1,([1]!readmissions[Facility ID] = clean[[#This Row],[Facility ID]]) * ([1]!readmissions[Measure ID] = "Hybrid_HWR"), [1]!readmissions[Score]), "No Match")</f>
        <v>13.8</v>
      </c>
    </row>
    <row r="2536" spans="1:6" x14ac:dyDescent="0.2">
      <c r="A2536">
        <f>[1]!hospitalinfo[[#This Row],[Facility ID]]</f>
        <v>240210</v>
      </c>
      <c r="B2536" t="str">
        <f>[1]!hospitalinfo[[#This Row],[State]]</f>
        <v>MN</v>
      </c>
      <c r="C2536" t="str">
        <f>[1]!hospitalinfo[[#This Row],[Hospital Type]]</f>
        <v>Acute Care Hospitals</v>
      </c>
      <c r="D2536" t="str">
        <f>[1]!hospitalinfo[[#This Row],[Hospital Ownership]]</f>
        <v>Voluntary non-profit - Private</v>
      </c>
      <c r="E2536" cm="1">
        <f t="array" ref="E2536">_xlfn.IFNA(_xlfn.XLOOKUP(1,([1]!hcahps[Facility ID] = clean[[#This Row],[Facility ID]]) * ([1]!hcahps[HCAHPS Measure ID] = "H_HSP_RATING_LINEAR_SCORE"), [1]!hcahps[HCAHPS Linear Mean Value]), "No Match")</f>
        <v>85</v>
      </c>
      <c r="F2536" cm="1">
        <f t="array" ref="F2536">_xlfn.IFNA(_xlfn.XLOOKUP(1,([1]!readmissions[Facility ID] = clean[[#This Row],[Facility ID]]) * ([1]!readmissions[Measure ID] = "Hybrid_HWR"), [1]!readmissions[Score]), "No Match")</f>
        <v>13.3</v>
      </c>
    </row>
    <row r="2537" spans="1:6" x14ac:dyDescent="0.2">
      <c r="A2537">
        <f>[1]!hospitalinfo[[#This Row],[Facility ID]]</f>
        <v>240213</v>
      </c>
      <c r="B2537" t="str">
        <f>[1]!hospitalinfo[[#This Row],[State]]</f>
        <v>MN</v>
      </c>
      <c r="C2537" t="str">
        <f>[1]!hospitalinfo[[#This Row],[Hospital Type]]</f>
        <v>Acute Care Hospitals</v>
      </c>
      <c r="D2537" t="str">
        <f>[1]!hospitalinfo[[#This Row],[Hospital Ownership]]</f>
        <v>Voluntary non-profit - Private</v>
      </c>
      <c r="E2537" cm="1">
        <f t="array" ref="E2537">_xlfn.IFNA(_xlfn.XLOOKUP(1,([1]!hcahps[Facility ID] = clean[[#This Row],[Facility ID]]) * ([1]!hcahps[HCAHPS Measure ID] = "H_HSP_RATING_LINEAR_SCORE"), [1]!hcahps[HCAHPS Linear Mean Value]), "No Match")</f>
        <v>86</v>
      </c>
      <c r="F2537" cm="1">
        <f t="array" ref="F2537">_xlfn.IFNA(_xlfn.XLOOKUP(1,([1]!readmissions[Facility ID] = clean[[#This Row],[Facility ID]]) * ([1]!readmissions[Measure ID] = "Hybrid_HWR"), [1]!readmissions[Score]), "No Match")</f>
        <v>14.4</v>
      </c>
    </row>
    <row r="2538" spans="1:6" x14ac:dyDescent="0.2">
      <c r="A2538">
        <f>[1]!hospitalinfo[[#This Row],[Facility ID]]</f>
        <v>240214</v>
      </c>
      <c r="B2538" t="str">
        <f>[1]!hospitalinfo[[#This Row],[State]]</f>
        <v>MN</v>
      </c>
      <c r="C2538" t="str">
        <f>[1]!hospitalinfo[[#This Row],[Hospital Type]]</f>
        <v>Acute Care Hospitals</v>
      </c>
      <c r="D2538" t="str">
        <f>[1]!hospitalinfo[[#This Row],[Hospital Ownership]]</f>
        <v>Voluntary non-profit - Private</v>
      </c>
      <c r="E2538" cm="1">
        <f t="array" ref="E2538">_xlfn.IFNA(_xlfn.XLOOKUP(1,([1]!hcahps[Facility ID] = clean[[#This Row],[Facility ID]]) * ([1]!hcahps[HCAHPS Measure ID] = "H_HSP_RATING_LINEAR_SCORE"), [1]!hcahps[HCAHPS Linear Mean Value]), "No Match")</f>
        <v>90</v>
      </c>
      <c r="F2538" cm="1">
        <f t="array" ref="F2538">_xlfn.IFNA(_xlfn.XLOOKUP(1,([1]!readmissions[Facility ID] = clean[[#This Row],[Facility ID]]) * ([1]!readmissions[Measure ID] = "Hybrid_HWR"), [1]!readmissions[Score]), "No Match")</f>
        <v>14.9</v>
      </c>
    </row>
    <row r="2539" spans="1:6" x14ac:dyDescent="0.2">
      <c r="A2539">
        <f>[1]!hospitalinfo[[#This Row],[Facility ID]]</f>
        <v>240779</v>
      </c>
      <c r="B2539" t="str">
        <f>[1]!hospitalinfo[[#This Row],[State]]</f>
        <v>MN</v>
      </c>
      <c r="C2539" t="str">
        <f>[1]!hospitalinfo[[#This Row],[Hospital Type]]</f>
        <v>Rural Emergency Hospital</v>
      </c>
      <c r="D2539" t="str">
        <f>[1]!hospitalinfo[[#This Row],[Hospital Ownership]]</f>
        <v>Government - Local</v>
      </c>
      <c r="E2539" t="str" cm="1">
        <f t="array" ref="E2539">_xlfn.IFNA(_xlfn.XLOOKUP(1,([1]!hcahps[Facility ID] = clean[[#This Row],[Facility ID]]) * ([1]!hcahps[HCAHPS Measure ID] = "H_HSP_RATING_LINEAR_SCORE"), [1]!hcahps[HCAHPS Linear Mean Value]), "No Match")</f>
        <v>Not Available</v>
      </c>
      <c r="F2539" t="str" cm="1">
        <f t="array" ref="F2539">_xlfn.IFNA(_xlfn.XLOOKUP(1,([1]!readmissions[Facility ID] = clean[[#This Row],[Facility ID]]) * ([1]!readmissions[Measure ID] = "Hybrid_HWR"), [1]!readmissions[Score]), "No Match")</f>
        <v>Not Available</v>
      </c>
    </row>
    <row r="2540" spans="1:6" x14ac:dyDescent="0.2">
      <c r="A2540">
        <f>[1]!hospitalinfo[[#This Row],[Facility ID]]</f>
        <v>241301</v>
      </c>
      <c r="B2540" t="str">
        <f>[1]!hospitalinfo[[#This Row],[State]]</f>
        <v>MN</v>
      </c>
      <c r="C2540" t="str">
        <f>[1]!hospitalinfo[[#This Row],[Hospital Type]]</f>
        <v>Critical Access Hospitals</v>
      </c>
      <c r="D2540" t="str">
        <f>[1]!hospitalinfo[[#This Row],[Hospital Ownership]]</f>
        <v>Voluntary non-profit - Church</v>
      </c>
      <c r="E2540" t="str" cm="1">
        <f t="array" ref="E2540">_xlfn.IFNA(_xlfn.XLOOKUP(1,([1]!hcahps[Facility ID] = clean[[#This Row],[Facility ID]]) * ([1]!hcahps[HCAHPS Measure ID] = "H_HSP_RATING_LINEAR_SCORE"), [1]!hcahps[HCAHPS Linear Mean Value]), "No Match")</f>
        <v>Not Available</v>
      </c>
      <c r="F2540" t="str" cm="1">
        <f t="array" ref="F2540">_xlfn.IFNA(_xlfn.XLOOKUP(1,([1]!readmissions[Facility ID] = clean[[#This Row],[Facility ID]]) * ([1]!readmissions[Measure ID] = "Hybrid_HWR"), [1]!readmissions[Score]), "No Match")</f>
        <v>Not Available</v>
      </c>
    </row>
    <row r="2541" spans="1:6" x14ac:dyDescent="0.2">
      <c r="A2541">
        <f>[1]!hospitalinfo[[#This Row],[Facility ID]]</f>
        <v>241302</v>
      </c>
      <c r="B2541" t="str">
        <f>[1]!hospitalinfo[[#This Row],[State]]</f>
        <v>MN</v>
      </c>
      <c r="C2541" t="str">
        <f>[1]!hospitalinfo[[#This Row],[Hospital Type]]</f>
        <v>Critical Access Hospitals</v>
      </c>
      <c r="D2541" t="str">
        <f>[1]!hospitalinfo[[#This Row],[Hospital Ownership]]</f>
        <v>Voluntary non-profit - Private</v>
      </c>
      <c r="E2541" t="str" cm="1">
        <f t="array" ref="E2541">_xlfn.IFNA(_xlfn.XLOOKUP(1,([1]!hcahps[Facility ID] = clean[[#This Row],[Facility ID]]) * ([1]!hcahps[HCAHPS Measure ID] = "H_HSP_RATING_LINEAR_SCORE"), [1]!hcahps[HCAHPS Linear Mean Value]), "No Match")</f>
        <v>Not Available</v>
      </c>
      <c r="F2541" t="str" cm="1">
        <f t="array" ref="F2541">_xlfn.IFNA(_xlfn.XLOOKUP(1,([1]!readmissions[Facility ID] = clean[[#This Row],[Facility ID]]) * ([1]!readmissions[Measure ID] = "Hybrid_HWR"), [1]!readmissions[Score]), "No Match")</f>
        <v>Not Available</v>
      </c>
    </row>
    <row r="2542" spans="1:6" x14ac:dyDescent="0.2">
      <c r="A2542">
        <f>[1]!hospitalinfo[[#This Row],[Facility ID]]</f>
        <v>241303</v>
      </c>
      <c r="B2542" t="str">
        <f>[1]!hospitalinfo[[#This Row],[State]]</f>
        <v>MN</v>
      </c>
      <c r="C2542" t="str">
        <f>[1]!hospitalinfo[[#This Row],[Hospital Type]]</f>
        <v>Critical Access Hospitals</v>
      </c>
      <c r="D2542" t="str">
        <f>[1]!hospitalinfo[[#This Row],[Hospital Ownership]]</f>
        <v>Voluntary non-profit - Private</v>
      </c>
      <c r="E2542" t="str" cm="1">
        <f t="array" ref="E2542">_xlfn.IFNA(_xlfn.XLOOKUP(1,([1]!hcahps[Facility ID] = clean[[#This Row],[Facility ID]]) * ([1]!hcahps[HCAHPS Measure ID] = "H_HSP_RATING_LINEAR_SCORE"), [1]!hcahps[HCAHPS Linear Mean Value]), "No Match")</f>
        <v>Not Available</v>
      </c>
      <c r="F2542" cm="1">
        <f t="array" ref="F2542">_xlfn.IFNA(_xlfn.XLOOKUP(1,([1]!readmissions[Facility ID] = clean[[#This Row],[Facility ID]]) * ([1]!readmissions[Measure ID] = "Hybrid_HWR"), [1]!readmissions[Score]), "No Match")</f>
        <v>14.9</v>
      </c>
    </row>
    <row r="2543" spans="1:6" x14ac:dyDescent="0.2">
      <c r="A2543">
        <f>[1]!hospitalinfo[[#This Row],[Facility ID]]</f>
        <v>241304</v>
      </c>
      <c r="B2543" t="str">
        <f>[1]!hospitalinfo[[#This Row],[State]]</f>
        <v>MN</v>
      </c>
      <c r="C2543" t="str">
        <f>[1]!hospitalinfo[[#This Row],[Hospital Type]]</f>
        <v>Critical Access Hospitals</v>
      </c>
      <c r="D2543" t="str">
        <f>[1]!hospitalinfo[[#This Row],[Hospital Ownership]]</f>
        <v>Voluntary non-profit - Private</v>
      </c>
      <c r="E2543" t="str" cm="1">
        <f t="array" ref="E2543">_xlfn.IFNA(_xlfn.XLOOKUP(1,([1]!hcahps[Facility ID] = clean[[#This Row],[Facility ID]]) * ([1]!hcahps[HCAHPS Measure ID] = "H_HSP_RATING_LINEAR_SCORE"), [1]!hcahps[HCAHPS Linear Mean Value]), "No Match")</f>
        <v>Not Available</v>
      </c>
      <c r="F2543" t="str" cm="1">
        <f t="array" ref="F2543">_xlfn.IFNA(_xlfn.XLOOKUP(1,([1]!readmissions[Facility ID] = clean[[#This Row],[Facility ID]]) * ([1]!readmissions[Measure ID] = "Hybrid_HWR"), [1]!readmissions[Score]), "No Match")</f>
        <v>Not Available</v>
      </c>
    </row>
    <row r="2544" spans="1:6" x14ac:dyDescent="0.2">
      <c r="A2544">
        <f>[1]!hospitalinfo[[#This Row],[Facility ID]]</f>
        <v>241305</v>
      </c>
      <c r="B2544" t="str">
        <f>[1]!hospitalinfo[[#This Row],[State]]</f>
        <v>MN</v>
      </c>
      <c r="C2544" t="str">
        <f>[1]!hospitalinfo[[#This Row],[Hospital Type]]</f>
        <v>Critical Access Hospitals</v>
      </c>
      <c r="D2544" t="str">
        <f>[1]!hospitalinfo[[#This Row],[Hospital Ownership]]</f>
        <v>Voluntary non-profit - Private</v>
      </c>
      <c r="E2544" cm="1">
        <f t="array" ref="E2544">_xlfn.IFNA(_xlfn.XLOOKUP(1,([1]!hcahps[Facility ID] = clean[[#This Row],[Facility ID]]) * ([1]!hcahps[HCAHPS Measure ID] = "H_HSP_RATING_LINEAR_SCORE"), [1]!hcahps[HCAHPS Linear Mean Value]), "No Match")</f>
        <v>94</v>
      </c>
      <c r="F2544" cm="1">
        <f t="array" ref="F2544">_xlfn.IFNA(_xlfn.XLOOKUP(1,([1]!readmissions[Facility ID] = clean[[#This Row],[Facility ID]]) * ([1]!readmissions[Measure ID] = "Hybrid_HWR"), [1]!readmissions[Score]), "No Match")</f>
        <v>14.8</v>
      </c>
    </row>
    <row r="2545" spans="1:6" x14ac:dyDescent="0.2">
      <c r="A2545">
        <f>[1]!hospitalinfo[[#This Row],[Facility ID]]</f>
        <v>241306</v>
      </c>
      <c r="B2545" t="str">
        <f>[1]!hospitalinfo[[#This Row],[State]]</f>
        <v>MN</v>
      </c>
      <c r="C2545" t="str">
        <f>[1]!hospitalinfo[[#This Row],[Hospital Type]]</f>
        <v>Critical Access Hospitals</v>
      </c>
      <c r="D2545" t="str">
        <f>[1]!hospitalinfo[[#This Row],[Hospital Ownership]]</f>
        <v>Voluntary non-profit - Private</v>
      </c>
      <c r="E2545" t="str" cm="1">
        <f t="array" ref="E2545">_xlfn.IFNA(_xlfn.XLOOKUP(1,([1]!hcahps[Facility ID] = clean[[#This Row],[Facility ID]]) * ([1]!hcahps[HCAHPS Measure ID] = "H_HSP_RATING_LINEAR_SCORE"), [1]!hcahps[HCAHPS Linear Mean Value]), "No Match")</f>
        <v>Not Available</v>
      </c>
      <c r="F2545" cm="1">
        <f t="array" ref="F2545">_xlfn.IFNA(_xlfn.XLOOKUP(1,([1]!readmissions[Facility ID] = clean[[#This Row],[Facility ID]]) * ([1]!readmissions[Measure ID] = "Hybrid_HWR"), [1]!readmissions[Score]), "No Match")</f>
        <v>14.8</v>
      </c>
    </row>
    <row r="2546" spans="1:6" x14ac:dyDescent="0.2">
      <c r="A2546">
        <f>[1]!hospitalinfo[[#This Row],[Facility ID]]</f>
        <v>241308</v>
      </c>
      <c r="B2546" t="str">
        <f>[1]!hospitalinfo[[#This Row],[State]]</f>
        <v>MN</v>
      </c>
      <c r="C2546" t="str">
        <f>[1]!hospitalinfo[[#This Row],[Hospital Type]]</f>
        <v>Critical Access Hospitals</v>
      </c>
      <c r="D2546" t="str">
        <f>[1]!hospitalinfo[[#This Row],[Hospital Ownership]]</f>
        <v>Voluntary non-profit - Private</v>
      </c>
      <c r="E2546" t="str" cm="1">
        <f t="array" ref="E2546">_xlfn.IFNA(_xlfn.XLOOKUP(1,([1]!hcahps[Facility ID] = clean[[#This Row],[Facility ID]]) * ([1]!hcahps[HCAHPS Measure ID] = "H_HSP_RATING_LINEAR_SCORE"), [1]!hcahps[HCAHPS Linear Mean Value]), "No Match")</f>
        <v>Not Available</v>
      </c>
      <c r="F2546" cm="1">
        <f t="array" ref="F2546">_xlfn.IFNA(_xlfn.XLOOKUP(1,([1]!readmissions[Facility ID] = clean[[#This Row],[Facility ID]]) * ([1]!readmissions[Measure ID] = "Hybrid_HWR"), [1]!readmissions[Score]), "No Match")</f>
        <v>14.7</v>
      </c>
    </row>
    <row r="2547" spans="1:6" x14ac:dyDescent="0.2">
      <c r="A2547">
        <f>[1]!hospitalinfo[[#This Row],[Facility ID]]</f>
        <v>241309</v>
      </c>
      <c r="B2547" t="str">
        <f>[1]!hospitalinfo[[#This Row],[State]]</f>
        <v>MN</v>
      </c>
      <c r="C2547" t="str">
        <f>[1]!hospitalinfo[[#This Row],[Hospital Type]]</f>
        <v>Critical Access Hospitals</v>
      </c>
      <c r="D2547" t="str">
        <f>[1]!hospitalinfo[[#This Row],[Hospital Ownership]]</f>
        <v>Voluntary non-profit - Private</v>
      </c>
      <c r="E2547" t="str" cm="1">
        <f t="array" ref="E2547">_xlfn.IFNA(_xlfn.XLOOKUP(1,([1]!hcahps[Facility ID] = clean[[#This Row],[Facility ID]]) * ([1]!hcahps[HCAHPS Measure ID] = "H_HSP_RATING_LINEAR_SCORE"), [1]!hcahps[HCAHPS Linear Mean Value]), "No Match")</f>
        <v>Not Available</v>
      </c>
      <c r="F2547" t="str" cm="1">
        <f t="array" ref="F2547">_xlfn.IFNA(_xlfn.XLOOKUP(1,([1]!readmissions[Facility ID] = clean[[#This Row],[Facility ID]]) * ([1]!readmissions[Measure ID] = "Hybrid_HWR"), [1]!readmissions[Score]), "No Match")</f>
        <v>Not Available</v>
      </c>
    </row>
    <row r="2548" spans="1:6" x14ac:dyDescent="0.2">
      <c r="A2548">
        <f>[1]!hospitalinfo[[#This Row],[Facility ID]]</f>
        <v>241311</v>
      </c>
      <c r="B2548" t="str">
        <f>[1]!hospitalinfo[[#This Row],[State]]</f>
        <v>MN</v>
      </c>
      <c r="C2548" t="str">
        <f>[1]!hospitalinfo[[#This Row],[Hospital Type]]</f>
        <v>Critical Access Hospitals</v>
      </c>
      <c r="D2548" t="str">
        <f>[1]!hospitalinfo[[#This Row],[Hospital Ownership]]</f>
        <v>Voluntary non-profit - Private</v>
      </c>
      <c r="E2548" t="str" cm="1">
        <f t="array" ref="E2548">_xlfn.IFNA(_xlfn.XLOOKUP(1,([1]!hcahps[Facility ID] = clean[[#This Row],[Facility ID]]) * ([1]!hcahps[HCAHPS Measure ID] = "H_HSP_RATING_LINEAR_SCORE"), [1]!hcahps[HCAHPS Linear Mean Value]), "No Match")</f>
        <v>Not Available</v>
      </c>
      <c r="F2548" t="str" cm="1">
        <f t="array" ref="F2548">_xlfn.IFNA(_xlfn.XLOOKUP(1,([1]!readmissions[Facility ID] = clean[[#This Row],[Facility ID]]) * ([1]!readmissions[Measure ID] = "Hybrid_HWR"), [1]!readmissions[Score]), "No Match")</f>
        <v>Not Available</v>
      </c>
    </row>
    <row r="2549" spans="1:6" x14ac:dyDescent="0.2">
      <c r="A2549">
        <f>[1]!hospitalinfo[[#This Row],[Facility ID]]</f>
        <v>241312</v>
      </c>
      <c r="B2549" t="str">
        <f>[1]!hospitalinfo[[#This Row],[State]]</f>
        <v>MN</v>
      </c>
      <c r="C2549" t="str">
        <f>[1]!hospitalinfo[[#This Row],[Hospital Type]]</f>
        <v>Critical Access Hospitals</v>
      </c>
      <c r="D2549" t="str">
        <f>[1]!hospitalinfo[[#This Row],[Hospital Ownership]]</f>
        <v>Government - Hospital District or Authority</v>
      </c>
      <c r="E2549" t="str" cm="1">
        <f t="array" ref="E2549">_xlfn.IFNA(_xlfn.XLOOKUP(1,([1]!hcahps[Facility ID] = clean[[#This Row],[Facility ID]]) * ([1]!hcahps[HCAHPS Measure ID] = "H_HSP_RATING_LINEAR_SCORE"), [1]!hcahps[HCAHPS Linear Mean Value]), "No Match")</f>
        <v>Not Available</v>
      </c>
      <c r="F2549" t="str" cm="1">
        <f t="array" ref="F2549">_xlfn.IFNA(_xlfn.XLOOKUP(1,([1]!readmissions[Facility ID] = clean[[#This Row],[Facility ID]]) * ([1]!readmissions[Measure ID] = "Hybrid_HWR"), [1]!readmissions[Score]), "No Match")</f>
        <v>Not Available</v>
      </c>
    </row>
    <row r="2550" spans="1:6" x14ac:dyDescent="0.2">
      <c r="A2550">
        <f>[1]!hospitalinfo[[#This Row],[Facility ID]]</f>
        <v>241313</v>
      </c>
      <c r="B2550" t="str">
        <f>[1]!hospitalinfo[[#This Row],[State]]</f>
        <v>MN</v>
      </c>
      <c r="C2550" t="str">
        <f>[1]!hospitalinfo[[#This Row],[Hospital Type]]</f>
        <v>Critical Access Hospitals</v>
      </c>
      <c r="D2550" t="str">
        <f>[1]!hospitalinfo[[#This Row],[Hospital Ownership]]</f>
        <v>Voluntary non-profit - Private</v>
      </c>
      <c r="E2550" t="str" cm="1">
        <f t="array" ref="E2550">_xlfn.IFNA(_xlfn.XLOOKUP(1,([1]!hcahps[Facility ID] = clean[[#This Row],[Facility ID]]) * ([1]!hcahps[HCAHPS Measure ID] = "H_HSP_RATING_LINEAR_SCORE"), [1]!hcahps[HCAHPS Linear Mean Value]), "No Match")</f>
        <v>Not Available</v>
      </c>
      <c r="F2550" t="str" cm="1">
        <f t="array" ref="F2550">_xlfn.IFNA(_xlfn.XLOOKUP(1,([1]!readmissions[Facility ID] = clean[[#This Row],[Facility ID]]) * ([1]!readmissions[Measure ID] = "Hybrid_HWR"), [1]!readmissions[Score]), "No Match")</f>
        <v>Not Available</v>
      </c>
    </row>
    <row r="2551" spans="1:6" x14ac:dyDescent="0.2">
      <c r="A2551">
        <f>[1]!hospitalinfo[[#This Row],[Facility ID]]</f>
        <v>241314</v>
      </c>
      <c r="B2551" t="str">
        <f>[1]!hospitalinfo[[#This Row],[State]]</f>
        <v>MN</v>
      </c>
      <c r="C2551" t="str">
        <f>[1]!hospitalinfo[[#This Row],[Hospital Type]]</f>
        <v>Critical Access Hospitals</v>
      </c>
      <c r="D2551" t="str">
        <f>[1]!hospitalinfo[[#This Row],[Hospital Ownership]]</f>
        <v>Government - Hospital District or Authority</v>
      </c>
      <c r="E2551" t="str" cm="1">
        <f t="array" ref="E2551">_xlfn.IFNA(_xlfn.XLOOKUP(1,([1]!hcahps[Facility ID] = clean[[#This Row],[Facility ID]]) * ([1]!hcahps[HCAHPS Measure ID] = "H_HSP_RATING_LINEAR_SCORE"), [1]!hcahps[HCAHPS Linear Mean Value]), "No Match")</f>
        <v>Not Available</v>
      </c>
      <c r="F2551" cm="1">
        <f t="array" ref="F2551">_xlfn.IFNA(_xlfn.XLOOKUP(1,([1]!readmissions[Facility ID] = clean[[#This Row],[Facility ID]]) * ([1]!readmissions[Measure ID] = "Hybrid_HWR"), [1]!readmissions[Score]), "No Match")</f>
        <v>14.9</v>
      </c>
    </row>
    <row r="2552" spans="1:6" x14ac:dyDescent="0.2">
      <c r="A2552">
        <f>[1]!hospitalinfo[[#This Row],[Facility ID]]</f>
        <v>241315</v>
      </c>
      <c r="B2552" t="str">
        <f>[1]!hospitalinfo[[#This Row],[State]]</f>
        <v>MN</v>
      </c>
      <c r="C2552" t="str">
        <f>[1]!hospitalinfo[[#This Row],[Hospital Type]]</f>
        <v>Critical Access Hospitals</v>
      </c>
      <c r="D2552" t="str">
        <f>[1]!hospitalinfo[[#This Row],[Hospital Ownership]]</f>
        <v>Voluntary non-profit - Private</v>
      </c>
      <c r="E2552" t="str" cm="1">
        <f t="array" ref="E2552">_xlfn.IFNA(_xlfn.XLOOKUP(1,([1]!hcahps[Facility ID] = clean[[#This Row],[Facility ID]]) * ([1]!hcahps[HCAHPS Measure ID] = "H_HSP_RATING_LINEAR_SCORE"), [1]!hcahps[HCAHPS Linear Mean Value]), "No Match")</f>
        <v>Not Available</v>
      </c>
      <c r="F2552" t="str" cm="1">
        <f t="array" ref="F2552">_xlfn.IFNA(_xlfn.XLOOKUP(1,([1]!readmissions[Facility ID] = clean[[#This Row],[Facility ID]]) * ([1]!readmissions[Measure ID] = "Hybrid_HWR"), [1]!readmissions[Score]), "No Match")</f>
        <v>Not Available</v>
      </c>
    </row>
    <row r="2553" spans="1:6" x14ac:dyDescent="0.2">
      <c r="A2553">
        <f>[1]!hospitalinfo[[#This Row],[Facility ID]]</f>
        <v>241316</v>
      </c>
      <c r="B2553" t="str">
        <f>[1]!hospitalinfo[[#This Row],[State]]</f>
        <v>MN</v>
      </c>
      <c r="C2553" t="str">
        <f>[1]!hospitalinfo[[#This Row],[Hospital Type]]</f>
        <v>Critical Access Hospitals</v>
      </c>
      <c r="D2553" t="str">
        <f>[1]!hospitalinfo[[#This Row],[Hospital Ownership]]</f>
        <v>Government - Hospital District or Authority</v>
      </c>
      <c r="E2553" t="str" cm="1">
        <f t="array" ref="E2553">_xlfn.IFNA(_xlfn.XLOOKUP(1,([1]!hcahps[Facility ID] = clean[[#This Row],[Facility ID]]) * ([1]!hcahps[HCAHPS Measure ID] = "H_HSP_RATING_LINEAR_SCORE"), [1]!hcahps[HCAHPS Linear Mean Value]), "No Match")</f>
        <v>Not Available</v>
      </c>
      <c r="F2553" t="str" cm="1">
        <f t="array" ref="F2553">_xlfn.IFNA(_xlfn.XLOOKUP(1,([1]!readmissions[Facility ID] = clean[[#This Row],[Facility ID]]) * ([1]!readmissions[Measure ID] = "Hybrid_HWR"), [1]!readmissions[Score]), "No Match")</f>
        <v>Not Available</v>
      </c>
    </row>
    <row r="2554" spans="1:6" x14ac:dyDescent="0.2">
      <c r="A2554">
        <f>[1]!hospitalinfo[[#This Row],[Facility ID]]</f>
        <v>241317</v>
      </c>
      <c r="B2554" t="str">
        <f>[1]!hospitalinfo[[#This Row],[State]]</f>
        <v>MN</v>
      </c>
      <c r="C2554" t="str">
        <f>[1]!hospitalinfo[[#This Row],[Hospital Type]]</f>
        <v>Critical Access Hospitals</v>
      </c>
      <c r="D2554" t="str">
        <f>[1]!hospitalinfo[[#This Row],[Hospital Ownership]]</f>
        <v>Government - Hospital District or Authority</v>
      </c>
      <c r="E2554" t="str" cm="1">
        <f t="array" ref="E2554">_xlfn.IFNA(_xlfn.XLOOKUP(1,([1]!hcahps[Facility ID] = clean[[#This Row],[Facility ID]]) * ([1]!hcahps[HCAHPS Measure ID] = "H_HSP_RATING_LINEAR_SCORE"), [1]!hcahps[HCAHPS Linear Mean Value]), "No Match")</f>
        <v>Not Available</v>
      </c>
      <c r="F2554" t="str" cm="1">
        <f t="array" ref="F2554">_xlfn.IFNA(_xlfn.XLOOKUP(1,([1]!readmissions[Facility ID] = clean[[#This Row],[Facility ID]]) * ([1]!readmissions[Measure ID] = "Hybrid_HWR"), [1]!readmissions[Score]), "No Match")</f>
        <v>Not Available</v>
      </c>
    </row>
    <row r="2555" spans="1:6" x14ac:dyDescent="0.2">
      <c r="A2555">
        <f>[1]!hospitalinfo[[#This Row],[Facility ID]]</f>
        <v>241318</v>
      </c>
      <c r="B2555" t="str">
        <f>[1]!hospitalinfo[[#This Row],[State]]</f>
        <v>MN</v>
      </c>
      <c r="C2555" t="str">
        <f>[1]!hospitalinfo[[#This Row],[Hospital Type]]</f>
        <v>Critical Access Hospitals</v>
      </c>
      <c r="D2555" t="str">
        <f>[1]!hospitalinfo[[#This Row],[Hospital Ownership]]</f>
        <v>Voluntary non-profit - Private</v>
      </c>
      <c r="E2555" t="str" cm="1">
        <f t="array" ref="E2555">_xlfn.IFNA(_xlfn.XLOOKUP(1,([1]!hcahps[Facility ID] = clean[[#This Row],[Facility ID]]) * ([1]!hcahps[HCAHPS Measure ID] = "H_HSP_RATING_LINEAR_SCORE"), [1]!hcahps[HCAHPS Linear Mean Value]), "No Match")</f>
        <v>Not Available</v>
      </c>
      <c r="F2555" cm="1">
        <f t="array" ref="F2555">_xlfn.IFNA(_xlfn.XLOOKUP(1,([1]!readmissions[Facility ID] = clean[[#This Row],[Facility ID]]) * ([1]!readmissions[Measure ID] = "Hybrid_HWR"), [1]!readmissions[Score]), "No Match")</f>
        <v>14.7</v>
      </c>
    </row>
    <row r="2556" spans="1:6" x14ac:dyDescent="0.2">
      <c r="A2556">
        <f>[1]!hospitalinfo[[#This Row],[Facility ID]]</f>
        <v>241319</v>
      </c>
      <c r="B2556" t="str">
        <f>[1]!hospitalinfo[[#This Row],[State]]</f>
        <v>MN</v>
      </c>
      <c r="C2556" t="str">
        <f>[1]!hospitalinfo[[#This Row],[Hospital Type]]</f>
        <v>Critical Access Hospitals</v>
      </c>
      <c r="D2556" t="str">
        <f>[1]!hospitalinfo[[#This Row],[Hospital Ownership]]</f>
        <v>Government - Local</v>
      </c>
      <c r="E2556" t="str" cm="1">
        <f t="array" ref="E2556">_xlfn.IFNA(_xlfn.XLOOKUP(1,([1]!hcahps[Facility ID] = clean[[#This Row],[Facility ID]]) * ([1]!hcahps[HCAHPS Measure ID] = "H_HSP_RATING_LINEAR_SCORE"), [1]!hcahps[HCAHPS Linear Mean Value]), "No Match")</f>
        <v>Not Available</v>
      </c>
      <c r="F2556" cm="1">
        <f t="array" ref="F2556">_xlfn.IFNA(_xlfn.XLOOKUP(1,([1]!readmissions[Facility ID] = clean[[#This Row],[Facility ID]]) * ([1]!readmissions[Measure ID] = "Hybrid_HWR"), [1]!readmissions[Score]), "No Match")</f>
        <v>14.8</v>
      </c>
    </row>
    <row r="2557" spans="1:6" x14ac:dyDescent="0.2">
      <c r="A2557">
        <f>[1]!hospitalinfo[[#This Row],[Facility ID]]</f>
        <v>241320</v>
      </c>
      <c r="B2557" t="str">
        <f>[1]!hospitalinfo[[#This Row],[State]]</f>
        <v>MN</v>
      </c>
      <c r="C2557" t="str">
        <f>[1]!hospitalinfo[[#This Row],[Hospital Type]]</f>
        <v>Critical Access Hospitals</v>
      </c>
      <c r="D2557" t="str">
        <f>[1]!hospitalinfo[[#This Row],[Hospital Ownership]]</f>
        <v>Voluntary non-profit - Private</v>
      </c>
      <c r="E2557" cm="1">
        <f t="array" ref="E2557">_xlfn.IFNA(_xlfn.XLOOKUP(1,([1]!hcahps[Facility ID] = clean[[#This Row],[Facility ID]]) * ([1]!hcahps[HCAHPS Measure ID] = "H_HSP_RATING_LINEAR_SCORE"), [1]!hcahps[HCAHPS Linear Mean Value]), "No Match")</f>
        <v>92</v>
      </c>
      <c r="F2557" cm="1">
        <f t="array" ref="F2557">_xlfn.IFNA(_xlfn.XLOOKUP(1,([1]!readmissions[Facility ID] = clean[[#This Row],[Facility ID]]) * ([1]!readmissions[Measure ID] = "Hybrid_HWR"), [1]!readmissions[Score]), "No Match")</f>
        <v>14.7</v>
      </c>
    </row>
    <row r="2558" spans="1:6" x14ac:dyDescent="0.2">
      <c r="A2558">
        <f>[1]!hospitalinfo[[#This Row],[Facility ID]]</f>
        <v>241321</v>
      </c>
      <c r="B2558" t="str">
        <f>[1]!hospitalinfo[[#This Row],[State]]</f>
        <v>MN</v>
      </c>
      <c r="C2558" t="str">
        <f>[1]!hospitalinfo[[#This Row],[Hospital Type]]</f>
        <v>Critical Access Hospitals</v>
      </c>
      <c r="D2558" t="str">
        <f>[1]!hospitalinfo[[#This Row],[Hospital Ownership]]</f>
        <v>Voluntary non-profit - Private</v>
      </c>
      <c r="E2558" t="str" cm="1">
        <f t="array" ref="E2558">_xlfn.IFNA(_xlfn.XLOOKUP(1,([1]!hcahps[Facility ID] = clean[[#This Row],[Facility ID]]) * ([1]!hcahps[HCAHPS Measure ID] = "H_HSP_RATING_LINEAR_SCORE"), [1]!hcahps[HCAHPS Linear Mean Value]), "No Match")</f>
        <v>Not Available</v>
      </c>
      <c r="F2558" t="str" cm="1">
        <f t="array" ref="F2558">_xlfn.IFNA(_xlfn.XLOOKUP(1,([1]!readmissions[Facility ID] = clean[[#This Row],[Facility ID]]) * ([1]!readmissions[Measure ID] = "Hybrid_HWR"), [1]!readmissions[Score]), "No Match")</f>
        <v>Not Available</v>
      </c>
    </row>
    <row r="2559" spans="1:6" x14ac:dyDescent="0.2">
      <c r="A2559">
        <f>[1]!hospitalinfo[[#This Row],[Facility ID]]</f>
        <v>241322</v>
      </c>
      <c r="B2559" t="str">
        <f>[1]!hospitalinfo[[#This Row],[State]]</f>
        <v>MN</v>
      </c>
      <c r="C2559" t="str">
        <f>[1]!hospitalinfo[[#This Row],[Hospital Type]]</f>
        <v>Critical Access Hospitals</v>
      </c>
      <c r="D2559" t="str">
        <f>[1]!hospitalinfo[[#This Row],[Hospital Ownership]]</f>
        <v>Voluntary non-profit - Private</v>
      </c>
      <c r="E2559" t="str" cm="1">
        <f t="array" ref="E2559">_xlfn.IFNA(_xlfn.XLOOKUP(1,([1]!hcahps[Facility ID] = clean[[#This Row],[Facility ID]]) * ([1]!hcahps[HCAHPS Measure ID] = "H_HSP_RATING_LINEAR_SCORE"), [1]!hcahps[HCAHPS Linear Mean Value]), "No Match")</f>
        <v>Not Available</v>
      </c>
      <c r="F2559" cm="1">
        <f t="array" ref="F2559">_xlfn.IFNA(_xlfn.XLOOKUP(1,([1]!readmissions[Facility ID] = clean[[#This Row],[Facility ID]]) * ([1]!readmissions[Measure ID] = "Hybrid_HWR"), [1]!readmissions[Score]), "No Match")</f>
        <v>14.8</v>
      </c>
    </row>
    <row r="2560" spans="1:6" x14ac:dyDescent="0.2">
      <c r="A2560">
        <f>[1]!hospitalinfo[[#This Row],[Facility ID]]</f>
        <v>241323</v>
      </c>
      <c r="B2560" t="str">
        <f>[1]!hospitalinfo[[#This Row],[State]]</f>
        <v>MN</v>
      </c>
      <c r="C2560" t="str">
        <f>[1]!hospitalinfo[[#This Row],[Hospital Type]]</f>
        <v>Critical Access Hospitals</v>
      </c>
      <c r="D2560" t="str">
        <f>[1]!hospitalinfo[[#This Row],[Hospital Ownership]]</f>
        <v>Voluntary non-profit - Other</v>
      </c>
      <c r="E2560" t="str" cm="1">
        <f t="array" ref="E2560">_xlfn.IFNA(_xlfn.XLOOKUP(1,([1]!hcahps[Facility ID] = clean[[#This Row],[Facility ID]]) * ([1]!hcahps[HCAHPS Measure ID] = "H_HSP_RATING_LINEAR_SCORE"), [1]!hcahps[HCAHPS Linear Mean Value]), "No Match")</f>
        <v>Not Available</v>
      </c>
      <c r="F2560" cm="1">
        <f t="array" ref="F2560">_xlfn.IFNA(_xlfn.XLOOKUP(1,([1]!readmissions[Facility ID] = clean[[#This Row],[Facility ID]]) * ([1]!readmissions[Measure ID] = "Hybrid_HWR"), [1]!readmissions[Score]), "No Match")</f>
        <v>15.4</v>
      </c>
    </row>
    <row r="2561" spans="1:6" x14ac:dyDescent="0.2">
      <c r="A2561">
        <f>[1]!hospitalinfo[[#This Row],[Facility ID]]</f>
        <v>241325</v>
      </c>
      <c r="B2561" t="str">
        <f>[1]!hospitalinfo[[#This Row],[State]]</f>
        <v>MN</v>
      </c>
      <c r="C2561" t="str">
        <f>[1]!hospitalinfo[[#This Row],[Hospital Type]]</f>
        <v>Critical Access Hospitals</v>
      </c>
      <c r="D2561" t="str">
        <f>[1]!hospitalinfo[[#This Row],[Hospital Ownership]]</f>
        <v>Government - Local</v>
      </c>
      <c r="E2561" cm="1">
        <f t="array" ref="E2561">_xlfn.IFNA(_xlfn.XLOOKUP(1,([1]!hcahps[Facility ID] = clean[[#This Row],[Facility ID]]) * ([1]!hcahps[HCAHPS Measure ID] = "H_HSP_RATING_LINEAR_SCORE"), [1]!hcahps[HCAHPS Linear Mean Value]), "No Match")</f>
        <v>90</v>
      </c>
      <c r="F2561" cm="1">
        <f t="array" ref="F2561">_xlfn.IFNA(_xlfn.XLOOKUP(1,([1]!readmissions[Facility ID] = clean[[#This Row],[Facility ID]]) * ([1]!readmissions[Measure ID] = "Hybrid_HWR"), [1]!readmissions[Score]), "No Match")</f>
        <v>14.6</v>
      </c>
    </row>
    <row r="2562" spans="1:6" x14ac:dyDescent="0.2">
      <c r="A2562">
        <f>[1]!hospitalinfo[[#This Row],[Facility ID]]</f>
        <v>241326</v>
      </c>
      <c r="B2562" t="str">
        <f>[1]!hospitalinfo[[#This Row],[State]]</f>
        <v>MN</v>
      </c>
      <c r="C2562" t="str">
        <f>[1]!hospitalinfo[[#This Row],[Hospital Type]]</f>
        <v>Critical Access Hospitals</v>
      </c>
      <c r="D2562" t="str">
        <f>[1]!hospitalinfo[[#This Row],[Hospital Ownership]]</f>
        <v>Voluntary non-profit - Private</v>
      </c>
      <c r="E2562" t="str" cm="1">
        <f t="array" ref="E2562">_xlfn.IFNA(_xlfn.XLOOKUP(1,([1]!hcahps[Facility ID] = clean[[#This Row],[Facility ID]]) * ([1]!hcahps[HCAHPS Measure ID] = "H_HSP_RATING_LINEAR_SCORE"), [1]!hcahps[HCAHPS Linear Mean Value]), "No Match")</f>
        <v>Not Available</v>
      </c>
      <c r="F2562" cm="1">
        <f t="array" ref="F2562">_xlfn.IFNA(_xlfn.XLOOKUP(1,([1]!readmissions[Facility ID] = clean[[#This Row],[Facility ID]]) * ([1]!readmissions[Measure ID] = "Hybrid_HWR"), [1]!readmissions[Score]), "No Match")</f>
        <v>14.7</v>
      </c>
    </row>
    <row r="2563" spans="1:6" x14ac:dyDescent="0.2">
      <c r="A2563">
        <f>[1]!hospitalinfo[[#This Row],[Facility ID]]</f>
        <v>241327</v>
      </c>
      <c r="B2563" t="str">
        <f>[1]!hospitalinfo[[#This Row],[State]]</f>
        <v>MN</v>
      </c>
      <c r="C2563" t="str">
        <f>[1]!hospitalinfo[[#This Row],[Hospital Type]]</f>
        <v>Critical Access Hospitals</v>
      </c>
      <c r="D2563" t="str">
        <f>[1]!hospitalinfo[[#This Row],[Hospital Ownership]]</f>
        <v>Government - Local</v>
      </c>
      <c r="E2563" t="str" cm="1">
        <f t="array" ref="E2563">_xlfn.IFNA(_xlfn.XLOOKUP(1,([1]!hcahps[Facility ID] = clean[[#This Row],[Facility ID]]) * ([1]!hcahps[HCAHPS Measure ID] = "H_HSP_RATING_LINEAR_SCORE"), [1]!hcahps[HCAHPS Linear Mean Value]), "No Match")</f>
        <v>Not Available</v>
      </c>
      <c r="F2563" cm="1">
        <f t="array" ref="F2563">_xlfn.IFNA(_xlfn.XLOOKUP(1,([1]!readmissions[Facility ID] = clean[[#This Row],[Facility ID]]) * ([1]!readmissions[Measure ID] = "Hybrid_HWR"), [1]!readmissions[Score]), "No Match")</f>
        <v>14.6</v>
      </c>
    </row>
    <row r="2564" spans="1:6" x14ac:dyDescent="0.2">
      <c r="A2564">
        <f>[1]!hospitalinfo[[#This Row],[Facility ID]]</f>
        <v>241328</v>
      </c>
      <c r="B2564" t="str">
        <f>[1]!hospitalinfo[[#This Row],[State]]</f>
        <v>MN</v>
      </c>
      <c r="C2564" t="str">
        <f>[1]!hospitalinfo[[#This Row],[Hospital Type]]</f>
        <v>Critical Access Hospitals</v>
      </c>
      <c r="D2564" t="str">
        <f>[1]!hospitalinfo[[#This Row],[Hospital Ownership]]</f>
        <v>Voluntary non-profit - Private</v>
      </c>
      <c r="E2564" t="str" cm="1">
        <f t="array" ref="E2564">_xlfn.IFNA(_xlfn.XLOOKUP(1,([1]!hcahps[Facility ID] = clean[[#This Row],[Facility ID]]) * ([1]!hcahps[HCAHPS Measure ID] = "H_HSP_RATING_LINEAR_SCORE"), [1]!hcahps[HCAHPS Linear Mean Value]), "No Match")</f>
        <v>Not Available</v>
      </c>
      <c r="F2564" t="str" cm="1">
        <f t="array" ref="F2564">_xlfn.IFNA(_xlfn.XLOOKUP(1,([1]!readmissions[Facility ID] = clean[[#This Row],[Facility ID]]) * ([1]!readmissions[Measure ID] = "Hybrid_HWR"), [1]!readmissions[Score]), "No Match")</f>
        <v>Not Available</v>
      </c>
    </row>
    <row r="2565" spans="1:6" x14ac:dyDescent="0.2">
      <c r="A2565">
        <f>[1]!hospitalinfo[[#This Row],[Facility ID]]</f>
        <v>241329</v>
      </c>
      <c r="B2565" t="str">
        <f>[1]!hospitalinfo[[#This Row],[State]]</f>
        <v>MN</v>
      </c>
      <c r="C2565" t="str">
        <f>[1]!hospitalinfo[[#This Row],[Hospital Type]]</f>
        <v>Critical Access Hospitals</v>
      </c>
      <c r="D2565" t="str">
        <f>[1]!hospitalinfo[[#This Row],[Hospital Ownership]]</f>
        <v>Voluntary non-profit - Other</v>
      </c>
      <c r="E2565" cm="1">
        <f t="array" ref="E2565">_xlfn.IFNA(_xlfn.XLOOKUP(1,([1]!hcahps[Facility ID] = clean[[#This Row],[Facility ID]]) * ([1]!hcahps[HCAHPS Measure ID] = "H_HSP_RATING_LINEAR_SCORE"), [1]!hcahps[HCAHPS Linear Mean Value]), "No Match")</f>
        <v>90</v>
      </c>
      <c r="F2565" cm="1">
        <f t="array" ref="F2565">_xlfn.IFNA(_xlfn.XLOOKUP(1,([1]!readmissions[Facility ID] = clean[[#This Row],[Facility ID]]) * ([1]!readmissions[Measure ID] = "Hybrid_HWR"), [1]!readmissions[Score]), "No Match")</f>
        <v>15.3</v>
      </c>
    </row>
    <row r="2566" spans="1:6" x14ac:dyDescent="0.2">
      <c r="A2566">
        <f>[1]!hospitalinfo[[#This Row],[Facility ID]]</f>
        <v>241330</v>
      </c>
      <c r="B2566" t="str">
        <f>[1]!hospitalinfo[[#This Row],[State]]</f>
        <v>MN</v>
      </c>
      <c r="C2566" t="str">
        <f>[1]!hospitalinfo[[#This Row],[Hospital Type]]</f>
        <v>Critical Access Hospitals</v>
      </c>
      <c r="D2566" t="str">
        <f>[1]!hospitalinfo[[#This Row],[Hospital Ownership]]</f>
        <v>Voluntary non-profit - Private</v>
      </c>
      <c r="E2566" t="str" cm="1">
        <f t="array" ref="E2566">_xlfn.IFNA(_xlfn.XLOOKUP(1,([1]!hcahps[Facility ID] = clean[[#This Row],[Facility ID]]) * ([1]!hcahps[HCAHPS Measure ID] = "H_HSP_RATING_LINEAR_SCORE"), [1]!hcahps[HCAHPS Linear Mean Value]), "No Match")</f>
        <v>Not Available</v>
      </c>
      <c r="F2566" cm="1">
        <f t="array" ref="F2566">_xlfn.IFNA(_xlfn.XLOOKUP(1,([1]!readmissions[Facility ID] = clean[[#This Row],[Facility ID]]) * ([1]!readmissions[Measure ID] = "Hybrid_HWR"), [1]!readmissions[Score]), "No Match")</f>
        <v>14.1</v>
      </c>
    </row>
    <row r="2567" spans="1:6" x14ac:dyDescent="0.2">
      <c r="A2567">
        <f>[1]!hospitalinfo[[#This Row],[Facility ID]]</f>
        <v>241332</v>
      </c>
      <c r="B2567" t="str">
        <f>[1]!hospitalinfo[[#This Row],[State]]</f>
        <v>MN</v>
      </c>
      <c r="C2567" t="str">
        <f>[1]!hospitalinfo[[#This Row],[Hospital Type]]</f>
        <v>Critical Access Hospitals</v>
      </c>
      <c r="D2567" t="str">
        <f>[1]!hospitalinfo[[#This Row],[Hospital Ownership]]</f>
        <v>Government - Local</v>
      </c>
      <c r="E2567" t="str" cm="1">
        <f t="array" ref="E2567">_xlfn.IFNA(_xlfn.XLOOKUP(1,([1]!hcahps[Facility ID] = clean[[#This Row],[Facility ID]]) * ([1]!hcahps[HCAHPS Measure ID] = "H_HSP_RATING_LINEAR_SCORE"), [1]!hcahps[HCAHPS Linear Mean Value]), "No Match")</f>
        <v>Not Available</v>
      </c>
      <c r="F2567" cm="1">
        <f t="array" ref="F2567">_xlfn.IFNA(_xlfn.XLOOKUP(1,([1]!readmissions[Facility ID] = clean[[#This Row],[Facility ID]]) * ([1]!readmissions[Measure ID] = "Hybrid_HWR"), [1]!readmissions[Score]), "No Match")</f>
        <v>14.7</v>
      </c>
    </row>
    <row r="2568" spans="1:6" x14ac:dyDescent="0.2">
      <c r="A2568">
        <f>[1]!hospitalinfo[[#This Row],[Facility ID]]</f>
        <v>241333</v>
      </c>
      <c r="B2568" t="str">
        <f>[1]!hospitalinfo[[#This Row],[State]]</f>
        <v>MN</v>
      </c>
      <c r="C2568" t="str">
        <f>[1]!hospitalinfo[[#This Row],[Hospital Type]]</f>
        <v>Critical Access Hospitals</v>
      </c>
      <c r="D2568" t="str">
        <f>[1]!hospitalinfo[[#This Row],[Hospital Ownership]]</f>
        <v>Voluntary non-profit - Private</v>
      </c>
      <c r="E2568" cm="1">
        <f t="array" ref="E2568">_xlfn.IFNA(_xlfn.XLOOKUP(1,([1]!hcahps[Facility ID] = clean[[#This Row],[Facility ID]]) * ([1]!hcahps[HCAHPS Measure ID] = "H_HSP_RATING_LINEAR_SCORE"), [1]!hcahps[HCAHPS Linear Mean Value]), "No Match")</f>
        <v>91</v>
      </c>
      <c r="F2568" cm="1">
        <f t="array" ref="F2568">_xlfn.IFNA(_xlfn.XLOOKUP(1,([1]!readmissions[Facility ID] = clean[[#This Row],[Facility ID]]) * ([1]!readmissions[Measure ID] = "Hybrid_HWR"), [1]!readmissions[Score]), "No Match")</f>
        <v>14.9</v>
      </c>
    </row>
    <row r="2569" spans="1:6" x14ac:dyDescent="0.2">
      <c r="A2569">
        <f>[1]!hospitalinfo[[#This Row],[Facility ID]]</f>
        <v>241334</v>
      </c>
      <c r="B2569" t="str">
        <f>[1]!hospitalinfo[[#This Row],[State]]</f>
        <v>MN</v>
      </c>
      <c r="C2569" t="str">
        <f>[1]!hospitalinfo[[#This Row],[Hospital Type]]</f>
        <v>Critical Access Hospitals</v>
      </c>
      <c r="D2569" t="str">
        <f>[1]!hospitalinfo[[#This Row],[Hospital Ownership]]</f>
        <v>Government - Local</v>
      </c>
      <c r="E2569" cm="1">
        <f t="array" ref="E2569">_xlfn.IFNA(_xlfn.XLOOKUP(1,([1]!hcahps[Facility ID] = clean[[#This Row],[Facility ID]]) * ([1]!hcahps[HCAHPS Measure ID] = "H_HSP_RATING_LINEAR_SCORE"), [1]!hcahps[HCAHPS Linear Mean Value]), "No Match")</f>
        <v>93</v>
      </c>
      <c r="F2569" cm="1">
        <f t="array" ref="F2569">_xlfn.IFNA(_xlfn.XLOOKUP(1,([1]!readmissions[Facility ID] = clean[[#This Row],[Facility ID]]) * ([1]!readmissions[Measure ID] = "Hybrid_HWR"), [1]!readmissions[Score]), "No Match")</f>
        <v>14.9</v>
      </c>
    </row>
    <row r="2570" spans="1:6" x14ac:dyDescent="0.2">
      <c r="A2570">
        <f>[1]!hospitalinfo[[#This Row],[Facility ID]]</f>
        <v>241335</v>
      </c>
      <c r="B2570" t="str">
        <f>[1]!hospitalinfo[[#This Row],[State]]</f>
        <v>MN</v>
      </c>
      <c r="C2570" t="str">
        <f>[1]!hospitalinfo[[#This Row],[Hospital Type]]</f>
        <v>Critical Access Hospitals</v>
      </c>
      <c r="D2570" t="str">
        <f>[1]!hospitalinfo[[#This Row],[Hospital Ownership]]</f>
        <v>Proprietary</v>
      </c>
      <c r="E2570" t="str" cm="1">
        <f t="array" ref="E2570">_xlfn.IFNA(_xlfn.XLOOKUP(1,([1]!hcahps[Facility ID] = clean[[#This Row],[Facility ID]]) * ([1]!hcahps[HCAHPS Measure ID] = "H_HSP_RATING_LINEAR_SCORE"), [1]!hcahps[HCAHPS Linear Mean Value]), "No Match")</f>
        <v>Not Available</v>
      </c>
      <c r="F2570" cm="1">
        <f t="array" ref="F2570">_xlfn.IFNA(_xlfn.XLOOKUP(1,([1]!readmissions[Facility ID] = clean[[#This Row],[Facility ID]]) * ([1]!readmissions[Measure ID] = "Hybrid_HWR"), [1]!readmissions[Score]), "No Match")</f>
        <v>14.5</v>
      </c>
    </row>
    <row r="2571" spans="1:6" x14ac:dyDescent="0.2">
      <c r="A2571">
        <f>[1]!hospitalinfo[[#This Row],[Facility ID]]</f>
        <v>241336</v>
      </c>
      <c r="B2571" t="str">
        <f>[1]!hospitalinfo[[#This Row],[State]]</f>
        <v>MN</v>
      </c>
      <c r="C2571" t="str">
        <f>[1]!hospitalinfo[[#This Row],[Hospital Type]]</f>
        <v>Critical Access Hospitals</v>
      </c>
      <c r="D2571" t="str">
        <f>[1]!hospitalinfo[[#This Row],[Hospital Ownership]]</f>
        <v>Voluntary non-profit - Private</v>
      </c>
      <c r="E2571" t="str" cm="1">
        <f t="array" ref="E2571">_xlfn.IFNA(_xlfn.XLOOKUP(1,([1]!hcahps[Facility ID] = clean[[#This Row],[Facility ID]]) * ([1]!hcahps[HCAHPS Measure ID] = "H_HSP_RATING_LINEAR_SCORE"), [1]!hcahps[HCAHPS Linear Mean Value]), "No Match")</f>
        <v>Not Available</v>
      </c>
      <c r="F2571" t="str" cm="1">
        <f t="array" ref="F2571">_xlfn.IFNA(_xlfn.XLOOKUP(1,([1]!readmissions[Facility ID] = clean[[#This Row],[Facility ID]]) * ([1]!readmissions[Measure ID] = "Hybrid_HWR"), [1]!readmissions[Score]), "No Match")</f>
        <v>Not Available</v>
      </c>
    </row>
    <row r="2572" spans="1:6" x14ac:dyDescent="0.2">
      <c r="A2572">
        <f>[1]!hospitalinfo[[#This Row],[Facility ID]]</f>
        <v>241337</v>
      </c>
      <c r="B2572" t="str">
        <f>[1]!hospitalinfo[[#This Row],[State]]</f>
        <v>MN</v>
      </c>
      <c r="C2572" t="str">
        <f>[1]!hospitalinfo[[#This Row],[Hospital Type]]</f>
        <v>Critical Access Hospitals</v>
      </c>
      <c r="D2572" t="str">
        <f>[1]!hospitalinfo[[#This Row],[Hospital Ownership]]</f>
        <v>Voluntary non-profit - Private</v>
      </c>
      <c r="E2572" t="str" cm="1">
        <f t="array" ref="E2572">_xlfn.IFNA(_xlfn.XLOOKUP(1,([1]!hcahps[Facility ID] = clean[[#This Row],[Facility ID]]) * ([1]!hcahps[HCAHPS Measure ID] = "H_HSP_RATING_LINEAR_SCORE"), [1]!hcahps[HCAHPS Linear Mean Value]), "No Match")</f>
        <v>Not Available</v>
      </c>
      <c r="F2572" cm="1">
        <f t="array" ref="F2572">_xlfn.IFNA(_xlfn.XLOOKUP(1,([1]!readmissions[Facility ID] = clean[[#This Row],[Facility ID]]) * ([1]!readmissions[Measure ID] = "Hybrid_HWR"), [1]!readmissions[Score]), "No Match")</f>
        <v>14.4</v>
      </c>
    </row>
    <row r="2573" spans="1:6" x14ac:dyDescent="0.2">
      <c r="A2573">
        <f>[1]!hospitalinfo[[#This Row],[Facility ID]]</f>
        <v>241338</v>
      </c>
      <c r="B2573" t="str">
        <f>[1]!hospitalinfo[[#This Row],[State]]</f>
        <v>MN</v>
      </c>
      <c r="C2573" t="str">
        <f>[1]!hospitalinfo[[#This Row],[Hospital Type]]</f>
        <v>Critical Access Hospitals</v>
      </c>
      <c r="D2573" t="str">
        <f>[1]!hospitalinfo[[#This Row],[Hospital Ownership]]</f>
        <v>Voluntary non-profit - Private</v>
      </c>
      <c r="E2573" cm="1">
        <f t="array" ref="E2573">_xlfn.IFNA(_xlfn.XLOOKUP(1,([1]!hcahps[Facility ID] = clean[[#This Row],[Facility ID]]) * ([1]!hcahps[HCAHPS Measure ID] = "H_HSP_RATING_LINEAR_SCORE"), [1]!hcahps[HCAHPS Linear Mean Value]), "No Match")</f>
        <v>89</v>
      </c>
      <c r="F2573" cm="1">
        <f t="array" ref="F2573">_xlfn.IFNA(_xlfn.XLOOKUP(1,([1]!readmissions[Facility ID] = clean[[#This Row],[Facility ID]]) * ([1]!readmissions[Measure ID] = "Hybrid_HWR"), [1]!readmissions[Score]), "No Match")</f>
        <v>15</v>
      </c>
    </row>
    <row r="2574" spans="1:6" x14ac:dyDescent="0.2">
      <c r="A2574">
        <f>[1]!hospitalinfo[[#This Row],[Facility ID]]</f>
        <v>241339</v>
      </c>
      <c r="B2574" t="str">
        <f>[1]!hospitalinfo[[#This Row],[State]]</f>
        <v>MN</v>
      </c>
      <c r="C2574" t="str">
        <f>[1]!hospitalinfo[[#This Row],[Hospital Type]]</f>
        <v>Critical Access Hospitals</v>
      </c>
      <c r="D2574" t="str">
        <f>[1]!hospitalinfo[[#This Row],[Hospital Ownership]]</f>
        <v>Voluntary non-profit - Private</v>
      </c>
      <c r="E2574" t="str" cm="1">
        <f t="array" ref="E2574">_xlfn.IFNA(_xlfn.XLOOKUP(1,([1]!hcahps[Facility ID] = clean[[#This Row],[Facility ID]]) * ([1]!hcahps[HCAHPS Measure ID] = "H_HSP_RATING_LINEAR_SCORE"), [1]!hcahps[HCAHPS Linear Mean Value]), "No Match")</f>
        <v>Not Available</v>
      </c>
      <c r="F2574" t="str" cm="1">
        <f t="array" ref="F2574">_xlfn.IFNA(_xlfn.XLOOKUP(1,([1]!readmissions[Facility ID] = clean[[#This Row],[Facility ID]]) * ([1]!readmissions[Measure ID] = "Hybrid_HWR"), [1]!readmissions[Score]), "No Match")</f>
        <v>Not Available</v>
      </c>
    </row>
    <row r="2575" spans="1:6" x14ac:dyDescent="0.2">
      <c r="A2575">
        <f>[1]!hospitalinfo[[#This Row],[Facility ID]]</f>
        <v>241340</v>
      </c>
      <c r="B2575" t="str">
        <f>[1]!hospitalinfo[[#This Row],[State]]</f>
        <v>MN</v>
      </c>
      <c r="C2575" t="str">
        <f>[1]!hospitalinfo[[#This Row],[Hospital Type]]</f>
        <v>Critical Access Hospitals</v>
      </c>
      <c r="D2575" t="str">
        <f>[1]!hospitalinfo[[#This Row],[Hospital Ownership]]</f>
        <v>Voluntary non-profit - Private</v>
      </c>
      <c r="E2575" t="str" cm="1">
        <f t="array" ref="E2575">_xlfn.IFNA(_xlfn.XLOOKUP(1,([1]!hcahps[Facility ID] = clean[[#This Row],[Facility ID]]) * ([1]!hcahps[HCAHPS Measure ID] = "H_HSP_RATING_LINEAR_SCORE"), [1]!hcahps[HCAHPS Linear Mean Value]), "No Match")</f>
        <v>Not Available</v>
      </c>
      <c r="F2575" t="str" cm="1">
        <f t="array" ref="F2575">_xlfn.IFNA(_xlfn.XLOOKUP(1,([1]!readmissions[Facility ID] = clean[[#This Row],[Facility ID]]) * ([1]!readmissions[Measure ID] = "Hybrid_HWR"), [1]!readmissions[Score]), "No Match")</f>
        <v>Not Available</v>
      </c>
    </row>
    <row r="2576" spans="1:6" x14ac:dyDescent="0.2">
      <c r="A2576">
        <f>[1]!hospitalinfo[[#This Row],[Facility ID]]</f>
        <v>241341</v>
      </c>
      <c r="B2576" t="str">
        <f>[1]!hospitalinfo[[#This Row],[State]]</f>
        <v>MN</v>
      </c>
      <c r="C2576" t="str">
        <f>[1]!hospitalinfo[[#This Row],[Hospital Type]]</f>
        <v>Critical Access Hospitals</v>
      </c>
      <c r="D2576" t="str">
        <f>[1]!hospitalinfo[[#This Row],[Hospital Ownership]]</f>
        <v>Government - Local</v>
      </c>
      <c r="E2576" t="str" cm="1">
        <f t="array" ref="E2576">_xlfn.IFNA(_xlfn.XLOOKUP(1,([1]!hcahps[Facility ID] = clean[[#This Row],[Facility ID]]) * ([1]!hcahps[HCAHPS Measure ID] = "H_HSP_RATING_LINEAR_SCORE"), [1]!hcahps[HCAHPS Linear Mean Value]), "No Match")</f>
        <v>Not Available</v>
      </c>
      <c r="F2576" cm="1">
        <f t="array" ref="F2576">_xlfn.IFNA(_xlfn.XLOOKUP(1,([1]!readmissions[Facility ID] = clean[[#This Row],[Facility ID]]) * ([1]!readmissions[Measure ID] = "Hybrid_HWR"), [1]!readmissions[Score]), "No Match")</f>
        <v>15.1</v>
      </c>
    </row>
    <row r="2577" spans="1:6" x14ac:dyDescent="0.2">
      <c r="A2577">
        <f>[1]!hospitalinfo[[#This Row],[Facility ID]]</f>
        <v>241342</v>
      </c>
      <c r="B2577" t="str">
        <f>[1]!hospitalinfo[[#This Row],[State]]</f>
        <v>MN</v>
      </c>
      <c r="C2577" t="str">
        <f>[1]!hospitalinfo[[#This Row],[Hospital Type]]</f>
        <v>Critical Access Hospitals</v>
      </c>
      <c r="D2577" t="str">
        <f>[1]!hospitalinfo[[#This Row],[Hospital Ownership]]</f>
        <v>Government - Local</v>
      </c>
      <c r="E2577" t="str" cm="1">
        <f t="array" ref="E2577">_xlfn.IFNA(_xlfn.XLOOKUP(1,([1]!hcahps[Facility ID] = clean[[#This Row],[Facility ID]]) * ([1]!hcahps[HCAHPS Measure ID] = "H_HSP_RATING_LINEAR_SCORE"), [1]!hcahps[HCAHPS Linear Mean Value]), "No Match")</f>
        <v>Not Available</v>
      </c>
      <c r="F2577" cm="1">
        <f t="array" ref="F2577">_xlfn.IFNA(_xlfn.XLOOKUP(1,([1]!readmissions[Facility ID] = clean[[#This Row],[Facility ID]]) * ([1]!readmissions[Measure ID] = "Hybrid_HWR"), [1]!readmissions[Score]), "No Match")</f>
        <v>15.1</v>
      </c>
    </row>
    <row r="2578" spans="1:6" x14ac:dyDescent="0.2">
      <c r="A2578">
        <f>[1]!hospitalinfo[[#This Row],[Facility ID]]</f>
        <v>241343</v>
      </c>
      <c r="B2578" t="str">
        <f>[1]!hospitalinfo[[#This Row],[State]]</f>
        <v>MN</v>
      </c>
      <c r="C2578" t="str">
        <f>[1]!hospitalinfo[[#This Row],[Hospital Type]]</f>
        <v>Critical Access Hospitals</v>
      </c>
      <c r="D2578" t="str">
        <f>[1]!hospitalinfo[[#This Row],[Hospital Ownership]]</f>
        <v>Government - Local</v>
      </c>
      <c r="E2578" t="str" cm="1">
        <f t="array" ref="E2578">_xlfn.IFNA(_xlfn.XLOOKUP(1,([1]!hcahps[Facility ID] = clean[[#This Row],[Facility ID]]) * ([1]!hcahps[HCAHPS Measure ID] = "H_HSP_RATING_LINEAR_SCORE"), [1]!hcahps[HCAHPS Linear Mean Value]), "No Match")</f>
        <v>Not Available</v>
      </c>
      <c r="F2578" cm="1">
        <f t="array" ref="F2578">_xlfn.IFNA(_xlfn.XLOOKUP(1,([1]!readmissions[Facility ID] = clean[[#This Row],[Facility ID]]) * ([1]!readmissions[Measure ID] = "Hybrid_HWR"), [1]!readmissions[Score]), "No Match")</f>
        <v>15.1</v>
      </c>
    </row>
    <row r="2579" spans="1:6" x14ac:dyDescent="0.2">
      <c r="A2579">
        <f>[1]!hospitalinfo[[#This Row],[Facility ID]]</f>
        <v>241344</v>
      </c>
      <c r="B2579" t="str">
        <f>[1]!hospitalinfo[[#This Row],[State]]</f>
        <v>MN</v>
      </c>
      <c r="C2579" t="str">
        <f>[1]!hospitalinfo[[#This Row],[Hospital Type]]</f>
        <v>Critical Access Hospitals</v>
      </c>
      <c r="D2579" t="str">
        <f>[1]!hospitalinfo[[#This Row],[Hospital Ownership]]</f>
        <v>Voluntary non-profit - Private</v>
      </c>
      <c r="E2579" t="str" cm="1">
        <f t="array" ref="E2579">_xlfn.IFNA(_xlfn.XLOOKUP(1,([1]!hcahps[Facility ID] = clean[[#This Row],[Facility ID]]) * ([1]!hcahps[HCAHPS Measure ID] = "H_HSP_RATING_LINEAR_SCORE"), [1]!hcahps[HCAHPS Linear Mean Value]), "No Match")</f>
        <v>Not Available</v>
      </c>
      <c r="F2579" cm="1">
        <f t="array" ref="F2579">_xlfn.IFNA(_xlfn.XLOOKUP(1,([1]!readmissions[Facility ID] = clean[[#This Row],[Facility ID]]) * ([1]!readmissions[Measure ID] = "Hybrid_HWR"), [1]!readmissions[Score]), "No Match")</f>
        <v>14.6</v>
      </c>
    </row>
    <row r="2580" spans="1:6" x14ac:dyDescent="0.2">
      <c r="A2580">
        <f>[1]!hospitalinfo[[#This Row],[Facility ID]]</f>
        <v>241345</v>
      </c>
      <c r="B2580" t="str">
        <f>[1]!hospitalinfo[[#This Row],[State]]</f>
        <v>MN</v>
      </c>
      <c r="C2580" t="str">
        <f>[1]!hospitalinfo[[#This Row],[Hospital Type]]</f>
        <v>Critical Access Hospitals</v>
      </c>
      <c r="D2580" t="str">
        <f>[1]!hospitalinfo[[#This Row],[Hospital Ownership]]</f>
        <v>Voluntary non-profit - Private</v>
      </c>
      <c r="E2580" cm="1">
        <f t="array" ref="E2580">_xlfn.IFNA(_xlfn.XLOOKUP(1,([1]!hcahps[Facility ID] = clean[[#This Row],[Facility ID]]) * ([1]!hcahps[HCAHPS Measure ID] = "H_HSP_RATING_LINEAR_SCORE"), [1]!hcahps[HCAHPS Linear Mean Value]), "No Match")</f>
        <v>94</v>
      </c>
      <c r="F2580" cm="1">
        <f t="array" ref="F2580">_xlfn.IFNA(_xlfn.XLOOKUP(1,([1]!readmissions[Facility ID] = clean[[#This Row],[Facility ID]]) * ([1]!readmissions[Measure ID] = "Hybrid_HWR"), [1]!readmissions[Score]), "No Match")</f>
        <v>14.5</v>
      </c>
    </row>
    <row r="2581" spans="1:6" x14ac:dyDescent="0.2">
      <c r="A2581">
        <f>[1]!hospitalinfo[[#This Row],[Facility ID]]</f>
        <v>241346</v>
      </c>
      <c r="B2581" t="str">
        <f>[1]!hospitalinfo[[#This Row],[State]]</f>
        <v>MN</v>
      </c>
      <c r="C2581" t="str">
        <f>[1]!hospitalinfo[[#This Row],[Hospital Type]]</f>
        <v>Critical Access Hospitals</v>
      </c>
      <c r="D2581" t="str">
        <f>[1]!hospitalinfo[[#This Row],[Hospital Ownership]]</f>
        <v>Voluntary non-profit - Private</v>
      </c>
      <c r="E2581" t="str" cm="1">
        <f t="array" ref="E2581">_xlfn.IFNA(_xlfn.XLOOKUP(1,([1]!hcahps[Facility ID] = clean[[#This Row],[Facility ID]]) * ([1]!hcahps[HCAHPS Measure ID] = "H_HSP_RATING_LINEAR_SCORE"), [1]!hcahps[HCAHPS Linear Mean Value]), "No Match")</f>
        <v>Not Available</v>
      </c>
      <c r="F2581" cm="1">
        <f t="array" ref="F2581">_xlfn.IFNA(_xlfn.XLOOKUP(1,([1]!readmissions[Facility ID] = clean[[#This Row],[Facility ID]]) * ([1]!readmissions[Measure ID] = "Hybrid_HWR"), [1]!readmissions[Score]), "No Match")</f>
        <v>15.2</v>
      </c>
    </row>
    <row r="2582" spans="1:6" x14ac:dyDescent="0.2">
      <c r="A2582">
        <f>[1]!hospitalinfo[[#This Row],[Facility ID]]</f>
        <v>241347</v>
      </c>
      <c r="B2582" t="str">
        <f>[1]!hospitalinfo[[#This Row],[State]]</f>
        <v>MN</v>
      </c>
      <c r="C2582" t="str">
        <f>[1]!hospitalinfo[[#This Row],[Hospital Type]]</f>
        <v>Critical Access Hospitals</v>
      </c>
      <c r="D2582" t="str">
        <f>[1]!hospitalinfo[[#This Row],[Hospital Ownership]]</f>
        <v>Government - Hospital District or Authority</v>
      </c>
      <c r="E2582" t="str" cm="1">
        <f t="array" ref="E2582">_xlfn.IFNA(_xlfn.XLOOKUP(1,([1]!hcahps[Facility ID] = clean[[#This Row],[Facility ID]]) * ([1]!hcahps[HCAHPS Measure ID] = "H_HSP_RATING_LINEAR_SCORE"), [1]!hcahps[HCAHPS Linear Mean Value]), "No Match")</f>
        <v>Not Available</v>
      </c>
      <c r="F2582" cm="1">
        <f t="array" ref="F2582">_xlfn.IFNA(_xlfn.XLOOKUP(1,([1]!readmissions[Facility ID] = clean[[#This Row],[Facility ID]]) * ([1]!readmissions[Measure ID] = "Hybrid_HWR"), [1]!readmissions[Score]), "No Match")</f>
        <v>14.7</v>
      </c>
    </row>
    <row r="2583" spans="1:6" x14ac:dyDescent="0.2">
      <c r="A2583">
        <f>[1]!hospitalinfo[[#This Row],[Facility ID]]</f>
        <v>241348</v>
      </c>
      <c r="B2583" t="str">
        <f>[1]!hospitalinfo[[#This Row],[State]]</f>
        <v>MN</v>
      </c>
      <c r="C2583" t="str">
        <f>[1]!hospitalinfo[[#This Row],[Hospital Type]]</f>
        <v>Critical Access Hospitals</v>
      </c>
      <c r="D2583" t="str">
        <f>[1]!hospitalinfo[[#This Row],[Hospital Ownership]]</f>
        <v>Voluntary non-profit - Private</v>
      </c>
      <c r="E2583" t="str" cm="1">
        <f t="array" ref="E2583">_xlfn.IFNA(_xlfn.XLOOKUP(1,([1]!hcahps[Facility ID] = clean[[#This Row],[Facility ID]]) * ([1]!hcahps[HCAHPS Measure ID] = "H_HSP_RATING_LINEAR_SCORE"), [1]!hcahps[HCAHPS Linear Mean Value]), "No Match")</f>
        <v>Not Available</v>
      </c>
      <c r="F2583" cm="1">
        <f t="array" ref="F2583">_xlfn.IFNA(_xlfn.XLOOKUP(1,([1]!readmissions[Facility ID] = clean[[#This Row],[Facility ID]]) * ([1]!readmissions[Measure ID] = "Hybrid_HWR"), [1]!readmissions[Score]), "No Match")</f>
        <v>14.9</v>
      </c>
    </row>
    <row r="2584" spans="1:6" x14ac:dyDescent="0.2">
      <c r="A2584">
        <f>[1]!hospitalinfo[[#This Row],[Facility ID]]</f>
        <v>241349</v>
      </c>
      <c r="B2584" t="str">
        <f>[1]!hospitalinfo[[#This Row],[State]]</f>
        <v>MN</v>
      </c>
      <c r="C2584" t="str">
        <f>[1]!hospitalinfo[[#This Row],[Hospital Type]]</f>
        <v>Critical Access Hospitals</v>
      </c>
      <c r="D2584" t="str">
        <f>[1]!hospitalinfo[[#This Row],[Hospital Ownership]]</f>
        <v>Voluntary non-profit - Private</v>
      </c>
      <c r="E2584" t="str" cm="1">
        <f t="array" ref="E2584">_xlfn.IFNA(_xlfn.XLOOKUP(1,([1]!hcahps[Facility ID] = clean[[#This Row],[Facility ID]]) * ([1]!hcahps[HCAHPS Measure ID] = "H_HSP_RATING_LINEAR_SCORE"), [1]!hcahps[HCAHPS Linear Mean Value]), "No Match")</f>
        <v>Not Available</v>
      </c>
      <c r="F2584" cm="1">
        <f t="array" ref="F2584">_xlfn.IFNA(_xlfn.XLOOKUP(1,([1]!readmissions[Facility ID] = clean[[#This Row],[Facility ID]]) * ([1]!readmissions[Measure ID] = "Hybrid_HWR"), [1]!readmissions[Score]), "No Match")</f>
        <v>14.9</v>
      </c>
    </row>
    <row r="2585" spans="1:6" x14ac:dyDescent="0.2">
      <c r="A2585">
        <f>[1]!hospitalinfo[[#This Row],[Facility ID]]</f>
        <v>241350</v>
      </c>
      <c r="B2585" t="str">
        <f>[1]!hospitalinfo[[#This Row],[State]]</f>
        <v>MN</v>
      </c>
      <c r="C2585" t="str">
        <f>[1]!hospitalinfo[[#This Row],[Hospital Type]]</f>
        <v>Critical Access Hospitals</v>
      </c>
      <c r="D2585" t="str">
        <f>[1]!hospitalinfo[[#This Row],[Hospital Ownership]]</f>
        <v>Government - Hospital District or Authority</v>
      </c>
      <c r="E2585" t="str" cm="1">
        <f t="array" ref="E2585">_xlfn.IFNA(_xlfn.XLOOKUP(1,([1]!hcahps[Facility ID] = clean[[#This Row],[Facility ID]]) * ([1]!hcahps[HCAHPS Measure ID] = "H_HSP_RATING_LINEAR_SCORE"), [1]!hcahps[HCAHPS Linear Mean Value]), "No Match")</f>
        <v>Not Available</v>
      </c>
      <c r="F2585" cm="1">
        <f t="array" ref="F2585">_xlfn.IFNA(_xlfn.XLOOKUP(1,([1]!readmissions[Facility ID] = clean[[#This Row],[Facility ID]]) * ([1]!readmissions[Measure ID] = "Hybrid_HWR"), [1]!readmissions[Score]), "No Match")</f>
        <v>14.8</v>
      </c>
    </row>
    <row r="2586" spans="1:6" x14ac:dyDescent="0.2">
      <c r="A2586">
        <f>[1]!hospitalinfo[[#This Row],[Facility ID]]</f>
        <v>241351</v>
      </c>
      <c r="B2586" t="str">
        <f>[1]!hospitalinfo[[#This Row],[State]]</f>
        <v>MN</v>
      </c>
      <c r="C2586" t="str">
        <f>[1]!hospitalinfo[[#This Row],[Hospital Type]]</f>
        <v>Critical Access Hospitals</v>
      </c>
      <c r="D2586" t="str">
        <f>[1]!hospitalinfo[[#This Row],[Hospital Ownership]]</f>
        <v>Government - Local</v>
      </c>
      <c r="E2586" t="str" cm="1">
        <f t="array" ref="E2586">_xlfn.IFNA(_xlfn.XLOOKUP(1,([1]!hcahps[Facility ID] = clean[[#This Row],[Facility ID]]) * ([1]!hcahps[HCAHPS Measure ID] = "H_HSP_RATING_LINEAR_SCORE"), [1]!hcahps[HCAHPS Linear Mean Value]), "No Match")</f>
        <v>Not Available</v>
      </c>
      <c r="F2586" cm="1">
        <f t="array" ref="F2586">_xlfn.IFNA(_xlfn.XLOOKUP(1,([1]!readmissions[Facility ID] = clean[[#This Row],[Facility ID]]) * ([1]!readmissions[Measure ID] = "Hybrid_HWR"), [1]!readmissions[Score]), "No Match")</f>
        <v>15.1</v>
      </c>
    </row>
    <row r="2587" spans="1:6" x14ac:dyDescent="0.2">
      <c r="A2587">
        <f>[1]!hospitalinfo[[#This Row],[Facility ID]]</f>
        <v>241353</v>
      </c>
      <c r="B2587" t="str">
        <f>[1]!hospitalinfo[[#This Row],[State]]</f>
        <v>MN</v>
      </c>
      <c r="C2587" t="str">
        <f>[1]!hospitalinfo[[#This Row],[Hospital Type]]</f>
        <v>Critical Access Hospitals</v>
      </c>
      <c r="D2587" t="str">
        <f>[1]!hospitalinfo[[#This Row],[Hospital Ownership]]</f>
        <v>Government - Hospital District or Authority</v>
      </c>
      <c r="E2587" cm="1">
        <f t="array" ref="E2587">_xlfn.IFNA(_xlfn.XLOOKUP(1,([1]!hcahps[Facility ID] = clean[[#This Row],[Facility ID]]) * ([1]!hcahps[HCAHPS Measure ID] = "H_HSP_RATING_LINEAR_SCORE"), [1]!hcahps[HCAHPS Linear Mean Value]), "No Match")</f>
        <v>93</v>
      </c>
      <c r="F2587" cm="1">
        <f t="array" ref="F2587">_xlfn.IFNA(_xlfn.XLOOKUP(1,([1]!readmissions[Facility ID] = clean[[#This Row],[Facility ID]]) * ([1]!readmissions[Measure ID] = "Hybrid_HWR"), [1]!readmissions[Score]), "No Match")</f>
        <v>15</v>
      </c>
    </row>
    <row r="2588" spans="1:6" x14ac:dyDescent="0.2">
      <c r="A2588">
        <f>[1]!hospitalinfo[[#This Row],[Facility ID]]</f>
        <v>241354</v>
      </c>
      <c r="B2588" t="str">
        <f>[1]!hospitalinfo[[#This Row],[State]]</f>
        <v>MN</v>
      </c>
      <c r="C2588" t="str">
        <f>[1]!hospitalinfo[[#This Row],[Hospital Type]]</f>
        <v>Critical Access Hospitals</v>
      </c>
      <c r="D2588" t="str">
        <f>[1]!hospitalinfo[[#This Row],[Hospital Ownership]]</f>
        <v>Voluntary non-profit - Other</v>
      </c>
      <c r="E2588" cm="1">
        <f t="array" ref="E2588">_xlfn.IFNA(_xlfn.XLOOKUP(1,([1]!hcahps[Facility ID] = clean[[#This Row],[Facility ID]]) * ([1]!hcahps[HCAHPS Measure ID] = "H_HSP_RATING_LINEAR_SCORE"), [1]!hcahps[HCAHPS Linear Mean Value]), "No Match")</f>
        <v>93</v>
      </c>
      <c r="F2588" cm="1">
        <f t="array" ref="F2588">_xlfn.IFNA(_xlfn.XLOOKUP(1,([1]!readmissions[Facility ID] = clean[[#This Row],[Facility ID]]) * ([1]!readmissions[Measure ID] = "Hybrid_HWR"), [1]!readmissions[Score]), "No Match")</f>
        <v>15</v>
      </c>
    </row>
    <row r="2589" spans="1:6" x14ac:dyDescent="0.2">
      <c r="A2589">
        <f>[1]!hospitalinfo[[#This Row],[Facility ID]]</f>
        <v>241355</v>
      </c>
      <c r="B2589" t="str">
        <f>[1]!hospitalinfo[[#This Row],[State]]</f>
        <v>MN</v>
      </c>
      <c r="C2589" t="str">
        <f>[1]!hospitalinfo[[#This Row],[Hospital Type]]</f>
        <v>Critical Access Hospitals</v>
      </c>
      <c r="D2589" t="str">
        <f>[1]!hospitalinfo[[#This Row],[Hospital Ownership]]</f>
        <v>Voluntary non-profit - Other</v>
      </c>
      <c r="E2589" cm="1">
        <f t="array" ref="E2589">_xlfn.IFNA(_xlfn.XLOOKUP(1,([1]!hcahps[Facility ID] = clean[[#This Row],[Facility ID]]) * ([1]!hcahps[HCAHPS Measure ID] = "H_HSP_RATING_LINEAR_SCORE"), [1]!hcahps[HCAHPS Linear Mean Value]), "No Match")</f>
        <v>93</v>
      </c>
      <c r="F2589" cm="1">
        <f t="array" ref="F2589">_xlfn.IFNA(_xlfn.XLOOKUP(1,([1]!readmissions[Facility ID] = clean[[#This Row],[Facility ID]]) * ([1]!readmissions[Measure ID] = "Hybrid_HWR"), [1]!readmissions[Score]), "No Match")</f>
        <v>14.8</v>
      </c>
    </row>
    <row r="2590" spans="1:6" x14ac:dyDescent="0.2">
      <c r="A2590">
        <f>[1]!hospitalinfo[[#This Row],[Facility ID]]</f>
        <v>241356</v>
      </c>
      <c r="B2590" t="str">
        <f>[1]!hospitalinfo[[#This Row],[State]]</f>
        <v>MN</v>
      </c>
      <c r="C2590" t="str">
        <f>[1]!hospitalinfo[[#This Row],[Hospital Type]]</f>
        <v>Critical Access Hospitals</v>
      </c>
      <c r="D2590" t="str">
        <f>[1]!hospitalinfo[[#This Row],[Hospital Ownership]]</f>
        <v>Voluntary non-profit - Other</v>
      </c>
      <c r="E2590" t="str" cm="1">
        <f t="array" ref="E2590">_xlfn.IFNA(_xlfn.XLOOKUP(1,([1]!hcahps[Facility ID] = clean[[#This Row],[Facility ID]]) * ([1]!hcahps[HCAHPS Measure ID] = "H_HSP_RATING_LINEAR_SCORE"), [1]!hcahps[HCAHPS Linear Mean Value]), "No Match")</f>
        <v>Not Available</v>
      </c>
      <c r="F2590" cm="1">
        <f t="array" ref="F2590">_xlfn.IFNA(_xlfn.XLOOKUP(1,([1]!readmissions[Facility ID] = clean[[#This Row],[Facility ID]]) * ([1]!readmissions[Measure ID] = "Hybrid_HWR"), [1]!readmissions[Score]), "No Match")</f>
        <v>14.9</v>
      </c>
    </row>
    <row r="2591" spans="1:6" x14ac:dyDescent="0.2">
      <c r="A2591">
        <f>[1]!hospitalinfo[[#This Row],[Facility ID]]</f>
        <v>241357</v>
      </c>
      <c r="B2591" t="str">
        <f>[1]!hospitalinfo[[#This Row],[State]]</f>
        <v>MN</v>
      </c>
      <c r="C2591" t="str">
        <f>[1]!hospitalinfo[[#This Row],[Hospital Type]]</f>
        <v>Critical Access Hospitals</v>
      </c>
      <c r="D2591" t="str">
        <f>[1]!hospitalinfo[[#This Row],[Hospital Ownership]]</f>
        <v>Voluntary non-profit - Private</v>
      </c>
      <c r="E2591" t="str" cm="1">
        <f t="array" ref="E2591">_xlfn.IFNA(_xlfn.XLOOKUP(1,([1]!hcahps[Facility ID] = clean[[#This Row],[Facility ID]]) * ([1]!hcahps[HCAHPS Measure ID] = "H_HSP_RATING_LINEAR_SCORE"), [1]!hcahps[HCAHPS Linear Mean Value]), "No Match")</f>
        <v>Not Available</v>
      </c>
      <c r="F2591" cm="1">
        <f t="array" ref="F2591">_xlfn.IFNA(_xlfn.XLOOKUP(1,([1]!readmissions[Facility ID] = clean[[#This Row],[Facility ID]]) * ([1]!readmissions[Measure ID] = "Hybrid_HWR"), [1]!readmissions[Score]), "No Match")</f>
        <v>14.9</v>
      </c>
    </row>
    <row r="2592" spans="1:6" x14ac:dyDescent="0.2">
      <c r="A2592">
        <f>[1]!hospitalinfo[[#This Row],[Facility ID]]</f>
        <v>241358</v>
      </c>
      <c r="B2592" t="str">
        <f>[1]!hospitalinfo[[#This Row],[State]]</f>
        <v>MN</v>
      </c>
      <c r="C2592" t="str">
        <f>[1]!hospitalinfo[[#This Row],[Hospital Type]]</f>
        <v>Critical Access Hospitals</v>
      </c>
      <c r="D2592" t="str">
        <f>[1]!hospitalinfo[[#This Row],[Hospital Ownership]]</f>
        <v>Government - Federal</v>
      </c>
      <c r="E2592" t="str" cm="1">
        <f t="array" ref="E2592">_xlfn.IFNA(_xlfn.XLOOKUP(1,([1]!hcahps[Facility ID] = clean[[#This Row],[Facility ID]]) * ([1]!hcahps[HCAHPS Measure ID] = "H_HSP_RATING_LINEAR_SCORE"), [1]!hcahps[HCAHPS Linear Mean Value]), "No Match")</f>
        <v>Not Available</v>
      </c>
      <c r="F2592" t="str" cm="1">
        <f t="array" ref="F2592">_xlfn.IFNA(_xlfn.XLOOKUP(1,([1]!readmissions[Facility ID] = clean[[#This Row],[Facility ID]]) * ([1]!readmissions[Measure ID] = "Hybrid_HWR"), [1]!readmissions[Score]), "No Match")</f>
        <v>Not Available</v>
      </c>
    </row>
    <row r="2593" spans="1:6" x14ac:dyDescent="0.2">
      <c r="A2593">
        <f>[1]!hospitalinfo[[#This Row],[Facility ID]]</f>
        <v>241359</v>
      </c>
      <c r="B2593" t="str">
        <f>[1]!hospitalinfo[[#This Row],[State]]</f>
        <v>MN</v>
      </c>
      <c r="C2593" t="str">
        <f>[1]!hospitalinfo[[#This Row],[Hospital Type]]</f>
        <v>Critical Access Hospitals</v>
      </c>
      <c r="D2593" t="str">
        <f>[1]!hospitalinfo[[#This Row],[Hospital Ownership]]</f>
        <v>Voluntary non-profit - Private</v>
      </c>
      <c r="E2593" cm="1">
        <f t="array" ref="E2593">_xlfn.IFNA(_xlfn.XLOOKUP(1,([1]!hcahps[Facility ID] = clean[[#This Row],[Facility ID]]) * ([1]!hcahps[HCAHPS Measure ID] = "H_HSP_RATING_LINEAR_SCORE"), [1]!hcahps[HCAHPS Linear Mean Value]), "No Match")</f>
        <v>87</v>
      </c>
      <c r="F2593" cm="1">
        <f t="array" ref="F2593">_xlfn.IFNA(_xlfn.XLOOKUP(1,([1]!readmissions[Facility ID] = clean[[#This Row],[Facility ID]]) * ([1]!readmissions[Measure ID] = "Hybrid_HWR"), [1]!readmissions[Score]), "No Match")</f>
        <v>15.2</v>
      </c>
    </row>
    <row r="2594" spans="1:6" x14ac:dyDescent="0.2">
      <c r="A2594">
        <f>[1]!hospitalinfo[[#This Row],[Facility ID]]</f>
        <v>241360</v>
      </c>
      <c r="B2594" t="str">
        <f>[1]!hospitalinfo[[#This Row],[State]]</f>
        <v>MN</v>
      </c>
      <c r="C2594" t="str">
        <f>[1]!hospitalinfo[[#This Row],[Hospital Type]]</f>
        <v>Critical Access Hospitals</v>
      </c>
      <c r="D2594" t="str">
        <f>[1]!hospitalinfo[[#This Row],[Hospital Ownership]]</f>
        <v>Voluntary non-profit - Private</v>
      </c>
      <c r="E2594" t="str" cm="1">
        <f t="array" ref="E2594">_xlfn.IFNA(_xlfn.XLOOKUP(1,([1]!hcahps[Facility ID] = clean[[#This Row],[Facility ID]]) * ([1]!hcahps[HCAHPS Measure ID] = "H_HSP_RATING_LINEAR_SCORE"), [1]!hcahps[HCAHPS Linear Mean Value]), "No Match")</f>
        <v>Not Available</v>
      </c>
      <c r="F2594" cm="1">
        <f t="array" ref="F2594">_xlfn.IFNA(_xlfn.XLOOKUP(1,([1]!readmissions[Facility ID] = clean[[#This Row],[Facility ID]]) * ([1]!readmissions[Measure ID] = "Hybrid_HWR"), [1]!readmissions[Score]), "No Match")</f>
        <v>15.2</v>
      </c>
    </row>
    <row r="2595" spans="1:6" x14ac:dyDescent="0.2">
      <c r="A2595">
        <f>[1]!hospitalinfo[[#This Row],[Facility ID]]</f>
        <v>241361</v>
      </c>
      <c r="B2595" t="str">
        <f>[1]!hospitalinfo[[#This Row],[State]]</f>
        <v>MN</v>
      </c>
      <c r="C2595" t="str">
        <f>[1]!hospitalinfo[[#This Row],[Hospital Type]]</f>
        <v>Critical Access Hospitals</v>
      </c>
      <c r="D2595" t="str">
        <f>[1]!hospitalinfo[[#This Row],[Hospital Ownership]]</f>
        <v>Voluntary non-profit - Private</v>
      </c>
      <c r="E2595" cm="1">
        <f t="array" ref="E2595">_xlfn.IFNA(_xlfn.XLOOKUP(1,([1]!hcahps[Facility ID] = clean[[#This Row],[Facility ID]]) * ([1]!hcahps[HCAHPS Measure ID] = "H_HSP_RATING_LINEAR_SCORE"), [1]!hcahps[HCAHPS Linear Mean Value]), "No Match")</f>
        <v>92</v>
      </c>
      <c r="F2595" cm="1">
        <f t="array" ref="F2595">_xlfn.IFNA(_xlfn.XLOOKUP(1,([1]!readmissions[Facility ID] = clean[[#This Row],[Facility ID]]) * ([1]!readmissions[Measure ID] = "Hybrid_HWR"), [1]!readmissions[Score]), "No Match")</f>
        <v>14.8</v>
      </c>
    </row>
    <row r="2596" spans="1:6" x14ac:dyDescent="0.2">
      <c r="A2596">
        <f>[1]!hospitalinfo[[#This Row],[Facility ID]]</f>
        <v>241362</v>
      </c>
      <c r="B2596" t="str">
        <f>[1]!hospitalinfo[[#This Row],[State]]</f>
        <v>MN</v>
      </c>
      <c r="C2596" t="str">
        <f>[1]!hospitalinfo[[#This Row],[Hospital Type]]</f>
        <v>Critical Access Hospitals</v>
      </c>
      <c r="D2596" t="str">
        <f>[1]!hospitalinfo[[#This Row],[Hospital Ownership]]</f>
        <v>Voluntary non-profit - Private</v>
      </c>
      <c r="E2596" cm="1">
        <f t="array" ref="E2596">_xlfn.IFNA(_xlfn.XLOOKUP(1,([1]!hcahps[Facility ID] = clean[[#This Row],[Facility ID]]) * ([1]!hcahps[HCAHPS Measure ID] = "H_HSP_RATING_LINEAR_SCORE"), [1]!hcahps[HCAHPS Linear Mean Value]), "No Match")</f>
        <v>89</v>
      </c>
      <c r="F2596" cm="1">
        <f t="array" ref="F2596">_xlfn.IFNA(_xlfn.XLOOKUP(1,([1]!readmissions[Facility ID] = clean[[#This Row],[Facility ID]]) * ([1]!readmissions[Measure ID] = "Hybrid_HWR"), [1]!readmissions[Score]), "No Match")</f>
        <v>14.5</v>
      </c>
    </row>
    <row r="2597" spans="1:6" x14ac:dyDescent="0.2">
      <c r="A2597">
        <f>[1]!hospitalinfo[[#This Row],[Facility ID]]</f>
        <v>241363</v>
      </c>
      <c r="B2597" t="str">
        <f>[1]!hospitalinfo[[#This Row],[State]]</f>
        <v>MN</v>
      </c>
      <c r="C2597" t="str">
        <f>[1]!hospitalinfo[[#This Row],[Hospital Type]]</f>
        <v>Critical Access Hospitals</v>
      </c>
      <c r="D2597" t="str">
        <f>[1]!hospitalinfo[[#This Row],[Hospital Ownership]]</f>
        <v>Voluntary non-profit - Private</v>
      </c>
      <c r="E2597" t="str" cm="1">
        <f t="array" ref="E2597">_xlfn.IFNA(_xlfn.XLOOKUP(1,([1]!hcahps[Facility ID] = clean[[#This Row],[Facility ID]]) * ([1]!hcahps[HCAHPS Measure ID] = "H_HSP_RATING_LINEAR_SCORE"), [1]!hcahps[HCAHPS Linear Mean Value]), "No Match")</f>
        <v>Not Available</v>
      </c>
      <c r="F2597" cm="1">
        <f t="array" ref="F2597">_xlfn.IFNA(_xlfn.XLOOKUP(1,([1]!readmissions[Facility ID] = clean[[#This Row],[Facility ID]]) * ([1]!readmissions[Measure ID] = "Hybrid_HWR"), [1]!readmissions[Score]), "No Match")</f>
        <v>15</v>
      </c>
    </row>
    <row r="2598" spans="1:6" x14ac:dyDescent="0.2">
      <c r="A2598">
        <f>[1]!hospitalinfo[[#This Row],[Facility ID]]</f>
        <v>241364</v>
      </c>
      <c r="B2598" t="str">
        <f>[1]!hospitalinfo[[#This Row],[State]]</f>
        <v>MN</v>
      </c>
      <c r="C2598" t="str">
        <f>[1]!hospitalinfo[[#This Row],[Hospital Type]]</f>
        <v>Critical Access Hospitals</v>
      </c>
      <c r="D2598" t="str">
        <f>[1]!hospitalinfo[[#This Row],[Hospital Ownership]]</f>
        <v>Voluntary non-profit - Private</v>
      </c>
      <c r="E2598" cm="1">
        <f t="array" ref="E2598">_xlfn.IFNA(_xlfn.XLOOKUP(1,([1]!hcahps[Facility ID] = clean[[#This Row],[Facility ID]]) * ([1]!hcahps[HCAHPS Measure ID] = "H_HSP_RATING_LINEAR_SCORE"), [1]!hcahps[HCAHPS Linear Mean Value]), "No Match")</f>
        <v>91</v>
      </c>
      <c r="F2598" cm="1">
        <f t="array" ref="F2598">_xlfn.IFNA(_xlfn.XLOOKUP(1,([1]!readmissions[Facility ID] = clean[[#This Row],[Facility ID]]) * ([1]!readmissions[Measure ID] = "Hybrid_HWR"), [1]!readmissions[Score]), "No Match")</f>
        <v>15.2</v>
      </c>
    </row>
    <row r="2599" spans="1:6" x14ac:dyDescent="0.2">
      <c r="A2599">
        <f>[1]!hospitalinfo[[#This Row],[Facility ID]]</f>
        <v>241365</v>
      </c>
      <c r="B2599" t="str">
        <f>[1]!hospitalinfo[[#This Row],[State]]</f>
        <v>MN</v>
      </c>
      <c r="C2599" t="str">
        <f>[1]!hospitalinfo[[#This Row],[Hospital Type]]</f>
        <v>Critical Access Hospitals</v>
      </c>
      <c r="D2599" t="str">
        <f>[1]!hospitalinfo[[#This Row],[Hospital Ownership]]</f>
        <v>Government - Hospital District or Authority</v>
      </c>
      <c r="E2599" t="str" cm="1">
        <f t="array" ref="E2599">_xlfn.IFNA(_xlfn.XLOOKUP(1,([1]!hcahps[Facility ID] = clean[[#This Row],[Facility ID]]) * ([1]!hcahps[HCAHPS Measure ID] = "H_HSP_RATING_LINEAR_SCORE"), [1]!hcahps[HCAHPS Linear Mean Value]), "No Match")</f>
        <v>Not Available</v>
      </c>
      <c r="F2599" cm="1">
        <f t="array" ref="F2599">_xlfn.IFNA(_xlfn.XLOOKUP(1,([1]!readmissions[Facility ID] = clean[[#This Row],[Facility ID]]) * ([1]!readmissions[Measure ID] = "Hybrid_HWR"), [1]!readmissions[Score]), "No Match")</f>
        <v>15.3</v>
      </c>
    </row>
    <row r="2600" spans="1:6" x14ac:dyDescent="0.2">
      <c r="A2600">
        <f>[1]!hospitalinfo[[#This Row],[Facility ID]]</f>
        <v>241366</v>
      </c>
      <c r="B2600" t="str">
        <f>[1]!hospitalinfo[[#This Row],[State]]</f>
        <v>MN</v>
      </c>
      <c r="C2600" t="str">
        <f>[1]!hospitalinfo[[#This Row],[Hospital Type]]</f>
        <v>Critical Access Hospitals</v>
      </c>
      <c r="D2600" t="str">
        <f>[1]!hospitalinfo[[#This Row],[Hospital Ownership]]</f>
        <v>Government - Local</v>
      </c>
      <c r="E2600" cm="1">
        <f t="array" ref="E2600">_xlfn.IFNA(_xlfn.XLOOKUP(1,([1]!hcahps[Facility ID] = clean[[#This Row],[Facility ID]]) * ([1]!hcahps[HCAHPS Measure ID] = "H_HSP_RATING_LINEAR_SCORE"), [1]!hcahps[HCAHPS Linear Mean Value]), "No Match")</f>
        <v>89</v>
      </c>
      <c r="F2600" cm="1">
        <f t="array" ref="F2600">_xlfn.IFNA(_xlfn.XLOOKUP(1,([1]!readmissions[Facility ID] = clean[[#This Row],[Facility ID]]) * ([1]!readmissions[Measure ID] = "Hybrid_HWR"), [1]!readmissions[Score]), "No Match")</f>
        <v>15.1</v>
      </c>
    </row>
    <row r="2601" spans="1:6" x14ac:dyDescent="0.2">
      <c r="A2601">
        <f>[1]!hospitalinfo[[#This Row],[Facility ID]]</f>
        <v>241367</v>
      </c>
      <c r="B2601" t="str">
        <f>[1]!hospitalinfo[[#This Row],[State]]</f>
        <v>MN</v>
      </c>
      <c r="C2601" t="str">
        <f>[1]!hospitalinfo[[#This Row],[Hospital Type]]</f>
        <v>Critical Access Hospitals</v>
      </c>
      <c r="D2601" t="str">
        <f>[1]!hospitalinfo[[#This Row],[Hospital Ownership]]</f>
        <v>Government - Local</v>
      </c>
      <c r="E2601" cm="1">
        <f t="array" ref="E2601">_xlfn.IFNA(_xlfn.XLOOKUP(1,([1]!hcahps[Facility ID] = clean[[#This Row],[Facility ID]]) * ([1]!hcahps[HCAHPS Measure ID] = "H_HSP_RATING_LINEAR_SCORE"), [1]!hcahps[HCAHPS Linear Mean Value]), "No Match")</f>
        <v>93</v>
      </c>
      <c r="F2601" cm="1">
        <f t="array" ref="F2601">_xlfn.IFNA(_xlfn.XLOOKUP(1,([1]!readmissions[Facility ID] = clean[[#This Row],[Facility ID]]) * ([1]!readmissions[Measure ID] = "Hybrid_HWR"), [1]!readmissions[Score]), "No Match")</f>
        <v>14.6</v>
      </c>
    </row>
    <row r="2602" spans="1:6" x14ac:dyDescent="0.2">
      <c r="A2602">
        <f>[1]!hospitalinfo[[#This Row],[Facility ID]]</f>
        <v>241368</v>
      </c>
      <c r="B2602" t="str">
        <f>[1]!hospitalinfo[[#This Row],[State]]</f>
        <v>MN</v>
      </c>
      <c r="C2602" t="str">
        <f>[1]!hospitalinfo[[#This Row],[Hospital Type]]</f>
        <v>Critical Access Hospitals</v>
      </c>
      <c r="D2602" t="str">
        <f>[1]!hospitalinfo[[#This Row],[Hospital Ownership]]</f>
        <v>Voluntary non-profit - Private</v>
      </c>
      <c r="E2602" t="str" cm="1">
        <f t="array" ref="E2602">_xlfn.IFNA(_xlfn.XLOOKUP(1,([1]!hcahps[Facility ID] = clean[[#This Row],[Facility ID]]) * ([1]!hcahps[HCAHPS Measure ID] = "H_HSP_RATING_LINEAR_SCORE"), [1]!hcahps[HCAHPS Linear Mean Value]), "No Match")</f>
        <v>Not Available</v>
      </c>
      <c r="F2602" cm="1">
        <f t="array" ref="F2602">_xlfn.IFNA(_xlfn.XLOOKUP(1,([1]!readmissions[Facility ID] = clean[[#This Row],[Facility ID]]) * ([1]!readmissions[Measure ID] = "Hybrid_HWR"), [1]!readmissions[Score]), "No Match")</f>
        <v>14.5</v>
      </c>
    </row>
    <row r="2603" spans="1:6" x14ac:dyDescent="0.2">
      <c r="A2603">
        <f>[1]!hospitalinfo[[#This Row],[Facility ID]]</f>
        <v>241369</v>
      </c>
      <c r="B2603" t="str">
        <f>[1]!hospitalinfo[[#This Row],[State]]</f>
        <v>MN</v>
      </c>
      <c r="C2603" t="str">
        <f>[1]!hospitalinfo[[#This Row],[Hospital Type]]</f>
        <v>Critical Access Hospitals</v>
      </c>
      <c r="D2603" t="str">
        <f>[1]!hospitalinfo[[#This Row],[Hospital Ownership]]</f>
        <v>Government - Hospital District or Authority</v>
      </c>
      <c r="E2603" cm="1">
        <f t="array" ref="E2603">_xlfn.IFNA(_xlfn.XLOOKUP(1,([1]!hcahps[Facility ID] = clean[[#This Row],[Facility ID]]) * ([1]!hcahps[HCAHPS Measure ID] = "H_HSP_RATING_LINEAR_SCORE"), [1]!hcahps[HCAHPS Linear Mean Value]), "No Match")</f>
        <v>90</v>
      </c>
      <c r="F2603" cm="1">
        <f t="array" ref="F2603">_xlfn.IFNA(_xlfn.XLOOKUP(1,([1]!readmissions[Facility ID] = clean[[#This Row],[Facility ID]]) * ([1]!readmissions[Measure ID] = "Hybrid_HWR"), [1]!readmissions[Score]), "No Match")</f>
        <v>14.9</v>
      </c>
    </row>
    <row r="2604" spans="1:6" x14ac:dyDescent="0.2">
      <c r="A2604">
        <f>[1]!hospitalinfo[[#This Row],[Facility ID]]</f>
        <v>241370</v>
      </c>
      <c r="B2604" t="str">
        <f>[1]!hospitalinfo[[#This Row],[State]]</f>
        <v>MN</v>
      </c>
      <c r="C2604" t="str">
        <f>[1]!hospitalinfo[[#This Row],[Hospital Type]]</f>
        <v>Critical Access Hospitals</v>
      </c>
      <c r="D2604" t="str">
        <f>[1]!hospitalinfo[[#This Row],[Hospital Ownership]]</f>
        <v>Voluntary non-profit - Private</v>
      </c>
      <c r="E2604" cm="1">
        <f t="array" ref="E2604">_xlfn.IFNA(_xlfn.XLOOKUP(1,([1]!hcahps[Facility ID] = clean[[#This Row],[Facility ID]]) * ([1]!hcahps[HCAHPS Measure ID] = "H_HSP_RATING_LINEAR_SCORE"), [1]!hcahps[HCAHPS Linear Mean Value]), "No Match")</f>
        <v>89</v>
      </c>
      <c r="F2604" cm="1">
        <f t="array" ref="F2604">_xlfn.IFNA(_xlfn.XLOOKUP(1,([1]!readmissions[Facility ID] = clean[[#This Row],[Facility ID]]) * ([1]!readmissions[Measure ID] = "Hybrid_HWR"), [1]!readmissions[Score]), "No Match")</f>
        <v>14.7</v>
      </c>
    </row>
    <row r="2605" spans="1:6" x14ac:dyDescent="0.2">
      <c r="A2605">
        <f>[1]!hospitalinfo[[#This Row],[Facility ID]]</f>
        <v>241371</v>
      </c>
      <c r="B2605" t="str">
        <f>[1]!hospitalinfo[[#This Row],[State]]</f>
        <v>MN</v>
      </c>
      <c r="C2605" t="str">
        <f>[1]!hospitalinfo[[#This Row],[Hospital Type]]</f>
        <v>Critical Access Hospitals</v>
      </c>
      <c r="D2605" t="str">
        <f>[1]!hospitalinfo[[#This Row],[Hospital Ownership]]</f>
        <v>Voluntary non-profit - Private</v>
      </c>
      <c r="E2605" t="str" cm="1">
        <f t="array" ref="E2605">_xlfn.IFNA(_xlfn.XLOOKUP(1,([1]!hcahps[Facility ID] = clean[[#This Row],[Facility ID]]) * ([1]!hcahps[HCAHPS Measure ID] = "H_HSP_RATING_LINEAR_SCORE"), [1]!hcahps[HCAHPS Linear Mean Value]), "No Match")</f>
        <v>Not Available</v>
      </c>
      <c r="F2605" cm="1">
        <f t="array" ref="F2605">_xlfn.IFNA(_xlfn.XLOOKUP(1,([1]!readmissions[Facility ID] = clean[[#This Row],[Facility ID]]) * ([1]!readmissions[Measure ID] = "Hybrid_HWR"), [1]!readmissions[Score]), "No Match")</f>
        <v>15.1</v>
      </c>
    </row>
    <row r="2606" spans="1:6" x14ac:dyDescent="0.2">
      <c r="A2606">
        <f>[1]!hospitalinfo[[#This Row],[Facility ID]]</f>
        <v>241372</v>
      </c>
      <c r="B2606" t="str">
        <f>[1]!hospitalinfo[[#This Row],[State]]</f>
        <v>MN</v>
      </c>
      <c r="C2606" t="str">
        <f>[1]!hospitalinfo[[#This Row],[Hospital Type]]</f>
        <v>Critical Access Hospitals</v>
      </c>
      <c r="D2606" t="str">
        <f>[1]!hospitalinfo[[#This Row],[Hospital Ownership]]</f>
        <v>Voluntary non-profit - Private</v>
      </c>
      <c r="E2606" t="str" cm="1">
        <f t="array" ref="E2606">_xlfn.IFNA(_xlfn.XLOOKUP(1,([1]!hcahps[Facility ID] = clean[[#This Row],[Facility ID]]) * ([1]!hcahps[HCAHPS Measure ID] = "H_HSP_RATING_LINEAR_SCORE"), [1]!hcahps[HCAHPS Linear Mean Value]), "No Match")</f>
        <v>Not Available</v>
      </c>
      <c r="F2606" cm="1">
        <f t="array" ref="F2606">_xlfn.IFNA(_xlfn.XLOOKUP(1,([1]!readmissions[Facility ID] = clean[[#This Row],[Facility ID]]) * ([1]!readmissions[Measure ID] = "Hybrid_HWR"), [1]!readmissions[Score]), "No Match")</f>
        <v>14.8</v>
      </c>
    </row>
    <row r="2607" spans="1:6" x14ac:dyDescent="0.2">
      <c r="A2607">
        <f>[1]!hospitalinfo[[#This Row],[Facility ID]]</f>
        <v>241373</v>
      </c>
      <c r="B2607" t="str">
        <f>[1]!hospitalinfo[[#This Row],[State]]</f>
        <v>MN</v>
      </c>
      <c r="C2607" t="str">
        <f>[1]!hospitalinfo[[#This Row],[Hospital Type]]</f>
        <v>Critical Access Hospitals</v>
      </c>
      <c r="D2607" t="str">
        <f>[1]!hospitalinfo[[#This Row],[Hospital Ownership]]</f>
        <v>Government - Hospital District or Authority</v>
      </c>
      <c r="E2607" cm="1">
        <f t="array" ref="E2607">_xlfn.IFNA(_xlfn.XLOOKUP(1,([1]!hcahps[Facility ID] = clean[[#This Row],[Facility ID]]) * ([1]!hcahps[HCAHPS Measure ID] = "H_HSP_RATING_LINEAR_SCORE"), [1]!hcahps[HCAHPS Linear Mean Value]), "No Match")</f>
        <v>95</v>
      </c>
      <c r="F2607" cm="1">
        <f t="array" ref="F2607">_xlfn.IFNA(_xlfn.XLOOKUP(1,([1]!readmissions[Facility ID] = clean[[#This Row],[Facility ID]]) * ([1]!readmissions[Measure ID] = "Hybrid_HWR"), [1]!readmissions[Score]), "No Match")</f>
        <v>14.8</v>
      </c>
    </row>
    <row r="2608" spans="1:6" x14ac:dyDescent="0.2">
      <c r="A2608">
        <f>[1]!hospitalinfo[[#This Row],[Facility ID]]</f>
        <v>241374</v>
      </c>
      <c r="B2608" t="str">
        <f>[1]!hospitalinfo[[#This Row],[State]]</f>
        <v>MN</v>
      </c>
      <c r="C2608" t="str">
        <f>[1]!hospitalinfo[[#This Row],[Hospital Type]]</f>
        <v>Critical Access Hospitals</v>
      </c>
      <c r="D2608" t="str">
        <f>[1]!hospitalinfo[[#This Row],[Hospital Ownership]]</f>
        <v>Government - Local</v>
      </c>
      <c r="E2608" t="str" cm="1">
        <f t="array" ref="E2608">_xlfn.IFNA(_xlfn.XLOOKUP(1,([1]!hcahps[Facility ID] = clean[[#This Row],[Facility ID]]) * ([1]!hcahps[HCAHPS Measure ID] = "H_HSP_RATING_LINEAR_SCORE"), [1]!hcahps[HCAHPS Linear Mean Value]), "No Match")</f>
        <v>Not Available</v>
      </c>
      <c r="F2608" cm="1">
        <f t="array" ref="F2608">_xlfn.IFNA(_xlfn.XLOOKUP(1,([1]!readmissions[Facility ID] = clean[[#This Row],[Facility ID]]) * ([1]!readmissions[Measure ID] = "Hybrid_HWR"), [1]!readmissions[Score]), "No Match")</f>
        <v>14.9</v>
      </c>
    </row>
    <row r="2609" spans="1:6" x14ac:dyDescent="0.2">
      <c r="A2609">
        <f>[1]!hospitalinfo[[#This Row],[Facility ID]]</f>
        <v>241375</v>
      </c>
      <c r="B2609" t="str">
        <f>[1]!hospitalinfo[[#This Row],[State]]</f>
        <v>MN</v>
      </c>
      <c r="C2609" t="str">
        <f>[1]!hospitalinfo[[#This Row],[Hospital Type]]</f>
        <v>Critical Access Hospitals</v>
      </c>
      <c r="D2609" t="str">
        <f>[1]!hospitalinfo[[#This Row],[Hospital Ownership]]</f>
        <v>Voluntary non-profit - Private</v>
      </c>
      <c r="E2609" t="str" cm="1">
        <f t="array" ref="E2609">_xlfn.IFNA(_xlfn.XLOOKUP(1,([1]!hcahps[Facility ID] = clean[[#This Row],[Facility ID]]) * ([1]!hcahps[HCAHPS Measure ID] = "H_HSP_RATING_LINEAR_SCORE"), [1]!hcahps[HCAHPS Linear Mean Value]), "No Match")</f>
        <v>Not Available</v>
      </c>
      <c r="F2609" t="str" cm="1">
        <f t="array" ref="F2609">_xlfn.IFNA(_xlfn.XLOOKUP(1,([1]!readmissions[Facility ID] = clean[[#This Row],[Facility ID]]) * ([1]!readmissions[Measure ID] = "Hybrid_HWR"), [1]!readmissions[Score]), "No Match")</f>
        <v>Not Available</v>
      </c>
    </row>
    <row r="2610" spans="1:6" x14ac:dyDescent="0.2">
      <c r="A2610">
        <f>[1]!hospitalinfo[[#This Row],[Facility ID]]</f>
        <v>241376</v>
      </c>
      <c r="B2610" t="str">
        <f>[1]!hospitalinfo[[#This Row],[State]]</f>
        <v>MN</v>
      </c>
      <c r="C2610" t="str">
        <f>[1]!hospitalinfo[[#This Row],[Hospital Type]]</f>
        <v>Critical Access Hospitals</v>
      </c>
      <c r="D2610" t="str">
        <f>[1]!hospitalinfo[[#This Row],[Hospital Ownership]]</f>
        <v>Government - Hospital District or Authority</v>
      </c>
      <c r="E2610" cm="1">
        <f t="array" ref="E2610">_xlfn.IFNA(_xlfn.XLOOKUP(1,([1]!hcahps[Facility ID] = clean[[#This Row],[Facility ID]]) * ([1]!hcahps[HCAHPS Measure ID] = "H_HSP_RATING_LINEAR_SCORE"), [1]!hcahps[HCAHPS Linear Mean Value]), "No Match")</f>
        <v>95</v>
      </c>
      <c r="F2610" cm="1">
        <f t="array" ref="F2610">_xlfn.IFNA(_xlfn.XLOOKUP(1,([1]!readmissions[Facility ID] = clean[[#This Row],[Facility ID]]) * ([1]!readmissions[Measure ID] = "Hybrid_HWR"), [1]!readmissions[Score]), "No Match")</f>
        <v>14.8</v>
      </c>
    </row>
    <row r="2611" spans="1:6" x14ac:dyDescent="0.2">
      <c r="A2611">
        <f>[1]!hospitalinfo[[#This Row],[Facility ID]]</f>
        <v>241377</v>
      </c>
      <c r="B2611" t="str">
        <f>[1]!hospitalinfo[[#This Row],[State]]</f>
        <v>MN</v>
      </c>
      <c r="C2611" t="str">
        <f>[1]!hospitalinfo[[#This Row],[Hospital Type]]</f>
        <v>Critical Access Hospitals</v>
      </c>
      <c r="D2611" t="str">
        <f>[1]!hospitalinfo[[#This Row],[Hospital Ownership]]</f>
        <v>Voluntary non-profit - Church</v>
      </c>
      <c r="E2611" t="str" cm="1">
        <f t="array" ref="E2611">_xlfn.IFNA(_xlfn.XLOOKUP(1,([1]!hcahps[Facility ID] = clean[[#This Row],[Facility ID]]) * ([1]!hcahps[HCAHPS Measure ID] = "H_HSP_RATING_LINEAR_SCORE"), [1]!hcahps[HCAHPS Linear Mean Value]), "No Match")</f>
        <v>Not Available</v>
      </c>
      <c r="F2611" cm="1">
        <f t="array" ref="F2611">_xlfn.IFNA(_xlfn.XLOOKUP(1,([1]!readmissions[Facility ID] = clean[[#This Row],[Facility ID]]) * ([1]!readmissions[Measure ID] = "Hybrid_HWR"), [1]!readmissions[Score]), "No Match")</f>
        <v>14.9</v>
      </c>
    </row>
    <row r="2612" spans="1:6" x14ac:dyDescent="0.2">
      <c r="A2612">
        <f>[1]!hospitalinfo[[#This Row],[Facility ID]]</f>
        <v>241378</v>
      </c>
      <c r="B2612" t="str">
        <f>[1]!hospitalinfo[[#This Row],[State]]</f>
        <v>MN</v>
      </c>
      <c r="C2612" t="str">
        <f>[1]!hospitalinfo[[#This Row],[Hospital Type]]</f>
        <v>Critical Access Hospitals</v>
      </c>
      <c r="D2612" t="str">
        <f>[1]!hospitalinfo[[#This Row],[Hospital Ownership]]</f>
        <v>Voluntary non-profit - Private</v>
      </c>
      <c r="E2612" cm="1">
        <f t="array" ref="E2612">_xlfn.IFNA(_xlfn.XLOOKUP(1,([1]!hcahps[Facility ID] = clean[[#This Row],[Facility ID]]) * ([1]!hcahps[HCAHPS Measure ID] = "H_HSP_RATING_LINEAR_SCORE"), [1]!hcahps[HCAHPS Linear Mean Value]), "No Match")</f>
        <v>92</v>
      </c>
      <c r="F2612" cm="1">
        <f t="array" ref="F2612">_xlfn.IFNA(_xlfn.XLOOKUP(1,([1]!readmissions[Facility ID] = clean[[#This Row],[Facility ID]]) * ([1]!readmissions[Measure ID] = "Hybrid_HWR"), [1]!readmissions[Score]), "No Match")</f>
        <v>14.7</v>
      </c>
    </row>
    <row r="2613" spans="1:6" x14ac:dyDescent="0.2">
      <c r="A2613">
        <f>[1]!hospitalinfo[[#This Row],[Facility ID]]</f>
        <v>241379</v>
      </c>
      <c r="B2613" t="str">
        <f>[1]!hospitalinfo[[#This Row],[State]]</f>
        <v>MN</v>
      </c>
      <c r="C2613" t="str">
        <f>[1]!hospitalinfo[[#This Row],[Hospital Type]]</f>
        <v>Critical Access Hospitals</v>
      </c>
      <c r="D2613" t="str">
        <f>[1]!hospitalinfo[[#This Row],[Hospital Ownership]]</f>
        <v>Voluntary non-profit - Private</v>
      </c>
      <c r="E2613" t="str" cm="1">
        <f t="array" ref="E2613">_xlfn.IFNA(_xlfn.XLOOKUP(1,([1]!hcahps[Facility ID] = clean[[#This Row],[Facility ID]]) * ([1]!hcahps[HCAHPS Measure ID] = "H_HSP_RATING_LINEAR_SCORE"), [1]!hcahps[HCAHPS Linear Mean Value]), "No Match")</f>
        <v>Not Available</v>
      </c>
      <c r="F2613" t="str" cm="1">
        <f t="array" ref="F2613">_xlfn.IFNA(_xlfn.XLOOKUP(1,([1]!readmissions[Facility ID] = clean[[#This Row],[Facility ID]]) * ([1]!readmissions[Measure ID] = "Hybrid_HWR"), [1]!readmissions[Score]), "No Match")</f>
        <v>Not Available</v>
      </c>
    </row>
    <row r="2614" spans="1:6" x14ac:dyDescent="0.2">
      <c r="A2614">
        <f>[1]!hospitalinfo[[#This Row],[Facility ID]]</f>
        <v>241380</v>
      </c>
      <c r="B2614" t="str">
        <f>[1]!hospitalinfo[[#This Row],[State]]</f>
        <v>MN</v>
      </c>
      <c r="C2614" t="str">
        <f>[1]!hospitalinfo[[#This Row],[Hospital Type]]</f>
        <v>Critical Access Hospitals</v>
      </c>
      <c r="D2614" t="str">
        <f>[1]!hospitalinfo[[#This Row],[Hospital Ownership]]</f>
        <v>Voluntary non-profit - Private</v>
      </c>
      <c r="E2614" cm="1">
        <f t="array" ref="E2614">_xlfn.IFNA(_xlfn.XLOOKUP(1,([1]!hcahps[Facility ID] = clean[[#This Row],[Facility ID]]) * ([1]!hcahps[HCAHPS Measure ID] = "H_HSP_RATING_LINEAR_SCORE"), [1]!hcahps[HCAHPS Linear Mean Value]), "No Match")</f>
        <v>91</v>
      </c>
      <c r="F2614" cm="1">
        <f t="array" ref="F2614">_xlfn.IFNA(_xlfn.XLOOKUP(1,([1]!readmissions[Facility ID] = clean[[#This Row],[Facility ID]]) * ([1]!readmissions[Measure ID] = "Hybrid_HWR"), [1]!readmissions[Score]), "No Match")</f>
        <v>15.3</v>
      </c>
    </row>
    <row r="2615" spans="1:6" x14ac:dyDescent="0.2">
      <c r="A2615">
        <f>[1]!hospitalinfo[[#This Row],[Facility ID]]</f>
        <v>241381</v>
      </c>
      <c r="B2615" t="str">
        <f>[1]!hospitalinfo[[#This Row],[State]]</f>
        <v>MN</v>
      </c>
      <c r="C2615" t="str">
        <f>[1]!hospitalinfo[[#This Row],[Hospital Type]]</f>
        <v>Critical Access Hospitals</v>
      </c>
      <c r="D2615" t="str">
        <f>[1]!hospitalinfo[[#This Row],[Hospital Ownership]]</f>
        <v>Voluntary non-profit - Private</v>
      </c>
      <c r="E2615" cm="1">
        <f t="array" ref="E2615">_xlfn.IFNA(_xlfn.XLOOKUP(1,([1]!hcahps[Facility ID] = clean[[#This Row],[Facility ID]]) * ([1]!hcahps[HCAHPS Measure ID] = "H_HSP_RATING_LINEAR_SCORE"), [1]!hcahps[HCAHPS Linear Mean Value]), "No Match")</f>
        <v>89</v>
      </c>
      <c r="F2615" cm="1">
        <f t="array" ref="F2615">_xlfn.IFNA(_xlfn.XLOOKUP(1,([1]!readmissions[Facility ID] = clean[[#This Row],[Facility ID]]) * ([1]!readmissions[Measure ID] = "Hybrid_HWR"), [1]!readmissions[Score]), "No Match")</f>
        <v>14.5</v>
      </c>
    </row>
    <row r="2616" spans="1:6" x14ac:dyDescent="0.2">
      <c r="A2616">
        <f>[1]!hospitalinfo[[#This Row],[Facility ID]]</f>
        <v>243300</v>
      </c>
      <c r="B2616" t="str">
        <f>[1]!hospitalinfo[[#This Row],[State]]</f>
        <v>MN</v>
      </c>
      <c r="C2616" t="str">
        <f>[1]!hospitalinfo[[#This Row],[Hospital Type]]</f>
        <v>Childrens</v>
      </c>
      <c r="D2616" t="str">
        <f>[1]!hospitalinfo[[#This Row],[Hospital Ownership]]</f>
        <v>Government - Hospital District or Authority</v>
      </c>
      <c r="E2616" t="str" cm="1">
        <f t="array" ref="E2616">_xlfn.IFNA(_xlfn.XLOOKUP(1,([1]!hcahps[Facility ID] = clean[[#This Row],[Facility ID]]) * ([1]!hcahps[HCAHPS Measure ID] = "H_HSP_RATING_LINEAR_SCORE"), [1]!hcahps[HCAHPS Linear Mean Value]), "No Match")</f>
        <v>Not Available</v>
      </c>
      <c r="F2616" t="str" cm="1">
        <f t="array" ref="F2616">_xlfn.IFNA(_xlfn.XLOOKUP(1,([1]!readmissions[Facility ID] = clean[[#This Row],[Facility ID]]) * ([1]!readmissions[Measure ID] = "Hybrid_HWR"), [1]!readmissions[Score]), "No Match")</f>
        <v>Not Available</v>
      </c>
    </row>
    <row r="2617" spans="1:6" x14ac:dyDescent="0.2">
      <c r="A2617">
        <f>[1]!hospitalinfo[[#This Row],[Facility ID]]</f>
        <v>243302</v>
      </c>
      <c r="B2617" t="str">
        <f>[1]!hospitalinfo[[#This Row],[State]]</f>
        <v>MN</v>
      </c>
      <c r="C2617" t="str">
        <f>[1]!hospitalinfo[[#This Row],[Hospital Type]]</f>
        <v>Childrens</v>
      </c>
      <c r="D2617" t="str">
        <f>[1]!hospitalinfo[[#This Row],[Hospital Ownership]]</f>
        <v>Voluntary non-profit - Private</v>
      </c>
      <c r="E2617" t="str" cm="1">
        <f t="array" ref="E2617">_xlfn.IFNA(_xlfn.XLOOKUP(1,([1]!hcahps[Facility ID] = clean[[#This Row],[Facility ID]]) * ([1]!hcahps[HCAHPS Measure ID] = "H_HSP_RATING_LINEAR_SCORE"), [1]!hcahps[HCAHPS Linear Mean Value]), "No Match")</f>
        <v>Not Available</v>
      </c>
      <c r="F2617" t="str" cm="1">
        <f t="array" ref="F2617">_xlfn.IFNA(_xlfn.XLOOKUP(1,([1]!readmissions[Facility ID] = clean[[#This Row],[Facility ID]]) * ([1]!readmissions[Measure ID] = "Hybrid_HWR"), [1]!readmissions[Score]), "No Match")</f>
        <v>Not Available</v>
      </c>
    </row>
    <row r="2618" spans="1:6" x14ac:dyDescent="0.2">
      <c r="A2618">
        <f>[1]!hospitalinfo[[#This Row],[Facility ID]]</f>
        <v>244002</v>
      </c>
      <c r="B2618" t="str">
        <f>[1]!hospitalinfo[[#This Row],[State]]</f>
        <v>MN</v>
      </c>
      <c r="C2618" t="str">
        <f>[1]!hospitalinfo[[#This Row],[Hospital Type]]</f>
        <v>Psychiatric</v>
      </c>
      <c r="D2618" t="str">
        <f>[1]!hospitalinfo[[#This Row],[Hospital Ownership]]</f>
        <v>Government - State</v>
      </c>
      <c r="E2618" t="str" cm="1">
        <f t="array" ref="E2618">_xlfn.IFNA(_xlfn.XLOOKUP(1,([1]!hcahps[Facility ID] = clean[[#This Row],[Facility ID]]) * ([1]!hcahps[HCAHPS Measure ID] = "H_HSP_RATING_LINEAR_SCORE"), [1]!hcahps[HCAHPS Linear Mean Value]), "No Match")</f>
        <v>No Match</v>
      </c>
      <c r="F2618" t="str" cm="1">
        <f t="array" ref="F2618">_xlfn.IFNA(_xlfn.XLOOKUP(1,([1]!readmissions[Facility ID] = clean[[#This Row],[Facility ID]]) * ([1]!readmissions[Measure ID] = "Hybrid_HWR"), [1]!readmissions[Score]), "No Match")</f>
        <v>No Match</v>
      </c>
    </row>
    <row r="2619" spans="1:6" x14ac:dyDescent="0.2">
      <c r="A2619">
        <f>[1]!hospitalinfo[[#This Row],[Facility ID]]</f>
        <v>244005</v>
      </c>
      <c r="B2619" t="str">
        <f>[1]!hospitalinfo[[#This Row],[State]]</f>
        <v>MN</v>
      </c>
      <c r="C2619" t="str">
        <f>[1]!hospitalinfo[[#This Row],[Hospital Type]]</f>
        <v>Psychiatric</v>
      </c>
      <c r="D2619" t="str">
        <f>[1]!hospitalinfo[[#This Row],[Hospital Ownership]]</f>
        <v>Government - State</v>
      </c>
      <c r="E2619" t="str" cm="1">
        <f t="array" ref="E2619">_xlfn.IFNA(_xlfn.XLOOKUP(1,([1]!hcahps[Facility ID] = clean[[#This Row],[Facility ID]]) * ([1]!hcahps[HCAHPS Measure ID] = "H_HSP_RATING_LINEAR_SCORE"), [1]!hcahps[HCAHPS Linear Mean Value]), "No Match")</f>
        <v>No Match</v>
      </c>
      <c r="F2619" t="str" cm="1">
        <f t="array" ref="F2619">_xlfn.IFNA(_xlfn.XLOOKUP(1,([1]!readmissions[Facility ID] = clean[[#This Row],[Facility ID]]) * ([1]!readmissions[Measure ID] = "Hybrid_HWR"), [1]!readmissions[Score]), "No Match")</f>
        <v>No Match</v>
      </c>
    </row>
    <row r="2620" spans="1:6" x14ac:dyDescent="0.2">
      <c r="A2620">
        <f>[1]!hospitalinfo[[#This Row],[Facility ID]]</f>
        <v>244011</v>
      </c>
      <c r="B2620" t="str">
        <f>[1]!hospitalinfo[[#This Row],[State]]</f>
        <v>MN</v>
      </c>
      <c r="C2620" t="str">
        <f>[1]!hospitalinfo[[#This Row],[Hospital Type]]</f>
        <v>Psychiatric</v>
      </c>
      <c r="D2620" t="str">
        <f>[1]!hospitalinfo[[#This Row],[Hospital Ownership]]</f>
        <v>Government - State</v>
      </c>
      <c r="E2620" t="str" cm="1">
        <f t="array" ref="E2620">_xlfn.IFNA(_xlfn.XLOOKUP(1,([1]!hcahps[Facility ID] = clean[[#This Row],[Facility ID]]) * ([1]!hcahps[HCAHPS Measure ID] = "H_HSP_RATING_LINEAR_SCORE"), [1]!hcahps[HCAHPS Linear Mean Value]), "No Match")</f>
        <v>No Match</v>
      </c>
      <c r="F2620" t="str" cm="1">
        <f t="array" ref="F2620">_xlfn.IFNA(_xlfn.XLOOKUP(1,([1]!readmissions[Facility ID] = clean[[#This Row],[Facility ID]]) * ([1]!readmissions[Measure ID] = "Hybrid_HWR"), [1]!readmissions[Score]), "No Match")</f>
        <v>No Match</v>
      </c>
    </row>
    <row r="2621" spans="1:6" x14ac:dyDescent="0.2">
      <c r="A2621">
        <f>[1]!hospitalinfo[[#This Row],[Facility ID]]</f>
        <v>244012</v>
      </c>
      <c r="B2621" t="str">
        <f>[1]!hospitalinfo[[#This Row],[State]]</f>
        <v>MN</v>
      </c>
      <c r="C2621" t="str">
        <f>[1]!hospitalinfo[[#This Row],[Hospital Type]]</f>
        <v>Psychiatric</v>
      </c>
      <c r="D2621" t="str">
        <f>[1]!hospitalinfo[[#This Row],[Hospital Ownership]]</f>
        <v>Government - State</v>
      </c>
      <c r="E2621" t="str" cm="1">
        <f t="array" ref="E2621">_xlfn.IFNA(_xlfn.XLOOKUP(1,([1]!hcahps[Facility ID] = clean[[#This Row],[Facility ID]]) * ([1]!hcahps[HCAHPS Measure ID] = "H_HSP_RATING_LINEAR_SCORE"), [1]!hcahps[HCAHPS Linear Mean Value]), "No Match")</f>
        <v>No Match</v>
      </c>
      <c r="F2621" t="str" cm="1">
        <f t="array" ref="F2621">_xlfn.IFNA(_xlfn.XLOOKUP(1,([1]!readmissions[Facility ID] = clean[[#This Row],[Facility ID]]) * ([1]!readmissions[Measure ID] = "Hybrid_HWR"), [1]!readmissions[Score]), "No Match")</f>
        <v>No Match</v>
      </c>
    </row>
    <row r="2622" spans="1:6" x14ac:dyDescent="0.2">
      <c r="A2622">
        <f>[1]!hospitalinfo[[#This Row],[Facility ID]]</f>
        <v>244013</v>
      </c>
      <c r="B2622" t="str">
        <f>[1]!hospitalinfo[[#This Row],[State]]</f>
        <v>MN</v>
      </c>
      <c r="C2622" t="str">
        <f>[1]!hospitalinfo[[#This Row],[Hospital Type]]</f>
        <v>Psychiatric</v>
      </c>
      <c r="D2622" t="str">
        <f>[1]!hospitalinfo[[#This Row],[Hospital Ownership]]</f>
        <v>Government - State</v>
      </c>
      <c r="E2622" t="str" cm="1">
        <f t="array" ref="E2622">_xlfn.IFNA(_xlfn.XLOOKUP(1,([1]!hcahps[Facility ID] = clean[[#This Row],[Facility ID]]) * ([1]!hcahps[HCAHPS Measure ID] = "H_HSP_RATING_LINEAR_SCORE"), [1]!hcahps[HCAHPS Linear Mean Value]), "No Match")</f>
        <v>No Match</v>
      </c>
      <c r="F2622" t="str" cm="1">
        <f t="array" ref="F2622">_xlfn.IFNA(_xlfn.XLOOKUP(1,([1]!readmissions[Facility ID] = clean[[#This Row],[Facility ID]]) * ([1]!readmissions[Measure ID] = "Hybrid_HWR"), [1]!readmissions[Score]), "No Match")</f>
        <v>No Match</v>
      </c>
    </row>
    <row r="2623" spans="1:6" x14ac:dyDescent="0.2">
      <c r="A2623">
        <f>[1]!hospitalinfo[[#This Row],[Facility ID]]</f>
        <v>244014</v>
      </c>
      <c r="B2623" t="str">
        <f>[1]!hospitalinfo[[#This Row],[State]]</f>
        <v>MN</v>
      </c>
      <c r="C2623" t="str">
        <f>[1]!hospitalinfo[[#This Row],[Hospital Type]]</f>
        <v>Psychiatric</v>
      </c>
      <c r="D2623" t="str">
        <f>[1]!hospitalinfo[[#This Row],[Hospital Ownership]]</f>
        <v>Government - State</v>
      </c>
      <c r="E2623" t="str" cm="1">
        <f t="array" ref="E2623">_xlfn.IFNA(_xlfn.XLOOKUP(1,([1]!hcahps[Facility ID] = clean[[#This Row],[Facility ID]]) * ([1]!hcahps[HCAHPS Measure ID] = "H_HSP_RATING_LINEAR_SCORE"), [1]!hcahps[HCAHPS Linear Mean Value]), "No Match")</f>
        <v>No Match</v>
      </c>
      <c r="F2623" t="str" cm="1">
        <f t="array" ref="F2623">_xlfn.IFNA(_xlfn.XLOOKUP(1,([1]!readmissions[Facility ID] = clean[[#This Row],[Facility ID]]) * ([1]!readmissions[Measure ID] = "Hybrid_HWR"), [1]!readmissions[Score]), "No Match")</f>
        <v>No Match</v>
      </c>
    </row>
    <row r="2624" spans="1:6" x14ac:dyDescent="0.2">
      <c r="A2624">
        <f>[1]!hospitalinfo[[#This Row],[Facility ID]]</f>
        <v>244015</v>
      </c>
      <c r="B2624" t="str">
        <f>[1]!hospitalinfo[[#This Row],[State]]</f>
        <v>MN</v>
      </c>
      <c r="C2624" t="str">
        <f>[1]!hospitalinfo[[#This Row],[Hospital Type]]</f>
        <v>Psychiatric</v>
      </c>
      <c r="D2624" t="str">
        <f>[1]!hospitalinfo[[#This Row],[Hospital Ownership]]</f>
        <v>Government - State</v>
      </c>
      <c r="E2624" t="str" cm="1">
        <f t="array" ref="E2624">_xlfn.IFNA(_xlfn.XLOOKUP(1,([1]!hcahps[Facility ID] = clean[[#This Row],[Facility ID]]) * ([1]!hcahps[HCAHPS Measure ID] = "H_HSP_RATING_LINEAR_SCORE"), [1]!hcahps[HCAHPS Linear Mean Value]), "No Match")</f>
        <v>No Match</v>
      </c>
      <c r="F2624" t="str" cm="1">
        <f t="array" ref="F2624">_xlfn.IFNA(_xlfn.XLOOKUP(1,([1]!readmissions[Facility ID] = clean[[#This Row],[Facility ID]]) * ([1]!readmissions[Measure ID] = "Hybrid_HWR"), [1]!readmissions[Score]), "No Match")</f>
        <v>No Match</v>
      </c>
    </row>
    <row r="2625" spans="1:6" x14ac:dyDescent="0.2">
      <c r="A2625">
        <f>[1]!hospitalinfo[[#This Row],[Facility ID]]</f>
        <v>244017</v>
      </c>
      <c r="B2625" t="str">
        <f>[1]!hospitalinfo[[#This Row],[State]]</f>
        <v>MN</v>
      </c>
      <c r="C2625" t="str">
        <f>[1]!hospitalinfo[[#This Row],[Hospital Type]]</f>
        <v>Psychiatric</v>
      </c>
      <c r="D2625" t="str">
        <f>[1]!hospitalinfo[[#This Row],[Hospital Ownership]]</f>
        <v>Government - State</v>
      </c>
      <c r="E2625" t="str" cm="1">
        <f t="array" ref="E2625">_xlfn.IFNA(_xlfn.XLOOKUP(1,([1]!hcahps[Facility ID] = clean[[#This Row],[Facility ID]]) * ([1]!hcahps[HCAHPS Measure ID] = "H_HSP_RATING_LINEAR_SCORE"), [1]!hcahps[HCAHPS Linear Mean Value]), "No Match")</f>
        <v>No Match</v>
      </c>
      <c r="F2625" t="str" cm="1">
        <f t="array" ref="F2625">_xlfn.IFNA(_xlfn.XLOOKUP(1,([1]!readmissions[Facility ID] = clean[[#This Row],[Facility ID]]) * ([1]!readmissions[Measure ID] = "Hybrid_HWR"), [1]!readmissions[Score]), "No Match")</f>
        <v>No Match</v>
      </c>
    </row>
    <row r="2626" spans="1:6" x14ac:dyDescent="0.2">
      <c r="A2626">
        <f>[1]!hospitalinfo[[#This Row],[Facility ID]]</f>
        <v>244018</v>
      </c>
      <c r="B2626" t="str">
        <f>[1]!hospitalinfo[[#This Row],[State]]</f>
        <v>MN</v>
      </c>
      <c r="C2626" t="str">
        <f>[1]!hospitalinfo[[#This Row],[Hospital Type]]</f>
        <v>Psychiatric</v>
      </c>
      <c r="D2626" t="str">
        <f>[1]!hospitalinfo[[#This Row],[Hospital Ownership]]</f>
        <v>Voluntary non-profit - Private</v>
      </c>
      <c r="E2626" t="str" cm="1">
        <f t="array" ref="E2626">_xlfn.IFNA(_xlfn.XLOOKUP(1,([1]!hcahps[Facility ID] = clean[[#This Row],[Facility ID]]) * ([1]!hcahps[HCAHPS Measure ID] = "H_HSP_RATING_LINEAR_SCORE"), [1]!hcahps[HCAHPS Linear Mean Value]), "No Match")</f>
        <v>No Match</v>
      </c>
      <c r="F2626" t="str" cm="1">
        <f t="array" ref="F2626">_xlfn.IFNA(_xlfn.XLOOKUP(1,([1]!readmissions[Facility ID] = clean[[#This Row],[Facility ID]]) * ([1]!readmissions[Measure ID] = "Hybrid_HWR"), [1]!readmissions[Score]), "No Match")</f>
        <v>No Match</v>
      </c>
    </row>
    <row r="2627" spans="1:6" x14ac:dyDescent="0.2">
      <c r="A2627" t="str">
        <f>[1]!hospitalinfo[[#This Row],[Facility ID]]</f>
        <v>24002F</v>
      </c>
      <c r="B2627" t="str">
        <f>[1]!hospitalinfo[[#This Row],[State]]</f>
        <v>MN</v>
      </c>
      <c r="C2627" t="str">
        <f>[1]!hospitalinfo[[#This Row],[Hospital Type]]</f>
        <v>Acute Care - Veterans Administration</v>
      </c>
      <c r="D2627" t="str">
        <f>[1]!hospitalinfo[[#This Row],[Hospital Ownership]]</f>
        <v>Veterans Health Administration</v>
      </c>
      <c r="E2627" t="str" cm="1">
        <f t="array" ref="E2627">_xlfn.IFNA(_xlfn.XLOOKUP(1,([1]!hcahps[Facility ID] = clean[[#This Row],[Facility ID]]) * ([1]!hcahps[HCAHPS Measure ID] = "H_HSP_RATING_LINEAR_SCORE"), [1]!hcahps[HCAHPS Linear Mean Value]), "No Match")</f>
        <v>Not Available</v>
      </c>
      <c r="F2627" t="str" cm="1">
        <f t="array" ref="F2627">_xlfn.IFNA(_xlfn.XLOOKUP(1,([1]!readmissions[Facility ID] = clean[[#This Row],[Facility ID]]) * ([1]!readmissions[Measure ID] = "Hybrid_HWR"), [1]!readmissions[Score]), "No Match")</f>
        <v>Not Available</v>
      </c>
    </row>
    <row r="2628" spans="1:6" x14ac:dyDescent="0.2">
      <c r="A2628" t="str">
        <f>[1]!hospitalinfo[[#This Row],[Facility ID]]</f>
        <v>24003F</v>
      </c>
      <c r="B2628" t="str">
        <f>[1]!hospitalinfo[[#This Row],[State]]</f>
        <v>MN</v>
      </c>
      <c r="C2628" t="str">
        <f>[1]!hospitalinfo[[#This Row],[Hospital Type]]</f>
        <v>Acute Care - Veterans Administration</v>
      </c>
      <c r="D2628" t="str">
        <f>[1]!hospitalinfo[[#This Row],[Hospital Ownership]]</f>
        <v>Veterans Health Administration</v>
      </c>
      <c r="E2628" cm="1">
        <f t="array" ref="E2628">_xlfn.IFNA(_xlfn.XLOOKUP(1,([1]!hcahps[Facility ID] = clean[[#This Row],[Facility ID]]) * ([1]!hcahps[HCAHPS Measure ID] = "H_HSP_RATING_LINEAR_SCORE"), [1]!hcahps[HCAHPS Linear Mean Value]), "No Match")</f>
        <v>91</v>
      </c>
      <c r="F2628" cm="1">
        <f t="array" ref="F2628">_xlfn.IFNA(_xlfn.XLOOKUP(1,([1]!readmissions[Facility ID] = clean[[#This Row],[Facility ID]]) * ([1]!readmissions[Measure ID] = "Hybrid_HWR"), [1]!readmissions[Score]), "No Match")</f>
        <v>13.6</v>
      </c>
    </row>
    <row r="2629" spans="1:6" x14ac:dyDescent="0.2">
      <c r="A2629">
        <f>[1]!hospitalinfo[[#This Row],[Facility ID]]</f>
        <v>260001</v>
      </c>
      <c r="B2629" t="str">
        <f>[1]!hospitalinfo[[#This Row],[State]]</f>
        <v>MO</v>
      </c>
      <c r="C2629" t="str">
        <f>[1]!hospitalinfo[[#This Row],[Hospital Type]]</f>
        <v>Acute Care Hospitals</v>
      </c>
      <c r="D2629" t="str">
        <f>[1]!hospitalinfo[[#This Row],[Hospital Ownership]]</f>
        <v>Voluntary non-profit - Church</v>
      </c>
      <c r="E2629" cm="1">
        <f t="array" ref="E2629">_xlfn.IFNA(_xlfn.XLOOKUP(1,([1]!hcahps[Facility ID] = clean[[#This Row],[Facility ID]]) * ([1]!hcahps[HCAHPS Measure ID] = "H_HSP_RATING_LINEAR_SCORE"), [1]!hcahps[HCAHPS Linear Mean Value]), "No Match")</f>
        <v>88</v>
      </c>
      <c r="F2629" cm="1">
        <f t="array" ref="F2629">_xlfn.IFNA(_xlfn.XLOOKUP(1,([1]!readmissions[Facility ID] = clean[[#This Row],[Facility ID]]) * ([1]!readmissions[Measure ID] = "Hybrid_HWR"), [1]!readmissions[Score]), "No Match")</f>
        <v>15.3</v>
      </c>
    </row>
    <row r="2630" spans="1:6" x14ac:dyDescent="0.2">
      <c r="A2630">
        <f>[1]!hospitalinfo[[#This Row],[Facility ID]]</f>
        <v>260005</v>
      </c>
      <c r="B2630" t="str">
        <f>[1]!hospitalinfo[[#This Row],[State]]</f>
        <v>MO</v>
      </c>
      <c r="C2630" t="str">
        <f>[1]!hospitalinfo[[#This Row],[Hospital Type]]</f>
        <v>Acute Care Hospitals</v>
      </c>
      <c r="D2630" t="str">
        <f>[1]!hospitalinfo[[#This Row],[Hospital Ownership]]</f>
        <v>Voluntary non-profit - Private</v>
      </c>
      <c r="E2630" cm="1">
        <f t="array" ref="E2630">_xlfn.IFNA(_xlfn.XLOOKUP(1,([1]!hcahps[Facility ID] = clean[[#This Row],[Facility ID]]) * ([1]!hcahps[HCAHPS Measure ID] = "H_HSP_RATING_LINEAR_SCORE"), [1]!hcahps[HCAHPS Linear Mean Value]), "No Match")</f>
        <v>87</v>
      </c>
      <c r="F2630" cm="1">
        <f t="array" ref="F2630">_xlfn.IFNA(_xlfn.XLOOKUP(1,([1]!readmissions[Facility ID] = clean[[#This Row],[Facility ID]]) * ([1]!readmissions[Measure ID] = "Hybrid_HWR"), [1]!readmissions[Score]), "No Match")</f>
        <v>15.1</v>
      </c>
    </row>
    <row r="2631" spans="1:6" x14ac:dyDescent="0.2">
      <c r="A2631">
        <f>[1]!hospitalinfo[[#This Row],[Facility ID]]</f>
        <v>260006</v>
      </c>
      <c r="B2631" t="str">
        <f>[1]!hospitalinfo[[#This Row],[State]]</f>
        <v>MO</v>
      </c>
      <c r="C2631" t="str">
        <f>[1]!hospitalinfo[[#This Row],[Hospital Type]]</f>
        <v>Acute Care Hospitals</v>
      </c>
      <c r="D2631" t="str">
        <f>[1]!hospitalinfo[[#This Row],[Hospital Ownership]]</f>
        <v>Voluntary non-profit - Private</v>
      </c>
      <c r="E2631" cm="1">
        <f t="array" ref="E2631">_xlfn.IFNA(_xlfn.XLOOKUP(1,([1]!hcahps[Facility ID] = clean[[#This Row],[Facility ID]]) * ([1]!hcahps[HCAHPS Measure ID] = "H_HSP_RATING_LINEAR_SCORE"), [1]!hcahps[HCAHPS Linear Mean Value]), "No Match")</f>
        <v>87</v>
      </c>
      <c r="F2631" cm="1">
        <f t="array" ref="F2631">_xlfn.IFNA(_xlfn.XLOOKUP(1,([1]!readmissions[Facility ID] = clean[[#This Row],[Facility ID]]) * ([1]!readmissions[Measure ID] = "Hybrid_HWR"), [1]!readmissions[Score]), "No Match")</f>
        <v>15.5</v>
      </c>
    </row>
    <row r="2632" spans="1:6" x14ac:dyDescent="0.2">
      <c r="A2632">
        <f>[1]!hospitalinfo[[#This Row],[Facility ID]]</f>
        <v>260009</v>
      </c>
      <c r="B2632" t="str">
        <f>[1]!hospitalinfo[[#This Row],[State]]</f>
        <v>MO</v>
      </c>
      <c r="C2632" t="str">
        <f>[1]!hospitalinfo[[#This Row],[Hospital Type]]</f>
        <v>Acute Care Hospitals</v>
      </c>
      <c r="D2632" t="str">
        <f>[1]!hospitalinfo[[#This Row],[Hospital Ownership]]</f>
        <v>Government - Local</v>
      </c>
      <c r="E2632" cm="1">
        <f t="array" ref="E2632">_xlfn.IFNA(_xlfn.XLOOKUP(1,([1]!hcahps[Facility ID] = clean[[#This Row],[Facility ID]]) * ([1]!hcahps[HCAHPS Measure ID] = "H_HSP_RATING_LINEAR_SCORE"), [1]!hcahps[HCAHPS Linear Mean Value]), "No Match")</f>
        <v>87</v>
      </c>
      <c r="F2632" cm="1">
        <f t="array" ref="F2632">_xlfn.IFNA(_xlfn.XLOOKUP(1,([1]!readmissions[Facility ID] = clean[[#This Row],[Facility ID]]) * ([1]!readmissions[Measure ID] = "Hybrid_HWR"), [1]!readmissions[Score]), "No Match")</f>
        <v>14.6</v>
      </c>
    </row>
    <row r="2633" spans="1:6" x14ac:dyDescent="0.2">
      <c r="A2633">
        <f>[1]!hospitalinfo[[#This Row],[Facility ID]]</f>
        <v>260011</v>
      </c>
      <c r="B2633" t="str">
        <f>[1]!hospitalinfo[[#This Row],[State]]</f>
        <v>MO</v>
      </c>
      <c r="C2633" t="str">
        <f>[1]!hospitalinfo[[#This Row],[Hospital Type]]</f>
        <v>Acute Care Hospitals</v>
      </c>
      <c r="D2633" t="str">
        <f>[1]!hospitalinfo[[#This Row],[Hospital Ownership]]</f>
        <v>Proprietary</v>
      </c>
      <c r="E2633" cm="1">
        <f t="array" ref="E2633">_xlfn.IFNA(_xlfn.XLOOKUP(1,([1]!hcahps[Facility ID] = clean[[#This Row],[Facility ID]]) * ([1]!hcahps[HCAHPS Measure ID] = "H_HSP_RATING_LINEAR_SCORE"), [1]!hcahps[HCAHPS Linear Mean Value]), "No Match")</f>
        <v>89</v>
      </c>
      <c r="F2633" cm="1">
        <f t="array" ref="F2633">_xlfn.IFNA(_xlfn.XLOOKUP(1,([1]!readmissions[Facility ID] = clean[[#This Row],[Facility ID]]) * ([1]!readmissions[Measure ID] = "Hybrid_HWR"), [1]!readmissions[Score]), "No Match")</f>
        <v>14.7</v>
      </c>
    </row>
    <row r="2634" spans="1:6" x14ac:dyDescent="0.2">
      <c r="A2634">
        <f>[1]!hospitalinfo[[#This Row],[Facility ID]]</f>
        <v>260017</v>
      </c>
      <c r="B2634" t="str">
        <f>[1]!hospitalinfo[[#This Row],[State]]</f>
        <v>MO</v>
      </c>
      <c r="C2634" t="str">
        <f>[1]!hospitalinfo[[#This Row],[Hospital Type]]</f>
        <v>Acute Care Hospitals</v>
      </c>
      <c r="D2634" t="str">
        <f>[1]!hospitalinfo[[#This Row],[Hospital Ownership]]</f>
        <v>Government - Local</v>
      </c>
      <c r="E2634" cm="1">
        <f t="array" ref="E2634">_xlfn.IFNA(_xlfn.XLOOKUP(1,([1]!hcahps[Facility ID] = clean[[#This Row],[Facility ID]]) * ([1]!hcahps[HCAHPS Measure ID] = "H_HSP_RATING_LINEAR_SCORE"), [1]!hcahps[HCAHPS Linear Mean Value]), "No Match")</f>
        <v>88</v>
      </c>
      <c r="F2634" cm="1">
        <f t="array" ref="F2634">_xlfn.IFNA(_xlfn.XLOOKUP(1,([1]!readmissions[Facility ID] = clean[[#This Row],[Facility ID]]) * ([1]!readmissions[Measure ID] = "Hybrid_HWR"), [1]!readmissions[Score]), "No Match")</f>
        <v>16.2</v>
      </c>
    </row>
    <row r="2635" spans="1:6" x14ac:dyDescent="0.2">
      <c r="A2635">
        <f>[1]!hospitalinfo[[#This Row],[Facility ID]]</f>
        <v>260020</v>
      </c>
      <c r="B2635" t="str">
        <f>[1]!hospitalinfo[[#This Row],[State]]</f>
        <v>MO</v>
      </c>
      <c r="C2635" t="str">
        <f>[1]!hospitalinfo[[#This Row],[Hospital Type]]</f>
        <v>Acute Care Hospitals</v>
      </c>
      <c r="D2635" t="str">
        <f>[1]!hospitalinfo[[#This Row],[Hospital Ownership]]</f>
        <v>Voluntary non-profit - Private</v>
      </c>
      <c r="E2635" cm="1">
        <f t="array" ref="E2635">_xlfn.IFNA(_xlfn.XLOOKUP(1,([1]!hcahps[Facility ID] = clean[[#This Row],[Facility ID]]) * ([1]!hcahps[HCAHPS Measure ID] = "H_HSP_RATING_LINEAR_SCORE"), [1]!hcahps[HCAHPS Linear Mean Value]), "No Match")</f>
        <v>90</v>
      </c>
      <c r="F2635" cm="1">
        <f t="array" ref="F2635">_xlfn.IFNA(_xlfn.XLOOKUP(1,([1]!readmissions[Facility ID] = clean[[#This Row],[Facility ID]]) * ([1]!readmissions[Measure ID] = "Hybrid_HWR"), [1]!readmissions[Score]), "No Match")</f>
        <v>15.1</v>
      </c>
    </row>
    <row r="2636" spans="1:6" x14ac:dyDescent="0.2">
      <c r="A2636">
        <f>[1]!hospitalinfo[[#This Row],[Facility ID]]</f>
        <v>260022</v>
      </c>
      <c r="B2636" t="str">
        <f>[1]!hospitalinfo[[#This Row],[State]]</f>
        <v>MO</v>
      </c>
      <c r="C2636" t="str">
        <f>[1]!hospitalinfo[[#This Row],[Hospital Type]]</f>
        <v>Acute Care Hospitals</v>
      </c>
      <c r="D2636" t="str">
        <f>[1]!hospitalinfo[[#This Row],[Hospital Ownership]]</f>
        <v>Proprietary</v>
      </c>
      <c r="E2636" cm="1">
        <f t="array" ref="E2636">_xlfn.IFNA(_xlfn.XLOOKUP(1,([1]!hcahps[Facility ID] = clean[[#This Row],[Facility ID]]) * ([1]!hcahps[HCAHPS Measure ID] = "H_HSP_RATING_LINEAR_SCORE"), [1]!hcahps[HCAHPS Linear Mean Value]), "No Match")</f>
        <v>85</v>
      </c>
      <c r="F2636" cm="1">
        <f t="array" ref="F2636">_xlfn.IFNA(_xlfn.XLOOKUP(1,([1]!readmissions[Facility ID] = clean[[#This Row],[Facility ID]]) * ([1]!readmissions[Measure ID] = "Hybrid_HWR"), [1]!readmissions[Score]), "No Match")</f>
        <v>14.6</v>
      </c>
    </row>
    <row r="2637" spans="1:6" x14ac:dyDescent="0.2">
      <c r="A2637">
        <f>[1]!hospitalinfo[[#This Row],[Facility ID]]</f>
        <v>260023</v>
      </c>
      <c r="B2637" t="str">
        <f>[1]!hospitalinfo[[#This Row],[State]]</f>
        <v>MO</v>
      </c>
      <c r="C2637" t="str">
        <f>[1]!hospitalinfo[[#This Row],[Hospital Type]]</f>
        <v>Acute Care Hospitals</v>
      </c>
      <c r="D2637" t="str">
        <f>[1]!hospitalinfo[[#This Row],[Hospital Ownership]]</f>
        <v>Voluntary non-profit - Private</v>
      </c>
      <c r="E2637" cm="1">
        <f t="array" ref="E2637">_xlfn.IFNA(_xlfn.XLOOKUP(1,([1]!hcahps[Facility ID] = clean[[#This Row],[Facility ID]]) * ([1]!hcahps[HCAHPS Measure ID] = "H_HSP_RATING_LINEAR_SCORE"), [1]!hcahps[HCAHPS Linear Mean Value]), "No Match")</f>
        <v>90</v>
      </c>
      <c r="F2637" cm="1">
        <f t="array" ref="F2637">_xlfn.IFNA(_xlfn.XLOOKUP(1,([1]!readmissions[Facility ID] = clean[[#This Row],[Facility ID]]) * ([1]!readmissions[Measure ID] = "Hybrid_HWR"), [1]!readmissions[Score]), "No Match")</f>
        <v>14.9</v>
      </c>
    </row>
    <row r="2638" spans="1:6" x14ac:dyDescent="0.2">
      <c r="A2638">
        <f>[1]!hospitalinfo[[#This Row],[Facility ID]]</f>
        <v>260024</v>
      </c>
      <c r="B2638" t="str">
        <f>[1]!hospitalinfo[[#This Row],[State]]</f>
        <v>MO</v>
      </c>
      <c r="C2638" t="str">
        <f>[1]!hospitalinfo[[#This Row],[Hospital Type]]</f>
        <v>Acute Care Hospitals</v>
      </c>
      <c r="D2638" t="str">
        <f>[1]!hospitalinfo[[#This Row],[Hospital Ownership]]</f>
        <v>Government - Local</v>
      </c>
      <c r="E2638" cm="1">
        <f t="array" ref="E2638">_xlfn.IFNA(_xlfn.XLOOKUP(1,([1]!hcahps[Facility ID] = clean[[#This Row],[Facility ID]]) * ([1]!hcahps[HCAHPS Measure ID] = "H_HSP_RATING_LINEAR_SCORE"), [1]!hcahps[HCAHPS Linear Mean Value]), "No Match")</f>
        <v>91</v>
      </c>
      <c r="F2638" cm="1">
        <f t="array" ref="F2638">_xlfn.IFNA(_xlfn.XLOOKUP(1,([1]!readmissions[Facility ID] = clean[[#This Row],[Facility ID]]) * ([1]!readmissions[Measure ID] = "Hybrid_HWR"), [1]!readmissions[Score]), "No Match")</f>
        <v>15.7</v>
      </c>
    </row>
    <row r="2639" spans="1:6" x14ac:dyDescent="0.2">
      <c r="A2639">
        <f>[1]!hospitalinfo[[#This Row],[Facility ID]]</f>
        <v>260025</v>
      </c>
      <c r="B2639" t="str">
        <f>[1]!hospitalinfo[[#This Row],[State]]</f>
        <v>MO</v>
      </c>
      <c r="C2639" t="str">
        <f>[1]!hospitalinfo[[#This Row],[Hospital Type]]</f>
        <v>Acute Care Hospitals</v>
      </c>
      <c r="D2639" t="str">
        <f>[1]!hospitalinfo[[#This Row],[Hospital Ownership]]</f>
        <v>Voluntary non-profit - Other</v>
      </c>
      <c r="E2639" cm="1">
        <f t="array" ref="E2639">_xlfn.IFNA(_xlfn.XLOOKUP(1,([1]!hcahps[Facility ID] = clean[[#This Row],[Facility ID]]) * ([1]!hcahps[HCAHPS Measure ID] = "H_HSP_RATING_LINEAR_SCORE"), [1]!hcahps[HCAHPS Linear Mean Value]), "No Match")</f>
        <v>89</v>
      </c>
      <c r="F2639" cm="1">
        <f t="array" ref="F2639">_xlfn.IFNA(_xlfn.XLOOKUP(1,([1]!readmissions[Facility ID] = clean[[#This Row],[Facility ID]]) * ([1]!readmissions[Measure ID] = "Hybrid_HWR"), [1]!readmissions[Score]), "No Match")</f>
        <v>16.7</v>
      </c>
    </row>
    <row r="2640" spans="1:6" x14ac:dyDescent="0.2">
      <c r="A2640">
        <f>[1]!hospitalinfo[[#This Row],[Facility ID]]</f>
        <v>260027</v>
      </c>
      <c r="B2640" t="str">
        <f>[1]!hospitalinfo[[#This Row],[State]]</f>
        <v>MO</v>
      </c>
      <c r="C2640" t="str">
        <f>[1]!hospitalinfo[[#This Row],[Hospital Type]]</f>
        <v>Acute Care Hospitals</v>
      </c>
      <c r="D2640" t="str">
        <f>[1]!hospitalinfo[[#This Row],[Hospital Ownership]]</f>
        <v>Proprietary</v>
      </c>
      <c r="E2640" cm="1">
        <f t="array" ref="E2640">_xlfn.IFNA(_xlfn.XLOOKUP(1,([1]!hcahps[Facility ID] = clean[[#This Row],[Facility ID]]) * ([1]!hcahps[HCAHPS Measure ID] = "H_HSP_RATING_LINEAR_SCORE"), [1]!hcahps[HCAHPS Linear Mean Value]), "No Match")</f>
        <v>82</v>
      </c>
      <c r="F2640" cm="1">
        <f t="array" ref="F2640">_xlfn.IFNA(_xlfn.XLOOKUP(1,([1]!readmissions[Facility ID] = clean[[#This Row],[Facility ID]]) * ([1]!readmissions[Measure ID] = "Hybrid_HWR"), [1]!readmissions[Score]), "No Match")</f>
        <v>15.9</v>
      </c>
    </row>
    <row r="2641" spans="1:6" x14ac:dyDescent="0.2">
      <c r="A2641">
        <f>[1]!hospitalinfo[[#This Row],[Facility ID]]</f>
        <v>260032</v>
      </c>
      <c r="B2641" t="str">
        <f>[1]!hospitalinfo[[#This Row],[State]]</f>
        <v>MO</v>
      </c>
      <c r="C2641" t="str">
        <f>[1]!hospitalinfo[[#This Row],[Hospital Type]]</f>
        <v>Acute Care Hospitals</v>
      </c>
      <c r="D2641" t="str">
        <f>[1]!hospitalinfo[[#This Row],[Hospital Ownership]]</f>
        <v>Voluntary non-profit - Other</v>
      </c>
      <c r="E2641" cm="1">
        <f t="array" ref="E2641">_xlfn.IFNA(_xlfn.XLOOKUP(1,([1]!hcahps[Facility ID] = clean[[#This Row],[Facility ID]]) * ([1]!hcahps[HCAHPS Measure ID] = "H_HSP_RATING_LINEAR_SCORE"), [1]!hcahps[HCAHPS Linear Mean Value]), "No Match")</f>
        <v>90</v>
      </c>
      <c r="F2641" cm="1">
        <f t="array" ref="F2641">_xlfn.IFNA(_xlfn.XLOOKUP(1,([1]!readmissions[Facility ID] = clean[[#This Row],[Facility ID]]) * ([1]!readmissions[Measure ID] = "Hybrid_HWR"), [1]!readmissions[Score]), "No Match")</f>
        <v>15.3</v>
      </c>
    </row>
    <row r="2642" spans="1:6" x14ac:dyDescent="0.2">
      <c r="A2642">
        <f>[1]!hospitalinfo[[#This Row],[Facility ID]]</f>
        <v>260034</v>
      </c>
      <c r="B2642" t="str">
        <f>[1]!hospitalinfo[[#This Row],[State]]</f>
        <v>MO</v>
      </c>
      <c r="C2642" t="str">
        <f>[1]!hospitalinfo[[#This Row],[Hospital Type]]</f>
        <v>Acute Care Hospitals</v>
      </c>
      <c r="D2642" t="str">
        <f>[1]!hospitalinfo[[#This Row],[Hospital Ownership]]</f>
        <v>Government - Local</v>
      </c>
      <c r="E2642" t="str" cm="1">
        <f t="array" ref="E2642">_xlfn.IFNA(_xlfn.XLOOKUP(1,([1]!hcahps[Facility ID] = clean[[#This Row],[Facility ID]]) * ([1]!hcahps[HCAHPS Measure ID] = "H_HSP_RATING_LINEAR_SCORE"), [1]!hcahps[HCAHPS Linear Mean Value]), "No Match")</f>
        <v>Not Available</v>
      </c>
      <c r="F2642" cm="1">
        <f t="array" ref="F2642">_xlfn.IFNA(_xlfn.XLOOKUP(1,([1]!readmissions[Facility ID] = clean[[#This Row],[Facility ID]]) * ([1]!readmissions[Measure ID] = "Hybrid_HWR"), [1]!readmissions[Score]), "No Match")</f>
        <v>15</v>
      </c>
    </row>
    <row r="2643" spans="1:6" x14ac:dyDescent="0.2">
      <c r="A2643">
        <f>[1]!hospitalinfo[[#This Row],[Facility ID]]</f>
        <v>260040</v>
      </c>
      <c r="B2643" t="str">
        <f>[1]!hospitalinfo[[#This Row],[State]]</f>
        <v>MO</v>
      </c>
      <c r="C2643" t="str">
        <f>[1]!hospitalinfo[[#This Row],[Hospital Type]]</f>
        <v>Acute Care Hospitals</v>
      </c>
      <c r="D2643" t="str">
        <f>[1]!hospitalinfo[[#This Row],[Hospital Ownership]]</f>
        <v>Voluntary non-profit - Private</v>
      </c>
      <c r="E2643" cm="1">
        <f t="array" ref="E2643">_xlfn.IFNA(_xlfn.XLOOKUP(1,([1]!hcahps[Facility ID] = clean[[#This Row],[Facility ID]]) * ([1]!hcahps[HCAHPS Measure ID] = "H_HSP_RATING_LINEAR_SCORE"), [1]!hcahps[HCAHPS Linear Mean Value]), "No Match")</f>
        <v>86</v>
      </c>
      <c r="F2643" cm="1">
        <f t="array" ref="F2643">_xlfn.IFNA(_xlfn.XLOOKUP(1,([1]!readmissions[Facility ID] = clean[[#This Row],[Facility ID]]) * ([1]!readmissions[Measure ID] = "Hybrid_HWR"), [1]!readmissions[Score]), "No Match")</f>
        <v>14.2</v>
      </c>
    </row>
    <row r="2644" spans="1:6" x14ac:dyDescent="0.2">
      <c r="A2644">
        <f>[1]!hospitalinfo[[#This Row],[Facility ID]]</f>
        <v>260048</v>
      </c>
      <c r="B2644" t="str">
        <f>[1]!hospitalinfo[[#This Row],[State]]</f>
        <v>MO</v>
      </c>
      <c r="C2644" t="str">
        <f>[1]!hospitalinfo[[#This Row],[Hospital Type]]</f>
        <v>Acute Care Hospitals</v>
      </c>
      <c r="D2644" t="str">
        <f>[1]!hospitalinfo[[#This Row],[Hospital Ownership]]</f>
        <v>Voluntary non-profit - Private</v>
      </c>
      <c r="E2644" cm="1">
        <f t="array" ref="E2644">_xlfn.IFNA(_xlfn.XLOOKUP(1,([1]!hcahps[Facility ID] = clean[[#This Row],[Facility ID]]) * ([1]!hcahps[HCAHPS Measure ID] = "H_HSP_RATING_LINEAR_SCORE"), [1]!hcahps[HCAHPS Linear Mean Value]), "No Match")</f>
        <v>85</v>
      </c>
      <c r="F2644" cm="1">
        <f t="array" ref="F2644">_xlfn.IFNA(_xlfn.XLOOKUP(1,([1]!readmissions[Facility ID] = clean[[#This Row],[Facility ID]]) * ([1]!readmissions[Measure ID] = "Hybrid_HWR"), [1]!readmissions[Score]), "No Match")</f>
        <v>15.7</v>
      </c>
    </row>
    <row r="2645" spans="1:6" x14ac:dyDescent="0.2">
      <c r="A2645">
        <f>[1]!hospitalinfo[[#This Row],[Facility ID]]</f>
        <v>260052</v>
      </c>
      <c r="B2645" t="str">
        <f>[1]!hospitalinfo[[#This Row],[State]]</f>
        <v>MO</v>
      </c>
      <c r="C2645" t="str">
        <f>[1]!hospitalinfo[[#This Row],[Hospital Type]]</f>
        <v>Acute Care Hospitals</v>
      </c>
      <c r="D2645" t="str">
        <f>[1]!hospitalinfo[[#This Row],[Hospital Ownership]]</f>
        <v>Voluntary non-profit - Private</v>
      </c>
      <c r="E2645" cm="1">
        <f t="array" ref="E2645">_xlfn.IFNA(_xlfn.XLOOKUP(1,([1]!hcahps[Facility ID] = clean[[#This Row],[Facility ID]]) * ([1]!hcahps[HCAHPS Measure ID] = "H_HSP_RATING_LINEAR_SCORE"), [1]!hcahps[HCAHPS Linear Mean Value]), "No Match")</f>
        <v>87</v>
      </c>
      <c r="F2645" cm="1">
        <f t="array" ref="F2645">_xlfn.IFNA(_xlfn.XLOOKUP(1,([1]!readmissions[Facility ID] = clean[[#This Row],[Facility ID]]) * ([1]!readmissions[Measure ID] = "Hybrid_HWR"), [1]!readmissions[Score]), "No Match")</f>
        <v>14.8</v>
      </c>
    </row>
    <row r="2646" spans="1:6" x14ac:dyDescent="0.2">
      <c r="A2646">
        <f>[1]!hospitalinfo[[#This Row],[Facility ID]]</f>
        <v>260057</v>
      </c>
      <c r="B2646" t="str">
        <f>[1]!hospitalinfo[[#This Row],[State]]</f>
        <v>MO</v>
      </c>
      <c r="C2646" t="str">
        <f>[1]!hospitalinfo[[#This Row],[Hospital Type]]</f>
        <v>Acute Care Hospitals</v>
      </c>
      <c r="D2646" t="str">
        <f>[1]!hospitalinfo[[#This Row],[Hospital Ownership]]</f>
        <v>Voluntary non-profit - Private</v>
      </c>
      <c r="E2646" cm="1">
        <f t="array" ref="E2646">_xlfn.IFNA(_xlfn.XLOOKUP(1,([1]!hcahps[Facility ID] = clean[[#This Row],[Facility ID]]) * ([1]!hcahps[HCAHPS Measure ID] = "H_HSP_RATING_LINEAR_SCORE"), [1]!hcahps[HCAHPS Linear Mean Value]), "No Match")</f>
        <v>87</v>
      </c>
      <c r="F2646" cm="1">
        <f t="array" ref="F2646">_xlfn.IFNA(_xlfn.XLOOKUP(1,([1]!readmissions[Facility ID] = clean[[#This Row],[Facility ID]]) * ([1]!readmissions[Measure ID] = "Hybrid_HWR"), [1]!readmissions[Score]), "No Match")</f>
        <v>14</v>
      </c>
    </row>
    <row r="2647" spans="1:6" x14ac:dyDescent="0.2">
      <c r="A2647">
        <f>[1]!hospitalinfo[[#This Row],[Facility ID]]</f>
        <v>260059</v>
      </c>
      <c r="B2647" t="str">
        <f>[1]!hospitalinfo[[#This Row],[State]]</f>
        <v>MO</v>
      </c>
      <c r="C2647" t="str">
        <f>[1]!hospitalinfo[[#This Row],[Hospital Type]]</f>
        <v>Acute Care Hospitals</v>
      </c>
      <c r="D2647" t="str">
        <f>[1]!hospitalinfo[[#This Row],[Hospital Ownership]]</f>
        <v>Voluntary non-profit - Church</v>
      </c>
      <c r="E2647" cm="1">
        <f t="array" ref="E2647">_xlfn.IFNA(_xlfn.XLOOKUP(1,([1]!hcahps[Facility ID] = clean[[#This Row],[Facility ID]]) * ([1]!hcahps[HCAHPS Measure ID] = "H_HSP_RATING_LINEAR_SCORE"), [1]!hcahps[HCAHPS Linear Mean Value]), "No Match")</f>
        <v>88</v>
      </c>
      <c r="F2647" cm="1">
        <f t="array" ref="F2647">_xlfn.IFNA(_xlfn.XLOOKUP(1,([1]!readmissions[Facility ID] = clean[[#This Row],[Facility ID]]) * ([1]!readmissions[Measure ID] = "Hybrid_HWR"), [1]!readmissions[Score]), "No Match")</f>
        <v>14.7</v>
      </c>
    </row>
    <row r="2648" spans="1:6" x14ac:dyDescent="0.2">
      <c r="A2648">
        <f>[1]!hospitalinfo[[#This Row],[Facility ID]]</f>
        <v>260061</v>
      </c>
      <c r="B2648" t="str">
        <f>[1]!hospitalinfo[[#This Row],[State]]</f>
        <v>MO</v>
      </c>
      <c r="C2648" t="str">
        <f>[1]!hospitalinfo[[#This Row],[Hospital Type]]</f>
        <v>Acute Care Hospitals</v>
      </c>
      <c r="D2648" t="str">
        <f>[1]!hospitalinfo[[#This Row],[Hospital Ownership]]</f>
        <v>Government - Local</v>
      </c>
      <c r="E2648" t="str" cm="1">
        <f t="array" ref="E2648">_xlfn.IFNA(_xlfn.XLOOKUP(1,([1]!hcahps[Facility ID] = clean[[#This Row],[Facility ID]]) * ([1]!hcahps[HCAHPS Measure ID] = "H_HSP_RATING_LINEAR_SCORE"), [1]!hcahps[HCAHPS Linear Mean Value]), "No Match")</f>
        <v>Not Available</v>
      </c>
      <c r="F2648" cm="1">
        <f t="array" ref="F2648">_xlfn.IFNA(_xlfn.XLOOKUP(1,([1]!readmissions[Facility ID] = clean[[#This Row],[Facility ID]]) * ([1]!readmissions[Measure ID] = "Hybrid_HWR"), [1]!readmissions[Score]), "No Match")</f>
        <v>14.7</v>
      </c>
    </row>
    <row r="2649" spans="1:6" x14ac:dyDescent="0.2">
      <c r="A2649">
        <f>[1]!hospitalinfo[[#This Row],[Facility ID]]</f>
        <v>260062</v>
      </c>
      <c r="B2649" t="str">
        <f>[1]!hospitalinfo[[#This Row],[State]]</f>
        <v>MO</v>
      </c>
      <c r="C2649" t="str">
        <f>[1]!hospitalinfo[[#This Row],[Hospital Type]]</f>
        <v>Acute Care Hospitals</v>
      </c>
      <c r="D2649" t="str">
        <f>[1]!hospitalinfo[[#This Row],[Hospital Ownership]]</f>
        <v>Voluntary non-profit - Private</v>
      </c>
      <c r="E2649" cm="1">
        <f t="array" ref="E2649">_xlfn.IFNA(_xlfn.XLOOKUP(1,([1]!hcahps[Facility ID] = clean[[#This Row],[Facility ID]]) * ([1]!hcahps[HCAHPS Measure ID] = "H_HSP_RATING_LINEAR_SCORE"), [1]!hcahps[HCAHPS Linear Mean Value]), "No Match")</f>
        <v>89</v>
      </c>
      <c r="F2649" cm="1">
        <f t="array" ref="F2649">_xlfn.IFNA(_xlfn.XLOOKUP(1,([1]!readmissions[Facility ID] = clean[[#This Row],[Facility ID]]) * ([1]!readmissions[Measure ID] = "Hybrid_HWR"), [1]!readmissions[Score]), "No Match")</f>
        <v>13.7</v>
      </c>
    </row>
    <row r="2650" spans="1:6" x14ac:dyDescent="0.2">
      <c r="A2650">
        <f>[1]!hospitalinfo[[#This Row],[Facility ID]]</f>
        <v>260065</v>
      </c>
      <c r="B2650" t="str">
        <f>[1]!hospitalinfo[[#This Row],[State]]</f>
        <v>MO</v>
      </c>
      <c r="C2650" t="str">
        <f>[1]!hospitalinfo[[#This Row],[Hospital Type]]</f>
        <v>Acute Care Hospitals</v>
      </c>
      <c r="D2650" t="str">
        <f>[1]!hospitalinfo[[#This Row],[Hospital Ownership]]</f>
        <v>Voluntary non-profit - Private</v>
      </c>
      <c r="E2650" cm="1">
        <f t="array" ref="E2650">_xlfn.IFNA(_xlfn.XLOOKUP(1,([1]!hcahps[Facility ID] = clean[[#This Row],[Facility ID]]) * ([1]!hcahps[HCAHPS Measure ID] = "H_HSP_RATING_LINEAR_SCORE"), [1]!hcahps[HCAHPS Linear Mean Value]), "No Match")</f>
        <v>87</v>
      </c>
      <c r="F2650" cm="1">
        <f t="array" ref="F2650">_xlfn.IFNA(_xlfn.XLOOKUP(1,([1]!readmissions[Facility ID] = clean[[#This Row],[Facility ID]]) * ([1]!readmissions[Measure ID] = "Hybrid_HWR"), [1]!readmissions[Score]), "No Match")</f>
        <v>14.3</v>
      </c>
    </row>
    <row r="2651" spans="1:6" x14ac:dyDescent="0.2">
      <c r="A2651">
        <f>[1]!hospitalinfo[[#This Row],[Facility ID]]</f>
        <v>260068</v>
      </c>
      <c r="B2651" t="str">
        <f>[1]!hospitalinfo[[#This Row],[State]]</f>
        <v>MO</v>
      </c>
      <c r="C2651" t="str">
        <f>[1]!hospitalinfo[[#This Row],[Hospital Type]]</f>
        <v>Acute Care Hospitals</v>
      </c>
      <c r="D2651" t="str">
        <f>[1]!hospitalinfo[[#This Row],[Hospital Ownership]]</f>
        <v>Voluntary non-profit - Other</v>
      </c>
      <c r="E2651" cm="1">
        <f t="array" ref="E2651">_xlfn.IFNA(_xlfn.XLOOKUP(1,([1]!hcahps[Facility ID] = clean[[#This Row],[Facility ID]]) * ([1]!hcahps[HCAHPS Measure ID] = "H_HSP_RATING_LINEAR_SCORE"), [1]!hcahps[HCAHPS Linear Mean Value]), "No Match")</f>
        <v>89</v>
      </c>
      <c r="F2651" cm="1">
        <f t="array" ref="F2651">_xlfn.IFNA(_xlfn.XLOOKUP(1,([1]!readmissions[Facility ID] = clean[[#This Row],[Facility ID]]) * ([1]!readmissions[Measure ID] = "Hybrid_HWR"), [1]!readmissions[Score]), "No Match")</f>
        <v>13.6</v>
      </c>
    </row>
    <row r="2652" spans="1:6" x14ac:dyDescent="0.2">
      <c r="A2652">
        <f>[1]!hospitalinfo[[#This Row],[Facility ID]]</f>
        <v>260070</v>
      </c>
      <c r="B2652" t="str">
        <f>[1]!hospitalinfo[[#This Row],[State]]</f>
        <v>MO</v>
      </c>
      <c r="C2652" t="str">
        <f>[1]!hospitalinfo[[#This Row],[Hospital Type]]</f>
        <v>Acute Care Hospitals</v>
      </c>
      <c r="D2652" t="str">
        <f>[1]!hospitalinfo[[#This Row],[Hospital Ownership]]</f>
        <v>Voluntary non-profit - Other</v>
      </c>
      <c r="E2652" t="str" cm="1">
        <f t="array" ref="E2652">_xlfn.IFNA(_xlfn.XLOOKUP(1,([1]!hcahps[Facility ID] = clean[[#This Row],[Facility ID]]) * ([1]!hcahps[HCAHPS Measure ID] = "H_HSP_RATING_LINEAR_SCORE"), [1]!hcahps[HCAHPS Linear Mean Value]), "No Match")</f>
        <v>Not Available</v>
      </c>
      <c r="F2652" cm="1">
        <f t="array" ref="F2652">_xlfn.IFNA(_xlfn.XLOOKUP(1,([1]!readmissions[Facility ID] = clean[[#This Row],[Facility ID]]) * ([1]!readmissions[Measure ID] = "Hybrid_HWR"), [1]!readmissions[Score]), "No Match")</f>
        <v>15.5</v>
      </c>
    </row>
    <row r="2653" spans="1:6" x14ac:dyDescent="0.2">
      <c r="A2653">
        <f>[1]!hospitalinfo[[#This Row],[Facility ID]]</f>
        <v>260074</v>
      </c>
      <c r="B2653" t="str">
        <f>[1]!hospitalinfo[[#This Row],[State]]</f>
        <v>MO</v>
      </c>
      <c r="C2653" t="str">
        <f>[1]!hospitalinfo[[#This Row],[Hospital Type]]</f>
        <v>Acute Care Hospitals</v>
      </c>
      <c r="D2653" t="str">
        <f>[1]!hospitalinfo[[#This Row],[Hospital Ownership]]</f>
        <v>Proprietary</v>
      </c>
      <c r="E2653" cm="1">
        <f t="array" ref="E2653">_xlfn.IFNA(_xlfn.XLOOKUP(1,([1]!hcahps[Facility ID] = clean[[#This Row],[Facility ID]]) * ([1]!hcahps[HCAHPS Measure ID] = "H_HSP_RATING_LINEAR_SCORE"), [1]!hcahps[HCAHPS Linear Mean Value]), "No Match")</f>
        <v>87</v>
      </c>
      <c r="F2653" cm="1">
        <f t="array" ref="F2653">_xlfn.IFNA(_xlfn.XLOOKUP(1,([1]!readmissions[Facility ID] = clean[[#This Row],[Facility ID]]) * ([1]!readmissions[Measure ID] = "Hybrid_HWR"), [1]!readmissions[Score]), "No Match")</f>
        <v>15.2</v>
      </c>
    </row>
    <row r="2654" spans="1:6" x14ac:dyDescent="0.2">
      <c r="A2654">
        <f>[1]!hospitalinfo[[#This Row],[Facility ID]]</f>
        <v>260077</v>
      </c>
      <c r="B2654" t="str">
        <f>[1]!hospitalinfo[[#This Row],[State]]</f>
        <v>MO</v>
      </c>
      <c r="C2654" t="str">
        <f>[1]!hospitalinfo[[#This Row],[Hospital Type]]</f>
        <v>Acute Care Hospitals</v>
      </c>
      <c r="D2654" t="str">
        <f>[1]!hospitalinfo[[#This Row],[Hospital Ownership]]</f>
        <v>Voluntary non-profit - Private</v>
      </c>
      <c r="E2654" cm="1">
        <f t="array" ref="E2654">_xlfn.IFNA(_xlfn.XLOOKUP(1,([1]!hcahps[Facility ID] = clean[[#This Row],[Facility ID]]) * ([1]!hcahps[HCAHPS Measure ID] = "H_HSP_RATING_LINEAR_SCORE"), [1]!hcahps[HCAHPS Linear Mean Value]), "No Match")</f>
        <v>85</v>
      </c>
      <c r="F2654" cm="1">
        <f t="array" ref="F2654">_xlfn.IFNA(_xlfn.XLOOKUP(1,([1]!readmissions[Facility ID] = clean[[#This Row],[Facility ID]]) * ([1]!readmissions[Measure ID] = "Hybrid_HWR"), [1]!readmissions[Score]), "No Match")</f>
        <v>15.8</v>
      </c>
    </row>
    <row r="2655" spans="1:6" x14ac:dyDescent="0.2">
      <c r="A2655">
        <f>[1]!hospitalinfo[[#This Row],[Facility ID]]</f>
        <v>260078</v>
      </c>
      <c r="B2655" t="str">
        <f>[1]!hospitalinfo[[#This Row],[State]]</f>
        <v>MO</v>
      </c>
      <c r="C2655" t="str">
        <f>[1]!hospitalinfo[[#This Row],[Hospital Type]]</f>
        <v>Acute Care Hospitals</v>
      </c>
      <c r="D2655" t="str">
        <f>[1]!hospitalinfo[[#This Row],[Hospital Ownership]]</f>
        <v>Voluntary non-profit - Private</v>
      </c>
      <c r="E2655" cm="1">
        <f t="array" ref="E2655">_xlfn.IFNA(_xlfn.XLOOKUP(1,([1]!hcahps[Facility ID] = clean[[#This Row],[Facility ID]]) * ([1]!hcahps[HCAHPS Measure ID] = "H_HSP_RATING_LINEAR_SCORE"), [1]!hcahps[HCAHPS Linear Mean Value]), "No Match")</f>
        <v>86</v>
      </c>
      <c r="F2655" cm="1">
        <f t="array" ref="F2655">_xlfn.IFNA(_xlfn.XLOOKUP(1,([1]!readmissions[Facility ID] = clean[[#This Row],[Facility ID]]) * ([1]!readmissions[Measure ID] = "Hybrid_HWR"), [1]!readmissions[Score]), "No Match")</f>
        <v>14.9</v>
      </c>
    </row>
    <row r="2656" spans="1:6" x14ac:dyDescent="0.2">
      <c r="A2656">
        <f>[1]!hospitalinfo[[#This Row],[Facility ID]]</f>
        <v>260081</v>
      </c>
      <c r="B2656" t="str">
        <f>[1]!hospitalinfo[[#This Row],[State]]</f>
        <v>MO</v>
      </c>
      <c r="C2656" t="str">
        <f>[1]!hospitalinfo[[#This Row],[Hospital Type]]</f>
        <v>Acute Care Hospitals</v>
      </c>
      <c r="D2656" t="str">
        <f>[1]!hospitalinfo[[#This Row],[Hospital Ownership]]</f>
        <v>Voluntary non-profit - Private</v>
      </c>
      <c r="E2656" cm="1">
        <f t="array" ref="E2656">_xlfn.IFNA(_xlfn.XLOOKUP(1,([1]!hcahps[Facility ID] = clean[[#This Row],[Facility ID]]) * ([1]!hcahps[HCAHPS Measure ID] = "H_HSP_RATING_LINEAR_SCORE"), [1]!hcahps[HCAHPS Linear Mean Value]), "No Match")</f>
        <v>90</v>
      </c>
      <c r="F2656" cm="1">
        <f t="array" ref="F2656">_xlfn.IFNA(_xlfn.XLOOKUP(1,([1]!readmissions[Facility ID] = clean[[#This Row],[Facility ID]]) * ([1]!readmissions[Measure ID] = "Hybrid_HWR"), [1]!readmissions[Score]), "No Match")</f>
        <v>14.7</v>
      </c>
    </row>
    <row r="2657" spans="1:6" x14ac:dyDescent="0.2">
      <c r="A2657">
        <f>[1]!hospitalinfo[[#This Row],[Facility ID]]</f>
        <v>260085</v>
      </c>
      <c r="B2657" t="str">
        <f>[1]!hospitalinfo[[#This Row],[State]]</f>
        <v>MO</v>
      </c>
      <c r="C2657" t="str">
        <f>[1]!hospitalinfo[[#This Row],[Hospital Type]]</f>
        <v>Acute Care Hospitals</v>
      </c>
      <c r="D2657" t="str">
        <f>[1]!hospitalinfo[[#This Row],[Hospital Ownership]]</f>
        <v>Proprietary</v>
      </c>
      <c r="E2657" cm="1">
        <f t="array" ref="E2657">_xlfn.IFNA(_xlfn.XLOOKUP(1,([1]!hcahps[Facility ID] = clean[[#This Row],[Facility ID]]) * ([1]!hcahps[HCAHPS Measure ID] = "H_HSP_RATING_LINEAR_SCORE"), [1]!hcahps[HCAHPS Linear Mean Value]), "No Match")</f>
        <v>85</v>
      </c>
      <c r="F2657" cm="1">
        <f t="array" ref="F2657">_xlfn.IFNA(_xlfn.XLOOKUP(1,([1]!readmissions[Facility ID] = clean[[#This Row],[Facility ID]]) * ([1]!readmissions[Measure ID] = "Hybrid_HWR"), [1]!readmissions[Score]), "No Match")</f>
        <v>14.9</v>
      </c>
    </row>
    <row r="2658" spans="1:6" x14ac:dyDescent="0.2">
      <c r="A2658">
        <f>[1]!hospitalinfo[[#This Row],[Facility ID]]</f>
        <v>260091</v>
      </c>
      <c r="B2658" t="str">
        <f>[1]!hospitalinfo[[#This Row],[State]]</f>
        <v>MO</v>
      </c>
      <c r="C2658" t="str">
        <f>[1]!hospitalinfo[[#This Row],[Hospital Type]]</f>
        <v>Acute Care Hospitals</v>
      </c>
      <c r="D2658" t="str">
        <f>[1]!hospitalinfo[[#This Row],[Hospital Ownership]]</f>
        <v>Voluntary non-profit - Private</v>
      </c>
      <c r="E2658" cm="1">
        <f t="array" ref="E2658">_xlfn.IFNA(_xlfn.XLOOKUP(1,([1]!hcahps[Facility ID] = clean[[#This Row],[Facility ID]]) * ([1]!hcahps[HCAHPS Measure ID] = "H_HSP_RATING_LINEAR_SCORE"), [1]!hcahps[HCAHPS Linear Mean Value]), "No Match")</f>
        <v>84</v>
      </c>
      <c r="F2658" cm="1">
        <f t="array" ref="F2658">_xlfn.IFNA(_xlfn.XLOOKUP(1,([1]!readmissions[Facility ID] = clean[[#This Row],[Facility ID]]) * ([1]!readmissions[Measure ID] = "Hybrid_HWR"), [1]!readmissions[Score]), "No Match")</f>
        <v>16.3</v>
      </c>
    </row>
    <row r="2659" spans="1:6" x14ac:dyDescent="0.2">
      <c r="A2659">
        <f>[1]!hospitalinfo[[#This Row],[Facility ID]]</f>
        <v>260094</v>
      </c>
      <c r="B2659" t="str">
        <f>[1]!hospitalinfo[[#This Row],[State]]</f>
        <v>MO</v>
      </c>
      <c r="C2659" t="str">
        <f>[1]!hospitalinfo[[#This Row],[Hospital Type]]</f>
        <v>Acute Care Hospitals</v>
      </c>
      <c r="D2659" t="str">
        <f>[1]!hospitalinfo[[#This Row],[Hospital Ownership]]</f>
        <v>Voluntary non-profit - Private</v>
      </c>
      <c r="E2659" cm="1">
        <f t="array" ref="E2659">_xlfn.IFNA(_xlfn.XLOOKUP(1,([1]!hcahps[Facility ID] = clean[[#This Row],[Facility ID]]) * ([1]!hcahps[HCAHPS Measure ID] = "H_HSP_RATING_LINEAR_SCORE"), [1]!hcahps[HCAHPS Linear Mean Value]), "No Match")</f>
        <v>87</v>
      </c>
      <c r="F2659" cm="1">
        <f t="array" ref="F2659">_xlfn.IFNA(_xlfn.XLOOKUP(1,([1]!readmissions[Facility ID] = clean[[#This Row],[Facility ID]]) * ([1]!readmissions[Measure ID] = "Hybrid_HWR"), [1]!readmissions[Score]), "No Match")</f>
        <v>13.7</v>
      </c>
    </row>
    <row r="2660" spans="1:6" x14ac:dyDescent="0.2">
      <c r="A2660">
        <f>[1]!hospitalinfo[[#This Row],[Facility ID]]</f>
        <v>260095</v>
      </c>
      <c r="B2660" t="str">
        <f>[1]!hospitalinfo[[#This Row],[State]]</f>
        <v>MO</v>
      </c>
      <c r="C2660" t="str">
        <f>[1]!hospitalinfo[[#This Row],[Hospital Type]]</f>
        <v>Acute Care Hospitals</v>
      </c>
      <c r="D2660" t="str">
        <f>[1]!hospitalinfo[[#This Row],[Hospital Ownership]]</f>
        <v>Proprietary</v>
      </c>
      <c r="E2660" cm="1">
        <f t="array" ref="E2660">_xlfn.IFNA(_xlfn.XLOOKUP(1,([1]!hcahps[Facility ID] = clean[[#This Row],[Facility ID]]) * ([1]!hcahps[HCAHPS Measure ID] = "H_HSP_RATING_LINEAR_SCORE"), [1]!hcahps[HCAHPS Linear Mean Value]), "No Match")</f>
        <v>84</v>
      </c>
      <c r="F2660" cm="1">
        <f t="array" ref="F2660">_xlfn.IFNA(_xlfn.XLOOKUP(1,([1]!readmissions[Facility ID] = clean[[#This Row],[Facility ID]]) * ([1]!readmissions[Measure ID] = "Hybrid_HWR"), [1]!readmissions[Score]), "No Match")</f>
        <v>15.3</v>
      </c>
    </row>
    <row r="2661" spans="1:6" x14ac:dyDescent="0.2">
      <c r="A2661">
        <f>[1]!hospitalinfo[[#This Row],[Facility ID]]</f>
        <v>260096</v>
      </c>
      <c r="B2661" t="str">
        <f>[1]!hospitalinfo[[#This Row],[State]]</f>
        <v>MO</v>
      </c>
      <c r="C2661" t="str">
        <f>[1]!hospitalinfo[[#This Row],[Hospital Type]]</f>
        <v>Acute Care Hospitals</v>
      </c>
      <c r="D2661" t="str">
        <f>[1]!hospitalinfo[[#This Row],[Hospital Ownership]]</f>
        <v>Government - Local</v>
      </c>
      <c r="E2661" cm="1">
        <f t="array" ref="E2661">_xlfn.IFNA(_xlfn.XLOOKUP(1,([1]!hcahps[Facility ID] = clean[[#This Row],[Facility ID]]) * ([1]!hcahps[HCAHPS Measure ID] = "H_HSP_RATING_LINEAR_SCORE"), [1]!hcahps[HCAHPS Linear Mean Value]), "No Match")</f>
        <v>90</v>
      </c>
      <c r="F2661" cm="1">
        <f t="array" ref="F2661">_xlfn.IFNA(_xlfn.XLOOKUP(1,([1]!readmissions[Facility ID] = clean[[#This Row],[Facility ID]]) * ([1]!readmissions[Measure ID] = "Hybrid_HWR"), [1]!readmissions[Score]), "No Match")</f>
        <v>15.4</v>
      </c>
    </row>
    <row r="2662" spans="1:6" x14ac:dyDescent="0.2">
      <c r="A2662">
        <f>[1]!hospitalinfo[[#This Row],[Facility ID]]</f>
        <v>260097</v>
      </c>
      <c r="B2662" t="str">
        <f>[1]!hospitalinfo[[#This Row],[State]]</f>
        <v>MO</v>
      </c>
      <c r="C2662" t="str">
        <f>[1]!hospitalinfo[[#This Row],[Hospital Type]]</f>
        <v>Acute Care Hospitals</v>
      </c>
      <c r="D2662" t="str">
        <f>[1]!hospitalinfo[[#This Row],[Hospital Ownership]]</f>
        <v>Government - Local</v>
      </c>
      <c r="E2662" cm="1">
        <f t="array" ref="E2662">_xlfn.IFNA(_xlfn.XLOOKUP(1,([1]!hcahps[Facility ID] = clean[[#This Row],[Facility ID]]) * ([1]!hcahps[HCAHPS Measure ID] = "H_HSP_RATING_LINEAR_SCORE"), [1]!hcahps[HCAHPS Linear Mean Value]), "No Match")</f>
        <v>88</v>
      </c>
      <c r="F2662" cm="1">
        <f t="array" ref="F2662">_xlfn.IFNA(_xlfn.XLOOKUP(1,([1]!readmissions[Facility ID] = clean[[#This Row],[Facility ID]]) * ([1]!readmissions[Measure ID] = "Hybrid_HWR"), [1]!readmissions[Score]), "No Match")</f>
        <v>14.6</v>
      </c>
    </row>
    <row r="2663" spans="1:6" x14ac:dyDescent="0.2">
      <c r="A2663">
        <f>[1]!hospitalinfo[[#This Row],[Facility ID]]</f>
        <v>260102</v>
      </c>
      <c r="B2663" t="str">
        <f>[1]!hospitalinfo[[#This Row],[State]]</f>
        <v>MO</v>
      </c>
      <c r="C2663" t="str">
        <f>[1]!hospitalinfo[[#This Row],[Hospital Type]]</f>
        <v>Acute Care Hospitals</v>
      </c>
      <c r="D2663" t="str">
        <f>[1]!hospitalinfo[[#This Row],[Hospital Ownership]]</f>
        <v>Voluntary non-profit - Private</v>
      </c>
      <c r="E2663" cm="1">
        <f t="array" ref="E2663">_xlfn.IFNA(_xlfn.XLOOKUP(1,([1]!hcahps[Facility ID] = clean[[#This Row],[Facility ID]]) * ([1]!hcahps[HCAHPS Measure ID] = "H_HSP_RATING_LINEAR_SCORE"), [1]!hcahps[HCAHPS Linear Mean Value]), "No Match")</f>
        <v>86</v>
      </c>
      <c r="F2663" cm="1">
        <f t="array" ref="F2663">_xlfn.IFNA(_xlfn.XLOOKUP(1,([1]!readmissions[Facility ID] = clean[[#This Row],[Facility ID]]) * ([1]!readmissions[Measure ID] = "Hybrid_HWR"), [1]!readmissions[Score]), "No Match")</f>
        <v>14.4</v>
      </c>
    </row>
    <row r="2664" spans="1:6" x14ac:dyDescent="0.2">
      <c r="A2664">
        <f>[1]!hospitalinfo[[#This Row],[Facility ID]]</f>
        <v>260104</v>
      </c>
      <c r="B2664" t="str">
        <f>[1]!hospitalinfo[[#This Row],[State]]</f>
        <v>MO</v>
      </c>
      <c r="C2664" t="str">
        <f>[1]!hospitalinfo[[#This Row],[Hospital Type]]</f>
        <v>Acute Care Hospitals</v>
      </c>
      <c r="D2664" t="str">
        <f>[1]!hospitalinfo[[#This Row],[Hospital Ownership]]</f>
        <v>Voluntary non-profit - Church</v>
      </c>
      <c r="E2664" cm="1">
        <f t="array" ref="E2664">_xlfn.IFNA(_xlfn.XLOOKUP(1,([1]!hcahps[Facility ID] = clean[[#This Row],[Facility ID]]) * ([1]!hcahps[HCAHPS Measure ID] = "H_HSP_RATING_LINEAR_SCORE"), [1]!hcahps[HCAHPS Linear Mean Value]), "No Match")</f>
        <v>82</v>
      </c>
      <c r="F2664" cm="1">
        <f t="array" ref="F2664">_xlfn.IFNA(_xlfn.XLOOKUP(1,([1]!readmissions[Facility ID] = clean[[#This Row],[Facility ID]]) * ([1]!readmissions[Measure ID] = "Hybrid_HWR"), [1]!readmissions[Score]), "No Match")</f>
        <v>15.1</v>
      </c>
    </row>
    <row r="2665" spans="1:6" x14ac:dyDescent="0.2">
      <c r="A2665">
        <f>[1]!hospitalinfo[[#This Row],[Facility ID]]</f>
        <v>260105</v>
      </c>
      <c r="B2665" t="str">
        <f>[1]!hospitalinfo[[#This Row],[State]]</f>
        <v>MO</v>
      </c>
      <c r="C2665" t="str">
        <f>[1]!hospitalinfo[[#This Row],[Hospital Type]]</f>
        <v>Acute Care Hospitals</v>
      </c>
      <c r="D2665" t="str">
        <f>[1]!hospitalinfo[[#This Row],[Hospital Ownership]]</f>
        <v>Voluntary non-profit - Church</v>
      </c>
      <c r="E2665" cm="1">
        <f t="array" ref="E2665">_xlfn.IFNA(_xlfn.XLOOKUP(1,([1]!hcahps[Facility ID] = clean[[#This Row],[Facility ID]]) * ([1]!hcahps[HCAHPS Measure ID] = "H_HSP_RATING_LINEAR_SCORE"), [1]!hcahps[HCAHPS Linear Mean Value]), "No Match")</f>
        <v>83</v>
      </c>
      <c r="F2665" cm="1">
        <f t="array" ref="F2665">_xlfn.IFNA(_xlfn.XLOOKUP(1,([1]!readmissions[Facility ID] = clean[[#This Row],[Facility ID]]) * ([1]!readmissions[Measure ID] = "Hybrid_HWR"), [1]!readmissions[Score]), "No Match")</f>
        <v>15.6</v>
      </c>
    </row>
    <row r="2666" spans="1:6" x14ac:dyDescent="0.2">
      <c r="A2666">
        <f>[1]!hospitalinfo[[#This Row],[Facility ID]]</f>
        <v>260108</v>
      </c>
      <c r="B2666" t="str">
        <f>[1]!hospitalinfo[[#This Row],[State]]</f>
        <v>MO</v>
      </c>
      <c r="C2666" t="str">
        <f>[1]!hospitalinfo[[#This Row],[Hospital Type]]</f>
        <v>Acute Care Hospitals</v>
      </c>
      <c r="D2666" t="str">
        <f>[1]!hospitalinfo[[#This Row],[Hospital Ownership]]</f>
        <v>Voluntary non-profit - Private</v>
      </c>
      <c r="E2666" cm="1">
        <f t="array" ref="E2666">_xlfn.IFNA(_xlfn.XLOOKUP(1,([1]!hcahps[Facility ID] = clean[[#This Row],[Facility ID]]) * ([1]!hcahps[HCAHPS Measure ID] = "H_HSP_RATING_LINEAR_SCORE"), [1]!hcahps[HCAHPS Linear Mean Value]), "No Match")</f>
        <v>91</v>
      </c>
      <c r="F2666" cm="1">
        <f t="array" ref="F2666">_xlfn.IFNA(_xlfn.XLOOKUP(1,([1]!readmissions[Facility ID] = clean[[#This Row],[Facility ID]]) * ([1]!readmissions[Measure ID] = "Hybrid_HWR"), [1]!readmissions[Score]), "No Match")</f>
        <v>14.8</v>
      </c>
    </row>
    <row r="2667" spans="1:6" x14ac:dyDescent="0.2">
      <c r="A2667">
        <f>[1]!hospitalinfo[[#This Row],[Facility ID]]</f>
        <v>260110</v>
      </c>
      <c r="B2667" t="str">
        <f>[1]!hospitalinfo[[#This Row],[State]]</f>
        <v>MO</v>
      </c>
      <c r="C2667" t="str">
        <f>[1]!hospitalinfo[[#This Row],[Hospital Type]]</f>
        <v>Acute Care Hospitals</v>
      </c>
      <c r="D2667" t="str">
        <f>[1]!hospitalinfo[[#This Row],[Hospital Ownership]]</f>
        <v>Voluntary non-profit - Private</v>
      </c>
      <c r="E2667" cm="1">
        <f t="array" ref="E2667">_xlfn.IFNA(_xlfn.XLOOKUP(1,([1]!hcahps[Facility ID] = clean[[#This Row],[Facility ID]]) * ([1]!hcahps[HCAHPS Measure ID] = "H_HSP_RATING_LINEAR_SCORE"), [1]!hcahps[HCAHPS Linear Mean Value]), "No Match")</f>
        <v>85</v>
      </c>
      <c r="F2667" cm="1">
        <f t="array" ref="F2667">_xlfn.IFNA(_xlfn.XLOOKUP(1,([1]!readmissions[Facility ID] = clean[[#This Row],[Facility ID]]) * ([1]!readmissions[Measure ID] = "Hybrid_HWR"), [1]!readmissions[Score]), "No Match")</f>
        <v>15.1</v>
      </c>
    </row>
    <row r="2668" spans="1:6" x14ac:dyDescent="0.2">
      <c r="A2668">
        <f>[1]!hospitalinfo[[#This Row],[Facility ID]]</f>
        <v>260113</v>
      </c>
      <c r="B2668" t="str">
        <f>[1]!hospitalinfo[[#This Row],[State]]</f>
        <v>MO</v>
      </c>
      <c r="C2668" t="str">
        <f>[1]!hospitalinfo[[#This Row],[Hospital Type]]</f>
        <v>Acute Care Hospitals</v>
      </c>
      <c r="D2668" t="str">
        <f>[1]!hospitalinfo[[#This Row],[Hospital Ownership]]</f>
        <v>Voluntary non-profit - Private</v>
      </c>
      <c r="E2668" cm="1">
        <f t="array" ref="E2668">_xlfn.IFNA(_xlfn.XLOOKUP(1,([1]!hcahps[Facility ID] = clean[[#This Row],[Facility ID]]) * ([1]!hcahps[HCAHPS Measure ID] = "H_HSP_RATING_LINEAR_SCORE"), [1]!hcahps[HCAHPS Linear Mean Value]), "No Match")</f>
        <v>85</v>
      </c>
      <c r="F2668" cm="1">
        <f t="array" ref="F2668">_xlfn.IFNA(_xlfn.XLOOKUP(1,([1]!readmissions[Facility ID] = clean[[#This Row],[Facility ID]]) * ([1]!readmissions[Measure ID] = "Hybrid_HWR"), [1]!readmissions[Score]), "No Match")</f>
        <v>15.3</v>
      </c>
    </row>
    <row r="2669" spans="1:6" x14ac:dyDescent="0.2">
      <c r="A2669">
        <f>[1]!hospitalinfo[[#This Row],[Facility ID]]</f>
        <v>260119</v>
      </c>
      <c r="B2669" t="str">
        <f>[1]!hospitalinfo[[#This Row],[State]]</f>
        <v>MO</v>
      </c>
      <c r="C2669" t="str">
        <f>[1]!hospitalinfo[[#This Row],[Hospital Type]]</f>
        <v>Acute Care Hospitals</v>
      </c>
      <c r="D2669" t="str">
        <f>[1]!hospitalinfo[[#This Row],[Hospital Ownership]]</f>
        <v>Proprietary</v>
      </c>
      <c r="E2669" cm="1">
        <f t="array" ref="E2669">_xlfn.IFNA(_xlfn.XLOOKUP(1,([1]!hcahps[Facility ID] = clean[[#This Row],[Facility ID]]) * ([1]!hcahps[HCAHPS Measure ID] = "H_HSP_RATING_LINEAR_SCORE"), [1]!hcahps[HCAHPS Linear Mean Value]), "No Match")</f>
        <v>84</v>
      </c>
      <c r="F2669" cm="1">
        <f t="array" ref="F2669">_xlfn.IFNA(_xlfn.XLOOKUP(1,([1]!readmissions[Facility ID] = clean[[#This Row],[Facility ID]]) * ([1]!readmissions[Measure ID] = "Hybrid_HWR"), [1]!readmissions[Score]), "No Match")</f>
        <v>15.8</v>
      </c>
    </row>
    <row r="2670" spans="1:6" x14ac:dyDescent="0.2">
      <c r="A2670">
        <f>[1]!hospitalinfo[[#This Row],[Facility ID]]</f>
        <v>260137</v>
      </c>
      <c r="B2670" t="str">
        <f>[1]!hospitalinfo[[#This Row],[State]]</f>
        <v>MO</v>
      </c>
      <c r="C2670" t="str">
        <f>[1]!hospitalinfo[[#This Row],[Hospital Type]]</f>
        <v>Acute Care Hospitals</v>
      </c>
      <c r="D2670" t="str">
        <f>[1]!hospitalinfo[[#This Row],[Hospital Ownership]]</f>
        <v>Voluntary non-profit - Private</v>
      </c>
      <c r="E2670" cm="1">
        <f t="array" ref="E2670">_xlfn.IFNA(_xlfn.XLOOKUP(1,([1]!hcahps[Facility ID] = clean[[#This Row],[Facility ID]]) * ([1]!hcahps[HCAHPS Measure ID] = "H_HSP_RATING_LINEAR_SCORE"), [1]!hcahps[HCAHPS Linear Mean Value]), "No Match")</f>
        <v>87</v>
      </c>
      <c r="F2670" cm="1">
        <f t="array" ref="F2670">_xlfn.IFNA(_xlfn.XLOOKUP(1,([1]!readmissions[Facility ID] = clean[[#This Row],[Facility ID]]) * ([1]!readmissions[Measure ID] = "Hybrid_HWR"), [1]!readmissions[Score]), "No Match")</f>
        <v>14.5</v>
      </c>
    </row>
    <row r="2671" spans="1:6" x14ac:dyDescent="0.2">
      <c r="A2671">
        <f>[1]!hospitalinfo[[#This Row],[Facility ID]]</f>
        <v>260138</v>
      </c>
      <c r="B2671" t="str">
        <f>[1]!hospitalinfo[[#This Row],[State]]</f>
        <v>MO</v>
      </c>
      <c r="C2671" t="str">
        <f>[1]!hospitalinfo[[#This Row],[Hospital Type]]</f>
        <v>Acute Care Hospitals</v>
      </c>
      <c r="D2671" t="str">
        <f>[1]!hospitalinfo[[#This Row],[Hospital Ownership]]</f>
        <v>Voluntary non-profit - Private</v>
      </c>
      <c r="E2671" cm="1">
        <f t="array" ref="E2671">_xlfn.IFNA(_xlfn.XLOOKUP(1,([1]!hcahps[Facility ID] = clean[[#This Row],[Facility ID]]) * ([1]!hcahps[HCAHPS Measure ID] = "H_HSP_RATING_LINEAR_SCORE"), [1]!hcahps[HCAHPS Linear Mean Value]), "No Match")</f>
        <v>91</v>
      </c>
      <c r="F2671" cm="1">
        <f t="array" ref="F2671">_xlfn.IFNA(_xlfn.XLOOKUP(1,([1]!readmissions[Facility ID] = clean[[#This Row],[Facility ID]]) * ([1]!readmissions[Measure ID] = "Hybrid_HWR"), [1]!readmissions[Score]), "No Match")</f>
        <v>14.5</v>
      </c>
    </row>
    <row r="2672" spans="1:6" x14ac:dyDescent="0.2">
      <c r="A2672">
        <f>[1]!hospitalinfo[[#This Row],[Facility ID]]</f>
        <v>260141</v>
      </c>
      <c r="B2672" t="str">
        <f>[1]!hospitalinfo[[#This Row],[State]]</f>
        <v>MO</v>
      </c>
      <c r="C2672" t="str">
        <f>[1]!hospitalinfo[[#This Row],[Hospital Type]]</f>
        <v>Acute Care Hospitals</v>
      </c>
      <c r="D2672" t="str">
        <f>[1]!hospitalinfo[[#This Row],[Hospital Ownership]]</f>
        <v>Government - State</v>
      </c>
      <c r="E2672" cm="1">
        <f t="array" ref="E2672">_xlfn.IFNA(_xlfn.XLOOKUP(1,([1]!hcahps[Facility ID] = clean[[#This Row],[Facility ID]]) * ([1]!hcahps[HCAHPS Measure ID] = "H_HSP_RATING_LINEAR_SCORE"), [1]!hcahps[HCAHPS Linear Mean Value]), "No Match")</f>
        <v>87</v>
      </c>
      <c r="F2672" cm="1">
        <f t="array" ref="F2672">_xlfn.IFNA(_xlfn.XLOOKUP(1,([1]!readmissions[Facility ID] = clean[[#This Row],[Facility ID]]) * ([1]!readmissions[Measure ID] = "Hybrid_HWR"), [1]!readmissions[Score]), "No Match")</f>
        <v>15.2</v>
      </c>
    </row>
    <row r="2673" spans="1:6" x14ac:dyDescent="0.2">
      <c r="A2673">
        <f>[1]!hospitalinfo[[#This Row],[Facility ID]]</f>
        <v>260142</v>
      </c>
      <c r="B2673" t="str">
        <f>[1]!hospitalinfo[[#This Row],[State]]</f>
        <v>MO</v>
      </c>
      <c r="C2673" t="str">
        <f>[1]!hospitalinfo[[#This Row],[Hospital Type]]</f>
        <v>Acute Care Hospitals</v>
      </c>
      <c r="D2673" t="str">
        <f>[1]!hospitalinfo[[#This Row],[Hospital Ownership]]</f>
        <v>Voluntary non-profit - Private</v>
      </c>
      <c r="E2673" cm="1">
        <f t="array" ref="E2673">_xlfn.IFNA(_xlfn.XLOOKUP(1,([1]!hcahps[Facility ID] = clean[[#This Row],[Facility ID]]) * ([1]!hcahps[HCAHPS Measure ID] = "H_HSP_RATING_LINEAR_SCORE"), [1]!hcahps[HCAHPS Linear Mean Value]), "No Match")</f>
        <v>89</v>
      </c>
      <c r="F2673" cm="1">
        <f t="array" ref="F2673">_xlfn.IFNA(_xlfn.XLOOKUP(1,([1]!readmissions[Facility ID] = clean[[#This Row],[Facility ID]]) * ([1]!readmissions[Measure ID] = "Hybrid_HWR"), [1]!readmissions[Score]), "No Match")</f>
        <v>15.6</v>
      </c>
    </row>
    <row r="2674" spans="1:6" x14ac:dyDescent="0.2">
      <c r="A2674">
        <f>[1]!hospitalinfo[[#This Row],[Facility ID]]</f>
        <v>260160</v>
      </c>
      <c r="B2674" t="str">
        <f>[1]!hospitalinfo[[#This Row],[State]]</f>
        <v>MO</v>
      </c>
      <c r="C2674" t="str">
        <f>[1]!hospitalinfo[[#This Row],[Hospital Type]]</f>
        <v>Acute Care Hospitals</v>
      </c>
      <c r="D2674" t="str">
        <f>[1]!hospitalinfo[[#This Row],[Hospital Ownership]]</f>
        <v>Voluntary non-profit - Private</v>
      </c>
      <c r="E2674" t="str" cm="1">
        <f t="array" ref="E2674">_xlfn.IFNA(_xlfn.XLOOKUP(1,([1]!hcahps[Facility ID] = clean[[#This Row],[Facility ID]]) * ([1]!hcahps[HCAHPS Measure ID] = "H_HSP_RATING_LINEAR_SCORE"), [1]!hcahps[HCAHPS Linear Mean Value]), "No Match")</f>
        <v>Not Available</v>
      </c>
      <c r="F2674" cm="1">
        <f t="array" ref="F2674">_xlfn.IFNA(_xlfn.XLOOKUP(1,([1]!readmissions[Facility ID] = clean[[#This Row],[Facility ID]]) * ([1]!readmissions[Measure ID] = "Hybrid_HWR"), [1]!readmissions[Score]), "No Match")</f>
        <v>14.7</v>
      </c>
    </row>
    <row r="2675" spans="1:6" x14ac:dyDescent="0.2">
      <c r="A2675">
        <f>[1]!hospitalinfo[[#This Row],[Facility ID]]</f>
        <v>260162</v>
      </c>
      <c r="B2675" t="str">
        <f>[1]!hospitalinfo[[#This Row],[State]]</f>
        <v>MO</v>
      </c>
      <c r="C2675" t="str">
        <f>[1]!hospitalinfo[[#This Row],[Hospital Type]]</f>
        <v>Acute Care Hospitals</v>
      </c>
      <c r="D2675" t="str">
        <f>[1]!hospitalinfo[[#This Row],[Hospital Ownership]]</f>
        <v>Voluntary non-profit - Private</v>
      </c>
      <c r="E2675" cm="1">
        <f t="array" ref="E2675">_xlfn.IFNA(_xlfn.XLOOKUP(1,([1]!hcahps[Facility ID] = clean[[#This Row],[Facility ID]]) * ([1]!hcahps[HCAHPS Measure ID] = "H_HSP_RATING_LINEAR_SCORE"), [1]!hcahps[HCAHPS Linear Mean Value]), "No Match")</f>
        <v>94</v>
      </c>
      <c r="F2675" cm="1">
        <f t="array" ref="F2675">_xlfn.IFNA(_xlfn.XLOOKUP(1,([1]!readmissions[Facility ID] = clean[[#This Row],[Facility ID]]) * ([1]!readmissions[Measure ID] = "Hybrid_HWR"), [1]!readmissions[Score]), "No Match")</f>
        <v>15.4</v>
      </c>
    </row>
    <row r="2676" spans="1:6" x14ac:dyDescent="0.2">
      <c r="A2676">
        <f>[1]!hospitalinfo[[#This Row],[Facility ID]]</f>
        <v>260163</v>
      </c>
      <c r="B2676" t="str">
        <f>[1]!hospitalinfo[[#This Row],[State]]</f>
        <v>MO</v>
      </c>
      <c r="C2676" t="str">
        <f>[1]!hospitalinfo[[#This Row],[Hospital Type]]</f>
        <v>Acute Care Hospitals</v>
      </c>
      <c r="D2676" t="str">
        <f>[1]!hospitalinfo[[#This Row],[Hospital Ownership]]</f>
        <v>Voluntary non-profit - Private</v>
      </c>
      <c r="E2676" cm="1">
        <f t="array" ref="E2676">_xlfn.IFNA(_xlfn.XLOOKUP(1,([1]!hcahps[Facility ID] = clean[[#This Row],[Facility ID]]) * ([1]!hcahps[HCAHPS Measure ID] = "H_HSP_RATING_LINEAR_SCORE"), [1]!hcahps[HCAHPS Linear Mean Value]), "No Match")</f>
        <v>91</v>
      </c>
      <c r="F2676" cm="1">
        <f t="array" ref="F2676">_xlfn.IFNA(_xlfn.XLOOKUP(1,([1]!readmissions[Facility ID] = clean[[#This Row],[Facility ID]]) * ([1]!readmissions[Measure ID] = "Hybrid_HWR"), [1]!readmissions[Score]), "No Match")</f>
        <v>15.3</v>
      </c>
    </row>
    <row r="2677" spans="1:6" x14ac:dyDescent="0.2">
      <c r="A2677">
        <f>[1]!hospitalinfo[[#This Row],[Facility ID]]</f>
        <v>260175</v>
      </c>
      <c r="B2677" t="str">
        <f>[1]!hospitalinfo[[#This Row],[State]]</f>
        <v>MO</v>
      </c>
      <c r="C2677" t="str">
        <f>[1]!hospitalinfo[[#This Row],[Hospital Type]]</f>
        <v>Acute Care Hospitals</v>
      </c>
      <c r="D2677" t="str">
        <f>[1]!hospitalinfo[[#This Row],[Hospital Ownership]]</f>
        <v>Government - Hospital District or Authority</v>
      </c>
      <c r="E2677" cm="1">
        <f t="array" ref="E2677">_xlfn.IFNA(_xlfn.XLOOKUP(1,([1]!hcahps[Facility ID] = clean[[#This Row],[Facility ID]]) * ([1]!hcahps[HCAHPS Measure ID] = "H_HSP_RATING_LINEAR_SCORE"), [1]!hcahps[HCAHPS Linear Mean Value]), "No Match")</f>
        <v>88</v>
      </c>
      <c r="F2677" cm="1">
        <f t="array" ref="F2677">_xlfn.IFNA(_xlfn.XLOOKUP(1,([1]!readmissions[Facility ID] = clean[[#This Row],[Facility ID]]) * ([1]!readmissions[Measure ID] = "Hybrid_HWR"), [1]!readmissions[Score]), "No Match")</f>
        <v>14.6</v>
      </c>
    </row>
    <row r="2678" spans="1:6" x14ac:dyDescent="0.2">
      <c r="A2678">
        <f>[1]!hospitalinfo[[#This Row],[Facility ID]]</f>
        <v>260176</v>
      </c>
      <c r="B2678" t="str">
        <f>[1]!hospitalinfo[[#This Row],[State]]</f>
        <v>MO</v>
      </c>
      <c r="C2678" t="str">
        <f>[1]!hospitalinfo[[#This Row],[Hospital Type]]</f>
        <v>Acute Care Hospitals</v>
      </c>
      <c r="D2678" t="str">
        <f>[1]!hospitalinfo[[#This Row],[Hospital Ownership]]</f>
        <v>Proprietary</v>
      </c>
      <c r="E2678" cm="1">
        <f t="array" ref="E2678">_xlfn.IFNA(_xlfn.XLOOKUP(1,([1]!hcahps[Facility ID] = clean[[#This Row],[Facility ID]]) * ([1]!hcahps[HCAHPS Measure ID] = "H_HSP_RATING_LINEAR_SCORE"), [1]!hcahps[HCAHPS Linear Mean Value]), "No Match")</f>
        <v>90</v>
      </c>
      <c r="F2678" cm="1">
        <f t="array" ref="F2678">_xlfn.IFNA(_xlfn.XLOOKUP(1,([1]!readmissions[Facility ID] = clean[[#This Row],[Facility ID]]) * ([1]!readmissions[Measure ID] = "Hybrid_HWR"), [1]!readmissions[Score]), "No Match")</f>
        <v>15.6</v>
      </c>
    </row>
    <row r="2679" spans="1:6" x14ac:dyDescent="0.2">
      <c r="A2679">
        <f>[1]!hospitalinfo[[#This Row],[Facility ID]]</f>
        <v>260177</v>
      </c>
      <c r="B2679" t="str">
        <f>[1]!hospitalinfo[[#This Row],[State]]</f>
        <v>MO</v>
      </c>
      <c r="C2679" t="str">
        <f>[1]!hospitalinfo[[#This Row],[Hospital Type]]</f>
        <v>Acute Care Hospitals</v>
      </c>
      <c r="D2679" t="str">
        <f>[1]!hospitalinfo[[#This Row],[Hospital Ownership]]</f>
        <v>Voluntary non-profit - Private</v>
      </c>
      <c r="E2679" cm="1">
        <f t="array" ref="E2679">_xlfn.IFNA(_xlfn.XLOOKUP(1,([1]!hcahps[Facility ID] = clean[[#This Row],[Facility ID]]) * ([1]!hcahps[HCAHPS Measure ID] = "H_HSP_RATING_LINEAR_SCORE"), [1]!hcahps[HCAHPS Linear Mean Value]), "No Match")</f>
        <v>88</v>
      </c>
      <c r="F2679" cm="1">
        <f t="array" ref="F2679">_xlfn.IFNA(_xlfn.XLOOKUP(1,([1]!readmissions[Facility ID] = clean[[#This Row],[Facility ID]]) * ([1]!readmissions[Measure ID] = "Hybrid_HWR"), [1]!readmissions[Score]), "No Match")</f>
        <v>16.8</v>
      </c>
    </row>
    <row r="2680" spans="1:6" x14ac:dyDescent="0.2">
      <c r="A2680">
        <f>[1]!hospitalinfo[[#This Row],[Facility ID]]</f>
        <v>260179</v>
      </c>
      <c r="B2680" t="str">
        <f>[1]!hospitalinfo[[#This Row],[State]]</f>
        <v>MO</v>
      </c>
      <c r="C2680" t="str">
        <f>[1]!hospitalinfo[[#This Row],[Hospital Type]]</f>
        <v>Acute Care Hospitals</v>
      </c>
      <c r="D2680" t="str">
        <f>[1]!hospitalinfo[[#This Row],[Hospital Ownership]]</f>
        <v>Voluntary non-profit - Private</v>
      </c>
      <c r="E2680" cm="1">
        <f t="array" ref="E2680">_xlfn.IFNA(_xlfn.XLOOKUP(1,([1]!hcahps[Facility ID] = clean[[#This Row],[Facility ID]]) * ([1]!hcahps[HCAHPS Measure ID] = "H_HSP_RATING_LINEAR_SCORE"), [1]!hcahps[HCAHPS Linear Mean Value]), "No Match")</f>
        <v>91</v>
      </c>
      <c r="F2680" cm="1">
        <f t="array" ref="F2680">_xlfn.IFNA(_xlfn.XLOOKUP(1,([1]!readmissions[Facility ID] = clean[[#This Row],[Facility ID]]) * ([1]!readmissions[Measure ID] = "Hybrid_HWR"), [1]!readmissions[Score]), "No Match")</f>
        <v>14.7</v>
      </c>
    </row>
    <row r="2681" spans="1:6" x14ac:dyDescent="0.2">
      <c r="A2681">
        <f>[1]!hospitalinfo[[#This Row],[Facility ID]]</f>
        <v>260180</v>
      </c>
      <c r="B2681" t="str">
        <f>[1]!hospitalinfo[[#This Row],[State]]</f>
        <v>MO</v>
      </c>
      <c r="C2681" t="str">
        <f>[1]!hospitalinfo[[#This Row],[Hospital Type]]</f>
        <v>Acute Care Hospitals</v>
      </c>
      <c r="D2681" t="str">
        <f>[1]!hospitalinfo[[#This Row],[Hospital Ownership]]</f>
        <v>Voluntary non-profit - Private</v>
      </c>
      <c r="E2681" cm="1">
        <f t="array" ref="E2681">_xlfn.IFNA(_xlfn.XLOOKUP(1,([1]!hcahps[Facility ID] = clean[[#This Row],[Facility ID]]) * ([1]!hcahps[HCAHPS Measure ID] = "H_HSP_RATING_LINEAR_SCORE"), [1]!hcahps[HCAHPS Linear Mean Value]), "No Match")</f>
        <v>88</v>
      </c>
      <c r="F2681" cm="1">
        <f t="array" ref="F2681">_xlfn.IFNA(_xlfn.XLOOKUP(1,([1]!readmissions[Facility ID] = clean[[#This Row],[Facility ID]]) * ([1]!readmissions[Measure ID] = "Hybrid_HWR"), [1]!readmissions[Score]), "No Match")</f>
        <v>14.7</v>
      </c>
    </row>
    <row r="2682" spans="1:6" x14ac:dyDescent="0.2">
      <c r="A2682">
        <f>[1]!hospitalinfo[[#This Row],[Facility ID]]</f>
        <v>260183</v>
      </c>
      <c r="B2682" t="str">
        <f>[1]!hospitalinfo[[#This Row],[State]]</f>
        <v>MO</v>
      </c>
      <c r="C2682" t="str">
        <f>[1]!hospitalinfo[[#This Row],[Hospital Type]]</f>
        <v>Acute Care Hospitals</v>
      </c>
      <c r="D2682" t="str">
        <f>[1]!hospitalinfo[[#This Row],[Hospital Ownership]]</f>
        <v>Voluntary non-profit - Private</v>
      </c>
      <c r="E2682" cm="1">
        <f t="array" ref="E2682">_xlfn.IFNA(_xlfn.XLOOKUP(1,([1]!hcahps[Facility ID] = clean[[#This Row],[Facility ID]]) * ([1]!hcahps[HCAHPS Measure ID] = "H_HSP_RATING_LINEAR_SCORE"), [1]!hcahps[HCAHPS Linear Mean Value]), "No Match")</f>
        <v>90</v>
      </c>
      <c r="F2682" cm="1">
        <f t="array" ref="F2682">_xlfn.IFNA(_xlfn.XLOOKUP(1,([1]!readmissions[Facility ID] = clean[[#This Row],[Facility ID]]) * ([1]!readmissions[Measure ID] = "Hybrid_HWR"), [1]!readmissions[Score]), "No Match")</f>
        <v>13.9</v>
      </c>
    </row>
    <row r="2683" spans="1:6" x14ac:dyDescent="0.2">
      <c r="A2683">
        <f>[1]!hospitalinfo[[#This Row],[Facility ID]]</f>
        <v>260186</v>
      </c>
      <c r="B2683" t="str">
        <f>[1]!hospitalinfo[[#This Row],[State]]</f>
        <v>MO</v>
      </c>
      <c r="C2683" t="str">
        <f>[1]!hospitalinfo[[#This Row],[Hospital Type]]</f>
        <v>Acute Care Hospitals</v>
      </c>
      <c r="D2683" t="str">
        <f>[1]!hospitalinfo[[#This Row],[Hospital Ownership]]</f>
        <v>Voluntary non-profit - Other</v>
      </c>
      <c r="E2683" cm="1">
        <f t="array" ref="E2683">_xlfn.IFNA(_xlfn.XLOOKUP(1,([1]!hcahps[Facility ID] = clean[[#This Row],[Facility ID]]) * ([1]!hcahps[HCAHPS Measure ID] = "H_HSP_RATING_LINEAR_SCORE"), [1]!hcahps[HCAHPS Linear Mean Value]), "No Match")</f>
        <v>89</v>
      </c>
      <c r="F2683" cm="1">
        <f t="array" ref="F2683">_xlfn.IFNA(_xlfn.XLOOKUP(1,([1]!readmissions[Facility ID] = clean[[#This Row],[Facility ID]]) * ([1]!readmissions[Measure ID] = "Hybrid_HWR"), [1]!readmissions[Score]), "No Match")</f>
        <v>15.9</v>
      </c>
    </row>
    <row r="2684" spans="1:6" x14ac:dyDescent="0.2">
      <c r="A2684">
        <f>[1]!hospitalinfo[[#This Row],[Facility ID]]</f>
        <v>260190</v>
      </c>
      <c r="B2684" t="str">
        <f>[1]!hospitalinfo[[#This Row],[State]]</f>
        <v>MO</v>
      </c>
      <c r="C2684" t="str">
        <f>[1]!hospitalinfo[[#This Row],[Hospital Type]]</f>
        <v>Acute Care Hospitals</v>
      </c>
      <c r="D2684" t="str">
        <f>[1]!hospitalinfo[[#This Row],[Hospital Ownership]]</f>
        <v>Proprietary</v>
      </c>
      <c r="E2684" cm="1">
        <f t="array" ref="E2684">_xlfn.IFNA(_xlfn.XLOOKUP(1,([1]!hcahps[Facility ID] = clean[[#This Row],[Facility ID]]) * ([1]!hcahps[HCAHPS Measure ID] = "H_HSP_RATING_LINEAR_SCORE"), [1]!hcahps[HCAHPS Linear Mean Value]), "No Match")</f>
        <v>89</v>
      </c>
      <c r="F2684" cm="1">
        <f t="array" ref="F2684">_xlfn.IFNA(_xlfn.XLOOKUP(1,([1]!readmissions[Facility ID] = clean[[#This Row],[Facility ID]]) * ([1]!readmissions[Measure ID] = "Hybrid_HWR"), [1]!readmissions[Score]), "No Match")</f>
        <v>16.2</v>
      </c>
    </row>
    <row r="2685" spans="1:6" x14ac:dyDescent="0.2">
      <c r="A2685">
        <f>[1]!hospitalinfo[[#This Row],[Facility ID]]</f>
        <v>260191</v>
      </c>
      <c r="B2685" t="str">
        <f>[1]!hospitalinfo[[#This Row],[State]]</f>
        <v>MO</v>
      </c>
      <c r="C2685" t="str">
        <f>[1]!hospitalinfo[[#This Row],[Hospital Type]]</f>
        <v>Acute Care Hospitals</v>
      </c>
      <c r="D2685" t="str">
        <f>[1]!hospitalinfo[[#This Row],[Hospital Ownership]]</f>
        <v>Voluntary non-profit - Other</v>
      </c>
      <c r="E2685" cm="1">
        <f t="array" ref="E2685">_xlfn.IFNA(_xlfn.XLOOKUP(1,([1]!hcahps[Facility ID] = clean[[#This Row],[Facility ID]]) * ([1]!hcahps[HCAHPS Measure ID] = "H_HSP_RATING_LINEAR_SCORE"), [1]!hcahps[HCAHPS Linear Mean Value]), "No Match")</f>
        <v>87</v>
      </c>
      <c r="F2685" cm="1">
        <f t="array" ref="F2685">_xlfn.IFNA(_xlfn.XLOOKUP(1,([1]!readmissions[Facility ID] = clean[[#This Row],[Facility ID]]) * ([1]!readmissions[Measure ID] = "Hybrid_HWR"), [1]!readmissions[Score]), "No Match")</f>
        <v>15.3</v>
      </c>
    </row>
    <row r="2686" spans="1:6" x14ac:dyDescent="0.2">
      <c r="A2686">
        <f>[1]!hospitalinfo[[#This Row],[Facility ID]]</f>
        <v>260193</v>
      </c>
      <c r="B2686" t="str">
        <f>[1]!hospitalinfo[[#This Row],[State]]</f>
        <v>MO</v>
      </c>
      <c r="C2686" t="str">
        <f>[1]!hospitalinfo[[#This Row],[Hospital Type]]</f>
        <v>Acute Care Hospitals</v>
      </c>
      <c r="D2686" t="str">
        <f>[1]!hospitalinfo[[#This Row],[Hospital Ownership]]</f>
        <v>Proprietary</v>
      </c>
      <c r="E2686" cm="1">
        <f t="array" ref="E2686">_xlfn.IFNA(_xlfn.XLOOKUP(1,([1]!hcahps[Facility ID] = clean[[#This Row],[Facility ID]]) * ([1]!hcahps[HCAHPS Measure ID] = "H_HSP_RATING_LINEAR_SCORE"), [1]!hcahps[HCAHPS Linear Mean Value]), "No Match")</f>
        <v>85</v>
      </c>
      <c r="F2686" cm="1">
        <f t="array" ref="F2686">_xlfn.IFNA(_xlfn.XLOOKUP(1,([1]!readmissions[Facility ID] = clean[[#This Row],[Facility ID]]) * ([1]!readmissions[Measure ID] = "Hybrid_HWR"), [1]!readmissions[Score]), "No Match")</f>
        <v>17</v>
      </c>
    </row>
    <row r="2687" spans="1:6" x14ac:dyDescent="0.2">
      <c r="A2687">
        <f>[1]!hospitalinfo[[#This Row],[Facility ID]]</f>
        <v>260195</v>
      </c>
      <c r="B2687" t="str">
        <f>[1]!hospitalinfo[[#This Row],[State]]</f>
        <v>MO</v>
      </c>
      <c r="C2687" t="str">
        <f>[1]!hospitalinfo[[#This Row],[Hospital Type]]</f>
        <v>Acute Care Hospitals</v>
      </c>
      <c r="D2687" t="str">
        <f>[1]!hospitalinfo[[#This Row],[Hospital Ownership]]</f>
        <v>Government - Hospital District or Authority</v>
      </c>
      <c r="E2687" cm="1">
        <f t="array" ref="E2687">_xlfn.IFNA(_xlfn.XLOOKUP(1,([1]!hcahps[Facility ID] = clean[[#This Row],[Facility ID]]) * ([1]!hcahps[HCAHPS Measure ID] = "H_HSP_RATING_LINEAR_SCORE"), [1]!hcahps[HCAHPS Linear Mean Value]), "No Match")</f>
        <v>88</v>
      </c>
      <c r="F2687" cm="1">
        <f t="array" ref="F2687">_xlfn.IFNA(_xlfn.XLOOKUP(1,([1]!readmissions[Facility ID] = clean[[#This Row],[Facility ID]]) * ([1]!readmissions[Measure ID] = "Hybrid_HWR"), [1]!readmissions[Score]), "No Match")</f>
        <v>14.6</v>
      </c>
    </row>
    <row r="2688" spans="1:6" x14ac:dyDescent="0.2">
      <c r="A2688">
        <f>[1]!hospitalinfo[[#This Row],[Facility ID]]</f>
        <v>260200</v>
      </c>
      <c r="B2688" t="str">
        <f>[1]!hospitalinfo[[#This Row],[State]]</f>
        <v>MO</v>
      </c>
      <c r="C2688" t="str">
        <f>[1]!hospitalinfo[[#This Row],[Hospital Type]]</f>
        <v>Acute Care Hospitals</v>
      </c>
      <c r="D2688" t="str">
        <f>[1]!hospitalinfo[[#This Row],[Hospital Ownership]]</f>
        <v>Voluntary non-profit - Church</v>
      </c>
      <c r="E2688" cm="1">
        <f t="array" ref="E2688">_xlfn.IFNA(_xlfn.XLOOKUP(1,([1]!hcahps[Facility ID] = clean[[#This Row],[Facility ID]]) * ([1]!hcahps[HCAHPS Measure ID] = "H_HSP_RATING_LINEAR_SCORE"), [1]!hcahps[HCAHPS Linear Mean Value]), "No Match")</f>
        <v>86</v>
      </c>
      <c r="F2688" cm="1">
        <f t="array" ref="F2688">_xlfn.IFNA(_xlfn.XLOOKUP(1,([1]!readmissions[Facility ID] = clean[[#This Row],[Facility ID]]) * ([1]!readmissions[Measure ID] = "Hybrid_HWR"), [1]!readmissions[Score]), "No Match")</f>
        <v>14.3</v>
      </c>
    </row>
    <row r="2689" spans="1:6" x14ac:dyDescent="0.2">
      <c r="A2689">
        <f>[1]!hospitalinfo[[#This Row],[Facility ID]]</f>
        <v>260214</v>
      </c>
      <c r="B2689" t="str">
        <f>[1]!hospitalinfo[[#This Row],[State]]</f>
        <v>MO</v>
      </c>
      <c r="C2689" t="str">
        <f>[1]!hospitalinfo[[#This Row],[Hospital Type]]</f>
        <v>Acute Care Hospitals</v>
      </c>
      <c r="D2689" t="str">
        <f>[1]!hospitalinfo[[#This Row],[Hospital Ownership]]</f>
        <v>Voluntary non-profit - Private</v>
      </c>
      <c r="E2689" cm="1">
        <f t="array" ref="E2689">_xlfn.IFNA(_xlfn.XLOOKUP(1,([1]!hcahps[Facility ID] = clean[[#This Row],[Facility ID]]) * ([1]!hcahps[HCAHPS Measure ID] = "H_HSP_RATING_LINEAR_SCORE"), [1]!hcahps[HCAHPS Linear Mean Value]), "No Match")</f>
        <v>83</v>
      </c>
      <c r="F2689" cm="1">
        <f t="array" ref="F2689">_xlfn.IFNA(_xlfn.XLOOKUP(1,([1]!readmissions[Facility ID] = clean[[#This Row],[Facility ID]]) * ([1]!readmissions[Measure ID] = "Hybrid_HWR"), [1]!readmissions[Score]), "No Match")</f>
        <v>16.2</v>
      </c>
    </row>
    <row r="2690" spans="1:6" x14ac:dyDescent="0.2">
      <c r="A2690">
        <f>[1]!hospitalinfo[[#This Row],[Facility ID]]</f>
        <v>260216</v>
      </c>
      <c r="B2690" t="str">
        <f>[1]!hospitalinfo[[#This Row],[State]]</f>
        <v>MO</v>
      </c>
      <c r="C2690" t="str">
        <f>[1]!hospitalinfo[[#This Row],[Hospital Type]]</f>
        <v>Acute Care Hospitals</v>
      </c>
      <c r="D2690" t="str">
        <f>[1]!hospitalinfo[[#This Row],[Hospital Ownership]]</f>
        <v>Voluntary non-profit - Private</v>
      </c>
      <c r="E2690" cm="1">
        <f t="array" ref="E2690">_xlfn.IFNA(_xlfn.XLOOKUP(1,([1]!hcahps[Facility ID] = clean[[#This Row],[Facility ID]]) * ([1]!hcahps[HCAHPS Measure ID] = "H_HSP_RATING_LINEAR_SCORE"), [1]!hcahps[HCAHPS Linear Mean Value]), "No Match")</f>
        <v>90</v>
      </c>
      <c r="F2690" cm="1">
        <f t="array" ref="F2690">_xlfn.IFNA(_xlfn.XLOOKUP(1,([1]!readmissions[Facility ID] = clean[[#This Row],[Facility ID]]) * ([1]!readmissions[Measure ID] = "Hybrid_HWR"), [1]!readmissions[Score]), "No Match")</f>
        <v>14.3</v>
      </c>
    </row>
    <row r="2691" spans="1:6" x14ac:dyDescent="0.2">
      <c r="A2691">
        <f>[1]!hospitalinfo[[#This Row],[Facility ID]]</f>
        <v>260219</v>
      </c>
      <c r="B2691" t="str">
        <f>[1]!hospitalinfo[[#This Row],[State]]</f>
        <v>MO</v>
      </c>
      <c r="C2691" t="str">
        <f>[1]!hospitalinfo[[#This Row],[Hospital Type]]</f>
        <v>Acute Care Hospitals</v>
      </c>
      <c r="D2691" t="str">
        <f>[1]!hospitalinfo[[#This Row],[Hospital Ownership]]</f>
        <v>Voluntary non-profit - Private</v>
      </c>
      <c r="E2691" cm="1">
        <f t="array" ref="E2691">_xlfn.IFNA(_xlfn.XLOOKUP(1,([1]!hcahps[Facility ID] = clean[[#This Row],[Facility ID]]) * ([1]!hcahps[HCAHPS Measure ID] = "H_HSP_RATING_LINEAR_SCORE"), [1]!hcahps[HCAHPS Linear Mean Value]), "No Match")</f>
        <v>92</v>
      </c>
      <c r="F2691" cm="1">
        <f t="array" ref="F2691">_xlfn.IFNA(_xlfn.XLOOKUP(1,([1]!readmissions[Facility ID] = clean[[#This Row],[Facility ID]]) * ([1]!readmissions[Measure ID] = "Hybrid_HWR"), [1]!readmissions[Score]), "No Match")</f>
        <v>13.7</v>
      </c>
    </row>
    <row r="2692" spans="1:6" x14ac:dyDescent="0.2">
      <c r="A2692">
        <f>[1]!hospitalinfo[[#This Row],[Facility ID]]</f>
        <v>260779</v>
      </c>
      <c r="B2692" t="str">
        <f>[1]!hospitalinfo[[#This Row],[State]]</f>
        <v>MO</v>
      </c>
      <c r="C2692" t="str">
        <f>[1]!hospitalinfo[[#This Row],[Hospital Type]]</f>
        <v>Rural Emergency Hospital</v>
      </c>
      <c r="D2692" t="str">
        <f>[1]!hospitalinfo[[#This Row],[Hospital Ownership]]</f>
        <v>Voluntary non-profit - Private</v>
      </c>
      <c r="E2692" t="str" cm="1">
        <f t="array" ref="E2692">_xlfn.IFNA(_xlfn.XLOOKUP(1,([1]!hcahps[Facility ID] = clean[[#This Row],[Facility ID]]) * ([1]!hcahps[HCAHPS Measure ID] = "H_HSP_RATING_LINEAR_SCORE"), [1]!hcahps[HCAHPS Linear Mean Value]), "No Match")</f>
        <v>Not Available</v>
      </c>
      <c r="F2692" t="str" cm="1">
        <f t="array" ref="F2692">_xlfn.IFNA(_xlfn.XLOOKUP(1,([1]!readmissions[Facility ID] = clean[[#This Row],[Facility ID]]) * ([1]!readmissions[Measure ID] = "Hybrid_HWR"), [1]!readmissions[Score]), "No Match")</f>
        <v>Not Available</v>
      </c>
    </row>
    <row r="2693" spans="1:6" x14ac:dyDescent="0.2">
      <c r="A2693">
        <f>[1]!hospitalinfo[[#This Row],[Facility ID]]</f>
        <v>261301</v>
      </c>
      <c r="B2693" t="str">
        <f>[1]!hospitalinfo[[#This Row],[State]]</f>
        <v>MO</v>
      </c>
      <c r="C2693" t="str">
        <f>[1]!hospitalinfo[[#This Row],[Hospital Type]]</f>
        <v>Critical Access Hospitals</v>
      </c>
      <c r="D2693" t="str">
        <f>[1]!hospitalinfo[[#This Row],[Hospital Ownership]]</f>
        <v>Government - Hospital District or Authority</v>
      </c>
      <c r="E2693" t="str" cm="1">
        <f t="array" ref="E2693">_xlfn.IFNA(_xlfn.XLOOKUP(1,([1]!hcahps[Facility ID] = clean[[#This Row],[Facility ID]]) * ([1]!hcahps[HCAHPS Measure ID] = "H_HSP_RATING_LINEAR_SCORE"), [1]!hcahps[HCAHPS Linear Mean Value]), "No Match")</f>
        <v>Not Available</v>
      </c>
      <c r="F2693" t="str" cm="1">
        <f t="array" ref="F2693">_xlfn.IFNA(_xlfn.XLOOKUP(1,([1]!readmissions[Facility ID] = clean[[#This Row],[Facility ID]]) * ([1]!readmissions[Measure ID] = "Hybrid_HWR"), [1]!readmissions[Score]), "No Match")</f>
        <v>Not Available</v>
      </c>
    </row>
    <row r="2694" spans="1:6" x14ac:dyDescent="0.2">
      <c r="A2694">
        <f>[1]!hospitalinfo[[#This Row],[Facility ID]]</f>
        <v>261302</v>
      </c>
      <c r="B2694" t="str">
        <f>[1]!hospitalinfo[[#This Row],[State]]</f>
        <v>MO</v>
      </c>
      <c r="C2694" t="str">
        <f>[1]!hospitalinfo[[#This Row],[Hospital Type]]</f>
        <v>Critical Access Hospitals</v>
      </c>
      <c r="D2694" t="str">
        <f>[1]!hospitalinfo[[#This Row],[Hospital Ownership]]</f>
        <v>Voluntary non-profit - Other</v>
      </c>
      <c r="E2694" t="str" cm="1">
        <f t="array" ref="E2694">_xlfn.IFNA(_xlfn.XLOOKUP(1,([1]!hcahps[Facility ID] = clean[[#This Row],[Facility ID]]) * ([1]!hcahps[HCAHPS Measure ID] = "H_HSP_RATING_LINEAR_SCORE"), [1]!hcahps[HCAHPS Linear Mean Value]), "No Match")</f>
        <v>Not Available</v>
      </c>
      <c r="F2694" cm="1">
        <f t="array" ref="F2694">_xlfn.IFNA(_xlfn.XLOOKUP(1,([1]!readmissions[Facility ID] = clean[[#This Row],[Facility ID]]) * ([1]!readmissions[Measure ID] = "Hybrid_HWR"), [1]!readmissions[Score]), "No Match")</f>
        <v>14.4</v>
      </c>
    </row>
    <row r="2695" spans="1:6" x14ac:dyDescent="0.2">
      <c r="A2695">
        <f>[1]!hospitalinfo[[#This Row],[Facility ID]]</f>
        <v>261303</v>
      </c>
      <c r="B2695" t="str">
        <f>[1]!hospitalinfo[[#This Row],[State]]</f>
        <v>MO</v>
      </c>
      <c r="C2695" t="str">
        <f>[1]!hospitalinfo[[#This Row],[Hospital Type]]</f>
        <v>Critical Access Hospitals</v>
      </c>
      <c r="D2695" t="str">
        <f>[1]!hospitalinfo[[#This Row],[Hospital Ownership]]</f>
        <v>Voluntary non-profit - Private</v>
      </c>
      <c r="E2695" t="str" cm="1">
        <f t="array" ref="E2695">_xlfn.IFNA(_xlfn.XLOOKUP(1,([1]!hcahps[Facility ID] = clean[[#This Row],[Facility ID]]) * ([1]!hcahps[HCAHPS Measure ID] = "H_HSP_RATING_LINEAR_SCORE"), [1]!hcahps[HCAHPS Linear Mean Value]), "No Match")</f>
        <v>Not Available</v>
      </c>
      <c r="F2695" cm="1">
        <f t="array" ref="F2695">_xlfn.IFNA(_xlfn.XLOOKUP(1,([1]!readmissions[Facility ID] = clean[[#This Row],[Facility ID]]) * ([1]!readmissions[Measure ID] = "Hybrid_HWR"), [1]!readmissions[Score]), "No Match")</f>
        <v>14.9</v>
      </c>
    </row>
    <row r="2696" spans="1:6" x14ac:dyDescent="0.2">
      <c r="A2696">
        <f>[1]!hospitalinfo[[#This Row],[Facility ID]]</f>
        <v>261305</v>
      </c>
      <c r="B2696" t="str">
        <f>[1]!hospitalinfo[[#This Row],[State]]</f>
        <v>MO</v>
      </c>
      <c r="C2696" t="str">
        <f>[1]!hospitalinfo[[#This Row],[Hospital Type]]</f>
        <v>Critical Access Hospitals</v>
      </c>
      <c r="D2696" t="str">
        <f>[1]!hospitalinfo[[#This Row],[Hospital Ownership]]</f>
        <v>Government - Local</v>
      </c>
      <c r="E2696" t="str" cm="1">
        <f t="array" ref="E2696">_xlfn.IFNA(_xlfn.XLOOKUP(1,([1]!hcahps[Facility ID] = clean[[#This Row],[Facility ID]]) * ([1]!hcahps[HCAHPS Measure ID] = "H_HSP_RATING_LINEAR_SCORE"), [1]!hcahps[HCAHPS Linear Mean Value]), "No Match")</f>
        <v>Not Available</v>
      </c>
      <c r="F2696" cm="1">
        <f t="array" ref="F2696">_xlfn.IFNA(_xlfn.XLOOKUP(1,([1]!readmissions[Facility ID] = clean[[#This Row],[Facility ID]]) * ([1]!readmissions[Measure ID] = "Hybrid_HWR"), [1]!readmissions[Score]), "No Match")</f>
        <v>15.1</v>
      </c>
    </row>
    <row r="2697" spans="1:6" x14ac:dyDescent="0.2">
      <c r="A2697">
        <f>[1]!hospitalinfo[[#This Row],[Facility ID]]</f>
        <v>261306</v>
      </c>
      <c r="B2697" t="str">
        <f>[1]!hospitalinfo[[#This Row],[State]]</f>
        <v>MO</v>
      </c>
      <c r="C2697" t="str">
        <f>[1]!hospitalinfo[[#This Row],[Hospital Type]]</f>
        <v>Critical Access Hospitals</v>
      </c>
      <c r="D2697" t="str">
        <f>[1]!hospitalinfo[[#This Row],[Hospital Ownership]]</f>
        <v>Government - Local</v>
      </c>
      <c r="E2697" t="str" cm="1">
        <f t="array" ref="E2697">_xlfn.IFNA(_xlfn.XLOOKUP(1,([1]!hcahps[Facility ID] = clean[[#This Row],[Facility ID]]) * ([1]!hcahps[HCAHPS Measure ID] = "H_HSP_RATING_LINEAR_SCORE"), [1]!hcahps[HCAHPS Linear Mean Value]), "No Match")</f>
        <v>Not Available</v>
      </c>
      <c r="F2697" cm="1">
        <f t="array" ref="F2697">_xlfn.IFNA(_xlfn.XLOOKUP(1,([1]!readmissions[Facility ID] = clean[[#This Row],[Facility ID]]) * ([1]!readmissions[Measure ID] = "Hybrid_HWR"), [1]!readmissions[Score]), "No Match")</f>
        <v>14.8</v>
      </c>
    </row>
    <row r="2698" spans="1:6" x14ac:dyDescent="0.2">
      <c r="A2698">
        <f>[1]!hospitalinfo[[#This Row],[Facility ID]]</f>
        <v>261307</v>
      </c>
      <c r="B2698" t="str">
        <f>[1]!hospitalinfo[[#This Row],[State]]</f>
        <v>MO</v>
      </c>
      <c r="C2698" t="str">
        <f>[1]!hospitalinfo[[#This Row],[Hospital Type]]</f>
        <v>Critical Access Hospitals</v>
      </c>
      <c r="D2698" t="str">
        <f>[1]!hospitalinfo[[#This Row],[Hospital Ownership]]</f>
        <v>Voluntary non-profit - Private</v>
      </c>
      <c r="E2698" t="str" cm="1">
        <f t="array" ref="E2698">_xlfn.IFNA(_xlfn.XLOOKUP(1,([1]!hcahps[Facility ID] = clean[[#This Row],[Facility ID]]) * ([1]!hcahps[HCAHPS Measure ID] = "H_HSP_RATING_LINEAR_SCORE"), [1]!hcahps[HCAHPS Linear Mean Value]), "No Match")</f>
        <v>Not Available</v>
      </c>
      <c r="F2698" cm="1">
        <f t="array" ref="F2698">_xlfn.IFNA(_xlfn.XLOOKUP(1,([1]!readmissions[Facility ID] = clean[[#This Row],[Facility ID]]) * ([1]!readmissions[Measure ID] = "Hybrid_HWR"), [1]!readmissions[Score]), "No Match")</f>
        <v>14.7</v>
      </c>
    </row>
    <row r="2699" spans="1:6" x14ac:dyDescent="0.2">
      <c r="A2699">
        <f>[1]!hospitalinfo[[#This Row],[Facility ID]]</f>
        <v>261308</v>
      </c>
      <c r="B2699" t="str">
        <f>[1]!hospitalinfo[[#This Row],[State]]</f>
        <v>MO</v>
      </c>
      <c r="C2699" t="str">
        <f>[1]!hospitalinfo[[#This Row],[Hospital Type]]</f>
        <v>Critical Access Hospitals</v>
      </c>
      <c r="D2699" t="str">
        <f>[1]!hospitalinfo[[#This Row],[Hospital Ownership]]</f>
        <v>Government - Local</v>
      </c>
      <c r="E2699" t="str" cm="1">
        <f t="array" ref="E2699">_xlfn.IFNA(_xlfn.XLOOKUP(1,([1]!hcahps[Facility ID] = clean[[#This Row],[Facility ID]]) * ([1]!hcahps[HCAHPS Measure ID] = "H_HSP_RATING_LINEAR_SCORE"), [1]!hcahps[HCAHPS Linear Mean Value]), "No Match")</f>
        <v>Not Available</v>
      </c>
      <c r="F2699" cm="1">
        <f t="array" ref="F2699">_xlfn.IFNA(_xlfn.XLOOKUP(1,([1]!readmissions[Facility ID] = clean[[#This Row],[Facility ID]]) * ([1]!readmissions[Measure ID] = "Hybrid_HWR"), [1]!readmissions[Score]), "No Match")</f>
        <v>15.5</v>
      </c>
    </row>
    <row r="2700" spans="1:6" x14ac:dyDescent="0.2">
      <c r="A2700">
        <f>[1]!hospitalinfo[[#This Row],[Facility ID]]</f>
        <v>261309</v>
      </c>
      <c r="B2700" t="str">
        <f>[1]!hospitalinfo[[#This Row],[State]]</f>
        <v>MO</v>
      </c>
      <c r="C2700" t="str">
        <f>[1]!hospitalinfo[[#This Row],[Hospital Type]]</f>
        <v>Critical Access Hospitals</v>
      </c>
      <c r="D2700" t="str">
        <f>[1]!hospitalinfo[[#This Row],[Hospital Ownership]]</f>
        <v>Voluntary non-profit - Private</v>
      </c>
      <c r="E2700" t="str" cm="1">
        <f t="array" ref="E2700">_xlfn.IFNA(_xlfn.XLOOKUP(1,([1]!hcahps[Facility ID] = clean[[#This Row],[Facility ID]]) * ([1]!hcahps[HCAHPS Measure ID] = "H_HSP_RATING_LINEAR_SCORE"), [1]!hcahps[HCAHPS Linear Mean Value]), "No Match")</f>
        <v>Not Available</v>
      </c>
      <c r="F2700" cm="1">
        <f t="array" ref="F2700">_xlfn.IFNA(_xlfn.XLOOKUP(1,([1]!readmissions[Facility ID] = clean[[#This Row],[Facility ID]]) * ([1]!readmissions[Measure ID] = "Hybrid_HWR"), [1]!readmissions[Score]), "No Match")</f>
        <v>14.2</v>
      </c>
    </row>
    <row r="2701" spans="1:6" x14ac:dyDescent="0.2">
      <c r="A2701">
        <f>[1]!hospitalinfo[[#This Row],[Facility ID]]</f>
        <v>261310</v>
      </c>
      <c r="B2701" t="str">
        <f>[1]!hospitalinfo[[#This Row],[State]]</f>
        <v>MO</v>
      </c>
      <c r="C2701" t="str">
        <f>[1]!hospitalinfo[[#This Row],[Hospital Type]]</f>
        <v>Critical Access Hospitals</v>
      </c>
      <c r="D2701" t="str">
        <f>[1]!hospitalinfo[[#This Row],[Hospital Ownership]]</f>
        <v>Government - Hospital District or Authority</v>
      </c>
      <c r="E2701" t="str" cm="1">
        <f t="array" ref="E2701">_xlfn.IFNA(_xlfn.XLOOKUP(1,([1]!hcahps[Facility ID] = clean[[#This Row],[Facility ID]]) * ([1]!hcahps[HCAHPS Measure ID] = "H_HSP_RATING_LINEAR_SCORE"), [1]!hcahps[HCAHPS Linear Mean Value]), "No Match")</f>
        <v>Not Available</v>
      </c>
      <c r="F2701" cm="1">
        <f t="array" ref="F2701">_xlfn.IFNA(_xlfn.XLOOKUP(1,([1]!readmissions[Facility ID] = clean[[#This Row],[Facility ID]]) * ([1]!readmissions[Measure ID] = "Hybrid_HWR"), [1]!readmissions[Score]), "No Match")</f>
        <v>15.6</v>
      </c>
    </row>
    <row r="2702" spans="1:6" x14ac:dyDescent="0.2">
      <c r="A2702">
        <f>[1]!hospitalinfo[[#This Row],[Facility ID]]</f>
        <v>261311</v>
      </c>
      <c r="B2702" t="str">
        <f>[1]!hospitalinfo[[#This Row],[State]]</f>
        <v>MO</v>
      </c>
      <c r="C2702" t="str">
        <f>[1]!hospitalinfo[[#This Row],[Hospital Type]]</f>
        <v>Critical Access Hospitals</v>
      </c>
      <c r="D2702" t="str">
        <f>[1]!hospitalinfo[[#This Row],[Hospital Ownership]]</f>
        <v>Voluntary non-profit - Private</v>
      </c>
      <c r="E2702" cm="1">
        <f t="array" ref="E2702">_xlfn.IFNA(_xlfn.XLOOKUP(1,([1]!hcahps[Facility ID] = clean[[#This Row],[Facility ID]]) * ([1]!hcahps[HCAHPS Measure ID] = "H_HSP_RATING_LINEAR_SCORE"), [1]!hcahps[HCAHPS Linear Mean Value]), "No Match")</f>
        <v>88</v>
      </c>
      <c r="F2702" cm="1">
        <f t="array" ref="F2702">_xlfn.IFNA(_xlfn.XLOOKUP(1,([1]!readmissions[Facility ID] = clean[[#This Row],[Facility ID]]) * ([1]!readmissions[Measure ID] = "Hybrid_HWR"), [1]!readmissions[Score]), "No Match")</f>
        <v>15.2</v>
      </c>
    </row>
    <row r="2703" spans="1:6" x14ac:dyDescent="0.2">
      <c r="A2703">
        <f>[1]!hospitalinfo[[#This Row],[Facility ID]]</f>
        <v>261312</v>
      </c>
      <c r="B2703" t="str">
        <f>[1]!hospitalinfo[[#This Row],[State]]</f>
        <v>MO</v>
      </c>
      <c r="C2703" t="str">
        <f>[1]!hospitalinfo[[#This Row],[Hospital Type]]</f>
        <v>Critical Access Hospitals</v>
      </c>
      <c r="D2703" t="str">
        <f>[1]!hospitalinfo[[#This Row],[Hospital Ownership]]</f>
        <v>Government - Hospital District or Authority</v>
      </c>
      <c r="E2703" t="str" cm="1">
        <f t="array" ref="E2703">_xlfn.IFNA(_xlfn.XLOOKUP(1,([1]!hcahps[Facility ID] = clean[[#This Row],[Facility ID]]) * ([1]!hcahps[HCAHPS Measure ID] = "H_HSP_RATING_LINEAR_SCORE"), [1]!hcahps[HCAHPS Linear Mean Value]), "No Match")</f>
        <v>Not Available</v>
      </c>
      <c r="F2703" cm="1">
        <f t="array" ref="F2703">_xlfn.IFNA(_xlfn.XLOOKUP(1,([1]!readmissions[Facility ID] = clean[[#This Row],[Facility ID]]) * ([1]!readmissions[Measure ID] = "Hybrid_HWR"), [1]!readmissions[Score]), "No Match")</f>
        <v>15.5</v>
      </c>
    </row>
    <row r="2704" spans="1:6" x14ac:dyDescent="0.2">
      <c r="A2704">
        <f>[1]!hospitalinfo[[#This Row],[Facility ID]]</f>
        <v>261313</v>
      </c>
      <c r="B2704" t="str">
        <f>[1]!hospitalinfo[[#This Row],[State]]</f>
        <v>MO</v>
      </c>
      <c r="C2704" t="str">
        <f>[1]!hospitalinfo[[#This Row],[Hospital Type]]</f>
        <v>Critical Access Hospitals</v>
      </c>
      <c r="D2704" t="str">
        <f>[1]!hospitalinfo[[#This Row],[Hospital Ownership]]</f>
        <v>Government - Local</v>
      </c>
      <c r="E2704" t="str" cm="1">
        <f t="array" ref="E2704">_xlfn.IFNA(_xlfn.XLOOKUP(1,([1]!hcahps[Facility ID] = clean[[#This Row],[Facility ID]]) * ([1]!hcahps[HCAHPS Measure ID] = "H_HSP_RATING_LINEAR_SCORE"), [1]!hcahps[HCAHPS Linear Mean Value]), "No Match")</f>
        <v>Not Available</v>
      </c>
      <c r="F2704" cm="1">
        <f t="array" ref="F2704">_xlfn.IFNA(_xlfn.XLOOKUP(1,([1]!readmissions[Facility ID] = clean[[#This Row],[Facility ID]]) * ([1]!readmissions[Measure ID] = "Hybrid_HWR"), [1]!readmissions[Score]), "No Match")</f>
        <v>14.7</v>
      </c>
    </row>
    <row r="2705" spans="1:6" x14ac:dyDescent="0.2">
      <c r="A2705">
        <f>[1]!hospitalinfo[[#This Row],[Facility ID]]</f>
        <v>261314</v>
      </c>
      <c r="B2705" t="str">
        <f>[1]!hospitalinfo[[#This Row],[State]]</f>
        <v>MO</v>
      </c>
      <c r="C2705" t="str">
        <f>[1]!hospitalinfo[[#This Row],[Hospital Type]]</f>
        <v>Critical Access Hospitals</v>
      </c>
      <c r="D2705" t="str">
        <f>[1]!hospitalinfo[[#This Row],[Hospital Ownership]]</f>
        <v>Government - Hospital District or Authority</v>
      </c>
      <c r="E2705" t="str" cm="1">
        <f t="array" ref="E2705">_xlfn.IFNA(_xlfn.XLOOKUP(1,([1]!hcahps[Facility ID] = clean[[#This Row],[Facility ID]]) * ([1]!hcahps[HCAHPS Measure ID] = "H_HSP_RATING_LINEAR_SCORE"), [1]!hcahps[HCAHPS Linear Mean Value]), "No Match")</f>
        <v>Not Available</v>
      </c>
      <c r="F2705" cm="1">
        <f t="array" ref="F2705">_xlfn.IFNA(_xlfn.XLOOKUP(1,([1]!readmissions[Facility ID] = clean[[#This Row],[Facility ID]]) * ([1]!readmissions[Measure ID] = "Hybrid_HWR"), [1]!readmissions[Score]), "No Match")</f>
        <v>15.3</v>
      </c>
    </row>
    <row r="2706" spans="1:6" x14ac:dyDescent="0.2">
      <c r="A2706">
        <f>[1]!hospitalinfo[[#This Row],[Facility ID]]</f>
        <v>261316</v>
      </c>
      <c r="B2706" t="str">
        <f>[1]!hospitalinfo[[#This Row],[State]]</f>
        <v>MO</v>
      </c>
      <c r="C2706" t="str">
        <f>[1]!hospitalinfo[[#This Row],[Hospital Type]]</f>
        <v>Critical Access Hospitals</v>
      </c>
      <c r="D2706" t="str">
        <f>[1]!hospitalinfo[[#This Row],[Hospital Ownership]]</f>
        <v>Voluntary non-profit - Church</v>
      </c>
      <c r="E2706" cm="1">
        <f t="array" ref="E2706">_xlfn.IFNA(_xlfn.XLOOKUP(1,([1]!hcahps[Facility ID] = clean[[#This Row],[Facility ID]]) * ([1]!hcahps[HCAHPS Measure ID] = "H_HSP_RATING_LINEAR_SCORE"), [1]!hcahps[HCAHPS Linear Mean Value]), "No Match")</f>
        <v>92</v>
      </c>
      <c r="F2706" cm="1">
        <f t="array" ref="F2706">_xlfn.IFNA(_xlfn.XLOOKUP(1,([1]!readmissions[Facility ID] = clean[[#This Row],[Facility ID]]) * ([1]!readmissions[Measure ID] = "Hybrid_HWR"), [1]!readmissions[Score]), "No Match")</f>
        <v>15</v>
      </c>
    </row>
    <row r="2707" spans="1:6" x14ac:dyDescent="0.2">
      <c r="A2707">
        <f>[1]!hospitalinfo[[#This Row],[Facility ID]]</f>
        <v>261317</v>
      </c>
      <c r="B2707" t="str">
        <f>[1]!hospitalinfo[[#This Row],[State]]</f>
        <v>MO</v>
      </c>
      <c r="C2707" t="str">
        <f>[1]!hospitalinfo[[#This Row],[Hospital Type]]</f>
        <v>Critical Access Hospitals</v>
      </c>
      <c r="D2707" t="str">
        <f>[1]!hospitalinfo[[#This Row],[Hospital Ownership]]</f>
        <v>Voluntary non-profit - Church</v>
      </c>
      <c r="E2707" t="str" cm="1">
        <f t="array" ref="E2707">_xlfn.IFNA(_xlfn.XLOOKUP(1,([1]!hcahps[Facility ID] = clean[[#This Row],[Facility ID]]) * ([1]!hcahps[HCAHPS Measure ID] = "H_HSP_RATING_LINEAR_SCORE"), [1]!hcahps[HCAHPS Linear Mean Value]), "No Match")</f>
        <v>Not Available</v>
      </c>
      <c r="F2707" cm="1">
        <f t="array" ref="F2707">_xlfn.IFNA(_xlfn.XLOOKUP(1,([1]!readmissions[Facility ID] = clean[[#This Row],[Facility ID]]) * ([1]!readmissions[Measure ID] = "Hybrid_HWR"), [1]!readmissions[Score]), "No Match")</f>
        <v>15.3</v>
      </c>
    </row>
    <row r="2708" spans="1:6" x14ac:dyDescent="0.2">
      <c r="A2708">
        <f>[1]!hospitalinfo[[#This Row],[Facility ID]]</f>
        <v>261318</v>
      </c>
      <c r="B2708" t="str">
        <f>[1]!hospitalinfo[[#This Row],[State]]</f>
        <v>MO</v>
      </c>
      <c r="C2708" t="str">
        <f>[1]!hospitalinfo[[#This Row],[Hospital Type]]</f>
        <v>Critical Access Hospitals</v>
      </c>
      <c r="D2708" t="str">
        <f>[1]!hospitalinfo[[#This Row],[Hospital Ownership]]</f>
        <v>Government - Hospital District or Authority</v>
      </c>
      <c r="E2708" t="str" cm="1">
        <f t="array" ref="E2708">_xlfn.IFNA(_xlfn.XLOOKUP(1,([1]!hcahps[Facility ID] = clean[[#This Row],[Facility ID]]) * ([1]!hcahps[HCAHPS Measure ID] = "H_HSP_RATING_LINEAR_SCORE"), [1]!hcahps[HCAHPS Linear Mean Value]), "No Match")</f>
        <v>Not Available</v>
      </c>
      <c r="F2708" cm="1">
        <f t="array" ref="F2708">_xlfn.IFNA(_xlfn.XLOOKUP(1,([1]!readmissions[Facility ID] = clean[[#This Row],[Facility ID]]) * ([1]!readmissions[Measure ID] = "Hybrid_HWR"), [1]!readmissions[Score]), "No Match")</f>
        <v>14.8</v>
      </c>
    </row>
    <row r="2709" spans="1:6" x14ac:dyDescent="0.2">
      <c r="A2709">
        <f>[1]!hospitalinfo[[#This Row],[Facility ID]]</f>
        <v>261319</v>
      </c>
      <c r="B2709" t="str">
        <f>[1]!hospitalinfo[[#This Row],[State]]</f>
        <v>MO</v>
      </c>
      <c r="C2709" t="str">
        <f>[1]!hospitalinfo[[#This Row],[Hospital Type]]</f>
        <v>Critical Access Hospitals</v>
      </c>
      <c r="D2709" t="str">
        <f>[1]!hospitalinfo[[#This Row],[Hospital Ownership]]</f>
        <v>Government - Local</v>
      </c>
      <c r="E2709" cm="1">
        <f t="array" ref="E2709">_xlfn.IFNA(_xlfn.XLOOKUP(1,([1]!hcahps[Facility ID] = clean[[#This Row],[Facility ID]]) * ([1]!hcahps[HCAHPS Measure ID] = "H_HSP_RATING_LINEAR_SCORE"), [1]!hcahps[HCAHPS Linear Mean Value]), "No Match")</f>
        <v>89</v>
      </c>
      <c r="F2709" cm="1">
        <f t="array" ref="F2709">_xlfn.IFNA(_xlfn.XLOOKUP(1,([1]!readmissions[Facility ID] = clean[[#This Row],[Facility ID]]) * ([1]!readmissions[Measure ID] = "Hybrid_HWR"), [1]!readmissions[Score]), "No Match")</f>
        <v>14.2</v>
      </c>
    </row>
    <row r="2710" spans="1:6" x14ac:dyDescent="0.2">
      <c r="A2710">
        <f>[1]!hospitalinfo[[#This Row],[Facility ID]]</f>
        <v>261320</v>
      </c>
      <c r="B2710" t="str">
        <f>[1]!hospitalinfo[[#This Row],[State]]</f>
        <v>MO</v>
      </c>
      <c r="C2710" t="str">
        <f>[1]!hospitalinfo[[#This Row],[Hospital Type]]</f>
        <v>Critical Access Hospitals</v>
      </c>
      <c r="D2710" t="str">
        <f>[1]!hospitalinfo[[#This Row],[Hospital Ownership]]</f>
        <v>Proprietary</v>
      </c>
      <c r="E2710" cm="1">
        <f t="array" ref="E2710">_xlfn.IFNA(_xlfn.XLOOKUP(1,([1]!hcahps[Facility ID] = clean[[#This Row],[Facility ID]]) * ([1]!hcahps[HCAHPS Measure ID] = "H_HSP_RATING_LINEAR_SCORE"), [1]!hcahps[HCAHPS Linear Mean Value]), "No Match")</f>
        <v>93</v>
      </c>
      <c r="F2710" cm="1">
        <f t="array" ref="F2710">_xlfn.IFNA(_xlfn.XLOOKUP(1,([1]!readmissions[Facility ID] = clean[[#This Row],[Facility ID]]) * ([1]!readmissions[Measure ID] = "Hybrid_HWR"), [1]!readmissions[Score]), "No Match")</f>
        <v>16.2</v>
      </c>
    </row>
    <row r="2711" spans="1:6" x14ac:dyDescent="0.2">
      <c r="A2711">
        <f>[1]!hospitalinfo[[#This Row],[Facility ID]]</f>
        <v>261321</v>
      </c>
      <c r="B2711" t="str">
        <f>[1]!hospitalinfo[[#This Row],[State]]</f>
        <v>MO</v>
      </c>
      <c r="C2711" t="str">
        <f>[1]!hospitalinfo[[#This Row],[Hospital Type]]</f>
        <v>Critical Access Hospitals</v>
      </c>
      <c r="D2711" t="str">
        <f>[1]!hospitalinfo[[#This Row],[Hospital Ownership]]</f>
        <v>Voluntary non-profit - Private</v>
      </c>
      <c r="E2711" cm="1">
        <f t="array" ref="E2711">_xlfn.IFNA(_xlfn.XLOOKUP(1,([1]!hcahps[Facility ID] = clean[[#This Row],[Facility ID]]) * ([1]!hcahps[HCAHPS Measure ID] = "H_HSP_RATING_LINEAR_SCORE"), [1]!hcahps[HCAHPS Linear Mean Value]), "No Match")</f>
        <v>92</v>
      </c>
      <c r="F2711" cm="1">
        <f t="array" ref="F2711">_xlfn.IFNA(_xlfn.XLOOKUP(1,([1]!readmissions[Facility ID] = clean[[#This Row],[Facility ID]]) * ([1]!readmissions[Measure ID] = "Hybrid_HWR"), [1]!readmissions[Score]), "No Match")</f>
        <v>14.9</v>
      </c>
    </row>
    <row r="2712" spans="1:6" x14ac:dyDescent="0.2">
      <c r="A2712">
        <f>[1]!hospitalinfo[[#This Row],[Facility ID]]</f>
        <v>261322</v>
      </c>
      <c r="B2712" t="str">
        <f>[1]!hospitalinfo[[#This Row],[State]]</f>
        <v>MO</v>
      </c>
      <c r="C2712" t="str">
        <f>[1]!hospitalinfo[[#This Row],[Hospital Type]]</f>
        <v>Critical Access Hospitals</v>
      </c>
      <c r="D2712" t="str">
        <f>[1]!hospitalinfo[[#This Row],[Hospital Ownership]]</f>
        <v>Government - Local</v>
      </c>
      <c r="E2712" t="str" cm="1">
        <f t="array" ref="E2712">_xlfn.IFNA(_xlfn.XLOOKUP(1,([1]!hcahps[Facility ID] = clean[[#This Row],[Facility ID]]) * ([1]!hcahps[HCAHPS Measure ID] = "H_HSP_RATING_LINEAR_SCORE"), [1]!hcahps[HCAHPS Linear Mean Value]), "No Match")</f>
        <v>Not Available</v>
      </c>
      <c r="F2712" cm="1">
        <f t="array" ref="F2712">_xlfn.IFNA(_xlfn.XLOOKUP(1,([1]!readmissions[Facility ID] = clean[[#This Row],[Facility ID]]) * ([1]!readmissions[Measure ID] = "Hybrid_HWR"), [1]!readmissions[Score]), "No Match")</f>
        <v>15.3</v>
      </c>
    </row>
    <row r="2713" spans="1:6" x14ac:dyDescent="0.2">
      <c r="A2713">
        <f>[1]!hospitalinfo[[#This Row],[Facility ID]]</f>
        <v>261323</v>
      </c>
      <c r="B2713" t="str">
        <f>[1]!hospitalinfo[[#This Row],[State]]</f>
        <v>MO</v>
      </c>
      <c r="C2713" t="str">
        <f>[1]!hospitalinfo[[#This Row],[Hospital Type]]</f>
        <v>Critical Access Hospitals</v>
      </c>
      <c r="D2713" t="str">
        <f>[1]!hospitalinfo[[#This Row],[Hospital Ownership]]</f>
        <v>Government - Local</v>
      </c>
      <c r="E2713" t="str" cm="1">
        <f t="array" ref="E2713">_xlfn.IFNA(_xlfn.XLOOKUP(1,([1]!hcahps[Facility ID] = clean[[#This Row],[Facility ID]]) * ([1]!hcahps[HCAHPS Measure ID] = "H_HSP_RATING_LINEAR_SCORE"), [1]!hcahps[HCAHPS Linear Mean Value]), "No Match")</f>
        <v>Not Available</v>
      </c>
      <c r="F2713" cm="1">
        <f t="array" ref="F2713">_xlfn.IFNA(_xlfn.XLOOKUP(1,([1]!readmissions[Facility ID] = clean[[#This Row],[Facility ID]]) * ([1]!readmissions[Measure ID] = "Hybrid_HWR"), [1]!readmissions[Score]), "No Match")</f>
        <v>14.9</v>
      </c>
    </row>
    <row r="2714" spans="1:6" x14ac:dyDescent="0.2">
      <c r="A2714">
        <f>[1]!hospitalinfo[[#This Row],[Facility ID]]</f>
        <v>261324</v>
      </c>
      <c r="B2714" t="str">
        <f>[1]!hospitalinfo[[#This Row],[State]]</f>
        <v>MO</v>
      </c>
      <c r="C2714" t="str">
        <f>[1]!hospitalinfo[[#This Row],[Hospital Type]]</f>
        <v>Critical Access Hospitals</v>
      </c>
      <c r="D2714" t="str">
        <f>[1]!hospitalinfo[[#This Row],[Hospital Ownership]]</f>
        <v>Government - Local</v>
      </c>
      <c r="E2714" cm="1">
        <f t="array" ref="E2714">_xlfn.IFNA(_xlfn.XLOOKUP(1,([1]!hcahps[Facility ID] = clean[[#This Row],[Facility ID]]) * ([1]!hcahps[HCAHPS Measure ID] = "H_HSP_RATING_LINEAR_SCORE"), [1]!hcahps[HCAHPS Linear Mean Value]), "No Match")</f>
        <v>89</v>
      </c>
      <c r="F2714" cm="1">
        <f t="array" ref="F2714">_xlfn.IFNA(_xlfn.XLOOKUP(1,([1]!readmissions[Facility ID] = clean[[#This Row],[Facility ID]]) * ([1]!readmissions[Measure ID] = "Hybrid_HWR"), [1]!readmissions[Score]), "No Match")</f>
        <v>14.5</v>
      </c>
    </row>
    <row r="2715" spans="1:6" x14ac:dyDescent="0.2">
      <c r="A2715">
        <f>[1]!hospitalinfo[[#This Row],[Facility ID]]</f>
        <v>261325</v>
      </c>
      <c r="B2715" t="str">
        <f>[1]!hospitalinfo[[#This Row],[State]]</f>
        <v>MO</v>
      </c>
      <c r="C2715" t="str">
        <f>[1]!hospitalinfo[[#This Row],[Hospital Type]]</f>
        <v>Critical Access Hospitals</v>
      </c>
      <c r="D2715" t="str">
        <f>[1]!hospitalinfo[[#This Row],[Hospital Ownership]]</f>
        <v>Government - Local</v>
      </c>
      <c r="E2715" cm="1">
        <f t="array" ref="E2715">_xlfn.IFNA(_xlfn.XLOOKUP(1,([1]!hcahps[Facility ID] = clean[[#This Row],[Facility ID]]) * ([1]!hcahps[HCAHPS Measure ID] = "H_HSP_RATING_LINEAR_SCORE"), [1]!hcahps[HCAHPS Linear Mean Value]), "No Match")</f>
        <v>95</v>
      </c>
      <c r="F2715" cm="1">
        <f t="array" ref="F2715">_xlfn.IFNA(_xlfn.XLOOKUP(1,([1]!readmissions[Facility ID] = clean[[#This Row],[Facility ID]]) * ([1]!readmissions[Measure ID] = "Hybrid_HWR"), [1]!readmissions[Score]), "No Match")</f>
        <v>14.8</v>
      </c>
    </row>
    <row r="2716" spans="1:6" x14ac:dyDescent="0.2">
      <c r="A2716">
        <f>[1]!hospitalinfo[[#This Row],[Facility ID]]</f>
        <v>261327</v>
      </c>
      <c r="B2716" t="str">
        <f>[1]!hospitalinfo[[#This Row],[State]]</f>
        <v>MO</v>
      </c>
      <c r="C2716" t="str">
        <f>[1]!hospitalinfo[[#This Row],[Hospital Type]]</f>
        <v>Critical Access Hospitals</v>
      </c>
      <c r="D2716" t="str">
        <f>[1]!hospitalinfo[[#This Row],[Hospital Ownership]]</f>
        <v>Government - Local</v>
      </c>
      <c r="E2716" t="str" cm="1">
        <f t="array" ref="E2716">_xlfn.IFNA(_xlfn.XLOOKUP(1,([1]!hcahps[Facility ID] = clean[[#This Row],[Facility ID]]) * ([1]!hcahps[HCAHPS Measure ID] = "H_HSP_RATING_LINEAR_SCORE"), [1]!hcahps[HCAHPS Linear Mean Value]), "No Match")</f>
        <v>Not Available</v>
      </c>
      <c r="F2716" cm="1">
        <f t="array" ref="F2716">_xlfn.IFNA(_xlfn.XLOOKUP(1,([1]!readmissions[Facility ID] = clean[[#This Row],[Facility ID]]) * ([1]!readmissions[Measure ID] = "Hybrid_HWR"), [1]!readmissions[Score]), "No Match")</f>
        <v>15.3</v>
      </c>
    </row>
    <row r="2717" spans="1:6" x14ac:dyDescent="0.2">
      <c r="A2717">
        <f>[1]!hospitalinfo[[#This Row],[Facility ID]]</f>
        <v>261328</v>
      </c>
      <c r="B2717" t="str">
        <f>[1]!hospitalinfo[[#This Row],[State]]</f>
        <v>MO</v>
      </c>
      <c r="C2717" t="str">
        <f>[1]!hospitalinfo[[#This Row],[Hospital Type]]</f>
        <v>Critical Access Hospitals</v>
      </c>
      <c r="D2717" t="str">
        <f>[1]!hospitalinfo[[#This Row],[Hospital Ownership]]</f>
        <v>Voluntary non-profit - Private</v>
      </c>
      <c r="E2717" t="str" cm="1">
        <f t="array" ref="E2717">_xlfn.IFNA(_xlfn.XLOOKUP(1,([1]!hcahps[Facility ID] = clean[[#This Row],[Facility ID]]) * ([1]!hcahps[HCAHPS Measure ID] = "H_HSP_RATING_LINEAR_SCORE"), [1]!hcahps[HCAHPS Linear Mean Value]), "No Match")</f>
        <v>Not Available</v>
      </c>
      <c r="F2717" cm="1">
        <f t="array" ref="F2717">_xlfn.IFNA(_xlfn.XLOOKUP(1,([1]!readmissions[Facility ID] = clean[[#This Row],[Facility ID]]) * ([1]!readmissions[Measure ID] = "Hybrid_HWR"), [1]!readmissions[Score]), "No Match")</f>
        <v>14.7</v>
      </c>
    </row>
    <row r="2718" spans="1:6" x14ac:dyDescent="0.2">
      <c r="A2718">
        <f>[1]!hospitalinfo[[#This Row],[Facility ID]]</f>
        <v>261329</v>
      </c>
      <c r="B2718" t="str">
        <f>[1]!hospitalinfo[[#This Row],[State]]</f>
        <v>MO</v>
      </c>
      <c r="C2718" t="str">
        <f>[1]!hospitalinfo[[#This Row],[Hospital Type]]</f>
        <v>Critical Access Hospitals</v>
      </c>
      <c r="D2718" t="str">
        <f>[1]!hospitalinfo[[#This Row],[Hospital Ownership]]</f>
        <v>Voluntary non-profit - Private</v>
      </c>
      <c r="E2718" cm="1">
        <f t="array" ref="E2718">_xlfn.IFNA(_xlfn.XLOOKUP(1,([1]!hcahps[Facility ID] = clean[[#This Row],[Facility ID]]) * ([1]!hcahps[HCAHPS Measure ID] = "H_HSP_RATING_LINEAR_SCORE"), [1]!hcahps[HCAHPS Linear Mean Value]), "No Match")</f>
        <v>95</v>
      </c>
      <c r="F2718" cm="1">
        <f t="array" ref="F2718">_xlfn.IFNA(_xlfn.XLOOKUP(1,([1]!readmissions[Facility ID] = clean[[#This Row],[Facility ID]]) * ([1]!readmissions[Measure ID] = "Hybrid_HWR"), [1]!readmissions[Score]), "No Match")</f>
        <v>15.1</v>
      </c>
    </row>
    <row r="2719" spans="1:6" x14ac:dyDescent="0.2">
      <c r="A2719">
        <f>[1]!hospitalinfo[[#This Row],[Facility ID]]</f>
        <v>261330</v>
      </c>
      <c r="B2719" t="str">
        <f>[1]!hospitalinfo[[#This Row],[State]]</f>
        <v>MO</v>
      </c>
      <c r="C2719" t="str">
        <f>[1]!hospitalinfo[[#This Row],[Hospital Type]]</f>
        <v>Critical Access Hospitals</v>
      </c>
      <c r="D2719" t="str">
        <f>[1]!hospitalinfo[[#This Row],[Hospital Ownership]]</f>
        <v>Government - Hospital District or Authority</v>
      </c>
      <c r="E2719" t="str" cm="1">
        <f t="array" ref="E2719">_xlfn.IFNA(_xlfn.XLOOKUP(1,([1]!hcahps[Facility ID] = clean[[#This Row],[Facility ID]]) * ([1]!hcahps[HCAHPS Measure ID] = "H_HSP_RATING_LINEAR_SCORE"), [1]!hcahps[HCAHPS Linear Mean Value]), "No Match")</f>
        <v>Not Available</v>
      </c>
      <c r="F2719" cm="1">
        <f t="array" ref="F2719">_xlfn.IFNA(_xlfn.XLOOKUP(1,([1]!readmissions[Facility ID] = clean[[#This Row],[Facility ID]]) * ([1]!readmissions[Measure ID] = "Hybrid_HWR"), [1]!readmissions[Score]), "No Match")</f>
        <v>14.5</v>
      </c>
    </row>
    <row r="2720" spans="1:6" x14ac:dyDescent="0.2">
      <c r="A2720">
        <f>[1]!hospitalinfo[[#This Row],[Facility ID]]</f>
        <v>261331</v>
      </c>
      <c r="B2720" t="str">
        <f>[1]!hospitalinfo[[#This Row],[State]]</f>
        <v>MO</v>
      </c>
      <c r="C2720" t="str">
        <f>[1]!hospitalinfo[[#This Row],[Hospital Type]]</f>
        <v>Critical Access Hospitals</v>
      </c>
      <c r="D2720" t="str">
        <f>[1]!hospitalinfo[[#This Row],[Hospital Ownership]]</f>
        <v>Voluntary non-profit - Private</v>
      </c>
      <c r="E2720" cm="1">
        <f t="array" ref="E2720">_xlfn.IFNA(_xlfn.XLOOKUP(1,([1]!hcahps[Facility ID] = clean[[#This Row],[Facility ID]]) * ([1]!hcahps[HCAHPS Measure ID] = "H_HSP_RATING_LINEAR_SCORE"), [1]!hcahps[HCAHPS Linear Mean Value]), "No Match")</f>
        <v>93</v>
      </c>
      <c r="F2720" cm="1">
        <f t="array" ref="F2720">_xlfn.IFNA(_xlfn.XLOOKUP(1,([1]!readmissions[Facility ID] = clean[[#This Row],[Facility ID]]) * ([1]!readmissions[Measure ID] = "Hybrid_HWR"), [1]!readmissions[Score]), "No Match")</f>
        <v>14.5</v>
      </c>
    </row>
    <row r="2721" spans="1:6" x14ac:dyDescent="0.2">
      <c r="A2721">
        <f>[1]!hospitalinfo[[#This Row],[Facility ID]]</f>
        <v>261332</v>
      </c>
      <c r="B2721" t="str">
        <f>[1]!hospitalinfo[[#This Row],[State]]</f>
        <v>MO</v>
      </c>
      <c r="C2721" t="str">
        <f>[1]!hospitalinfo[[#This Row],[Hospital Type]]</f>
        <v>Critical Access Hospitals</v>
      </c>
      <c r="D2721" t="str">
        <f>[1]!hospitalinfo[[#This Row],[Hospital Ownership]]</f>
        <v>Voluntary non-profit - Private</v>
      </c>
      <c r="E2721" t="str" cm="1">
        <f t="array" ref="E2721">_xlfn.IFNA(_xlfn.XLOOKUP(1,([1]!hcahps[Facility ID] = clean[[#This Row],[Facility ID]]) * ([1]!hcahps[HCAHPS Measure ID] = "H_HSP_RATING_LINEAR_SCORE"), [1]!hcahps[HCAHPS Linear Mean Value]), "No Match")</f>
        <v>Not Available</v>
      </c>
      <c r="F2721" cm="1">
        <f t="array" ref="F2721">_xlfn.IFNA(_xlfn.XLOOKUP(1,([1]!readmissions[Facility ID] = clean[[#This Row],[Facility ID]]) * ([1]!readmissions[Measure ID] = "Hybrid_HWR"), [1]!readmissions[Score]), "No Match")</f>
        <v>14.9</v>
      </c>
    </row>
    <row r="2722" spans="1:6" x14ac:dyDescent="0.2">
      <c r="A2722">
        <f>[1]!hospitalinfo[[#This Row],[Facility ID]]</f>
        <v>261333</v>
      </c>
      <c r="B2722" t="str">
        <f>[1]!hospitalinfo[[#This Row],[State]]</f>
        <v>MO</v>
      </c>
      <c r="C2722" t="str">
        <f>[1]!hospitalinfo[[#This Row],[Hospital Type]]</f>
        <v>Critical Access Hospitals</v>
      </c>
      <c r="D2722" t="str">
        <f>[1]!hospitalinfo[[#This Row],[Hospital Ownership]]</f>
        <v>Government - Local</v>
      </c>
      <c r="E2722" t="str" cm="1">
        <f t="array" ref="E2722">_xlfn.IFNA(_xlfn.XLOOKUP(1,([1]!hcahps[Facility ID] = clean[[#This Row],[Facility ID]]) * ([1]!hcahps[HCAHPS Measure ID] = "H_HSP_RATING_LINEAR_SCORE"), [1]!hcahps[HCAHPS Linear Mean Value]), "No Match")</f>
        <v>Not Available</v>
      </c>
      <c r="F2722" cm="1">
        <f t="array" ref="F2722">_xlfn.IFNA(_xlfn.XLOOKUP(1,([1]!readmissions[Facility ID] = clean[[#This Row],[Facility ID]]) * ([1]!readmissions[Measure ID] = "Hybrid_HWR"), [1]!readmissions[Score]), "No Match")</f>
        <v>15.2</v>
      </c>
    </row>
    <row r="2723" spans="1:6" x14ac:dyDescent="0.2">
      <c r="A2723">
        <f>[1]!hospitalinfo[[#This Row],[Facility ID]]</f>
        <v>261335</v>
      </c>
      <c r="B2723" t="str">
        <f>[1]!hospitalinfo[[#This Row],[State]]</f>
        <v>MO</v>
      </c>
      <c r="C2723" t="str">
        <f>[1]!hospitalinfo[[#This Row],[Hospital Type]]</f>
        <v>Critical Access Hospitals</v>
      </c>
      <c r="D2723" t="str">
        <f>[1]!hospitalinfo[[#This Row],[Hospital Ownership]]</f>
        <v>Voluntary non-profit - Private</v>
      </c>
      <c r="E2723" t="str" cm="1">
        <f t="array" ref="E2723">_xlfn.IFNA(_xlfn.XLOOKUP(1,([1]!hcahps[Facility ID] = clean[[#This Row],[Facility ID]]) * ([1]!hcahps[HCAHPS Measure ID] = "H_HSP_RATING_LINEAR_SCORE"), [1]!hcahps[HCAHPS Linear Mean Value]), "No Match")</f>
        <v>Not Available</v>
      </c>
      <c r="F2723" cm="1">
        <f t="array" ref="F2723">_xlfn.IFNA(_xlfn.XLOOKUP(1,([1]!readmissions[Facility ID] = clean[[#This Row],[Facility ID]]) * ([1]!readmissions[Measure ID] = "Hybrid_HWR"), [1]!readmissions[Score]), "No Match")</f>
        <v>14.7</v>
      </c>
    </row>
    <row r="2724" spans="1:6" x14ac:dyDescent="0.2">
      <c r="A2724">
        <f>[1]!hospitalinfo[[#This Row],[Facility ID]]</f>
        <v>261336</v>
      </c>
      <c r="B2724" t="str">
        <f>[1]!hospitalinfo[[#This Row],[State]]</f>
        <v>MO</v>
      </c>
      <c r="C2724" t="str">
        <f>[1]!hospitalinfo[[#This Row],[Hospital Type]]</f>
        <v>Critical Access Hospitals</v>
      </c>
      <c r="D2724" t="str">
        <f>[1]!hospitalinfo[[#This Row],[Hospital Ownership]]</f>
        <v>Government - Hospital District or Authority</v>
      </c>
      <c r="E2724" t="str" cm="1">
        <f t="array" ref="E2724">_xlfn.IFNA(_xlfn.XLOOKUP(1,([1]!hcahps[Facility ID] = clean[[#This Row],[Facility ID]]) * ([1]!hcahps[HCAHPS Measure ID] = "H_HSP_RATING_LINEAR_SCORE"), [1]!hcahps[HCAHPS Linear Mean Value]), "No Match")</f>
        <v>Not Available</v>
      </c>
      <c r="F2724" cm="1">
        <f t="array" ref="F2724">_xlfn.IFNA(_xlfn.XLOOKUP(1,([1]!readmissions[Facility ID] = clean[[#This Row],[Facility ID]]) * ([1]!readmissions[Measure ID] = "Hybrid_HWR"), [1]!readmissions[Score]), "No Match")</f>
        <v>15.1</v>
      </c>
    </row>
    <row r="2725" spans="1:6" x14ac:dyDescent="0.2">
      <c r="A2725">
        <f>[1]!hospitalinfo[[#This Row],[Facility ID]]</f>
        <v>261337</v>
      </c>
      <c r="B2725" t="str">
        <f>[1]!hospitalinfo[[#This Row],[State]]</f>
        <v>MO</v>
      </c>
      <c r="C2725" t="str">
        <f>[1]!hospitalinfo[[#This Row],[Hospital Type]]</f>
        <v>Critical Access Hospitals</v>
      </c>
      <c r="D2725" t="str">
        <f>[1]!hospitalinfo[[#This Row],[Hospital Ownership]]</f>
        <v>Voluntary non-profit - Private</v>
      </c>
      <c r="E2725" cm="1">
        <f t="array" ref="E2725">_xlfn.IFNA(_xlfn.XLOOKUP(1,([1]!hcahps[Facility ID] = clean[[#This Row],[Facility ID]]) * ([1]!hcahps[HCAHPS Measure ID] = "H_HSP_RATING_LINEAR_SCORE"), [1]!hcahps[HCAHPS Linear Mean Value]), "No Match")</f>
        <v>93</v>
      </c>
      <c r="F2725" cm="1">
        <f t="array" ref="F2725">_xlfn.IFNA(_xlfn.XLOOKUP(1,([1]!readmissions[Facility ID] = clean[[#This Row],[Facility ID]]) * ([1]!readmissions[Measure ID] = "Hybrid_HWR"), [1]!readmissions[Score]), "No Match")</f>
        <v>16.5</v>
      </c>
    </row>
    <row r="2726" spans="1:6" x14ac:dyDescent="0.2">
      <c r="A2726">
        <f>[1]!hospitalinfo[[#This Row],[Facility ID]]</f>
        <v>261338</v>
      </c>
      <c r="B2726" t="str">
        <f>[1]!hospitalinfo[[#This Row],[State]]</f>
        <v>MO</v>
      </c>
      <c r="C2726" t="str">
        <f>[1]!hospitalinfo[[#This Row],[Hospital Type]]</f>
        <v>Critical Access Hospitals</v>
      </c>
      <c r="D2726" t="str">
        <f>[1]!hospitalinfo[[#This Row],[Hospital Ownership]]</f>
        <v>Voluntary non-profit - Private</v>
      </c>
      <c r="E2726" cm="1">
        <f t="array" ref="E2726">_xlfn.IFNA(_xlfn.XLOOKUP(1,([1]!hcahps[Facility ID] = clean[[#This Row],[Facility ID]]) * ([1]!hcahps[HCAHPS Measure ID] = "H_HSP_RATING_LINEAR_SCORE"), [1]!hcahps[HCAHPS Linear Mean Value]), "No Match")</f>
        <v>91</v>
      </c>
      <c r="F2726" cm="1">
        <f t="array" ref="F2726">_xlfn.IFNA(_xlfn.XLOOKUP(1,([1]!readmissions[Facility ID] = clean[[#This Row],[Facility ID]]) * ([1]!readmissions[Measure ID] = "Hybrid_HWR"), [1]!readmissions[Score]), "No Match")</f>
        <v>15.1</v>
      </c>
    </row>
    <row r="2727" spans="1:6" x14ac:dyDescent="0.2">
      <c r="A2727">
        <f>[1]!hospitalinfo[[#This Row],[Facility ID]]</f>
        <v>261340</v>
      </c>
      <c r="B2727" t="str">
        <f>[1]!hospitalinfo[[#This Row],[State]]</f>
        <v>MO</v>
      </c>
      <c r="C2727" t="str">
        <f>[1]!hospitalinfo[[#This Row],[Hospital Type]]</f>
        <v>Critical Access Hospitals</v>
      </c>
      <c r="D2727" t="str">
        <f>[1]!hospitalinfo[[#This Row],[Hospital Ownership]]</f>
        <v>Voluntary non-profit - Private</v>
      </c>
      <c r="E2727" t="str" cm="1">
        <f t="array" ref="E2727">_xlfn.IFNA(_xlfn.XLOOKUP(1,([1]!hcahps[Facility ID] = clean[[#This Row],[Facility ID]]) * ([1]!hcahps[HCAHPS Measure ID] = "H_HSP_RATING_LINEAR_SCORE"), [1]!hcahps[HCAHPS Linear Mean Value]), "No Match")</f>
        <v>Not Available</v>
      </c>
      <c r="F2727" t="str" cm="1">
        <f t="array" ref="F2727">_xlfn.IFNA(_xlfn.XLOOKUP(1,([1]!readmissions[Facility ID] = clean[[#This Row],[Facility ID]]) * ([1]!readmissions[Measure ID] = "Hybrid_HWR"), [1]!readmissions[Score]), "No Match")</f>
        <v>Not Available</v>
      </c>
    </row>
    <row r="2728" spans="1:6" x14ac:dyDescent="0.2">
      <c r="A2728">
        <f>[1]!hospitalinfo[[#This Row],[Facility ID]]</f>
        <v>263301</v>
      </c>
      <c r="B2728" t="str">
        <f>[1]!hospitalinfo[[#This Row],[State]]</f>
        <v>MO</v>
      </c>
      <c r="C2728" t="str">
        <f>[1]!hospitalinfo[[#This Row],[Hospital Type]]</f>
        <v>Childrens</v>
      </c>
      <c r="D2728" t="str">
        <f>[1]!hospitalinfo[[#This Row],[Hospital Ownership]]</f>
        <v>Voluntary non-profit - Other</v>
      </c>
      <c r="E2728" t="str" cm="1">
        <f t="array" ref="E2728">_xlfn.IFNA(_xlfn.XLOOKUP(1,([1]!hcahps[Facility ID] = clean[[#This Row],[Facility ID]]) * ([1]!hcahps[HCAHPS Measure ID] = "H_HSP_RATING_LINEAR_SCORE"), [1]!hcahps[HCAHPS Linear Mean Value]), "No Match")</f>
        <v>Not Available</v>
      </c>
      <c r="F2728" t="str" cm="1">
        <f t="array" ref="F2728">_xlfn.IFNA(_xlfn.XLOOKUP(1,([1]!readmissions[Facility ID] = clean[[#This Row],[Facility ID]]) * ([1]!readmissions[Measure ID] = "Hybrid_HWR"), [1]!readmissions[Score]), "No Match")</f>
        <v>Not Available</v>
      </c>
    </row>
    <row r="2729" spans="1:6" x14ac:dyDescent="0.2">
      <c r="A2729">
        <f>[1]!hospitalinfo[[#This Row],[Facility ID]]</f>
        <v>263302</v>
      </c>
      <c r="B2729" t="str">
        <f>[1]!hospitalinfo[[#This Row],[State]]</f>
        <v>MO</v>
      </c>
      <c r="C2729" t="str">
        <f>[1]!hospitalinfo[[#This Row],[Hospital Type]]</f>
        <v>Childrens</v>
      </c>
      <c r="D2729" t="str">
        <f>[1]!hospitalinfo[[#This Row],[Hospital Ownership]]</f>
        <v>Voluntary non-profit - Private</v>
      </c>
      <c r="E2729" t="str" cm="1">
        <f t="array" ref="E2729">_xlfn.IFNA(_xlfn.XLOOKUP(1,([1]!hcahps[Facility ID] = clean[[#This Row],[Facility ID]]) * ([1]!hcahps[HCAHPS Measure ID] = "H_HSP_RATING_LINEAR_SCORE"), [1]!hcahps[HCAHPS Linear Mean Value]), "No Match")</f>
        <v>Not Available</v>
      </c>
      <c r="F2729" t="str" cm="1">
        <f t="array" ref="F2729">_xlfn.IFNA(_xlfn.XLOOKUP(1,([1]!readmissions[Facility ID] = clean[[#This Row],[Facility ID]]) * ([1]!readmissions[Measure ID] = "Hybrid_HWR"), [1]!readmissions[Score]), "No Match")</f>
        <v>Not Available</v>
      </c>
    </row>
    <row r="2730" spans="1:6" x14ac:dyDescent="0.2">
      <c r="A2730">
        <f>[1]!hospitalinfo[[#This Row],[Facility ID]]</f>
        <v>263303</v>
      </c>
      <c r="B2730" t="str">
        <f>[1]!hospitalinfo[[#This Row],[State]]</f>
        <v>MO</v>
      </c>
      <c r="C2730" t="str">
        <f>[1]!hospitalinfo[[#This Row],[Hospital Type]]</f>
        <v>Childrens</v>
      </c>
      <c r="D2730" t="str">
        <f>[1]!hospitalinfo[[#This Row],[Hospital Ownership]]</f>
        <v>Voluntary non-profit - Other</v>
      </c>
      <c r="E2730" t="str" cm="1">
        <f t="array" ref="E2730">_xlfn.IFNA(_xlfn.XLOOKUP(1,([1]!hcahps[Facility ID] = clean[[#This Row],[Facility ID]]) * ([1]!hcahps[HCAHPS Measure ID] = "H_HSP_RATING_LINEAR_SCORE"), [1]!hcahps[HCAHPS Linear Mean Value]), "No Match")</f>
        <v>Not Available</v>
      </c>
      <c r="F2730" t="str" cm="1">
        <f t="array" ref="F2730">_xlfn.IFNA(_xlfn.XLOOKUP(1,([1]!readmissions[Facility ID] = clean[[#This Row],[Facility ID]]) * ([1]!readmissions[Measure ID] = "Hybrid_HWR"), [1]!readmissions[Score]), "No Match")</f>
        <v>Not Available</v>
      </c>
    </row>
    <row r="2731" spans="1:6" x14ac:dyDescent="0.2">
      <c r="A2731">
        <f>[1]!hospitalinfo[[#This Row],[Facility ID]]</f>
        <v>263304</v>
      </c>
      <c r="B2731" t="str">
        <f>[1]!hospitalinfo[[#This Row],[State]]</f>
        <v>MO</v>
      </c>
      <c r="C2731" t="str">
        <f>[1]!hospitalinfo[[#This Row],[Hospital Type]]</f>
        <v>Childrens</v>
      </c>
      <c r="D2731" t="str">
        <f>[1]!hospitalinfo[[#This Row],[Hospital Ownership]]</f>
        <v>Voluntary non-profit - Private</v>
      </c>
      <c r="E2731" t="str" cm="1">
        <f t="array" ref="E2731">_xlfn.IFNA(_xlfn.XLOOKUP(1,([1]!hcahps[Facility ID] = clean[[#This Row],[Facility ID]]) * ([1]!hcahps[HCAHPS Measure ID] = "H_HSP_RATING_LINEAR_SCORE"), [1]!hcahps[HCAHPS Linear Mean Value]), "No Match")</f>
        <v>Not Available</v>
      </c>
      <c r="F2731" t="str" cm="1">
        <f t="array" ref="F2731">_xlfn.IFNA(_xlfn.XLOOKUP(1,([1]!readmissions[Facility ID] = clean[[#This Row],[Facility ID]]) * ([1]!readmissions[Measure ID] = "Hybrid_HWR"), [1]!readmissions[Score]), "No Match")</f>
        <v>Not Available</v>
      </c>
    </row>
    <row r="2732" spans="1:6" x14ac:dyDescent="0.2">
      <c r="A2732">
        <f>[1]!hospitalinfo[[#This Row],[Facility ID]]</f>
        <v>264004</v>
      </c>
      <c r="B2732" t="str">
        <f>[1]!hospitalinfo[[#This Row],[State]]</f>
        <v>MO</v>
      </c>
      <c r="C2732" t="str">
        <f>[1]!hospitalinfo[[#This Row],[Hospital Type]]</f>
        <v>Psychiatric</v>
      </c>
      <c r="D2732" t="str">
        <f>[1]!hospitalinfo[[#This Row],[Hospital Ownership]]</f>
        <v>Government - State</v>
      </c>
      <c r="E2732" t="str" cm="1">
        <f t="array" ref="E2732">_xlfn.IFNA(_xlfn.XLOOKUP(1,([1]!hcahps[Facility ID] = clean[[#This Row],[Facility ID]]) * ([1]!hcahps[HCAHPS Measure ID] = "H_HSP_RATING_LINEAR_SCORE"), [1]!hcahps[HCAHPS Linear Mean Value]), "No Match")</f>
        <v>No Match</v>
      </c>
      <c r="F2732" t="str" cm="1">
        <f t="array" ref="F2732">_xlfn.IFNA(_xlfn.XLOOKUP(1,([1]!readmissions[Facility ID] = clean[[#This Row],[Facility ID]]) * ([1]!readmissions[Measure ID] = "Hybrid_HWR"), [1]!readmissions[Score]), "No Match")</f>
        <v>No Match</v>
      </c>
    </row>
    <row r="2733" spans="1:6" x14ac:dyDescent="0.2">
      <c r="A2733">
        <f>[1]!hospitalinfo[[#This Row],[Facility ID]]</f>
        <v>264005</v>
      </c>
      <c r="B2733" t="str">
        <f>[1]!hospitalinfo[[#This Row],[State]]</f>
        <v>MO</v>
      </c>
      <c r="C2733" t="str">
        <f>[1]!hospitalinfo[[#This Row],[Hospital Type]]</f>
        <v>Psychiatric</v>
      </c>
      <c r="D2733" t="str">
        <f>[1]!hospitalinfo[[#This Row],[Hospital Ownership]]</f>
        <v>Government - State</v>
      </c>
      <c r="E2733" t="str" cm="1">
        <f t="array" ref="E2733">_xlfn.IFNA(_xlfn.XLOOKUP(1,([1]!hcahps[Facility ID] = clean[[#This Row],[Facility ID]]) * ([1]!hcahps[HCAHPS Measure ID] = "H_HSP_RATING_LINEAR_SCORE"), [1]!hcahps[HCAHPS Linear Mean Value]), "No Match")</f>
        <v>No Match</v>
      </c>
      <c r="F2733" t="str" cm="1">
        <f t="array" ref="F2733">_xlfn.IFNA(_xlfn.XLOOKUP(1,([1]!readmissions[Facility ID] = clean[[#This Row],[Facility ID]]) * ([1]!readmissions[Measure ID] = "Hybrid_HWR"), [1]!readmissions[Score]), "No Match")</f>
        <v>No Match</v>
      </c>
    </row>
    <row r="2734" spans="1:6" x14ac:dyDescent="0.2">
      <c r="A2734">
        <f>[1]!hospitalinfo[[#This Row],[Facility ID]]</f>
        <v>264007</v>
      </c>
      <c r="B2734" t="str">
        <f>[1]!hospitalinfo[[#This Row],[State]]</f>
        <v>MO</v>
      </c>
      <c r="C2734" t="str">
        <f>[1]!hospitalinfo[[#This Row],[Hospital Type]]</f>
        <v>Psychiatric</v>
      </c>
      <c r="D2734" t="str">
        <f>[1]!hospitalinfo[[#This Row],[Hospital Ownership]]</f>
        <v>Government - State</v>
      </c>
      <c r="E2734" t="str" cm="1">
        <f t="array" ref="E2734">_xlfn.IFNA(_xlfn.XLOOKUP(1,([1]!hcahps[Facility ID] = clean[[#This Row],[Facility ID]]) * ([1]!hcahps[HCAHPS Measure ID] = "H_HSP_RATING_LINEAR_SCORE"), [1]!hcahps[HCAHPS Linear Mean Value]), "No Match")</f>
        <v>No Match</v>
      </c>
      <c r="F2734" t="str" cm="1">
        <f t="array" ref="F2734">_xlfn.IFNA(_xlfn.XLOOKUP(1,([1]!readmissions[Facility ID] = clean[[#This Row],[Facility ID]]) * ([1]!readmissions[Measure ID] = "Hybrid_HWR"), [1]!readmissions[Score]), "No Match")</f>
        <v>No Match</v>
      </c>
    </row>
    <row r="2735" spans="1:6" x14ac:dyDescent="0.2">
      <c r="A2735">
        <f>[1]!hospitalinfo[[#This Row],[Facility ID]]</f>
        <v>264008</v>
      </c>
      <c r="B2735" t="str">
        <f>[1]!hospitalinfo[[#This Row],[State]]</f>
        <v>MO</v>
      </c>
      <c r="C2735" t="str">
        <f>[1]!hospitalinfo[[#This Row],[Hospital Type]]</f>
        <v>Psychiatric</v>
      </c>
      <c r="D2735" t="str">
        <f>[1]!hospitalinfo[[#This Row],[Hospital Ownership]]</f>
        <v>Government - State</v>
      </c>
      <c r="E2735" t="str" cm="1">
        <f t="array" ref="E2735">_xlfn.IFNA(_xlfn.XLOOKUP(1,([1]!hcahps[Facility ID] = clean[[#This Row],[Facility ID]]) * ([1]!hcahps[HCAHPS Measure ID] = "H_HSP_RATING_LINEAR_SCORE"), [1]!hcahps[HCAHPS Linear Mean Value]), "No Match")</f>
        <v>No Match</v>
      </c>
      <c r="F2735" t="str" cm="1">
        <f t="array" ref="F2735">_xlfn.IFNA(_xlfn.XLOOKUP(1,([1]!readmissions[Facility ID] = clean[[#This Row],[Facility ID]]) * ([1]!readmissions[Measure ID] = "Hybrid_HWR"), [1]!readmissions[Score]), "No Match")</f>
        <v>No Match</v>
      </c>
    </row>
    <row r="2736" spans="1:6" x14ac:dyDescent="0.2">
      <c r="A2736">
        <f>[1]!hospitalinfo[[#This Row],[Facility ID]]</f>
        <v>264010</v>
      </c>
      <c r="B2736" t="str">
        <f>[1]!hospitalinfo[[#This Row],[State]]</f>
        <v>MO</v>
      </c>
      <c r="C2736" t="str">
        <f>[1]!hospitalinfo[[#This Row],[Hospital Type]]</f>
        <v>Psychiatric</v>
      </c>
      <c r="D2736" t="str">
        <f>[1]!hospitalinfo[[#This Row],[Hospital Ownership]]</f>
        <v>Government - State</v>
      </c>
      <c r="E2736" t="str" cm="1">
        <f t="array" ref="E2736">_xlfn.IFNA(_xlfn.XLOOKUP(1,([1]!hcahps[Facility ID] = clean[[#This Row],[Facility ID]]) * ([1]!hcahps[HCAHPS Measure ID] = "H_HSP_RATING_LINEAR_SCORE"), [1]!hcahps[HCAHPS Linear Mean Value]), "No Match")</f>
        <v>No Match</v>
      </c>
      <c r="F2736" t="str" cm="1">
        <f t="array" ref="F2736">_xlfn.IFNA(_xlfn.XLOOKUP(1,([1]!readmissions[Facility ID] = clean[[#This Row],[Facility ID]]) * ([1]!readmissions[Measure ID] = "Hybrid_HWR"), [1]!readmissions[Score]), "No Match")</f>
        <v>No Match</v>
      </c>
    </row>
    <row r="2737" spans="1:6" x14ac:dyDescent="0.2">
      <c r="A2737">
        <f>[1]!hospitalinfo[[#This Row],[Facility ID]]</f>
        <v>264012</v>
      </c>
      <c r="B2737" t="str">
        <f>[1]!hospitalinfo[[#This Row],[State]]</f>
        <v>MO</v>
      </c>
      <c r="C2737" t="str">
        <f>[1]!hospitalinfo[[#This Row],[Hospital Type]]</f>
        <v>Psychiatric</v>
      </c>
      <c r="D2737" t="str">
        <f>[1]!hospitalinfo[[#This Row],[Hospital Ownership]]</f>
        <v>Proprietary</v>
      </c>
      <c r="E2737" t="str" cm="1">
        <f t="array" ref="E2737">_xlfn.IFNA(_xlfn.XLOOKUP(1,([1]!hcahps[Facility ID] = clean[[#This Row],[Facility ID]]) * ([1]!hcahps[HCAHPS Measure ID] = "H_HSP_RATING_LINEAR_SCORE"), [1]!hcahps[HCAHPS Linear Mean Value]), "No Match")</f>
        <v>No Match</v>
      </c>
      <c r="F2737" t="str" cm="1">
        <f t="array" ref="F2737">_xlfn.IFNA(_xlfn.XLOOKUP(1,([1]!readmissions[Facility ID] = clean[[#This Row],[Facility ID]]) * ([1]!readmissions[Measure ID] = "Hybrid_HWR"), [1]!readmissions[Score]), "No Match")</f>
        <v>No Match</v>
      </c>
    </row>
    <row r="2738" spans="1:6" x14ac:dyDescent="0.2">
      <c r="A2738">
        <f>[1]!hospitalinfo[[#This Row],[Facility ID]]</f>
        <v>264020</v>
      </c>
      <c r="B2738" t="str">
        <f>[1]!hospitalinfo[[#This Row],[State]]</f>
        <v>MO</v>
      </c>
      <c r="C2738" t="str">
        <f>[1]!hospitalinfo[[#This Row],[Hospital Type]]</f>
        <v>Psychiatric</v>
      </c>
      <c r="D2738" t="str">
        <f>[1]!hospitalinfo[[#This Row],[Hospital Ownership]]</f>
        <v>Voluntary non-profit - Private</v>
      </c>
      <c r="E2738" t="str" cm="1">
        <f t="array" ref="E2738">_xlfn.IFNA(_xlfn.XLOOKUP(1,([1]!hcahps[Facility ID] = clean[[#This Row],[Facility ID]]) * ([1]!hcahps[HCAHPS Measure ID] = "H_HSP_RATING_LINEAR_SCORE"), [1]!hcahps[HCAHPS Linear Mean Value]), "No Match")</f>
        <v>No Match</v>
      </c>
      <c r="F2738" t="str" cm="1">
        <f t="array" ref="F2738">_xlfn.IFNA(_xlfn.XLOOKUP(1,([1]!readmissions[Facility ID] = clean[[#This Row],[Facility ID]]) * ([1]!readmissions[Measure ID] = "Hybrid_HWR"), [1]!readmissions[Score]), "No Match")</f>
        <v>No Match</v>
      </c>
    </row>
    <row r="2739" spans="1:6" x14ac:dyDescent="0.2">
      <c r="A2739">
        <f>[1]!hospitalinfo[[#This Row],[Facility ID]]</f>
        <v>264024</v>
      </c>
      <c r="B2739" t="str">
        <f>[1]!hospitalinfo[[#This Row],[State]]</f>
        <v>MO</v>
      </c>
      <c r="C2739" t="str">
        <f>[1]!hospitalinfo[[#This Row],[Hospital Type]]</f>
        <v>Psychiatric</v>
      </c>
      <c r="D2739" t="str">
        <f>[1]!hospitalinfo[[#This Row],[Hospital Ownership]]</f>
        <v>Proprietary</v>
      </c>
      <c r="E2739" t="str" cm="1">
        <f t="array" ref="E2739">_xlfn.IFNA(_xlfn.XLOOKUP(1,([1]!hcahps[Facility ID] = clean[[#This Row],[Facility ID]]) * ([1]!hcahps[HCAHPS Measure ID] = "H_HSP_RATING_LINEAR_SCORE"), [1]!hcahps[HCAHPS Linear Mean Value]), "No Match")</f>
        <v>No Match</v>
      </c>
      <c r="F2739" t="str" cm="1">
        <f t="array" ref="F2739">_xlfn.IFNA(_xlfn.XLOOKUP(1,([1]!readmissions[Facility ID] = clean[[#This Row],[Facility ID]]) * ([1]!readmissions[Measure ID] = "Hybrid_HWR"), [1]!readmissions[Score]), "No Match")</f>
        <v>No Match</v>
      </c>
    </row>
    <row r="2740" spans="1:6" x14ac:dyDescent="0.2">
      <c r="A2740">
        <f>[1]!hospitalinfo[[#This Row],[Facility ID]]</f>
        <v>264031</v>
      </c>
      <c r="B2740" t="str">
        <f>[1]!hospitalinfo[[#This Row],[State]]</f>
        <v>MO</v>
      </c>
      <c r="C2740" t="str">
        <f>[1]!hospitalinfo[[#This Row],[Hospital Type]]</f>
        <v>Psychiatric</v>
      </c>
      <c r="D2740" t="str">
        <f>[1]!hospitalinfo[[#This Row],[Hospital Ownership]]</f>
        <v>Proprietary</v>
      </c>
      <c r="E2740" t="str" cm="1">
        <f t="array" ref="E2740">_xlfn.IFNA(_xlfn.XLOOKUP(1,([1]!hcahps[Facility ID] = clean[[#This Row],[Facility ID]]) * ([1]!hcahps[HCAHPS Measure ID] = "H_HSP_RATING_LINEAR_SCORE"), [1]!hcahps[HCAHPS Linear Mean Value]), "No Match")</f>
        <v>No Match</v>
      </c>
      <c r="F2740" t="str" cm="1">
        <f t="array" ref="F2740">_xlfn.IFNA(_xlfn.XLOOKUP(1,([1]!readmissions[Facility ID] = clean[[#This Row],[Facility ID]]) * ([1]!readmissions[Measure ID] = "Hybrid_HWR"), [1]!readmissions[Score]), "No Match")</f>
        <v>No Match</v>
      </c>
    </row>
    <row r="2741" spans="1:6" x14ac:dyDescent="0.2">
      <c r="A2741">
        <f>[1]!hospitalinfo[[#This Row],[Facility ID]]</f>
        <v>264032</v>
      </c>
      <c r="B2741" t="str">
        <f>[1]!hospitalinfo[[#This Row],[State]]</f>
        <v>MO</v>
      </c>
      <c r="C2741" t="str">
        <f>[1]!hospitalinfo[[#This Row],[Hospital Type]]</f>
        <v>Psychiatric</v>
      </c>
      <c r="D2741" t="str">
        <f>[1]!hospitalinfo[[#This Row],[Hospital Ownership]]</f>
        <v>Proprietary</v>
      </c>
      <c r="E2741" t="str" cm="1">
        <f t="array" ref="E2741">_xlfn.IFNA(_xlfn.XLOOKUP(1,([1]!hcahps[Facility ID] = clean[[#This Row],[Facility ID]]) * ([1]!hcahps[HCAHPS Measure ID] = "H_HSP_RATING_LINEAR_SCORE"), [1]!hcahps[HCAHPS Linear Mean Value]), "No Match")</f>
        <v>No Match</v>
      </c>
      <c r="F2741" t="str" cm="1">
        <f t="array" ref="F2741">_xlfn.IFNA(_xlfn.XLOOKUP(1,([1]!readmissions[Facility ID] = clean[[#This Row],[Facility ID]]) * ([1]!readmissions[Measure ID] = "Hybrid_HWR"), [1]!readmissions[Score]), "No Match")</f>
        <v>No Match</v>
      </c>
    </row>
    <row r="2742" spans="1:6" x14ac:dyDescent="0.2">
      <c r="A2742">
        <f>[1]!hospitalinfo[[#This Row],[Facility ID]]</f>
        <v>264033</v>
      </c>
      <c r="B2742" t="str">
        <f>[1]!hospitalinfo[[#This Row],[State]]</f>
        <v>MO</v>
      </c>
      <c r="C2742" t="str">
        <f>[1]!hospitalinfo[[#This Row],[Hospital Type]]</f>
        <v>Psychiatric</v>
      </c>
      <c r="D2742" t="str">
        <f>[1]!hospitalinfo[[#This Row],[Hospital Ownership]]</f>
        <v>Proprietary</v>
      </c>
      <c r="E2742" t="str" cm="1">
        <f t="array" ref="E2742">_xlfn.IFNA(_xlfn.XLOOKUP(1,([1]!hcahps[Facility ID] = clean[[#This Row],[Facility ID]]) * ([1]!hcahps[HCAHPS Measure ID] = "H_HSP_RATING_LINEAR_SCORE"), [1]!hcahps[HCAHPS Linear Mean Value]), "No Match")</f>
        <v>No Match</v>
      </c>
      <c r="F2742" t="str" cm="1">
        <f t="array" ref="F2742">_xlfn.IFNA(_xlfn.XLOOKUP(1,([1]!readmissions[Facility ID] = clean[[#This Row],[Facility ID]]) * ([1]!readmissions[Measure ID] = "Hybrid_HWR"), [1]!readmissions[Score]), "No Match")</f>
        <v>No Match</v>
      </c>
    </row>
    <row r="2743" spans="1:6" x14ac:dyDescent="0.2">
      <c r="A2743">
        <f>[1]!hospitalinfo[[#This Row],[Facility ID]]</f>
        <v>264034</v>
      </c>
      <c r="B2743" t="str">
        <f>[1]!hospitalinfo[[#This Row],[State]]</f>
        <v>MO</v>
      </c>
      <c r="C2743" t="str">
        <f>[1]!hospitalinfo[[#This Row],[Hospital Type]]</f>
        <v>Psychiatric</v>
      </c>
      <c r="D2743" t="str">
        <f>[1]!hospitalinfo[[#This Row],[Hospital Ownership]]</f>
        <v>Proprietary</v>
      </c>
      <c r="E2743" t="str" cm="1">
        <f t="array" ref="E2743">_xlfn.IFNA(_xlfn.XLOOKUP(1,([1]!hcahps[Facility ID] = clean[[#This Row],[Facility ID]]) * ([1]!hcahps[HCAHPS Measure ID] = "H_HSP_RATING_LINEAR_SCORE"), [1]!hcahps[HCAHPS Linear Mean Value]), "No Match")</f>
        <v>No Match</v>
      </c>
      <c r="F2743" t="str" cm="1">
        <f t="array" ref="F2743">_xlfn.IFNA(_xlfn.XLOOKUP(1,([1]!readmissions[Facility ID] = clean[[#This Row],[Facility ID]]) * ([1]!readmissions[Measure ID] = "Hybrid_HWR"), [1]!readmissions[Score]), "No Match")</f>
        <v>No Match</v>
      </c>
    </row>
    <row r="2744" spans="1:6" x14ac:dyDescent="0.2">
      <c r="A2744">
        <f>[1]!hospitalinfo[[#This Row],[Facility ID]]</f>
        <v>264035</v>
      </c>
      <c r="B2744" t="str">
        <f>[1]!hospitalinfo[[#This Row],[State]]</f>
        <v>MO</v>
      </c>
      <c r="C2744" t="str">
        <f>[1]!hospitalinfo[[#This Row],[Hospital Type]]</f>
        <v>Psychiatric</v>
      </c>
      <c r="D2744" t="str">
        <f>[1]!hospitalinfo[[#This Row],[Hospital Ownership]]</f>
        <v>Voluntary non-profit - Other</v>
      </c>
      <c r="E2744" t="str" cm="1">
        <f t="array" ref="E2744">_xlfn.IFNA(_xlfn.XLOOKUP(1,([1]!hcahps[Facility ID] = clean[[#This Row],[Facility ID]]) * ([1]!hcahps[HCAHPS Measure ID] = "H_HSP_RATING_LINEAR_SCORE"), [1]!hcahps[HCAHPS Linear Mean Value]), "No Match")</f>
        <v>No Match</v>
      </c>
      <c r="F2744" t="str" cm="1">
        <f t="array" ref="F2744">_xlfn.IFNA(_xlfn.XLOOKUP(1,([1]!readmissions[Facility ID] = clean[[#This Row],[Facility ID]]) * ([1]!readmissions[Measure ID] = "Hybrid_HWR"), [1]!readmissions[Score]), "No Match")</f>
        <v>No Match</v>
      </c>
    </row>
    <row r="2745" spans="1:6" x14ac:dyDescent="0.2">
      <c r="A2745" t="str">
        <f>[1]!hospitalinfo[[#This Row],[Facility ID]]</f>
        <v>26002F</v>
      </c>
      <c r="B2745" t="str">
        <f>[1]!hospitalinfo[[#This Row],[State]]</f>
        <v>MO</v>
      </c>
      <c r="C2745" t="str">
        <f>[1]!hospitalinfo[[#This Row],[Hospital Type]]</f>
        <v>Acute Care - Department of Defense</v>
      </c>
      <c r="D2745" t="str">
        <f>[1]!hospitalinfo[[#This Row],[Hospital Ownership]]</f>
        <v>Department of Defense</v>
      </c>
      <c r="E2745" cm="1">
        <f t="array" ref="E2745">_xlfn.IFNA(_xlfn.XLOOKUP(1,([1]!hcahps[Facility ID] = clean[[#This Row],[Facility ID]]) * ([1]!hcahps[HCAHPS Measure ID] = "H_HSP_RATING_LINEAR_SCORE"), [1]!hcahps[HCAHPS Linear Mean Value]), "No Match")</f>
        <v>89</v>
      </c>
      <c r="F2745" t="str" cm="1">
        <f t="array" ref="F2745">_xlfn.IFNA(_xlfn.XLOOKUP(1,([1]!readmissions[Facility ID] = clean[[#This Row],[Facility ID]]) * ([1]!readmissions[Measure ID] = "Hybrid_HWR"), [1]!readmissions[Score]), "No Match")</f>
        <v>Not Available</v>
      </c>
    </row>
    <row r="2746" spans="1:6" x14ac:dyDescent="0.2">
      <c r="A2746" t="str">
        <f>[1]!hospitalinfo[[#This Row],[Facility ID]]</f>
        <v>26004F</v>
      </c>
      <c r="B2746" t="str">
        <f>[1]!hospitalinfo[[#This Row],[State]]</f>
        <v>MO</v>
      </c>
      <c r="C2746" t="str">
        <f>[1]!hospitalinfo[[#This Row],[Hospital Type]]</f>
        <v>Acute Care - Veterans Administration</v>
      </c>
      <c r="D2746" t="str">
        <f>[1]!hospitalinfo[[#This Row],[Hospital Ownership]]</f>
        <v>Veterans Health Administration</v>
      </c>
      <c r="E2746" cm="1">
        <f t="array" ref="E2746">_xlfn.IFNA(_xlfn.XLOOKUP(1,([1]!hcahps[Facility ID] = clean[[#This Row],[Facility ID]]) * ([1]!hcahps[HCAHPS Measure ID] = "H_HSP_RATING_LINEAR_SCORE"), [1]!hcahps[HCAHPS Linear Mean Value]), "No Match")</f>
        <v>87</v>
      </c>
      <c r="F2746" cm="1">
        <f t="array" ref="F2746">_xlfn.IFNA(_xlfn.XLOOKUP(1,([1]!readmissions[Facility ID] = clean[[#This Row],[Facility ID]]) * ([1]!readmissions[Measure ID] = "Hybrid_HWR"), [1]!readmissions[Score]), "No Match")</f>
        <v>15.6</v>
      </c>
    </row>
    <row r="2747" spans="1:6" x14ac:dyDescent="0.2">
      <c r="A2747" t="str">
        <f>[1]!hospitalinfo[[#This Row],[Facility ID]]</f>
        <v>26007F</v>
      </c>
      <c r="B2747" t="str">
        <f>[1]!hospitalinfo[[#This Row],[State]]</f>
        <v>MO</v>
      </c>
      <c r="C2747" t="str">
        <f>[1]!hospitalinfo[[#This Row],[Hospital Type]]</f>
        <v>Acute Care - Veterans Administration</v>
      </c>
      <c r="D2747" t="str">
        <f>[1]!hospitalinfo[[#This Row],[Hospital Ownership]]</f>
        <v>Veterans Health Administration</v>
      </c>
      <c r="E2747" t="str" cm="1">
        <f t="array" ref="E2747">_xlfn.IFNA(_xlfn.XLOOKUP(1,([1]!hcahps[Facility ID] = clean[[#This Row],[Facility ID]]) * ([1]!hcahps[HCAHPS Measure ID] = "H_HSP_RATING_LINEAR_SCORE"), [1]!hcahps[HCAHPS Linear Mean Value]), "No Match")</f>
        <v>Not Available</v>
      </c>
      <c r="F2747" cm="1">
        <f t="array" ref="F2747">_xlfn.IFNA(_xlfn.XLOOKUP(1,([1]!readmissions[Facility ID] = clean[[#This Row],[Facility ID]]) * ([1]!readmissions[Measure ID] = "Hybrid_HWR"), [1]!readmissions[Score]), "No Match")</f>
        <v>14.6</v>
      </c>
    </row>
    <row r="2748" spans="1:6" x14ac:dyDescent="0.2">
      <c r="A2748" t="str">
        <f>[1]!hospitalinfo[[#This Row],[Facility ID]]</f>
        <v>26009F</v>
      </c>
      <c r="B2748" t="str">
        <f>[1]!hospitalinfo[[#This Row],[State]]</f>
        <v>MO</v>
      </c>
      <c r="C2748" t="str">
        <f>[1]!hospitalinfo[[#This Row],[Hospital Type]]</f>
        <v>Acute Care - Veterans Administration</v>
      </c>
      <c r="D2748" t="str">
        <f>[1]!hospitalinfo[[#This Row],[Hospital Ownership]]</f>
        <v>Veterans Health Administration</v>
      </c>
      <c r="E2748" cm="1">
        <f t="array" ref="E2748">_xlfn.IFNA(_xlfn.XLOOKUP(1,([1]!hcahps[Facility ID] = clean[[#This Row],[Facility ID]]) * ([1]!hcahps[HCAHPS Measure ID] = "H_HSP_RATING_LINEAR_SCORE"), [1]!hcahps[HCAHPS Linear Mean Value]), "No Match")</f>
        <v>86</v>
      </c>
      <c r="F2748" cm="1">
        <f t="array" ref="F2748">_xlfn.IFNA(_xlfn.XLOOKUP(1,([1]!readmissions[Facility ID] = clean[[#This Row],[Facility ID]]) * ([1]!readmissions[Measure ID] = "Hybrid_HWR"), [1]!readmissions[Score]), "No Match")</f>
        <v>15</v>
      </c>
    </row>
    <row r="2749" spans="1:6" x14ac:dyDescent="0.2">
      <c r="A2749" t="str">
        <f>[1]!hospitalinfo[[#This Row],[Facility ID]]</f>
        <v>26023F</v>
      </c>
      <c r="B2749" t="str">
        <f>[1]!hospitalinfo[[#This Row],[State]]</f>
        <v>MO</v>
      </c>
      <c r="C2749" t="str">
        <f>[1]!hospitalinfo[[#This Row],[Hospital Type]]</f>
        <v>Acute Care - Veterans Administration</v>
      </c>
      <c r="D2749" t="str">
        <f>[1]!hospitalinfo[[#This Row],[Hospital Ownership]]</f>
        <v>Veterans Health Administration</v>
      </c>
      <c r="E2749" cm="1">
        <f t="array" ref="E2749">_xlfn.IFNA(_xlfn.XLOOKUP(1,([1]!hcahps[Facility ID] = clean[[#This Row],[Facility ID]]) * ([1]!hcahps[HCAHPS Measure ID] = "H_HSP_RATING_LINEAR_SCORE"), [1]!hcahps[HCAHPS Linear Mean Value]), "No Match")</f>
        <v>94</v>
      </c>
      <c r="F2749" cm="1">
        <f t="array" ref="F2749">_xlfn.IFNA(_xlfn.XLOOKUP(1,([1]!readmissions[Facility ID] = clean[[#This Row],[Facility ID]]) * ([1]!readmissions[Measure ID] = "Hybrid_HWR"), [1]!readmissions[Score]), "No Match")</f>
        <v>15.9</v>
      </c>
    </row>
    <row r="2750" spans="1:6" x14ac:dyDescent="0.2">
      <c r="A2750">
        <f>[1]!hospitalinfo[[#This Row],[Facility ID]]</f>
        <v>660001</v>
      </c>
      <c r="B2750" t="str">
        <f>[1]!hospitalinfo[[#This Row],[State]]</f>
        <v>MP</v>
      </c>
      <c r="C2750" t="str">
        <f>[1]!hospitalinfo[[#This Row],[Hospital Type]]</f>
        <v>Acute Care Hospitals</v>
      </c>
      <c r="D2750" t="str">
        <f>[1]!hospitalinfo[[#This Row],[Hospital Ownership]]</f>
        <v>Government - State</v>
      </c>
      <c r="E2750" t="str" cm="1">
        <f t="array" ref="E2750">_xlfn.IFNA(_xlfn.XLOOKUP(1,([1]!hcahps[Facility ID] = clean[[#This Row],[Facility ID]]) * ([1]!hcahps[HCAHPS Measure ID] = "H_HSP_RATING_LINEAR_SCORE"), [1]!hcahps[HCAHPS Linear Mean Value]), "No Match")</f>
        <v>Not Available</v>
      </c>
      <c r="F2750" cm="1">
        <f t="array" ref="F2750">_xlfn.IFNA(_xlfn.XLOOKUP(1,([1]!readmissions[Facility ID] = clean[[#This Row],[Facility ID]]) * ([1]!readmissions[Measure ID] = "Hybrid_HWR"), [1]!readmissions[Score]), "No Match")</f>
        <v>16.3</v>
      </c>
    </row>
    <row r="2751" spans="1:6" x14ac:dyDescent="0.2">
      <c r="A2751">
        <f>[1]!hospitalinfo[[#This Row],[Facility ID]]</f>
        <v>250001</v>
      </c>
      <c r="B2751" t="str">
        <f>[1]!hospitalinfo[[#This Row],[State]]</f>
        <v>MS</v>
      </c>
      <c r="C2751" t="str">
        <f>[1]!hospitalinfo[[#This Row],[Hospital Type]]</f>
        <v>Acute Care Hospitals</v>
      </c>
      <c r="D2751" t="str">
        <f>[1]!hospitalinfo[[#This Row],[Hospital Ownership]]</f>
        <v>Government - State</v>
      </c>
      <c r="E2751" cm="1">
        <f t="array" ref="E2751">_xlfn.IFNA(_xlfn.XLOOKUP(1,([1]!hcahps[Facility ID] = clean[[#This Row],[Facility ID]]) * ([1]!hcahps[HCAHPS Measure ID] = "H_HSP_RATING_LINEAR_SCORE"), [1]!hcahps[HCAHPS Linear Mean Value]), "No Match")</f>
        <v>89</v>
      </c>
      <c r="F2751" cm="1">
        <f t="array" ref="F2751">_xlfn.IFNA(_xlfn.XLOOKUP(1,([1]!readmissions[Facility ID] = clean[[#This Row],[Facility ID]]) * ([1]!readmissions[Measure ID] = "Hybrid_HWR"), [1]!readmissions[Score]), "No Match")</f>
        <v>16</v>
      </c>
    </row>
    <row r="2752" spans="1:6" x14ac:dyDescent="0.2">
      <c r="A2752">
        <f>[1]!hospitalinfo[[#This Row],[Facility ID]]</f>
        <v>250002</v>
      </c>
      <c r="B2752" t="str">
        <f>[1]!hospitalinfo[[#This Row],[State]]</f>
        <v>MS</v>
      </c>
      <c r="C2752" t="str">
        <f>[1]!hospitalinfo[[#This Row],[Hospital Type]]</f>
        <v>Acute Care Hospitals</v>
      </c>
      <c r="D2752" t="str">
        <f>[1]!hospitalinfo[[#This Row],[Hospital Ownership]]</f>
        <v>Voluntary non-profit - Private</v>
      </c>
      <c r="E2752" cm="1">
        <f t="array" ref="E2752">_xlfn.IFNA(_xlfn.XLOOKUP(1,([1]!hcahps[Facility ID] = clean[[#This Row],[Facility ID]]) * ([1]!hcahps[HCAHPS Measure ID] = "H_HSP_RATING_LINEAR_SCORE"), [1]!hcahps[HCAHPS Linear Mean Value]), "No Match")</f>
        <v>92</v>
      </c>
      <c r="F2752" cm="1">
        <f t="array" ref="F2752">_xlfn.IFNA(_xlfn.XLOOKUP(1,([1]!readmissions[Facility ID] = clean[[#This Row],[Facility ID]]) * ([1]!readmissions[Measure ID] = "Hybrid_HWR"), [1]!readmissions[Score]), "No Match")</f>
        <v>14.9</v>
      </c>
    </row>
    <row r="2753" spans="1:6" x14ac:dyDescent="0.2">
      <c r="A2753">
        <f>[1]!hospitalinfo[[#This Row],[Facility ID]]</f>
        <v>250004</v>
      </c>
      <c r="B2753" t="str">
        <f>[1]!hospitalinfo[[#This Row],[State]]</f>
        <v>MS</v>
      </c>
      <c r="C2753" t="str">
        <f>[1]!hospitalinfo[[#This Row],[Hospital Type]]</f>
        <v>Acute Care Hospitals</v>
      </c>
      <c r="D2753" t="str">
        <f>[1]!hospitalinfo[[#This Row],[Hospital Ownership]]</f>
        <v>Voluntary non-profit - Private</v>
      </c>
      <c r="E2753" cm="1">
        <f t="array" ref="E2753">_xlfn.IFNA(_xlfn.XLOOKUP(1,([1]!hcahps[Facility ID] = clean[[#This Row],[Facility ID]]) * ([1]!hcahps[HCAHPS Measure ID] = "H_HSP_RATING_LINEAR_SCORE"), [1]!hcahps[HCAHPS Linear Mean Value]), "No Match")</f>
        <v>87</v>
      </c>
      <c r="F2753" cm="1">
        <f t="array" ref="F2753">_xlfn.IFNA(_xlfn.XLOOKUP(1,([1]!readmissions[Facility ID] = clean[[#This Row],[Facility ID]]) * ([1]!readmissions[Measure ID] = "Hybrid_HWR"), [1]!readmissions[Score]), "No Match")</f>
        <v>14.4</v>
      </c>
    </row>
    <row r="2754" spans="1:6" x14ac:dyDescent="0.2">
      <c r="A2754">
        <f>[1]!hospitalinfo[[#This Row],[Facility ID]]</f>
        <v>250006</v>
      </c>
      <c r="B2754" t="str">
        <f>[1]!hospitalinfo[[#This Row],[State]]</f>
        <v>MS</v>
      </c>
      <c r="C2754" t="str">
        <f>[1]!hospitalinfo[[#This Row],[Hospital Type]]</f>
        <v>Acute Care Hospitals</v>
      </c>
      <c r="D2754" t="str">
        <f>[1]!hospitalinfo[[#This Row],[Hospital Ownership]]</f>
        <v>Voluntary non-profit - Other</v>
      </c>
      <c r="E2754" cm="1">
        <f t="array" ref="E2754">_xlfn.IFNA(_xlfn.XLOOKUP(1,([1]!hcahps[Facility ID] = clean[[#This Row],[Facility ID]]) * ([1]!hcahps[HCAHPS Measure ID] = "H_HSP_RATING_LINEAR_SCORE"), [1]!hcahps[HCAHPS Linear Mean Value]), "No Match")</f>
        <v>89</v>
      </c>
      <c r="F2754" cm="1">
        <f t="array" ref="F2754">_xlfn.IFNA(_xlfn.XLOOKUP(1,([1]!readmissions[Facility ID] = clean[[#This Row],[Facility ID]]) * ([1]!readmissions[Measure ID] = "Hybrid_HWR"), [1]!readmissions[Score]), "No Match")</f>
        <v>14.1</v>
      </c>
    </row>
    <row r="2755" spans="1:6" x14ac:dyDescent="0.2">
      <c r="A2755">
        <f>[1]!hospitalinfo[[#This Row],[Facility ID]]</f>
        <v>250007</v>
      </c>
      <c r="B2755" t="str">
        <f>[1]!hospitalinfo[[#This Row],[State]]</f>
        <v>MS</v>
      </c>
      <c r="C2755" t="str">
        <f>[1]!hospitalinfo[[#This Row],[Hospital Type]]</f>
        <v>Acute Care Hospitals</v>
      </c>
      <c r="D2755" t="str">
        <f>[1]!hospitalinfo[[#This Row],[Hospital Ownership]]</f>
        <v>Proprietary</v>
      </c>
      <c r="E2755" cm="1">
        <f t="array" ref="E2755">_xlfn.IFNA(_xlfn.XLOOKUP(1,([1]!hcahps[Facility ID] = clean[[#This Row],[Facility ID]]) * ([1]!hcahps[HCAHPS Measure ID] = "H_HSP_RATING_LINEAR_SCORE"), [1]!hcahps[HCAHPS Linear Mean Value]), "No Match")</f>
        <v>77</v>
      </c>
      <c r="F2755" cm="1">
        <f t="array" ref="F2755">_xlfn.IFNA(_xlfn.XLOOKUP(1,([1]!readmissions[Facility ID] = clean[[#This Row],[Facility ID]]) * ([1]!readmissions[Measure ID] = "Hybrid_HWR"), [1]!readmissions[Score]), "No Match")</f>
        <v>15.6</v>
      </c>
    </row>
    <row r="2756" spans="1:6" x14ac:dyDescent="0.2">
      <c r="A2756">
        <f>[1]!hospitalinfo[[#This Row],[Facility ID]]</f>
        <v>250009</v>
      </c>
      <c r="B2756" t="str">
        <f>[1]!hospitalinfo[[#This Row],[State]]</f>
        <v>MS</v>
      </c>
      <c r="C2756" t="str">
        <f>[1]!hospitalinfo[[#This Row],[Hospital Type]]</f>
        <v>Acute Care Hospitals</v>
      </c>
      <c r="D2756" t="str">
        <f>[1]!hospitalinfo[[#This Row],[Hospital Ownership]]</f>
        <v>Voluntary non-profit - Other</v>
      </c>
      <c r="E2756" cm="1">
        <f t="array" ref="E2756">_xlfn.IFNA(_xlfn.XLOOKUP(1,([1]!hcahps[Facility ID] = clean[[#This Row],[Facility ID]]) * ([1]!hcahps[HCAHPS Measure ID] = "H_HSP_RATING_LINEAR_SCORE"), [1]!hcahps[HCAHPS Linear Mean Value]), "No Match")</f>
        <v>89</v>
      </c>
      <c r="F2756" cm="1">
        <f t="array" ref="F2756">_xlfn.IFNA(_xlfn.XLOOKUP(1,([1]!readmissions[Facility ID] = clean[[#This Row],[Facility ID]]) * ([1]!readmissions[Measure ID] = "Hybrid_HWR"), [1]!readmissions[Score]), "No Match")</f>
        <v>15</v>
      </c>
    </row>
    <row r="2757" spans="1:6" x14ac:dyDescent="0.2">
      <c r="A2757">
        <f>[1]!hospitalinfo[[#This Row],[Facility ID]]</f>
        <v>250017</v>
      </c>
      <c r="B2757" t="str">
        <f>[1]!hospitalinfo[[#This Row],[State]]</f>
        <v>MS</v>
      </c>
      <c r="C2757" t="str">
        <f>[1]!hospitalinfo[[#This Row],[Hospital Type]]</f>
        <v>Acute Care Hospitals</v>
      </c>
      <c r="D2757" t="str">
        <f>[1]!hospitalinfo[[#This Row],[Hospital Ownership]]</f>
        <v>Proprietary</v>
      </c>
      <c r="E2757" t="str" cm="1">
        <f t="array" ref="E2757">_xlfn.IFNA(_xlfn.XLOOKUP(1,([1]!hcahps[Facility ID] = clean[[#This Row],[Facility ID]]) * ([1]!hcahps[HCAHPS Measure ID] = "H_HSP_RATING_LINEAR_SCORE"), [1]!hcahps[HCAHPS Linear Mean Value]), "No Match")</f>
        <v>Not Available</v>
      </c>
      <c r="F2757" t="str" cm="1">
        <f t="array" ref="F2757">_xlfn.IFNA(_xlfn.XLOOKUP(1,([1]!readmissions[Facility ID] = clean[[#This Row],[Facility ID]]) * ([1]!readmissions[Measure ID] = "Hybrid_HWR"), [1]!readmissions[Score]), "No Match")</f>
        <v>Not Available</v>
      </c>
    </row>
    <row r="2758" spans="1:6" x14ac:dyDescent="0.2">
      <c r="A2758">
        <f>[1]!hospitalinfo[[#This Row],[Facility ID]]</f>
        <v>250018</v>
      </c>
      <c r="B2758" t="str">
        <f>[1]!hospitalinfo[[#This Row],[State]]</f>
        <v>MS</v>
      </c>
      <c r="C2758" t="str">
        <f>[1]!hospitalinfo[[#This Row],[Hospital Type]]</f>
        <v>Acute Care Hospitals</v>
      </c>
      <c r="D2758" t="str">
        <f>[1]!hospitalinfo[[#This Row],[Hospital Ownership]]</f>
        <v>Government - Local</v>
      </c>
      <c r="E2758" t="str" cm="1">
        <f t="array" ref="E2758">_xlfn.IFNA(_xlfn.XLOOKUP(1,([1]!hcahps[Facility ID] = clean[[#This Row],[Facility ID]]) * ([1]!hcahps[HCAHPS Measure ID] = "H_HSP_RATING_LINEAR_SCORE"), [1]!hcahps[HCAHPS Linear Mean Value]), "No Match")</f>
        <v>Not Available</v>
      </c>
      <c r="F2758" t="str" cm="1">
        <f t="array" ref="F2758">_xlfn.IFNA(_xlfn.XLOOKUP(1,([1]!readmissions[Facility ID] = clean[[#This Row],[Facility ID]]) * ([1]!readmissions[Measure ID] = "Hybrid_HWR"), [1]!readmissions[Score]), "No Match")</f>
        <v>Not Available</v>
      </c>
    </row>
    <row r="2759" spans="1:6" x14ac:dyDescent="0.2">
      <c r="A2759">
        <f>[1]!hospitalinfo[[#This Row],[Facility ID]]</f>
        <v>250019</v>
      </c>
      <c r="B2759" t="str">
        <f>[1]!hospitalinfo[[#This Row],[State]]</f>
        <v>MS</v>
      </c>
      <c r="C2759" t="str">
        <f>[1]!hospitalinfo[[#This Row],[Hospital Type]]</f>
        <v>Acute Care Hospitals</v>
      </c>
      <c r="D2759" t="str">
        <f>[1]!hospitalinfo[[#This Row],[Hospital Ownership]]</f>
        <v>Government - Local</v>
      </c>
      <c r="E2759" cm="1">
        <f t="array" ref="E2759">_xlfn.IFNA(_xlfn.XLOOKUP(1,([1]!hcahps[Facility ID] = clean[[#This Row],[Facility ID]]) * ([1]!hcahps[HCAHPS Measure ID] = "H_HSP_RATING_LINEAR_SCORE"), [1]!hcahps[HCAHPS Linear Mean Value]), "No Match")</f>
        <v>87</v>
      </c>
      <c r="F2759" cm="1">
        <f t="array" ref="F2759">_xlfn.IFNA(_xlfn.XLOOKUP(1,([1]!readmissions[Facility ID] = clean[[#This Row],[Facility ID]]) * ([1]!readmissions[Measure ID] = "Hybrid_HWR"), [1]!readmissions[Score]), "No Match")</f>
        <v>15.6</v>
      </c>
    </row>
    <row r="2760" spans="1:6" x14ac:dyDescent="0.2">
      <c r="A2760">
        <f>[1]!hospitalinfo[[#This Row],[Facility ID]]</f>
        <v>250020</v>
      </c>
      <c r="B2760" t="str">
        <f>[1]!hospitalinfo[[#This Row],[State]]</f>
        <v>MS</v>
      </c>
      <c r="C2760" t="str">
        <f>[1]!hospitalinfo[[#This Row],[Hospital Type]]</f>
        <v>Acute Care Hospitals</v>
      </c>
      <c r="D2760" t="str">
        <f>[1]!hospitalinfo[[#This Row],[Hospital Ownership]]</f>
        <v>Voluntary non-profit - Other</v>
      </c>
      <c r="E2760" cm="1">
        <f t="array" ref="E2760">_xlfn.IFNA(_xlfn.XLOOKUP(1,([1]!hcahps[Facility ID] = clean[[#This Row],[Facility ID]]) * ([1]!hcahps[HCAHPS Measure ID] = "H_HSP_RATING_LINEAR_SCORE"), [1]!hcahps[HCAHPS Linear Mean Value]), "No Match")</f>
        <v>93</v>
      </c>
      <c r="F2760" cm="1">
        <f t="array" ref="F2760">_xlfn.IFNA(_xlfn.XLOOKUP(1,([1]!readmissions[Facility ID] = clean[[#This Row],[Facility ID]]) * ([1]!readmissions[Measure ID] = "Hybrid_HWR"), [1]!readmissions[Score]), "No Match")</f>
        <v>14.3</v>
      </c>
    </row>
    <row r="2761" spans="1:6" x14ac:dyDescent="0.2">
      <c r="A2761">
        <f>[1]!hospitalinfo[[#This Row],[Facility ID]]</f>
        <v>250025</v>
      </c>
      <c r="B2761" t="str">
        <f>[1]!hospitalinfo[[#This Row],[State]]</f>
        <v>MS</v>
      </c>
      <c r="C2761" t="str">
        <f>[1]!hospitalinfo[[#This Row],[Hospital Type]]</f>
        <v>Acute Care Hospitals</v>
      </c>
      <c r="D2761" t="str">
        <f>[1]!hospitalinfo[[#This Row],[Hospital Ownership]]</f>
        <v>Proprietary</v>
      </c>
      <c r="E2761" cm="1">
        <f t="array" ref="E2761">_xlfn.IFNA(_xlfn.XLOOKUP(1,([1]!hcahps[Facility ID] = clean[[#This Row],[Facility ID]]) * ([1]!hcahps[HCAHPS Measure ID] = "H_HSP_RATING_LINEAR_SCORE"), [1]!hcahps[HCAHPS Linear Mean Value]), "No Match")</f>
        <v>91</v>
      </c>
      <c r="F2761" cm="1">
        <f t="array" ref="F2761">_xlfn.IFNA(_xlfn.XLOOKUP(1,([1]!readmissions[Facility ID] = clean[[#This Row],[Facility ID]]) * ([1]!readmissions[Measure ID] = "Hybrid_HWR"), [1]!readmissions[Score]), "No Match")</f>
        <v>14.5</v>
      </c>
    </row>
    <row r="2762" spans="1:6" x14ac:dyDescent="0.2">
      <c r="A2762">
        <f>[1]!hospitalinfo[[#This Row],[Facility ID]]</f>
        <v>250027</v>
      </c>
      <c r="B2762" t="str">
        <f>[1]!hospitalinfo[[#This Row],[State]]</f>
        <v>MS</v>
      </c>
      <c r="C2762" t="str">
        <f>[1]!hospitalinfo[[#This Row],[Hospital Type]]</f>
        <v>Acute Care Hospitals</v>
      </c>
      <c r="D2762" t="str">
        <f>[1]!hospitalinfo[[#This Row],[Hospital Ownership]]</f>
        <v>Voluntary non-profit - Private</v>
      </c>
      <c r="E2762" t="str" cm="1">
        <f t="array" ref="E2762">_xlfn.IFNA(_xlfn.XLOOKUP(1,([1]!hcahps[Facility ID] = clean[[#This Row],[Facility ID]]) * ([1]!hcahps[HCAHPS Measure ID] = "H_HSP_RATING_LINEAR_SCORE"), [1]!hcahps[HCAHPS Linear Mean Value]), "No Match")</f>
        <v>Not Available</v>
      </c>
      <c r="F2762" cm="1">
        <f t="array" ref="F2762">_xlfn.IFNA(_xlfn.XLOOKUP(1,([1]!readmissions[Facility ID] = clean[[#This Row],[Facility ID]]) * ([1]!readmissions[Measure ID] = "Hybrid_HWR"), [1]!readmissions[Score]), "No Match")</f>
        <v>14.9</v>
      </c>
    </row>
    <row r="2763" spans="1:6" x14ac:dyDescent="0.2">
      <c r="A2763">
        <f>[1]!hospitalinfo[[#This Row],[Facility ID]]</f>
        <v>250031</v>
      </c>
      <c r="B2763" t="str">
        <f>[1]!hospitalinfo[[#This Row],[State]]</f>
        <v>MS</v>
      </c>
      <c r="C2763" t="str">
        <f>[1]!hospitalinfo[[#This Row],[Hospital Type]]</f>
        <v>Acute Care Hospitals</v>
      </c>
      <c r="D2763" t="str">
        <f>[1]!hospitalinfo[[#This Row],[Hospital Ownership]]</f>
        <v>Proprietary</v>
      </c>
      <c r="E2763" cm="1">
        <f t="array" ref="E2763">_xlfn.IFNA(_xlfn.XLOOKUP(1,([1]!hcahps[Facility ID] = clean[[#This Row],[Facility ID]]) * ([1]!hcahps[HCAHPS Measure ID] = "H_HSP_RATING_LINEAR_SCORE"), [1]!hcahps[HCAHPS Linear Mean Value]), "No Match")</f>
        <v>83</v>
      </c>
      <c r="F2763" cm="1">
        <f t="array" ref="F2763">_xlfn.IFNA(_xlfn.XLOOKUP(1,([1]!readmissions[Facility ID] = clean[[#This Row],[Facility ID]]) * ([1]!readmissions[Measure ID] = "Hybrid_HWR"), [1]!readmissions[Score]), "No Match")</f>
        <v>16</v>
      </c>
    </row>
    <row r="2764" spans="1:6" x14ac:dyDescent="0.2">
      <c r="A2764">
        <f>[1]!hospitalinfo[[#This Row],[Facility ID]]</f>
        <v>250034</v>
      </c>
      <c r="B2764" t="str">
        <f>[1]!hospitalinfo[[#This Row],[State]]</f>
        <v>MS</v>
      </c>
      <c r="C2764" t="str">
        <f>[1]!hospitalinfo[[#This Row],[Hospital Type]]</f>
        <v>Acute Care Hospitals</v>
      </c>
      <c r="D2764" t="str">
        <f>[1]!hospitalinfo[[#This Row],[Hospital Ownership]]</f>
        <v>Voluntary non-profit - Private</v>
      </c>
      <c r="E2764" cm="1">
        <f t="array" ref="E2764">_xlfn.IFNA(_xlfn.XLOOKUP(1,([1]!hcahps[Facility ID] = clean[[#This Row],[Facility ID]]) * ([1]!hcahps[HCAHPS Measure ID] = "H_HSP_RATING_LINEAR_SCORE"), [1]!hcahps[HCAHPS Linear Mean Value]), "No Match")</f>
        <v>91</v>
      </c>
      <c r="F2764" cm="1">
        <f t="array" ref="F2764">_xlfn.IFNA(_xlfn.XLOOKUP(1,([1]!readmissions[Facility ID] = clean[[#This Row],[Facility ID]]) * ([1]!readmissions[Measure ID] = "Hybrid_HWR"), [1]!readmissions[Score]), "No Match")</f>
        <v>16.2</v>
      </c>
    </row>
    <row r="2765" spans="1:6" x14ac:dyDescent="0.2">
      <c r="A2765">
        <f>[1]!hospitalinfo[[#This Row],[Facility ID]]</f>
        <v>250036</v>
      </c>
      <c r="B2765" t="str">
        <f>[1]!hospitalinfo[[#This Row],[State]]</f>
        <v>MS</v>
      </c>
      <c r="C2765" t="str">
        <f>[1]!hospitalinfo[[#This Row],[Hospital Type]]</f>
        <v>Acute Care Hospitals</v>
      </c>
      <c r="D2765" t="str">
        <f>[1]!hospitalinfo[[#This Row],[Hospital Ownership]]</f>
        <v>Government - Local</v>
      </c>
      <c r="E2765" cm="1">
        <f t="array" ref="E2765">_xlfn.IFNA(_xlfn.XLOOKUP(1,([1]!hcahps[Facility ID] = clean[[#This Row],[Facility ID]]) * ([1]!hcahps[HCAHPS Measure ID] = "H_HSP_RATING_LINEAR_SCORE"), [1]!hcahps[HCAHPS Linear Mean Value]), "No Match")</f>
        <v>94</v>
      </c>
      <c r="F2765" cm="1">
        <f t="array" ref="F2765">_xlfn.IFNA(_xlfn.XLOOKUP(1,([1]!readmissions[Facility ID] = clean[[#This Row],[Facility ID]]) * ([1]!readmissions[Measure ID] = "Hybrid_HWR"), [1]!readmissions[Score]), "No Match")</f>
        <v>15.7</v>
      </c>
    </row>
    <row r="2766" spans="1:6" x14ac:dyDescent="0.2">
      <c r="A2766">
        <f>[1]!hospitalinfo[[#This Row],[Facility ID]]</f>
        <v>250038</v>
      </c>
      <c r="B2766" t="str">
        <f>[1]!hospitalinfo[[#This Row],[State]]</f>
        <v>MS</v>
      </c>
      <c r="C2766" t="str">
        <f>[1]!hospitalinfo[[#This Row],[Hospital Type]]</f>
        <v>Acute Care Hospitals</v>
      </c>
      <c r="D2766" t="str">
        <f>[1]!hospitalinfo[[#This Row],[Hospital Ownership]]</f>
        <v>Proprietary</v>
      </c>
      <c r="E2766" cm="1">
        <f t="array" ref="E2766">_xlfn.IFNA(_xlfn.XLOOKUP(1,([1]!hcahps[Facility ID] = clean[[#This Row],[Facility ID]]) * ([1]!hcahps[HCAHPS Measure ID] = "H_HSP_RATING_LINEAR_SCORE"), [1]!hcahps[HCAHPS Linear Mean Value]), "No Match")</f>
        <v>89</v>
      </c>
      <c r="F2766" cm="1">
        <f t="array" ref="F2766">_xlfn.IFNA(_xlfn.XLOOKUP(1,([1]!readmissions[Facility ID] = clean[[#This Row],[Facility ID]]) * ([1]!readmissions[Measure ID] = "Hybrid_HWR"), [1]!readmissions[Score]), "No Match")</f>
        <v>15.8</v>
      </c>
    </row>
    <row r="2767" spans="1:6" x14ac:dyDescent="0.2">
      <c r="A2767">
        <f>[1]!hospitalinfo[[#This Row],[Facility ID]]</f>
        <v>250040</v>
      </c>
      <c r="B2767" t="str">
        <f>[1]!hospitalinfo[[#This Row],[State]]</f>
        <v>MS</v>
      </c>
      <c r="C2767" t="str">
        <f>[1]!hospitalinfo[[#This Row],[Hospital Type]]</f>
        <v>Acute Care Hospitals</v>
      </c>
      <c r="D2767" t="str">
        <f>[1]!hospitalinfo[[#This Row],[Hospital Ownership]]</f>
        <v>Government - Local</v>
      </c>
      <c r="E2767" cm="1">
        <f t="array" ref="E2767">_xlfn.IFNA(_xlfn.XLOOKUP(1,([1]!hcahps[Facility ID] = clean[[#This Row],[Facility ID]]) * ([1]!hcahps[HCAHPS Measure ID] = "H_HSP_RATING_LINEAR_SCORE"), [1]!hcahps[HCAHPS Linear Mean Value]), "No Match")</f>
        <v>88</v>
      </c>
      <c r="F2767" cm="1">
        <f t="array" ref="F2767">_xlfn.IFNA(_xlfn.XLOOKUP(1,([1]!readmissions[Facility ID] = clean[[#This Row],[Facility ID]]) * ([1]!readmissions[Measure ID] = "Hybrid_HWR"), [1]!readmissions[Score]), "No Match")</f>
        <v>15.9</v>
      </c>
    </row>
    <row r="2768" spans="1:6" x14ac:dyDescent="0.2">
      <c r="A2768">
        <f>[1]!hospitalinfo[[#This Row],[Facility ID]]</f>
        <v>250042</v>
      </c>
      <c r="B2768" t="str">
        <f>[1]!hospitalinfo[[#This Row],[State]]</f>
        <v>MS</v>
      </c>
      <c r="C2768" t="str">
        <f>[1]!hospitalinfo[[#This Row],[Hospital Type]]</f>
        <v>Acute Care Hospitals</v>
      </c>
      <c r="D2768" t="str">
        <f>[1]!hospitalinfo[[#This Row],[Hospital Ownership]]</f>
        <v>Proprietary</v>
      </c>
      <c r="E2768" t="str" cm="1">
        <f t="array" ref="E2768">_xlfn.IFNA(_xlfn.XLOOKUP(1,([1]!hcahps[Facility ID] = clean[[#This Row],[Facility ID]]) * ([1]!hcahps[HCAHPS Measure ID] = "H_HSP_RATING_LINEAR_SCORE"), [1]!hcahps[HCAHPS Linear Mean Value]), "No Match")</f>
        <v>Not Available</v>
      </c>
      <c r="F2768" cm="1">
        <f t="array" ref="F2768">_xlfn.IFNA(_xlfn.XLOOKUP(1,([1]!readmissions[Facility ID] = clean[[#This Row],[Facility ID]]) * ([1]!readmissions[Measure ID] = "Hybrid_HWR"), [1]!readmissions[Score]), "No Match")</f>
        <v>15.3</v>
      </c>
    </row>
    <row r="2769" spans="1:6" x14ac:dyDescent="0.2">
      <c r="A2769">
        <f>[1]!hospitalinfo[[#This Row],[Facility ID]]</f>
        <v>250043</v>
      </c>
      <c r="B2769" t="str">
        <f>[1]!hospitalinfo[[#This Row],[State]]</f>
        <v>MS</v>
      </c>
      <c r="C2769" t="str">
        <f>[1]!hospitalinfo[[#This Row],[Hospital Type]]</f>
        <v>Acute Care Hospitals</v>
      </c>
      <c r="D2769" t="str">
        <f>[1]!hospitalinfo[[#This Row],[Hospital Ownership]]</f>
        <v>Government - Local</v>
      </c>
      <c r="E2769" t="str" cm="1">
        <f t="array" ref="E2769">_xlfn.IFNA(_xlfn.XLOOKUP(1,([1]!hcahps[Facility ID] = clean[[#This Row],[Facility ID]]) * ([1]!hcahps[HCAHPS Measure ID] = "H_HSP_RATING_LINEAR_SCORE"), [1]!hcahps[HCAHPS Linear Mean Value]), "No Match")</f>
        <v>Not Available</v>
      </c>
      <c r="F2769" cm="1">
        <f t="array" ref="F2769">_xlfn.IFNA(_xlfn.XLOOKUP(1,([1]!readmissions[Facility ID] = clean[[#This Row],[Facility ID]]) * ([1]!readmissions[Measure ID] = "Hybrid_HWR"), [1]!readmissions[Score]), "No Match")</f>
        <v>14.5</v>
      </c>
    </row>
    <row r="2770" spans="1:6" x14ac:dyDescent="0.2">
      <c r="A2770">
        <f>[1]!hospitalinfo[[#This Row],[Facility ID]]</f>
        <v>250044</v>
      </c>
      <c r="B2770" t="str">
        <f>[1]!hospitalinfo[[#This Row],[State]]</f>
        <v>MS</v>
      </c>
      <c r="C2770" t="str">
        <f>[1]!hospitalinfo[[#This Row],[Hospital Type]]</f>
        <v>Acute Care Hospitals</v>
      </c>
      <c r="D2770" t="str">
        <f>[1]!hospitalinfo[[#This Row],[Hospital Ownership]]</f>
        <v>Voluntary non-profit - Church</v>
      </c>
      <c r="E2770" t="str" cm="1">
        <f t="array" ref="E2770">_xlfn.IFNA(_xlfn.XLOOKUP(1,([1]!hcahps[Facility ID] = clean[[#This Row],[Facility ID]]) * ([1]!hcahps[HCAHPS Measure ID] = "H_HSP_RATING_LINEAR_SCORE"), [1]!hcahps[HCAHPS Linear Mean Value]), "No Match")</f>
        <v>Not Available</v>
      </c>
      <c r="F2770" cm="1">
        <f t="array" ref="F2770">_xlfn.IFNA(_xlfn.XLOOKUP(1,([1]!readmissions[Facility ID] = clean[[#This Row],[Facility ID]]) * ([1]!readmissions[Measure ID] = "Hybrid_HWR"), [1]!readmissions[Score]), "No Match")</f>
        <v>14.4</v>
      </c>
    </row>
    <row r="2771" spans="1:6" x14ac:dyDescent="0.2">
      <c r="A2771">
        <f>[1]!hospitalinfo[[#This Row],[Facility ID]]</f>
        <v>250048</v>
      </c>
      <c r="B2771" t="str">
        <f>[1]!hospitalinfo[[#This Row],[State]]</f>
        <v>MS</v>
      </c>
      <c r="C2771" t="str">
        <f>[1]!hospitalinfo[[#This Row],[Hospital Type]]</f>
        <v>Acute Care Hospitals</v>
      </c>
      <c r="D2771" t="str">
        <f>[1]!hospitalinfo[[#This Row],[Hospital Ownership]]</f>
        <v>Voluntary non-profit - Church</v>
      </c>
      <c r="E2771" cm="1">
        <f t="array" ref="E2771">_xlfn.IFNA(_xlfn.XLOOKUP(1,([1]!hcahps[Facility ID] = clean[[#This Row],[Facility ID]]) * ([1]!hcahps[HCAHPS Measure ID] = "H_HSP_RATING_LINEAR_SCORE"), [1]!hcahps[HCAHPS Linear Mean Value]), "No Match")</f>
        <v>89</v>
      </c>
      <c r="F2771" cm="1">
        <f t="array" ref="F2771">_xlfn.IFNA(_xlfn.XLOOKUP(1,([1]!readmissions[Facility ID] = clean[[#This Row],[Facility ID]]) * ([1]!readmissions[Measure ID] = "Hybrid_HWR"), [1]!readmissions[Score]), "No Match")</f>
        <v>15</v>
      </c>
    </row>
    <row r="2772" spans="1:6" x14ac:dyDescent="0.2">
      <c r="A2772">
        <f>[1]!hospitalinfo[[#This Row],[Facility ID]]</f>
        <v>250049</v>
      </c>
      <c r="B2772" t="str">
        <f>[1]!hospitalinfo[[#This Row],[State]]</f>
        <v>MS</v>
      </c>
      <c r="C2772" t="str">
        <f>[1]!hospitalinfo[[#This Row],[Hospital Type]]</f>
        <v>Acute Care Hospitals</v>
      </c>
      <c r="D2772" t="str">
        <f>[1]!hospitalinfo[[#This Row],[Hospital Ownership]]</f>
        <v>Proprietary</v>
      </c>
      <c r="E2772" t="str" cm="1">
        <f t="array" ref="E2772">_xlfn.IFNA(_xlfn.XLOOKUP(1,([1]!hcahps[Facility ID] = clean[[#This Row],[Facility ID]]) * ([1]!hcahps[HCAHPS Measure ID] = "H_HSP_RATING_LINEAR_SCORE"), [1]!hcahps[HCAHPS Linear Mean Value]), "No Match")</f>
        <v>Not Available</v>
      </c>
      <c r="F2772" cm="1">
        <f t="array" ref="F2772">_xlfn.IFNA(_xlfn.XLOOKUP(1,([1]!readmissions[Facility ID] = clean[[#This Row],[Facility ID]]) * ([1]!readmissions[Measure ID] = "Hybrid_HWR"), [1]!readmissions[Score]), "No Match")</f>
        <v>15.6</v>
      </c>
    </row>
    <row r="2773" spans="1:6" x14ac:dyDescent="0.2">
      <c r="A2773">
        <f>[1]!hospitalinfo[[#This Row],[Facility ID]]</f>
        <v>250050</v>
      </c>
      <c r="B2773" t="str">
        <f>[1]!hospitalinfo[[#This Row],[State]]</f>
        <v>MS</v>
      </c>
      <c r="C2773" t="str">
        <f>[1]!hospitalinfo[[#This Row],[Hospital Type]]</f>
        <v>Acute Care Hospitals</v>
      </c>
      <c r="D2773" t="str">
        <f>[1]!hospitalinfo[[#This Row],[Hospital Ownership]]</f>
        <v>Government - Local</v>
      </c>
      <c r="E2773" cm="1">
        <f t="array" ref="E2773">_xlfn.IFNA(_xlfn.XLOOKUP(1,([1]!hcahps[Facility ID] = clean[[#This Row],[Facility ID]]) * ([1]!hcahps[HCAHPS Measure ID] = "H_HSP_RATING_LINEAR_SCORE"), [1]!hcahps[HCAHPS Linear Mean Value]), "No Match")</f>
        <v>86</v>
      </c>
      <c r="F2773" cm="1">
        <f t="array" ref="F2773">_xlfn.IFNA(_xlfn.XLOOKUP(1,([1]!readmissions[Facility ID] = clean[[#This Row],[Facility ID]]) * ([1]!readmissions[Measure ID] = "Hybrid_HWR"), [1]!readmissions[Score]), "No Match")</f>
        <v>15</v>
      </c>
    </row>
    <row r="2774" spans="1:6" x14ac:dyDescent="0.2">
      <c r="A2774">
        <f>[1]!hospitalinfo[[#This Row],[Facility ID]]</f>
        <v>250057</v>
      </c>
      <c r="B2774" t="str">
        <f>[1]!hospitalinfo[[#This Row],[State]]</f>
        <v>MS</v>
      </c>
      <c r="C2774" t="str">
        <f>[1]!hospitalinfo[[#This Row],[Hospital Type]]</f>
        <v>Acute Care Hospitals</v>
      </c>
      <c r="D2774" t="str">
        <f>[1]!hospitalinfo[[#This Row],[Hospital Ownership]]</f>
        <v>Voluntary non-profit - Other</v>
      </c>
      <c r="E2774" cm="1">
        <f t="array" ref="E2774">_xlfn.IFNA(_xlfn.XLOOKUP(1,([1]!hcahps[Facility ID] = clean[[#This Row],[Facility ID]]) * ([1]!hcahps[HCAHPS Measure ID] = "H_HSP_RATING_LINEAR_SCORE"), [1]!hcahps[HCAHPS Linear Mean Value]), "No Match")</f>
        <v>90</v>
      </c>
      <c r="F2774" cm="1">
        <f t="array" ref="F2774">_xlfn.IFNA(_xlfn.XLOOKUP(1,([1]!readmissions[Facility ID] = clean[[#This Row],[Facility ID]]) * ([1]!readmissions[Measure ID] = "Hybrid_HWR"), [1]!readmissions[Score]), "No Match")</f>
        <v>15.3</v>
      </c>
    </row>
    <row r="2775" spans="1:6" x14ac:dyDescent="0.2">
      <c r="A2775">
        <f>[1]!hospitalinfo[[#This Row],[Facility ID]]</f>
        <v>250058</v>
      </c>
      <c r="B2775" t="str">
        <f>[1]!hospitalinfo[[#This Row],[State]]</f>
        <v>MS</v>
      </c>
      <c r="C2775" t="str">
        <f>[1]!hospitalinfo[[#This Row],[Hospital Type]]</f>
        <v>Acute Care Hospitals</v>
      </c>
      <c r="D2775" t="str">
        <f>[1]!hospitalinfo[[#This Row],[Hospital Ownership]]</f>
        <v>Government - Local</v>
      </c>
      <c r="E2775" cm="1">
        <f t="array" ref="E2775">_xlfn.IFNA(_xlfn.XLOOKUP(1,([1]!hcahps[Facility ID] = clean[[#This Row],[Facility ID]]) * ([1]!hcahps[HCAHPS Measure ID] = "H_HSP_RATING_LINEAR_SCORE"), [1]!hcahps[HCAHPS Linear Mean Value]), "No Match")</f>
        <v>89</v>
      </c>
      <c r="F2775" cm="1">
        <f t="array" ref="F2775">_xlfn.IFNA(_xlfn.XLOOKUP(1,([1]!readmissions[Facility ID] = clean[[#This Row],[Facility ID]]) * ([1]!readmissions[Measure ID] = "Hybrid_HWR"), [1]!readmissions[Score]), "No Match")</f>
        <v>16.899999999999999</v>
      </c>
    </row>
    <row r="2776" spans="1:6" x14ac:dyDescent="0.2">
      <c r="A2776">
        <f>[1]!hospitalinfo[[#This Row],[Facility ID]]</f>
        <v>250061</v>
      </c>
      <c r="B2776" t="str">
        <f>[1]!hospitalinfo[[#This Row],[State]]</f>
        <v>MS</v>
      </c>
      <c r="C2776" t="str">
        <f>[1]!hospitalinfo[[#This Row],[Hospital Type]]</f>
        <v>Acute Care Hospitals</v>
      </c>
      <c r="D2776" t="str">
        <f>[1]!hospitalinfo[[#This Row],[Hospital Ownership]]</f>
        <v>Government - Local</v>
      </c>
      <c r="E2776" t="str" cm="1">
        <f t="array" ref="E2776">_xlfn.IFNA(_xlfn.XLOOKUP(1,([1]!hcahps[Facility ID] = clean[[#This Row],[Facility ID]]) * ([1]!hcahps[HCAHPS Measure ID] = "H_HSP_RATING_LINEAR_SCORE"), [1]!hcahps[HCAHPS Linear Mean Value]), "No Match")</f>
        <v>Not Available</v>
      </c>
      <c r="F2776" cm="1">
        <f t="array" ref="F2776">_xlfn.IFNA(_xlfn.XLOOKUP(1,([1]!readmissions[Facility ID] = clean[[#This Row],[Facility ID]]) * ([1]!readmissions[Measure ID] = "Hybrid_HWR"), [1]!readmissions[Score]), "No Match")</f>
        <v>15.4</v>
      </c>
    </row>
    <row r="2777" spans="1:6" x14ac:dyDescent="0.2">
      <c r="A2777">
        <f>[1]!hospitalinfo[[#This Row],[Facility ID]]</f>
        <v>250067</v>
      </c>
      <c r="B2777" t="str">
        <f>[1]!hospitalinfo[[#This Row],[State]]</f>
        <v>MS</v>
      </c>
      <c r="C2777" t="str">
        <f>[1]!hospitalinfo[[#This Row],[Hospital Type]]</f>
        <v>Acute Care Hospitals</v>
      </c>
      <c r="D2777" t="str">
        <f>[1]!hospitalinfo[[#This Row],[Hospital Ownership]]</f>
        <v>Voluntary non-profit - Private</v>
      </c>
      <c r="E2777" cm="1">
        <f t="array" ref="E2777">_xlfn.IFNA(_xlfn.XLOOKUP(1,([1]!hcahps[Facility ID] = clean[[#This Row],[Facility ID]]) * ([1]!hcahps[HCAHPS Measure ID] = "H_HSP_RATING_LINEAR_SCORE"), [1]!hcahps[HCAHPS Linear Mean Value]), "No Match")</f>
        <v>91</v>
      </c>
      <c r="F2777" cm="1">
        <f t="array" ref="F2777">_xlfn.IFNA(_xlfn.XLOOKUP(1,([1]!readmissions[Facility ID] = clean[[#This Row],[Facility ID]]) * ([1]!readmissions[Measure ID] = "Hybrid_HWR"), [1]!readmissions[Score]), "No Match")</f>
        <v>14.7</v>
      </c>
    </row>
    <row r="2778" spans="1:6" x14ac:dyDescent="0.2">
      <c r="A2778">
        <f>[1]!hospitalinfo[[#This Row],[Facility ID]]</f>
        <v>250069</v>
      </c>
      <c r="B2778" t="str">
        <f>[1]!hospitalinfo[[#This Row],[State]]</f>
        <v>MS</v>
      </c>
      <c r="C2778" t="str">
        <f>[1]!hospitalinfo[[#This Row],[Hospital Type]]</f>
        <v>Acute Care Hospitals</v>
      </c>
      <c r="D2778" t="str">
        <f>[1]!hospitalinfo[[#This Row],[Hospital Ownership]]</f>
        <v>Voluntary non-profit - Private</v>
      </c>
      <c r="E2778" cm="1">
        <f t="array" ref="E2778">_xlfn.IFNA(_xlfn.XLOOKUP(1,([1]!hcahps[Facility ID] = clean[[#This Row],[Facility ID]]) * ([1]!hcahps[HCAHPS Measure ID] = "H_HSP_RATING_LINEAR_SCORE"), [1]!hcahps[HCAHPS Linear Mean Value]), "No Match")</f>
        <v>88</v>
      </c>
      <c r="F2778" cm="1">
        <f t="array" ref="F2778">_xlfn.IFNA(_xlfn.XLOOKUP(1,([1]!readmissions[Facility ID] = clean[[#This Row],[Facility ID]]) * ([1]!readmissions[Measure ID] = "Hybrid_HWR"), [1]!readmissions[Score]), "No Match")</f>
        <v>14.7</v>
      </c>
    </row>
    <row r="2779" spans="1:6" x14ac:dyDescent="0.2">
      <c r="A2779">
        <f>[1]!hospitalinfo[[#This Row],[Facility ID]]</f>
        <v>250072</v>
      </c>
      <c r="B2779" t="str">
        <f>[1]!hospitalinfo[[#This Row],[State]]</f>
        <v>MS</v>
      </c>
      <c r="C2779" t="str">
        <f>[1]!hospitalinfo[[#This Row],[Hospital Type]]</f>
        <v>Acute Care Hospitals</v>
      </c>
      <c r="D2779" t="str">
        <f>[1]!hospitalinfo[[#This Row],[Hospital Ownership]]</f>
        <v>Proprietary</v>
      </c>
      <c r="E2779" t="str" cm="1">
        <f t="array" ref="E2779">_xlfn.IFNA(_xlfn.XLOOKUP(1,([1]!hcahps[Facility ID] = clean[[#This Row],[Facility ID]]) * ([1]!hcahps[HCAHPS Measure ID] = "H_HSP_RATING_LINEAR_SCORE"), [1]!hcahps[HCAHPS Linear Mean Value]), "No Match")</f>
        <v>Not Available</v>
      </c>
      <c r="F2779" cm="1">
        <f t="array" ref="F2779">_xlfn.IFNA(_xlfn.XLOOKUP(1,([1]!readmissions[Facility ID] = clean[[#This Row],[Facility ID]]) * ([1]!readmissions[Measure ID] = "Hybrid_HWR"), [1]!readmissions[Score]), "No Match")</f>
        <v>15.3</v>
      </c>
    </row>
    <row r="2780" spans="1:6" x14ac:dyDescent="0.2">
      <c r="A2780">
        <f>[1]!hospitalinfo[[#This Row],[Facility ID]]</f>
        <v>250077</v>
      </c>
      <c r="B2780" t="str">
        <f>[1]!hospitalinfo[[#This Row],[State]]</f>
        <v>MS</v>
      </c>
      <c r="C2780" t="str">
        <f>[1]!hospitalinfo[[#This Row],[Hospital Type]]</f>
        <v>Acute Care Hospitals</v>
      </c>
      <c r="D2780" t="str">
        <f>[1]!hospitalinfo[[#This Row],[Hospital Ownership]]</f>
        <v>Government - Local</v>
      </c>
      <c r="E2780" t="str" cm="1">
        <f t="array" ref="E2780">_xlfn.IFNA(_xlfn.XLOOKUP(1,([1]!hcahps[Facility ID] = clean[[#This Row],[Facility ID]]) * ([1]!hcahps[HCAHPS Measure ID] = "H_HSP_RATING_LINEAR_SCORE"), [1]!hcahps[HCAHPS Linear Mean Value]), "No Match")</f>
        <v>Not Available</v>
      </c>
      <c r="F2780" cm="1">
        <f t="array" ref="F2780">_xlfn.IFNA(_xlfn.XLOOKUP(1,([1]!readmissions[Facility ID] = clean[[#This Row],[Facility ID]]) * ([1]!readmissions[Measure ID] = "Hybrid_HWR"), [1]!readmissions[Score]), "No Match")</f>
        <v>15.8</v>
      </c>
    </row>
    <row r="2781" spans="1:6" x14ac:dyDescent="0.2">
      <c r="A2781">
        <f>[1]!hospitalinfo[[#This Row],[Facility ID]]</f>
        <v>250078</v>
      </c>
      <c r="B2781" t="str">
        <f>[1]!hospitalinfo[[#This Row],[State]]</f>
        <v>MS</v>
      </c>
      <c r="C2781" t="str">
        <f>[1]!hospitalinfo[[#This Row],[Hospital Type]]</f>
        <v>Acute Care Hospitals</v>
      </c>
      <c r="D2781" t="str">
        <f>[1]!hospitalinfo[[#This Row],[Hospital Ownership]]</f>
        <v>Government - Local</v>
      </c>
      <c r="E2781" cm="1">
        <f t="array" ref="E2781">_xlfn.IFNA(_xlfn.XLOOKUP(1,([1]!hcahps[Facility ID] = clean[[#This Row],[Facility ID]]) * ([1]!hcahps[HCAHPS Measure ID] = "H_HSP_RATING_LINEAR_SCORE"), [1]!hcahps[HCAHPS Linear Mean Value]), "No Match")</f>
        <v>89</v>
      </c>
      <c r="F2781" cm="1">
        <f t="array" ref="F2781">_xlfn.IFNA(_xlfn.XLOOKUP(1,([1]!readmissions[Facility ID] = clean[[#This Row],[Facility ID]]) * ([1]!readmissions[Measure ID] = "Hybrid_HWR"), [1]!readmissions[Score]), "No Match")</f>
        <v>15</v>
      </c>
    </row>
    <row r="2782" spans="1:6" x14ac:dyDescent="0.2">
      <c r="A2782">
        <f>[1]!hospitalinfo[[#This Row],[Facility ID]]</f>
        <v>250081</v>
      </c>
      <c r="B2782" t="str">
        <f>[1]!hospitalinfo[[#This Row],[State]]</f>
        <v>MS</v>
      </c>
      <c r="C2782" t="str">
        <f>[1]!hospitalinfo[[#This Row],[Hospital Type]]</f>
        <v>Acute Care Hospitals</v>
      </c>
      <c r="D2782" t="str">
        <f>[1]!hospitalinfo[[#This Row],[Hospital Ownership]]</f>
        <v>Proprietary</v>
      </c>
      <c r="E2782" t="str" cm="1">
        <f t="array" ref="E2782">_xlfn.IFNA(_xlfn.XLOOKUP(1,([1]!hcahps[Facility ID] = clean[[#This Row],[Facility ID]]) * ([1]!hcahps[HCAHPS Measure ID] = "H_HSP_RATING_LINEAR_SCORE"), [1]!hcahps[HCAHPS Linear Mean Value]), "No Match")</f>
        <v>Not Available</v>
      </c>
      <c r="F2782" t="str" cm="1">
        <f t="array" ref="F2782">_xlfn.IFNA(_xlfn.XLOOKUP(1,([1]!readmissions[Facility ID] = clean[[#This Row],[Facility ID]]) * ([1]!readmissions[Measure ID] = "Hybrid_HWR"), [1]!readmissions[Score]), "No Match")</f>
        <v>Not Available</v>
      </c>
    </row>
    <row r="2783" spans="1:6" x14ac:dyDescent="0.2">
      <c r="A2783">
        <f>[1]!hospitalinfo[[#This Row],[Facility ID]]</f>
        <v>250082</v>
      </c>
      <c r="B2783" t="str">
        <f>[1]!hospitalinfo[[#This Row],[State]]</f>
        <v>MS</v>
      </c>
      <c r="C2783" t="str">
        <f>[1]!hospitalinfo[[#This Row],[Hospital Type]]</f>
        <v>Acute Care Hospitals</v>
      </c>
      <c r="D2783" t="str">
        <f>[1]!hospitalinfo[[#This Row],[Hospital Ownership]]</f>
        <v>Government - Local</v>
      </c>
      <c r="E2783" cm="1">
        <f t="array" ref="E2783">_xlfn.IFNA(_xlfn.XLOOKUP(1,([1]!hcahps[Facility ID] = clean[[#This Row],[Facility ID]]) * ([1]!hcahps[HCAHPS Measure ID] = "H_HSP_RATING_LINEAR_SCORE"), [1]!hcahps[HCAHPS Linear Mean Value]), "No Match")</f>
        <v>88</v>
      </c>
      <c r="F2783" cm="1">
        <f t="array" ref="F2783">_xlfn.IFNA(_xlfn.XLOOKUP(1,([1]!readmissions[Facility ID] = clean[[#This Row],[Facility ID]]) * ([1]!readmissions[Measure ID] = "Hybrid_HWR"), [1]!readmissions[Score]), "No Match")</f>
        <v>15</v>
      </c>
    </row>
    <row r="2784" spans="1:6" x14ac:dyDescent="0.2">
      <c r="A2784">
        <f>[1]!hospitalinfo[[#This Row],[Facility ID]]</f>
        <v>250084</v>
      </c>
      <c r="B2784" t="str">
        <f>[1]!hospitalinfo[[#This Row],[State]]</f>
        <v>MS</v>
      </c>
      <c r="C2784" t="str">
        <f>[1]!hospitalinfo[[#This Row],[Hospital Type]]</f>
        <v>Acute Care Hospitals</v>
      </c>
      <c r="D2784" t="str">
        <f>[1]!hospitalinfo[[#This Row],[Hospital Ownership]]</f>
        <v>Proprietary</v>
      </c>
      <c r="E2784" cm="1">
        <f t="array" ref="E2784">_xlfn.IFNA(_xlfn.XLOOKUP(1,([1]!hcahps[Facility ID] = clean[[#This Row],[Facility ID]]) * ([1]!hcahps[HCAHPS Measure ID] = "H_HSP_RATING_LINEAR_SCORE"), [1]!hcahps[HCAHPS Linear Mean Value]), "No Match")</f>
        <v>83</v>
      </c>
      <c r="F2784" cm="1">
        <f t="array" ref="F2784">_xlfn.IFNA(_xlfn.XLOOKUP(1,([1]!readmissions[Facility ID] = clean[[#This Row],[Facility ID]]) * ([1]!readmissions[Measure ID] = "Hybrid_HWR"), [1]!readmissions[Score]), "No Match")</f>
        <v>15.5</v>
      </c>
    </row>
    <row r="2785" spans="1:6" x14ac:dyDescent="0.2">
      <c r="A2785">
        <f>[1]!hospitalinfo[[#This Row],[Facility ID]]</f>
        <v>250085</v>
      </c>
      <c r="B2785" t="str">
        <f>[1]!hospitalinfo[[#This Row],[State]]</f>
        <v>MS</v>
      </c>
      <c r="C2785" t="str">
        <f>[1]!hospitalinfo[[#This Row],[Hospital Type]]</f>
        <v>Acute Care Hospitals</v>
      </c>
      <c r="D2785" t="str">
        <f>[1]!hospitalinfo[[#This Row],[Hospital Ownership]]</f>
        <v>Government - Local</v>
      </c>
      <c r="E2785" t="str" cm="1">
        <f t="array" ref="E2785">_xlfn.IFNA(_xlfn.XLOOKUP(1,([1]!hcahps[Facility ID] = clean[[#This Row],[Facility ID]]) * ([1]!hcahps[HCAHPS Measure ID] = "H_HSP_RATING_LINEAR_SCORE"), [1]!hcahps[HCAHPS Linear Mean Value]), "No Match")</f>
        <v>Not Available</v>
      </c>
      <c r="F2785" cm="1">
        <f t="array" ref="F2785">_xlfn.IFNA(_xlfn.XLOOKUP(1,([1]!readmissions[Facility ID] = clean[[#This Row],[Facility ID]]) * ([1]!readmissions[Measure ID] = "Hybrid_HWR"), [1]!readmissions[Score]), "No Match")</f>
        <v>15.4</v>
      </c>
    </row>
    <row r="2786" spans="1:6" x14ac:dyDescent="0.2">
      <c r="A2786">
        <f>[1]!hospitalinfo[[#This Row],[Facility ID]]</f>
        <v>250093</v>
      </c>
      <c r="B2786" t="str">
        <f>[1]!hospitalinfo[[#This Row],[State]]</f>
        <v>MS</v>
      </c>
      <c r="C2786" t="str">
        <f>[1]!hospitalinfo[[#This Row],[Hospital Type]]</f>
        <v>Acute Care Hospitals</v>
      </c>
      <c r="D2786" t="str">
        <f>[1]!hospitalinfo[[#This Row],[Hospital Ownership]]</f>
        <v>Proprietary</v>
      </c>
      <c r="E2786" cm="1">
        <f t="array" ref="E2786">_xlfn.IFNA(_xlfn.XLOOKUP(1,([1]!hcahps[Facility ID] = clean[[#This Row],[Facility ID]]) * ([1]!hcahps[HCAHPS Measure ID] = "H_HSP_RATING_LINEAR_SCORE"), [1]!hcahps[HCAHPS Linear Mean Value]), "No Match")</f>
        <v>85</v>
      </c>
      <c r="F2786" cm="1">
        <f t="array" ref="F2786">_xlfn.IFNA(_xlfn.XLOOKUP(1,([1]!readmissions[Facility ID] = clean[[#This Row],[Facility ID]]) * ([1]!readmissions[Measure ID] = "Hybrid_HWR"), [1]!readmissions[Score]), "No Match")</f>
        <v>15</v>
      </c>
    </row>
    <row r="2787" spans="1:6" x14ac:dyDescent="0.2">
      <c r="A2787">
        <f>[1]!hospitalinfo[[#This Row],[Facility ID]]</f>
        <v>250094</v>
      </c>
      <c r="B2787" t="str">
        <f>[1]!hospitalinfo[[#This Row],[State]]</f>
        <v>MS</v>
      </c>
      <c r="C2787" t="str">
        <f>[1]!hospitalinfo[[#This Row],[Hospital Type]]</f>
        <v>Acute Care Hospitals</v>
      </c>
      <c r="D2787" t="str">
        <f>[1]!hospitalinfo[[#This Row],[Hospital Ownership]]</f>
        <v>Voluntary non-profit - Private</v>
      </c>
      <c r="E2787" cm="1">
        <f t="array" ref="E2787">_xlfn.IFNA(_xlfn.XLOOKUP(1,([1]!hcahps[Facility ID] = clean[[#This Row],[Facility ID]]) * ([1]!hcahps[HCAHPS Measure ID] = "H_HSP_RATING_LINEAR_SCORE"), [1]!hcahps[HCAHPS Linear Mean Value]), "No Match")</f>
        <v>87</v>
      </c>
      <c r="F2787" cm="1">
        <f t="array" ref="F2787">_xlfn.IFNA(_xlfn.XLOOKUP(1,([1]!readmissions[Facility ID] = clean[[#This Row],[Facility ID]]) * ([1]!readmissions[Measure ID] = "Hybrid_HWR"), [1]!readmissions[Score]), "No Match")</f>
        <v>15.9</v>
      </c>
    </row>
    <row r="2788" spans="1:6" x14ac:dyDescent="0.2">
      <c r="A2788">
        <f>[1]!hospitalinfo[[#This Row],[Facility ID]]</f>
        <v>250095</v>
      </c>
      <c r="B2788" t="str">
        <f>[1]!hospitalinfo[[#This Row],[State]]</f>
        <v>MS</v>
      </c>
      <c r="C2788" t="str">
        <f>[1]!hospitalinfo[[#This Row],[Hospital Type]]</f>
        <v>Acute Care Hospitals</v>
      </c>
      <c r="D2788" t="str">
        <f>[1]!hospitalinfo[[#This Row],[Hospital Ownership]]</f>
        <v>Government - Local</v>
      </c>
      <c r="E2788" t="str" cm="1">
        <f t="array" ref="E2788">_xlfn.IFNA(_xlfn.XLOOKUP(1,([1]!hcahps[Facility ID] = clean[[#This Row],[Facility ID]]) * ([1]!hcahps[HCAHPS Measure ID] = "H_HSP_RATING_LINEAR_SCORE"), [1]!hcahps[HCAHPS Linear Mean Value]), "No Match")</f>
        <v>Not Available</v>
      </c>
      <c r="F2788" cm="1">
        <f t="array" ref="F2788">_xlfn.IFNA(_xlfn.XLOOKUP(1,([1]!readmissions[Facility ID] = clean[[#This Row],[Facility ID]]) * ([1]!readmissions[Measure ID] = "Hybrid_HWR"), [1]!readmissions[Score]), "No Match")</f>
        <v>15</v>
      </c>
    </row>
    <row r="2789" spans="1:6" x14ac:dyDescent="0.2">
      <c r="A2789">
        <f>[1]!hospitalinfo[[#This Row],[Facility ID]]</f>
        <v>250096</v>
      </c>
      <c r="B2789" t="str">
        <f>[1]!hospitalinfo[[#This Row],[State]]</f>
        <v>MS</v>
      </c>
      <c r="C2789" t="str">
        <f>[1]!hospitalinfo[[#This Row],[Hospital Type]]</f>
        <v>Acute Care Hospitals</v>
      </c>
      <c r="D2789" t="str">
        <f>[1]!hospitalinfo[[#This Row],[Hospital Ownership]]</f>
        <v>Proprietary</v>
      </c>
      <c r="E2789" t="str" cm="1">
        <f t="array" ref="E2789">_xlfn.IFNA(_xlfn.XLOOKUP(1,([1]!hcahps[Facility ID] = clean[[#This Row],[Facility ID]]) * ([1]!hcahps[HCAHPS Measure ID] = "H_HSP_RATING_LINEAR_SCORE"), [1]!hcahps[HCAHPS Linear Mean Value]), "No Match")</f>
        <v>Not Available</v>
      </c>
      <c r="F2789" cm="1">
        <f t="array" ref="F2789">_xlfn.IFNA(_xlfn.XLOOKUP(1,([1]!readmissions[Facility ID] = clean[[#This Row],[Facility ID]]) * ([1]!readmissions[Measure ID] = "Hybrid_HWR"), [1]!readmissions[Score]), "No Match")</f>
        <v>15.1</v>
      </c>
    </row>
    <row r="2790" spans="1:6" x14ac:dyDescent="0.2">
      <c r="A2790">
        <f>[1]!hospitalinfo[[#This Row],[Facility ID]]</f>
        <v>250097</v>
      </c>
      <c r="B2790" t="str">
        <f>[1]!hospitalinfo[[#This Row],[State]]</f>
        <v>MS</v>
      </c>
      <c r="C2790" t="str">
        <f>[1]!hospitalinfo[[#This Row],[Hospital Type]]</f>
        <v>Acute Care Hospitals</v>
      </c>
      <c r="D2790" t="str">
        <f>[1]!hospitalinfo[[#This Row],[Hospital Ownership]]</f>
        <v>Government - Local</v>
      </c>
      <c r="E2790" cm="1">
        <f t="array" ref="E2790">_xlfn.IFNA(_xlfn.XLOOKUP(1,([1]!hcahps[Facility ID] = clean[[#This Row],[Facility ID]]) * ([1]!hcahps[HCAHPS Measure ID] = "H_HSP_RATING_LINEAR_SCORE"), [1]!hcahps[HCAHPS Linear Mean Value]), "No Match")</f>
        <v>90</v>
      </c>
      <c r="F2790" cm="1">
        <f t="array" ref="F2790">_xlfn.IFNA(_xlfn.XLOOKUP(1,([1]!readmissions[Facility ID] = clean[[#This Row],[Facility ID]]) * ([1]!readmissions[Measure ID] = "Hybrid_HWR"), [1]!readmissions[Score]), "No Match")</f>
        <v>15.8</v>
      </c>
    </row>
    <row r="2791" spans="1:6" x14ac:dyDescent="0.2">
      <c r="A2791">
        <f>[1]!hospitalinfo[[#This Row],[Facility ID]]</f>
        <v>250099</v>
      </c>
      <c r="B2791" t="str">
        <f>[1]!hospitalinfo[[#This Row],[State]]</f>
        <v>MS</v>
      </c>
      <c r="C2791" t="str">
        <f>[1]!hospitalinfo[[#This Row],[Hospital Type]]</f>
        <v>Acute Care Hospitals</v>
      </c>
      <c r="D2791" t="str">
        <f>[1]!hospitalinfo[[#This Row],[Hospital Ownership]]</f>
        <v>Government - Local</v>
      </c>
      <c r="E2791" t="str" cm="1">
        <f t="array" ref="E2791">_xlfn.IFNA(_xlfn.XLOOKUP(1,([1]!hcahps[Facility ID] = clean[[#This Row],[Facility ID]]) * ([1]!hcahps[HCAHPS Measure ID] = "H_HSP_RATING_LINEAR_SCORE"), [1]!hcahps[HCAHPS Linear Mean Value]), "No Match")</f>
        <v>Not Available</v>
      </c>
      <c r="F2791" cm="1">
        <f t="array" ref="F2791">_xlfn.IFNA(_xlfn.XLOOKUP(1,([1]!readmissions[Facility ID] = clean[[#This Row],[Facility ID]]) * ([1]!readmissions[Measure ID] = "Hybrid_HWR"), [1]!readmissions[Score]), "No Match")</f>
        <v>14.8</v>
      </c>
    </row>
    <row r="2792" spans="1:6" x14ac:dyDescent="0.2">
      <c r="A2792">
        <f>[1]!hospitalinfo[[#This Row],[Facility ID]]</f>
        <v>250100</v>
      </c>
      <c r="B2792" t="str">
        <f>[1]!hospitalinfo[[#This Row],[State]]</f>
        <v>MS</v>
      </c>
      <c r="C2792" t="str">
        <f>[1]!hospitalinfo[[#This Row],[Hospital Type]]</f>
        <v>Acute Care Hospitals</v>
      </c>
      <c r="D2792" t="str">
        <f>[1]!hospitalinfo[[#This Row],[Hospital Ownership]]</f>
        <v>Voluntary non-profit - Private</v>
      </c>
      <c r="E2792" cm="1">
        <f t="array" ref="E2792">_xlfn.IFNA(_xlfn.XLOOKUP(1,([1]!hcahps[Facility ID] = clean[[#This Row],[Facility ID]]) * ([1]!hcahps[HCAHPS Measure ID] = "H_HSP_RATING_LINEAR_SCORE"), [1]!hcahps[HCAHPS Linear Mean Value]), "No Match")</f>
        <v>91</v>
      </c>
      <c r="F2792" cm="1">
        <f t="array" ref="F2792">_xlfn.IFNA(_xlfn.XLOOKUP(1,([1]!readmissions[Facility ID] = clean[[#This Row],[Facility ID]]) * ([1]!readmissions[Measure ID] = "Hybrid_HWR"), [1]!readmissions[Score]), "No Match")</f>
        <v>15.1</v>
      </c>
    </row>
    <row r="2793" spans="1:6" x14ac:dyDescent="0.2">
      <c r="A2793">
        <f>[1]!hospitalinfo[[#This Row],[Facility ID]]</f>
        <v>250102</v>
      </c>
      <c r="B2793" t="str">
        <f>[1]!hospitalinfo[[#This Row],[State]]</f>
        <v>MS</v>
      </c>
      <c r="C2793" t="str">
        <f>[1]!hospitalinfo[[#This Row],[Hospital Type]]</f>
        <v>Acute Care Hospitals</v>
      </c>
      <c r="D2793" t="str">
        <f>[1]!hospitalinfo[[#This Row],[Hospital Ownership]]</f>
        <v>Voluntary non-profit - Private</v>
      </c>
      <c r="E2793" cm="1">
        <f t="array" ref="E2793">_xlfn.IFNA(_xlfn.XLOOKUP(1,([1]!hcahps[Facility ID] = clean[[#This Row],[Facility ID]]) * ([1]!hcahps[HCAHPS Measure ID] = "H_HSP_RATING_LINEAR_SCORE"), [1]!hcahps[HCAHPS Linear Mean Value]), "No Match")</f>
        <v>89</v>
      </c>
      <c r="F2793" cm="1">
        <f t="array" ref="F2793">_xlfn.IFNA(_xlfn.XLOOKUP(1,([1]!readmissions[Facility ID] = clean[[#This Row],[Facility ID]]) * ([1]!readmissions[Measure ID] = "Hybrid_HWR"), [1]!readmissions[Score]), "No Match")</f>
        <v>16.100000000000001</v>
      </c>
    </row>
    <row r="2794" spans="1:6" x14ac:dyDescent="0.2">
      <c r="A2794">
        <f>[1]!hospitalinfo[[#This Row],[Facility ID]]</f>
        <v>250104</v>
      </c>
      <c r="B2794" t="str">
        <f>[1]!hospitalinfo[[#This Row],[State]]</f>
        <v>MS</v>
      </c>
      <c r="C2794" t="str">
        <f>[1]!hospitalinfo[[#This Row],[Hospital Type]]</f>
        <v>Acute Care Hospitals</v>
      </c>
      <c r="D2794" t="str">
        <f>[1]!hospitalinfo[[#This Row],[Hospital Ownership]]</f>
        <v>Voluntary non-profit - Private</v>
      </c>
      <c r="E2794" cm="1">
        <f t="array" ref="E2794">_xlfn.IFNA(_xlfn.XLOOKUP(1,([1]!hcahps[Facility ID] = clean[[#This Row],[Facility ID]]) * ([1]!hcahps[HCAHPS Measure ID] = "H_HSP_RATING_LINEAR_SCORE"), [1]!hcahps[HCAHPS Linear Mean Value]), "No Match")</f>
        <v>81</v>
      </c>
      <c r="F2794" cm="1">
        <f t="array" ref="F2794">_xlfn.IFNA(_xlfn.XLOOKUP(1,([1]!readmissions[Facility ID] = clean[[#This Row],[Facility ID]]) * ([1]!readmissions[Measure ID] = "Hybrid_HWR"), [1]!readmissions[Score]), "No Match")</f>
        <v>15.7</v>
      </c>
    </row>
    <row r="2795" spans="1:6" x14ac:dyDescent="0.2">
      <c r="A2795">
        <f>[1]!hospitalinfo[[#This Row],[Facility ID]]</f>
        <v>250117</v>
      </c>
      <c r="B2795" t="str">
        <f>[1]!hospitalinfo[[#This Row],[State]]</f>
        <v>MS</v>
      </c>
      <c r="C2795" t="str">
        <f>[1]!hospitalinfo[[#This Row],[Hospital Type]]</f>
        <v>Acute Care Hospitals</v>
      </c>
      <c r="D2795" t="str">
        <f>[1]!hospitalinfo[[#This Row],[Hospital Ownership]]</f>
        <v>Government - Local</v>
      </c>
      <c r="E2795" t="str" cm="1">
        <f t="array" ref="E2795">_xlfn.IFNA(_xlfn.XLOOKUP(1,([1]!hcahps[Facility ID] = clean[[#This Row],[Facility ID]]) * ([1]!hcahps[HCAHPS Measure ID] = "H_HSP_RATING_LINEAR_SCORE"), [1]!hcahps[HCAHPS Linear Mean Value]), "No Match")</f>
        <v>Not Available</v>
      </c>
      <c r="F2795" cm="1">
        <f t="array" ref="F2795">_xlfn.IFNA(_xlfn.XLOOKUP(1,([1]!readmissions[Facility ID] = clean[[#This Row],[Facility ID]]) * ([1]!readmissions[Measure ID] = "Hybrid_HWR"), [1]!readmissions[Score]), "No Match")</f>
        <v>15.8</v>
      </c>
    </row>
    <row r="2796" spans="1:6" x14ac:dyDescent="0.2">
      <c r="A2796">
        <f>[1]!hospitalinfo[[#This Row],[Facility ID]]</f>
        <v>250123</v>
      </c>
      <c r="B2796" t="str">
        <f>[1]!hospitalinfo[[#This Row],[State]]</f>
        <v>MS</v>
      </c>
      <c r="C2796" t="str">
        <f>[1]!hospitalinfo[[#This Row],[Hospital Type]]</f>
        <v>Acute Care Hospitals</v>
      </c>
      <c r="D2796" t="str">
        <f>[1]!hospitalinfo[[#This Row],[Hospital Ownership]]</f>
        <v>Proprietary</v>
      </c>
      <c r="E2796" cm="1">
        <f t="array" ref="E2796">_xlfn.IFNA(_xlfn.XLOOKUP(1,([1]!hcahps[Facility ID] = clean[[#This Row],[Facility ID]]) * ([1]!hcahps[HCAHPS Measure ID] = "H_HSP_RATING_LINEAR_SCORE"), [1]!hcahps[HCAHPS Linear Mean Value]), "No Match")</f>
        <v>89</v>
      </c>
      <c r="F2796" cm="1">
        <f t="array" ref="F2796">_xlfn.IFNA(_xlfn.XLOOKUP(1,([1]!readmissions[Facility ID] = clean[[#This Row],[Facility ID]]) * ([1]!readmissions[Measure ID] = "Hybrid_HWR"), [1]!readmissions[Score]), "No Match")</f>
        <v>16.2</v>
      </c>
    </row>
    <row r="2797" spans="1:6" x14ac:dyDescent="0.2">
      <c r="A2797">
        <f>[1]!hospitalinfo[[#This Row],[Facility ID]]</f>
        <v>250124</v>
      </c>
      <c r="B2797" t="str">
        <f>[1]!hospitalinfo[[#This Row],[State]]</f>
        <v>MS</v>
      </c>
      <c r="C2797" t="str">
        <f>[1]!hospitalinfo[[#This Row],[Hospital Type]]</f>
        <v>Acute Care Hospitals</v>
      </c>
      <c r="D2797" t="str">
        <f>[1]!hospitalinfo[[#This Row],[Hospital Ownership]]</f>
        <v>Voluntary non-profit - Private</v>
      </c>
      <c r="E2797" t="str" cm="1">
        <f t="array" ref="E2797">_xlfn.IFNA(_xlfn.XLOOKUP(1,([1]!hcahps[Facility ID] = clean[[#This Row],[Facility ID]]) * ([1]!hcahps[HCAHPS Measure ID] = "H_HSP_RATING_LINEAR_SCORE"), [1]!hcahps[HCAHPS Linear Mean Value]), "No Match")</f>
        <v>Not Available</v>
      </c>
      <c r="F2797" cm="1">
        <f t="array" ref="F2797">_xlfn.IFNA(_xlfn.XLOOKUP(1,([1]!readmissions[Facility ID] = clean[[#This Row],[Facility ID]]) * ([1]!readmissions[Measure ID] = "Hybrid_HWR"), [1]!readmissions[Score]), "No Match")</f>
        <v>14.9</v>
      </c>
    </row>
    <row r="2798" spans="1:6" x14ac:dyDescent="0.2">
      <c r="A2798">
        <f>[1]!hospitalinfo[[#This Row],[Facility ID]]</f>
        <v>250127</v>
      </c>
      <c r="B2798" t="str">
        <f>[1]!hospitalinfo[[#This Row],[State]]</f>
        <v>MS</v>
      </c>
      <c r="C2798" t="str">
        <f>[1]!hospitalinfo[[#This Row],[Hospital Type]]</f>
        <v>Acute Care Hospitals</v>
      </c>
      <c r="D2798" t="str">
        <f>[1]!hospitalinfo[[#This Row],[Hospital Ownership]]</f>
        <v>Government - Federal</v>
      </c>
      <c r="E2798" t="str" cm="1">
        <f t="array" ref="E2798">_xlfn.IFNA(_xlfn.XLOOKUP(1,([1]!hcahps[Facility ID] = clean[[#This Row],[Facility ID]]) * ([1]!hcahps[HCAHPS Measure ID] = "H_HSP_RATING_LINEAR_SCORE"), [1]!hcahps[HCAHPS Linear Mean Value]), "No Match")</f>
        <v>Not Available</v>
      </c>
      <c r="F2798" t="str" cm="1">
        <f t="array" ref="F2798">_xlfn.IFNA(_xlfn.XLOOKUP(1,([1]!readmissions[Facility ID] = clean[[#This Row],[Facility ID]]) * ([1]!readmissions[Measure ID] = "Hybrid_HWR"), [1]!readmissions[Score]), "No Match")</f>
        <v>Not Available</v>
      </c>
    </row>
    <row r="2799" spans="1:6" x14ac:dyDescent="0.2">
      <c r="A2799">
        <f>[1]!hospitalinfo[[#This Row],[Facility ID]]</f>
        <v>250134</v>
      </c>
      <c r="B2799" t="str">
        <f>[1]!hospitalinfo[[#This Row],[State]]</f>
        <v>MS</v>
      </c>
      <c r="C2799" t="str">
        <f>[1]!hospitalinfo[[#This Row],[Hospital Type]]</f>
        <v>Acute Care Hospitals</v>
      </c>
      <c r="D2799" t="str">
        <f>[1]!hospitalinfo[[#This Row],[Hospital Ownership]]</f>
        <v>Government - State</v>
      </c>
      <c r="E2799" t="str" cm="1">
        <f t="array" ref="E2799">_xlfn.IFNA(_xlfn.XLOOKUP(1,([1]!hcahps[Facility ID] = clean[[#This Row],[Facility ID]]) * ([1]!hcahps[HCAHPS Measure ID] = "H_HSP_RATING_LINEAR_SCORE"), [1]!hcahps[HCAHPS Linear Mean Value]), "No Match")</f>
        <v>Not Available</v>
      </c>
      <c r="F2799" cm="1">
        <f t="array" ref="F2799">_xlfn.IFNA(_xlfn.XLOOKUP(1,([1]!readmissions[Facility ID] = clean[[#This Row],[Facility ID]]) * ([1]!readmissions[Measure ID] = "Hybrid_HWR"), [1]!readmissions[Score]), "No Match")</f>
        <v>14.7</v>
      </c>
    </row>
    <row r="2800" spans="1:6" x14ac:dyDescent="0.2">
      <c r="A2800">
        <f>[1]!hospitalinfo[[#This Row],[Facility ID]]</f>
        <v>250136</v>
      </c>
      <c r="B2800" t="str">
        <f>[1]!hospitalinfo[[#This Row],[State]]</f>
        <v>MS</v>
      </c>
      <c r="C2800" t="str">
        <f>[1]!hospitalinfo[[#This Row],[Hospital Type]]</f>
        <v>Acute Care Hospitals</v>
      </c>
      <c r="D2800" t="str">
        <f>[1]!hospitalinfo[[#This Row],[Hospital Ownership]]</f>
        <v>Proprietary</v>
      </c>
      <c r="E2800" cm="1">
        <f t="array" ref="E2800">_xlfn.IFNA(_xlfn.XLOOKUP(1,([1]!hcahps[Facility ID] = clean[[#This Row],[Facility ID]]) * ([1]!hcahps[HCAHPS Measure ID] = "H_HSP_RATING_LINEAR_SCORE"), [1]!hcahps[HCAHPS Linear Mean Value]), "No Match")</f>
        <v>90</v>
      </c>
      <c r="F2800" t="str" cm="1">
        <f t="array" ref="F2800">_xlfn.IFNA(_xlfn.XLOOKUP(1,([1]!readmissions[Facility ID] = clean[[#This Row],[Facility ID]]) * ([1]!readmissions[Measure ID] = "Hybrid_HWR"), [1]!readmissions[Score]), "No Match")</f>
        <v>Not Available</v>
      </c>
    </row>
    <row r="2801" spans="1:6" x14ac:dyDescent="0.2">
      <c r="A2801">
        <f>[1]!hospitalinfo[[#This Row],[Facility ID]]</f>
        <v>250138</v>
      </c>
      <c r="B2801" t="str">
        <f>[1]!hospitalinfo[[#This Row],[State]]</f>
        <v>MS</v>
      </c>
      <c r="C2801" t="str">
        <f>[1]!hospitalinfo[[#This Row],[Hospital Type]]</f>
        <v>Acute Care Hospitals</v>
      </c>
      <c r="D2801" t="str">
        <f>[1]!hospitalinfo[[#This Row],[Hospital Ownership]]</f>
        <v>Proprietary</v>
      </c>
      <c r="E2801" cm="1">
        <f t="array" ref="E2801">_xlfn.IFNA(_xlfn.XLOOKUP(1,([1]!hcahps[Facility ID] = clean[[#This Row],[Facility ID]]) * ([1]!hcahps[HCAHPS Measure ID] = "H_HSP_RATING_LINEAR_SCORE"), [1]!hcahps[HCAHPS Linear Mean Value]), "No Match")</f>
        <v>76</v>
      </c>
      <c r="F2801" cm="1">
        <f t="array" ref="F2801">_xlfn.IFNA(_xlfn.XLOOKUP(1,([1]!readmissions[Facility ID] = clean[[#This Row],[Facility ID]]) * ([1]!readmissions[Measure ID] = "Hybrid_HWR"), [1]!readmissions[Score]), "No Match")</f>
        <v>15</v>
      </c>
    </row>
    <row r="2802" spans="1:6" x14ac:dyDescent="0.2">
      <c r="A2802">
        <f>[1]!hospitalinfo[[#This Row],[Facility ID]]</f>
        <v>250141</v>
      </c>
      <c r="B2802" t="str">
        <f>[1]!hospitalinfo[[#This Row],[State]]</f>
        <v>MS</v>
      </c>
      <c r="C2802" t="str">
        <f>[1]!hospitalinfo[[#This Row],[Hospital Type]]</f>
        <v>Acute Care Hospitals</v>
      </c>
      <c r="D2802" t="str">
        <f>[1]!hospitalinfo[[#This Row],[Hospital Ownership]]</f>
        <v>Proprietary</v>
      </c>
      <c r="E2802" cm="1">
        <f t="array" ref="E2802">_xlfn.IFNA(_xlfn.XLOOKUP(1,([1]!hcahps[Facility ID] = clean[[#This Row],[Facility ID]]) * ([1]!hcahps[HCAHPS Measure ID] = "H_HSP_RATING_LINEAR_SCORE"), [1]!hcahps[HCAHPS Linear Mean Value]), "No Match")</f>
        <v>87</v>
      </c>
      <c r="F2802" cm="1">
        <f t="array" ref="F2802">_xlfn.IFNA(_xlfn.XLOOKUP(1,([1]!readmissions[Facility ID] = clean[[#This Row],[Facility ID]]) * ([1]!readmissions[Measure ID] = "Hybrid_HWR"), [1]!readmissions[Score]), "No Match")</f>
        <v>15.7</v>
      </c>
    </row>
    <row r="2803" spans="1:6" x14ac:dyDescent="0.2">
      <c r="A2803">
        <f>[1]!hospitalinfo[[#This Row],[Facility ID]]</f>
        <v>250151</v>
      </c>
      <c r="B2803" t="str">
        <f>[1]!hospitalinfo[[#This Row],[State]]</f>
        <v>MS</v>
      </c>
      <c r="C2803" t="str">
        <f>[1]!hospitalinfo[[#This Row],[Hospital Type]]</f>
        <v>Acute Care Hospitals</v>
      </c>
      <c r="D2803" t="str">
        <f>[1]!hospitalinfo[[#This Row],[Hospital Ownership]]</f>
        <v>Proprietary</v>
      </c>
      <c r="E2803" t="str" cm="1">
        <f t="array" ref="E2803">_xlfn.IFNA(_xlfn.XLOOKUP(1,([1]!hcahps[Facility ID] = clean[[#This Row],[Facility ID]]) * ([1]!hcahps[HCAHPS Measure ID] = "H_HSP_RATING_LINEAR_SCORE"), [1]!hcahps[HCAHPS Linear Mean Value]), "No Match")</f>
        <v>Not Available</v>
      </c>
      <c r="F2803" cm="1">
        <f t="array" ref="F2803">_xlfn.IFNA(_xlfn.XLOOKUP(1,([1]!readmissions[Facility ID] = clean[[#This Row],[Facility ID]]) * ([1]!readmissions[Measure ID] = "Hybrid_HWR"), [1]!readmissions[Score]), "No Match")</f>
        <v>14.4</v>
      </c>
    </row>
    <row r="2804" spans="1:6" x14ac:dyDescent="0.2">
      <c r="A2804">
        <f>[1]!hospitalinfo[[#This Row],[Facility ID]]</f>
        <v>250152</v>
      </c>
      <c r="B2804" t="str">
        <f>[1]!hospitalinfo[[#This Row],[State]]</f>
        <v>MS</v>
      </c>
      <c r="C2804" t="str">
        <f>[1]!hospitalinfo[[#This Row],[Hospital Type]]</f>
        <v>Acute Care Hospitals</v>
      </c>
      <c r="D2804" t="str">
        <f>[1]!hospitalinfo[[#This Row],[Hospital Ownership]]</f>
        <v>Voluntary non-profit - Private</v>
      </c>
      <c r="E2804" t="str" cm="1">
        <f t="array" ref="E2804">_xlfn.IFNA(_xlfn.XLOOKUP(1,([1]!hcahps[Facility ID] = clean[[#This Row],[Facility ID]]) * ([1]!hcahps[HCAHPS Measure ID] = "H_HSP_RATING_LINEAR_SCORE"), [1]!hcahps[HCAHPS Linear Mean Value]), "No Match")</f>
        <v>Not Available</v>
      </c>
      <c r="F2804" t="str" cm="1">
        <f t="array" ref="F2804">_xlfn.IFNA(_xlfn.XLOOKUP(1,([1]!readmissions[Facility ID] = clean[[#This Row],[Facility ID]]) * ([1]!readmissions[Measure ID] = "Hybrid_HWR"), [1]!readmissions[Score]), "No Match")</f>
        <v>Not Available</v>
      </c>
    </row>
    <row r="2805" spans="1:6" x14ac:dyDescent="0.2">
      <c r="A2805">
        <f>[1]!hospitalinfo[[#This Row],[Facility ID]]</f>
        <v>250162</v>
      </c>
      <c r="B2805" t="str">
        <f>[1]!hospitalinfo[[#This Row],[State]]</f>
        <v>MS</v>
      </c>
      <c r="C2805" t="str">
        <f>[1]!hospitalinfo[[#This Row],[Hospital Type]]</f>
        <v>Acute Care Hospitals</v>
      </c>
      <c r="D2805" t="str">
        <f>[1]!hospitalinfo[[#This Row],[Hospital Ownership]]</f>
        <v>Government - Local</v>
      </c>
      <c r="E2805" cm="1">
        <f t="array" ref="E2805">_xlfn.IFNA(_xlfn.XLOOKUP(1,([1]!hcahps[Facility ID] = clean[[#This Row],[Facility ID]]) * ([1]!hcahps[HCAHPS Measure ID] = "H_HSP_RATING_LINEAR_SCORE"), [1]!hcahps[HCAHPS Linear Mean Value]), "No Match")</f>
        <v>89</v>
      </c>
      <c r="F2805" cm="1">
        <f t="array" ref="F2805">_xlfn.IFNA(_xlfn.XLOOKUP(1,([1]!readmissions[Facility ID] = clean[[#This Row],[Facility ID]]) * ([1]!readmissions[Measure ID] = "Hybrid_HWR"), [1]!readmissions[Score]), "No Match")</f>
        <v>16.100000000000001</v>
      </c>
    </row>
    <row r="2806" spans="1:6" x14ac:dyDescent="0.2">
      <c r="A2806">
        <f>[1]!hospitalinfo[[#This Row],[Facility ID]]</f>
        <v>250167</v>
      </c>
      <c r="B2806" t="str">
        <f>[1]!hospitalinfo[[#This Row],[State]]</f>
        <v>MS</v>
      </c>
      <c r="C2806" t="str">
        <f>[1]!hospitalinfo[[#This Row],[Hospital Type]]</f>
        <v>Acute Care Hospitals</v>
      </c>
      <c r="D2806" t="str">
        <f>[1]!hospitalinfo[[#This Row],[Hospital Ownership]]</f>
        <v>Voluntary non-profit - Private</v>
      </c>
      <c r="E2806" cm="1">
        <f t="array" ref="E2806">_xlfn.IFNA(_xlfn.XLOOKUP(1,([1]!hcahps[Facility ID] = clean[[#This Row],[Facility ID]]) * ([1]!hcahps[HCAHPS Measure ID] = "H_HSP_RATING_LINEAR_SCORE"), [1]!hcahps[HCAHPS Linear Mean Value]), "No Match")</f>
        <v>89</v>
      </c>
      <c r="F2806" cm="1">
        <f t="array" ref="F2806">_xlfn.IFNA(_xlfn.XLOOKUP(1,([1]!readmissions[Facility ID] = clean[[#This Row],[Facility ID]]) * ([1]!readmissions[Measure ID] = "Hybrid_HWR"), [1]!readmissions[Score]), "No Match")</f>
        <v>14.4</v>
      </c>
    </row>
    <row r="2807" spans="1:6" x14ac:dyDescent="0.2">
      <c r="A2807">
        <f>[1]!hospitalinfo[[#This Row],[Facility ID]]</f>
        <v>250168</v>
      </c>
      <c r="B2807" t="str">
        <f>[1]!hospitalinfo[[#This Row],[State]]</f>
        <v>MS</v>
      </c>
      <c r="C2807" t="str">
        <f>[1]!hospitalinfo[[#This Row],[Hospital Type]]</f>
        <v>Acute Care Hospitals</v>
      </c>
      <c r="D2807" t="str">
        <f>[1]!hospitalinfo[[#This Row],[Hospital Ownership]]</f>
        <v>Government - State</v>
      </c>
      <c r="E2807" cm="1">
        <f t="array" ref="E2807">_xlfn.IFNA(_xlfn.XLOOKUP(1,([1]!hcahps[Facility ID] = clean[[#This Row],[Facility ID]]) * ([1]!hcahps[HCAHPS Measure ID] = "H_HSP_RATING_LINEAR_SCORE"), [1]!hcahps[HCAHPS Linear Mean Value]), "No Match")</f>
        <v>90</v>
      </c>
      <c r="F2807" cm="1">
        <f t="array" ref="F2807">_xlfn.IFNA(_xlfn.XLOOKUP(1,([1]!readmissions[Facility ID] = clean[[#This Row],[Facility ID]]) * ([1]!readmissions[Measure ID] = "Hybrid_HWR"), [1]!readmissions[Score]), "No Match")</f>
        <v>15.2</v>
      </c>
    </row>
    <row r="2808" spans="1:6" x14ac:dyDescent="0.2">
      <c r="A2808">
        <f>[1]!hospitalinfo[[#This Row],[Facility ID]]</f>
        <v>250172</v>
      </c>
      <c r="B2808" t="str">
        <f>[1]!hospitalinfo[[#This Row],[State]]</f>
        <v>MS</v>
      </c>
      <c r="C2808" t="str">
        <f>[1]!hospitalinfo[[#This Row],[Hospital Type]]</f>
        <v>Acute Care Hospitals</v>
      </c>
      <c r="D2808" t="str">
        <f>[1]!hospitalinfo[[#This Row],[Hospital Ownership]]</f>
        <v>Voluntary non-profit - Private</v>
      </c>
      <c r="E2808" t="str" cm="1">
        <f t="array" ref="E2808">_xlfn.IFNA(_xlfn.XLOOKUP(1,([1]!hcahps[Facility ID] = clean[[#This Row],[Facility ID]]) * ([1]!hcahps[HCAHPS Measure ID] = "H_HSP_RATING_LINEAR_SCORE"), [1]!hcahps[HCAHPS Linear Mean Value]), "No Match")</f>
        <v>Not Available</v>
      </c>
      <c r="F2808" cm="1">
        <f t="array" ref="F2808">_xlfn.IFNA(_xlfn.XLOOKUP(1,([1]!readmissions[Facility ID] = clean[[#This Row],[Facility ID]]) * ([1]!readmissions[Measure ID] = "Hybrid_HWR"), [1]!readmissions[Score]), "No Match")</f>
        <v>14.7</v>
      </c>
    </row>
    <row r="2809" spans="1:6" x14ac:dyDescent="0.2">
      <c r="A2809">
        <f>[1]!hospitalinfo[[#This Row],[Facility ID]]</f>
        <v>250174</v>
      </c>
      <c r="B2809" t="str">
        <f>[1]!hospitalinfo[[#This Row],[State]]</f>
        <v>MS</v>
      </c>
      <c r="C2809" t="str">
        <f>[1]!hospitalinfo[[#This Row],[Hospital Type]]</f>
        <v>Acute Care Hospitals</v>
      </c>
      <c r="D2809" t="str">
        <f>[1]!hospitalinfo[[#This Row],[Hospital Ownership]]</f>
        <v>Proprietary</v>
      </c>
      <c r="E2809" t="str" cm="1">
        <f t="array" ref="E2809">_xlfn.IFNA(_xlfn.XLOOKUP(1,([1]!hcahps[Facility ID] = clean[[#This Row],[Facility ID]]) * ([1]!hcahps[HCAHPS Measure ID] = "H_HSP_RATING_LINEAR_SCORE"), [1]!hcahps[HCAHPS Linear Mean Value]), "No Match")</f>
        <v>Not Available</v>
      </c>
      <c r="F2809" t="str" cm="1">
        <f t="array" ref="F2809">_xlfn.IFNA(_xlfn.XLOOKUP(1,([1]!readmissions[Facility ID] = clean[[#This Row],[Facility ID]]) * ([1]!readmissions[Measure ID] = "Hybrid_HWR"), [1]!readmissions[Score]), "No Match")</f>
        <v>Not Available</v>
      </c>
    </row>
    <row r="2810" spans="1:6" x14ac:dyDescent="0.2">
      <c r="A2810">
        <f>[1]!hospitalinfo[[#This Row],[Facility ID]]</f>
        <v>250780</v>
      </c>
      <c r="B2810" t="str">
        <f>[1]!hospitalinfo[[#This Row],[State]]</f>
        <v>MS</v>
      </c>
      <c r="C2810" t="str">
        <f>[1]!hospitalinfo[[#This Row],[Hospital Type]]</f>
        <v>Rural Emergency Hospital</v>
      </c>
      <c r="D2810" t="str">
        <f>[1]!hospitalinfo[[#This Row],[Hospital Ownership]]</f>
        <v>Proprietary</v>
      </c>
      <c r="E2810" t="str" cm="1">
        <f t="array" ref="E2810">_xlfn.IFNA(_xlfn.XLOOKUP(1,([1]!hcahps[Facility ID] = clean[[#This Row],[Facility ID]]) * ([1]!hcahps[HCAHPS Measure ID] = "H_HSP_RATING_LINEAR_SCORE"), [1]!hcahps[HCAHPS Linear Mean Value]), "No Match")</f>
        <v>Not Available</v>
      </c>
      <c r="F2810" t="str" cm="1">
        <f t="array" ref="F2810">_xlfn.IFNA(_xlfn.XLOOKUP(1,([1]!readmissions[Facility ID] = clean[[#This Row],[Facility ID]]) * ([1]!readmissions[Measure ID] = "Hybrid_HWR"), [1]!readmissions[Score]), "No Match")</f>
        <v>Not Available</v>
      </c>
    </row>
    <row r="2811" spans="1:6" x14ac:dyDescent="0.2">
      <c r="A2811">
        <f>[1]!hospitalinfo[[#This Row],[Facility ID]]</f>
        <v>250781</v>
      </c>
      <c r="B2811" t="str">
        <f>[1]!hospitalinfo[[#This Row],[State]]</f>
        <v>MS</v>
      </c>
      <c r="C2811" t="str">
        <f>[1]!hospitalinfo[[#This Row],[Hospital Type]]</f>
        <v>Rural Emergency Hospital</v>
      </c>
      <c r="D2811" t="str">
        <f>[1]!hospitalinfo[[#This Row],[Hospital Ownership]]</f>
        <v>Proprietary</v>
      </c>
      <c r="E2811" t="str" cm="1">
        <f t="array" ref="E2811">_xlfn.IFNA(_xlfn.XLOOKUP(1,([1]!hcahps[Facility ID] = clean[[#This Row],[Facility ID]]) * ([1]!hcahps[HCAHPS Measure ID] = "H_HSP_RATING_LINEAR_SCORE"), [1]!hcahps[HCAHPS Linear Mean Value]), "No Match")</f>
        <v>Not Available</v>
      </c>
      <c r="F2811" t="str" cm="1">
        <f t="array" ref="F2811">_xlfn.IFNA(_xlfn.XLOOKUP(1,([1]!readmissions[Facility ID] = clean[[#This Row],[Facility ID]]) * ([1]!readmissions[Measure ID] = "Hybrid_HWR"), [1]!readmissions[Score]), "No Match")</f>
        <v>Not Available</v>
      </c>
    </row>
    <row r="2812" spans="1:6" x14ac:dyDescent="0.2">
      <c r="A2812">
        <f>[1]!hospitalinfo[[#This Row],[Facility ID]]</f>
        <v>250782</v>
      </c>
      <c r="B2812" t="str">
        <f>[1]!hospitalinfo[[#This Row],[State]]</f>
        <v>MS</v>
      </c>
      <c r="C2812" t="str">
        <f>[1]!hospitalinfo[[#This Row],[Hospital Type]]</f>
        <v>Rural Emergency Hospital</v>
      </c>
      <c r="D2812" t="str">
        <f>[1]!hospitalinfo[[#This Row],[Hospital Ownership]]</f>
        <v>Government - Local</v>
      </c>
      <c r="E2812" t="str" cm="1">
        <f t="array" ref="E2812">_xlfn.IFNA(_xlfn.XLOOKUP(1,([1]!hcahps[Facility ID] = clean[[#This Row],[Facility ID]]) * ([1]!hcahps[HCAHPS Measure ID] = "H_HSP_RATING_LINEAR_SCORE"), [1]!hcahps[HCAHPS Linear Mean Value]), "No Match")</f>
        <v>Not Available</v>
      </c>
      <c r="F2812" t="str" cm="1">
        <f t="array" ref="F2812">_xlfn.IFNA(_xlfn.XLOOKUP(1,([1]!readmissions[Facility ID] = clean[[#This Row],[Facility ID]]) * ([1]!readmissions[Measure ID] = "Hybrid_HWR"), [1]!readmissions[Score]), "No Match")</f>
        <v>Not Available</v>
      </c>
    </row>
    <row r="2813" spans="1:6" x14ac:dyDescent="0.2">
      <c r="A2813">
        <f>[1]!hospitalinfo[[#This Row],[Facility ID]]</f>
        <v>250783</v>
      </c>
      <c r="B2813" t="str">
        <f>[1]!hospitalinfo[[#This Row],[State]]</f>
        <v>MS</v>
      </c>
      <c r="C2813" t="str">
        <f>[1]!hospitalinfo[[#This Row],[Hospital Type]]</f>
        <v>Rural Emergency Hospital</v>
      </c>
      <c r="D2813" t="str">
        <f>[1]!hospitalinfo[[#This Row],[Hospital Ownership]]</f>
        <v>Government - Local</v>
      </c>
      <c r="E2813" t="str" cm="1">
        <f t="array" ref="E2813">_xlfn.IFNA(_xlfn.XLOOKUP(1,([1]!hcahps[Facility ID] = clean[[#This Row],[Facility ID]]) * ([1]!hcahps[HCAHPS Measure ID] = "H_HSP_RATING_LINEAR_SCORE"), [1]!hcahps[HCAHPS Linear Mean Value]), "No Match")</f>
        <v>Not Available</v>
      </c>
      <c r="F2813" t="str" cm="1">
        <f t="array" ref="F2813">_xlfn.IFNA(_xlfn.XLOOKUP(1,([1]!readmissions[Facility ID] = clean[[#This Row],[Facility ID]]) * ([1]!readmissions[Measure ID] = "Hybrid_HWR"), [1]!readmissions[Score]), "No Match")</f>
        <v>Not Available</v>
      </c>
    </row>
    <row r="2814" spans="1:6" x14ac:dyDescent="0.2">
      <c r="A2814">
        <f>[1]!hospitalinfo[[#This Row],[Facility ID]]</f>
        <v>250784</v>
      </c>
      <c r="B2814" t="str">
        <f>[1]!hospitalinfo[[#This Row],[State]]</f>
        <v>MS</v>
      </c>
      <c r="C2814" t="str">
        <f>[1]!hospitalinfo[[#This Row],[Hospital Type]]</f>
        <v>Rural Emergency Hospital</v>
      </c>
      <c r="D2814" t="str">
        <f>[1]!hospitalinfo[[#This Row],[Hospital Ownership]]</f>
        <v>Government - Local</v>
      </c>
      <c r="E2814" t="str" cm="1">
        <f t="array" ref="E2814">_xlfn.IFNA(_xlfn.XLOOKUP(1,([1]!hcahps[Facility ID] = clean[[#This Row],[Facility ID]]) * ([1]!hcahps[HCAHPS Measure ID] = "H_HSP_RATING_LINEAR_SCORE"), [1]!hcahps[HCAHPS Linear Mean Value]), "No Match")</f>
        <v>Not Available</v>
      </c>
      <c r="F2814" t="str" cm="1">
        <f t="array" ref="F2814">_xlfn.IFNA(_xlfn.XLOOKUP(1,([1]!readmissions[Facility ID] = clean[[#This Row],[Facility ID]]) * ([1]!readmissions[Measure ID] = "Hybrid_HWR"), [1]!readmissions[Score]), "No Match")</f>
        <v>Not Available</v>
      </c>
    </row>
    <row r="2815" spans="1:6" x14ac:dyDescent="0.2">
      <c r="A2815">
        <f>[1]!hospitalinfo[[#This Row],[Facility ID]]</f>
        <v>250785</v>
      </c>
      <c r="B2815" t="str">
        <f>[1]!hospitalinfo[[#This Row],[State]]</f>
        <v>MS</v>
      </c>
      <c r="C2815" t="str">
        <f>[1]!hospitalinfo[[#This Row],[Hospital Type]]</f>
        <v>Rural Emergency Hospital</v>
      </c>
      <c r="D2815" t="str">
        <f>[1]!hospitalinfo[[#This Row],[Hospital Ownership]]</f>
        <v>Proprietary</v>
      </c>
      <c r="E2815" t="str" cm="1">
        <f t="array" ref="E2815">_xlfn.IFNA(_xlfn.XLOOKUP(1,([1]!hcahps[Facility ID] = clean[[#This Row],[Facility ID]]) * ([1]!hcahps[HCAHPS Measure ID] = "H_HSP_RATING_LINEAR_SCORE"), [1]!hcahps[HCAHPS Linear Mean Value]), "No Match")</f>
        <v>Not Available</v>
      </c>
      <c r="F2815" t="str" cm="1">
        <f t="array" ref="F2815">_xlfn.IFNA(_xlfn.XLOOKUP(1,([1]!readmissions[Facility ID] = clean[[#This Row],[Facility ID]]) * ([1]!readmissions[Measure ID] = "Hybrid_HWR"), [1]!readmissions[Score]), "No Match")</f>
        <v>Not Available</v>
      </c>
    </row>
    <row r="2816" spans="1:6" x14ac:dyDescent="0.2">
      <c r="A2816">
        <f>[1]!hospitalinfo[[#This Row],[Facility ID]]</f>
        <v>250786</v>
      </c>
      <c r="B2816" t="str">
        <f>[1]!hospitalinfo[[#This Row],[State]]</f>
        <v>MS</v>
      </c>
      <c r="C2816" t="str">
        <f>[1]!hospitalinfo[[#This Row],[Hospital Type]]</f>
        <v>Rural Emergency Hospital</v>
      </c>
      <c r="D2816" t="str">
        <f>[1]!hospitalinfo[[#This Row],[Hospital Ownership]]</f>
        <v>Government - Local</v>
      </c>
      <c r="E2816" t="str" cm="1">
        <f t="array" ref="E2816">_xlfn.IFNA(_xlfn.XLOOKUP(1,([1]!hcahps[Facility ID] = clean[[#This Row],[Facility ID]]) * ([1]!hcahps[HCAHPS Measure ID] = "H_HSP_RATING_LINEAR_SCORE"), [1]!hcahps[HCAHPS Linear Mean Value]), "No Match")</f>
        <v>Not Available</v>
      </c>
      <c r="F2816" t="str" cm="1">
        <f t="array" ref="F2816">_xlfn.IFNA(_xlfn.XLOOKUP(1,([1]!readmissions[Facility ID] = clean[[#This Row],[Facility ID]]) * ([1]!readmissions[Measure ID] = "Hybrid_HWR"), [1]!readmissions[Score]), "No Match")</f>
        <v>Not Available</v>
      </c>
    </row>
    <row r="2817" spans="1:6" x14ac:dyDescent="0.2">
      <c r="A2817">
        <f>[1]!hospitalinfo[[#This Row],[Facility ID]]</f>
        <v>251300</v>
      </c>
      <c r="B2817" t="str">
        <f>[1]!hospitalinfo[[#This Row],[State]]</f>
        <v>MS</v>
      </c>
      <c r="C2817" t="str">
        <f>[1]!hospitalinfo[[#This Row],[Hospital Type]]</f>
        <v>Critical Access Hospitals</v>
      </c>
      <c r="D2817" t="str">
        <f>[1]!hospitalinfo[[#This Row],[Hospital Ownership]]</f>
        <v>Voluntary non-profit - Private</v>
      </c>
      <c r="E2817" t="str" cm="1">
        <f t="array" ref="E2817">_xlfn.IFNA(_xlfn.XLOOKUP(1,([1]!hcahps[Facility ID] = clean[[#This Row],[Facility ID]]) * ([1]!hcahps[HCAHPS Measure ID] = "H_HSP_RATING_LINEAR_SCORE"), [1]!hcahps[HCAHPS Linear Mean Value]), "No Match")</f>
        <v>Not Available</v>
      </c>
      <c r="F2817" cm="1">
        <f t="array" ref="F2817">_xlfn.IFNA(_xlfn.XLOOKUP(1,([1]!readmissions[Facility ID] = clean[[#This Row],[Facility ID]]) * ([1]!readmissions[Measure ID] = "Hybrid_HWR"), [1]!readmissions[Score]), "No Match")</f>
        <v>14.9</v>
      </c>
    </row>
    <row r="2818" spans="1:6" x14ac:dyDescent="0.2">
      <c r="A2818">
        <f>[1]!hospitalinfo[[#This Row],[Facility ID]]</f>
        <v>251302</v>
      </c>
      <c r="B2818" t="str">
        <f>[1]!hospitalinfo[[#This Row],[State]]</f>
        <v>MS</v>
      </c>
      <c r="C2818" t="str">
        <f>[1]!hospitalinfo[[#This Row],[Hospital Type]]</f>
        <v>Critical Access Hospitals</v>
      </c>
      <c r="D2818" t="str">
        <f>[1]!hospitalinfo[[#This Row],[Hospital Ownership]]</f>
        <v>Voluntary non-profit - Private</v>
      </c>
      <c r="E2818" t="str" cm="1">
        <f t="array" ref="E2818">_xlfn.IFNA(_xlfn.XLOOKUP(1,([1]!hcahps[Facility ID] = clean[[#This Row],[Facility ID]]) * ([1]!hcahps[HCAHPS Measure ID] = "H_HSP_RATING_LINEAR_SCORE"), [1]!hcahps[HCAHPS Linear Mean Value]), "No Match")</f>
        <v>Not Available</v>
      </c>
      <c r="F2818" cm="1">
        <f t="array" ref="F2818">_xlfn.IFNA(_xlfn.XLOOKUP(1,([1]!readmissions[Facility ID] = clean[[#This Row],[Facility ID]]) * ([1]!readmissions[Measure ID] = "Hybrid_HWR"), [1]!readmissions[Score]), "No Match")</f>
        <v>15</v>
      </c>
    </row>
    <row r="2819" spans="1:6" x14ac:dyDescent="0.2">
      <c r="A2819">
        <f>[1]!hospitalinfo[[#This Row],[Facility ID]]</f>
        <v>251304</v>
      </c>
      <c r="B2819" t="str">
        <f>[1]!hospitalinfo[[#This Row],[State]]</f>
        <v>MS</v>
      </c>
      <c r="C2819" t="str">
        <f>[1]!hospitalinfo[[#This Row],[Hospital Type]]</f>
        <v>Critical Access Hospitals</v>
      </c>
      <c r="D2819" t="str">
        <f>[1]!hospitalinfo[[#This Row],[Hospital Ownership]]</f>
        <v>Government - Local</v>
      </c>
      <c r="E2819" t="str" cm="1">
        <f t="array" ref="E2819">_xlfn.IFNA(_xlfn.XLOOKUP(1,([1]!hcahps[Facility ID] = clean[[#This Row],[Facility ID]]) * ([1]!hcahps[HCAHPS Measure ID] = "H_HSP_RATING_LINEAR_SCORE"), [1]!hcahps[HCAHPS Linear Mean Value]), "No Match")</f>
        <v>Not Available</v>
      </c>
      <c r="F2819" t="str" cm="1">
        <f t="array" ref="F2819">_xlfn.IFNA(_xlfn.XLOOKUP(1,([1]!readmissions[Facility ID] = clean[[#This Row],[Facility ID]]) * ([1]!readmissions[Measure ID] = "Hybrid_HWR"), [1]!readmissions[Score]), "No Match")</f>
        <v>Not Available</v>
      </c>
    </row>
    <row r="2820" spans="1:6" x14ac:dyDescent="0.2">
      <c r="A2820">
        <f>[1]!hospitalinfo[[#This Row],[Facility ID]]</f>
        <v>251305</v>
      </c>
      <c r="B2820" t="str">
        <f>[1]!hospitalinfo[[#This Row],[State]]</f>
        <v>MS</v>
      </c>
      <c r="C2820" t="str">
        <f>[1]!hospitalinfo[[#This Row],[Hospital Type]]</f>
        <v>Critical Access Hospitals</v>
      </c>
      <c r="D2820" t="str">
        <f>[1]!hospitalinfo[[#This Row],[Hospital Ownership]]</f>
        <v>Government - Local</v>
      </c>
      <c r="E2820" t="str" cm="1">
        <f t="array" ref="E2820">_xlfn.IFNA(_xlfn.XLOOKUP(1,([1]!hcahps[Facility ID] = clean[[#This Row],[Facility ID]]) * ([1]!hcahps[HCAHPS Measure ID] = "H_HSP_RATING_LINEAR_SCORE"), [1]!hcahps[HCAHPS Linear Mean Value]), "No Match")</f>
        <v>Not Available</v>
      </c>
      <c r="F2820" cm="1">
        <f t="array" ref="F2820">_xlfn.IFNA(_xlfn.XLOOKUP(1,([1]!readmissions[Facility ID] = clean[[#This Row],[Facility ID]]) * ([1]!readmissions[Measure ID] = "Hybrid_HWR"), [1]!readmissions[Score]), "No Match")</f>
        <v>15.3</v>
      </c>
    </row>
    <row r="2821" spans="1:6" x14ac:dyDescent="0.2">
      <c r="A2821">
        <f>[1]!hospitalinfo[[#This Row],[Facility ID]]</f>
        <v>251307</v>
      </c>
      <c r="B2821" t="str">
        <f>[1]!hospitalinfo[[#This Row],[State]]</f>
        <v>MS</v>
      </c>
      <c r="C2821" t="str">
        <f>[1]!hospitalinfo[[#This Row],[Hospital Type]]</f>
        <v>Critical Access Hospitals</v>
      </c>
      <c r="D2821" t="str">
        <f>[1]!hospitalinfo[[#This Row],[Hospital Ownership]]</f>
        <v>Government - State</v>
      </c>
      <c r="E2821" t="str" cm="1">
        <f t="array" ref="E2821">_xlfn.IFNA(_xlfn.XLOOKUP(1,([1]!hcahps[Facility ID] = clean[[#This Row],[Facility ID]]) * ([1]!hcahps[HCAHPS Measure ID] = "H_HSP_RATING_LINEAR_SCORE"), [1]!hcahps[HCAHPS Linear Mean Value]), "No Match")</f>
        <v>Not Available</v>
      </c>
      <c r="F2821" t="str" cm="1">
        <f t="array" ref="F2821">_xlfn.IFNA(_xlfn.XLOOKUP(1,([1]!readmissions[Facility ID] = clean[[#This Row],[Facility ID]]) * ([1]!readmissions[Measure ID] = "Hybrid_HWR"), [1]!readmissions[Score]), "No Match")</f>
        <v>Not Available</v>
      </c>
    </row>
    <row r="2822" spans="1:6" x14ac:dyDescent="0.2">
      <c r="A2822">
        <f>[1]!hospitalinfo[[#This Row],[Facility ID]]</f>
        <v>251308</v>
      </c>
      <c r="B2822" t="str">
        <f>[1]!hospitalinfo[[#This Row],[State]]</f>
        <v>MS</v>
      </c>
      <c r="C2822" t="str">
        <f>[1]!hospitalinfo[[#This Row],[Hospital Type]]</f>
        <v>Critical Access Hospitals</v>
      </c>
      <c r="D2822" t="str">
        <f>[1]!hospitalinfo[[#This Row],[Hospital Ownership]]</f>
        <v>Voluntary non-profit - Private</v>
      </c>
      <c r="E2822" t="str" cm="1">
        <f t="array" ref="E2822">_xlfn.IFNA(_xlfn.XLOOKUP(1,([1]!hcahps[Facility ID] = clean[[#This Row],[Facility ID]]) * ([1]!hcahps[HCAHPS Measure ID] = "H_HSP_RATING_LINEAR_SCORE"), [1]!hcahps[HCAHPS Linear Mean Value]), "No Match")</f>
        <v>Not Available</v>
      </c>
      <c r="F2822" cm="1">
        <f t="array" ref="F2822">_xlfn.IFNA(_xlfn.XLOOKUP(1,([1]!readmissions[Facility ID] = clean[[#This Row],[Facility ID]]) * ([1]!readmissions[Measure ID] = "Hybrid_HWR"), [1]!readmissions[Score]), "No Match")</f>
        <v>14.8</v>
      </c>
    </row>
    <row r="2823" spans="1:6" x14ac:dyDescent="0.2">
      <c r="A2823">
        <f>[1]!hospitalinfo[[#This Row],[Facility ID]]</f>
        <v>251309</v>
      </c>
      <c r="B2823" t="str">
        <f>[1]!hospitalinfo[[#This Row],[State]]</f>
        <v>MS</v>
      </c>
      <c r="C2823" t="str">
        <f>[1]!hospitalinfo[[#This Row],[Hospital Type]]</f>
        <v>Critical Access Hospitals</v>
      </c>
      <c r="D2823" t="str">
        <f>[1]!hospitalinfo[[#This Row],[Hospital Ownership]]</f>
        <v>Government - Local</v>
      </c>
      <c r="E2823" t="str" cm="1">
        <f t="array" ref="E2823">_xlfn.IFNA(_xlfn.XLOOKUP(1,([1]!hcahps[Facility ID] = clean[[#This Row],[Facility ID]]) * ([1]!hcahps[HCAHPS Measure ID] = "H_HSP_RATING_LINEAR_SCORE"), [1]!hcahps[HCAHPS Linear Mean Value]), "No Match")</f>
        <v>Not Available</v>
      </c>
      <c r="F2823" cm="1">
        <f t="array" ref="F2823">_xlfn.IFNA(_xlfn.XLOOKUP(1,([1]!readmissions[Facility ID] = clean[[#This Row],[Facility ID]]) * ([1]!readmissions[Measure ID] = "Hybrid_HWR"), [1]!readmissions[Score]), "No Match")</f>
        <v>15.3</v>
      </c>
    </row>
    <row r="2824" spans="1:6" x14ac:dyDescent="0.2">
      <c r="A2824">
        <f>[1]!hospitalinfo[[#This Row],[Facility ID]]</f>
        <v>251312</v>
      </c>
      <c r="B2824" t="str">
        <f>[1]!hospitalinfo[[#This Row],[State]]</f>
        <v>MS</v>
      </c>
      <c r="C2824" t="str">
        <f>[1]!hospitalinfo[[#This Row],[Hospital Type]]</f>
        <v>Critical Access Hospitals</v>
      </c>
      <c r="D2824" t="str">
        <f>[1]!hospitalinfo[[#This Row],[Hospital Ownership]]</f>
        <v>Government - Local</v>
      </c>
      <c r="E2824" t="str" cm="1">
        <f t="array" ref="E2824">_xlfn.IFNA(_xlfn.XLOOKUP(1,([1]!hcahps[Facility ID] = clean[[#This Row],[Facility ID]]) * ([1]!hcahps[HCAHPS Measure ID] = "H_HSP_RATING_LINEAR_SCORE"), [1]!hcahps[HCAHPS Linear Mean Value]), "No Match")</f>
        <v>Not Available</v>
      </c>
      <c r="F2824" cm="1">
        <f t="array" ref="F2824">_xlfn.IFNA(_xlfn.XLOOKUP(1,([1]!readmissions[Facility ID] = clean[[#This Row],[Facility ID]]) * ([1]!readmissions[Measure ID] = "Hybrid_HWR"), [1]!readmissions[Score]), "No Match")</f>
        <v>15</v>
      </c>
    </row>
    <row r="2825" spans="1:6" x14ac:dyDescent="0.2">
      <c r="A2825">
        <f>[1]!hospitalinfo[[#This Row],[Facility ID]]</f>
        <v>251313</v>
      </c>
      <c r="B2825" t="str">
        <f>[1]!hospitalinfo[[#This Row],[State]]</f>
        <v>MS</v>
      </c>
      <c r="C2825" t="str">
        <f>[1]!hospitalinfo[[#This Row],[Hospital Type]]</f>
        <v>Critical Access Hospitals</v>
      </c>
      <c r="D2825" t="str">
        <f>[1]!hospitalinfo[[#This Row],[Hospital Ownership]]</f>
        <v>Voluntary non-profit - Private</v>
      </c>
      <c r="E2825" t="str" cm="1">
        <f t="array" ref="E2825">_xlfn.IFNA(_xlfn.XLOOKUP(1,([1]!hcahps[Facility ID] = clean[[#This Row],[Facility ID]]) * ([1]!hcahps[HCAHPS Measure ID] = "H_HSP_RATING_LINEAR_SCORE"), [1]!hcahps[HCAHPS Linear Mean Value]), "No Match")</f>
        <v>Not Available</v>
      </c>
      <c r="F2825" cm="1">
        <f t="array" ref="F2825">_xlfn.IFNA(_xlfn.XLOOKUP(1,([1]!readmissions[Facility ID] = clean[[#This Row],[Facility ID]]) * ([1]!readmissions[Measure ID] = "Hybrid_HWR"), [1]!readmissions[Score]), "No Match")</f>
        <v>15.1</v>
      </c>
    </row>
    <row r="2826" spans="1:6" x14ac:dyDescent="0.2">
      <c r="A2826">
        <f>[1]!hospitalinfo[[#This Row],[Facility ID]]</f>
        <v>251315</v>
      </c>
      <c r="B2826" t="str">
        <f>[1]!hospitalinfo[[#This Row],[State]]</f>
        <v>MS</v>
      </c>
      <c r="C2826" t="str">
        <f>[1]!hospitalinfo[[#This Row],[Hospital Type]]</f>
        <v>Critical Access Hospitals</v>
      </c>
      <c r="D2826" t="str">
        <f>[1]!hospitalinfo[[#This Row],[Hospital Ownership]]</f>
        <v>Voluntary non-profit - Private</v>
      </c>
      <c r="E2826" t="str" cm="1">
        <f t="array" ref="E2826">_xlfn.IFNA(_xlfn.XLOOKUP(1,([1]!hcahps[Facility ID] = clean[[#This Row],[Facility ID]]) * ([1]!hcahps[HCAHPS Measure ID] = "H_HSP_RATING_LINEAR_SCORE"), [1]!hcahps[HCAHPS Linear Mean Value]), "No Match")</f>
        <v>Not Available</v>
      </c>
      <c r="F2826" cm="1">
        <f t="array" ref="F2826">_xlfn.IFNA(_xlfn.XLOOKUP(1,([1]!readmissions[Facility ID] = clean[[#This Row],[Facility ID]]) * ([1]!readmissions[Measure ID] = "Hybrid_HWR"), [1]!readmissions[Score]), "No Match")</f>
        <v>15.1</v>
      </c>
    </row>
    <row r="2827" spans="1:6" x14ac:dyDescent="0.2">
      <c r="A2827">
        <f>[1]!hospitalinfo[[#This Row],[Facility ID]]</f>
        <v>251316</v>
      </c>
      <c r="B2827" t="str">
        <f>[1]!hospitalinfo[[#This Row],[State]]</f>
        <v>MS</v>
      </c>
      <c r="C2827" t="str">
        <f>[1]!hospitalinfo[[#This Row],[Hospital Type]]</f>
        <v>Critical Access Hospitals</v>
      </c>
      <c r="D2827" t="str">
        <f>[1]!hospitalinfo[[#This Row],[Hospital Ownership]]</f>
        <v>Voluntary non-profit - Private</v>
      </c>
      <c r="E2827" t="str" cm="1">
        <f t="array" ref="E2827">_xlfn.IFNA(_xlfn.XLOOKUP(1,([1]!hcahps[Facility ID] = clean[[#This Row],[Facility ID]]) * ([1]!hcahps[HCAHPS Measure ID] = "H_HSP_RATING_LINEAR_SCORE"), [1]!hcahps[HCAHPS Linear Mean Value]), "No Match")</f>
        <v>Not Available</v>
      </c>
      <c r="F2827" cm="1">
        <f t="array" ref="F2827">_xlfn.IFNA(_xlfn.XLOOKUP(1,([1]!readmissions[Facility ID] = clean[[#This Row],[Facility ID]]) * ([1]!readmissions[Measure ID] = "Hybrid_HWR"), [1]!readmissions[Score]), "No Match")</f>
        <v>15.1</v>
      </c>
    </row>
    <row r="2828" spans="1:6" x14ac:dyDescent="0.2">
      <c r="A2828">
        <f>[1]!hospitalinfo[[#This Row],[Facility ID]]</f>
        <v>251317</v>
      </c>
      <c r="B2828" t="str">
        <f>[1]!hospitalinfo[[#This Row],[State]]</f>
        <v>MS</v>
      </c>
      <c r="C2828" t="str">
        <f>[1]!hospitalinfo[[#This Row],[Hospital Type]]</f>
        <v>Critical Access Hospitals</v>
      </c>
      <c r="D2828" t="str">
        <f>[1]!hospitalinfo[[#This Row],[Hospital Ownership]]</f>
        <v>Voluntary non-profit - Private</v>
      </c>
      <c r="E2828" t="str" cm="1">
        <f t="array" ref="E2828">_xlfn.IFNA(_xlfn.XLOOKUP(1,([1]!hcahps[Facility ID] = clean[[#This Row],[Facility ID]]) * ([1]!hcahps[HCAHPS Measure ID] = "H_HSP_RATING_LINEAR_SCORE"), [1]!hcahps[HCAHPS Linear Mean Value]), "No Match")</f>
        <v>Not Available</v>
      </c>
      <c r="F2828" cm="1">
        <f t="array" ref="F2828">_xlfn.IFNA(_xlfn.XLOOKUP(1,([1]!readmissions[Facility ID] = clean[[#This Row],[Facility ID]]) * ([1]!readmissions[Measure ID] = "Hybrid_HWR"), [1]!readmissions[Score]), "No Match")</f>
        <v>15.6</v>
      </c>
    </row>
    <row r="2829" spans="1:6" x14ac:dyDescent="0.2">
      <c r="A2829">
        <f>[1]!hospitalinfo[[#This Row],[Facility ID]]</f>
        <v>251318</v>
      </c>
      <c r="B2829" t="str">
        <f>[1]!hospitalinfo[[#This Row],[State]]</f>
        <v>MS</v>
      </c>
      <c r="C2829" t="str">
        <f>[1]!hospitalinfo[[#This Row],[Hospital Type]]</f>
        <v>Critical Access Hospitals</v>
      </c>
      <c r="D2829" t="str">
        <f>[1]!hospitalinfo[[#This Row],[Hospital Ownership]]</f>
        <v>Government - Local</v>
      </c>
      <c r="E2829" t="str" cm="1">
        <f t="array" ref="E2829">_xlfn.IFNA(_xlfn.XLOOKUP(1,([1]!hcahps[Facility ID] = clean[[#This Row],[Facility ID]]) * ([1]!hcahps[HCAHPS Measure ID] = "H_HSP_RATING_LINEAR_SCORE"), [1]!hcahps[HCAHPS Linear Mean Value]), "No Match")</f>
        <v>Not Available</v>
      </c>
      <c r="F2829" cm="1">
        <f t="array" ref="F2829">_xlfn.IFNA(_xlfn.XLOOKUP(1,([1]!readmissions[Facility ID] = clean[[#This Row],[Facility ID]]) * ([1]!readmissions[Measure ID] = "Hybrid_HWR"), [1]!readmissions[Score]), "No Match")</f>
        <v>15.2</v>
      </c>
    </row>
    <row r="2830" spans="1:6" x14ac:dyDescent="0.2">
      <c r="A2830">
        <f>[1]!hospitalinfo[[#This Row],[Facility ID]]</f>
        <v>251319</v>
      </c>
      <c r="B2830" t="str">
        <f>[1]!hospitalinfo[[#This Row],[State]]</f>
        <v>MS</v>
      </c>
      <c r="C2830" t="str">
        <f>[1]!hospitalinfo[[#This Row],[Hospital Type]]</f>
        <v>Critical Access Hospitals</v>
      </c>
      <c r="D2830" t="str">
        <f>[1]!hospitalinfo[[#This Row],[Hospital Ownership]]</f>
        <v>Government - State</v>
      </c>
      <c r="E2830" t="str" cm="1">
        <f t="array" ref="E2830">_xlfn.IFNA(_xlfn.XLOOKUP(1,([1]!hcahps[Facility ID] = clean[[#This Row],[Facility ID]]) * ([1]!hcahps[HCAHPS Measure ID] = "H_HSP_RATING_LINEAR_SCORE"), [1]!hcahps[HCAHPS Linear Mean Value]), "No Match")</f>
        <v>Not Available</v>
      </c>
      <c r="F2830" cm="1">
        <f t="array" ref="F2830">_xlfn.IFNA(_xlfn.XLOOKUP(1,([1]!readmissions[Facility ID] = clean[[#This Row],[Facility ID]]) * ([1]!readmissions[Measure ID] = "Hybrid_HWR"), [1]!readmissions[Score]), "No Match")</f>
        <v>15.2</v>
      </c>
    </row>
    <row r="2831" spans="1:6" x14ac:dyDescent="0.2">
      <c r="A2831">
        <f>[1]!hospitalinfo[[#This Row],[Facility ID]]</f>
        <v>251320</v>
      </c>
      <c r="B2831" t="str">
        <f>[1]!hospitalinfo[[#This Row],[State]]</f>
        <v>MS</v>
      </c>
      <c r="C2831" t="str">
        <f>[1]!hospitalinfo[[#This Row],[Hospital Type]]</f>
        <v>Critical Access Hospitals</v>
      </c>
      <c r="D2831" t="str">
        <f>[1]!hospitalinfo[[#This Row],[Hospital Ownership]]</f>
        <v>Government - Local</v>
      </c>
      <c r="E2831" t="str" cm="1">
        <f t="array" ref="E2831">_xlfn.IFNA(_xlfn.XLOOKUP(1,([1]!hcahps[Facility ID] = clean[[#This Row],[Facility ID]]) * ([1]!hcahps[HCAHPS Measure ID] = "H_HSP_RATING_LINEAR_SCORE"), [1]!hcahps[HCAHPS Linear Mean Value]), "No Match")</f>
        <v>Not Available</v>
      </c>
      <c r="F2831" cm="1">
        <f t="array" ref="F2831">_xlfn.IFNA(_xlfn.XLOOKUP(1,([1]!readmissions[Facility ID] = clean[[#This Row],[Facility ID]]) * ([1]!readmissions[Measure ID] = "Hybrid_HWR"), [1]!readmissions[Score]), "No Match")</f>
        <v>14.5</v>
      </c>
    </row>
    <row r="2832" spans="1:6" x14ac:dyDescent="0.2">
      <c r="A2832">
        <f>[1]!hospitalinfo[[#This Row],[Facility ID]]</f>
        <v>251322</v>
      </c>
      <c r="B2832" t="str">
        <f>[1]!hospitalinfo[[#This Row],[State]]</f>
        <v>MS</v>
      </c>
      <c r="C2832" t="str">
        <f>[1]!hospitalinfo[[#This Row],[Hospital Type]]</f>
        <v>Critical Access Hospitals</v>
      </c>
      <c r="D2832" t="str">
        <f>[1]!hospitalinfo[[#This Row],[Hospital Ownership]]</f>
        <v>Voluntary non-profit - Private</v>
      </c>
      <c r="E2832" t="str" cm="1">
        <f t="array" ref="E2832">_xlfn.IFNA(_xlfn.XLOOKUP(1,([1]!hcahps[Facility ID] = clean[[#This Row],[Facility ID]]) * ([1]!hcahps[HCAHPS Measure ID] = "H_HSP_RATING_LINEAR_SCORE"), [1]!hcahps[HCAHPS Linear Mean Value]), "No Match")</f>
        <v>Not Available</v>
      </c>
      <c r="F2832" cm="1">
        <f t="array" ref="F2832">_xlfn.IFNA(_xlfn.XLOOKUP(1,([1]!readmissions[Facility ID] = clean[[#This Row],[Facility ID]]) * ([1]!readmissions[Measure ID] = "Hybrid_HWR"), [1]!readmissions[Score]), "No Match")</f>
        <v>15.4</v>
      </c>
    </row>
    <row r="2833" spans="1:6" x14ac:dyDescent="0.2">
      <c r="A2833">
        <f>[1]!hospitalinfo[[#This Row],[Facility ID]]</f>
        <v>251323</v>
      </c>
      <c r="B2833" t="str">
        <f>[1]!hospitalinfo[[#This Row],[State]]</f>
        <v>MS</v>
      </c>
      <c r="C2833" t="str">
        <f>[1]!hospitalinfo[[#This Row],[Hospital Type]]</f>
        <v>Critical Access Hospitals</v>
      </c>
      <c r="D2833" t="str">
        <f>[1]!hospitalinfo[[#This Row],[Hospital Ownership]]</f>
        <v>Voluntary non-profit - Private</v>
      </c>
      <c r="E2833" t="str" cm="1">
        <f t="array" ref="E2833">_xlfn.IFNA(_xlfn.XLOOKUP(1,([1]!hcahps[Facility ID] = clean[[#This Row],[Facility ID]]) * ([1]!hcahps[HCAHPS Measure ID] = "H_HSP_RATING_LINEAR_SCORE"), [1]!hcahps[HCAHPS Linear Mean Value]), "No Match")</f>
        <v>Not Available</v>
      </c>
      <c r="F2833" cm="1">
        <f t="array" ref="F2833">_xlfn.IFNA(_xlfn.XLOOKUP(1,([1]!readmissions[Facility ID] = clean[[#This Row],[Facility ID]]) * ([1]!readmissions[Measure ID] = "Hybrid_HWR"), [1]!readmissions[Score]), "No Match")</f>
        <v>14.9</v>
      </c>
    </row>
    <row r="2834" spans="1:6" x14ac:dyDescent="0.2">
      <c r="A2834">
        <f>[1]!hospitalinfo[[#This Row],[Facility ID]]</f>
        <v>251324</v>
      </c>
      <c r="B2834" t="str">
        <f>[1]!hospitalinfo[[#This Row],[State]]</f>
        <v>MS</v>
      </c>
      <c r="C2834" t="str">
        <f>[1]!hospitalinfo[[#This Row],[Hospital Type]]</f>
        <v>Critical Access Hospitals</v>
      </c>
      <c r="D2834" t="str">
        <f>[1]!hospitalinfo[[#This Row],[Hospital Ownership]]</f>
        <v>Government - Local</v>
      </c>
      <c r="E2834" t="str" cm="1">
        <f t="array" ref="E2834">_xlfn.IFNA(_xlfn.XLOOKUP(1,([1]!hcahps[Facility ID] = clean[[#This Row],[Facility ID]]) * ([1]!hcahps[HCAHPS Measure ID] = "H_HSP_RATING_LINEAR_SCORE"), [1]!hcahps[HCAHPS Linear Mean Value]), "No Match")</f>
        <v>Not Available</v>
      </c>
      <c r="F2834" cm="1">
        <f t="array" ref="F2834">_xlfn.IFNA(_xlfn.XLOOKUP(1,([1]!readmissions[Facility ID] = clean[[#This Row],[Facility ID]]) * ([1]!readmissions[Measure ID] = "Hybrid_HWR"), [1]!readmissions[Score]), "No Match")</f>
        <v>14.8</v>
      </c>
    </row>
    <row r="2835" spans="1:6" x14ac:dyDescent="0.2">
      <c r="A2835">
        <f>[1]!hospitalinfo[[#This Row],[Facility ID]]</f>
        <v>251325</v>
      </c>
      <c r="B2835" t="str">
        <f>[1]!hospitalinfo[[#This Row],[State]]</f>
        <v>MS</v>
      </c>
      <c r="C2835" t="str">
        <f>[1]!hospitalinfo[[#This Row],[Hospital Type]]</f>
        <v>Critical Access Hospitals</v>
      </c>
      <c r="D2835" t="str">
        <f>[1]!hospitalinfo[[#This Row],[Hospital Ownership]]</f>
        <v>Government - Local</v>
      </c>
      <c r="E2835" t="str" cm="1">
        <f t="array" ref="E2835">_xlfn.IFNA(_xlfn.XLOOKUP(1,([1]!hcahps[Facility ID] = clean[[#This Row],[Facility ID]]) * ([1]!hcahps[HCAHPS Measure ID] = "H_HSP_RATING_LINEAR_SCORE"), [1]!hcahps[HCAHPS Linear Mean Value]), "No Match")</f>
        <v>Not Available</v>
      </c>
      <c r="F2835" cm="1">
        <f t="array" ref="F2835">_xlfn.IFNA(_xlfn.XLOOKUP(1,([1]!readmissions[Facility ID] = clean[[#This Row],[Facility ID]]) * ([1]!readmissions[Measure ID] = "Hybrid_HWR"), [1]!readmissions[Score]), "No Match")</f>
        <v>14.8</v>
      </c>
    </row>
    <row r="2836" spans="1:6" x14ac:dyDescent="0.2">
      <c r="A2836">
        <f>[1]!hospitalinfo[[#This Row],[Facility ID]]</f>
        <v>251326</v>
      </c>
      <c r="B2836" t="str">
        <f>[1]!hospitalinfo[[#This Row],[State]]</f>
        <v>MS</v>
      </c>
      <c r="C2836" t="str">
        <f>[1]!hospitalinfo[[#This Row],[Hospital Type]]</f>
        <v>Critical Access Hospitals</v>
      </c>
      <c r="D2836" t="str">
        <f>[1]!hospitalinfo[[#This Row],[Hospital Ownership]]</f>
        <v>Government - State</v>
      </c>
      <c r="E2836" t="str" cm="1">
        <f t="array" ref="E2836">_xlfn.IFNA(_xlfn.XLOOKUP(1,([1]!hcahps[Facility ID] = clean[[#This Row],[Facility ID]]) * ([1]!hcahps[HCAHPS Measure ID] = "H_HSP_RATING_LINEAR_SCORE"), [1]!hcahps[HCAHPS Linear Mean Value]), "No Match")</f>
        <v>Not Available</v>
      </c>
      <c r="F2836" t="str" cm="1">
        <f t="array" ref="F2836">_xlfn.IFNA(_xlfn.XLOOKUP(1,([1]!readmissions[Facility ID] = clean[[#This Row],[Facility ID]]) * ([1]!readmissions[Measure ID] = "Hybrid_HWR"), [1]!readmissions[Score]), "No Match")</f>
        <v>Not Available</v>
      </c>
    </row>
    <row r="2837" spans="1:6" x14ac:dyDescent="0.2">
      <c r="A2837">
        <f>[1]!hospitalinfo[[#This Row],[Facility ID]]</f>
        <v>251327</v>
      </c>
      <c r="B2837" t="str">
        <f>[1]!hospitalinfo[[#This Row],[State]]</f>
        <v>MS</v>
      </c>
      <c r="C2837" t="str">
        <f>[1]!hospitalinfo[[#This Row],[Hospital Type]]</f>
        <v>Critical Access Hospitals</v>
      </c>
      <c r="D2837" t="str">
        <f>[1]!hospitalinfo[[#This Row],[Hospital Ownership]]</f>
        <v>Government - Local</v>
      </c>
      <c r="E2837" t="str" cm="1">
        <f t="array" ref="E2837">_xlfn.IFNA(_xlfn.XLOOKUP(1,([1]!hcahps[Facility ID] = clean[[#This Row],[Facility ID]]) * ([1]!hcahps[HCAHPS Measure ID] = "H_HSP_RATING_LINEAR_SCORE"), [1]!hcahps[HCAHPS Linear Mean Value]), "No Match")</f>
        <v>Not Available</v>
      </c>
      <c r="F2837" cm="1">
        <f t="array" ref="F2837">_xlfn.IFNA(_xlfn.XLOOKUP(1,([1]!readmissions[Facility ID] = clean[[#This Row],[Facility ID]]) * ([1]!readmissions[Measure ID] = "Hybrid_HWR"), [1]!readmissions[Score]), "No Match")</f>
        <v>14.8</v>
      </c>
    </row>
    <row r="2838" spans="1:6" x14ac:dyDescent="0.2">
      <c r="A2838">
        <f>[1]!hospitalinfo[[#This Row],[Facility ID]]</f>
        <v>251330</v>
      </c>
      <c r="B2838" t="str">
        <f>[1]!hospitalinfo[[#This Row],[State]]</f>
        <v>MS</v>
      </c>
      <c r="C2838" t="str">
        <f>[1]!hospitalinfo[[#This Row],[Hospital Type]]</f>
        <v>Critical Access Hospitals</v>
      </c>
      <c r="D2838" t="str">
        <f>[1]!hospitalinfo[[#This Row],[Hospital Ownership]]</f>
        <v>Government - Local</v>
      </c>
      <c r="E2838" t="str" cm="1">
        <f t="array" ref="E2838">_xlfn.IFNA(_xlfn.XLOOKUP(1,([1]!hcahps[Facility ID] = clean[[#This Row],[Facility ID]]) * ([1]!hcahps[HCAHPS Measure ID] = "H_HSP_RATING_LINEAR_SCORE"), [1]!hcahps[HCAHPS Linear Mean Value]), "No Match")</f>
        <v>Not Available</v>
      </c>
      <c r="F2838" cm="1">
        <f t="array" ref="F2838">_xlfn.IFNA(_xlfn.XLOOKUP(1,([1]!readmissions[Facility ID] = clean[[#This Row],[Facility ID]]) * ([1]!readmissions[Measure ID] = "Hybrid_HWR"), [1]!readmissions[Score]), "No Match")</f>
        <v>15.3</v>
      </c>
    </row>
    <row r="2839" spans="1:6" x14ac:dyDescent="0.2">
      <c r="A2839">
        <f>[1]!hospitalinfo[[#This Row],[Facility ID]]</f>
        <v>251331</v>
      </c>
      <c r="B2839" t="str">
        <f>[1]!hospitalinfo[[#This Row],[State]]</f>
        <v>MS</v>
      </c>
      <c r="C2839" t="str">
        <f>[1]!hospitalinfo[[#This Row],[Hospital Type]]</f>
        <v>Critical Access Hospitals</v>
      </c>
      <c r="D2839" t="str">
        <f>[1]!hospitalinfo[[#This Row],[Hospital Ownership]]</f>
        <v>Voluntary non-profit - Private</v>
      </c>
      <c r="E2839" t="str" cm="1">
        <f t="array" ref="E2839">_xlfn.IFNA(_xlfn.XLOOKUP(1,([1]!hcahps[Facility ID] = clean[[#This Row],[Facility ID]]) * ([1]!hcahps[HCAHPS Measure ID] = "H_HSP_RATING_LINEAR_SCORE"), [1]!hcahps[HCAHPS Linear Mean Value]), "No Match")</f>
        <v>Not Available</v>
      </c>
      <c r="F2839" cm="1">
        <f t="array" ref="F2839">_xlfn.IFNA(_xlfn.XLOOKUP(1,([1]!readmissions[Facility ID] = clean[[#This Row],[Facility ID]]) * ([1]!readmissions[Measure ID] = "Hybrid_HWR"), [1]!readmissions[Score]), "No Match")</f>
        <v>14.5</v>
      </c>
    </row>
    <row r="2840" spans="1:6" x14ac:dyDescent="0.2">
      <c r="A2840">
        <f>[1]!hospitalinfo[[#This Row],[Facility ID]]</f>
        <v>251333</v>
      </c>
      <c r="B2840" t="str">
        <f>[1]!hospitalinfo[[#This Row],[State]]</f>
        <v>MS</v>
      </c>
      <c r="C2840" t="str">
        <f>[1]!hospitalinfo[[#This Row],[Hospital Type]]</f>
        <v>Critical Access Hospitals</v>
      </c>
      <c r="D2840" t="str">
        <f>[1]!hospitalinfo[[#This Row],[Hospital Ownership]]</f>
        <v>Government - Local</v>
      </c>
      <c r="E2840" t="str" cm="1">
        <f t="array" ref="E2840">_xlfn.IFNA(_xlfn.XLOOKUP(1,([1]!hcahps[Facility ID] = clean[[#This Row],[Facility ID]]) * ([1]!hcahps[HCAHPS Measure ID] = "H_HSP_RATING_LINEAR_SCORE"), [1]!hcahps[HCAHPS Linear Mean Value]), "No Match")</f>
        <v>Not Available</v>
      </c>
      <c r="F2840" t="str" cm="1">
        <f t="array" ref="F2840">_xlfn.IFNA(_xlfn.XLOOKUP(1,([1]!readmissions[Facility ID] = clean[[#This Row],[Facility ID]]) * ([1]!readmissions[Measure ID] = "Hybrid_HWR"), [1]!readmissions[Score]), "No Match")</f>
        <v>Not Available</v>
      </c>
    </row>
    <row r="2841" spans="1:6" x14ac:dyDescent="0.2">
      <c r="A2841">
        <f>[1]!hospitalinfo[[#This Row],[Facility ID]]</f>
        <v>251334</v>
      </c>
      <c r="B2841" t="str">
        <f>[1]!hospitalinfo[[#This Row],[State]]</f>
        <v>MS</v>
      </c>
      <c r="C2841" t="str">
        <f>[1]!hospitalinfo[[#This Row],[Hospital Type]]</f>
        <v>Critical Access Hospitals</v>
      </c>
      <c r="D2841" t="str">
        <f>[1]!hospitalinfo[[#This Row],[Hospital Ownership]]</f>
        <v>Government - Local</v>
      </c>
      <c r="E2841" t="str" cm="1">
        <f t="array" ref="E2841">_xlfn.IFNA(_xlfn.XLOOKUP(1,([1]!hcahps[Facility ID] = clean[[#This Row],[Facility ID]]) * ([1]!hcahps[HCAHPS Measure ID] = "H_HSP_RATING_LINEAR_SCORE"), [1]!hcahps[HCAHPS Linear Mean Value]), "No Match")</f>
        <v>Not Available</v>
      </c>
      <c r="F2841" cm="1">
        <f t="array" ref="F2841">_xlfn.IFNA(_xlfn.XLOOKUP(1,([1]!readmissions[Facility ID] = clean[[#This Row],[Facility ID]]) * ([1]!readmissions[Measure ID] = "Hybrid_HWR"), [1]!readmissions[Score]), "No Match")</f>
        <v>14.7</v>
      </c>
    </row>
    <row r="2842" spans="1:6" x14ac:dyDescent="0.2">
      <c r="A2842">
        <f>[1]!hospitalinfo[[#This Row],[Facility ID]]</f>
        <v>251335</v>
      </c>
      <c r="B2842" t="str">
        <f>[1]!hospitalinfo[[#This Row],[State]]</f>
        <v>MS</v>
      </c>
      <c r="C2842" t="str">
        <f>[1]!hospitalinfo[[#This Row],[Hospital Type]]</f>
        <v>Critical Access Hospitals</v>
      </c>
      <c r="D2842" t="str">
        <f>[1]!hospitalinfo[[#This Row],[Hospital Ownership]]</f>
        <v>Voluntary non-profit - Private</v>
      </c>
      <c r="E2842" t="str" cm="1">
        <f t="array" ref="E2842">_xlfn.IFNA(_xlfn.XLOOKUP(1,([1]!hcahps[Facility ID] = clean[[#This Row],[Facility ID]]) * ([1]!hcahps[HCAHPS Measure ID] = "H_HSP_RATING_LINEAR_SCORE"), [1]!hcahps[HCAHPS Linear Mean Value]), "No Match")</f>
        <v>Not Available</v>
      </c>
      <c r="F2842" cm="1">
        <f t="array" ref="F2842">_xlfn.IFNA(_xlfn.XLOOKUP(1,([1]!readmissions[Facility ID] = clean[[#This Row],[Facility ID]]) * ([1]!readmissions[Measure ID] = "Hybrid_HWR"), [1]!readmissions[Score]), "No Match")</f>
        <v>14.9</v>
      </c>
    </row>
    <row r="2843" spans="1:6" x14ac:dyDescent="0.2">
      <c r="A2843">
        <f>[1]!hospitalinfo[[#This Row],[Facility ID]]</f>
        <v>251336</v>
      </c>
      <c r="B2843" t="str">
        <f>[1]!hospitalinfo[[#This Row],[State]]</f>
        <v>MS</v>
      </c>
      <c r="C2843" t="str">
        <f>[1]!hospitalinfo[[#This Row],[Hospital Type]]</f>
        <v>Critical Access Hospitals</v>
      </c>
      <c r="D2843" t="str">
        <f>[1]!hospitalinfo[[#This Row],[Hospital Ownership]]</f>
        <v>Voluntary non-profit - Other</v>
      </c>
      <c r="E2843" t="str" cm="1">
        <f t="array" ref="E2843">_xlfn.IFNA(_xlfn.XLOOKUP(1,([1]!hcahps[Facility ID] = clean[[#This Row],[Facility ID]]) * ([1]!hcahps[HCAHPS Measure ID] = "H_HSP_RATING_LINEAR_SCORE"), [1]!hcahps[HCAHPS Linear Mean Value]), "No Match")</f>
        <v>Not Available</v>
      </c>
      <c r="F2843" cm="1">
        <f t="array" ref="F2843">_xlfn.IFNA(_xlfn.XLOOKUP(1,([1]!readmissions[Facility ID] = clean[[#This Row],[Facility ID]]) * ([1]!readmissions[Measure ID] = "Hybrid_HWR"), [1]!readmissions[Score]), "No Match")</f>
        <v>15.3</v>
      </c>
    </row>
    <row r="2844" spans="1:6" x14ac:dyDescent="0.2">
      <c r="A2844">
        <f>[1]!hospitalinfo[[#This Row],[Facility ID]]</f>
        <v>251337</v>
      </c>
      <c r="B2844" t="str">
        <f>[1]!hospitalinfo[[#This Row],[State]]</f>
        <v>MS</v>
      </c>
      <c r="C2844" t="str">
        <f>[1]!hospitalinfo[[#This Row],[Hospital Type]]</f>
        <v>Critical Access Hospitals</v>
      </c>
      <c r="D2844" t="str">
        <f>[1]!hospitalinfo[[#This Row],[Hospital Ownership]]</f>
        <v>Government - Local</v>
      </c>
      <c r="E2844" t="str" cm="1">
        <f t="array" ref="E2844">_xlfn.IFNA(_xlfn.XLOOKUP(1,([1]!hcahps[Facility ID] = clean[[#This Row],[Facility ID]]) * ([1]!hcahps[HCAHPS Measure ID] = "H_HSP_RATING_LINEAR_SCORE"), [1]!hcahps[HCAHPS Linear Mean Value]), "No Match")</f>
        <v>Not Available</v>
      </c>
      <c r="F2844" cm="1">
        <f t="array" ref="F2844">_xlfn.IFNA(_xlfn.XLOOKUP(1,([1]!readmissions[Facility ID] = clean[[#This Row],[Facility ID]]) * ([1]!readmissions[Measure ID] = "Hybrid_HWR"), [1]!readmissions[Score]), "No Match")</f>
        <v>14.8</v>
      </c>
    </row>
    <row r="2845" spans="1:6" x14ac:dyDescent="0.2">
      <c r="A2845">
        <f>[1]!hospitalinfo[[#This Row],[Facility ID]]</f>
        <v>251339</v>
      </c>
      <c r="B2845" t="str">
        <f>[1]!hospitalinfo[[#This Row],[State]]</f>
        <v>MS</v>
      </c>
      <c r="C2845" t="str">
        <f>[1]!hospitalinfo[[#This Row],[Hospital Type]]</f>
        <v>Critical Access Hospitals</v>
      </c>
      <c r="D2845" t="str">
        <f>[1]!hospitalinfo[[#This Row],[Hospital Ownership]]</f>
        <v>Government - Local</v>
      </c>
      <c r="E2845" t="str" cm="1">
        <f t="array" ref="E2845">_xlfn.IFNA(_xlfn.XLOOKUP(1,([1]!hcahps[Facility ID] = clean[[#This Row],[Facility ID]]) * ([1]!hcahps[HCAHPS Measure ID] = "H_HSP_RATING_LINEAR_SCORE"), [1]!hcahps[HCAHPS Linear Mean Value]), "No Match")</f>
        <v>Not Available</v>
      </c>
      <c r="F2845" t="str" cm="1">
        <f t="array" ref="F2845">_xlfn.IFNA(_xlfn.XLOOKUP(1,([1]!readmissions[Facility ID] = clean[[#This Row],[Facility ID]]) * ([1]!readmissions[Measure ID] = "Hybrid_HWR"), [1]!readmissions[Score]), "No Match")</f>
        <v>Not Available</v>
      </c>
    </row>
    <row r="2846" spans="1:6" x14ac:dyDescent="0.2">
      <c r="A2846">
        <f>[1]!hospitalinfo[[#This Row],[Facility ID]]</f>
        <v>252013</v>
      </c>
      <c r="B2846" t="str">
        <f>[1]!hospitalinfo[[#This Row],[State]]</f>
        <v>MS</v>
      </c>
      <c r="C2846" t="str">
        <f>[1]!hospitalinfo[[#This Row],[Hospital Type]]</f>
        <v>Long-term</v>
      </c>
      <c r="D2846" t="str">
        <f>[1]!hospitalinfo[[#This Row],[Hospital Ownership]]</f>
        <v>Proprietary</v>
      </c>
      <c r="E2846" t="str" cm="1">
        <f t="array" ref="E2846">_xlfn.IFNA(_xlfn.XLOOKUP(1,([1]!hcahps[Facility ID] = clean[[#This Row],[Facility ID]]) * ([1]!hcahps[HCAHPS Measure ID] = "H_HSP_RATING_LINEAR_SCORE"), [1]!hcahps[HCAHPS Linear Mean Value]), "No Match")</f>
        <v>No Match</v>
      </c>
      <c r="F2846" t="str" cm="1">
        <f t="array" ref="F2846">_xlfn.IFNA(_xlfn.XLOOKUP(1,([1]!readmissions[Facility ID] = clean[[#This Row],[Facility ID]]) * ([1]!readmissions[Measure ID] = "Hybrid_HWR"), [1]!readmissions[Score]), "No Match")</f>
        <v>No Match</v>
      </c>
    </row>
    <row r="2847" spans="1:6" x14ac:dyDescent="0.2">
      <c r="A2847">
        <f>[1]!hospitalinfo[[#This Row],[Facility ID]]</f>
        <v>254005</v>
      </c>
      <c r="B2847" t="str">
        <f>[1]!hospitalinfo[[#This Row],[State]]</f>
        <v>MS</v>
      </c>
      <c r="C2847" t="str">
        <f>[1]!hospitalinfo[[#This Row],[Hospital Type]]</f>
        <v>Psychiatric</v>
      </c>
      <c r="D2847" t="str">
        <f>[1]!hospitalinfo[[#This Row],[Hospital Ownership]]</f>
        <v>Proprietary</v>
      </c>
      <c r="E2847" t="str" cm="1">
        <f t="array" ref="E2847">_xlfn.IFNA(_xlfn.XLOOKUP(1,([1]!hcahps[Facility ID] = clean[[#This Row],[Facility ID]]) * ([1]!hcahps[HCAHPS Measure ID] = "H_HSP_RATING_LINEAR_SCORE"), [1]!hcahps[HCAHPS Linear Mean Value]), "No Match")</f>
        <v>No Match</v>
      </c>
      <c r="F2847" t="str" cm="1">
        <f t="array" ref="F2847">_xlfn.IFNA(_xlfn.XLOOKUP(1,([1]!readmissions[Facility ID] = clean[[#This Row],[Facility ID]]) * ([1]!readmissions[Measure ID] = "Hybrid_HWR"), [1]!readmissions[Score]), "No Match")</f>
        <v>No Match</v>
      </c>
    </row>
    <row r="2848" spans="1:6" x14ac:dyDescent="0.2">
      <c r="A2848">
        <f>[1]!hospitalinfo[[#This Row],[Facility ID]]</f>
        <v>254007</v>
      </c>
      <c r="B2848" t="str">
        <f>[1]!hospitalinfo[[#This Row],[State]]</f>
        <v>MS</v>
      </c>
      <c r="C2848" t="str">
        <f>[1]!hospitalinfo[[#This Row],[Hospital Type]]</f>
        <v>Psychiatric</v>
      </c>
      <c r="D2848" t="str">
        <f>[1]!hospitalinfo[[#This Row],[Hospital Ownership]]</f>
        <v>Proprietary</v>
      </c>
      <c r="E2848" t="str" cm="1">
        <f t="array" ref="E2848">_xlfn.IFNA(_xlfn.XLOOKUP(1,([1]!hcahps[Facility ID] = clean[[#This Row],[Facility ID]]) * ([1]!hcahps[HCAHPS Measure ID] = "H_HSP_RATING_LINEAR_SCORE"), [1]!hcahps[HCAHPS Linear Mean Value]), "No Match")</f>
        <v>No Match</v>
      </c>
      <c r="F2848" t="str" cm="1">
        <f t="array" ref="F2848">_xlfn.IFNA(_xlfn.XLOOKUP(1,([1]!readmissions[Facility ID] = clean[[#This Row],[Facility ID]]) * ([1]!readmissions[Measure ID] = "Hybrid_HWR"), [1]!readmissions[Score]), "No Match")</f>
        <v>No Match</v>
      </c>
    </row>
    <row r="2849" spans="1:6" x14ac:dyDescent="0.2">
      <c r="A2849">
        <f>[1]!hospitalinfo[[#This Row],[Facility ID]]</f>
        <v>254008</v>
      </c>
      <c r="B2849" t="str">
        <f>[1]!hospitalinfo[[#This Row],[State]]</f>
        <v>MS</v>
      </c>
      <c r="C2849" t="str">
        <f>[1]!hospitalinfo[[#This Row],[Hospital Type]]</f>
        <v>Psychiatric</v>
      </c>
      <c r="D2849" t="str">
        <f>[1]!hospitalinfo[[#This Row],[Hospital Ownership]]</f>
        <v>Government - State</v>
      </c>
      <c r="E2849" t="str" cm="1">
        <f t="array" ref="E2849">_xlfn.IFNA(_xlfn.XLOOKUP(1,([1]!hcahps[Facility ID] = clean[[#This Row],[Facility ID]]) * ([1]!hcahps[HCAHPS Measure ID] = "H_HSP_RATING_LINEAR_SCORE"), [1]!hcahps[HCAHPS Linear Mean Value]), "No Match")</f>
        <v>No Match</v>
      </c>
      <c r="F2849" t="str" cm="1">
        <f t="array" ref="F2849">_xlfn.IFNA(_xlfn.XLOOKUP(1,([1]!readmissions[Facility ID] = clean[[#This Row],[Facility ID]]) * ([1]!readmissions[Measure ID] = "Hybrid_HWR"), [1]!readmissions[Score]), "No Match")</f>
        <v>No Match</v>
      </c>
    </row>
    <row r="2850" spans="1:6" x14ac:dyDescent="0.2">
      <c r="A2850">
        <f>[1]!hospitalinfo[[#This Row],[Facility ID]]</f>
        <v>254009</v>
      </c>
      <c r="B2850" t="str">
        <f>[1]!hospitalinfo[[#This Row],[State]]</f>
        <v>MS</v>
      </c>
      <c r="C2850" t="str">
        <f>[1]!hospitalinfo[[#This Row],[Hospital Type]]</f>
        <v>Psychiatric</v>
      </c>
      <c r="D2850" t="str">
        <f>[1]!hospitalinfo[[#This Row],[Hospital Ownership]]</f>
        <v>Government - State</v>
      </c>
      <c r="E2850" t="str" cm="1">
        <f t="array" ref="E2850">_xlfn.IFNA(_xlfn.XLOOKUP(1,([1]!hcahps[Facility ID] = clean[[#This Row],[Facility ID]]) * ([1]!hcahps[HCAHPS Measure ID] = "H_HSP_RATING_LINEAR_SCORE"), [1]!hcahps[HCAHPS Linear Mean Value]), "No Match")</f>
        <v>No Match</v>
      </c>
      <c r="F2850" t="str" cm="1">
        <f t="array" ref="F2850">_xlfn.IFNA(_xlfn.XLOOKUP(1,([1]!readmissions[Facility ID] = clean[[#This Row],[Facility ID]]) * ([1]!readmissions[Measure ID] = "Hybrid_HWR"), [1]!readmissions[Score]), "No Match")</f>
        <v>No Match</v>
      </c>
    </row>
    <row r="2851" spans="1:6" x14ac:dyDescent="0.2">
      <c r="A2851">
        <f>[1]!hospitalinfo[[#This Row],[Facility ID]]</f>
        <v>254010</v>
      </c>
      <c r="B2851" t="str">
        <f>[1]!hospitalinfo[[#This Row],[State]]</f>
        <v>MS</v>
      </c>
      <c r="C2851" t="str">
        <f>[1]!hospitalinfo[[#This Row],[Hospital Type]]</f>
        <v>Psychiatric</v>
      </c>
      <c r="D2851" t="str">
        <f>[1]!hospitalinfo[[#This Row],[Hospital Ownership]]</f>
        <v>Government - Local</v>
      </c>
      <c r="E2851" t="str" cm="1">
        <f t="array" ref="E2851">_xlfn.IFNA(_xlfn.XLOOKUP(1,([1]!hcahps[Facility ID] = clean[[#This Row],[Facility ID]]) * ([1]!hcahps[HCAHPS Measure ID] = "H_HSP_RATING_LINEAR_SCORE"), [1]!hcahps[HCAHPS Linear Mean Value]), "No Match")</f>
        <v>No Match</v>
      </c>
      <c r="F2851" t="str" cm="1">
        <f t="array" ref="F2851">_xlfn.IFNA(_xlfn.XLOOKUP(1,([1]!readmissions[Facility ID] = clean[[#This Row],[Facility ID]]) * ([1]!readmissions[Measure ID] = "Hybrid_HWR"), [1]!readmissions[Score]), "No Match")</f>
        <v>No Match</v>
      </c>
    </row>
    <row r="2852" spans="1:6" x14ac:dyDescent="0.2">
      <c r="A2852">
        <f>[1]!hospitalinfo[[#This Row],[Facility ID]]</f>
        <v>254011</v>
      </c>
      <c r="B2852" t="str">
        <f>[1]!hospitalinfo[[#This Row],[State]]</f>
        <v>MS</v>
      </c>
      <c r="C2852" t="str">
        <f>[1]!hospitalinfo[[#This Row],[Hospital Type]]</f>
        <v>Psychiatric</v>
      </c>
      <c r="D2852" t="str">
        <f>[1]!hospitalinfo[[#This Row],[Hospital Ownership]]</f>
        <v>Proprietary</v>
      </c>
      <c r="E2852" t="str" cm="1">
        <f t="array" ref="E2852">_xlfn.IFNA(_xlfn.XLOOKUP(1,([1]!hcahps[Facility ID] = clean[[#This Row],[Facility ID]]) * ([1]!hcahps[HCAHPS Measure ID] = "H_HSP_RATING_LINEAR_SCORE"), [1]!hcahps[HCAHPS Linear Mean Value]), "No Match")</f>
        <v>No Match</v>
      </c>
      <c r="F2852" t="str" cm="1">
        <f t="array" ref="F2852">_xlfn.IFNA(_xlfn.XLOOKUP(1,([1]!readmissions[Facility ID] = clean[[#This Row],[Facility ID]]) * ([1]!readmissions[Measure ID] = "Hybrid_HWR"), [1]!readmissions[Score]), "No Match")</f>
        <v>No Match</v>
      </c>
    </row>
    <row r="2853" spans="1:6" x14ac:dyDescent="0.2">
      <c r="A2853">
        <f>[1]!hospitalinfo[[#This Row],[Facility ID]]</f>
        <v>254012</v>
      </c>
      <c r="B2853" t="str">
        <f>[1]!hospitalinfo[[#This Row],[State]]</f>
        <v>MS</v>
      </c>
      <c r="C2853" t="str">
        <f>[1]!hospitalinfo[[#This Row],[Hospital Type]]</f>
        <v>Psychiatric</v>
      </c>
      <c r="D2853" t="str">
        <f>[1]!hospitalinfo[[#This Row],[Hospital Ownership]]</f>
        <v>Proprietary</v>
      </c>
      <c r="E2853" t="str" cm="1">
        <f t="array" ref="E2853">_xlfn.IFNA(_xlfn.XLOOKUP(1,([1]!hcahps[Facility ID] = clean[[#This Row],[Facility ID]]) * ([1]!hcahps[HCAHPS Measure ID] = "H_HSP_RATING_LINEAR_SCORE"), [1]!hcahps[HCAHPS Linear Mean Value]), "No Match")</f>
        <v>No Match</v>
      </c>
      <c r="F2853" t="str" cm="1">
        <f t="array" ref="F2853">_xlfn.IFNA(_xlfn.XLOOKUP(1,([1]!readmissions[Facility ID] = clean[[#This Row],[Facility ID]]) * ([1]!readmissions[Measure ID] = "Hybrid_HWR"), [1]!readmissions[Score]), "No Match")</f>
        <v>No Match</v>
      </c>
    </row>
    <row r="2854" spans="1:6" x14ac:dyDescent="0.2">
      <c r="A2854">
        <f>[1]!hospitalinfo[[#This Row],[Facility ID]]</f>
        <v>254013</v>
      </c>
      <c r="B2854" t="str">
        <f>[1]!hospitalinfo[[#This Row],[State]]</f>
        <v>MS</v>
      </c>
      <c r="C2854" t="str">
        <f>[1]!hospitalinfo[[#This Row],[Hospital Type]]</f>
        <v>Psychiatric</v>
      </c>
      <c r="D2854" t="str">
        <f>[1]!hospitalinfo[[#This Row],[Hospital Ownership]]</f>
        <v>Proprietary</v>
      </c>
      <c r="E2854" t="str" cm="1">
        <f t="array" ref="E2854">_xlfn.IFNA(_xlfn.XLOOKUP(1,([1]!hcahps[Facility ID] = clean[[#This Row],[Facility ID]]) * ([1]!hcahps[HCAHPS Measure ID] = "H_HSP_RATING_LINEAR_SCORE"), [1]!hcahps[HCAHPS Linear Mean Value]), "No Match")</f>
        <v>No Match</v>
      </c>
      <c r="F2854" t="str" cm="1">
        <f t="array" ref="F2854">_xlfn.IFNA(_xlfn.XLOOKUP(1,([1]!readmissions[Facility ID] = clean[[#This Row],[Facility ID]]) * ([1]!readmissions[Measure ID] = "Hybrid_HWR"), [1]!readmissions[Score]), "No Match")</f>
        <v>No Match</v>
      </c>
    </row>
    <row r="2855" spans="1:6" x14ac:dyDescent="0.2">
      <c r="A2855">
        <f>[1]!hospitalinfo[[#This Row],[Facility ID]]</f>
        <v>254014</v>
      </c>
      <c r="B2855" t="str">
        <f>[1]!hospitalinfo[[#This Row],[State]]</f>
        <v>MS</v>
      </c>
      <c r="C2855" t="str">
        <f>[1]!hospitalinfo[[#This Row],[Hospital Type]]</f>
        <v>Psychiatric</v>
      </c>
      <c r="D2855" t="str">
        <f>[1]!hospitalinfo[[#This Row],[Hospital Ownership]]</f>
        <v>Proprietary</v>
      </c>
      <c r="E2855" t="str" cm="1">
        <f t="array" ref="E2855">_xlfn.IFNA(_xlfn.XLOOKUP(1,([1]!hcahps[Facility ID] = clean[[#This Row],[Facility ID]]) * ([1]!hcahps[HCAHPS Measure ID] = "H_HSP_RATING_LINEAR_SCORE"), [1]!hcahps[HCAHPS Linear Mean Value]), "No Match")</f>
        <v>No Match</v>
      </c>
      <c r="F2855" t="str" cm="1">
        <f t="array" ref="F2855">_xlfn.IFNA(_xlfn.XLOOKUP(1,([1]!readmissions[Facility ID] = clean[[#This Row],[Facility ID]]) * ([1]!readmissions[Measure ID] = "Hybrid_HWR"), [1]!readmissions[Score]), "No Match")</f>
        <v>No Match</v>
      </c>
    </row>
    <row r="2856" spans="1:6" x14ac:dyDescent="0.2">
      <c r="A2856" t="str">
        <f>[1]!hospitalinfo[[#This Row],[Facility ID]]</f>
        <v>25039F</v>
      </c>
      <c r="B2856" t="str">
        <f>[1]!hospitalinfo[[#This Row],[State]]</f>
        <v>MS</v>
      </c>
      <c r="C2856" t="str">
        <f>[1]!hospitalinfo[[#This Row],[Hospital Type]]</f>
        <v>Acute Care - Department of Defense</v>
      </c>
      <c r="D2856" t="str">
        <f>[1]!hospitalinfo[[#This Row],[Hospital Ownership]]</f>
        <v>Department of Defense</v>
      </c>
      <c r="E2856" cm="1">
        <f t="array" ref="E2856">_xlfn.IFNA(_xlfn.XLOOKUP(1,([1]!hcahps[Facility ID] = clean[[#This Row],[Facility ID]]) * ([1]!hcahps[HCAHPS Measure ID] = "H_HSP_RATING_LINEAR_SCORE"), [1]!hcahps[HCAHPS Linear Mean Value]), "No Match")</f>
        <v>96</v>
      </c>
      <c r="F2856" t="str" cm="1">
        <f t="array" ref="F2856">_xlfn.IFNA(_xlfn.XLOOKUP(1,([1]!readmissions[Facility ID] = clean[[#This Row],[Facility ID]]) * ([1]!readmissions[Measure ID] = "Hybrid_HWR"), [1]!readmissions[Score]), "No Match")</f>
        <v>Not Available</v>
      </c>
    </row>
    <row r="2857" spans="1:6" x14ac:dyDescent="0.2">
      <c r="A2857" t="str">
        <f>[1]!hospitalinfo[[#This Row],[Facility ID]]</f>
        <v>25042F</v>
      </c>
      <c r="B2857" t="str">
        <f>[1]!hospitalinfo[[#This Row],[State]]</f>
        <v>MS</v>
      </c>
      <c r="C2857" t="str">
        <f>[1]!hospitalinfo[[#This Row],[Hospital Type]]</f>
        <v>Acute Care - Veterans Administration</v>
      </c>
      <c r="D2857" t="str">
        <f>[1]!hospitalinfo[[#This Row],[Hospital Ownership]]</f>
        <v>Veterans Health Administration</v>
      </c>
      <c r="E2857" cm="1">
        <f t="array" ref="E2857">_xlfn.IFNA(_xlfn.XLOOKUP(1,([1]!hcahps[Facility ID] = clean[[#This Row],[Facility ID]]) * ([1]!hcahps[HCAHPS Measure ID] = "H_HSP_RATING_LINEAR_SCORE"), [1]!hcahps[HCAHPS Linear Mean Value]), "No Match")</f>
        <v>91</v>
      </c>
      <c r="F2857" cm="1">
        <f t="array" ref="F2857">_xlfn.IFNA(_xlfn.XLOOKUP(1,([1]!readmissions[Facility ID] = clean[[#This Row],[Facility ID]]) * ([1]!readmissions[Measure ID] = "Hybrid_HWR"), [1]!readmissions[Score]), "No Match")</f>
        <v>13.5</v>
      </c>
    </row>
    <row r="2858" spans="1:6" x14ac:dyDescent="0.2">
      <c r="A2858" t="str">
        <f>[1]!hospitalinfo[[#This Row],[Facility ID]]</f>
        <v>25043F</v>
      </c>
      <c r="B2858" t="str">
        <f>[1]!hospitalinfo[[#This Row],[State]]</f>
        <v>MS</v>
      </c>
      <c r="C2858" t="str">
        <f>[1]!hospitalinfo[[#This Row],[Hospital Type]]</f>
        <v>Acute Care - Veterans Administration</v>
      </c>
      <c r="D2858" t="str">
        <f>[1]!hospitalinfo[[#This Row],[Hospital Ownership]]</f>
        <v>Veterans Health Administration</v>
      </c>
      <c r="E2858" cm="1">
        <f t="array" ref="E2858">_xlfn.IFNA(_xlfn.XLOOKUP(1,([1]!hcahps[Facility ID] = clean[[#This Row],[Facility ID]]) * ([1]!hcahps[HCAHPS Measure ID] = "H_HSP_RATING_LINEAR_SCORE"), [1]!hcahps[HCAHPS Linear Mean Value]), "No Match")</f>
        <v>89</v>
      </c>
      <c r="F2858" cm="1">
        <f t="array" ref="F2858">_xlfn.IFNA(_xlfn.XLOOKUP(1,([1]!readmissions[Facility ID] = clean[[#This Row],[Facility ID]]) * ([1]!readmissions[Measure ID] = "Hybrid_HWR"), [1]!readmissions[Score]), "No Match")</f>
        <v>14.3</v>
      </c>
    </row>
    <row r="2859" spans="1:6" x14ac:dyDescent="0.2">
      <c r="A2859">
        <f>[1]!hospitalinfo[[#This Row],[Facility ID]]</f>
        <v>270003</v>
      </c>
      <c r="B2859" t="str">
        <f>[1]!hospitalinfo[[#This Row],[State]]</f>
        <v>MT</v>
      </c>
      <c r="C2859" t="str">
        <f>[1]!hospitalinfo[[#This Row],[Hospital Type]]</f>
        <v>Acute Care Hospitals</v>
      </c>
      <c r="D2859" t="str">
        <f>[1]!hospitalinfo[[#This Row],[Hospital Ownership]]</f>
        <v>Voluntary non-profit - Private</v>
      </c>
      <c r="E2859" cm="1">
        <f t="array" ref="E2859">_xlfn.IFNA(_xlfn.XLOOKUP(1,([1]!hcahps[Facility ID] = clean[[#This Row],[Facility ID]]) * ([1]!hcahps[HCAHPS Measure ID] = "H_HSP_RATING_LINEAR_SCORE"), [1]!hcahps[HCAHPS Linear Mean Value]), "No Match")</f>
        <v>86</v>
      </c>
      <c r="F2859" cm="1">
        <f t="array" ref="F2859">_xlfn.IFNA(_xlfn.XLOOKUP(1,([1]!readmissions[Facility ID] = clean[[#This Row],[Facility ID]]) * ([1]!readmissions[Measure ID] = "Hybrid_HWR"), [1]!readmissions[Score]), "No Match")</f>
        <v>14.3</v>
      </c>
    </row>
    <row r="2860" spans="1:6" x14ac:dyDescent="0.2">
      <c r="A2860">
        <f>[1]!hospitalinfo[[#This Row],[Facility ID]]</f>
        <v>270004</v>
      </c>
      <c r="B2860" t="str">
        <f>[1]!hospitalinfo[[#This Row],[State]]</f>
        <v>MT</v>
      </c>
      <c r="C2860" t="str">
        <f>[1]!hospitalinfo[[#This Row],[Hospital Type]]</f>
        <v>Acute Care Hospitals</v>
      </c>
      <c r="D2860" t="str">
        <f>[1]!hospitalinfo[[#This Row],[Hospital Ownership]]</f>
        <v>Voluntary non-profit - Private</v>
      </c>
      <c r="E2860" cm="1">
        <f t="array" ref="E2860">_xlfn.IFNA(_xlfn.XLOOKUP(1,([1]!hcahps[Facility ID] = clean[[#This Row],[Facility ID]]) * ([1]!hcahps[HCAHPS Measure ID] = "H_HSP_RATING_LINEAR_SCORE"), [1]!hcahps[HCAHPS Linear Mean Value]), "No Match")</f>
        <v>88</v>
      </c>
      <c r="F2860" cm="1">
        <f t="array" ref="F2860">_xlfn.IFNA(_xlfn.XLOOKUP(1,([1]!readmissions[Facility ID] = clean[[#This Row],[Facility ID]]) * ([1]!readmissions[Measure ID] = "Hybrid_HWR"), [1]!readmissions[Score]), "No Match")</f>
        <v>14.2</v>
      </c>
    </row>
    <row r="2861" spans="1:6" x14ac:dyDescent="0.2">
      <c r="A2861">
        <f>[1]!hospitalinfo[[#This Row],[Facility ID]]</f>
        <v>270012</v>
      </c>
      <c r="B2861" t="str">
        <f>[1]!hospitalinfo[[#This Row],[State]]</f>
        <v>MT</v>
      </c>
      <c r="C2861" t="str">
        <f>[1]!hospitalinfo[[#This Row],[Hospital Type]]</f>
        <v>Acute Care Hospitals</v>
      </c>
      <c r="D2861" t="str">
        <f>[1]!hospitalinfo[[#This Row],[Hospital Ownership]]</f>
        <v>Voluntary non-profit - Private</v>
      </c>
      <c r="E2861" cm="1">
        <f t="array" ref="E2861">_xlfn.IFNA(_xlfn.XLOOKUP(1,([1]!hcahps[Facility ID] = clean[[#This Row],[Facility ID]]) * ([1]!hcahps[HCAHPS Measure ID] = "H_HSP_RATING_LINEAR_SCORE"), [1]!hcahps[HCAHPS Linear Mean Value]), "No Match")</f>
        <v>85</v>
      </c>
      <c r="F2861" cm="1">
        <f t="array" ref="F2861">_xlfn.IFNA(_xlfn.XLOOKUP(1,([1]!readmissions[Facility ID] = clean[[#This Row],[Facility ID]]) * ([1]!readmissions[Measure ID] = "Hybrid_HWR"), [1]!readmissions[Score]), "No Match")</f>
        <v>14</v>
      </c>
    </row>
    <row r="2862" spans="1:6" x14ac:dyDescent="0.2">
      <c r="A2862">
        <f>[1]!hospitalinfo[[#This Row],[Facility ID]]</f>
        <v>270014</v>
      </c>
      <c r="B2862" t="str">
        <f>[1]!hospitalinfo[[#This Row],[State]]</f>
        <v>MT</v>
      </c>
      <c r="C2862" t="str">
        <f>[1]!hospitalinfo[[#This Row],[Hospital Type]]</f>
        <v>Acute Care Hospitals</v>
      </c>
      <c r="D2862" t="str">
        <f>[1]!hospitalinfo[[#This Row],[Hospital Ownership]]</f>
        <v>Voluntary non-profit - Church</v>
      </c>
      <c r="E2862" cm="1">
        <f t="array" ref="E2862">_xlfn.IFNA(_xlfn.XLOOKUP(1,([1]!hcahps[Facility ID] = clean[[#This Row],[Facility ID]]) * ([1]!hcahps[HCAHPS Measure ID] = "H_HSP_RATING_LINEAR_SCORE"), [1]!hcahps[HCAHPS Linear Mean Value]), "No Match")</f>
        <v>91</v>
      </c>
      <c r="F2862" cm="1">
        <f t="array" ref="F2862">_xlfn.IFNA(_xlfn.XLOOKUP(1,([1]!readmissions[Facility ID] = clean[[#This Row],[Facility ID]]) * ([1]!readmissions[Measure ID] = "Hybrid_HWR"), [1]!readmissions[Score]), "No Match")</f>
        <v>15</v>
      </c>
    </row>
    <row r="2863" spans="1:6" x14ac:dyDescent="0.2">
      <c r="A2863">
        <f>[1]!hospitalinfo[[#This Row],[Facility ID]]</f>
        <v>270017</v>
      </c>
      <c r="B2863" t="str">
        <f>[1]!hospitalinfo[[#This Row],[State]]</f>
        <v>MT</v>
      </c>
      <c r="C2863" t="str">
        <f>[1]!hospitalinfo[[#This Row],[Hospital Type]]</f>
        <v>Acute Care Hospitals</v>
      </c>
      <c r="D2863" t="str">
        <f>[1]!hospitalinfo[[#This Row],[Hospital Ownership]]</f>
        <v>Voluntary non-profit - Private</v>
      </c>
      <c r="E2863" cm="1">
        <f t="array" ref="E2863">_xlfn.IFNA(_xlfn.XLOOKUP(1,([1]!hcahps[Facility ID] = clean[[#This Row],[Facility ID]]) * ([1]!hcahps[HCAHPS Measure ID] = "H_HSP_RATING_LINEAR_SCORE"), [1]!hcahps[HCAHPS Linear Mean Value]), "No Match")</f>
        <v>88</v>
      </c>
      <c r="F2863" cm="1">
        <f t="array" ref="F2863">_xlfn.IFNA(_xlfn.XLOOKUP(1,([1]!readmissions[Facility ID] = clean[[#This Row],[Facility ID]]) * ([1]!readmissions[Measure ID] = "Hybrid_HWR"), [1]!readmissions[Score]), "No Match")</f>
        <v>14.8</v>
      </c>
    </row>
    <row r="2864" spans="1:6" x14ac:dyDescent="0.2">
      <c r="A2864">
        <f>[1]!hospitalinfo[[#This Row],[Facility ID]]</f>
        <v>270023</v>
      </c>
      <c r="B2864" t="str">
        <f>[1]!hospitalinfo[[#This Row],[State]]</f>
        <v>MT</v>
      </c>
      <c r="C2864" t="str">
        <f>[1]!hospitalinfo[[#This Row],[Hospital Type]]</f>
        <v>Acute Care Hospitals</v>
      </c>
      <c r="D2864" t="str">
        <f>[1]!hospitalinfo[[#This Row],[Hospital Ownership]]</f>
        <v>Voluntary non-profit - Private</v>
      </c>
      <c r="E2864" cm="1">
        <f t="array" ref="E2864">_xlfn.IFNA(_xlfn.XLOOKUP(1,([1]!hcahps[Facility ID] = clean[[#This Row],[Facility ID]]) * ([1]!hcahps[HCAHPS Measure ID] = "H_HSP_RATING_LINEAR_SCORE"), [1]!hcahps[HCAHPS Linear Mean Value]), "No Match")</f>
        <v>85</v>
      </c>
      <c r="F2864" cm="1">
        <f t="array" ref="F2864">_xlfn.IFNA(_xlfn.XLOOKUP(1,([1]!readmissions[Facility ID] = clean[[#This Row],[Facility ID]]) * ([1]!readmissions[Measure ID] = "Hybrid_HWR"), [1]!readmissions[Score]), "No Match")</f>
        <v>15.2</v>
      </c>
    </row>
    <row r="2865" spans="1:6" x14ac:dyDescent="0.2">
      <c r="A2865">
        <f>[1]!hospitalinfo[[#This Row],[Facility ID]]</f>
        <v>270049</v>
      </c>
      <c r="B2865" t="str">
        <f>[1]!hospitalinfo[[#This Row],[State]]</f>
        <v>MT</v>
      </c>
      <c r="C2865" t="str">
        <f>[1]!hospitalinfo[[#This Row],[Hospital Type]]</f>
        <v>Acute Care Hospitals</v>
      </c>
      <c r="D2865" t="str">
        <f>[1]!hospitalinfo[[#This Row],[Hospital Ownership]]</f>
        <v>Voluntary non-profit - Church</v>
      </c>
      <c r="E2865" cm="1">
        <f t="array" ref="E2865">_xlfn.IFNA(_xlfn.XLOOKUP(1,([1]!hcahps[Facility ID] = clean[[#This Row],[Facility ID]]) * ([1]!hcahps[HCAHPS Measure ID] = "H_HSP_RATING_LINEAR_SCORE"), [1]!hcahps[HCAHPS Linear Mean Value]), "No Match")</f>
        <v>90</v>
      </c>
      <c r="F2865" cm="1">
        <f t="array" ref="F2865">_xlfn.IFNA(_xlfn.XLOOKUP(1,([1]!readmissions[Facility ID] = clean[[#This Row],[Facility ID]]) * ([1]!readmissions[Measure ID] = "Hybrid_HWR"), [1]!readmissions[Score]), "No Match")</f>
        <v>13.3</v>
      </c>
    </row>
    <row r="2866" spans="1:6" x14ac:dyDescent="0.2">
      <c r="A2866">
        <f>[1]!hospitalinfo[[#This Row],[Facility ID]]</f>
        <v>270051</v>
      </c>
      <c r="B2866" t="str">
        <f>[1]!hospitalinfo[[#This Row],[State]]</f>
        <v>MT</v>
      </c>
      <c r="C2866" t="str">
        <f>[1]!hospitalinfo[[#This Row],[Hospital Type]]</f>
        <v>Acute Care Hospitals</v>
      </c>
      <c r="D2866" t="str">
        <f>[1]!hospitalinfo[[#This Row],[Hospital Ownership]]</f>
        <v>Voluntary non-profit - Private</v>
      </c>
      <c r="E2866" cm="1">
        <f t="array" ref="E2866">_xlfn.IFNA(_xlfn.XLOOKUP(1,([1]!hcahps[Facility ID] = clean[[#This Row],[Facility ID]]) * ([1]!hcahps[HCAHPS Measure ID] = "H_HSP_RATING_LINEAR_SCORE"), [1]!hcahps[HCAHPS Linear Mean Value]), "No Match")</f>
        <v>88</v>
      </c>
      <c r="F2866" cm="1">
        <f t="array" ref="F2866">_xlfn.IFNA(_xlfn.XLOOKUP(1,([1]!readmissions[Facility ID] = clean[[#This Row],[Facility ID]]) * ([1]!readmissions[Measure ID] = "Hybrid_HWR"), [1]!readmissions[Score]), "No Match")</f>
        <v>14.8</v>
      </c>
    </row>
    <row r="2867" spans="1:6" x14ac:dyDescent="0.2">
      <c r="A2867">
        <f>[1]!hospitalinfo[[#This Row],[Facility ID]]</f>
        <v>270057</v>
      </c>
      <c r="B2867" t="str">
        <f>[1]!hospitalinfo[[#This Row],[State]]</f>
        <v>MT</v>
      </c>
      <c r="C2867" t="str">
        <f>[1]!hospitalinfo[[#This Row],[Hospital Type]]</f>
        <v>Acute Care Hospitals</v>
      </c>
      <c r="D2867" t="str">
        <f>[1]!hospitalinfo[[#This Row],[Hospital Ownership]]</f>
        <v>Voluntary non-profit - Private</v>
      </c>
      <c r="E2867" cm="1">
        <f t="array" ref="E2867">_xlfn.IFNA(_xlfn.XLOOKUP(1,([1]!hcahps[Facility ID] = clean[[#This Row],[Facility ID]]) * ([1]!hcahps[HCAHPS Measure ID] = "H_HSP_RATING_LINEAR_SCORE"), [1]!hcahps[HCAHPS Linear Mean Value]), "No Match")</f>
        <v>90</v>
      </c>
      <c r="F2867" cm="1">
        <f t="array" ref="F2867">_xlfn.IFNA(_xlfn.XLOOKUP(1,([1]!readmissions[Facility ID] = clean[[#This Row],[Facility ID]]) * ([1]!readmissions[Measure ID] = "Hybrid_HWR"), [1]!readmissions[Score]), "No Match")</f>
        <v>14.4</v>
      </c>
    </row>
    <row r="2868" spans="1:6" x14ac:dyDescent="0.2">
      <c r="A2868">
        <f>[1]!hospitalinfo[[#This Row],[Facility ID]]</f>
        <v>270074</v>
      </c>
      <c r="B2868" t="str">
        <f>[1]!hospitalinfo[[#This Row],[State]]</f>
        <v>MT</v>
      </c>
      <c r="C2868" t="str">
        <f>[1]!hospitalinfo[[#This Row],[Hospital Type]]</f>
        <v>Acute Care Hospitals</v>
      </c>
      <c r="D2868" t="str">
        <f>[1]!hospitalinfo[[#This Row],[Hospital Ownership]]</f>
        <v>Government - Federal</v>
      </c>
      <c r="E2868" t="str" cm="1">
        <f t="array" ref="E2868">_xlfn.IFNA(_xlfn.XLOOKUP(1,([1]!hcahps[Facility ID] = clean[[#This Row],[Facility ID]]) * ([1]!hcahps[HCAHPS Measure ID] = "H_HSP_RATING_LINEAR_SCORE"), [1]!hcahps[HCAHPS Linear Mean Value]), "No Match")</f>
        <v>Not Available</v>
      </c>
      <c r="F2868" cm="1">
        <f t="array" ref="F2868">_xlfn.IFNA(_xlfn.XLOOKUP(1,([1]!readmissions[Facility ID] = clean[[#This Row],[Facility ID]]) * ([1]!readmissions[Measure ID] = "Hybrid_HWR"), [1]!readmissions[Score]), "No Match")</f>
        <v>15</v>
      </c>
    </row>
    <row r="2869" spans="1:6" x14ac:dyDescent="0.2">
      <c r="A2869">
        <f>[1]!hospitalinfo[[#This Row],[Facility ID]]</f>
        <v>270086</v>
      </c>
      <c r="B2869" t="str">
        <f>[1]!hospitalinfo[[#This Row],[State]]</f>
        <v>MT</v>
      </c>
      <c r="C2869" t="str">
        <f>[1]!hospitalinfo[[#This Row],[Hospital Type]]</f>
        <v>Acute Care Hospitals</v>
      </c>
      <c r="D2869" t="str">
        <f>[1]!hospitalinfo[[#This Row],[Hospital Ownership]]</f>
        <v>Proprietary</v>
      </c>
      <c r="E2869" cm="1">
        <f t="array" ref="E2869">_xlfn.IFNA(_xlfn.XLOOKUP(1,([1]!hcahps[Facility ID] = clean[[#This Row],[Facility ID]]) * ([1]!hcahps[HCAHPS Measure ID] = "H_HSP_RATING_LINEAR_SCORE"), [1]!hcahps[HCAHPS Linear Mean Value]), "No Match")</f>
        <v>90</v>
      </c>
      <c r="F2869" cm="1">
        <f t="array" ref="F2869">_xlfn.IFNA(_xlfn.XLOOKUP(1,([1]!readmissions[Facility ID] = clean[[#This Row],[Facility ID]]) * ([1]!readmissions[Measure ID] = "Hybrid_HWR"), [1]!readmissions[Score]), "No Match")</f>
        <v>15</v>
      </c>
    </row>
    <row r="2870" spans="1:6" x14ac:dyDescent="0.2">
      <c r="A2870">
        <f>[1]!hospitalinfo[[#This Row],[Facility ID]]</f>
        <v>271300</v>
      </c>
      <c r="B2870" t="str">
        <f>[1]!hospitalinfo[[#This Row],[State]]</f>
        <v>MT</v>
      </c>
      <c r="C2870" t="str">
        <f>[1]!hospitalinfo[[#This Row],[Hospital Type]]</f>
        <v>Critical Access Hospitals</v>
      </c>
      <c r="D2870" t="str">
        <f>[1]!hospitalinfo[[#This Row],[Hospital Ownership]]</f>
        <v>Voluntary non-profit - Private</v>
      </c>
      <c r="E2870" t="str" cm="1">
        <f t="array" ref="E2870">_xlfn.IFNA(_xlfn.XLOOKUP(1,([1]!hcahps[Facility ID] = clean[[#This Row],[Facility ID]]) * ([1]!hcahps[HCAHPS Measure ID] = "H_HSP_RATING_LINEAR_SCORE"), [1]!hcahps[HCAHPS Linear Mean Value]), "No Match")</f>
        <v>Not Available</v>
      </c>
      <c r="F2870" t="str" cm="1">
        <f t="array" ref="F2870">_xlfn.IFNA(_xlfn.XLOOKUP(1,([1]!readmissions[Facility ID] = clean[[#This Row],[Facility ID]]) * ([1]!readmissions[Measure ID] = "Hybrid_HWR"), [1]!readmissions[Score]), "No Match")</f>
        <v>Not Available</v>
      </c>
    </row>
    <row r="2871" spans="1:6" x14ac:dyDescent="0.2">
      <c r="A2871">
        <f>[1]!hospitalinfo[[#This Row],[Facility ID]]</f>
        <v>271301</v>
      </c>
      <c r="B2871" t="str">
        <f>[1]!hospitalinfo[[#This Row],[State]]</f>
        <v>MT</v>
      </c>
      <c r="C2871" t="str">
        <f>[1]!hospitalinfo[[#This Row],[Hospital Type]]</f>
        <v>Critical Access Hospitals</v>
      </c>
      <c r="D2871" t="str">
        <f>[1]!hospitalinfo[[#This Row],[Hospital Ownership]]</f>
        <v>Voluntary non-profit - Private</v>
      </c>
      <c r="E2871" t="str" cm="1">
        <f t="array" ref="E2871">_xlfn.IFNA(_xlfn.XLOOKUP(1,([1]!hcahps[Facility ID] = clean[[#This Row],[Facility ID]]) * ([1]!hcahps[HCAHPS Measure ID] = "H_HSP_RATING_LINEAR_SCORE"), [1]!hcahps[HCAHPS Linear Mean Value]), "No Match")</f>
        <v>Not Available</v>
      </c>
      <c r="F2871" cm="1">
        <f t="array" ref="F2871">_xlfn.IFNA(_xlfn.XLOOKUP(1,([1]!readmissions[Facility ID] = clean[[#This Row],[Facility ID]]) * ([1]!readmissions[Measure ID] = "Hybrid_HWR"), [1]!readmissions[Score]), "No Match")</f>
        <v>15.2</v>
      </c>
    </row>
    <row r="2872" spans="1:6" x14ac:dyDescent="0.2">
      <c r="A2872">
        <f>[1]!hospitalinfo[[#This Row],[Facility ID]]</f>
        <v>271302</v>
      </c>
      <c r="B2872" t="str">
        <f>[1]!hospitalinfo[[#This Row],[State]]</f>
        <v>MT</v>
      </c>
      <c r="C2872" t="str">
        <f>[1]!hospitalinfo[[#This Row],[Hospital Type]]</f>
        <v>Critical Access Hospitals</v>
      </c>
      <c r="D2872" t="str">
        <f>[1]!hospitalinfo[[#This Row],[Hospital Ownership]]</f>
        <v>Voluntary non-profit - Private</v>
      </c>
      <c r="E2872" t="str" cm="1">
        <f t="array" ref="E2872">_xlfn.IFNA(_xlfn.XLOOKUP(1,([1]!hcahps[Facility ID] = clean[[#This Row],[Facility ID]]) * ([1]!hcahps[HCAHPS Measure ID] = "H_HSP_RATING_LINEAR_SCORE"), [1]!hcahps[HCAHPS Linear Mean Value]), "No Match")</f>
        <v>Not Available</v>
      </c>
      <c r="F2872" cm="1">
        <f t="array" ref="F2872">_xlfn.IFNA(_xlfn.XLOOKUP(1,([1]!readmissions[Facility ID] = clean[[#This Row],[Facility ID]]) * ([1]!readmissions[Measure ID] = "Hybrid_HWR"), [1]!readmissions[Score]), "No Match")</f>
        <v>14.6</v>
      </c>
    </row>
    <row r="2873" spans="1:6" x14ac:dyDescent="0.2">
      <c r="A2873">
        <f>[1]!hospitalinfo[[#This Row],[Facility ID]]</f>
        <v>271303</v>
      </c>
      <c r="B2873" t="str">
        <f>[1]!hospitalinfo[[#This Row],[State]]</f>
        <v>MT</v>
      </c>
      <c r="C2873" t="str">
        <f>[1]!hospitalinfo[[#This Row],[Hospital Type]]</f>
        <v>Critical Access Hospitals</v>
      </c>
      <c r="D2873" t="str">
        <f>[1]!hospitalinfo[[#This Row],[Hospital Ownership]]</f>
        <v>Government - Hospital District or Authority</v>
      </c>
      <c r="E2873" t="str" cm="1">
        <f t="array" ref="E2873">_xlfn.IFNA(_xlfn.XLOOKUP(1,([1]!hcahps[Facility ID] = clean[[#This Row],[Facility ID]]) * ([1]!hcahps[HCAHPS Measure ID] = "H_HSP_RATING_LINEAR_SCORE"), [1]!hcahps[HCAHPS Linear Mean Value]), "No Match")</f>
        <v>Not Available</v>
      </c>
      <c r="F2873" t="str" cm="1">
        <f t="array" ref="F2873">_xlfn.IFNA(_xlfn.XLOOKUP(1,([1]!readmissions[Facility ID] = clean[[#This Row],[Facility ID]]) * ([1]!readmissions[Measure ID] = "Hybrid_HWR"), [1]!readmissions[Score]), "No Match")</f>
        <v>Not Available</v>
      </c>
    </row>
    <row r="2874" spans="1:6" x14ac:dyDescent="0.2">
      <c r="A2874">
        <f>[1]!hospitalinfo[[#This Row],[Facility ID]]</f>
        <v>271304</v>
      </c>
      <c r="B2874" t="str">
        <f>[1]!hospitalinfo[[#This Row],[State]]</f>
        <v>MT</v>
      </c>
      <c r="C2874" t="str">
        <f>[1]!hospitalinfo[[#This Row],[Hospital Type]]</f>
        <v>Critical Access Hospitals</v>
      </c>
      <c r="D2874" t="str">
        <f>[1]!hospitalinfo[[#This Row],[Hospital Ownership]]</f>
        <v>Government - Hospital District or Authority</v>
      </c>
      <c r="E2874" t="str" cm="1">
        <f t="array" ref="E2874">_xlfn.IFNA(_xlfn.XLOOKUP(1,([1]!hcahps[Facility ID] = clean[[#This Row],[Facility ID]]) * ([1]!hcahps[HCAHPS Measure ID] = "H_HSP_RATING_LINEAR_SCORE"), [1]!hcahps[HCAHPS Linear Mean Value]), "No Match")</f>
        <v>Not Available</v>
      </c>
      <c r="F2874" t="str" cm="1">
        <f t="array" ref="F2874">_xlfn.IFNA(_xlfn.XLOOKUP(1,([1]!readmissions[Facility ID] = clean[[#This Row],[Facility ID]]) * ([1]!readmissions[Measure ID] = "Hybrid_HWR"), [1]!readmissions[Score]), "No Match")</f>
        <v>Not Available</v>
      </c>
    </row>
    <row r="2875" spans="1:6" x14ac:dyDescent="0.2">
      <c r="A2875">
        <f>[1]!hospitalinfo[[#This Row],[Facility ID]]</f>
        <v>271305</v>
      </c>
      <c r="B2875" t="str">
        <f>[1]!hospitalinfo[[#This Row],[State]]</f>
        <v>MT</v>
      </c>
      <c r="C2875" t="str">
        <f>[1]!hospitalinfo[[#This Row],[Hospital Type]]</f>
        <v>Critical Access Hospitals</v>
      </c>
      <c r="D2875" t="str">
        <f>[1]!hospitalinfo[[#This Row],[Hospital Ownership]]</f>
        <v>Voluntary non-profit - Other</v>
      </c>
      <c r="E2875" t="str" cm="1">
        <f t="array" ref="E2875">_xlfn.IFNA(_xlfn.XLOOKUP(1,([1]!hcahps[Facility ID] = clean[[#This Row],[Facility ID]]) * ([1]!hcahps[HCAHPS Measure ID] = "H_HSP_RATING_LINEAR_SCORE"), [1]!hcahps[HCAHPS Linear Mean Value]), "No Match")</f>
        <v>Not Available</v>
      </c>
      <c r="F2875" t="str" cm="1">
        <f t="array" ref="F2875">_xlfn.IFNA(_xlfn.XLOOKUP(1,([1]!readmissions[Facility ID] = clean[[#This Row],[Facility ID]]) * ([1]!readmissions[Measure ID] = "Hybrid_HWR"), [1]!readmissions[Score]), "No Match")</f>
        <v>Not Available</v>
      </c>
    </row>
    <row r="2876" spans="1:6" x14ac:dyDescent="0.2">
      <c r="A2876">
        <f>[1]!hospitalinfo[[#This Row],[Facility ID]]</f>
        <v>271306</v>
      </c>
      <c r="B2876" t="str">
        <f>[1]!hospitalinfo[[#This Row],[State]]</f>
        <v>MT</v>
      </c>
      <c r="C2876" t="str">
        <f>[1]!hospitalinfo[[#This Row],[Hospital Type]]</f>
        <v>Critical Access Hospitals</v>
      </c>
      <c r="D2876" t="str">
        <f>[1]!hospitalinfo[[#This Row],[Hospital Ownership]]</f>
        <v>Voluntary non-profit - Private</v>
      </c>
      <c r="E2876" t="str" cm="1">
        <f t="array" ref="E2876">_xlfn.IFNA(_xlfn.XLOOKUP(1,([1]!hcahps[Facility ID] = clean[[#This Row],[Facility ID]]) * ([1]!hcahps[HCAHPS Measure ID] = "H_HSP_RATING_LINEAR_SCORE"), [1]!hcahps[HCAHPS Linear Mean Value]), "No Match")</f>
        <v>Not Available</v>
      </c>
      <c r="F2876" t="str" cm="1">
        <f t="array" ref="F2876">_xlfn.IFNA(_xlfn.XLOOKUP(1,([1]!readmissions[Facility ID] = clean[[#This Row],[Facility ID]]) * ([1]!readmissions[Measure ID] = "Hybrid_HWR"), [1]!readmissions[Score]), "No Match")</f>
        <v>Not Available</v>
      </c>
    </row>
    <row r="2877" spans="1:6" x14ac:dyDescent="0.2">
      <c r="A2877">
        <f>[1]!hospitalinfo[[#This Row],[Facility ID]]</f>
        <v>271307</v>
      </c>
      <c r="B2877" t="str">
        <f>[1]!hospitalinfo[[#This Row],[State]]</f>
        <v>MT</v>
      </c>
      <c r="C2877" t="str">
        <f>[1]!hospitalinfo[[#This Row],[Hospital Type]]</f>
        <v>Critical Access Hospitals</v>
      </c>
      <c r="D2877" t="str">
        <f>[1]!hospitalinfo[[#This Row],[Hospital Ownership]]</f>
        <v>Voluntary non-profit - Private</v>
      </c>
      <c r="E2877" t="str" cm="1">
        <f t="array" ref="E2877">_xlfn.IFNA(_xlfn.XLOOKUP(1,([1]!hcahps[Facility ID] = clean[[#This Row],[Facility ID]]) * ([1]!hcahps[HCAHPS Measure ID] = "H_HSP_RATING_LINEAR_SCORE"), [1]!hcahps[HCAHPS Linear Mean Value]), "No Match")</f>
        <v>Not Available</v>
      </c>
      <c r="F2877" t="str" cm="1">
        <f t="array" ref="F2877">_xlfn.IFNA(_xlfn.XLOOKUP(1,([1]!readmissions[Facility ID] = clean[[#This Row],[Facility ID]]) * ([1]!readmissions[Measure ID] = "Hybrid_HWR"), [1]!readmissions[Score]), "No Match")</f>
        <v>Not Available</v>
      </c>
    </row>
    <row r="2878" spans="1:6" x14ac:dyDescent="0.2">
      <c r="A2878">
        <f>[1]!hospitalinfo[[#This Row],[Facility ID]]</f>
        <v>271308</v>
      </c>
      <c r="B2878" t="str">
        <f>[1]!hospitalinfo[[#This Row],[State]]</f>
        <v>MT</v>
      </c>
      <c r="C2878" t="str">
        <f>[1]!hospitalinfo[[#This Row],[Hospital Type]]</f>
        <v>Critical Access Hospitals</v>
      </c>
      <c r="D2878" t="str">
        <f>[1]!hospitalinfo[[#This Row],[Hospital Ownership]]</f>
        <v>Voluntary non-profit - Private</v>
      </c>
      <c r="E2878" t="str" cm="1">
        <f t="array" ref="E2878">_xlfn.IFNA(_xlfn.XLOOKUP(1,([1]!hcahps[Facility ID] = clean[[#This Row],[Facility ID]]) * ([1]!hcahps[HCAHPS Measure ID] = "H_HSP_RATING_LINEAR_SCORE"), [1]!hcahps[HCAHPS Linear Mean Value]), "No Match")</f>
        <v>Not Available</v>
      </c>
      <c r="F2878" t="str" cm="1">
        <f t="array" ref="F2878">_xlfn.IFNA(_xlfn.XLOOKUP(1,([1]!readmissions[Facility ID] = clean[[#This Row],[Facility ID]]) * ([1]!readmissions[Measure ID] = "Hybrid_HWR"), [1]!readmissions[Score]), "No Match")</f>
        <v>Not Available</v>
      </c>
    </row>
    <row r="2879" spans="1:6" x14ac:dyDescent="0.2">
      <c r="A2879">
        <f>[1]!hospitalinfo[[#This Row],[Facility ID]]</f>
        <v>271309</v>
      </c>
      <c r="B2879" t="str">
        <f>[1]!hospitalinfo[[#This Row],[State]]</f>
        <v>MT</v>
      </c>
      <c r="C2879" t="str">
        <f>[1]!hospitalinfo[[#This Row],[Hospital Type]]</f>
        <v>Critical Access Hospitals</v>
      </c>
      <c r="D2879" t="str">
        <f>[1]!hospitalinfo[[#This Row],[Hospital Ownership]]</f>
        <v>Government - Hospital District or Authority</v>
      </c>
      <c r="E2879" t="str" cm="1">
        <f t="array" ref="E2879">_xlfn.IFNA(_xlfn.XLOOKUP(1,([1]!hcahps[Facility ID] = clean[[#This Row],[Facility ID]]) * ([1]!hcahps[HCAHPS Measure ID] = "H_HSP_RATING_LINEAR_SCORE"), [1]!hcahps[HCAHPS Linear Mean Value]), "No Match")</f>
        <v>Not Available</v>
      </c>
      <c r="F2879" t="str" cm="1">
        <f t="array" ref="F2879">_xlfn.IFNA(_xlfn.XLOOKUP(1,([1]!readmissions[Facility ID] = clean[[#This Row],[Facility ID]]) * ([1]!readmissions[Measure ID] = "Hybrid_HWR"), [1]!readmissions[Score]), "No Match")</f>
        <v>Not Available</v>
      </c>
    </row>
    <row r="2880" spans="1:6" x14ac:dyDescent="0.2">
      <c r="A2880">
        <f>[1]!hospitalinfo[[#This Row],[Facility ID]]</f>
        <v>271310</v>
      </c>
      <c r="B2880" t="str">
        <f>[1]!hospitalinfo[[#This Row],[State]]</f>
        <v>MT</v>
      </c>
      <c r="C2880" t="str">
        <f>[1]!hospitalinfo[[#This Row],[Hospital Type]]</f>
        <v>Critical Access Hospitals</v>
      </c>
      <c r="D2880" t="str">
        <f>[1]!hospitalinfo[[#This Row],[Hospital Ownership]]</f>
        <v>Government - Local</v>
      </c>
      <c r="E2880" t="str" cm="1">
        <f t="array" ref="E2880">_xlfn.IFNA(_xlfn.XLOOKUP(1,([1]!hcahps[Facility ID] = clean[[#This Row],[Facility ID]]) * ([1]!hcahps[HCAHPS Measure ID] = "H_HSP_RATING_LINEAR_SCORE"), [1]!hcahps[HCAHPS Linear Mean Value]), "No Match")</f>
        <v>Not Available</v>
      </c>
      <c r="F2880" t="str" cm="1">
        <f t="array" ref="F2880">_xlfn.IFNA(_xlfn.XLOOKUP(1,([1]!readmissions[Facility ID] = clean[[#This Row],[Facility ID]]) * ([1]!readmissions[Measure ID] = "Hybrid_HWR"), [1]!readmissions[Score]), "No Match")</f>
        <v>Not Available</v>
      </c>
    </row>
    <row r="2881" spans="1:6" x14ac:dyDescent="0.2">
      <c r="A2881">
        <f>[1]!hospitalinfo[[#This Row],[Facility ID]]</f>
        <v>271311</v>
      </c>
      <c r="B2881" t="str">
        <f>[1]!hospitalinfo[[#This Row],[State]]</f>
        <v>MT</v>
      </c>
      <c r="C2881" t="str">
        <f>[1]!hospitalinfo[[#This Row],[Hospital Type]]</f>
        <v>Critical Access Hospitals</v>
      </c>
      <c r="D2881" t="str">
        <f>[1]!hospitalinfo[[#This Row],[Hospital Ownership]]</f>
        <v>Voluntary non-profit - Private</v>
      </c>
      <c r="E2881" t="str" cm="1">
        <f t="array" ref="E2881">_xlfn.IFNA(_xlfn.XLOOKUP(1,([1]!hcahps[Facility ID] = clean[[#This Row],[Facility ID]]) * ([1]!hcahps[HCAHPS Measure ID] = "H_HSP_RATING_LINEAR_SCORE"), [1]!hcahps[HCAHPS Linear Mean Value]), "No Match")</f>
        <v>Not Available</v>
      </c>
      <c r="F2881" t="str" cm="1">
        <f t="array" ref="F2881">_xlfn.IFNA(_xlfn.XLOOKUP(1,([1]!readmissions[Facility ID] = clean[[#This Row],[Facility ID]]) * ([1]!readmissions[Measure ID] = "Hybrid_HWR"), [1]!readmissions[Score]), "No Match")</f>
        <v>Not Available</v>
      </c>
    </row>
    <row r="2882" spans="1:6" x14ac:dyDescent="0.2">
      <c r="A2882">
        <f>[1]!hospitalinfo[[#This Row],[Facility ID]]</f>
        <v>271312</v>
      </c>
      <c r="B2882" t="str">
        <f>[1]!hospitalinfo[[#This Row],[State]]</f>
        <v>MT</v>
      </c>
      <c r="C2882" t="str">
        <f>[1]!hospitalinfo[[#This Row],[Hospital Type]]</f>
        <v>Critical Access Hospitals</v>
      </c>
      <c r="D2882" t="str">
        <f>[1]!hospitalinfo[[#This Row],[Hospital Ownership]]</f>
        <v>Voluntary non-profit - Private</v>
      </c>
      <c r="E2882" t="str" cm="1">
        <f t="array" ref="E2882">_xlfn.IFNA(_xlfn.XLOOKUP(1,([1]!hcahps[Facility ID] = clean[[#This Row],[Facility ID]]) * ([1]!hcahps[HCAHPS Measure ID] = "H_HSP_RATING_LINEAR_SCORE"), [1]!hcahps[HCAHPS Linear Mean Value]), "No Match")</f>
        <v>Not Available</v>
      </c>
      <c r="F2882" cm="1">
        <f t="array" ref="F2882">_xlfn.IFNA(_xlfn.XLOOKUP(1,([1]!readmissions[Facility ID] = clean[[#This Row],[Facility ID]]) * ([1]!readmissions[Measure ID] = "Hybrid_HWR"), [1]!readmissions[Score]), "No Match")</f>
        <v>15.3</v>
      </c>
    </row>
    <row r="2883" spans="1:6" x14ac:dyDescent="0.2">
      <c r="A2883">
        <f>[1]!hospitalinfo[[#This Row],[Facility ID]]</f>
        <v>271313</v>
      </c>
      <c r="B2883" t="str">
        <f>[1]!hospitalinfo[[#This Row],[State]]</f>
        <v>MT</v>
      </c>
      <c r="C2883" t="str">
        <f>[1]!hospitalinfo[[#This Row],[Hospital Type]]</f>
        <v>Critical Access Hospitals</v>
      </c>
      <c r="D2883" t="str">
        <f>[1]!hospitalinfo[[#This Row],[Hospital Ownership]]</f>
        <v>Voluntary non-profit - Private</v>
      </c>
      <c r="E2883" t="str" cm="1">
        <f t="array" ref="E2883">_xlfn.IFNA(_xlfn.XLOOKUP(1,([1]!hcahps[Facility ID] = clean[[#This Row],[Facility ID]]) * ([1]!hcahps[HCAHPS Measure ID] = "H_HSP_RATING_LINEAR_SCORE"), [1]!hcahps[HCAHPS Linear Mean Value]), "No Match")</f>
        <v>Not Available</v>
      </c>
      <c r="F2883" cm="1">
        <f t="array" ref="F2883">_xlfn.IFNA(_xlfn.XLOOKUP(1,([1]!readmissions[Facility ID] = clean[[#This Row],[Facility ID]]) * ([1]!readmissions[Measure ID] = "Hybrid_HWR"), [1]!readmissions[Score]), "No Match")</f>
        <v>15.2</v>
      </c>
    </row>
    <row r="2884" spans="1:6" x14ac:dyDescent="0.2">
      <c r="A2884">
        <f>[1]!hospitalinfo[[#This Row],[Facility ID]]</f>
        <v>271314</v>
      </c>
      <c r="B2884" t="str">
        <f>[1]!hospitalinfo[[#This Row],[State]]</f>
        <v>MT</v>
      </c>
      <c r="C2884" t="str">
        <f>[1]!hospitalinfo[[#This Row],[Hospital Type]]</f>
        <v>Critical Access Hospitals</v>
      </c>
      <c r="D2884" t="str">
        <f>[1]!hospitalinfo[[#This Row],[Hospital Ownership]]</f>
        <v>Voluntary non-profit - Private</v>
      </c>
      <c r="E2884" t="str" cm="1">
        <f t="array" ref="E2884">_xlfn.IFNA(_xlfn.XLOOKUP(1,([1]!hcahps[Facility ID] = clean[[#This Row],[Facility ID]]) * ([1]!hcahps[HCAHPS Measure ID] = "H_HSP_RATING_LINEAR_SCORE"), [1]!hcahps[HCAHPS Linear Mean Value]), "No Match")</f>
        <v>Not Available</v>
      </c>
      <c r="F2884" cm="1">
        <f t="array" ref="F2884">_xlfn.IFNA(_xlfn.XLOOKUP(1,([1]!readmissions[Facility ID] = clean[[#This Row],[Facility ID]]) * ([1]!readmissions[Measure ID] = "Hybrid_HWR"), [1]!readmissions[Score]), "No Match")</f>
        <v>15.3</v>
      </c>
    </row>
    <row r="2885" spans="1:6" x14ac:dyDescent="0.2">
      <c r="A2885">
        <f>[1]!hospitalinfo[[#This Row],[Facility ID]]</f>
        <v>271315</v>
      </c>
      <c r="B2885" t="str">
        <f>[1]!hospitalinfo[[#This Row],[State]]</f>
        <v>MT</v>
      </c>
      <c r="C2885" t="str">
        <f>[1]!hospitalinfo[[#This Row],[Hospital Type]]</f>
        <v>Critical Access Hospitals</v>
      </c>
      <c r="D2885" t="str">
        <f>[1]!hospitalinfo[[#This Row],[Hospital Ownership]]</f>
        <v>Government - Federal</v>
      </c>
      <c r="E2885" t="str" cm="1">
        <f t="array" ref="E2885">_xlfn.IFNA(_xlfn.XLOOKUP(1,([1]!hcahps[Facility ID] = clean[[#This Row],[Facility ID]]) * ([1]!hcahps[HCAHPS Measure ID] = "H_HSP_RATING_LINEAR_SCORE"), [1]!hcahps[HCAHPS Linear Mean Value]), "No Match")</f>
        <v>Not Available</v>
      </c>
      <c r="F2885" t="str" cm="1">
        <f t="array" ref="F2885">_xlfn.IFNA(_xlfn.XLOOKUP(1,([1]!readmissions[Facility ID] = clean[[#This Row],[Facility ID]]) * ([1]!readmissions[Measure ID] = "Hybrid_HWR"), [1]!readmissions[Score]), "No Match")</f>
        <v>Not Available</v>
      </c>
    </row>
    <row r="2886" spans="1:6" x14ac:dyDescent="0.2">
      <c r="A2886">
        <f>[1]!hospitalinfo[[#This Row],[Facility ID]]</f>
        <v>271316</v>
      </c>
      <c r="B2886" t="str">
        <f>[1]!hospitalinfo[[#This Row],[State]]</f>
        <v>MT</v>
      </c>
      <c r="C2886" t="str">
        <f>[1]!hospitalinfo[[#This Row],[Hospital Type]]</f>
        <v>Critical Access Hospitals</v>
      </c>
      <c r="D2886" t="str">
        <f>[1]!hospitalinfo[[#This Row],[Hospital Ownership]]</f>
        <v>Voluntary non-profit - Private</v>
      </c>
      <c r="E2886" t="str" cm="1">
        <f t="array" ref="E2886">_xlfn.IFNA(_xlfn.XLOOKUP(1,([1]!hcahps[Facility ID] = clean[[#This Row],[Facility ID]]) * ([1]!hcahps[HCAHPS Measure ID] = "H_HSP_RATING_LINEAR_SCORE"), [1]!hcahps[HCAHPS Linear Mean Value]), "No Match")</f>
        <v>Not Available</v>
      </c>
      <c r="F2886" cm="1">
        <f t="array" ref="F2886">_xlfn.IFNA(_xlfn.XLOOKUP(1,([1]!readmissions[Facility ID] = clean[[#This Row],[Facility ID]]) * ([1]!readmissions[Measure ID] = "Hybrid_HWR"), [1]!readmissions[Score]), "No Match")</f>
        <v>15.6</v>
      </c>
    </row>
    <row r="2887" spans="1:6" x14ac:dyDescent="0.2">
      <c r="A2887">
        <f>[1]!hospitalinfo[[#This Row],[Facility ID]]</f>
        <v>271317</v>
      </c>
      <c r="B2887" t="str">
        <f>[1]!hospitalinfo[[#This Row],[State]]</f>
        <v>MT</v>
      </c>
      <c r="C2887" t="str">
        <f>[1]!hospitalinfo[[#This Row],[Hospital Type]]</f>
        <v>Critical Access Hospitals</v>
      </c>
      <c r="D2887" t="str">
        <f>[1]!hospitalinfo[[#This Row],[Hospital Ownership]]</f>
        <v>Physician</v>
      </c>
      <c r="E2887" cm="1">
        <f t="array" ref="E2887">_xlfn.IFNA(_xlfn.XLOOKUP(1,([1]!hcahps[Facility ID] = clean[[#This Row],[Facility ID]]) * ([1]!hcahps[HCAHPS Measure ID] = "H_HSP_RATING_LINEAR_SCORE"), [1]!hcahps[HCAHPS Linear Mean Value]), "No Match")</f>
        <v>91</v>
      </c>
      <c r="F2887" cm="1">
        <f t="array" ref="F2887">_xlfn.IFNA(_xlfn.XLOOKUP(1,([1]!readmissions[Facility ID] = clean[[#This Row],[Facility ID]]) * ([1]!readmissions[Measure ID] = "Hybrid_HWR"), [1]!readmissions[Score]), "No Match")</f>
        <v>15.7</v>
      </c>
    </row>
    <row r="2888" spans="1:6" x14ac:dyDescent="0.2">
      <c r="A2888">
        <f>[1]!hospitalinfo[[#This Row],[Facility ID]]</f>
        <v>271318</v>
      </c>
      <c r="B2888" t="str">
        <f>[1]!hospitalinfo[[#This Row],[State]]</f>
        <v>MT</v>
      </c>
      <c r="C2888" t="str">
        <f>[1]!hospitalinfo[[#This Row],[Hospital Type]]</f>
        <v>Critical Access Hospitals</v>
      </c>
      <c r="D2888" t="str">
        <f>[1]!hospitalinfo[[#This Row],[Hospital Ownership]]</f>
        <v>Government - Hospital District or Authority</v>
      </c>
      <c r="E2888" t="str" cm="1">
        <f t="array" ref="E2888">_xlfn.IFNA(_xlfn.XLOOKUP(1,([1]!hcahps[Facility ID] = clean[[#This Row],[Facility ID]]) * ([1]!hcahps[HCAHPS Measure ID] = "H_HSP_RATING_LINEAR_SCORE"), [1]!hcahps[HCAHPS Linear Mean Value]), "No Match")</f>
        <v>Not Available</v>
      </c>
      <c r="F2888" cm="1">
        <f t="array" ref="F2888">_xlfn.IFNA(_xlfn.XLOOKUP(1,([1]!readmissions[Facility ID] = clean[[#This Row],[Facility ID]]) * ([1]!readmissions[Measure ID] = "Hybrid_HWR"), [1]!readmissions[Score]), "No Match")</f>
        <v>15.3</v>
      </c>
    </row>
    <row r="2889" spans="1:6" x14ac:dyDescent="0.2">
      <c r="A2889">
        <f>[1]!hospitalinfo[[#This Row],[Facility ID]]</f>
        <v>271319</v>
      </c>
      <c r="B2889" t="str">
        <f>[1]!hospitalinfo[[#This Row],[State]]</f>
        <v>MT</v>
      </c>
      <c r="C2889" t="str">
        <f>[1]!hospitalinfo[[#This Row],[Hospital Type]]</f>
        <v>Critical Access Hospitals</v>
      </c>
      <c r="D2889" t="str">
        <f>[1]!hospitalinfo[[#This Row],[Hospital Ownership]]</f>
        <v>Government - Hospital District or Authority</v>
      </c>
      <c r="E2889" t="str" cm="1">
        <f t="array" ref="E2889">_xlfn.IFNA(_xlfn.XLOOKUP(1,([1]!hcahps[Facility ID] = clean[[#This Row],[Facility ID]]) * ([1]!hcahps[HCAHPS Measure ID] = "H_HSP_RATING_LINEAR_SCORE"), [1]!hcahps[HCAHPS Linear Mean Value]), "No Match")</f>
        <v>Not Available</v>
      </c>
      <c r="F2889" t="str" cm="1">
        <f t="array" ref="F2889">_xlfn.IFNA(_xlfn.XLOOKUP(1,([1]!readmissions[Facility ID] = clean[[#This Row],[Facility ID]]) * ([1]!readmissions[Measure ID] = "Hybrid_HWR"), [1]!readmissions[Score]), "No Match")</f>
        <v>Not Available</v>
      </c>
    </row>
    <row r="2890" spans="1:6" x14ac:dyDescent="0.2">
      <c r="A2890">
        <f>[1]!hospitalinfo[[#This Row],[Facility ID]]</f>
        <v>271320</v>
      </c>
      <c r="B2890" t="str">
        <f>[1]!hospitalinfo[[#This Row],[State]]</f>
        <v>MT</v>
      </c>
      <c r="C2890" t="str">
        <f>[1]!hospitalinfo[[#This Row],[Hospital Type]]</f>
        <v>Critical Access Hospitals</v>
      </c>
      <c r="D2890" t="str">
        <f>[1]!hospitalinfo[[#This Row],[Hospital Ownership]]</f>
        <v>Voluntary non-profit - Private</v>
      </c>
      <c r="E2890" cm="1">
        <f t="array" ref="E2890">_xlfn.IFNA(_xlfn.XLOOKUP(1,([1]!hcahps[Facility ID] = clean[[#This Row],[Facility ID]]) * ([1]!hcahps[HCAHPS Measure ID] = "H_HSP_RATING_LINEAR_SCORE"), [1]!hcahps[HCAHPS Linear Mean Value]), "No Match")</f>
        <v>92</v>
      </c>
      <c r="F2890" cm="1">
        <f t="array" ref="F2890">_xlfn.IFNA(_xlfn.XLOOKUP(1,([1]!readmissions[Facility ID] = clean[[#This Row],[Facility ID]]) * ([1]!readmissions[Measure ID] = "Hybrid_HWR"), [1]!readmissions[Score]), "No Match")</f>
        <v>15.2</v>
      </c>
    </row>
    <row r="2891" spans="1:6" x14ac:dyDescent="0.2">
      <c r="A2891">
        <f>[1]!hospitalinfo[[#This Row],[Facility ID]]</f>
        <v>271321</v>
      </c>
      <c r="B2891" t="str">
        <f>[1]!hospitalinfo[[#This Row],[State]]</f>
        <v>MT</v>
      </c>
      <c r="C2891" t="str">
        <f>[1]!hospitalinfo[[#This Row],[Hospital Type]]</f>
        <v>Critical Access Hospitals</v>
      </c>
      <c r="D2891" t="str">
        <f>[1]!hospitalinfo[[#This Row],[Hospital Ownership]]</f>
        <v>Voluntary non-profit - Private</v>
      </c>
      <c r="E2891" t="str" cm="1">
        <f t="array" ref="E2891">_xlfn.IFNA(_xlfn.XLOOKUP(1,([1]!hcahps[Facility ID] = clean[[#This Row],[Facility ID]]) * ([1]!hcahps[HCAHPS Measure ID] = "H_HSP_RATING_LINEAR_SCORE"), [1]!hcahps[HCAHPS Linear Mean Value]), "No Match")</f>
        <v>Not Available</v>
      </c>
      <c r="F2891" t="str" cm="1">
        <f t="array" ref="F2891">_xlfn.IFNA(_xlfn.XLOOKUP(1,([1]!readmissions[Facility ID] = clean[[#This Row],[Facility ID]]) * ([1]!readmissions[Measure ID] = "Hybrid_HWR"), [1]!readmissions[Score]), "No Match")</f>
        <v>Not Available</v>
      </c>
    </row>
    <row r="2892" spans="1:6" x14ac:dyDescent="0.2">
      <c r="A2892">
        <f>[1]!hospitalinfo[[#This Row],[Facility ID]]</f>
        <v>271322</v>
      </c>
      <c r="B2892" t="str">
        <f>[1]!hospitalinfo[[#This Row],[State]]</f>
        <v>MT</v>
      </c>
      <c r="C2892" t="str">
        <f>[1]!hospitalinfo[[#This Row],[Hospital Type]]</f>
        <v>Critical Access Hospitals</v>
      </c>
      <c r="D2892" t="str">
        <f>[1]!hospitalinfo[[#This Row],[Hospital Ownership]]</f>
        <v>Voluntary non-profit - Private</v>
      </c>
      <c r="E2892" t="str" cm="1">
        <f t="array" ref="E2892">_xlfn.IFNA(_xlfn.XLOOKUP(1,([1]!hcahps[Facility ID] = clean[[#This Row],[Facility ID]]) * ([1]!hcahps[HCAHPS Measure ID] = "H_HSP_RATING_LINEAR_SCORE"), [1]!hcahps[HCAHPS Linear Mean Value]), "No Match")</f>
        <v>Not Available</v>
      </c>
      <c r="F2892" cm="1">
        <f t="array" ref="F2892">_xlfn.IFNA(_xlfn.XLOOKUP(1,([1]!readmissions[Facility ID] = clean[[#This Row],[Facility ID]]) * ([1]!readmissions[Measure ID] = "Hybrid_HWR"), [1]!readmissions[Score]), "No Match")</f>
        <v>14.9</v>
      </c>
    </row>
    <row r="2893" spans="1:6" x14ac:dyDescent="0.2">
      <c r="A2893">
        <f>[1]!hospitalinfo[[#This Row],[Facility ID]]</f>
        <v>271323</v>
      </c>
      <c r="B2893" t="str">
        <f>[1]!hospitalinfo[[#This Row],[State]]</f>
        <v>MT</v>
      </c>
      <c r="C2893" t="str">
        <f>[1]!hospitalinfo[[#This Row],[Hospital Type]]</f>
        <v>Critical Access Hospitals</v>
      </c>
      <c r="D2893" t="str">
        <f>[1]!hospitalinfo[[#This Row],[Hospital Ownership]]</f>
        <v>Voluntary non-profit - Private</v>
      </c>
      <c r="E2893" t="str" cm="1">
        <f t="array" ref="E2893">_xlfn.IFNA(_xlfn.XLOOKUP(1,([1]!hcahps[Facility ID] = clean[[#This Row],[Facility ID]]) * ([1]!hcahps[HCAHPS Measure ID] = "H_HSP_RATING_LINEAR_SCORE"), [1]!hcahps[HCAHPS Linear Mean Value]), "No Match")</f>
        <v>Not Available</v>
      </c>
      <c r="F2893" cm="1">
        <f t="array" ref="F2893">_xlfn.IFNA(_xlfn.XLOOKUP(1,([1]!readmissions[Facility ID] = clean[[#This Row],[Facility ID]]) * ([1]!readmissions[Measure ID] = "Hybrid_HWR"), [1]!readmissions[Score]), "No Match")</f>
        <v>14.7</v>
      </c>
    </row>
    <row r="2894" spans="1:6" x14ac:dyDescent="0.2">
      <c r="A2894">
        <f>[1]!hospitalinfo[[#This Row],[Facility ID]]</f>
        <v>271324</v>
      </c>
      <c r="B2894" t="str">
        <f>[1]!hospitalinfo[[#This Row],[State]]</f>
        <v>MT</v>
      </c>
      <c r="C2894" t="str">
        <f>[1]!hospitalinfo[[#This Row],[Hospital Type]]</f>
        <v>Critical Access Hospitals</v>
      </c>
      <c r="D2894" t="str">
        <f>[1]!hospitalinfo[[#This Row],[Hospital Ownership]]</f>
        <v>Voluntary non-profit - Private</v>
      </c>
      <c r="E2894" t="str" cm="1">
        <f t="array" ref="E2894">_xlfn.IFNA(_xlfn.XLOOKUP(1,([1]!hcahps[Facility ID] = clean[[#This Row],[Facility ID]]) * ([1]!hcahps[HCAHPS Measure ID] = "H_HSP_RATING_LINEAR_SCORE"), [1]!hcahps[HCAHPS Linear Mean Value]), "No Match")</f>
        <v>Not Available</v>
      </c>
      <c r="F2894" t="str" cm="1">
        <f t="array" ref="F2894">_xlfn.IFNA(_xlfn.XLOOKUP(1,([1]!readmissions[Facility ID] = clean[[#This Row],[Facility ID]]) * ([1]!readmissions[Measure ID] = "Hybrid_HWR"), [1]!readmissions[Score]), "No Match")</f>
        <v>Not Available</v>
      </c>
    </row>
    <row r="2895" spans="1:6" x14ac:dyDescent="0.2">
      <c r="A2895">
        <f>[1]!hospitalinfo[[#This Row],[Facility ID]]</f>
        <v>271325</v>
      </c>
      <c r="B2895" t="str">
        <f>[1]!hospitalinfo[[#This Row],[State]]</f>
        <v>MT</v>
      </c>
      <c r="C2895" t="str">
        <f>[1]!hospitalinfo[[#This Row],[Hospital Type]]</f>
        <v>Critical Access Hospitals</v>
      </c>
      <c r="D2895" t="str">
        <f>[1]!hospitalinfo[[#This Row],[Hospital Ownership]]</f>
        <v>Voluntary non-profit - Private</v>
      </c>
      <c r="E2895" t="str" cm="1">
        <f t="array" ref="E2895">_xlfn.IFNA(_xlfn.XLOOKUP(1,([1]!hcahps[Facility ID] = clean[[#This Row],[Facility ID]]) * ([1]!hcahps[HCAHPS Measure ID] = "H_HSP_RATING_LINEAR_SCORE"), [1]!hcahps[HCAHPS Linear Mean Value]), "No Match")</f>
        <v>Not Available</v>
      </c>
      <c r="F2895" cm="1">
        <f t="array" ref="F2895">_xlfn.IFNA(_xlfn.XLOOKUP(1,([1]!readmissions[Facility ID] = clean[[#This Row],[Facility ID]]) * ([1]!readmissions[Measure ID] = "Hybrid_HWR"), [1]!readmissions[Score]), "No Match")</f>
        <v>15.1</v>
      </c>
    </row>
    <row r="2896" spans="1:6" x14ac:dyDescent="0.2">
      <c r="A2896">
        <f>[1]!hospitalinfo[[#This Row],[Facility ID]]</f>
        <v>271326</v>
      </c>
      <c r="B2896" t="str">
        <f>[1]!hospitalinfo[[#This Row],[State]]</f>
        <v>MT</v>
      </c>
      <c r="C2896" t="str">
        <f>[1]!hospitalinfo[[#This Row],[Hospital Type]]</f>
        <v>Critical Access Hospitals</v>
      </c>
      <c r="D2896" t="str">
        <f>[1]!hospitalinfo[[#This Row],[Hospital Ownership]]</f>
        <v>Voluntary non-profit - Private</v>
      </c>
      <c r="E2896" t="str" cm="1">
        <f t="array" ref="E2896">_xlfn.IFNA(_xlfn.XLOOKUP(1,([1]!hcahps[Facility ID] = clean[[#This Row],[Facility ID]]) * ([1]!hcahps[HCAHPS Measure ID] = "H_HSP_RATING_LINEAR_SCORE"), [1]!hcahps[HCAHPS Linear Mean Value]), "No Match")</f>
        <v>Not Available</v>
      </c>
      <c r="F2896" t="str" cm="1">
        <f t="array" ref="F2896">_xlfn.IFNA(_xlfn.XLOOKUP(1,([1]!readmissions[Facility ID] = clean[[#This Row],[Facility ID]]) * ([1]!readmissions[Measure ID] = "Hybrid_HWR"), [1]!readmissions[Score]), "No Match")</f>
        <v>Not Available</v>
      </c>
    </row>
    <row r="2897" spans="1:6" x14ac:dyDescent="0.2">
      <c r="A2897">
        <f>[1]!hospitalinfo[[#This Row],[Facility ID]]</f>
        <v>271327</v>
      </c>
      <c r="B2897" t="str">
        <f>[1]!hospitalinfo[[#This Row],[State]]</f>
        <v>MT</v>
      </c>
      <c r="C2897" t="str">
        <f>[1]!hospitalinfo[[#This Row],[Hospital Type]]</f>
        <v>Critical Access Hospitals</v>
      </c>
      <c r="D2897" t="str">
        <f>[1]!hospitalinfo[[#This Row],[Hospital Ownership]]</f>
        <v>Voluntary non-profit - Private</v>
      </c>
      <c r="E2897" t="str" cm="1">
        <f t="array" ref="E2897">_xlfn.IFNA(_xlfn.XLOOKUP(1,([1]!hcahps[Facility ID] = clean[[#This Row],[Facility ID]]) * ([1]!hcahps[HCAHPS Measure ID] = "H_HSP_RATING_LINEAR_SCORE"), [1]!hcahps[HCAHPS Linear Mean Value]), "No Match")</f>
        <v>Not Available</v>
      </c>
      <c r="F2897" t="str" cm="1">
        <f t="array" ref="F2897">_xlfn.IFNA(_xlfn.XLOOKUP(1,([1]!readmissions[Facility ID] = clean[[#This Row],[Facility ID]]) * ([1]!readmissions[Measure ID] = "Hybrid_HWR"), [1]!readmissions[Score]), "No Match")</f>
        <v>Not Available</v>
      </c>
    </row>
    <row r="2898" spans="1:6" x14ac:dyDescent="0.2">
      <c r="A2898">
        <f>[1]!hospitalinfo[[#This Row],[Facility ID]]</f>
        <v>271328</v>
      </c>
      <c r="B2898" t="str">
        <f>[1]!hospitalinfo[[#This Row],[State]]</f>
        <v>MT</v>
      </c>
      <c r="C2898" t="str">
        <f>[1]!hospitalinfo[[#This Row],[Hospital Type]]</f>
        <v>Critical Access Hospitals</v>
      </c>
      <c r="D2898" t="str">
        <f>[1]!hospitalinfo[[#This Row],[Hospital Ownership]]</f>
        <v>Voluntary non-profit - Private</v>
      </c>
      <c r="E2898" t="str" cm="1">
        <f t="array" ref="E2898">_xlfn.IFNA(_xlfn.XLOOKUP(1,([1]!hcahps[Facility ID] = clean[[#This Row],[Facility ID]]) * ([1]!hcahps[HCAHPS Measure ID] = "H_HSP_RATING_LINEAR_SCORE"), [1]!hcahps[HCAHPS Linear Mean Value]), "No Match")</f>
        <v>Not Available</v>
      </c>
      <c r="F2898" cm="1">
        <f t="array" ref="F2898">_xlfn.IFNA(_xlfn.XLOOKUP(1,([1]!readmissions[Facility ID] = clean[[#This Row],[Facility ID]]) * ([1]!readmissions[Measure ID] = "Hybrid_HWR"), [1]!readmissions[Score]), "No Match")</f>
        <v>14.8</v>
      </c>
    </row>
    <row r="2899" spans="1:6" x14ac:dyDescent="0.2">
      <c r="A2899">
        <f>[1]!hospitalinfo[[#This Row],[Facility ID]]</f>
        <v>271329</v>
      </c>
      <c r="B2899" t="str">
        <f>[1]!hospitalinfo[[#This Row],[State]]</f>
        <v>MT</v>
      </c>
      <c r="C2899" t="str">
        <f>[1]!hospitalinfo[[#This Row],[Hospital Type]]</f>
        <v>Critical Access Hospitals</v>
      </c>
      <c r="D2899" t="str">
        <f>[1]!hospitalinfo[[#This Row],[Hospital Ownership]]</f>
        <v>Voluntary non-profit - Private</v>
      </c>
      <c r="E2899" t="str" cm="1">
        <f t="array" ref="E2899">_xlfn.IFNA(_xlfn.XLOOKUP(1,([1]!hcahps[Facility ID] = clean[[#This Row],[Facility ID]]) * ([1]!hcahps[HCAHPS Measure ID] = "H_HSP_RATING_LINEAR_SCORE"), [1]!hcahps[HCAHPS Linear Mean Value]), "No Match")</f>
        <v>Not Available</v>
      </c>
      <c r="F2899" cm="1">
        <f t="array" ref="F2899">_xlfn.IFNA(_xlfn.XLOOKUP(1,([1]!readmissions[Facility ID] = clean[[#This Row],[Facility ID]]) * ([1]!readmissions[Measure ID] = "Hybrid_HWR"), [1]!readmissions[Score]), "No Match")</f>
        <v>15</v>
      </c>
    </row>
    <row r="2900" spans="1:6" x14ac:dyDescent="0.2">
      <c r="A2900">
        <f>[1]!hospitalinfo[[#This Row],[Facility ID]]</f>
        <v>271330</v>
      </c>
      <c r="B2900" t="str">
        <f>[1]!hospitalinfo[[#This Row],[State]]</f>
        <v>MT</v>
      </c>
      <c r="C2900" t="str">
        <f>[1]!hospitalinfo[[#This Row],[Hospital Type]]</f>
        <v>Critical Access Hospitals</v>
      </c>
      <c r="D2900" t="str">
        <f>[1]!hospitalinfo[[#This Row],[Hospital Ownership]]</f>
        <v>Voluntary non-profit - Private</v>
      </c>
      <c r="E2900" t="str" cm="1">
        <f t="array" ref="E2900">_xlfn.IFNA(_xlfn.XLOOKUP(1,([1]!hcahps[Facility ID] = clean[[#This Row],[Facility ID]]) * ([1]!hcahps[HCAHPS Measure ID] = "H_HSP_RATING_LINEAR_SCORE"), [1]!hcahps[HCAHPS Linear Mean Value]), "No Match")</f>
        <v>Not Available</v>
      </c>
      <c r="F2900" cm="1">
        <f t="array" ref="F2900">_xlfn.IFNA(_xlfn.XLOOKUP(1,([1]!readmissions[Facility ID] = clean[[#This Row],[Facility ID]]) * ([1]!readmissions[Measure ID] = "Hybrid_HWR"), [1]!readmissions[Score]), "No Match")</f>
        <v>15.2</v>
      </c>
    </row>
    <row r="2901" spans="1:6" x14ac:dyDescent="0.2">
      <c r="A2901">
        <f>[1]!hospitalinfo[[#This Row],[Facility ID]]</f>
        <v>271331</v>
      </c>
      <c r="B2901" t="str">
        <f>[1]!hospitalinfo[[#This Row],[State]]</f>
        <v>MT</v>
      </c>
      <c r="C2901" t="str">
        <f>[1]!hospitalinfo[[#This Row],[Hospital Type]]</f>
        <v>Critical Access Hospitals</v>
      </c>
      <c r="D2901" t="str">
        <f>[1]!hospitalinfo[[#This Row],[Hospital Ownership]]</f>
        <v>Government - Hospital District or Authority</v>
      </c>
      <c r="E2901" t="str" cm="1">
        <f t="array" ref="E2901">_xlfn.IFNA(_xlfn.XLOOKUP(1,([1]!hcahps[Facility ID] = clean[[#This Row],[Facility ID]]) * ([1]!hcahps[HCAHPS Measure ID] = "H_HSP_RATING_LINEAR_SCORE"), [1]!hcahps[HCAHPS Linear Mean Value]), "No Match")</f>
        <v>Not Available</v>
      </c>
      <c r="F2901" cm="1">
        <f t="array" ref="F2901">_xlfn.IFNA(_xlfn.XLOOKUP(1,([1]!readmissions[Facility ID] = clean[[#This Row],[Facility ID]]) * ([1]!readmissions[Measure ID] = "Hybrid_HWR"), [1]!readmissions[Score]), "No Match")</f>
        <v>15</v>
      </c>
    </row>
    <row r="2902" spans="1:6" x14ac:dyDescent="0.2">
      <c r="A2902">
        <f>[1]!hospitalinfo[[#This Row],[Facility ID]]</f>
        <v>271332</v>
      </c>
      <c r="B2902" t="str">
        <f>[1]!hospitalinfo[[#This Row],[State]]</f>
        <v>MT</v>
      </c>
      <c r="C2902" t="str">
        <f>[1]!hospitalinfo[[#This Row],[Hospital Type]]</f>
        <v>Critical Access Hospitals</v>
      </c>
      <c r="D2902" t="str">
        <f>[1]!hospitalinfo[[#This Row],[Hospital Ownership]]</f>
        <v>Voluntary non-profit - Private</v>
      </c>
      <c r="E2902" cm="1">
        <f t="array" ref="E2902">_xlfn.IFNA(_xlfn.XLOOKUP(1,([1]!hcahps[Facility ID] = clean[[#This Row],[Facility ID]]) * ([1]!hcahps[HCAHPS Measure ID] = "H_HSP_RATING_LINEAR_SCORE"), [1]!hcahps[HCAHPS Linear Mean Value]), "No Match")</f>
        <v>89</v>
      </c>
      <c r="F2902" cm="1">
        <f t="array" ref="F2902">_xlfn.IFNA(_xlfn.XLOOKUP(1,([1]!readmissions[Facility ID] = clean[[#This Row],[Facility ID]]) * ([1]!readmissions[Measure ID] = "Hybrid_HWR"), [1]!readmissions[Score]), "No Match")</f>
        <v>15.5</v>
      </c>
    </row>
    <row r="2903" spans="1:6" x14ac:dyDescent="0.2">
      <c r="A2903">
        <f>[1]!hospitalinfo[[#This Row],[Facility ID]]</f>
        <v>271333</v>
      </c>
      <c r="B2903" t="str">
        <f>[1]!hospitalinfo[[#This Row],[State]]</f>
        <v>MT</v>
      </c>
      <c r="C2903" t="str">
        <f>[1]!hospitalinfo[[#This Row],[Hospital Type]]</f>
        <v>Critical Access Hospitals</v>
      </c>
      <c r="D2903" t="str">
        <f>[1]!hospitalinfo[[#This Row],[Hospital Ownership]]</f>
        <v>Voluntary non-profit - Private</v>
      </c>
      <c r="E2903" t="str" cm="1">
        <f t="array" ref="E2903">_xlfn.IFNA(_xlfn.XLOOKUP(1,([1]!hcahps[Facility ID] = clean[[#This Row],[Facility ID]]) * ([1]!hcahps[HCAHPS Measure ID] = "H_HSP_RATING_LINEAR_SCORE"), [1]!hcahps[HCAHPS Linear Mean Value]), "No Match")</f>
        <v>Not Available</v>
      </c>
      <c r="F2903" t="str" cm="1">
        <f t="array" ref="F2903">_xlfn.IFNA(_xlfn.XLOOKUP(1,([1]!readmissions[Facility ID] = clean[[#This Row],[Facility ID]]) * ([1]!readmissions[Measure ID] = "Hybrid_HWR"), [1]!readmissions[Score]), "No Match")</f>
        <v>Not Available</v>
      </c>
    </row>
    <row r="2904" spans="1:6" x14ac:dyDescent="0.2">
      <c r="A2904">
        <f>[1]!hospitalinfo[[#This Row],[Facility ID]]</f>
        <v>271334</v>
      </c>
      <c r="B2904" t="str">
        <f>[1]!hospitalinfo[[#This Row],[State]]</f>
        <v>MT</v>
      </c>
      <c r="C2904" t="str">
        <f>[1]!hospitalinfo[[#This Row],[Hospital Type]]</f>
        <v>Critical Access Hospitals</v>
      </c>
      <c r="D2904" t="str">
        <f>[1]!hospitalinfo[[#This Row],[Hospital Ownership]]</f>
        <v>Voluntary non-profit - Private</v>
      </c>
      <c r="E2904" t="str" cm="1">
        <f t="array" ref="E2904">_xlfn.IFNA(_xlfn.XLOOKUP(1,([1]!hcahps[Facility ID] = clean[[#This Row],[Facility ID]]) * ([1]!hcahps[HCAHPS Measure ID] = "H_HSP_RATING_LINEAR_SCORE"), [1]!hcahps[HCAHPS Linear Mean Value]), "No Match")</f>
        <v>Not Available</v>
      </c>
      <c r="F2904" t="str" cm="1">
        <f t="array" ref="F2904">_xlfn.IFNA(_xlfn.XLOOKUP(1,([1]!readmissions[Facility ID] = clean[[#This Row],[Facility ID]]) * ([1]!readmissions[Measure ID] = "Hybrid_HWR"), [1]!readmissions[Score]), "No Match")</f>
        <v>Not Available</v>
      </c>
    </row>
    <row r="2905" spans="1:6" x14ac:dyDescent="0.2">
      <c r="A2905">
        <f>[1]!hospitalinfo[[#This Row],[Facility ID]]</f>
        <v>271335</v>
      </c>
      <c r="B2905" t="str">
        <f>[1]!hospitalinfo[[#This Row],[State]]</f>
        <v>MT</v>
      </c>
      <c r="C2905" t="str">
        <f>[1]!hospitalinfo[[#This Row],[Hospital Type]]</f>
        <v>Critical Access Hospitals</v>
      </c>
      <c r="D2905" t="str">
        <f>[1]!hospitalinfo[[#This Row],[Hospital Ownership]]</f>
        <v>Voluntary non-profit - Private</v>
      </c>
      <c r="E2905" cm="1">
        <f t="array" ref="E2905">_xlfn.IFNA(_xlfn.XLOOKUP(1,([1]!hcahps[Facility ID] = clean[[#This Row],[Facility ID]]) * ([1]!hcahps[HCAHPS Measure ID] = "H_HSP_RATING_LINEAR_SCORE"), [1]!hcahps[HCAHPS Linear Mean Value]), "No Match")</f>
        <v>92</v>
      </c>
      <c r="F2905" cm="1">
        <f t="array" ref="F2905">_xlfn.IFNA(_xlfn.XLOOKUP(1,([1]!readmissions[Facility ID] = clean[[#This Row],[Facility ID]]) * ([1]!readmissions[Measure ID] = "Hybrid_HWR"), [1]!readmissions[Score]), "No Match")</f>
        <v>14.7</v>
      </c>
    </row>
    <row r="2906" spans="1:6" x14ac:dyDescent="0.2">
      <c r="A2906">
        <f>[1]!hospitalinfo[[#This Row],[Facility ID]]</f>
        <v>271336</v>
      </c>
      <c r="B2906" t="str">
        <f>[1]!hospitalinfo[[#This Row],[State]]</f>
        <v>MT</v>
      </c>
      <c r="C2906" t="str">
        <f>[1]!hospitalinfo[[#This Row],[Hospital Type]]</f>
        <v>Critical Access Hospitals</v>
      </c>
      <c r="D2906" t="str">
        <f>[1]!hospitalinfo[[#This Row],[Hospital Ownership]]</f>
        <v>Voluntary non-profit - Private</v>
      </c>
      <c r="E2906" cm="1">
        <f t="array" ref="E2906">_xlfn.IFNA(_xlfn.XLOOKUP(1,([1]!hcahps[Facility ID] = clean[[#This Row],[Facility ID]]) * ([1]!hcahps[HCAHPS Measure ID] = "H_HSP_RATING_LINEAR_SCORE"), [1]!hcahps[HCAHPS Linear Mean Value]), "No Match")</f>
        <v>92</v>
      </c>
      <c r="F2906" cm="1">
        <f t="array" ref="F2906">_xlfn.IFNA(_xlfn.XLOOKUP(1,([1]!readmissions[Facility ID] = clean[[#This Row],[Facility ID]]) * ([1]!readmissions[Measure ID] = "Hybrid_HWR"), [1]!readmissions[Score]), "No Match")</f>
        <v>15.3</v>
      </c>
    </row>
    <row r="2907" spans="1:6" x14ac:dyDescent="0.2">
      <c r="A2907">
        <f>[1]!hospitalinfo[[#This Row],[Facility ID]]</f>
        <v>271337</v>
      </c>
      <c r="B2907" t="str">
        <f>[1]!hospitalinfo[[#This Row],[State]]</f>
        <v>MT</v>
      </c>
      <c r="C2907" t="str">
        <f>[1]!hospitalinfo[[#This Row],[Hospital Type]]</f>
        <v>Critical Access Hospitals</v>
      </c>
      <c r="D2907" t="str">
        <f>[1]!hospitalinfo[[#This Row],[Hospital Ownership]]</f>
        <v>Voluntary non-profit - Private</v>
      </c>
      <c r="E2907" t="str" cm="1">
        <f t="array" ref="E2907">_xlfn.IFNA(_xlfn.XLOOKUP(1,([1]!hcahps[Facility ID] = clean[[#This Row],[Facility ID]]) * ([1]!hcahps[HCAHPS Measure ID] = "H_HSP_RATING_LINEAR_SCORE"), [1]!hcahps[HCAHPS Linear Mean Value]), "No Match")</f>
        <v>Not Available</v>
      </c>
      <c r="F2907" t="str" cm="1">
        <f t="array" ref="F2907">_xlfn.IFNA(_xlfn.XLOOKUP(1,([1]!readmissions[Facility ID] = clean[[#This Row],[Facility ID]]) * ([1]!readmissions[Measure ID] = "Hybrid_HWR"), [1]!readmissions[Score]), "No Match")</f>
        <v>Not Available</v>
      </c>
    </row>
    <row r="2908" spans="1:6" x14ac:dyDescent="0.2">
      <c r="A2908">
        <f>[1]!hospitalinfo[[#This Row],[Facility ID]]</f>
        <v>271338</v>
      </c>
      <c r="B2908" t="str">
        <f>[1]!hospitalinfo[[#This Row],[State]]</f>
        <v>MT</v>
      </c>
      <c r="C2908" t="str">
        <f>[1]!hospitalinfo[[#This Row],[Hospital Type]]</f>
        <v>Critical Access Hospitals</v>
      </c>
      <c r="D2908" t="str">
        <f>[1]!hospitalinfo[[#This Row],[Hospital Ownership]]</f>
        <v>Voluntary non-profit - Private</v>
      </c>
      <c r="E2908" t="str" cm="1">
        <f t="array" ref="E2908">_xlfn.IFNA(_xlfn.XLOOKUP(1,([1]!hcahps[Facility ID] = clean[[#This Row],[Facility ID]]) * ([1]!hcahps[HCAHPS Measure ID] = "H_HSP_RATING_LINEAR_SCORE"), [1]!hcahps[HCAHPS Linear Mean Value]), "No Match")</f>
        <v>Not Available</v>
      </c>
      <c r="F2908" t="str" cm="1">
        <f t="array" ref="F2908">_xlfn.IFNA(_xlfn.XLOOKUP(1,([1]!readmissions[Facility ID] = clean[[#This Row],[Facility ID]]) * ([1]!readmissions[Measure ID] = "Hybrid_HWR"), [1]!readmissions[Score]), "No Match")</f>
        <v>Not Available</v>
      </c>
    </row>
    <row r="2909" spans="1:6" x14ac:dyDescent="0.2">
      <c r="A2909">
        <f>[1]!hospitalinfo[[#This Row],[Facility ID]]</f>
        <v>271339</v>
      </c>
      <c r="B2909" t="str">
        <f>[1]!hospitalinfo[[#This Row],[State]]</f>
        <v>MT</v>
      </c>
      <c r="C2909" t="str">
        <f>[1]!hospitalinfo[[#This Row],[Hospital Type]]</f>
        <v>Critical Access Hospitals</v>
      </c>
      <c r="D2909" t="str">
        <f>[1]!hospitalinfo[[#This Row],[Hospital Ownership]]</f>
        <v>Government - Federal</v>
      </c>
      <c r="E2909" t="str" cm="1">
        <f t="array" ref="E2909">_xlfn.IFNA(_xlfn.XLOOKUP(1,([1]!hcahps[Facility ID] = clean[[#This Row],[Facility ID]]) * ([1]!hcahps[HCAHPS Measure ID] = "H_HSP_RATING_LINEAR_SCORE"), [1]!hcahps[HCAHPS Linear Mean Value]), "No Match")</f>
        <v>Not Available</v>
      </c>
      <c r="F2909" cm="1">
        <f t="array" ref="F2909">_xlfn.IFNA(_xlfn.XLOOKUP(1,([1]!readmissions[Facility ID] = clean[[#This Row],[Facility ID]]) * ([1]!readmissions[Measure ID] = "Hybrid_HWR"), [1]!readmissions[Score]), "No Match")</f>
        <v>14.6</v>
      </c>
    </row>
    <row r="2910" spans="1:6" x14ac:dyDescent="0.2">
      <c r="A2910">
        <f>[1]!hospitalinfo[[#This Row],[Facility ID]]</f>
        <v>271340</v>
      </c>
      <c r="B2910" t="str">
        <f>[1]!hospitalinfo[[#This Row],[State]]</f>
        <v>MT</v>
      </c>
      <c r="C2910" t="str">
        <f>[1]!hospitalinfo[[#This Row],[Hospital Type]]</f>
        <v>Critical Access Hospitals</v>
      </c>
      <c r="D2910" t="str">
        <f>[1]!hospitalinfo[[#This Row],[Hospital Ownership]]</f>
        <v>Voluntary non-profit - Private</v>
      </c>
      <c r="E2910" cm="1">
        <f t="array" ref="E2910">_xlfn.IFNA(_xlfn.XLOOKUP(1,([1]!hcahps[Facility ID] = clean[[#This Row],[Facility ID]]) * ([1]!hcahps[HCAHPS Measure ID] = "H_HSP_RATING_LINEAR_SCORE"), [1]!hcahps[HCAHPS Linear Mean Value]), "No Match")</f>
        <v>91</v>
      </c>
      <c r="F2910" cm="1">
        <f t="array" ref="F2910">_xlfn.IFNA(_xlfn.XLOOKUP(1,([1]!readmissions[Facility ID] = clean[[#This Row],[Facility ID]]) * ([1]!readmissions[Measure ID] = "Hybrid_HWR"), [1]!readmissions[Score]), "No Match")</f>
        <v>13.7</v>
      </c>
    </row>
    <row r="2911" spans="1:6" x14ac:dyDescent="0.2">
      <c r="A2911">
        <f>[1]!hospitalinfo[[#This Row],[Facility ID]]</f>
        <v>271341</v>
      </c>
      <c r="B2911" t="str">
        <f>[1]!hospitalinfo[[#This Row],[State]]</f>
        <v>MT</v>
      </c>
      <c r="C2911" t="str">
        <f>[1]!hospitalinfo[[#This Row],[Hospital Type]]</f>
        <v>Critical Access Hospitals</v>
      </c>
      <c r="D2911" t="str">
        <f>[1]!hospitalinfo[[#This Row],[Hospital Ownership]]</f>
        <v>Voluntary non-profit - Private</v>
      </c>
      <c r="E2911" t="str" cm="1">
        <f t="array" ref="E2911">_xlfn.IFNA(_xlfn.XLOOKUP(1,([1]!hcahps[Facility ID] = clean[[#This Row],[Facility ID]]) * ([1]!hcahps[HCAHPS Measure ID] = "H_HSP_RATING_LINEAR_SCORE"), [1]!hcahps[HCAHPS Linear Mean Value]), "No Match")</f>
        <v>Not Available</v>
      </c>
      <c r="F2911" cm="1">
        <f t="array" ref="F2911">_xlfn.IFNA(_xlfn.XLOOKUP(1,([1]!readmissions[Facility ID] = clean[[#This Row],[Facility ID]]) * ([1]!readmissions[Measure ID] = "Hybrid_HWR"), [1]!readmissions[Score]), "No Match")</f>
        <v>15</v>
      </c>
    </row>
    <row r="2912" spans="1:6" x14ac:dyDescent="0.2">
      <c r="A2912">
        <f>[1]!hospitalinfo[[#This Row],[Facility ID]]</f>
        <v>271342</v>
      </c>
      <c r="B2912" t="str">
        <f>[1]!hospitalinfo[[#This Row],[State]]</f>
        <v>MT</v>
      </c>
      <c r="C2912" t="str">
        <f>[1]!hospitalinfo[[#This Row],[Hospital Type]]</f>
        <v>Critical Access Hospitals</v>
      </c>
      <c r="D2912" t="str">
        <f>[1]!hospitalinfo[[#This Row],[Hospital Ownership]]</f>
        <v>Voluntary non-profit - Private</v>
      </c>
      <c r="E2912" t="str" cm="1">
        <f t="array" ref="E2912">_xlfn.IFNA(_xlfn.XLOOKUP(1,([1]!hcahps[Facility ID] = clean[[#This Row],[Facility ID]]) * ([1]!hcahps[HCAHPS Measure ID] = "H_HSP_RATING_LINEAR_SCORE"), [1]!hcahps[HCAHPS Linear Mean Value]), "No Match")</f>
        <v>Not Available</v>
      </c>
      <c r="F2912" t="str" cm="1">
        <f t="array" ref="F2912">_xlfn.IFNA(_xlfn.XLOOKUP(1,([1]!readmissions[Facility ID] = clean[[#This Row],[Facility ID]]) * ([1]!readmissions[Measure ID] = "Hybrid_HWR"), [1]!readmissions[Score]), "No Match")</f>
        <v>Not Available</v>
      </c>
    </row>
    <row r="2913" spans="1:6" x14ac:dyDescent="0.2">
      <c r="A2913">
        <f>[1]!hospitalinfo[[#This Row],[Facility ID]]</f>
        <v>271343</v>
      </c>
      <c r="B2913" t="str">
        <f>[1]!hospitalinfo[[#This Row],[State]]</f>
        <v>MT</v>
      </c>
      <c r="C2913" t="str">
        <f>[1]!hospitalinfo[[#This Row],[Hospital Type]]</f>
        <v>Critical Access Hospitals</v>
      </c>
      <c r="D2913" t="str">
        <f>[1]!hospitalinfo[[#This Row],[Hospital Ownership]]</f>
        <v>Voluntary non-profit - Private</v>
      </c>
      <c r="E2913" t="str" cm="1">
        <f t="array" ref="E2913">_xlfn.IFNA(_xlfn.XLOOKUP(1,([1]!hcahps[Facility ID] = clean[[#This Row],[Facility ID]]) * ([1]!hcahps[HCAHPS Measure ID] = "H_HSP_RATING_LINEAR_SCORE"), [1]!hcahps[HCAHPS Linear Mean Value]), "No Match")</f>
        <v>Not Available</v>
      </c>
      <c r="F2913" cm="1">
        <f t="array" ref="F2913">_xlfn.IFNA(_xlfn.XLOOKUP(1,([1]!readmissions[Facility ID] = clean[[#This Row],[Facility ID]]) * ([1]!readmissions[Measure ID] = "Hybrid_HWR"), [1]!readmissions[Score]), "No Match")</f>
        <v>14.8</v>
      </c>
    </row>
    <row r="2914" spans="1:6" x14ac:dyDescent="0.2">
      <c r="A2914">
        <f>[1]!hospitalinfo[[#This Row],[Facility ID]]</f>
        <v>271344</v>
      </c>
      <c r="B2914" t="str">
        <f>[1]!hospitalinfo[[#This Row],[State]]</f>
        <v>MT</v>
      </c>
      <c r="C2914" t="str">
        <f>[1]!hospitalinfo[[#This Row],[Hospital Type]]</f>
        <v>Critical Access Hospitals</v>
      </c>
      <c r="D2914" t="str">
        <f>[1]!hospitalinfo[[#This Row],[Hospital Ownership]]</f>
        <v>Voluntary non-profit - Private</v>
      </c>
      <c r="E2914" cm="1">
        <f t="array" ref="E2914">_xlfn.IFNA(_xlfn.XLOOKUP(1,([1]!hcahps[Facility ID] = clean[[#This Row],[Facility ID]]) * ([1]!hcahps[HCAHPS Measure ID] = "H_HSP_RATING_LINEAR_SCORE"), [1]!hcahps[HCAHPS Linear Mean Value]), "No Match")</f>
        <v>90</v>
      </c>
      <c r="F2914" cm="1">
        <f t="array" ref="F2914">_xlfn.IFNA(_xlfn.XLOOKUP(1,([1]!readmissions[Facility ID] = clean[[#This Row],[Facility ID]]) * ([1]!readmissions[Measure ID] = "Hybrid_HWR"), [1]!readmissions[Score]), "No Match")</f>
        <v>14.7</v>
      </c>
    </row>
    <row r="2915" spans="1:6" x14ac:dyDescent="0.2">
      <c r="A2915">
        <f>[1]!hospitalinfo[[#This Row],[Facility ID]]</f>
        <v>271345</v>
      </c>
      <c r="B2915" t="str">
        <f>[1]!hospitalinfo[[#This Row],[State]]</f>
        <v>MT</v>
      </c>
      <c r="C2915" t="str">
        <f>[1]!hospitalinfo[[#This Row],[Hospital Type]]</f>
        <v>Critical Access Hospitals</v>
      </c>
      <c r="D2915" t="str">
        <f>[1]!hospitalinfo[[#This Row],[Hospital Ownership]]</f>
        <v>Voluntary non-profit - Private</v>
      </c>
      <c r="E2915" cm="1">
        <f t="array" ref="E2915">_xlfn.IFNA(_xlfn.XLOOKUP(1,([1]!hcahps[Facility ID] = clean[[#This Row],[Facility ID]]) * ([1]!hcahps[HCAHPS Measure ID] = "H_HSP_RATING_LINEAR_SCORE"), [1]!hcahps[HCAHPS Linear Mean Value]), "No Match")</f>
        <v>87</v>
      </c>
      <c r="F2915" cm="1">
        <f t="array" ref="F2915">_xlfn.IFNA(_xlfn.XLOOKUP(1,([1]!readmissions[Facility ID] = clean[[#This Row],[Facility ID]]) * ([1]!readmissions[Measure ID] = "Hybrid_HWR"), [1]!readmissions[Score]), "No Match")</f>
        <v>14.8</v>
      </c>
    </row>
    <row r="2916" spans="1:6" x14ac:dyDescent="0.2">
      <c r="A2916">
        <f>[1]!hospitalinfo[[#This Row],[Facility ID]]</f>
        <v>271346</v>
      </c>
      <c r="B2916" t="str">
        <f>[1]!hospitalinfo[[#This Row],[State]]</f>
        <v>MT</v>
      </c>
      <c r="C2916" t="str">
        <f>[1]!hospitalinfo[[#This Row],[Hospital Type]]</f>
        <v>Critical Access Hospitals</v>
      </c>
      <c r="D2916" t="str">
        <f>[1]!hospitalinfo[[#This Row],[Hospital Ownership]]</f>
        <v>Voluntary non-profit - Private</v>
      </c>
      <c r="E2916" t="str" cm="1">
        <f t="array" ref="E2916">_xlfn.IFNA(_xlfn.XLOOKUP(1,([1]!hcahps[Facility ID] = clean[[#This Row],[Facility ID]]) * ([1]!hcahps[HCAHPS Measure ID] = "H_HSP_RATING_LINEAR_SCORE"), [1]!hcahps[HCAHPS Linear Mean Value]), "No Match")</f>
        <v>Not Available</v>
      </c>
      <c r="F2916" t="str" cm="1">
        <f t="array" ref="F2916">_xlfn.IFNA(_xlfn.XLOOKUP(1,([1]!readmissions[Facility ID] = clean[[#This Row],[Facility ID]]) * ([1]!readmissions[Measure ID] = "Hybrid_HWR"), [1]!readmissions[Score]), "No Match")</f>
        <v>Not Available</v>
      </c>
    </row>
    <row r="2917" spans="1:6" x14ac:dyDescent="0.2">
      <c r="A2917">
        <f>[1]!hospitalinfo[[#This Row],[Facility ID]]</f>
        <v>271347</v>
      </c>
      <c r="B2917" t="str">
        <f>[1]!hospitalinfo[[#This Row],[State]]</f>
        <v>MT</v>
      </c>
      <c r="C2917" t="str">
        <f>[1]!hospitalinfo[[#This Row],[Hospital Type]]</f>
        <v>Critical Access Hospitals</v>
      </c>
      <c r="D2917" t="str">
        <f>[1]!hospitalinfo[[#This Row],[Hospital Ownership]]</f>
        <v>Voluntary non-profit - Private</v>
      </c>
      <c r="E2917" cm="1">
        <f t="array" ref="E2917">_xlfn.IFNA(_xlfn.XLOOKUP(1,([1]!hcahps[Facility ID] = clean[[#This Row],[Facility ID]]) * ([1]!hcahps[HCAHPS Measure ID] = "H_HSP_RATING_LINEAR_SCORE"), [1]!hcahps[HCAHPS Linear Mean Value]), "No Match")</f>
        <v>90</v>
      </c>
      <c r="F2917" cm="1">
        <f t="array" ref="F2917">_xlfn.IFNA(_xlfn.XLOOKUP(1,([1]!readmissions[Facility ID] = clean[[#This Row],[Facility ID]]) * ([1]!readmissions[Measure ID] = "Hybrid_HWR"), [1]!readmissions[Score]), "No Match")</f>
        <v>14.3</v>
      </c>
    </row>
    <row r="2918" spans="1:6" x14ac:dyDescent="0.2">
      <c r="A2918">
        <f>[1]!hospitalinfo[[#This Row],[Facility ID]]</f>
        <v>271348</v>
      </c>
      <c r="B2918" t="str">
        <f>[1]!hospitalinfo[[#This Row],[State]]</f>
        <v>MT</v>
      </c>
      <c r="C2918" t="str">
        <f>[1]!hospitalinfo[[#This Row],[Hospital Type]]</f>
        <v>Critical Access Hospitals</v>
      </c>
      <c r="D2918" t="str">
        <f>[1]!hospitalinfo[[#This Row],[Hospital Ownership]]</f>
        <v>Voluntary non-profit - Private</v>
      </c>
      <c r="E2918" t="str" cm="1">
        <f t="array" ref="E2918">_xlfn.IFNA(_xlfn.XLOOKUP(1,([1]!hcahps[Facility ID] = clean[[#This Row],[Facility ID]]) * ([1]!hcahps[HCAHPS Measure ID] = "H_HSP_RATING_LINEAR_SCORE"), [1]!hcahps[HCAHPS Linear Mean Value]), "No Match")</f>
        <v>Not Available</v>
      </c>
      <c r="F2918" t="str" cm="1">
        <f t="array" ref="F2918">_xlfn.IFNA(_xlfn.XLOOKUP(1,([1]!readmissions[Facility ID] = clean[[#This Row],[Facility ID]]) * ([1]!readmissions[Measure ID] = "Hybrid_HWR"), [1]!readmissions[Score]), "No Match")</f>
        <v>Not Available</v>
      </c>
    </row>
    <row r="2919" spans="1:6" x14ac:dyDescent="0.2">
      <c r="A2919">
        <f>[1]!hospitalinfo[[#This Row],[Facility ID]]</f>
        <v>271389</v>
      </c>
      <c r="B2919" t="str">
        <f>[1]!hospitalinfo[[#This Row],[State]]</f>
        <v>MT</v>
      </c>
      <c r="C2919" t="str">
        <f>[1]!hospitalinfo[[#This Row],[Hospital Type]]</f>
        <v>Critical Access Hospitals</v>
      </c>
      <c r="D2919" t="str">
        <f>[1]!hospitalinfo[[#This Row],[Hospital Ownership]]</f>
        <v>Voluntary non-profit - Private</v>
      </c>
      <c r="E2919" t="str" cm="1">
        <f t="array" ref="E2919">_xlfn.IFNA(_xlfn.XLOOKUP(1,([1]!hcahps[Facility ID] = clean[[#This Row],[Facility ID]]) * ([1]!hcahps[HCAHPS Measure ID] = "H_HSP_RATING_LINEAR_SCORE"), [1]!hcahps[HCAHPS Linear Mean Value]), "No Match")</f>
        <v>Not Available</v>
      </c>
      <c r="F2919" t="str" cm="1">
        <f t="array" ref="F2919">_xlfn.IFNA(_xlfn.XLOOKUP(1,([1]!readmissions[Facility ID] = clean[[#This Row],[Facility ID]]) * ([1]!readmissions[Measure ID] = "Hybrid_HWR"), [1]!readmissions[Score]), "No Match")</f>
        <v>Not Available</v>
      </c>
    </row>
    <row r="2920" spans="1:6" x14ac:dyDescent="0.2">
      <c r="A2920">
        <f>[1]!hospitalinfo[[#This Row],[Facility ID]]</f>
        <v>274004</v>
      </c>
      <c r="B2920" t="str">
        <f>[1]!hospitalinfo[[#This Row],[State]]</f>
        <v>MT</v>
      </c>
      <c r="C2920" t="str">
        <f>[1]!hospitalinfo[[#This Row],[Hospital Type]]</f>
        <v>Psychiatric</v>
      </c>
      <c r="D2920" t="str">
        <f>[1]!hospitalinfo[[#This Row],[Hospital Ownership]]</f>
        <v>Voluntary non-profit - Private</v>
      </c>
      <c r="E2920" t="str" cm="1">
        <f t="array" ref="E2920">_xlfn.IFNA(_xlfn.XLOOKUP(1,([1]!hcahps[Facility ID] = clean[[#This Row],[Facility ID]]) * ([1]!hcahps[HCAHPS Measure ID] = "H_HSP_RATING_LINEAR_SCORE"), [1]!hcahps[HCAHPS Linear Mean Value]), "No Match")</f>
        <v>No Match</v>
      </c>
      <c r="F2920" t="str" cm="1">
        <f t="array" ref="F2920">_xlfn.IFNA(_xlfn.XLOOKUP(1,([1]!readmissions[Facility ID] = clean[[#This Row],[Facility ID]]) * ([1]!readmissions[Measure ID] = "Hybrid_HWR"), [1]!readmissions[Score]), "No Match")</f>
        <v>No Match</v>
      </c>
    </row>
    <row r="2921" spans="1:6" x14ac:dyDescent="0.2">
      <c r="A2921" t="str">
        <f>[1]!hospitalinfo[[#This Row],[Facility ID]]</f>
        <v>27003F</v>
      </c>
      <c r="B2921" t="str">
        <f>[1]!hospitalinfo[[#This Row],[State]]</f>
        <v>MT</v>
      </c>
      <c r="C2921" t="str">
        <f>[1]!hospitalinfo[[#This Row],[Hospital Type]]</f>
        <v>Acute Care - Veterans Administration</v>
      </c>
      <c r="D2921" t="str">
        <f>[1]!hospitalinfo[[#This Row],[Hospital Ownership]]</f>
        <v>Veterans Health Administration</v>
      </c>
      <c r="E2921" cm="1">
        <f t="array" ref="E2921">_xlfn.IFNA(_xlfn.XLOOKUP(1,([1]!hcahps[Facility ID] = clean[[#This Row],[Facility ID]]) * ([1]!hcahps[HCAHPS Measure ID] = "H_HSP_RATING_LINEAR_SCORE"), [1]!hcahps[HCAHPS Linear Mean Value]), "No Match")</f>
        <v>93</v>
      </c>
      <c r="F2921" cm="1">
        <f t="array" ref="F2921">_xlfn.IFNA(_xlfn.XLOOKUP(1,([1]!readmissions[Facility ID] = clean[[#This Row],[Facility ID]]) * ([1]!readmissions[Measure ID] = "Hybrid_HWR"), [1]!readmissions[Score]), "No Match")</f>
        <v>13.8</v>
      </c>
    </row>
    <row r="2922" spans="1:6" x14ac:dyDescent="0.2">
      <c r="A2922">
        <f>[1]!hospitalinfo[[#This Row],[Facility ID]]</f>
        <v>340001</v>
      </c>
      <c r="B2922" t="str">
        <f>[1]!hospitalinfo[[#This Row],[State]]</f>
        <v>NC</v>
      </c>
      <c r="C2922" t="str">
        <f>[1]!hospitalinfo[[#This Row],[Hospital Type]]</f>
        <v>Acute Care Hospitals</v>
      </c>
      <c r="D2922" t="str">
        <f>[1]!hospitalinfo[[#This Row],[Hospital Ownership]]</f>
        <v>Government - Hospital District or Authority</v>
      </c>
      <c r="E2922" cm="1">
        <f t="array" ref="E2922">_xlfn.IFNA(_xlfn.XLOOKUP(1,([1]!hcahps[Facility ID] = clean[[#This Row],[Facility ID]]) * ([1]!hcahps[HCAHPS Measure ID] = "H_HSP_RATING_LINEAR_SCORE"), [1]!hcahps[HCAHPS Linear Mean Value]), "No Match")</f>
        <v>88</v>
      </c>
      <c r="F2922" cm="1">
        <f t="array" ref="F2922">_xlfn.IFNA(_xlfn.XLOOKUP(1,([1]!readmissions[Facility ID] = clean[[#This Row],[Facility ID]]) * ([1]!readmissions[Measure ID] = "Hybrid_HWR"), [1]!readmissions[Score]), "No Match")</f>
        <v>14.6</v>
      </c>
    </row>
    <row r="2923" spans="1:6" x14ac:dyDescent="0.2">
      <c r="A2923">
        <f>[1]!hospitalinfo[[#This Row],[Facility ID]]</f>
        <v>340002</v>
      </c>
      <c r="B2923" t="str">
        <f>[1]!hospitalinfo[[#This Row],[State]]</f>
        <v>NC</v>
      </c>
      <c r="C2923" t="str">
        <f>[1]!hospitalinfo[[#This Row],[Hospital Type]]</f>
        <v>Acute Care Hospitals</v>
      </c>
      <c r="D2923" t="str">
        <f>[1]!hospitalinfo[[#This Row],[Hospital Ownership]]</f>
        <v>Voluntary non-profit - Private</v>
      </c>
      <c r="E2923" cm="1">
        <f t="array" ref="E2923">_xlfn.IFNA(_xlfn.XLOOKUP(1,([1]!hcahps[Facility ID] = clean[[#This Row],[Facility ID]]) * ([1]!hcahps[HCAHPS Measure ID] = "H_HSP_RATING_LINEAR_SCORE"), [1]!hcahps[HCAHPS Linear Mean Value]), "No Match")</f>
        <v>82</v>
      </c>
      <c r="F2923" cm="1">
        <f t="array" ref="F2923">_xlfn.IFNA(_xlfn.XLOOKUP(1,([1]!readmissions[Facility ID] = clean[[#This Row],[Facility ID]]) * ([1]!readmissions[Measure ID] = "Hybrid_HWR"), [1]!readmissions[Score]), "No Match")</f>
        <v>13.8</v>
      </c>
    </row>
    <row r="2924" spans="1:6" x14ac:dyDescent="0.2">
      <c r="A2924">
        <f>[1]!hospitalinfo[[#This Row],[Facility ID]]</f>
        <v>340003</v>
      </c>
      <c r="B2924" t="str">
        <f>[1]!hospitalinfo[[#This Row],[State]]</f>
        <v>NC</v>
      </c>
      <c r="C2924" t="str">
        <f>[1]!hospitalinfo[[#This Row],[Hospital Type]]</f>
        <v>Acute Care Hospitals</v>
      </c>
      <c r="D2924" t="str">
        <f>[1]!hospitalinfo[[#This Row],[Hospital Ownership]]</f>
        <v>Government - Hospital District or Authority</v>
      </c>
      <c r="E2924" cm="1">
        <f t="array" ref="E2924">_xlfn.IFNA(_xlfn.XLOOKUP(1,([1]!hcahps[Facility ID] = clean[[#This Row],[Facility ID]]) * ([1]!hcahps[HCAHPS Measure ID] = "H_HSP_RATING_LINEAR_SCORE"), [1]!hcahps[HCAHPS Linear Mean Value]), "No Match")</f>
        <v>91</v>
      </c>
      <c r="F2924" cm="1">
        <f t="array" ref="F2924">_xlfn.IFNA(_xlfn.XLOOKUP(1,([1]!readmissions[Facility ID] = clean[[#This Row],[Facility ID]]) * ([1]!readmissions[Measure ID] = "Hybrid_HWR"), [1]!readmissions[Score]), "No Match")</f>
        <v>14.6</v>
      </c>
    </row>
    <row r="2925" spans="1:6" x14ac:dyDescent="0.2">
      <c r="A2925">
        <f>[1]!hospitalinfo[[#This Row],[Facility ID]]</f>
        <v>340004</v>
      </c>
      <c r="B2925" t="str">
        <f>[1]!hospitalinfo[[#This Row],[State]]</f>
        <v>NC</v>
      </c>
      <c r="C2925" t="str">
        <f>[1]!hospitalinfo[[#This Row],[Hospital Type]]</f>
        <v>Acute Care Hospitals</v>
      </c>
      <c r="D2925" t="str">
        <f>[1]!hospitalinfo[[#This Row],[Hospital Ownership]]</f>
        <v>Voluntary non-profit - Private</v>
      </c>
      <c r="E2925" cm="1">
        <f t="array" ref="E2925">_xlfn.IFNA(_xlfn.XLOOKUP(1,([1]!hcahps[Facility ID] = clean[[#This Row],[Facility ID]]) * ([1]!hcahps[HCAHPS Measure ID] = "H_HSP_RATING_LINEAR_SCORE"), [1]!hcahps[HCAHPS Linear Mean Value]), "No Match")</f>
        <v>85</v>
      </c>
      <c r="F2925" cm="1">
        <f t="array" ref="F2925">_xlfn.IFNA(_xlfn.XLOOKUP(1,([1]!readmissions[Facility ID] = clean[[#This Row],[Facility ID]]) * ([1]!readmissions[Measure ID] = "Hybrid_HWR"), [1]!readmissions[Score]), "No Match")</f>
        <v>15.5</v>
      </c>
    </row>
    <row r="2926" spans="1:6" x14ac:dyDescent="0.2">
      <c r="A2926">
        <f>[1]!hospitalinfo[[#This Row],[Facility ID]]</f>
        <v>340008</v>
      </c>
      <c r="B2926" t="str">
        <f>[1]!hospitalinfo[[#This Row],[State]]</f>
        <v>NC</v>
      </c>
      <c r="C2926" t="str">
        <f>[1]!hospitalinfo[[#This Row],[Hospital Type]]</f>
        <v>Acute Care Hospitals</v>
      </c>
      <c r="D2926" t="str">
        <f>[1]!hospitalinfo[[#This Row],[Hospital Ownership]]</f>
        <v>Voluntary non-profit - Private</v>
      </c>
      <c r="E2926" cm="1">
        <f t="array" ref="E2926">_xlfn.IFNA(_xlfn.XLOOKUP(1,([1]!hcahps[Facility ID] = clean[[#This Row],[Facility ID]]) * ([1]!hcahps[HCAHPS Measure ID] = "H_HSP_RATING_LINEAR_SCORE"), [1]!hcahps[HCAHPS Linear Mean Value]), "No Match")</f>
        <v>89</v>
      </c>
      <c r="F2926" cm="1">
        <f t="array" ref="F2926">_xlfn.IFNA(_xlfn.XLOOKUP(1,([1]!readmissions[Facility ID] = clean[[#This Row],[Facility ID]]) * ([1]!readmissions[Measure ID] = "Hybrid_HWR"), [1]!readmissions[Score]), "No Match")</f>
        <v>15.2</v>
      </c>
    </row>
    <row r="2927" spans="1:6" x14ac:dyDescent="0.2">
      <c r="A2927">
        <f>[1]!hospitalinfo[[#This Row],[Facility ID]]</f>
        <v>340010</v>
      </c>
      <c r="B2927" t="str">
        <f>[1]!hospitalinfo[[#This Row],[State]]</f>
        <v>NC</v>
      </c>
      <c r="C2927" t="str">
        <f>[1]!hospitalinfo[[#This Row],[Hospital Type]]</f>
        <v>Acute Care Hospitals</v>
      </c>
      <c r="D2927" t="str">
        <f>[1]!hospitalinfo[[#This Row],[Hospital Ownership]]</f>
        <v>Voluntary non-profit - Private</v>
      </c>
      <c r="E2927" cm="1">
        <f t="array" ref="E2927">_xlfn.IFNA(_xlfn.XLOOKUP(1,([1]!hcahps[Facility ID] = clean[[#This Row],[Facility ID]]) * ([1]!hcahps[HCAHPS Measure ID] = "H_HSP_RATING_LINEAR_SCORE"), [1]!hcahps[HCAHPS Linear Mean Value]), "No Match")</f>
        <v>85</v>
      </c>
      <c r="F2927" cm="1">
        <f t="array" ref="F2927">_xlfn.IFNA(_xlfn.XLOOKUP(1,([1]!readmissions[Facility ID] = clean[[#This Row],[Facility ID]]) * ([1]!readmissions[Measure ID] = "Hybrid_HWR"), [1]!readmissions[Score]), "No Match")</f>
        <v>15.3</v>
      </c>
    </row>
    <row r="2928" spans="1:6" x14ac:dyDescent="0.2">
      <c r="A2928">
        <f>[1]!hospitalinfo[[#This Row],[Facility ID]]</f>
        <v>340013</v>
      </c>
      <c r="B2928" t="str">
        <f>[1]!hospitalinfo[[#This Row],[State]]</f>
        <v>NC</v>
      </c>
      <c r="C2928" t="str">
        <f>[1]!hospitalinfo[[#This Row],[Hospital Type]]</f>
        <v>Acute Care Hospitals</v>
      </c>
      <c r="D2928" t="str">
        <f>[1]!hospitalinfo[[#This Row],[Hospital Ownership]]</f>
        <v>Proprietary</v>
      </c>
      <c r="E2928" cm="1">
        <f t="array" ref="E2928">_xlfn.IFNA(_xlfn.XLOOKUP(1,([1]!hcahps[Facility ID] = clean[[#This Row],[Facility ID]]) * ([1]!hcahps[HCAHPS Measure ID] = "H_HSP_RATING_LINEAR_SCORE"), [1]!hcahps[HCAHPS Linear Mean Value]), "No Match")</f>
        <v>85</v>
      </c>
      <c r="F2928" cm="1">
        <f t="array" ref="F2928">_xlfn.IFNA(_xlfn.XLOOKUP(1,([1]!readmissions[Facility ID] = clean[[#This Row],[Facility ID]]) * ([1]!readmissions[Measure ID] = "Hybrid_HWR"), [1]!readmissions[Score]), "No Match")</f>
        <v>15.5</v>
      </c>
    </row>
    <row r="2929" spans="1:6" x14ac:dyDescent="0.2">
      <c r="A2929">
        <f>[1]!hospitalinfo[[#This Row],[Facility ID]]</f>
        <v>340014</v>
      </c>
      <c r="B2929" t="str">
        <f>[1]!hospitalinfo[[#This Row],[State]]</f>
        <v>NC</v>
      </c>
      <c r="C2929" t="str">
        <f>[1]!hospitalinfo[[#This Row],[Hospital Type]]</f>
        <v>Acute Care Hospitals</v>
      </c>
      <c r="D2929" t="str">
        <f>[1]!hospitalinfo[[#This Row],[Hospital Ownership]]</f>
        <v>Voluntary non-profit - Private</v>
      </c>
      <c r="E2929" cm="1">
        <f t="array" ref="E2929">_xlfn.IFNA(_xlfn.XLOOKUP(1,([1]!hcahps[Facility ID] = clean[[#This Row],[Facility ID]]) * ([1]!hcahps[HCAHPS Measure ID] = "H_HSP_RATING_LINEAR_SCORE"), [1]!hcahps[HCAHPS Linear Mean Value]), "No Match")</f>
        <v>88</v>
      </c>
      <c r="F2929" cm="1">
        <f t="array" ref="F2929">_xlfn.IFNA(_xlfn.XLOOKUP(1,([1]!readmissions[Facility ID] = clean[[#This Row],[Facility ID]]) * ([1]!readmissions[Measure ID] = "Hybrid_HWR"), [1]!readmissions[Score]), "No Match")</f>
        <v>14.2</v>
      </c>
    </row>
    <row r="2930" spans="1:6" x14ac:dyDescent="0.2">
      <c r="A2930">
        <f>[1]!hospitalinfo[[#This Row],[Facility ID]]</f>
        <v>340015</v>
      </c>
      <c r="B2930" t="str">
        <f>[1]!hospitalinfo[[#This Row],[State]]</f>
        <v>NC</v>
      </c>
      <c r="C2930" t="str">
        <f>[1]!hospitalinfo[[#This Row],[Hospital Type]]</f>
        <v>Acute Care Hospitals</v>
      </c>
      <c r="D2930" t="str">
        <f>[1]!hospitalinfo[[#This Row],[Hospital Ownership]]</f>
        <v>Voluntary non-profit - Private</v>
      </c>
      <c r="E2930" cm="1">
        <f t="array" ref="E2930">_xlfn.IFNA(_xlfn.XLOOKUP(1,([1]!hcahps[Facility ID] = clean[[#This Row],[Facility ID]]) * ([1]!hcahps[HCAHPS Measure ID] = "H_HSP_RATING_LINEAR_SCORE"), [1]!hcahps[HCAHPS Linear Mean Value]), "No Match")</f>
        <v>85</v>
      </c>
      <c r="F2930" cm="1">
        <f t="array" ref="F2930">_xlfn.IFNA(_xlfn.XLOOKUP(1,([1]!readmissions[Facility ID] = clean[[#This Row],[Facility ID]]) * ([1]!readmissions[Measure ID] = "Hybrid_HWR"), [1]!readmissions[Score]), "No Match")</f>
        <v>14.1</v>
      </c>
    </row>
    <row r="2931" spans="1:6" x14ac:dyDescent="0.2">
      <c r="A2931">
        <f>[1]!hospitalinfo[[#This Row],[Facility ID]]</f>
        <v>340016</v>
      </c>
      <c r="B2931" t="str">
        <f>[1]!hospitalinfo[[#This Row],[State]]</f>
        <v>NC</v>
      </c>
      <c r="C2931" t="str">
        <f>[1]!hospitalinfo[[#This Row],[Hospital Type]]</f>
        <v>Acute Care Hospitals</v>
      </c>
      <c r="D2931" t="str">
        <f>[1]!hospitalinfo[[#This Row],[Hospital Ownership]]</f>
        <v>Proprietary</v>
      </c>
      <c r="E2931" cm="1">
        <f t="array" ref="E2931">_xlfn.IFNA(_xlfn.XLOOKUP(1,([1]!hcahps[Facility ID] = clean[[#This Row],[Facility ID]]) * ([1]!hcahps[HCAHPS Measure ID] = "H_HSP_RATING_LINEAR_SCORE"), [1]!hcahps[HCAHPS Linear Mean Value]), "No Match")</f>
        <v>87</v>
      </c>
      <c r="F2931" cm="1">
        <f t="array" ref="F2931">_xlfn.IFNA(_xlfn.XLOOKUP(1,([1]!readmissions[Facility ID] = clean[[#This Row],[Facility ID]]) * ([1]!readmissions[Measure ID] = "Hybrid_HWR"), [1]!readmissions[Score]), "No Match")</f>
        <v>13.9</v>
      </c>
    </row>
    <row r="2932" spans="1:6" x14ac:dyDescent="0.2">
      <c r="A2932">
        <f>[1]!hospitalinfo[[#This Row],[Facility ID]]</f>
        <v>340017</v>
      </c>
      <c r="B2932" t="str">
        <f>[1]!hospitalinfo[[#This Row],[State]]</f>
        <v>NC</v>
      </c>
      <c r="C2932" t="str">
        <f>[1]!hospitalinfo[[#This Row],[Hospital Type]]</f>
        <v>Acute Care Hospitals</v>
      </c>
      <c r="D2932" t="str">
        <f>[1]!hospitalinfo[[#This Row],[Hospital Ownership]]</f>
        <v>Government - Local</v>
      </c>
      <c r="E2932" cm="1">
        <f t="array" ref="E2932">_xlfn.IFNA(_xlfn.XLOOKUP(1,([1]!hcahps[Facility ID] = clean[[#This Row],[Facility ID]]) * ([1]!hcahps[HCAHPS Measure ID] = "H_HSP_RATING_LINEAR_SCORE"), [1]!hcahps[HCAHPS Linear Mean Value]), "No Match")</f>
        <v>90</v>
      </c>
      <c r="F2932" cm="1">
        <f t="array" ref="F2932">_xlfn.IFNA(_xlfn.XLOOKUP(1,([1]!readmissions[Facility ID] = clean[[#This Row],[Facility ID]]) * ([1]!readmissions[Measure ID] = "Hybrid_HWR"), [1]!readmissions[Score]), "No Match")</f>
        <v>13.7</v>
      </c>
    </row>
    <row r="2933" spans="1:6" x14ac:dyDescent="0.2">
      <c r="A2933">
        <f>[1]!hospitalinfo[[#This Row],[Facility ID]]</f>
        <v>340020</v>
      </c>
      <c r="B2933" t="str">
        <f>[1]!hospitalinfo[[#This Row],[State]]</f>
        <v>NC</v>
      </c>
      <c r="C2933" t="str">
        <f>[1]!hospitalinfo[[#This Row],[Hospital Type]]</f>
        <v>Acute Care Hospitals</v>
      </c>
      <c r="D2933" t="str">
        <f>[1]!hospitalinfo[[#This Row],[Hospital Ownership]]</f>
        <v>Voluntary non-profit - Private</v>
      </c>
      <c r="E2933" cm="1">
        <f t="array" ref="E2933">_xlfn.IFNA(_xlfn.XLOOKUP(1,([1]!hcahps[Facility ID] = clean[[#This Row],[Facility ID]]) * ([1]!hcahps[HCAHPS Measure ID] = "H_HSP_RATING_LINEAR_SCORE"), [1]!hcahps[HCAHPS Linear Mean Value]), "No Match")</f>
        <v>83</v>
      </c>
      <c r="F2933" cm="1">
        <f t="array" ref="F2933">_xlfn.IFNA(_xlfn.XLOOKUP(1,([1]!readmissions[Facility ID] = clean[[#This Row],[Facility ID]]) * ([1]!readmissions[Measure ID] = "Hybrid_HWR"), [1]!readmissions[Score]), "No Match")</f>
        <v>15.5</v>
      </c>
    </row>
    <row r="2934" spans="1:6" x14ac:dyDescent="0.2">
      <c r="A2934">
        <f>[1]!hospitalinfo[[#This Row],[Facility ID]]</f>
        <v>340021</v>
      </c>
      <c r="B2934" t="str">
        <f>[1]!hospitalinfo[[#This Row],[State]]</f>
        <v>NC</v>
      </c>
      <c r="C2934" t="str">
        <f>[1]!hospitalinfo[[#This Row],[Hospital Type]]</f>
        <v>Acute Care Hospitals</v>
      </c>
      <c r="D2934" t="str">
        <f>[1]!hospitalinfo[[#This Row],[Hospital Ownership]]</f>
        <v>Government - Hospital District or Authority</v>
      </c>
      <c r="E2934" cm="1">
        <f t="array" ref="E2934">_xlfn.IFNA(_xlfn.XLOOKUP(1,([1]!hcahps[Facility ID] = clean[[#This Row],[Facility ID]]) * ([1]!hcahps[HCAHPS Measure ID] = "H_HSP_RATING_LINEAR_SCORE"), [1]!hcahps[HCAHPS Linear Mean Value]), "No Match")</f>
        <v>88</v>
      </c>
      <c r="F2934" cm="1">
        <f t="array" ref="F2934">_xlfn.IFNA(_xlfn.XLOOKUP(1,([1]!readmissions[Facility ID] = clean[[#This Row],[Facility ID]]) * ([1]!readmissions[Measure ID] = "Hybrid_HWR"), [1]!readmissions[Score]), "No Match")</f>
        <v>14.9</v>
      </c>
    </row>
    <row r="2935" spans="1:6" x14ac:dyDescent="0.2">
      <c r="A2935">
        <f>[1]!hospitalinfo[[#This Row],[Facility ID]]</f>
        <v>340023</v>
      </c>
      <c r="B2935" t="str">
        <f>[1]!hospitalinfo[[#This Row],[State]]</f>
        <v>NC</v>
      </c>
      <c r="C2935" t="str">
        <f>[1]!hospitalinfo[[#This Row],[Hospital Type]]</f>
        <v>Acute Care Hospitals</v>
      </c>
      <c r="D2935" t="str">
        <f>[1]!hospitalinfo[[#This Row],[Hospital Ownership]]</f>
        <v>Voluntary non-profit - Private</v>
      </c>
      <c r="E2935" cm="1">
        <f t="array" ref="E2935">_xlfn.IFNA(_xlfn.XLOOKUP(1,([1]!hcahps[Facility ID] = clean[[#This Row],[Facility ID]]) * ([1]!hcahps[HCAHPS Measure ID] = "H_HSP_RATING_LINEAR_SCORE"), [1]!hcahps[HCAHPS Linear Mean Value]), "No Match")</f>
        <v>92</v>
      </c>
      <c r="F2935" cm="1">
        <f t="array" ref="F2935">_xlfn.IFNA(_xlfn.XLOOKUP(1,([1]!readmissions[Facility ID] = clean[[#This Row],[Facility ID]]) * ([1]!readmissions[Measure ID] = "Hybrid_HWR"), [1]!readmissions[Score]), "No Match")</f>
        <v>14.3</v>
      </c>
    </row>
    <row r="2936" spans="1:6" x14ac:dyDescent="0.2">
      <c r="A2936">
        <f>[1]!hospitalinfo[[#This Row],[Facility ID]]</f>
        <v>340024</v>
      </c>
      <c r="B2936" t="str">
        <f>[1]!hospitalinfo[[#This Row],[State]]</f>
        <v>NC</v>
      </c>
      <c r="C2936" t="str">
        <f>[1]!hospitalinfo[[#This Row],[Hospital Type]]</f>
        <v>Acute Care Hospitals</v>
      </c>
      <c r="D2936" t="str">
        <f>[1]!hospitalinfo[[#This Row],[Hospital Ownership]]</f>
        <v>Government - Local</v>
      </c>
      <c r="E2936" cm="1">
        <f t="array" ref="E2936">_xlfn.IFNA(_xlfn.XLOOKUP(1,([1]!hcahps[Facility ID] = clean[[#This Row],[Facility ID]]) * ([1]!hcahps[HCAHPS Measure ID] = "H_HSP_RATING_LINEAR_SCORE"), [1]!hcahps[HCAHPS Linear Mean Value]), "No Match")</f>
        <v>87</v>
      </c>
      <c r="F2936" cm="1">
        <f t="array" ref="F2936">_xlfn.IFNA(_xlfn.XLOOKUP(1,([1]!readmissions[Facility ID] = clean[[#This Row],[Facility ID]]) * ([1]!readmissions[Measure ID] = "Hybrid_HWR"), [1]!readmissions[Score]), "No Match")</f>
        <v>15.5</v>
      </c>
    </row>
    <row r="2937" spans="1:6" x14ac:dyDescent="0.2">
      <c r="A2937">
        <f>[1]!hospitalinfo[[#This Row],[Facility ID]]</f>
        <v>340027</v>
      </c>
      <c r="B2937" t="str">
        <f>[1]!hospitalinfo[[#This Row],[State]]</f>
        <v>NC</v>
      </c>
      <c r="C2937" t="str">
        <f>[1]!hospitalinfo[[#This Row],[Hospital Type]]</f>
        <v>Acute Care Hospitals</v>
      </c>
      <c r="D2937" t="str">
        <f>[1]!hospitalinfo[[#This Row],[Hospital Ownership]]</f>
        <v>Voluntary non-profit - Private</v>
      </c>
      <c r="E2937" cm="1">
        <f t="array" ref="E2937">_xlfn.IFNA(_xlfn.XLOOKUP(1,([1]!hcahps[Facility ID] = clean[[#This Row],[Facility ID]]) * ([1]!hcahps[HCAHPS Measure ID] = "H_HSP_RATING_LINEAR_SCORE"), [1]!hcahps[HCAHPS Linear Mean Value]), "No Match")</f>
        <v>86</v>
      </c>
      <c r="F2937" cm="1">
        <f t="array" ref="F2937">_xlfn.IFNA(_xlfn.XLOOKUP(1,([1]!readmissions[Facility ID] = clean[[#This Row],[Facility ID]]) * ([1]!readmissions[Measure ID] = "Hybrid_HWR"), [1]!readmissions[Score]), "No Match")</f>
        <v>15.8</v>
      </c>
    </row>
    <row r="2938" spans="1:6" x14ac:dyDescent="0.2">
      <c r="A2938">
        <f>[1]!hospitalinfo[[#This Row],[Facility ID]]</f>
        <v>340028</v>
      </c>
      <c r="B2938" t="str">
        <f>[1]!hospitalinfo[[#This Row],[State]]</f>
        <v>NC</v>
      </c>
      <c r="C2938" t="str">
        <f>[1]!hospitalinfo[[#This Row],[Hospital Type]]</f>
        <v>Acute Care Hospitals</v>
      </c>
      <c r="D2938" t="str">
        <f>[1]!hospitalinfo[[#This Row],[Hospital Ownership]]</f>
        <v>Voluntary non-profit - Private</v>
      </c>
      <c r="E2938" cm="1">
        <f t="array" ref="E2938">_xlfn.IFNA(_xlfn.XLOOKUP(1,([1]!hcahps[Facility ID] = clean[[#This Row],[Facility ID]]) * ([1]!hcahps[HCAHPS Measure ID] = "H_HSP_RATING_LINEAR_SCORE"), [1]!hcahps[HCAHPS Linear Mean Value]), "No Match")</f>
        <v>85</v>
      </c>
      <c r="F2938" cm="1">
        <f t="array" ref="F2938">_xlfn.IFNA(_xlfn.XLOOKUP(1,([1]!readmissions[Facility ID] = clean[[#This Row],[Facility ID]]) * ([1]!readmissions[Measure ID] = "Hybrid_HWR"), [1]!readmissions[Score]), "No Match")</f>
        <v>15.4</v>
      </c>
    </row>
    <row r="2939" spans="1:6" x14ac:dyDescent="0.2">
      <c r="A2939">
        <f>[1]!hospitalinfo[[#This Row],[Facility ID]]</f>
        <v>340030</v>
      </c>
      <c r="B2939" t="str">
        <f>[1]!hospitalinfo[[#This Row],[State]]</f>
        <v>NC</v>
      </c>
      <c r="C2939" t="str">
        <f>[1]!hospitalinfo[[#This Row],[Hospital Type]]</f>
        <v>Acute Care Hospitals</v>
      </c>
      <c r="D2939" t="str">
        <f>[1]!hospitalinfo[[#This Row],[Hospital Ownership]]</f>
        <v>Proprietary</v>
      </c>
      <c r="E2939" cm="1">
        <f t="array" ref="E2939">_xlfn.IFNA(_xlfn.XLOOKUP(1,([1]!hcahps[Facility ID] = clean[[#This Row],[Facility ID]]) * ([1]!hcahps[HCAHPS Measure ID] = "H_HSP_RATING_LINEAR_SCORE"), [1]!hcahps[HCAHPS Linear Mean Value]), "No Match")</f>
        <v>91</v>
      </c>
      <c r="F2939" cm="1">
        <f t="array" ref="F2939">_xlfn.IFNA(_xlfn.XLOOKUP(1,([1]!readmissions[Facility ID] = clean[[#This Row],[Facility ID]]) * ([1]!readmissions[Measure ID] = "Hybrid_HWR"), [1]!readmissions[Score]), "No Match")</f>
        <v>14.9</v>
      </c>
    </row>
    <row r="2940" spans="1:6" x14ac:dyDescent="0.2">
      <c r="A2940">
        <f>[1]!hospitalinfo[[#This Row],[Facility ID]]</f>
        <v>340032</v>
      </c>
      <c r="B2940" t="str">
        <f>[1]!hospitalinfo[[#This Row],[State]]</f>
        <v>NC</v>
      </c>
      <c r="C2940" t="str">
        <f>[1]!hospitalinfo[[#This Row],[Hospital Type]]</f>
        <v>Acute Care Hospitals</v>
      </c>
      <c r="D2940" t="str">
        <f>[1]!hospitalinfo[[#This Row],[Hospital Ownership]]</f>
        <v>Voluntary non-profit - Private</v>
      </c>
      <c r="E2940" cm="1">
        <f t="array" ref="E2940">_xlfn.IFNA(_xlfn.XLOOKUP(1,([1]!hcahps[Facility ID] = clean[[#This Row],[Facility ID]]) * ([1]!hcahps[HCAHPS Measure ID] = "H_HSP_RATING_LINEAR_SCORE"), [1]!hcahps[HCAHPS Linear Mean Value]), "No Match")</f>
        <v>87</v>
      </c>
      <c r="F2940" cm="1">
        <f t="array" ref="F2940">_xlfn.IFNA(_xlfn.XLOOKUP(1,([1]!readmissions[Facility ID] = clean[[#This Row],[Facility ID]]) * ([1]!readmissions[Measure ID] = "Hybrid_HWR"), [1]!readmissions[Score]), "No Match")</f>
        <v>15.3</v>
      </c>
    </row>
    <row r="2941" spans="1:6" x14ac:dyDescent="0.2">
      <c r="A2941">
        <f>[1]!hospitalinfo[[#This Row],[Facility ID]]</f>
        <v>340039</v>
      </c>
      <c r="B2941" t="str">
        <f>[1]!hospitalinfo[[#This Row],[State]]</f>
        <v>NC</v>
      </c>
      <c r="C2941" t="str">
        <f>[1]!hospitalinfo[[#This Row],[Hospital Type]]</f>
        <v>Acute Care Hospitals</v>
      </c>
      <c r="D2941" t="str">
        <f>[1]!hospitalinfo[[#This Row],[Hospital Ownership]]</f>
        <v>Voluntary non-profit - Private</v>
      </c>
      <c r="E2941" cm="1">
        <f t="array" ref="E2941">_xlfn.IFNA(_xlfn.XLOOKUP(1,([1]!hcahps[Facility ID] = clean[[#This Row],[Facility ID]]) * ([1]!hcahps[HCAHPS Measure ID] = "H_HSP_RATING_LINEAR_SCORE"), [1]!hcahps[HCAHPS Linear Mean Value]), "No Match")</f>
        <v>89</v>
      </c>
      <c r="F2941" cm="1">
        <f t="array" ref="F2941">_xlfn.IFNA(_xlfn.XLOOKUP(1,([1]!readmissions[Facility ID] = clean[[#This Row],[Facility ID]]) * ([1]!readmissions[Measure ID] = "Hybrid_HWR"), [1]!readmissions[Score]), "No Match")</f>
        <v>14.9</v>
      </c>
    </row>
    <row r="2942" spans="1:6" x14ac:dyDescent="0.2">
      <c r="A2942">
        <f>[1]!hospitalinfo[[#This Row],[Facility ID]]</f>
        <v>340040</v>
      </c>
      <c r="B2942" t="str">
        <f>[1]!hospitalinfo[[#This Row],[State]]</f>
        <v>NC</v>
      </c>
      <c r="C2942" t="str">
        <f>[1]!hospitalinfo[[#This Row],[Hospital Type]]</f>
        <v>Acute Care Hospitals</v>
      </c>
      <c r="D2942" t="str">
        <f>[1]!hospitalinfo[[#This Row],[Hospital Ownership]]</f>
        <v>Voluntary non-profit - Private</v>
      </c>
      <c r="E2942" cm="1">
        <f t="array" ref="E2942">_xlfn.IFNA(_xlfn.XLOOKUP(1,([1]!hcahps[Facility ID] = clean[[#This Row],[Facility ID]]) * ([1]!hcahps[HCAHPS Measure ID] = "H_HSP_RATING_LINEAR_SCORE"), [1]!hcahps[HCAHPS Linear Mean Value]), "No Match")</f>
        <v>88</v>
      </c>
      <c r="F2942" cm="1">
        <f t="array" ref="F2942">_xlfn.IFNA(_xlfn.XLOOKUP(1,([1]!readmissions[Facility ID] = clean[[#This Row],[Facility ID]]) * ([1]!readmissions[Measure ID] = "Hybrid_HWR"), [1]!readmissions[Score]), "No Match")</f>
        <v>15.9</v>
      </c>
    </row>
    <row r="2943" spans="1:6" x14ac:dyDescent="0.2">
      <c r="A2943">
        <f>[1]!hospitalinfo[[#This Row],[Facility ID]]</f>
        <v>340041</v>
      </c>
      <c r="B2943" t="str">
        <f>[1]!hospitalinfo[[#This Row],[State]]</f>
        <v>NC</v>
      </c>
      <c r="C2943" t="str">
        <f>[1]!hospitalinfo[[#This Row],[Hospital Type]]</f>
        <v>Acute Care Hospitals</v>
      </c>
      <c r="D2943" t="str">
        <f>[1]!hospitalinfo[[#This Row],[Hospital Ownership]]</f>
        <v>Voluntary non-profit - Other</v>
      </c>
      <c r="E2943" cm="1">
        <f t="array" ref="E2943">_xlfn.IFNA(_xlfn.XLOOKUP(1,([1]!hcahps[Facility ID] = clean[[#This Row],[Facility ID]]) * ([1]!hcahps[HCAHPS Measure ID] = "H_HSP_RATING_LINEAR_SCORE"), [1]!hcahps[HCAHPS Linear Mean Value]), "No Match")</f>
        <v>86</v>
      </c>
      <c r="F2943" cm="1">
        <f t="array" ref="F2943">_xlfn.IFNA(_xlfn.XLOOKUP(1,([1]!readmissions[Facility ID] = clean[[#This Row],[Facility ID]]) * ([1]!readmissions[Measure ID] = "Hybrid_HWR"), [1]!readmissions[Score]), "No Match")</f>
        <v>14.3</v>
      </c>
    </row>
    <row r="2944" spans="1:6" x14ac:dyDescent="0.2">
      <c r="A2944">
        <f>[1]!hospitalinfo[[#This Row],[Facility ID]]</f>
        <v>340042</v>
      </c>
      <c r="B2944" t="str">
        <f>[1]!hospitalinfo[[#This Row],[State]]</f>
        <v>NC</v>
      </c>
      <c r="C2944" t="str">
        <f>[1]!hospitalinfo[[#This Row],[Hospital Type]]</f>
        <v>Acute Care Hospitals</v>
      </c>
      <c r="D2944" t="str">
        <f>[1]!hospitalinfo[[#This Row],[Hospital Ownership]]</f>
        <v>Government - Hospital District or Authority</v>
      </c>
      <c r="E2944" cm="1">
        <f t="array" ref="E2944">_xlfn.IFNA(_xlfn.XLOOKUP(1,([1]!hcahps[Facility ID] = clean[[#This Row],[Facility ID]]) * ([1]!hcahps[HCAHPS Measure ID] = "H_HSP_RATING_LINEAR_SCORE"), [1]!hcahps[HCAHPS Linear Mean Value]), "No Match")</f>
        <v>82</v>
      </c>
      <c r="F2944" cm="1">
        <f t="array" ref="F2944">_xlfn.IFNA(_xlfn.XLOOKUP(1,([1]!readmissions[Facility ID] = clean[[#This Row],[Facility ID]]) * ([1]!readmissions[Measure ID] = "Hybrid_HWR"), [1]!readmissions[Score]), "No Match")</f>
        <v>16.399999999999999</v>
      </c>
    </row>
    <row r="2945" spans="1:6" x14ac:dyDescent="0.2">
      <c r="A2945">
        <f>[1]!hospitalinfo[[#This Row],[Facility ID]]</f>
        <v>340047</v>
      </c>
      <c r="B2945" t="str">
        <f>[1]!hospitalinfo[[#This Row],[State]]</f>
        <v>NC</v>
      </c>
      <c r="C2945" t="str">
        <f>[1]!hospitalinfo[[#This Row],[Hospital Type]]</f>
        <v>Acute Care Hospitals</v>
      </c>
      <c r="D2945" t="str">
        <f>[1]!hospitalinfo[[#This Row],[Hospital Ownership]]</f>
        <v>Voluntary non-profit - Private</v>
      </c>
      <c r="E2945" cm="1">
        <f t="array" ref="E2945">_xlfn.IFNA(_xlfn.XLOOKUP(1,([1]!hcahps[Facility ID] = clean[[#This Row],[Facility ID]]) * ([1]!hcahps[HCAHPS Measure ID] = "H_HSP_RATING_LINEAR_SCORE"), [1]!hcahps[HCAHPS Linear Mean Value]), "No Match")</f>
        <v>89</v>
      </c>
      <c r="F2945" cm="1">
        <f t="array" ref="F2945">_xlfn.IFNA(_xlfn.XLOOKUP(1,([1]!readmissions[Facility ID] = clean[[#This Row],[Facility ID]]) * ([1]!readmissions[Measure ID] = "Hybrid_HWR"), [1]!readmissions[Score]), "No Match")</f>
        <v>15.1</v>
      </c>
    </row>
    <row r="2946" spans="1:6" x14ac:dyDescent="0.2">
      <c r="A2946">
        <f>[1]!hospitalinfo[[#This Row],[Facility ID]]</f>
        <v>340049</v>
      </c>
      <c r="B2946" t="str">
        <f>[1]!hospitalinfo[[#This Row],[State]]</f>
        <v>NC</v>
      </c>
      <c r="C2946" t="str">
        <f>[1]!hospitalinfo[[#This Row],[Hospital Type]]</f>
        <v>Acute Care Hospitals</v>
      </c>
      <c r="D2946" t="str">
        <f>[1]!hospitalinfo[[#This Row],[Hospital Ownership]]</f>
        <v>Proprietary</v>
      </c>
      <c r="E2946" cm="1">
        <f t="array" ref="E2946">_xlfn.IFNA(_xlfn.XLOOKUP(1,([1]!hcahps[Facility ID] = clean[[#This Row],[Facility ID]]) * ([1]!hcahps[HCAHPS Measure ID] = "H_HSP_RATING_LINEAR_SCORE"), [1]!hcahps[HCAHPS Linear Mean Value]), "No Match")</f>
        <v>91</v>
      </c>
      <c r="F2946" cm="1">
        <f t="array" ref="F2946">_xlfn.IFNA(_xlfn.XLOOKUP(1,([1]!readmissions[Facility ID] = clean[[#This Row],[Facility ID]]) * ([1]!readmissions[Measure ID] = "Hybrid_HWR"), [1]!readmissions[Score]), "No Match")</f>
        <v>13.8</v>
      </c>
    </row>
    <row r="2947" spans="1:6" x14ac:dyDescent="0.2">
      <c r="A2947">
        <f>[1]!hospitalinfo[[#This Row],[Facility ID]]</f>
        <v>340050</v>
      </c>
      <c r="B2947" t="str">
        <f>[1]!hospitalinfo[[#This Row],[State]]</f>
        <v>NC</v>
      </c>
      <c r="C2947" t="str">
        <f>[1]!hospitalinfo[[#This Row],[Hospital Type]]</f>
        <v>Acute Care Hospitals</v>
      </c>
      <c r="D2947" t="str">
        <f>[1]!hospitalinfo[[#This Row],[Hospital Ownership]]</f>
        <v>Voluntary non-profit - Private</v>
      </c>
      <c r="E2947" cm="1">
        <f t="array" ref="E2947">_xlfn.IFNA(_xlfn.XLOOKUP(1,([1]!hcahps[Facility ID] = clean[[#This Row],[Facility ID]]) * ([1]!hcahps[HCAHPS Measure ID] = "H_HSP_RATING_LINEAR_SCORE"), [1]!hcahps[HCAHPS Linear Mean Value]), "No Match")</f>
        <v>87</v>
      </c>
      <c r="F2947" cm="1">
        <f t="array" ref="F2947">_xlfn.IFNA(_xlfn.XLOOKUP(1,([1]!readmissions[Facility ID] = clean[[#This Row],[Facility ID]]) * ([1]!readmissions[Measure ID] = "Hybrid_HWR"), [1]!readmissions[Score]), "No Match")</f>
        <v>16.100000000000001</v>
      </c>
    </row>
    <row r="2948" spans="1:6" x14ac:dyDescent="0.2">
      <c r="A2948">
        <f>[1]!hospitalinfo[[#This Row],[Facility ID]]</f>
        <v>340051</v>
      </c>
      <c r="B2948" t="str">
        <f>[1]!hospitalinfo[[#This Row],[State]]</f>
        <v>NC</v>
      </c>
      <c r="C2948" t="str">
        <f>[1]!hospitalinfo[[#This Row],[Hospital Type]]</f>
        <v>Acute Care Hospitals</v>
      </c>
      <c r="D2948" t="str">
        <f>[1]!hospitalinfo[[#This Row],[Hospital Ownership]]</f>
        <v>Government - Local</v>
      </c>
      <c r="E2948" cm="1">
        <f t="array" ref="E2948">_xlfn.IFNA(_xlfn.XLOOKUP(1,([1]!hcahps[Facility ID] = clean[[#This Row],[Facility ID]]) * ([1]!hcahps[HCAHPS Measure ID] = "H_HSP_RATING_LINEAR_SCORE"), [1]!hcahps[HCAHPS Linear Mean Value]), "No Match")</f>
        <v>90</v>
      </c>
      <c r="F2948" cm="1">
        <f t="array" ref="F2948">_xlfn.IFNA(_xlfn.XLOOKUP(1,([1]!readmissions[Facility ID] = clean[[#This Row],[Facility ID]]) * ([1]!readmissions[Measure ID] = "Hybrid_HWR"), [1]!readmissions[Score]), "No Match")</f>
        <v>15.1</v>
      </c>
    </row>
    <row r="2949" spans="1:6" x14ac:dyDescent="0.2">
      <c r="A2949">
        <f>[1]!hospitalinfo[[#This Row],[Facility ID]]</f>
        <v>340053</v>
      </c>
      <c r="B2949" t="str">
        <f>[1]!hospitalinfo[[#This Row],[State]]</f>
        <v>NC</v>
      </c>
      <c r="C2949" t="str">
        <f>[1]!hospitalinfo[[#This Row],[Hospital Type]]</f>
        <v>Acute Care Hospitals</v>
      </c>
      <c r="D2949" t="str">
        <f>[1]!hospitalinfo[[#This Row],[Hospital Ownership]]</f>
        <v>Voluntary non-profit - Private</v>
      </c>
      <c r="E2949" cm="1">
        <f t="array" ref="E2949">_xlfn.IFNA(_xlfn.XLOOKUP(1,([1]!hcahps[Facility ID] = clean[[#This Row],[Facility ID]]) * ([1]!hcahps[HCAHPS Measure ID] = "H_HSP_RATING_LINEAR_SCORE"), [1]!hcahps[HCAHPS Linear Mean Value]), "No Match")</f>
        <v>86</v>
      </c>
      <c r="F2949" cm="1">
        <f t="array" ref="F2949">_xlfn.IFNA(_xlfn.XLOOKUP(1,([1]!readmissions[Facility ID] = clean[[#This Row],[Facility ID]]) * ([1]!readmissions[Measure ID] = "Hybrid_HWR"), [1]!readmissions[Score]), "No Match")</f>
        <v>13.3</v>
      </c>
    </row>
    <row r="2950" spans="1:6" x14ac:dyDescent="0.2">
      <c r="A2950">
        <f>[1]!hospitalinfo[[#This Row],[Facility ID]]</f>
        <v>340060</v>
      </c>
      <c r="B2950" t="str">
        <f>[1]!hospitalinfo[[#This Row],[State]]</f>
        <v>NC</v>
      </c>
      <c r="C2950" t="str">
        <f>[1]!hospitalinfo[[#This Row],[Hospital Type]]</f>
        <v>Acute Care Hospitals</v>
      </c>
      <c r="D2950" t="str">
        <f>[1]!hospitalinfo[[#This Row],[Hospital Ownership]]</f>
        <v>Voluntary non-profit - Private</v>
      </c>
      <c r="E2950" cm="1">
        <f t="array" ref="E2950">_xlfn.IFNA(_xlfn.XLOOKUP(1,([1]!hcahps[Facility ID] = clean[[#This Row],[Facility ID]]) * ([1]!hcahps[HCAHPS Measure ID] = "H_HSP_RATING_LINEAR_SCORE"), [1]!hcahps[HCAHPS Linear Mean Value]), "No Match")</f>
        <v>87</v>
      </c>
      <c r="F2950" cm="1">
        <f t="array" ref="F2950">_xlfn.IFNA(_xlfn.XLOOKUP(1,([1]!readmissions[Facility ID] = clean[[#This Row],[Facility ID]]) * ([1]!readmissions[Measure ID] = "Hybrid_HWR"), [1]!readmissions[Score]), "No Match")</f>
        <v>14.9</v>
      </c>
    </row>
    <row r="2951" spans="1:6" x14ac:dyDescent="0.2">
      <c r="A2951">
        <f>[1]!hospitalinfo[[#This Row],[Facility ID]]</f>
        <v>340061</v>
      </c>
      <c r="B2951" t="str">
        <f>[1]!hospitalinfo[[#This Row],[State]]</f>
        <v>NC</v>
      </c>
      <c r="C2951" t="str">
        <f>[1]!hospitalinfo[[#This Row],[Hospital Type]]</f>
        <v>Acute Care Hospitals</v>
      </c>
      <c r="D2951" t="str">
        <f>[1]!hospitalinfo[[#This Row],[Hospital Ownership]]</f>
        <v>Government - State</v>
      </c>
      <c r="E2951" cm="1">
        <f t="array" ref="E2951">_xlfn.IFNA(_xlfn.XLOOKUP(1,([1]!hcahps[Facility ID] = clean[[#This Row],[Facility ID]]) * ([1]!hcahps[HCAHPS Measure ID] = "H_HSP_RATING_LINEAR_SCORE"), [1]!hcahps[HCAHPS Linear Mean Value]), "No Match")</f>
        <v>91</v>
      </c>
      <c r="F2951" cm="1">
        <f t="array" ref="F2951">_xlfn.IFNA(_xlfn.XLOOKUP(1,([1]!readmissions[Facility ID] = clean[[#This Row],[Facility ID]]) * ([1]!readmissions[Measure ID] = "Hybrid_HWR"), [1]!readmissions[Score]), "No Match")</f>
        <v>14.9</v>
      </c>
    </row>
    <row r="2952" spans="1:6" x14ac:dyDescent="0.2">
      <c r="A2952">
        <f>[1]!hospitalinfo[[#This Row],[Facility ID]]</f>
        <v>340064</v>
      </c>
      <c r="B2952" t="str">
        <f>[1]!hospitalinfo[[#This Row],[State]]</f>
        <v>NC</v>
      </c>
      <c r="C2952" t="str">
        <f>[1]!hospitalinfo[[#This Row],[Hospital Type]]</f>
        <v>Acute Care Hospitals</v>
      </c>
      <c r="D2952" t="str">
        <f>[1]!hospitalinfo[[#This Row],[Hospital Ownership]]</f>
        <v>Government - Local</v>
      </c>
      <c r="E2952" cm="1">
        <f t="array" ref="E2952">_xlfn.IFNA(_xlfn.XLOOKUP(1,([1]!hcahps[Facility ID] = clean[[#This Row],[Facility ID]]) * ([1]!hcahps[HCAHPS Measure ID] = "H_HSP_RATING_LINEAR_SCORE"), [1]!hcahps[HCAHPS Linear Mean Value]), "No Match")</f>
        <v>87</v>
      </c>
      <c r="F2952" cm="1">
        <f t="array" ref="F2952">_xlfn.IFNA(_xlfn.XLOOKUP(1,([1]!readmissions[Facility ID] = clean[[#This Row],[Facility ID]]) * ([1]!readmissions[Measure ID] = "Hybrid_HWR"), [1]!readmissions[Score]), "No Match")</f>
        <v>15.7</v>
      </c>
    </row>
    <row r="2953" spans="1:6" x14ac:dyDescent="0.2">
      <c r="A2953">
        <f>[1]!hospitalinfo[[#This Row],[Facility ID]]</f>
        <v>340068</v>
      </c>
      <c r="B2953" t="str">
        <f>[1]!hospitalinfo[[#This Row],[State]]</f>
        <v>NC</v>
      </c>
      <c r="C2953" t="str">
        <f>[1]!hospitalinfo[[#This Row],[Hospital Type]]</f>
        <v>Acute Care Hospitals</v>
      </c>
      <c r="D2953" t="str">
        <f>[1]!hospitalinfo[[#This Row],[Hospital Ownership]]</f>
        <v>Voluntary non-profit - Other</v>
      </c>
      <c r="E2953" cm="1">
        <f t="array" ref="E2953">_xlfn.IFNA(_xlfn.XLOOKUP(1,([1]!hcahps[Facility ID] = clean[[#This Row],[Facility ID]]) * ([1]!hcahps[HCAHPS Measure ID] = "H_HSP_RATING_LINEAR_SCORE"), [1]!hcahps[HCAHPS Linear Mean Value]), "No Match")</f>
        <v>83</v>
      </c>
      <c r="F2953" cm="1">
        <f t="array" ref="F2953">_xlfn.IFNA(_xlfn.XLOOKUP(1,([1]!readmissions[Facility ID] = clean[[#This Row],[Facility ID]]) * ([1]!readmissions[Measure ID] = "Hybrid_HWR"), [1]!readmissions[Score]), "No Match")</f>
        <v>14.5</v>
      </c>
    </row>
    <row r="2954" spans="1:6" x14ac:dyDescent="0.2">
      <c r="A2954">
        <f>[1]!hospitalinfo[[#This Row],[Facility ID]]</f>
        <v>340069</v>
      </c>
      <c r="B2954" t="str">
        <f>[1]!hospitalinfo[[#This Row],[State]]</f>
        <v>NC</v>
      </c>
      <c r="C2954" t="str">
        <f>[1]!hospitalinfo[[#This Row],[Hospital Type]]</f>
        <v>Acute Care Hospitals</v>
      </c>
      <c r="D2954" t="str">
        <f>[1]!hospitalinfo[[#This Row],[Hospital Ownership]]</f>
        <v>Voluntary non-profit - Private</v>
      </c>
      <c r="E2954" cm="1">
        <f t="array" ref="E2954">_xlfn.IFNA(_xlfn.XLOOKUP(1,([1]!hcahps[Facility ID] = clean[[#This Row],[Facility ID]]) * ([1]!hcahps[HCAHPS Measure ID] = "H_HSP_RATING_LINEAR_SCORE"), [1]!hcahps[HCAHPS Linear Mean Value]), "No Match")</f>
        <v>89</v>
      </c>
      <c r="F2954" cm="1">
        <f t="array" ref="F2954">_xlfn.IFNA(_xlfn.XLOOKUP(1,([1]!readmissions[Facility ID] = clean[[#This Row],[Facility ID]]) * ([1]!readmissions[Measure ID] = "Hybrid_HWR"), [1]!readmissions[Score]), "No Match")</f>
        <v>13.9</v>
      </c>
    </row>
    <row r="2955" spans="1:6" x14ac:dyDescent="0.2">
      <c r="A2955">
        <f>[1]!hospitalinfo[[#This Row],[Facility ID]]</f>
        <v>340070</v>
      </c>
      <c r="B2955" t="str">
        <f>[1]!hospitalinfo[[#This Row],[State]]</f>
        <v>NC</v>
      </c>
      <c r="C2955" t="str">
        <f>[1]!hospitalinfo[[#This Row],[Hospital Type]]</f>
        <v>Acute Care Hospitals</v>
      </c>
      <c r="D2955" t="str">
        <f>[1]!hospitalinfo[[#This Row],[Hospital Ownership]]</f>
        <v>Voluntary non-profit - Private</v>
      </c>
      <c r="E2955" cm="1">
        <f t="array" ref="E2955">_xlfn.IFNA(_xlfn.XLOOKUP(1,([1]!hcahps[Facility ID] = clean[[#This Row],[Facility ID]]) * ([1]!hcahps[HCAHPS Measure ID] = "H_HSP_RATING_LINEAR_SCORE"), [1]!hcahps[HCAHPS Linear Mean Value]), "No Match")</f>
        <v>84</v>
      </c>
      <c r="F2955" cm="1">
        <f t="array" ref="F2955">_xlfn.IFNA(_xlfn.XLOOKUP(1,([1]!readmissions[Facility ID] = clean[[#This Row],[Facility ID]]) * ([1]!readmissions[Measure ID] = "Hybrid_HWR"), [1]!readmissions[Score]), "No Match")</f>
        <v>13.7</v>
      </c>
    </row>
    <row r="2956" spans="1:6" x14ac:dyDescent="0.2">
      <c r="A2956">
        <f>[1]!hospitalinfo[[#This Row],[Facility ID]]</f>
        <v>340071</v>
      </c>
      <c r="B2956" t="str">
        <f>[1]!hospitalinfo[[#This Row],[State]]</f>
        <v>NC</v>
      </c>
      <c r="C2956" t="str">
        <f>[1]!hospitalinfo[[#This Row],[Hospital Type]]</f>
        <v>Acute Care Hospitals</v>
      </c>
      <c r="D2956" t="str">
        <f>[1]!hospitalinfo[[#This Row],[Hospital Ownership]]</f>
        <v>Voluntary non-profit - Private</v>
      </c>
      <c r="E2956" cm="1">
        <f t="array" ref="E2956">_xlfn.IFNA(_xlfn.XLOOKUP(1,([1]!hcahps[Facility ID] = clean[[#This Row],[Facility ID]]) * ([1]!hcahps[HCAHPS Measure ID] = "H_HSP_RATING_LINEAR_SCORE"), [1]!hcahps[HCAHPS Linear Mean Value]), "No Match")</f>
        <v>86</v>
      </c>
      <c r="F2956" cm="1">
        <f t="array" ref="F2956">_xlfn.IFNA(_xlfn.XLOOKUP(1,([1]!readmissions[Facility ID] = clean[[#This Row],[Facility ID]]) * ([1]!readmissions[Measure ID] = "Hybrid_HWR"), [1]!readmissions[Score]), "No Match")</f>
        <v>14.3</v>
      </c>
    </row>
    <row r="2957" spans="1:6" x14ac:dyDescent="0.2">
      <c r="A2957">
        <f>[1]!hospitalinfo[[#This Row],[Facility ID]]</f>
        <v>340075</v>
      </c>
      <c r="B2957" t="str">
        <f>[1]!hospitalinfo[[#This Row],[State]]</f>
        <v>NC</v>
      </c>
      <c r="C2957" t="str">
        <f>[1]!hospitalinfo[[#This Row],[Hospital Type]]</f>
        <v>Acute Care Hospitals</v>
      </c>
      <c r="D2957" t="str">
        <f>[1]!hospitalinfo[[#This Row],[Hospital Ownership]]</f>
        <v>Proprietary</v>
      </c>
      <c r="E2957" cm="1">
        <f t="array" ref="E2957">_xlfn.IFNA(_xlfn.XLOOKUP(1,([1]!hcahps[Facility ID] = clean[[#This Row],[Facility ID]]) * ([1]!hcahps[HCAHPS Measure ID] = "H_HSP_RATING_LINEAR_SCORE"), [1]!hcahps[HCAHPS Linear Mean Value]), "No Match")</f>
        <v>85</v>
      </c>
      <c r="F2957" cm="1">
        <f t="array" ref="F2957">_xlfn.IFNA(_xlfn.XLOOKUP(1,([1]!readmissions[Facility ID] = clean[[#This Row],[Facility ID]]) * ([1]!readmissions[Measure ID] = "Hybrid_HWR"), [1]!readmissions[Score]), "No Match")</f>
        <v>14.4</v>
      </c>
    </row>
    <row r="2958" spans="1:6" x14ac:dyDescent="0.2">
      <c r="A2958">
        <f>[1]!hospitalinfo[[#This Row],[Facility ID]]</f>
        <v>340084</v>
      </c>
      <c r="B2958" t="str">
        <f>[1]!hospitalinfo[[#This Row],[State]]</f>
        <v>NC</v>
      </c>
      <c r="C2958" t="str">
        <f>[1]!hospitalinfo[[#This Row],[Hospital Type]]</f>
        <v>Acute Care Hospitals</v>
      </c>
      <c r="D2958" t="str">
        <f>[1]!hospitalinfo[[#This Row],[Hospital Ownership]]</f>
        <v>Government - Hospital District or Authority</v>
      </c>
      <c r="E2958" t="str" cm="1">
        <f t="array" ref="E2958">_xlfn.IFNA(_xlfn.XLOOKUP(1,([1]!hcahps[Facility ID] = clean[[#This Row],[Facility ID]]) * ([1]!hcahps[HCAHPS Measure ID] = "H_HSP_RATING_LINEAR_SCORE"), [1]!hcahps[HCAHPS Linear Mean Value]), "No Match")</f>
        <v>Not Available</v>
      </c>
      <c r="F2958" cm="1">
        <f t="array" ref="F2958">_xlfn.IFNA(_xlfn.XLOOKUP(1,([1]!readmissions[Facility ID] = clean[[#This Row],[Facility ID]]) * ([1]!readmissions[Measure ID] = "Hybrid_HWR"), [1]!readmissions[Score]), "No Match")</f>
        <v>14.8</v>
      </c>
    </row>
    <row r="2959" spans="1:6" x14ac:dyDescent="0.2">
      <c r="A2959">
        <f>[1]!hospitalinfo[[#This Row],[Facility ID]]</f>
        <v>340085</v>
      </c>
      <c r="B2959" t="str">
        <f>[1]!hospitalinfo[[#This Row],[State]]</f>
        <v>NC</v>
      </c>
      <c r="C2959" t="str">
        <f>[1]!hospitalinfo[[#This Row],[Hospital Type]]</f>
        <v>Acute Care Hospitals</v>
      </c>
      <c r="D2959" t="str">
        <f>[1]!hospitalinfo[[#This Row],[Hospital Ownership]]</f>
        <v>Voluntary non-profit - Private</v>
      </c>
      <c r="E2959" cm="1">
        <f t="array" ref="E2959">_xlfn.IFNA(_xlfn.XLOOKUP(1,([1]!hcahps[Facility ID] = clean[[#This Row],[Facility ID]]) * ([1]!hcahps[HCAHPS Measure ID] = "H_HSP_RATING_LINEAR_SCORE"), [1]!hcahps[HCAHPS Linear Mean Value]), "No Match")</f>
        <v>87</v>
      </c>
      <c r="F2959" cm="1">
        <f t="array" ref="F2959">_xlfn.IFNA(_xlfn.XLOOKUP(1,([1]!readmissions[Facility ID] = clean[[#This Row],[Facility ID]]) * ([1]!readmissions[Measure ID] = "Hybrid_HWR"), [1]!readmissions[Score]), "No Match")</f>
        <v>15.1</v>
      </c>
    </row>
    <row r="2960" spans="1:6" x14ac:dyDescent="0.2">
      <c r="A2960">
        <f>[1]!hospitalinfo[[#This Row],[Facility ID]]</f>
        <v>340087</v>
      </c>
      <c r="B2960" t="str">
        <f>[1]!hospitalinfo[[#This Row],[State]]</f>
        <v>NC</v>
      </c>
      <c r="C2960" t="str">
        <f>[1]!hospitalinfo[[#This Row],[Hospital Type]]</f>
        <v>Acute Care Hospitals</v>
      </c>
      <c r="D2960" t="str">
        <f>[1]!hospitalinfo[[#This Row],[Hospital Ownership]]</f>
        <v>Voluntary non-profit - Private</v>
      </c>
      <c r="E2960" cm="1">
        <f t="array" ref="E2960">_xlfn.IFNA(_xlfn.XLOOKUP(1,([1]!hcahps[Facility ID] = clean[[#This Row],[Facility ID]]) * ([1]!hcahps[HCAHPS Measure ID] = "H_HSP_RATING_LINEAR_SCORE"), [1]!hcahps[HCAHPS Linear Mean Value]), "No Match")</f>
        <v>89</v>
      </c>
      <c r="F2960" cm="1">
        <f t="array" ref="F2960">_xlfn.IFNA(_xlfn.XLOOKUP(1,([1]!readmissions[Facility ID] = clean[[#This Row],[Facility ID]]) * ([1]!readmissions[Measure ID] = "Hybrid_HWR"), [1]!readmissions[Score]), "No Match")</f>
        <v>15.2</v>
      </c>
    </row>
    <row r="2961" spans="1:6" x14ac:dyDescent="0.2">
      <c r="A2961">
        <f>[1]!hospitalinfo[[#This Row],[Facility ID]]</f>
        <v>340090</v>
      </c>
      <c r="B2961" t="str">
        <f>[1]!hospitalinfo[[#This Row],[State]]</f>
        <v>NC</v>
      </c>
      <c r="C2961" t="str">
        <f>[1]!hospitalinfo[[#This Row],[Hospital Type]]</f>
        <v>Acute Care Hospitals</v>
      </c>
      <c r="D2961" t="str">
        <f>[1]!hospitalinfo[[#This Row],[Hospital Ownership]]</f>
        <v>Government - Hospital District or Authority</v>
      </c>
      <c r="E2961" cm="1">
        <f t="array" ref="E2961">_xlfn.IFNA(_xlfn.XLOOKUP(1,([1]!hcahps[Facility ID] = clean[[#This Row],[Facility ID]]) * ([1]!hcahps[HCAHPS Measure ID] = "H_HSP_RATING_LINEAR_SCORE"), [1]!hcahps[HCAHPS Linear Mean Value]), "No Match")</f>
        <v>90</v>
      </c>
      <c r="F2961" cm="1">
        <f t="array" ref="F2961">_xlfn.IFNA(_xlfn.XLOOKUP(1,([1]!readmissions[Facility ID] = clean[[#This Row],[Facility ID]]) * ([1]!readmissions[Measure ID] = "Hybrid_HWR"), [1]!readmissions[Score]), "No Match")</f>
        <v>15.2</v>
      </c>
    </row>
    <row r="2962" spans="1:6" x14ac:dyDescent="0.2">
      <c r="A2962">
        <f>[1]!hospitalinfo[[#This Row],[Facility ID]]</f>
        <v>340091</v>
      </c>
      <c r="B2962" t="str">
        <f>[1]!hospitalinfo[[#This Row],[State]]</f>
        <v>NC</v>
      </c>
      <c r="C2962" t="str">
        <f>[1]!hospitalinfo[[#This Row],[Hospital Type]]</f>
        <v>Acute Care Hospitals</v>
      </c>
      <c r="D2962" t="str">
        <f>[1]!hospitalinfo[[#This Row],[Hospital Ownership]]</f>
        <v>Voluntary non-profit - Private</v>
      </c>
      <c r="E2962" cm="1">
        <f t="array" ref="E2962">_xlfn.IFNA(_xlfn.XLOOKUP(1,([1]!hcahps[Facility ID] = clean[[#This Row],[Facility ID]]) * ([1]!hcahps[HCAHPS Measure ID] = "H_HSP_RATING_LINEAR_SCORE"), [1]!hcahps[HCAHPS Linear Mean Value]), "No Match")</f>
        <v>88</v>
      </c>
      <c r="F2962" cm="1">
        <f t="array" ref="F2962">_xlfn.IFNA(_xlfn.XLOOKUP(1,([1]!readmissions[Facility ID] = clean[[#This Row],[Facility ID]]) * ([1]!readmissions[Measure ID] = "Hybrid_HWR"), [1]!readmissions[Score]), "No Match")</f>
        <v>13.9</v>
      </c>
    </row>
    <row r="2963" spans="1:6" x14ac:dyDescent="0.2">
      <c r="A2963">
        <f>[1]!hospitalinfo[[#This Row],[Facility ID]]</f>
        <v>340096</v>
      </c>
      <c r="B2963" t="str">
        <f>[1]!hospitalinfo[[#This Row],[State]]</f>
        <v>NC</v>
      </c>
      <c r="C2963" t="str">
        <f>[1]!hospitalinfo[[#This Row],[Hospital Type]]</f>
        <v>Acute Care Hospitals</v>
      </c>
      <c r="D2963" t="str">
        <f>[1]!hospitalinfo[[#This Row],[Hospital Ownership]]</f>
        <v>Voluntary non-profit - Private</v>
      </c>
      <c r="E2963" cm="1">
        <f t="array" ref="E2963">_xlfn.IFNA(_xlfn.XLOOKUP(1,([1]!hcahps[Facility ID] = clean[[#This Row],[Facility ID]]) * ([1]!hcahps[HCAHPS Measure ID] = "H_HSP_RATING_LINEAR_SCORE"), [1]!hcahps[HCAHPS Linear Mean Value]), "No Match")</f>
        <v>89</v>
      </c>
      <c r="F2963" cm="1">
        <f t="array" ref="F2963">_xlfn.IFNA(_xlfn.XLOOKUP(1,([1]!readmissions[Facility ID] = clean[[#This Row],[Facility ID]]) * ([1]!readmissions[Measure ID] = "Hybrid_HWR"), [1]!readmissions[Score]), "No Match")</f>
        <v>15.1</v>
      </c>
    </row>
    <row r="2964" spans="1:6" x14ac:dyDescent="0.2">
      <c r="A2964">
        <f>[1]!hospitalinfo[[#This Row],[Facility ID]]</f>
        <v>340097</v>
      </c>
      <c r="B2964" t="str">
        <f>[1]!hospitalinfo[[#This Row],[State]]</f>
        <v>NC</v>
      </c>
      <c r="C2964" t="str">
        <f>[1]!hospitalinfo[[#This Row],[Hospital Type]]</f>
        <v>Acute Care Hospitals</v>
      </c>
      <c r="D2964" t="str">
        <f>[1]!hospitalinfo[[#This Row],[Hospital Ownership]]</f>
        <v>Voluntary non-profit - Private</v>
      </c>
      <c r="E2964" cm="1">
        <f t="array" ref="E2964">_xlfn.IFNA(_xlfn.XLOOKUP(1,([1]!hcahps[Facility ID] = clean[[#This Row],[Facility ID]]) * ([1]!hcahps[HCAHPS Measure ID] = "H_HSP_RATING_LINEAR_SCORE"), [1]!hcahps[HCAHPS Linear Mean Value]), "No Match")</f>
        <v>88</v>
      </c>
      <c r="F2964" cm="1">
        <f t="array" ref="F2964">_xlfn.IFNA(_xlfn.XLOOKUP(1,([1]!readmissions[Facility ID] = clean[[#This Row],[Facility ID]]) * ([1]!readmissions[Measure ID] = "Hybrid_HWR"), [1]!readmissions[Score]), "No Match")</f>
        <v>15.1</v>
      </c>
    </row>
    <row r="2965" spans="1:6" x14ac:dyDescent="0.2">
      <c r="A2965">
        <f>[1]!hospitalinfo[[#This Row],[Facility ID]]</f>
        <v>340098</v>
      </c>
      <c r="B2965" t="str">
        <f>[1]!hospitalinfo[[#This Row],[State]]</f>
        <v>NC</v>
      </c>
      <c r="C2965" t="str">
        <f>[1]!hospitalinfo[[#This Row],[Hospital Type]]</f>
        <v>Acute Care Hospitals</v>
      </c>
      <c r="D2965" t="str">
        <f>[1]!hospitalinfo[[#This Row],[Hospital Ownership]]</f>
        <v>Government - Hospital District or Authority</v>
      </c>
      <c r="E2965" cm="1">
        <f t="array" ref="E2965">_xlfn.IFNA(_xlfn.XLOOKUP(1,([1]!hcahps[Facility ID] = clean[[#This Row],[Facility ID]]) * ([1]!hcahps[HCAHPS Measure ID] = "H_HSP_RATING_LINEAR_SCORE"), [1]!hcahps[HCAHPS Linear Mean Value]), "No Match")</f>
        <v>89</v>
      </c>
      <c r="F2965" cm="1">
        <f t="array" ref="F2965">_xlfn.IFNA(_xlfn.XLOOKUP(1,([1]!readmissions[Facility ID] = clean[[#This Row],[Facility ID]]) * ([1]!readmissions[Measure ID] = "Hybrid_HWR"), [1]!readmissions[Score]), "No Match")</f>
        <v>15.5</v>
      </c>
    </row>
    <row r="2966" spans="1:6" x14ac:dyDescent="0.2">
      <c r="A2966">
        <f>[1]!hospitalinfo[[#This Row],[Facility ID]]</f>
        <v>340099</v>
      </c>
      <c r="B2966" t="str">
        <f>[1]!hospitalinfo[[#This Row],[State]]</f>
        <v>NC</v>
      </c>
      <c r="C2966" t="str">
        <f>[1]!hospitalinfo[[#This Row],[Hospital Type]]</f>
        <v>Acute Care Hospitals</v>
      </c>
      <c r="D2966" t="str">
        <f>[1]!hospitalinfo[[#This Row],[Hospital Ownership]]</f>
        <v>Voluntary non-profit - Private</v>
      </c>
      <c r="E2966" cm="1">
        <f t="array" ref="E2966">_xlfn.IFNA(_xlfn.XLOOKUP(1,([1]!hcahps[Facility ID] = clean[[#This Row],[Facility ID]]) * ([1]!hcahps[HCAHPS Measure ID] = "H_HSP_RATING_LINEAR_SCORE"), [1]!hcahps[HCAHPS Linear Mean Value]), "No Match")</f>
        <v>84</v>
      </c>
      <c r="F2966" cm="1">
        <f t="array" ref="F2966">_xlfn.IFNA(_xlfn.XLOOKUP(1,([1]!readmissions[Facility ID] = clean[[#This Row],[Facility ID]]) * ([1]!readmissions[Measure ID] = "Hybrid_HWR"), [1]!readmissions[Score]), "No Match")</f>
        <v>16.2</v>
      </c>
    </row>
    <row r="2967" spans="1:6" x14ac:dyDescent="0.2">
      <c r="A2967">
        <f>[1]!hospitalinfo[[#This Row],[Facility ID]]</f>
        <v>340107</v>
      </c>
      <c r="B2967" t="str">
        <f>[1]!hospitalinfo[[#This Row],[State]]</f>
        <v>NC</v>
      </c>
      <c r="C2967" t="str">
        <f>[1]!hospitalinfo[[#This Row],[Hospital Type]]</f>
        <v>Acute Care Hospitals</v>
      </c>
      <c r="D2967" t="str">
        <f>[1]!hospitalinfo[[#This Row],[Hospital Ownership]]</f>
        <v>Government - Local</v>
      </c>
      <c r="E2967" cm="1">
        <f t="array" ref="E2967">_xlfn.IFNA(_xlfn.XLOOKUP(1,([1]!hcahps[Facility ID] = clean[[#This Row],[Facility ID]]) * ([1]!hcahps[HCAHPS Measure ID] = "H_HSP_RATING_LINEAR_SCORE"), [1]!hcahps[HCAHPS Linear Mean Value]), "No Match")</f>
        <v>91</v>
      </c>
      <c r="F2967" cm="1">
        <f t="array" ref="F2967">_xlfn.IFNA(_xlfn.XLOOKUP(1,([1]!readmissions[Facility ID] = clean[[#This Row],[Facility ID]]) * ([1]!readmissions[Measure ID] = "Hybrid_HWR"), [1]!readmissions[Score]), "No Match")</f>
        <v>15.8</v>
      </c>
    </row>
    <row r="2968" spans="1:6" x14ac:dyDescent="0.2">
      <c r="A2968">
        <f>[1]!hospitalinfo[[#This Row],[Facility ID]]</f>
        <v>340109</v>
      </c>
      <c r="B2968" t="str">
        <f>[1]!hospitalinfo[[#This Row],[State]]</f>
        <v>NC</v>
      </c>
      <c r="C2968" t="str">
        <f>[1]!hospitalinfo[[#This Row],[Hospital Type]]</f>
        <v>Acute Care Hospitals</v>
      </c>
      <c r="D2968" t="str">
        <f>[1]!hospitalinfo[[#This Row],[Hospital Ownership]]</f>
        <v>Government - Hospital District or Authority</v>
      </c>
      <c r="E2968" cm="1">
        <f t="array" ref="E2968">_xlfn.IFNA(_xlfn.XLOOKUP(1,([1]!hcahps[Facility ID] = clean[[#This Row],[Facility ID]]) * ([1]!hcahps[HCAHPS Measure ID] = "H_HSP_RATING_LINEAR_SCORE"), [1]!hcahps[HCAHPS Linear Mean Value]), "No Match")</f>
        <v>88</v>
      </c>
      <c r="F2968" cm="1">
        <f t="array" ref="F2968">_xlfn.IFNA(_xlfn.XLOOKUP(1,([1]!readmissions[Facility ID] = clean[[#This Row],[Facility ID]]) * ([1]!readmissions[Measure ID] = "Hybrid_HWR"), [1]!readmissions[Score]), "No Match")</f>
        <v>15.8</v>
      </c>
    </row>
    <row r="2969" spans="1:6" x14ac:dyDescent="0.2">
      <c r="A2969">
        <f>[1]!hospitalinfo[[#This Row],[Facility ID]]</f>
        <v>340113</v>
      </c>
      <c r="B2969" t="str">
        <f>[1]!hospitalinfo[[#This Row],[State]]</f>
        <v>NC</v>
      </c>
      <c r="C2969" t="str">
        <f>[1]!hospitalinfo[[#This Row],[Hospital Type]]</f>
        <v>Acute Care Hospitals</v>
      </c>
      <c r="D2969" t="str">
        <f>[1]!hospitalinfo[[#This Row],[Hospital Ownership]]</f>
        <v>Government - Hospital District or Authority</v>
      </c>
      <c r="E2969" cm="1">
        <f t="array" ref="E2969">_xlfn.IFNA(_xlfn.XLOOKUP(1,([1]!hcahps[Facility ID] = clean[[#This Row],[Facility ID]]) * ([1]!hcahps[HCAHPS Measure ID] = "H_HSP_RATING_LINEAR_SCORE"), [1]!hcahps[HCAHPS Linear Mean Value]), "No Match")</f>
        <v>88</v>
      </c>
      <c r="F2969" cm="1">
        <f t="array" ref="F2969">_xlfn.IFNA(_xlfn.XLOOKUP(1,([1]!readmissions[Facility ID] = clean[[#This Row],[Facility ID]]) * ([1]!readmissions[Measure ID] = "Hybrid_HWR"), [1]!readmissions[Score]), "No Match")</f>
        <v>14.8</v>
      </c>
    </row>
    <row r="2970" spans="1:6" x14ac:dyDescent="0.2">
      <c r="A2970">
        <f>[1]!hospitalinfo[[#This Row],[Facility ID]]</f>
        <v>340114</v>
      </c>
      <c r="B2970" t="str">
        <f>[1]!hospitalinfo[[#This Row],[State]]</f>
        <v>NC</v>
      </c>
      <c r="C2970" t="str">
        <f>[1]!hospitalinfo[[#This Row],[Hospital Type]]</f>
        <v>Acute Care Hospitals</v>
      </c>
      <c r="D2970" t="str">
        <f>[1]!hospitalinfo[[#This Row],[Hospital Ownership]]</f>
        <v>Government - State</v>
      </c>
      <c r="E2970" cm="1">
        <f t="array" ref="E2970">_xlfn.IFNA(_xlfn.XLOOKUP(1,([1]!hcahps[Facility ID] = clean[[#This Row],[Facility ID]]) * ([1]!hcahps[HCAHPS Measure ID] = "H_HSP_RATING_LINEAR_SCORE"), [1]!hcahps[HCAHPS Linear Mean Value]), "No Match")</f>
        <v>91</v>
      </c>
      <c r="F2970" cm="1">
        <f t="array" ref="F2970">_xlfn.IFNA(_xlfn.XLOOKUP(1,([1]!readmissions[Facility ID] = clean[[#This Row],[Facility ID]]) * ([1]!readmissions[Measure ID] = "Hybrid_HWR"), [1]!readmissions[Score]), "No Match")</f>
        <v>14.7</v>
      </c>
    </row>
    <row r="2971" spans="1:6" x14ac:dyDescent="0.2">
      <c r="A2971">
        <f>[1]!hospitalinfo[[#This Row],[Facility ID]]</f>
        <v>340115</v>
      </c>
      <c r="B2971" t="str">
        <f>[1]!hospitalinfo[[#This Row],[State]]</f>
        <v>NC</v>
      </c>
      <c r="C2971" t="str">
        <f>[1]!hospitalinfo[[#This Row],[Hospital Type]]</f>
        <v>Acute Care Hospitals</v>
      </c>
      <c r="D2971" t="str">
        <f>[1]!hospitalinfo[[#This Row],[Hospital Ownership]]</f>
        <v>Voluntary non-profit - Private</v>
      </c>
      <c r="E2971" cm="1">
        <f t="array" ref="E2971">_xlfn.IFNA(_xlfn.XLOOKUP(1,([1]!hcahps[Facility ID] = clean[[#This Row],[Facility ID]]) * ([1]!hcahps[HCAHPS Measure ID] = "H_HSP_RATING_LINEAR_SCORE"), [1]!hcahps[HCAHPS Linear Mean Value]), "No Match")</f>
        <v>91</v>
      </c>
      <c r="F2971" cm="1">
        <f t="array" ref="F2971">_xlfn.IFNA(_xlfn.XLOOKUP(1,([1]!readmissions[Facility ID] = clean[[#This Row],[Facility ID]]) * ([1]!readmissions[Measure ID] = "Hybrid_HWR"), [1]!readmissions[Score]), "No Match")</f>
        <v>15</v>
      </c>
    </row>
    <row r="2972" spans="1:6" x14ac:dyDescent="0.2">
      <c r="A2972">
        <f>[1]!hospitalinfo[[#This Row],[Facility ID]]</f>
        <v>340116</v>
      </c>
      <c r="B2972" t="str">
        <f>[1]!hospitalinfo[[#This Row],[State]]</f>
        <v>NC</v>
      </c>
      <c r="C2972" t="str">
        <f>[1]!hospitalinfo[[#This Row],[Hospital Type]]</f>
        <v>Acute Care Hospitals</v>
      </c>
      <c r="D2972" t="str">
        <f>[1]!hospitalinfo[[#This Row],[Hospital Ownership]]</f>
        <v>Proprietary</v>
      </c>
      <c r="E2972" cm="1">
        <f t="array" ref="E2972">_xlfn.IFNA(_xlfn.XLOOKUP(1,([1]!hcahps[Facility ID] = clean[[#This Row],[Facility ID]]) * ([1]!hcahps[HCAHPS Measure ID] = "H_HSP_RATING_LINEAR_SCORE"), [1]!hcahps[HCAHPS Linear Mean Value]), "No Match")</f>
        <v>85</v>
      </c>
      <c r="F2972" cm="1">
        <f t="array" ref="F2972">_xlfn.IFNA(_xlfn.XLOOKUP(1,([1]!readmissions[Facility ID] = clean[[#This Row],[Facility ID]]) * ([1]!readmissions[Measure ID] = "Hybrid_HWR"), [1]!readmissions[Score]), "No Match")</f>
        <v>15.6</v>
      </c>
    </row>
    <row r="2973" spans="1:6" x14ac:dyDescent="0.2">
      <c r="A2973">
        <f>[1]!hospitalinfo[[#This Row],[Facility ID]]</f>
        <v>340119</v>
      </c>
      <c r="B2973" t="str">
        <f>[1]!hospitalinfo[[#This Row],[State]]</f>
        <v>NC</v>
      </c>
      <c r="C2973" t="str">
        <f>[1]!hospitalinfo[[#This Row],[Hospital Type]]</f>
        <v>Acute Care Hospitals</v>
      </c>
      <c r="D2973" t="str">
        <f>[1]!hospitalinfo[[#This Row],[Hospital Ownership]]</f>
        <v>Voluntary non-profit - Private</v>
      </c>
      <c r="E2973" cm="1">
        <f t="array" ref="E2973">_xlfn.IFNA(_xlfn.XLOOKUP(1,([1]!hcahps[Facility ID] = clean[[#This Row],[Facility ID]]) * ([1]!hcahps[HCAHPS Measure ID] = "H_HSP_RATING_LINEAR_SCORE"), [1]!hcahps[HCAHPS Linear Mean Value]), "No Match")</f>
        <v>88</v>
      </c>
      <c r="F2973" cm="1">
        <f t="array" ref="F2973">_xlfn.IFNA(_xlfn.XLOOKUP(1,([1]!readmissions[Facility ID] = clean[[#This Row],[Facility ID]]) * ([1]!readmissions[Measure ID] = "Hybrid_HWR"), [1]!readmissions[Score]), "No Match")</f>
        <v>15.5</v>
      </c>
    </row>
    <row r="2974" spans="1:6" x14ac:dyDescent="0.2">
      <c r="A2974">
        <f>[1]!hospitalinfo[[#This Row],[Facility ID]]</f>
        <v>340120</v>
      </c>
      <c r="B2974" t="str">
        <f>[1]!hospitalinfo[[#This Row],[State]]</f>
        <v>NC</v>
      </c>
      <c r="C2974" t="str">
        <f>[1]!hospitalinfo[[#This Row],[Hospital Type]]</f>
        <v>Acute Care Hospitals</v>
      </c>
      <c r="D2974" t="str">
        <f>[1]!hospitalinfo[[#This Row],[Hospital Ownership]]</f>
        <v>Government - Local</v>
      </c>
      <c r="E2974" cm="1">
        <f t="array" ref="E2974">_xlfn.IFNA(_xlfn.XLOOKUP(1,([1]!hcahps[Facility ID] = clean[[#This Row],[Facility ID]]) * ([1]!hcahps[HCAHPS Measure ID] = "H_HSP_RATING_LINEAR_SCORE"), [1]!hcahps[HCAHPS Linear Mean Value]), "No Match")</f>
        <v>91</v>
      </c>
      <c r="F2974" cm="1">
        <f t="array" ref="F2974">_xlfn.IFNA(_xlfn.XLOOKUP(1,([1]!readmissions[Facility ID] = clean[[#This Row],[Facility ID]]) * ([1]!readmissions[Measure ID] = "Hybrid_HWR"), [1]!readmissions[Score]), "No Match")</f>
        <v>14.9</v>
      </c>
    </row>
    <row r="2975" spans="1:6" x14ac:dyDescent="0.2">
      <c r="A2975">
        <f>[1]!hospitalinfo[[#This Row],[Facility ID]]</f>
        <v>340123</v>
      </c>
      <c r="B2975" t="str">
        <f>[1]!hospitalinfo[[#This Row],[State]]</f>
        <v>NC</v>
      </c>
      <c r="C2975" t="str">
        <f>[1]!hospitalinfo[[#This Row],[Hospital Type]]</f>
        <v>Acute Care Hospitals</v>
      </c>
      <c r="D2975" t="str">
        <f>[1]!hospitalinfo[[#This Row],[Hospital Ownership]]</f>
        <v>Voluntary non-profit - Private</v>
      </c>
      <c r="E2975" cm="1">
        <f t="array" ref="E2975">_xlfn.IFNA(_xlfn.XLOOKUP(1,([1]!hcahps[Facility ID] = clean[[#This Row],[Facility ID]]) * ([1]!hcahps[HCAHPS Measure ID] = "H_HSP_RATING_LINEAR_SCORE"), [1]!hcahps[HCAHPS Linear Mean Value]), "No Match")</f>
        <v>86</v>
      </c>
      <c r="F2975" cm="1">
        <f t="array" ref="F2975">_xlfn.IFNA(_xlfn.XLOOKUP(1,([1]!readmissions[Facility ID] = clean[[#This Row],[Facility ID]]) * ([1]!readmissions[Measure ID] = "Hybrid_HWR"), [1]!readmissions[Score]), "No Match")</f>
        <v>14.4</v>
      </c>
    </row>
    <row r="2976" spans="1:6" x14ac:dyDescent="0.2">
      <c r="A2976">
        <f>[1]!hospitalinfo[[#This Row],[Facility ID]]</f>
        <v>340126</v>
      </c>
      <c r="B2976" t="str">
        <f>[1]!hospitalinfo[[#This Row],[State]]</f>
        <v>NC</v>
      </c>
      <c r="C2976" t="str">
        <f>[1]!hospitalinfo[[#This Row],[Hospital Type]]</f>
        <v>Acute Care Hospitals</v>
      </c>
      <c r="D2976" t="str">
        <f>[1]!hospitalinfo[[#This Row],[Hospital Ownership]]</f>
        <v>Voluntary non-profit - Private</v>
      </c>
      <c r="E2976" cm="1">
        <f t="array" ref="E2976">_xlfn.IFNA(_xlfn.XLOOKUP(1,([1]!hcahps[Facility ID] = clean[[#This Row],[Facility ID]]) * ([1]!hcahps[HCAHPS Measure ID] = "H_HSP_RATING_LINEAR_SCORE"), [1]!hcahps[HCAHPS Linear Mean Value]), "No Match")</f>
        <v>81</v>
      </c>
      <c r="F2976" cm="1">
        <f t="array" ref="F2976">_xlfn.IFNA(_xlfn.XLOOKUP(1,([1]!readmissions[Facility ID] = clean[[#This Row],[Facility ID]]) * ([1]!readmissions[Measure ID] = "Hybrid_HWR"), [1]!readmissions[Score]), "No Match")</f>
        <v>15.1</v>
      </c>
    </row>
    <row r="2977" spans="1:6" x14ac:dyDescent="0.2">
      <c r="A2977">
        <f>[1]!hospitalinfo[[#This Row],[Facility ID]]</f>
        <v>340127</v>
      </c>
      <c r="B2977" t="str">
        <f>[1]!hospitalinfo[[#This Row],[State]]</f>
        <v>NC</v>
      </c>
      <c r="C2977" t="str">
        <f>[1]!hospitalinfo[[#This Row],[Hospital Type]]</f>
        <v>Acute Care Hospitals</v>
      </c>
      <c r="D2977" t="str">
        <f>[1]!hospitalinfo[[#This Row],[Hospital Ownership]]</f>
        <v>Government - Local</v>
      </c>
      <c r="E2977" cm="1">
        <f t="array" ref="E2977">_xlfn.IFNA(_xlfn.XLOOKUP(1,([1]!hcahps[Facility ID] = clean[[#This Row],[Facility ID]]) * ([1]!hcahps[HCAHPS Measure ID] = "H_HSP_RATING_LINEAR_SCORE"), [1]!hcahps[HCAHPS Linear Mean Value]), "No Match")</f>
        <v>84</v>
      </c>
      <c r="F2977" cm="1">
        <f t="array" ref="F2977">_xlfn.IFNA(_xlfn.XLOOKUP(1,([1]!readmissions[Facility ID] = clean[[#This Row],[Facility ID]]) * ([1]!readmissions[Measure ID] = "Hybrid_HWR"), [1]!readmissions[Score]), "No Match")</f>
        <v>14.9</v>
      </c>
    </row>
    <row r="2978" spans="1:6" x14ac:dyDescent="0.2">
      <c r="A2978">
        <f>[1]!hospitalinfo[[#This Row],[Facility ID]]</f>
        <v>340129</v>
      </c>
      <c r="B2978" t="str">
        <f>[1]!hospitalinfo[[#This Row],[State]]</f>
        <v>NC</v>
      </c>
      <c r="C2978" t="str">
        <f>[1]!hospitalinfo[[#This Row],[Hospital Type]]</f>
        <v>Acute Care Hospitals</v>
      </c>
      <c r="D2978" t="str">
        <f>[1]!hospitalinfo[[#This Row],[Hospital Ownership]]</f>
        <v>Proprietary</v>
      </c>
      <c r="E2978" cm="1">
        <f t="array" ref="E2978">_xlfn.IFNA(_xlfn.XLOOKUP(1,([1]!hcahps[Facility ID] = clean[[#This Row],[Facility ID]]) * ([1]!hcahps[HCAHPS Measure ID] = "H_HSP_RATING_LINEAR_SCORE"), [1]!hcahps[HCAHPS Linear Mean Value]), "No Match")</f>
        <v>80</v>
      </c>
      <c r="F2978" cm="1">
        <f t="array" ref="F2978">_xlfn.IFNA(_xlfn.XLOOKUP(1,([1]!readmissions[Facility ID] = clean[[#This Row],[Facility ID]]) * ([1]!readmissions[Measure ID] = "Hybrid_HWR"), [1]!readmissions[Score]), "No Match")</f>
        <v>15.3</v>
      </c>
    </row>
    <row r="2979" spans="1:6" x14ac:dyDescent="0.2">
      <c r="A2979">
        <f>[1]!hospitalinfo[[#This Row],[Facility ID]]</f>
        <v>340130</v>
      </c>
      <c r="B2979" t="str">
        <f>[1]!hospitalinfo[[#This Row],[State]]</f>
        <v>NC</v>
      </c>
      <c r="C2979" t="str">
        <f>[1]!hospitalinfo[[#This Row],[Hospital Type]]</f>
        <v>Acute Care Hospitals</v>
      </c>
      <c r="D2979" t="str">
        <f>[1]!hospitalinfo[[#This Row],[Hospital Ownership]]</f>
        <v>Government - Hospital District or Authority</v>
      </c>
      <c r="E2979" cm="1">
        <f t="array" ref="E2979">_xlfn.IFNA(_xlfn.XLOOKUP(1,([1]!hcahps[Facility ID] = clean[[#This Row],[Facility ID]]) * ([1]!hcahps[HCAHPS Measure ID] = "H_HSP_RATING_LINEAR_SCORE"), [1]!hcahps[HCAHPS Linear Mean Value]), "No Match")</f>
        <v>89</v>
      </c>
      <c r="F2979" cm="1">
        <f t="array" ref="F2979">_xlfn.IFNA(_xlfn.XLOOKUP(1,([1]!readmissions[Facility ID] = clean[[#This Row],[Facility ID]]) * ([1]!readmissions[Measure ID] = "Hybrid_HWR"), [1]!readmissions[Score]), "No Match")</f>
        <v>14.1</v>
      </c>
    </row>
    <row r="2980" spans="1:6" x14ac:dyDescent="0.2">
      <c r="A2980">
        <f>[1]!hospitalinfo[[#This Row],[Facility ID]]</f>
        <v>340131</v>
      </c>
      <c r="B2980" t="str">
        <f>[1]!hospitalinfo[[#This Row],[State]]</f>
        <v>NC</v>
      </c>
      <c r="C2980" t="str">
        <f>[1]!hospitalinfo[[#This Row],[Hospital Type]]</f>
        <v>Acute Care Hospitals</v>
      </c>
      <c r="D2980" t="str">
        <f>[1]!hospitalinfo[[#This Row],[Hospital Ownership]]</f>
        <v>Government - Hospital District or Authority</v>
      </c>
      <c r="E2980" cm="1">
        <f t="array" ref="E2980">_xlfn.IFNA(_xlfn.XLOOKUP(1,([1]!hcahps[Facility ID] = clean[[#This Row],[Facility ID]]) * ([1]!hcahps[HCAHPS Measure ID] = "H_HSP_RATING_LINEAR_SCORE"), [1]!hcahps[HCAHPS Linear Mean Value]), "No Match")</f>
        <v>90</v>
      </c>
      <c r="F2980" cm="1">
        <f t="array" ref="F2980">_xlfn.IFNA(_xlfn.XLOOKUP(1,([1]!readmissions[Facility ID] = clean[[#This Row],[Facility ID]]) * ([1]!readmissions[Measure ID] = "Hybrid_HWR"), [1]!readmissions[Score]), "No Match")</f>
        <v>14.1</v>
      </c>
    </row>
    <row r="2981" spans="1:6" x14ac:dyDescent="0.2">
      <c r="A2981">
        <f>[1]!hospitalinfo[[#This Row],[Facility ID]]</f>
        <v>340132</v>
      </c>
      <c r="B2981" t="str">
        <f>[1]!hospitalinfo[[#This Row],[State]]</f>
        <v>NC</v>
      </c>
      <c r="C2981" t="str">
        <f>[1]!hospitalinfo[[#This Row],[Hospital Type]]</f>
        <v>Acute Care Hospitals</v>
      </c>
      <c r="D2981" t="str">
        <f>[1]!hospitalinfo[[#This Row],[Hospital Ownership]]</f>
        <v>Proprietary</v>
      </c>
      <c r="E2981" cm="1">
        <f t="array" ref="E2981">_xlfn.IFNA(_xlfn.XLOOKUP(1,([1]!hcahps[Facility ID] = clean[[#This Row],[Facility ID]]) * ([1]!hcahps[HCAHPS Measure ID] = "H_HSP_RATING_LINEAR_SCORE"), [1]!hcahps[HCAHPS Linear Mean Value]), "No Match")</f>
        <v>77</v>
      </c>
      <c r="F2981" cm="1">
        <f t="array" ref="F2981">_xlfn.IFNA(_xlfn.XLOOKUP(1,([1]!readmissions[Facility ID] = clean[[#This Row],[Facility ID]]) * ([1]!readmissions[Measure ID] = "Hybrid_HWR"), [1]!readmissions[Score]), "No Match")</f>
        <v>15.5</v>
      </c>
    </row>
    <row r="2982" spans="1:6" x14ac:dyDescent="0.2">
      <c r="A2982">
        <f>[1]!hospitalinfo[[#This Row],[Facility ID]]</f>
        <v>340141</v>
      </c>
      <c r="B2982" t="str">
        <f>[1]!hospitalinfo[[#This Row],[State]]</f>
        <v>NC</v>
      </c>
      <c r="C2982" t="str">
        <f>[1]!hospitalinfo[[#This Row],[Hospital Type]]</f>
        <v>Acute Care Hospitals</v>
      </c>
      <c r="D2982" t="str">
        <f>[1]!hospitalinfo[[#This Row],[Hospital Ownership]]</f>
        <v>Government - Local</v>
      </c>
      <c r="E2982" cm="1">
        <f t="array" ref="E2982">_xlfn.IFNA(_xlfn.XLOOKUP(1,([1]!hcahps[Facility ID] = clean[[#This Row],[Facility ID]]) * ([1]!hcahps[HCAHPS Measure ID] = "H_HSP_RATING_LINEAR_SCORE"), [1]!hcahps[HCAHPS Linear Mean Value]), "No Match")</f>
        <v>80</v>
      </c>
      <c r="F2982" cm="1">
        <f t="array" ref="F2982">_xlfn.IFNA(_xlfn.XLOOKUP(1,([1]!readmissions[Facility ID] = clean[[#This Row],[Facility ID]]) * ([1]!readmissions[Measure ID] = "Hybrid_HWR"), [1]!readmissions[Score]), "No Match")</f>
        <v>13.7</v>
      </c>
    </row>
    <row r="2983" spans="1:6" x14ac:dyDescent="0.2">
      <c r="A2983">
        <f>[1]!hospitalinfo[[#This Row],[Facility ID]]</f>
        <v>340142</v>
      </c>
      <c r="B2983" t="str">
        <f>[1]!hospitalinfo[[#This Row],[State]]</f>
        <v>NC</v>
      </c>
      <c r="C2983" t="str">
        <f>[1]!hospitalinfo[[#This Row],[Hospital Type]]</f>
        <v>Acute Care Hospitals</v>
      </c>
      <c r="D2983" t="str">
        <f>[1]!hospitalinfo[[#This Row],[Hospital Ownership]]</f>
        <v>Proprietary</v>
      </c>
      <c r="E2983" cm="1">
        <f t="array" ref="E2983">_xlfn.IFNA(_xlfn.XLOOKUP(1,([1]!hcahps[Facility ID] = clean[[#This Row],[Facility ID]]) * ([1]!hcahps[HCAHPS Measure ID] = "H_HSP_RATING_LINEAR_SCORE"), [1]!hcahps[HCAHPS Linear Mean Value]), "No Match")</f>
        <v>90</v>
      </c>
      <c r="F2983" cm="1">
        <f t="array" ref="F2983">_xlfn.IFNA(_xlfn.XLOOKUP(1,([1]!readmissions[Facility ID] = clean[[#This Row],[Facility ID]]) * ([1]!readmissions[Measure ID] = "Hybrid_HWR"), [1]!readmissions[Score]), "No Match")</f>
        <v>15.7</v>
      </c>
    </row>
    <row r="2984" spans="1:6" x14ac:dyDescent="0.2">
      <c r="A2984">
        <f>[1]!hospitalinfo[[#This Row],[Facility ID]]</f>
        <v>340143</v>
      </c>
      <c r="B2984" t="str">
        <f>[1]!hospitalinfo[[#This Row],[State]]</f>
        <v>NC</v>
      </c>
      <c r="C2984" t="str">
        <f>[1]!hospitalinfo[[#This Row],[Hospital Type]]</f>
        <v>Acute Care Hospitals</v>
      </c>
      <c r="D2984" t="str">
        <f>[1]!hospitalinfo[[#This Row],[Hospital Ownership]]</f>
        <v>Voluntary non-profit - Other</v>
      </c>
      <c r="E2984" cm="1">
        <f t="array" ref="E2984">_xlfn.IFNA(_xlfn.XLOOKUP(1,([1]!hcahps[Facility ID] = clean[[#This Row],[Facility ID]]) * ([1]!hcahps[HCAHPS Measure ID] = "H_HSP_RATING_LINEAR_SCORE"), [1]!hcahps[HCAHPS Linear Mean Value]), "No Match")</f>
        <v>90</v>
      </c>
      <c r="F2984" cm="1">
        <f t="array" ref="F2984">_xlfn.IFNA(_xlfn.XLOOKUP(1,([1]!readmissions[Facility ID] = clean[[#This Row],[Facility ID]]) * ([1]!readmissions[Measure ID] = "Hybrid_HWR"), [1]!readmissions[Score]), "No Match")</f>
        <v>14.2</v>
      </c>
    </row>
    <row r="2985" spans="1:6" x14ac:dyDescent="0.2">
      <c r="A2985">
        <f>[1]!hospitalinfo[[#This Row],[Facility ID]]</f>
        <v>340145</v>
      </c>
      <c r="B2985" t="str">
        <f>[1]!hospitalinfo[[#This Row],[State]]</f>
        <v>NC</v>
      </c>
      <c r="C2985" t="str">
        <f>[1]!hospitalinfo[[#This Row],[Hospital Type]]</f>
        <v>Acute Care Hospitals</v>
      </c>
      <c r="D2985" t="str">
        <f>[1]!hospitalinfo[[#This Row],[Hospital Ownership]]</f>
        <v>Government - Hospital District or Authority</v>
      </c>
      <c r="E2985" cm="1">
        <f t="array" ref="E2985">_xlfn.IFNA(_xlfn.XLOOKUP(1,([1]!hcahps[Facility ID] = clean[[#This Row],[Facility ID]]) * ([1]!hcahps[HCAHPS Measure ID] = "H_HSP_RATING_LINEAR_SCORE"), [1]!hcahps[HCAHPS Linear Mean Value]), "No Match")</f>
        <v>92</v>
      </c>
      <c r="F2985" cm="1">
        <f t="array" ref="F2985">_xlfn.IFNA(_xlfn.XLOOKUP(1,([1]!readmissions[Facility ID] = clean[[#This Row],[Facility ID]]) * ([1]!readmissions[Measure ID] = "Hybrid_HWR"), [1]!readmissions[Score]), "No Match")</f>
        <v>14.9</v>
      </c>
    </row>
    <row r="2986" spans="1:6" x14ac:dyDescent="0.2">
      <c r="A2986">
        <f>[1]!hospitalinfo[[#This Row],[Facility ID]]</f>
        <v>340147</v>
      </c>
      <c r="B2986" t="str">
        <f>[1]!hospitalinfo[[#This Row],[State]]</f>
        <v>NC</v>
      </c>
      <c r="C2986" t="str">
        <f>[1]!hospitalinfo[[#This Row],[Hospital Type]]</f>
        <v>Acute Care Hospitals</v>
      </c>
      <c r="D2986" t="str">
        <f>[1]!hospitalinfo[[#This Row],[Hospital Ownership]]</f>
        <v>Government - Hospital District or Authority</v>
      </c>
      <c r="E2986" cm="1">
        <f t="array" ref="E2986">_xlfn.IFNA(_xlfn.XLOOKUP(1,([1]!hcahps[Facility ID] = clean[[#This Row],[Facility ID]]) * ([1]!hcahps[HCAHPS Measure ID] = "H_HSP_RATING_LINEAR_SCORE"), [1]!hcahps[HCAHPS Linear Mean Value]), "No Match")</f>
        <v>87</v>
      </c>
      <c r="F2986" cm="1">
        <f t="array" ref="F2986">_xlfn.IFNA(_xlfn.XLOOKUP(1,([1]!readmissions[Facility ID] = clean[[#This Row],[Facility ID]]) * ([1]!readmissions[Measure ID] = "Hybrid_HWR"), [1]!readmissions[Score]), "No Match")</f>
        <v>14.8</v>
      </c>
    </row>
    <row r="2987" spans="1:6" x14ac:dyDescent="0.2">
      <c r="A2987">
        <f>[1]!hospitalinfo[[#This Row],[Facility ID]]</f>
        <v>340148</v>
      </c>
      <c r="B2987" t="str">
        <f>[1]!hospitalinfo[[#This Row],[State]]</f>
        <v>NC</v>
      </c>
      <c r="C2987" t="str">
        <f>[1]!hospitalinfo[[#This Row],[Hospital Type]]</f>
        <v>Acute Care Hospitals</v>
      </c>
      <c r="D2987" t="str">
        <f>[1]!hospitalinfo[[#This Row],[Hospital Ownership]]</f>
        <v>Voluntary non-profit - Other</v>
      </c>
      <c r="E2987" cm="1">
        <f t="array" ref="E2987">_xlfn.IFNA(_xlfn.XLOOKUP(1,([1]!hcahps[Facility ID] = clean[[#This Row],[Facility ID]]) * ([1]!hcahps[HCAHPS Measure ID] = "H_HSP_RATING_LINEAR_SCORE"), [1]!hcahps[HCAHPS Linear Mean Value]), "No Match")</f>
        <v>95</v>
      </c>
      <c r="F2987" cm="1">
        <f t="array" ref="F2987">_xlfn.IFNA(_xlfn.XLOOKUP(1,([1]!readmissions[Facility ID] = clean[[#This Row],[Facility ID]]) * ([1]!readmissions[Measure ID] = "Hybrid_HWR"), [1]!readmissions[Score]), "No Match")</f>
        <v>14.7</v>
      </c>
    </row>
    <row r="2988" spans="1:6" x14ac:dyDescent="0.2">
      <c r="A2988">
        <f>[1]!hospitalinfo[[#This Row],[Facility ID]]</f>
        <v>340151</v>
      </c>
      <c r="B2988" t="str">
        <f>[1]!hospitalinfo[[#This Row],[State]]</f>
        <v>NC</v>
      </c>
      <c r="C2988" t="str">
        <f>[1]!hospitalinfo[[#This Row],[Hospital Type]]</f>
        <v>Acute Care Hospitals</v>
      </c>
      <c r="D2988" t="str">
        <f>[1]!hospitalinfo[[#This Row],[Hospital Ownership]]</f>
        <v>Voluntary non-profit - Private</v>
      </c>
      <c r="E2988" cm="1">
        <f t="array" ref="E2988">_xlfn.IFNA(_xlfn.XLOOKUP(1,([1]!hcahps[Facility ID] = clean[[#This Row],[Facility ID]]) * ([1]!hcahps[HCAHPS Measure ID] = "H_HSP_RATING_LINEAR_SCORE"), [1]!hcahps[HCAHPS Linear Mean Value]), "No Match")</f>
        <v>82</v>
      </c>
      <c r="F2988" cm="1">
        <f t="array" ref="F2988">_xlfn.IFNA(_xlfn.XLOOKUP(1,([1]!readmissions[Facility ID] = clean[[#This Row],[Facility ID]]) * ([1]!readmissions[Measure ID] = "Hybrid_HWR"), [1]!readmissions[Score]), "No Match")</f>
        <v>14.6</v>
      </c>
    </row>
    <row r="2989" spans="1:6" x14ac:dyDescent="0.2">
      <c r="A2989">
        <f>[1]!hospitalinfo[[#This Row],[Facility ID]]</f>
        <v>340155</v>
      </c>
      <c r="B2989" t="str">
        <f>[1]!hospitalinfo[[#This Row],[State]]</f>
        <v>NC</v>
      </c>
      <c r="C2989" t="str">
        <f>[1]!hospitalinfo[[#This Row],[Hospital Type]]</f>
        <v>Acute Care Hospitals</v>
      </c>
      <c r="D2989" t="str">
        <f>[1]!hospitalinfo[[#This Row],[Hospital Ownership]]</f>
        <v>Government - Local</v>
      </c>
      <c r="E2989" cm="1">
        <f t="array" ref="E2989">_xlfn.IFNA(_xlfn.XLOOKUP(1,([1]!hcahps[Facility ID] = clean[[#This Row],[Facility ID]]) * ([1]!hcahps[HCAHPS Measure ID] = "H_HSP_RATING_LINEAR_SCORE"), [1]!hcahps[HCAHPS Linear Mean Value]), "No Match")</f>
        <v>89</v>
      </c>
      <c r="F2989" cm="1">
        <f t="array" ref="F2989">_xlfn.IFNA(_xlfn.XLOOKUP(1,([1]!readmissions[Facility ID] = clean[[#This Row],[Facility ID]]) * ([1]!readmissions[Measure ID] = "Hybrid_HWR"), [1]!readmissions[Score]), "No Match")</f>
        <v>14.1</v>
      </c>
    </row>
    <row r="2990" spans="1:6" x14ac:dyDescent="0.2">
      <c r="A2990">
        <f>[1]!hospitalinfo[[#This Row],[Facility ID]]</f>
        <v>340156</v>
      </c>
      <c r="B2990" t="str">
        <f>[1]!hospitalinfo[[#This Row],[State]]</f>
        <v>NC</v>
      </c>
      <c r="C2990" t="str">
        <f>[1]!hospitalinfo[[#This Row],[Hospital Type]]</f>
        <v>Acute Care Hospitals</v>
      </c>
      <c r="D2990" t="str">
        <f>[1]!hospitalinfo[[#This Row],[Hospital Ownership]]</f>
        <v>Government - Federal</v>
      </c>
      <c r="E2990" t="str" cm="1">
        <f t="array" ref="E2990">_xlfn.IFNA(_xlfn.XLOOKUP(1,([1]!hcahps[Facility ID] = clean[[#This Row],[Facility ID]]) * ([1]!hcahps[HCAHPS Measure ID] = "H_HSP_RATING_LINEAR_SCORE"), [1]!hcahps[HCAHPS Linear Mean Value]), "No Match")</f>
        <v>Not Available</v>
      </c>
      <c r="F2990" cm="1">
        <f t="array" ref="F2990">_xlfn.IFNA(_xlfn.XLOOKUP(1,([1]!readmissions[Facility ID] = clean[[#This Row],[Facility ID]]) * ([1]!readmissions[Measure ID] = "Hybrid_HWR"), [1]!readmissions[Score]), "No Match")</f>
        <v>15.5</v>
      </c>
    </row>
    <row r="2991" spans="1:6" x14ac:dyDescent="0.2">
      <c r="A2991">
        <f>[1]!hospitalinfo[[#This Row],[Facility ID]]</f>
        <v>340158</v>
      </c>
      <c r="B2991" t="str">
        <f>[1]!hospitalinfo[[#This Row],[State]]</f>
        <v>NC</v>
      </c>
      <c r="C2991" t="str">
        <f>[1]!hospitalinfo[[#This Row],[Hospital Type]]</f>
        <v>Acute Care Hospitals</v>
      </c>
      <c r="D2991" t="str">
        <f>[1]!hospitalinfo[[#This Row],[Hospital Ownership]]</f>
        <v>Voluntary non-profit - Other</v>
      </c>
      <c r="E2991" cm="1">
        <f t="array" ref="E2991">_xlfn.IFNA(_xlfn.XLOOKUP(1,([1]!hcahps[Facility ID] = clean[[#This Row],[Facility ID]]) * ([1]!hcahps[HCAHPS Measure ID] = "H_HSP_RATING_LINEAR_SCORE"), [1]!hcahps[HCAHPS Linear Mean Value]), "No Match")</f>
        <v>89</v>
      </c>
      <c r="F2991" cm="1">
        <f t="array" ref="F2991">_xlfn.IFNA(_xlfn.XLOOKUP(1,([1]!readmissions[Facility ID] = clean[[#This Row],[Facility ID]]) * ([1]!readmissions[Measure ID] = "Hybrid_HWR"), [1]!readmissions[Score]), "No Match")</f>
        <v>14.7</v>
      </c>
    </row>
    <row r="2992" spans="1:6" x14ac:dyDescent="0.2">
      <c r="A2992">
        <f>[1]!hospitalinfo[[#This Row],[Facility ID]]</f>
        <v>340159</v>
      </c>
      <c r="B2992" t="str">
        <f>[1]!hospitalinfo[[#This Row],[State]]</f>
        <v>NC</v>
      </c>
      <c r="C2992" t="str">
        <f>[1]!hospitalinfo[[#This Row],[Hospital Type]]</f>
        <v>Acute Care Hospitals</v>
      </c>
      <c r="D2992" t="str">
        <f>[1]!hospitalinfo[[#This Row],[Hospital Ownership]]</f>
        <v>Proprietary</v>
      </c>
      <c r="E2992" t="str" cm="1">
        <f t="array" ref="E2992">_xlfn.IFNA(_xlfn.XLOOKUP(1,([1]!hcahps[Facility ID] = clean[[#This Row],[Facility ID]]) * ([1]!hcahps[HCAHPS Measure ID] = "H_HSP_RATING_LINEAR_SCORE"), [1]!hcahps[HCAHPS Linear Mean Value]), "No Match")</f>
        <v>Not Available</v>
      </c>
      <c r="F2992" cm="1">
        <f t="array" ref="F2992">_xlfn.IFNA(_xlfn.XLOOKUP(1,([1]!readmissions[Facility ID] = clean[[#This Row],[Facility ID]]) * ([1]!readmissions[Measure ID] = "Hybrid_HWR"), [1]!readmissions[Score]), "No Match")</f>
        <v>14.7</v>
      </c>
    </row>
    <row r="2993" spans="1:6" x14ac:dyDescent="0.2">
      <c r="A2993">
        <f>[1]!hospitalinfo[[#This Row],[Facility ID]]</f>
        <v>340166</v>
      </c>
      <c r="B2993" t="str">
        <f>[1]!hospitalinfo[[#This Row],[State]]</f>
        <v>NC</v>
      </c>
      <c r="C2993" t="str">
        <f>[1]!hospitalinfo[[#This Row],[Hospital Type]]</f>
        <v>Acute Care Hospitals</v>
      </c>
      <c r="D2993" t="str">
        <f>[1]!hospitalinfo[[#This Row],[Hospital Ownership]]</f>
        <v>Government - Hospital District or Authority</v>
      </c>
      <c r="E2993" cm="1">
        <f t="array" ref="E2993">_xlfn.IFNA(_xlfn.XLOOKUP(1,([1]!hcahps[Facility ID] = clean[[#This Row],[Facility ID]]) * ([1]!hcahps[HCAHPS Measure ID] = "H_HSP_RATING_LINEAR_SCORE"), [1]!hcahps[HCAHPS Linear Mean Value]), "No Match")</f>
        <v>86</v>
      </c>
      <c r="F2993" cm="1">
        <f t="array" ref="F2993">_xlfn.IFNA(_xlfn.XLOOKUP(1,([1]!readmissions[Facility ID] = clean[[#This Row],[Facility ID]]) * ([1]!readmissions[Measure ID] = "Hybrid_HWR"), [1]!readmissions[Score]), "No Match")</f>
        <v>14.9</v>
      </c>
    </row>
    <row r="2994" spans="1:6" x14ac:dyDescent="0.2">
      <c r="A2994">
        <f>[1]!hospitalinfo[[#This Row],[Facility ID]]</f>
        <v>340168</v>
      </c>
      <c r="B2994" t="str">
        <f>[1]!hospitalinfo[[#This Row],[State]]</f>
        <v>NC</v>
      </c>
      <c r="C2994" t="str">
        <f>[1]!hospitalinfo[[#This Row],[Hospital Type]]</f>
        <v>Acute Care Hospitals</v>
      </c>
      <c r="D2994" t="str">
        <f>[1]!hospitalinfo[[#This Row],[Hospital Ownership]]</f>
        <v>Voluntary non-profit - Private</v>
      </c>
      <c r="E2994" t="str" cm="1">
        <f t="array" ref="E2994">_xlfn.IFNA(_xlfn.XLOOKUP(1,([1]!hcahps[Facility ID] = clean[[#This Row],[Facility ID]]) * ([1]!hcahps[HCAHPS Measure ID] = "H_HSP_RATING_LINEAR_SCORE"), [1]!hcahps[HCAHPS Linear Mean Value]), "No Match")</f>
        <v>Not Available</v>
      </c>
      <c r="F2994" t="str" cm="1">
        <f t="array" ref="F2994">_xlfn.IFNA(_xlfn.XLOOKUP(1,([1]!readmissions[Facility ID] = clean[[#This Row],[Facility ID]]) * ([1]!readmissions[Measure ID] = "Hybrid_HWR"), [1]!readmissions[Score]), "No Match")</f>
        <v>Not Available</v>
      </c>
    </row>
    <row r="2995" spans="1:6" x14ac:dyDescent="0.2">
      <c r="A2995">
        <f>[1]!hospitalinfo[[#This Row],[Facility ID]]</f>
        <v>340171</v>
      </c>
      <c r="B2995" t="str">
        <f>[1]!hospitalinfo[[#This Row],[State]]</f>
        <v>NC</v>
      </c>
      <c r="C2995" t="str">
        <f>[1]!hospitalinfo[[#This Row],[Hospital Type]]</f>
        <v>Acute Care Hospitals</v>
      </c>
      <c r="D2995" t="str">
        <f>[1]!hospitalinfo[[#This Row],[Hospital Ownership]]</f>
        <v>Voluntary non-profit - Other</v>
      </c>
      <c r="E2995" cm="1">
        <f t="array" ref="E2995">_xlfn.IFNA(_xlfn.XLOOKUP(1,([1]!hcahps[Facility ID] = clean[[#This Row],[Facility ID]]) * ([1]!hcahps[HCAHPS Measure ID] = "H_HSP_RATING_LINEAR_SCORE"), [1]!hcahps[HCAHPS Linear Mean Value]), "No Match")</f>
        <v>88</v>
      </c>
      <c r="F2995" cm="1">
        <f t="array" ref="F2995">_xlfn.IFNA(_xlfn.XLOOKUP(1,([1]!readmissions[Facility ID] = clean[[#This Row],[Facility ID]]) * ([1]!readmissions[Measure ID] = "Hybrid_HWR"), [1]!readmissions[Score]), "No Match")</f>
        <v>13.6</v>
      </c>
    </row>
    <row r="2996" spans="1:6" x14ac:dyDescent="0.2">
      <c r="A2996">
        <f>[1]!hospitalinfo[[#This Row],[Facility ID]]</f>
        <v>340173</v>
      </c>
      <c r="B2996" t="str">
        <f>[1]!hospitalinfo[[#This Row],[State]]</f>
        <v>NC</v>
      </c>
      <c r="C2996" t="str">
        <f>[1]!hospitalinfo[[#This Row],[Hospital Type]]</f>
        <v>Acute Care Hospitals</v>
      </c>
      <c r="D2996" t="str">
        <f>[1]!hospitalinfo[[#This Row],[Hospital Ownership]]</f>
        <v>Voluntary non-profit - Private</v>
      </c>
      <c r="E2996" cm="1">
        <f t="array" ref="E2996">_xlfn.IFNA(_xlfn.XLOOKUP(1,([1]!hcahps[Facility ID] = clean[[#This Row],[Facility ID]]) * ([1]!hcahps[HCAHPS Measure ID] = "H_HSP_RATING_LINEAR_SCORE"), [1]!hcahps[HCAHPS Linear Mean Value]), "No Match")</f>
        <v>92</v>
      </c>
      <c r="F2996" cm="1">
        <f t="array" ref="F2996">_xlfn.IFNA(_xlfn.XLOOKUP(1,([1]!readmissions[Facility ID] = clean[[#This Row],[Facility ID]]) * ([1]!readmissions[Measure ID] = "Hybrid_HWR"), [1]!readmissions[Score]), "No Match")</f>
        <v>14.6</v>
      </c>
    </row>
    <row r="2997" spans="1:6" x14ac:dyDescent="0.2">
      <c r="A2997">
        <f>[1]!hospitalinfo[[#This Row],[Facility ID]]</f>
        <v>340183</v>
      </c>
      <c r="B2997" t="str">
        <f>[1]!hospitalinfo[[#This Row],[State]]</f>
        <v>NC</v>
      </c>
      <c r="C2997" t="str">
        <f>[1]!hospitalinfo[[#This Row],[Hospital Type]]</f>
        <v>Acute Care Hospitals</v>
      </c>
      <c r="D2997" t="str">
        <f>[1]!hospitalinfo[[#This Row],[Hospital Ownership]]</f>
        <v>Voluntary non-profit - Private</v>
      </c>
      <c r="E2997" cm="1">
        <f t="array" ref="E2997">_xlfn.IFNA(_xlfn.XLOOKUP(1,([1]!hcahps[Facility ID] = clean[[#This Row],[Facility ID]]) * ([1]!hcahps[HCAHPS Measure ID] = "H_HSP_RATING_LINEAR_SCORE"), [1]!hcahps[HCAHPS Linear Mean Value]), "No Match")</f>
        <v>87</v>
      </c>
      <c r="F2997" cm="1">
        <f t="array" ref="F2997">_xlfn.IFNA(_xlfn.XLOOKUP(1,([1]!readmissions[Facility ID] = clean[[#This Row],[Facility ID]]) * ([1]!readmissions[Measure ID] = "Hybrid_HWR"), [1]!readmissions[Score]), "No Match")</f>
        <v>14.5</v>
      </c>
    </row>
    <row r="2998" spans="1:6" x14ac:dyDescent="0.2">
      <c r="A2998">
        <f>[1]!hospitalinfo[[#This Row],[Facility ID]]</f>
        <v>340184</v>
      </c>
      <c r="B2998" t="str">
        <f>[1]!hospitalinfo[[#This Row],[State]]</f>
        <v>NC</v>
      </c>
      <c r="C2998" t="str">
        <f>[1]!hospitalinfo[[#This Row],[Hospital Type]]</f>
        <v>Acute Care Hospitals</v>
      </c>
      <c r="D2998" t="str">
        <f>[1]!hospitalinfo[[#This Row],[Hospital Ownership]]</f>
        <v>Government - Hospital District or Authority</v>
      </c>
      <c r="E2998" cm="1">
        <f t="array" ref="E2998">_xlfn.IFNA(_xlfn.XLOOKUP(1,([1]!hcahps[Facility ID] = clean[[#This Row],[Facility ID]]) * ([1]!hcahps[HCAHPS Measure ID] = "H_HSP_RATING_LINEAR_SCORE"), [1]!hcahps[HCAHPS Linear Mean Value]), "No Match")</f>
        <v>86</v>
      </c>
      <c r="F2998" cm="1">
        <f t="array" ref="F2998">_xlfn.IFNA(_xlfn.XLOOKUP(1,([1]!readmissions[Facility ID] = clean[[#This Row],[Facility ID]]) * ([1]!readmissions[Measure ID] = "Hybrid_HWR"), [1]!readmissions[Score]), "No Match")</f>
        <v>15.1</v>
      </c>
    </row>
    <row r="2999" spans="1:6" x14ac:dyDescent="0.2">
      <c r="A2999">
        <f>[1]!hospitalinfo[[#This Row],[Facility ID]]</f>
        <v>340188</v>
      </c>
      <c r="B2999" t="str">
        <f>[1]!hospitalinfo[[#This Row],[State]]</f>
        <v>NC</v>
      </c>
      <c r="C2999" t="str">
        <f>[1]!hospitalinfo[[#This Row],[Hospital Type]]</f>
        <v>Acute Care Hospitals</v>
      </c>
      <c r="D2999" t="str">
        <f>[1]!hospitalinfo[[#This Row],[Hospital Ownership]]</f>
        <v>Voluntary non-profit - Private</v>
      </c>
      <c r="E2999" cm="1">
        <f t="array" ref="E2999">_xlfn.IFNA(_xlfn.XLOOKUP(1,([1]!hcahps[Facility ID] = clean[[#This Row],[Facility ID]]) * ([1]!hcahps[HCAHPS Measure ID] = "H_HSP_RATING_LINEAR_SCORE"), [1]!hcahps[HCAHPS Linear Mean Value]), "No Match")</f>
        <v>92</v>
      </c>
      <c r="F2999" cm="1">
        <f t="array" ref="F2999">_xlfn.IFNA(_xlfn.XLOOKUP(1,([1]!readmissions[Facility ID] = clean[[#This Row],[Facility ID]]) * ([1]!readmissions[Measure ID] = "Hybrid_HWR"), [1]!readmissions[Score]), "No Match")</f>
        <v>15.3</v>
      </c>
    </row>
    <row r="3000" spans="1:6" x14ac:dyDescent="0.2">
      <c r="A3000">
        <f>[1]!hospitalinfo[[#This Row],[Facility ID]]</f>
        <v>340190</v>
      </c>
      <c r="B3000" t="str">
        <f>[1]!hospitalinfo[[#This Row],[State]]</f>
        <v>NC</v>
      </c>
      <c r="C3000" t="str">
        <f>[1]!hospitalinfo[[#This Row],[Hospital Type]]</f>
        <v>Acute Care Hospitals</v>
      </c>
      <c r="D3000" t="str">
        <f>[1]!hospitalinfo[[#This Row],[Hospital Ownership]]</f>
        <v>Voluntary non-profit - Private</v>
      </c>
      <c r="E3000" cm="1">
        <f t="array" ref="E3000">_xlfn.IFNA(_xlfn.XLOOKUP(1,([1]!hcahps[Facility ID] = clean[[#This Row],[Facility ID]]) * ([1]!hcahps[HCAHPS Measure ID] = "H_HSP_RATING_LINEAR_SCORE"), [1]!hcahps[HCAHPS Linear Mean Value]), "No Match")</f>
        <v>93</v>
      </c>
      <c r="F3000" cm="1">
        <f t="array" ref="F3000">_xlfn.IFNA(_xlfn.XLOOKUP(1,([1]!readmissions[Facility ID] = clean[[#This Row],[Facility ID]]) * ([1]!readmissions[Measure ID] = "Hybrid_HWR"), [1]!readmissions[Score]), "No Match")</f>
        <v>13.2</v>
      </c>
    </row>
    <row r="3001" spans="1:6" x14ac:dyDescent="0.2">
      <c r="A3001">
        <f>[1]!hospitalinfo[[#This Row],[Facility ID]]</f>
        <v>340195</v>
      </c>
      <c r="B3001" t="str">
        <f>[1]!hospitalinfo[[#This Row],[State]]</f>
        <v>NC</v>
      </c>
      <c r="C3001" t="str">
        <f>[1]!hospitalinfo[[#This Row],[Hospital Type]]</f>
        <v>Acute Care Hospitals</v>
      </c>
      <c r="D3001" t="str">
        <f>[1]!hospitalinfo[[#This Row],[Hospital Ownership]]</f>
        <v>Voluntary non-profit - Private</v>
      </c>
      <c r="E3001" cm="1">
        <f t="array" ref="E3001">_xlfn.IFNA(_xlfn.XLOOKUP(1,([1]!hcahps[Facility ID] = clean[[#This Row],[Facility ID]]) * ([1]!hcahps[HCAHPS Measure ID] = "H_HSP_RATING_LINEAR_SCORE"), [1]!hcahps[HCAHPS Linear Mean Value]), "No Match")</f>
        <v>92</v>
      </c>
      <c r="F3001" cm="1">
        <f t="array" ref="F3001">_xlfn.IFNA(_xlfn.XLOOKUP(1,([1]!readmissions[Facility ID] = clean[[#This Row],[Facility ID]]) * ([1]!readmissions[Measure ID] = "Hybrid_HWR"), [1]!readmissions[Score]), "No Match")</f>
        <v>14.5</v>
      </c>
    </row>
    <row r="3002" spans="1:6" x14ac:dyDescent="0.2">
      <c r="A3002">
        <f>[1]!hospitalinfo[[#This Row],[Facility ID]]</f>
        <v>341303</v>
      </c>
      <c r="B3002" t="str">
        <f>[1]!hospitalinfo[[#This Row],[State]]</f>
        <v>NC</v>
      </c>
      <c r="C3002" t="str">
        <f>[1]!hospitalinfo[[#This Row],[Hospital Type]]</f>
        <v>Critical Access Hospitals</v>
      </c>
      <c r="D3002" t="str">
        <f>[1]!hospitalinfo[[#This Row],[Hospital Ownership]]</f>
        <v>Voluntary non-profit - Private</v>
      </c>
      <c r="E3002" t="str" cm="1">
        <f t="array" ref="E3002">_xlfn.IFNA(_xlfn.XLOOKUP(1,([1]!hcahps[Facility ID] = clean[[#This Row],[Facility ID]]) * ([1]!hcahps[HCAHPS Measure ID] = "H_HSP_RATING_LINEAR_SCORE"), [1]!hcahps[HCAHPS Linear Mean Value]), "No Match")</f>
        <v>Not Available</v>
      </c>
      <c r="F3002" cm="1">
        <f t="array" ref="F3002">_xlfn.IFNA(_xlfn.XLOOKUP(1,([1]!readmissions[Facility ID] = clean[[#This Row],[Facility ID]]) * ([1]!readmissions[Measure ID] = "Hybrid_HWR"), [1]!readmissions[Score]), "No Match")</f>
        <v>14.8</v>
      </c>
    </row>
    <row r="3003" spans="1:6" x14ac:dyDescent="0.2">
      <c r="A3003">
        <f>[1]!hospitalinfo[[#This Row],[Facility ID]]</f>
        <v>341304</v>
      </c>
      <c r="B3003" t="str">
        <f>[1]!hospitalinfo[[#This Row],[State]]</f>
        <v>NC</v>
      </c>
      <c r="C3003" t="str">
        <f>[1]!hospitalinfo[[#This Row],[Hospital Type]]</f>
        <v>Critical Access Hospitals</v>
      </c>
      <c r="D3003" t="str">
        <f>[1]!hospitalinfo[[#This Row],[Hospital Ownership]]</f>
        <v>Voluntary non-profit - Private</v>
      </c>
      <c r="E3003" t="str" cm="1">
        <f t="array" ref="E3003">_xlfn.IFNA(_xlfn.XLOOKUP(1,([1]!hcahps[Facility ID] = clean[[#This Row],[Facility ID]]) * ([1]!hcahps[HCAHPS Measure ID] = "H_HSP_RATING_LINEAR_SCORE"), [1]!hcahps[HCAHPS Linear Mean Value]), "No Match")</f>
        <v>Not Available</v>
      </c>
      <c r="F3003" cm="1">
        <f t="array" ref="F3003">_xlfn.IFNA(_xlfn.XLOOKUP(1,([1]!readmissions[Facility ID] = clean[[#This Row],[Facility ID]]) * ([1]!readmissions[Measure ID] = "Hybrid_HWR"), [1]!readmissions[Score]), "No Match")</f>
        <v>14.4</v>
      </c>
    </row>
    <row r="3004" spans="1:6" x14ac:dyDescent="0.2">
      <c r="A3004">
        <f>[1]!hospitalinfo[[#This Row],[Facility ID]]</f>
        <v>341305</v>
      </c>
      <c r="B3004" t="str">
        <f>[1]!hospitalinfo[[#This Row],[State]]</f>
        <v>NC</v>
      </c>
      <c r="C3004" t="str">
        <f>[1]!hospitalinfo[[#This Row],[Hospital Type]]</f>
        <v>Critical Access Hospitals</v>
      </c>
      <c r="D3004" t="str">
        <f>[1]!hospitalinfo[[#This Row],[Hospital Ownership]]</f>
        <v>Voluntary non-profit - Private</v>
      </c>
      <c r="E3004" t="str" cm="1">
        <f t="array" ref="E3004">_xlfn.IFNA(_xlfn.XLOOKUP(1,([1]!hcahps[Facility ID] = clean[[#This Row],[Facility ID]]) * ([1]!hcahps[HCAHPS Measure ID] = "H_HSP_RATING_LINEAR_SCORE"), [1]!hcahps[HCAHPS Linear Mean Value]), "No Match")</f>
        <v>Not Available</v>
      </c>
      <c r="F3004" t="str" cm="1">
        <f t="array" ref="F3004">_xlfn.IFNA(_xlfn.XLOOKUP(1,([1]!readmissions[Facility ID] = clean[[#This Row],[Facility ID]]) * ([1]!readmissions[Measure ID] = "Hybrid_HWR"), [1]!readmissions[Score]), "No Match")</f>
        <v>Not Available</v>
      </c>
    </row>
    <row r="3005" spans="1:6" x14ac:dyDescent="0.2">
      <c r="A3005">
        <f>[1]!hospitalinfo[[#This Row],[Facility ID]]</f>
        <v>341307</v>
      </c>
      <c r="B3005" t="str">
        <f>[1]!hospitalinfo[[#This Row],[State]]</f>
        <v>NC</v>
      </c>
      <c r="C3005" t="str">
        <f>[1]!hospitalinfo[[#This Row],[Hospital Type]]</f>
        <v>Critical Access Hospitals</v>
      </c>
      <c r="D3005" t="str">
        <f>[1]!hospitalinfo[[#This Row],[Hospital Ownership]]</f>
        <v>Government - Local</v>
      </c>
      <c r="E3005" t="str" cm="1">
        <f t="array" ref="E3005">_xlfn.IFNA(_xlfn.XLOOKUP(1,([1]!hcahps[Facility ID] = clean[[#This Row],[Facility ID]]) * ([1]!hcahps[HCAHPS Measure ID] = "H_HSP_RATING_LINEAR_SCORE"), [1]!hcahps[HCAHPS Linear Mean Value]), "No Match")</f>
        <v>Not Available</v>
      </c>
      <c r="F3005" cm="1">
        <f t="array" ref="F3005">_xlfn.IFNA(_xlfn.XLOOKUP(1,([1]!readmissions[Facility ID] = clean[[#This Row],[Facility ID]]) * ([1]!readmissions[Measure ID] = "Hybrid_HWR"), [1]!readmissions[Score]), "No Match")</f>
        <v>14.7</v>
      </c>
    </row>
    <row r="3006" spans="1:6" x14ac:dyDescent="0.2">
      <c r="A3006">
        <f>[1]!hospitalinfo[[#This Row],[Facility ID]]</f>
        <v>341311</v>
      </c>
      <c r="B3006" t="str">
        <f>[1]!hospitalinfo[[#This Row],[State]]</f>
        <v>NC</v>
      </c>
      <c r="C3006" t="str">
        <f>[1]!hospitalinfo[[#This Row],[Hospital Type]]</f>
        <v>Critical Access Hospitals</v>
      </c>
      <c r="D3006" t="str">
        <f>[1]!hospitalinfo[[#This Row],[Hospital Ownership]]</f>
        <v>Voluntary non-profit - Private</v>
      </c>
      <c r="E3006" cm="1">
        <f t="array" ref="E3006">_xlfn.IFNA(_xlfn.XLOOKUP(1,([1]!hcahps[Facility ID] = clean[[#This Row],[Facility ID]]) * ([1]!hcahps[HCAHPS Measure ID] = "H_HSP_RATING_LINEAR_SCORE"), [1]!hcahps[HCAHPS Linear Mean Value]), "No Match")</f>
        <v>93</v>
      </c>
      <c r="F3006" cm="1">
        <f t="array" ref="F3006">_xlfn.IFNA(_xlfn.XLOOKUP(1,([1]!readmissions[Facility ID] = clean[[#This Row],[Facility ID]]) * ([1]!readmissions[Measure ID] = "Hybrid_HWR"), [1]!readmissions[Score]), "No Match")</f>
        <v>14</v>
      </c>
    </row>
    <row r="3007" spans="1:6" x14ac:dyDescent="0.2">
      <c r="A3007">
        <f>[1]!hospitalinfo[[#This Row],[Facility ID]]</f>
        <v>341314</v>
      </c>
      <c r="B3007" t="str">
        <f>[1]!hospitalinfo[[#This Row],[State]]</f>
        <v>NC</v>
      </c>
      <c r="C3007" t="str">
        <f>[1]!hospitalinfo[[#This Row],[Hospital Type]]</f>
        <v>Critical Access Hospitals</v>
      </c>
      <c r="D3007" t="str">
        <f>[1]!hospitalinfo[[#This Row],[Hospital Ownership]]</f>
        <v>Proprietary</v>
      </c>
      <c r="E3007" t="str" cm="1">
        <f t="array" ref="E3007">_xlfn.IFNA(_xlfn.XLOOKUP(1,([1]!hcahps[Facility ID] = clean[[#This Row],[Facility ID]]) * ([1]!hcahps[HCAHPS Measure ID] = "H_HSP_RATING_LINEAR_SCORE"), [1]!hcahps[HCAHPS Linear Mean Value]), "No Match")</f>
        <v>Not Available</v>
      </c>
      <c r="F3007" cm="1">
        <f t="array" ref="F3007">_xlfn.IFNA(_xlfn.XLOOKUP(1,([1]!readmissions[Facility ID] = clean[[#This Row],[Facility ID]]) * ([1]!readmissions[Measure ID] = "Hybrid_HWR"), [1]!readmissions[Score]), "No Match")</f>
        <v>16</v>
      </c>
    </row>
    <row r="3008" spans="1:6" x14ac:dyDescent="0.2">
      <c r="A3008">
        <f>[1]!hospitalinfo[[#This Row],[Facility ID]]</f>
        <v>341315</v>
      </c>
      <c r="B3008" t="str">
        <f>[1]!hospitalinfo[[#This Row],[State]]</f>
        <v>NC</v>
      </c>
      <c r="C3008" t="str">
        <f>[1]!hospitalinfo[[#This Row],[Hospital Type]]</f>
        <v>Critical Access Hospitals</v>
      </c>
      <c r="D3008" t="str">
        <f>[1]!hospitalinfo[[#This Row],[Hospital Ownership]]</f>
        <v>Voluntary non-profit - Private</v>
      </c>
      <c r="E3008" t="str" cm="1">
        <f t="array" ref="E3008">_xlfn.IFNA(_xlfn.XLOOKUP(1,([1]!hcahps[Facility ID] = clean[[#This Row],[Facility ID]]) * ([1]!hcahps[HCAHPS Measure ID] = "H_HSP_RATING_LINEAR_SCORE"), [1]!hcahps[HCAHPS Linear Mean Value]), "No Match")</f>
        <v>Not Available</v>
      </c>
      <c r="F3008" cm="1">
        <f t="array" ref="F3008">_xlfn.IFNA(_xlfn.XLOOKUP(1,([1]!readmissions[Facility ID] = clean[[#This Row],[Facility ID]]) * ([1]!readmissions[Measure ID] = "Hybrid_HWR"), [1]!readmissions[Score]), "No Match")</f>
        <v>15</v>
      </c>
    </row>
    <row r="3009" spans="1:6" x14ac:dyDescent="0.2">
      <c r="A3009">
        <f>[1]!hospitalinfo[[#This Row],[Facility ID]]</f>
        <v>341316</v>
      </c>
      <c r="B3009" t="str">
        <f>[1]!hospitalinfo[[#This Row],[State]]</f>
        <v>NC</v>
      </c>
      <c r="C3009" t="str">
        <f>[1]!hospitalinfo[[#This Row],[Hospital Type]]</f>
        <v>Critical Access Hospitals</v>
      </c>
      <c r="D3009" t="str">
        <f>[1]!hospitalinfo[[#This Row],[Hospital Ownership]]</f>
        <v>Voluntary non-profit - Private</v>
      </c>
      <c r="E3009" cm="1">
        <f t="array" ref="E3009">_xlfn.IFNA(_xlfn.XLOOKUP(1,([1]!hcahps[Facility ID] = clean[[#This Row],[Facility ID]]) * ([1]!hcahps[HCAHPS Measure ID] = "H_HSP_RATING_LINEAR_SCORE"), [1]!hcahps[HCAHPS Linear Mean Value]), "No Match")</f>
        <v>93</v>
      </c>
      <c r="F3009" cm="1">
        <f t="array" ref="F3009">_xlfn.IFNA(_xlfn.XLOOKUP(1,([1]!readmissions[Facility ID] = clean[[#This Row],[Facility ID]]) * ([1]!readmissions[Measure ID] = "Hybrid_HWR"), [1]!readmissions[Score]), "No Match")</f>
        <v>15.4</v>
      </c>
    </row>
    <row r="3010" spans="1:6" x14ac:dyDescent="0.2">
      <c r="A3010">
        <f>[1]!hospitalinfo[[#This Row],[Facility ID]]</f>
        <v>341317</v>
      </c>
      <c r="B3010" t="str">
        <f>[1]!hospitalinfo[[#This Row],[State]]</f>
        <v>NC</v>
      </c>
      <c r="C3010" t="str">
        <f>[1]!hospitalinfo[[#This Row],[Hospital Type]]</f>
        <v>Critical Access Hospitals</v>
      </c>
      <c r="D3010" t="str">
        <f>[1]!hospitalinfo[[#This Row],[Hospital Ownership]]</f>
        <v>Proprietary</v>
      </c>
      <c r="E3010" t="str" cm="1">
        <f t="array" ref="E3010">_xlfn.IFNA(_xlfn.XLOOKUP(1,([1]!hcahps[Facility ID] = clean[[#This Row],[Facility ID]]) * ([1]!hcahps[HCAHPS Measure ID] = "H_HSP_RATING_LINEAR_SCORE"), [1]!hcahps[HCAHPS Linear Mean Value]), "No Match")</f>
        <v>Not Available</v>
      </c>
      <c r="F3010" cm="1">
        <f t="array" ref="F3010">_xlfn.IFNA(_xlfn.XLOOKUP(1,([1]!readmissions[Facility ID] = clean[[#This Row],[Facility ID]]) * ([1]!readmissions[Measure ID] = "Hybrid_HWR"), [1]!readmissions[Score]), "No Match")</f>
        <v>15.1</v>
      </c>
    </row>
    <row r="3011" spans="1:6" x14ac:dyDescent="0.2">
      <c r="A3011">
        <f>[1]!hospitalinfo[[#This Row],[Facility ID]]</f>
        <v>341318</v>
      </c>
      <c r="B3011" t="str">
        <f>[1]!hospitalinfo[[#This Row],[State]]</f>
        <v>NC</v>
      </c>
      <c r="C3011" t="str">
        <f>[1]!hospitalinfo[[#This Row],[Hospital Type]]</f>
        <v>Critical Access Hospitals</v>
      </c>
      <c r="D3011" t="str">
        <f>[1]!hospitalinfo[[#This Row],[Hospital Ownership]]</f>
        <v>Government - Local</v>
      </c>
      <c r="E3011" cm="1">
        <f t="array" ref="E3011">_xlfn.IFNA(_xlfn.XLOOKUP(1,([1]!hcahps[Facility ID] = clean[[#This Row],[Facility ID]]) * ([1]!hcahps[HCAHPS Measure ID] = "H_HSP_RATING_LINEAR_SCORE"), [1]!hcahps[HCAHPS Linear Mean Value]), "No Match")</f>
        <v>92</v>
      </c>
      <c r="F3011" cm="1">
        <f t="array" ref="F3011">_xlfn.IFNA(_xlfn.XLOOKUP(1,([1]!readmissions[Facility ID] = clean[[#This Row],[Facility ID]]) * ([1]!readmissions[Measure ID] = "Hybrid_HWR"), [1]!readmissions[Score]), "No Match")</f>
        <v>14.5</v>
      </c>
    </row>
    <row r="3012" spans="1:6" x14ac:dyDescent="0.2">
      <c r="A3012">
        <f>[1]!hospitalinfo[[#This Row],[Facility ID]]</f>
        <v>341319</v>
      </c>
      <c r="B3012" t="str">
        <f>[1]!hospitalinfo[[#This Row],[State]]</f>
        <v>NC</v>
      </c>
      <c r="C3012" t="str">
        <f>[1]!hospitalinfo[[#This Row],[Hospital Type]]</f>
        <v>Critical Access Hospitals</v>
      </c>
      <c r="D3012" t="str">
        <f>[1]!hospitalinfo[[#This Row],[Hospital Ownership]]</f>
        <v>Voluntary non-profit - Private</v>
      </c>
      <c r="E3012" cm="1">
        <f t="array" ref="E3012">_xlfn.IFNA(_xlfn.XLOOKUP(1,([1]!hcahps[Facility ID] = clean[[#This Row],[Facility ID]]) * ([1]!hcahps[HCAHPS Measure ID] = "H_HSP_RATING_LINEAR_SCORE"), [1]!hcahps[HCAHPS Linear Mean Value]), "No Match")</f>
        <v>89</v>
      </c>
      <c r="F3012" cm="1">
        <f t="array" ref="F3012">_xlfn.IFNA(_xlfn.XLOOKUP(1,([1]!readmissions[Facility ID] = clean[[#This Row],[Facility ID]]) * ([1]!readmissions[Measure ID] = "Hybrid_HWR"), [1]!readmissions[Score]), "No Match")</f>
        <v>16.8</v>
      </c>
    </row>
    <row r="3013" spans="1:6" x14ac:dyDescent="0.2">
      <c r="A3013">
        <f>[1]!hospitalinfo[[#This Row],[Facility ID]]</f>
        <v>341320</v>
      </c>
      <c r="B3013" t="str">
        <f>[1]!hospitalinfo[[#This Row],[State]]</f>
        <v>NC</v>
      </c>
      <c r="C3013" t="str">
        <f>[1]!hospitalinfo[[#This Row],[Hospital Type]]</f>
        <v>Critical Access Hospitals</v>
      </c>
      <c r="D3013" t="str">
        <f>[1]!hospitalinfo[[#This Row],[Hospital Ownership]]</f>
        <v>Voluntary non-profit - Private</v>
      </c>
      <c r="E3013" t="str" cm="1">
        <f t="array" ref="E3013">_xlfn.IFNA(_xlfn.XLOOKUP(1,([1]!hcahps[Facility ID] = clean[[#This Row],[Facility ID]]) * ([1]!hcahps[HCAHPS Measure ID] = "H_HSP_RATING_LINEAR_SCORE"), [1]!hcahps[HCAHPS Linear Mean Value]), "No Match")</f>
        <v>Not Available</v>
      </c>
      <c r="F3013" cm="1">
        <f t="array" ref="F3013">_xlfn.IFNA(_xlfn.XLOOKUP(1,([1]!readmissions[Facility ID] = clean[[#This Row],[Facility ID]]) * ([1]!readmissions[Measure ID] = "Hybrid_HWR"), [1]!readmissions[Score]), "No Match")</f>
        <v>14.6</v>
      </c>
    </row>
    <row r="3014" spans="1:6" x14ac:dyDescent="0.2">
      <c r="A3014">
        <f>[1]!hospitalinfo[[#This Row],[Facility ID]]</f>
        <v>341322</v>
      </c>
      <c r="B3014" t="str">
        <f>[1]!hospitalinfo[[#This Row],[State]]</f>
        <v>NC</v>
      </c>
      <c r="C3014" t="str">
        <f>[1]!hospitalinfo[[#This Row],[Hospital Type]]</f>
        <v>Critical Access Hospitals</v>
      </c>
      <c r="D3014" t="str">
        <f>[1]!hospitalinfo[[#This Row],[Hospital Ownership]]</f>
        <v>Voluntary non-profit - Private</v>
      </c>
      <c r="E3014" cm="1">
        <f t="array" ref="E3014">_xlfn.IFNA(_xlfn.XLOOKUP(1,([1]!hcahps[Facility ID] = clean[[#This Row],[Facility ID]]) * ([1]!hcahps[HCAHPS Measure ID] = "H_HSP_RATING_LINEAR_SCORE"), [1]!hcahps[HCAHPS Linear Mean Value]), "No Match")</f>
        <v>87</v>
      </c>
      <c r="F3014" cm="1">
        <f t="array" ref="F3014">_xlfn.IFNA(_xlfn.XLOOKUP(1,([1]!readmissions[Facility ID] = clean[[#This Row],[Facility ID]]) * ([1]!readmissions[Measure ID] = "Hybrid_HWR"), [1]!readmissions[Score]), "No Match")</f>
        <v>14.6</v>
      </c>
    </row>
    <row r="3015" spans="1:6" x14ac:dyDescent="0.2">
      <c r="A3015">
        <f>[1]!hospitalinfo[[#This Row],[Facility ID]]</f>
        <v>341323</v>
      </c>
      <c r="B3015" t="str">
        <f>[1]!hospitalinfo[[#This Row],[State]]</f>
        <v>NC</v>
      </c>
      <c r="C3015" t="str">
        <f>[1]!hospitalinfo[[#This Row],[Hospital Type]]</f>
        <v>Critical Access Hospitals</v>
      </c>
      <c r="D3015" t="str">
        <f>[1]!hospitalinfo[[#This Row],[Hospital Ownership]]</f>
        <v>Voluntary non-profit - Private</v>
      </c>
      <c r="E3015" t="str" cm="1">
        <f t="array" ref="E3015">_xlfn.IFNA(_xlfn.XLOOKUP(1,([1]!hcahps[Facility ID] = clean[[#This Row],[Facility ID]]) * ([1]!hcahps[HCAHPS Measure ID] = "H_HSP_RATING_LINEAR_SCORE"), [1]!hcahps[HCAHPS Linear Mean Value]), "No Match")</f>
        <v>Not Available</v>
      </c>
      <c r="F3015" cm="1">
        <f t="array" ref="F3015">_xlfn.IFNA(_xlfn.XLOOKUP(1,([1]!readmissions[Facility ID] = clean[[#This Row],[Facility ID]]) * ([1]!readmissions[Measure ID] = "Hybrid_HWR"), [1]!readmissions[Score]), "No Match")</f>
        <v>15.1</v>
      </c>
    </row>
    <row r="3016" spans="1:6" x14ac:dyDescent="0.2">
      <c r="A3016">
        <f>[1]!hospitalinfo[[#This Row],[Facility ID]]</f>
        <v>341324</v>
      </c>
      <c r="B3016" t="str">
        <f>[1]!hospitalinfo[[#This Row],[State]]</f>
        <v>NC</v>
      </c>
      <c r="C3016" t="str">
        <f>[1]!hospitalinfo[[#This Row],[Hospital Type]]</f>
        <v>Critical Access Hospitals</v>
      </c>
      <c r="D3016" t="str">
        <f>[1]!hospitalinfo[[#This Row],[Hospital Ownership]]</f>
        <v>Voluntary non-profit - Private</v>
      </c>
      <c r="E3016" cm="1">
        <f t="array" ref="E3016">_xlfn.IFNA(_xlfn.XLOOKUP(1,([1]!hcahps[Facility ID] = clean[[#This Row],[Facility ID]]) * ([1]!hcahps[HCAHPS Measure ID] = "H_HSP_RATING_LINEAR_SCORE"), [1]!hcahps[HCAHPS Linear Mean Value]), "No Match")</f>
        <v>91</v>
      </c>
      <c r="F3016" cm="1">
        <f t="array" ref="F3016">_xlfn.IFNA(_xlfn.XLOOKUP(1,([1]!readmissions[Facility ID] = clean[[#This Row],[Facility ID]]) * ([1]!readmissions[Measure ID] = "Hybrid_HWR"), [1]!readmissions[Score]), "No Match")</f>
        <v>15.3</v>
      </c>
    </row>
    <row r="3017" spans="1:6" x14ac:dyDescent="0.2">
      <c r="A3017">
        <f>[1]!hospitalinfo[[#This Row],[Facility ID]]</f>
        <v>341325</v>
      </c>
      <c r="B3017" t="str">
        <f>[1]!hospitalinfo[[#This Row],[State]]</f>
        <v>NC</v>
      </c>
      <c r="C3017" t="str">
        <f>[1]!hospitalinfo[[#This Row],[Hospital Type]]</f>
        <v>Critical Access Hospitals</v>
      </c>
      <c r="D3017" t="str">
        <f>[1]!hospitalinfo[[#This Row],[Hospital Ownership]]</f>
        <v>Voluntary non-profit - Private</v>
      </c>
      <c r="E3017" t="str" cm="1">
        <f t="array" ref="E3017">_xlfn.IFNA(_xlfn.XLOOKUP(1,([1]!hcahps[Facility ID] = clean[[#This Row],[Facility ID]]) * ([1]!hcahps[HCAHPS Measure ID] = "H_HSP_RATING_LINEAR_SCORE"), [1]!hcahps[HCAHPS Linear Mean Value]), "No Match")</f>
        <v>Not Available</v>
      </c>
      <c r="F3017" cm="1">
        <f t="array" ref="F3017">_xlfn.IFNA(_xlfn.XLOOKUP(1,([1]!readmissions[Facility ID] = clean[[#This Row],[Facility ID]]) * ([1]!readmissions[Measure ID] = "Hybrid_HWR"), [1]!readmissions[Score]), "No Match")</f>
        <v>15.5</v>
      </c>
    </row>
    <row r="3018" spans="1:6" x14ac:dyDescent="0.2">
      <c r="A3018">
        <f>[1]!hospitalinfo[[#This Row],[Facility ID]]</f>
        <v>341326</v>
      </c>
      <c r="B3018" t="str">
        <f>[1]!hospitalinfo[[#This Row],[State]]</f>
        <v>NC</v>
      </c>
      <c r="C3018" t="str">
        <f>[1]!hospitalinfo[[#This Row],[Hospital Type]]</f>
        <v>Critical Access Hospitals</v>
      </c>
      <c r="D3018" t="str">
        <f>[1]!hospitalinfo[[#This Row],[Hospital Ownership]]</f>
        <v>Voluntary non-profit - Private</v>
      </c>
      <c r="E3018" cm="1">
        <f t="array" ref="E3018">_xlfn.IFNA(_xlfn.XLOOKUP(1,([1]!hcahps[Facility ID] = clean[[#This Row],[Facility ID]]) * ([1]!hcahps[HCAHPS Measure ID] = "H_HSP_RATING_LINEAR_SCORE"), [1]!hcahps[HCAHPS Linear Mean Value]), "No Match")</f>
        <v>89</v>
      </c>
      <c r="F3018" cm="1">
        <f t="array" ref="F3018">_xlfn.IFNA(_xlfn.XLOOKUP(1,([1]!readmissions[Facility ID] = clean[[#This Row],[Facility ID]]) * ([1]!readmissions[Measure ID] = "Hybrid_HWR"), [1]!readmissions[Score]), "No Match")</f>
        <v>15.7</v>
      </c>
    </row>
    <row r="3019" spans="1:6" x14ac:dyDescent="0.2">
      <c r="A3019">
        <f>[1]!hospitalinfo[[#This Row],[Facility ID]]</f>
        <v>341327</v>
      </c>
      <c r="B3019" t="str">
        <f>[1]!hospitalinfo[[#This Row],[State]]</f>
        <v>NC</v>
      </c>
      <c r="C3019" t="str">
        <f>[1]!hospitalinfo[[#This Row],[Hospital Type]]</f>
        <v>Critical Access Hospitals</v>
      </c>
      <c r="D3019" t="str">
        <f>[1]!hospitalinfo[[#This Row],[Hospital Ownership]]</f>
        <v>Voluntary non-profit - Other</v>
      </c>
      <c r="E3019" cm="1">
        <f t="array" ref="E3019">_xlfn.IFNA(_xlfn.XLOOKUP(1,([1]!hcahps[Facility ID] = clean[[#This Row],[Facility ID]]) * ([1]!hcahps[HCAHPS Measure ID] = "H_HSP_RATING_LINEAR_SCORE"), [1]!hcahps[HCAHPS Linear Mean Value]), "No Match")</f>
        <v>93</v>
      </c>
      <c r="F3019" cm="1">
        <f t="array" ref="F3019">_xlfn.IFNA(_xlfn.XLOOKUP(1,([1]!readmissions[Facility ID] = clean[[#This Row],[Facility ID]]) * ([1]!readmissions[Measure ID] = "Hybrid_HWR"), [1]!readmissions[Score]), "No Match")</f>
        <v>14.7</v>
      </c>
    </row>
    <row r="3020" spans="1:6" x14ac:dyDescent="0.2">
      <c r="A3020">
        <f>[1]!hospitalinfo[[#This Row],[Facility ID]]</f>
        <v>341328</v>
      </c>
      <c r="B3020" t="str">
        <f>[1]!hospitalinfo[[#This Row],[State]]</f>
        <v>NC</v>
      </c>
      <c r="C3020" t="str">
        <f>[1]!hospitalinfo[[#This Row],[Hospital Type]]</f>
        <v>Critical Access Hospitals</v>
      </c>
      <c r="D3020" t="str">
        <f>[1]!hospitalinfo[[#This Row],[Hospital Ownership]]</f>
        <v>Voluntary non-profit - Private</v>
      </c>
      <c r="E3020" cm="1">
        <f t="array" ref="E3020">_xlfn.IFNA(_xlfn.XLOOKUP(1,([1]!hcahps[Facility ID] = clean[[#This Row],[Facility ID]]) * ([1]!hcahps[HCAHPS Measure ID] = "H_HSP_RATING_LINEAR_SCORE"), [1]!hcahps[HCAHPS Linear Mean Value]), "No Match")</f>
        <v>92</v>
      </c>
      <c r="F3020" cm="1">
        <f t="array" ref="F3020">_xlfn.IFNA(_xlfn.XLOOKUP(1,([1]!readmissions[Facility ID] = clean[[#This Row],[Facility ID]]) * ([1]!readmissions[Measure ID] = "Hybrid_HWR"), [1]!readmissions[Score]), "No Match")</f>
        <v>14.7</v>
      </c>
    </row>
    <row r="3021" spans="1:6" x14ac:dyDescent="0.2">
      <c r="A3021">
        <f>[1]!hospitalinfo[[#This Row],[Facility ID]]</f>
        <v>341329</v>
      </c>
      <c r="B3021" t="str">
        <f>[1]!hospitalinfo[[#This Row],[State]]</f>
        <v>NC</v>
      </c>
      <c r="C3021" t="str">
        <f>[1]!hospitalinfo[[#This Row],[Hospital Type]]</f>
        <v>Critical Access Hospitals</v>
      </c>
      <c r="D3021" t="str">
        <f>[1]!hospitalinfo[[#This Row],[Hospital Ownership]]</f>
        <v>Voluntary non-profit - Private</v>
      </c>
      <c r="E3021" cm="1">
        <f t="array" ref="E3021">_xlfn.IFNA(_xlfn.XLOOKUP(1,([1]!hcahps[Facility ID] = clean[[#This Row],[Facility ID]]) * ([1]!hcahps[HCAHPS Measure ID] = "H_HSP_RATING_LINEAR_SCORE"), [1]!hcahps[HCAHPS Linear Mean Value]), "No Match")</f>
        <v>88</v>
      </c>
      <c r="F3021" cm="1">
        <f t="array" ref="F3021">_xlfn.IFNA(_xlfn.XLOOKUP(1,([1]!readmissions[Facility ID] = clean[[#This Row],[Facility ID]]) * ([1]!readmissions[Measure ID] = "Hybrid_HWR"), [1]!readmissions[Score]), "No Match")</f>
        <v>14.9</v>
      </c>
    </row>
    <row r="3022" spans="1:6" x14ac:dyDescent="0.2">
      <c r="A3022">
        <f>[1]!hospitalinfo[[#This Row],[Facility ID]]</f>
        <v>344004</v>
      </c>
      <c r="B3022" t="str">
        <f>[1]!hospitalinfo[[#This Row],[State]]</f>
        <v>NC</v>
      </c>
      <c r="C3022" t="str">
        <f>[1]!hospitalinfo[[#This Row],[Hospital Type]]</f>
        <v>Psychiatric</v>
      </c>
      <c r="D3022" t="str">
        <f>[1]!hospitalinfo[[#This Row],[Hospital Ownership]]</f>
        <v>Voluntary non-profit - Church</v>
      </c>
      <c r="E3022" t="str" cm="1">
        <f t="array" ref="E3022">_xlfn.IFNA(_xlfn.XLOOKUP(1,([1]!hcahps[Facility ID] = clean[[#This Row],[Facility ID]]) * ([1]!hcahps[HCAHPS Measure ID] = "H_HSP_RATING_LINEAR_SCORE"), [1]!hcahps[HCAHPS Linear Mean Value]), "No Match")</f>
        <v>No Match</v>
      </c>
      <c r="F3022" t="str" cm="1">
        <f t="array" ref="F3022">_xlfn.IFNA(_xlfn.XLOOKUP(1,([1]!readmissions[Facility ID] = clean[[#This Row],[Facility ID]]) * ([1]!readmissions[Measure ID] = "Hybrid_HWR"), [1]!readmissions[Score]), "No Match")</f>
        <v>No Match</v>
      </c>
    </row>
    <row r="3023" spans="1:6" x14ac:dyDescent="0.2">
      <c r="A3023">
        <f>[1]!hospitalinfo[[#This Row],[Facility ID]]</f>
        <v>344007</v>
      </c>
      <c r="B3023" t="str">
        <f>[1]!hospitalinfo[[#This Row],[State]]</f>
        <v>NC</v>
      </c>
      <c r="C3023" t="str">
        <f>[1]!hospitalinfo[[#This Row],[Hospital Type]]</f>
        <v>Psychiatric</v>
      </c>
      <c r="D3023" t="str">
        <f>[1]!hospitalinfo[[#This Row],[Hospital Ownership]]</f>
        <v>Proprietary</v>
      </c>
      <c r="E3023" t="str" cm="1">
        <f t="array" ref="E3023">_xlfn.IFNA(_xlfn.XLOOKUP(1,([1]!hcahps[Facility ID] = clean[[#This Row],[Facility ID]]) * ([1]!hcahps[HCAHPS Measure ID] = "H_HSP_RATING_LINEAR_SCORE"), [1]!hcahps[HCAHPS Linear Mean Value]), "No Match")</f>
        <v>No Match</v>
      </c>
      <c r="F3023" t="str" cm="1">
        <f t="array" ref="F3023">_xlfn.IFNA(_xlfn.XLOOKUP(1,([1]!readmissions[Facility ID] = clean[[#This Row],[Facility ID]]) * ([1]!readmissions[Measure ID] = "Hybrid_HWR"), [1]!readmissions[Score]), "No Match")</f>
        <v>No Match</v>
      </c>
    </row>
    <row r="3024" spans="1:6" x14ac:dyDescent="0.2">
      <c r="A3024">
        <f>[1]!hospitalinfo[[#This Row],[Facility ID]]</f>
        <v>344014</v>
      </c>
      <c r="B3024" t="str">
        <f>[1]!hospitalinfo[[#This Row],[State]]</f>
        <v>NC</v>
      </c>
      <c r="C3024" t="str">
        <f>[1]!hospitalinfo[[#This Row],[Hospital Type]]</f>
        <v>Psychiatric</v>
      </c>
      <c r="D3024" t="str">
        <f>[1]!hospitalinfo[[#This Row],[Hospital Ownership]]</f>
        <v>Proprietary</v>
      </c>
      <c r="E3024" t="str" cm="1">
        <f t="array" ref="E3024">_xlfn.IFNA(_xlfn.XLOOKUP(1,([1]!hcahps[Facility ID] = clean[[#This Row],[Facility ID]]) * ([1]!hcahps[HCAHPS Measure ID] = "H_HSP_RATING_LINEAR_SCORE"), [1]!hcahps[HCAHPS Linear Mean Value]), "No Match")</f>
        <v>No Match</v>
      </c>
      <c r="F3024" t="str" cm="1">
        <f t="array" ref="F3024">_xlfn.IFNA(_xlfn.XLOOKUP(1,([1]!readmissions[Facility ID] = clean[[#This Row],[Facility ID]]) * ([1]!readmissions[Measure ID] = "Hybrid_HWR"), [1]!readmissions[Score]), "No Match")</f>
        <v>No Match</v>
      </c>
    </row>
    <row r="3025" spans="1:6" x14ac:dyDescent="0.2">
      <c r="A3025">
        <f>[1]!hospitalinfo[[#This Row],[Facility ID]]</f>
        <v>344016</v>
      </c>
      <c r="B3025" t="str">
        <f>[1]!hospitalinfo[[#This Row],[State]]</f>
        <v>NC</v>
      </c>
      <c r="C3025" t="str">
        <f>[1]!hospitalinfo[[#This Row],[Hospital Type]]</f>
        <v>Psychiatric</v>
      </c>
      <c r="D3025" t="str">
        <f>[1]!hospitalinfo[[#This Row],[Hospital Ownership]]</f>
        <v>Government - Federal</v>
      </c>
      <c r="E3025" t="str" cm="1">
        <f t="array" ref="E3025">_xlfn.IFNA(_xlfn.XLOOKUP(1,([1]!hcahps[Facility ID] = clean[[#This Row],[Facility ID]]) * ([1]!hcahps[HCAHPS Measure ID] = "H_HSP_RATING_LINEAR_SCORE"), [1]!hcahps[HCAHPS Linear Mean Value]), "No Match")</f>
        <v>No Match</v>
      </c>
      <c r="F3025" t="str" cm="1">
        <f t="array" ref="F3025">_xlfn.IFNA(_xlfn.XLOOKUP(1,([1]!readmissions[Facility ID] = clean[[#This Row],[Facility ID]]) * ([1]!readmissions[Measure ID] = "Hybrid_HWR"), [1]!readmissions[Score]), "No Match")</f>
        <v>No Match</v>
      </c>
    </row>
    <row r="3026" spans="1:6" x14ac:dyDescent="0.2">
      <c r="A3026">
        <f>[1]!hospitalinfo[[#This Row],[Facility ID]]</f>
        <v>344023</v>
      </c>
      <c r="B3026" t="str">
        <f>[1]!hospitalinfo[[#This Row],[State]]</f>
        <v>NC</v>
      </c>
      <c r="C3026" t="str">
        <f>[1]!hospitalinfo[[#This Row],[Hospital Type]]</f>
        <v>Psychiatric</v>
      </c>
      <c r="D3026" t="str">
        <f>[1]!hospitalinfo[[#This Row],[Hospital Ownership]]</f>
        <v>Government - State</v>
      </c>
      <c r="E3026" t="str" cm="1">
        <f t="array" ref="E3026">_xlfn.IFNA(_xlfn.XLOOKUP(1,([1]!hcahps[Facility ID] = clean[[#This Row],[Facility ID]]) * ([1]!hcahps[HCAHPS Measure ID] = "H_HSP_RATING_LINEAR_SCORE"), [1]!hcahps[HCAHPS Linear Mean Value]), "No Match")</f>
        <v>No Match</v>
      </c>
      <c r="F3026" t="str" cm="1">
        <f t="array" ref="F3026">_xlfn.IFNA(_xlfn.XLOOKUP(1,([1]!readmissions[Facility ID] = clean[[#This Row],[Facility ID]]) * ([1]!readmissions[Measure ID] = "Hybrid_HWR"), [1]!readmissions[Score]), "No Match")</f>
        <v>No Match</v>
      </c>
    </row>
    <row r="3027" spans="1:6" x14ac:dyDescent="0.2">
      <c r="A3027">
        <f>[1]!hospitalinfo[[#This Row],[Facility ID]]</f>
        <v>344025</v>
      </c>
      <c r="B3027" t="str">
        <f>[1]!hospitalinfo[[#This Row],[State]]</f>
        <v>NC</v>
      </c>
      <c r="C3027" t="str">
        <f>[1]!hospitalinfo[[#This Row],[Hospital Type]]</f>
        <v>Psychiatric</v>
      </c>
      <c r="D3027" t="str">
        <f>[1]!hospitalinfo[[#This Row],[Hospital Ownership]]</f>
        <v>Government - State</v>
      </c>
      <c r="E3027" t="str" cm="1">
        <f t="array" ref="E3027">_xlfn.IFNA(_xlfn.XLOOKUP(1,([1]!hcahps[Facility ID] = clean[[#This Row],[Facility ID]]) * ([1]!hcahps[HCAHPS Measure ID] = "H_HSP_RATING_LINEAR_SCORE"), [1]!hcahps[HCAHPS Linear Mean Value]), "No Match")</f>
        <v>No Match</v>
      </c>
      <c r="F3027" t="str" cm="1">
        <f t="array" ref="F3027">_xlfn.IFNA(_xlfn.XLOOKUP(1,([1]!readmissions[Facility ID] = clean[[#This Row],[Facility ID]]) * ([1]!readmissions[Measure ID] = "Hybrid_HWR"), [1]!readmissions[Score]), "No Match")</f>
        <v>No Match</v>
      </c>
    </row>
    <row r="3028" spans="1:6" x14ac:dyDescent="0.2">
      <c r="A3028">
        <f>[1]!hospitalinfo[[#This Row],[Facility ID]]</f>
        <v>344026</v>
      </c>
      <c r="B3028" t="str">
        <f>[1]!hospitalinfo[[#This Row],[State]]</f>
        <v>NC</v>
      </c>
      <c r="C3028" t="str">
        <f>[1]!hospitalinfo[[#This Row],[Hospital Type]]</f>
        <v>Psychiatric</v>
      </c>
      <c r="D3028" t="str">
        <f>[1]!hospitalinfo[[#This Row],[Hospital Ownership]]</f>
        <v>Government - State</v>
      </c>
      <c r="E3028" t="str" cm="1">
        <f t="array" ref="E3028">_xlfn.IFNA(_xlfn.XLOOKUP(1,([1]!hcahps[Facility ID] = clean[[#This Row],[Facility ID]]) * ([1]!hcahps[HCAHPS Measure ID] = "H_HSP_RATING_LINEAR_SCORE"), [1]!hcahps[HCAHPS Linear Mean Value]), "No Match")</f>
        <v>No Match</v>
      </c>
      <c r="F3028" t="str" cm="1">
        <f t="array" ref="F3028">_xlfn.IFNA(_xlfn.XLOOKUP(1,([1]!readmissions[Facility ID] = clean[[#This Row],[Facility ID]]) * ([1]!readmissions[Measure ID] = "Hybrid_HWR"), [1]!readmissions[Score]), "No Match")</f>
        <v>No Match</v>
      </c>
    </row>
    <row r="3029" spans="1:6" x14ac:dyDescent="0.2">
      <c r="A3029">
        <f>[1]!hospitalinfo[[#This Row],[Facility ID]]</f>
        <v>344029</v>
      </c>
      <c r="B3029" t="str">
        <f>[1]!hospitalinfo[[#This Row],[State]]</f>
        <v>NC</v>
      </c>
      <c r="C3029" t="str">
        <f>[1]!hospitalinfo[[#This Row],[Hospital Type]]</f>
        <v>Psychiatric</v>
      </c>
      <c r="D3029" t="str">
        <f>[1]!hospitalinfo[[#This Row],[Hospital Ownership]]</f>
        <v>Voluntary non-profit - Private</v>
      </c>
      <c r="E3029" t="str" cm="1">
        <f t="array" ref="E3029">_xlfn.IFNA(_xlfn.XLOOKUP(1,([1]!hcahps[Facility ID] = clean[[#This Row],[Facility ID]]) * ([1]!hcahps[HCAHPS Measure ID] = "H_HSP_RATING_LINEAR_SCORE"), [1]!hcahps[HCAHPS Linear Mean Value]), "No Match")</f>
        <v>No Match</v>
      </c>
      <c r="F3029" t="str" cm="1">
        <f t="array" ref="F3029">_xlfn.IFNA(_xlfn.XLOOKUP(1,([1]!readmissions[Facility ID] = clean[[#This Row],[Facility ID]]) * ([1]!readmissions[Measure ID] = "Hybrid_HWR"), [1]!readmissions[Score]), "No Match")</f>
        <v>No Match</v>
      </c>
    </row>
    <row r="3030" spans="1:6" x14ac:dyDescent="0.2">
      <c r="A3030">
        <f>[1]!hospitalinfo[[#This Row],[Facility ID]]</f>
        <v>344030</v>
      </c>
      <c r="B3030" t="str">
        <f>[1]!hospitalinfo[[#This Row],[State]]</f>
        <v>NC</v>
      </c>
      <c r="C3030" t="str">
        <f>[1]!hospitalinfo[[#This Row],[Hospital Type]]</f>
        <v>Psychiatric</v>
      </c>
      <c r="D3030" t="str">
        <f>[1]!hospitalinfo[[#This Row],[Hospital Ownership]]</f>
        <v>Proprietary</v>
      </c>
      <c r="E3030" t="str" cm="1">
        <f t="array" ref="E3030">_xlfn.IFNA(_xlfn.XLOOKUP(1,([1]!hcahps[Facility ID] = clean[[#This Row],[Facility ID]]) * ([1]!hcahps[HCAHPS Measure ID] = "H_HSP_RATING_LINEAR_SCORE"), [1]!hcahps[HCAHPS Linear Mean Value]), "No Match")</f>
        <v>No Match</v>
      </c>
      <c r="F3030" t="str" cm="1">
        <f t="array" ref="F3030">_xlfn.IFNA(_xlfn.XLOOKUP(1,([1]!readmissions[Facility ID] = clean[[#This Row],[Facility ID]]) * ([1]!readmissions[Measure ID] = "Hybrid_HWR"), [1]!readmissions[Score]), "No Match")</f>
        <v>No Match</v>
      </c>
    </row>
    <row r="3031" spans="1:6" x14ac:dyDescent="0.2">
      <c r="A3031">
        <f>[1]!hospitalinfo[[#This Row],[Facility ID]]</f>
        <v>344032</v>
      </c>
      <c r="B3031" t="str">
        <f>[1]!hospitalinfo[[#This Row],[State]]</f>
        <v>NC</v>
      </c>
      <c r="C3031" t="str">
        <f>[1]!hospitalinfo[[#This Row],[Hospital Type]]</f>
        <v>Psychiatric</v>
      </c>
      <c r="D3031" t="str">
        <f>[1]!hospitalinfo[[#This Row],[Hospital Ownership]]</f>
        <v>Proprietary</v>
      </c>
      <c r="E3031" t="str" cm="1">
        <f t="array" ref="E3031">_xlfn.IFNA(_xlfn.XLOOKUP(1,([1]!hcahps[Facility ID] = clean[[#This Row],[Facility ID]]) * ([1]!hcahps[HCAHPS Measure ID] = "H_HSP_RATING_LINEAR_SCORE"), [1]!hcahps[HCAHPS Linear Mean Value]), "No Match")</f>
        <v>No Match</v>
      </c>
      <c r="F3031" t="str" cm="1">
        <f t="array" ref="F3031">_xlfn.IFNA(_xlfn.XLOOKUP(1,([1]!readmissions[Facility ID] = clean[[#This Row],[Facility ID]]) * ([1]!readmissions[Measure ID] = "Hybrid_HWR"), [1]!readmissions[Score]), "No Match")</f>
        <v>No Match</v>
      </c>
    </row>
    <row r="3032" spans="1:6" x14ac:dyDescent="0.2">
      <c r="A3032">
        <f>[1]!hospitalinfo[[#This Row],[Facility ID]]</f>
        <v>344033</v>
      </c>
      <c r="B3032" t="str">
        <f>[1]!hospitalinfo[[#This Row],[State]]</f>
        <v>NC</v>
      </c>
      <c r="C3032" t="str">
        <f>[1]!hospitalinfo[[#This Row],[Hospital Type]]</f>
        <v>Psychiatric</v>
      </c>
      <c r="D3032" t="str">
        <f>[1]!hospitalinfo[[#This Row],[Hospital Ownership]]</f>
        <v>Government - State</v>
      </c>
      <c r="E3032" t="str" cm="1">
        <f t="array" ref="E3032">_xlfn.IFNA(_xlfn.XLOOKUP(1,([1]!hcahps[Facility ID] = clean[[#This Row],[Facility ID]]) * ([1]!hcahps[HCAHPS Measure ID] = "H_HSP_RATING_LINEAR_SCORE"), [1]!hcahps[HCAHPS Linear Mean Value]), "No Match")</f>
        <v>No Match</v>
      </c>
      <c r="F3032" t="str" cm="1">
        <f t="array" ref="F3032">_xlfn.IFNA(_xlfn.XLOOKUP(1,([1]!readmissions[Facility ID] = clean[[#This Row],[Facility ID]]) * ([1]!readmissions[Measure ID] = "Hybrid_HWR"), [1]!readmissions[Score]), "No Match")</f>
        <v>No Match</v>
      </c>
    </row>
    <row r="3033" spans="1:6" x14ac:dyDescent="0.2">
      <c r="A3033">
        <f>[1]!hospitalinfo[[#This Row],[Facility ID]]</f>
        <v>344034</v>
      </c>
      <c r="B3033" t="str">
        <f>[1]!hospitalinfo[[#This Row],[State]]</f>
        <v>NC</v>
      </c>
      <c r="C3033" t="str">
        <f>[1]!hospitalinfo[[#This Row],[Hospital Type]]</f>
        <v>Psychiatric</v>
      </c>
      <c r="D3033" t="str">
        <f>[1]!hospitalinfo[[#This Row],[Hospital Ownership]]</f>
        <v>Voluntary non-profit - Private</v>
      </c>
      <c r="E3033" t="str" cm="1">
        <f t="array" ref="E3033">_xlfn.IFNA(_xlfn.XLOOKUP(1,([1]!hcahps[Facility ID] = clean[[#This Row],[Facility ID]]) * ([1]!hcahps[HCAHPS Measure ID] = "H_HSP_RATING_LINEAR_SCORE"), [1]!hcahps[HCAHPS Linear Mean Value]), "No Match")</f>
        <v>No Match</v>
      </c>
      <c r="F3033" t="str" cm="1">
        <f t="array" ref="F3033">_xlfn.IFNA(_xlfn.XLOOKUP(1,([1]!readmissions[Facility ID] = clean[[#This Row],[Facility ID]]) * ([1]!readmissions[Measure ID] = "Hybrid_HWR"), [1]!readmissions[Score]), "No Match")</f>
        <v>No Match</v>
      </c>
    </row>
    <row r="3034" spans="1:6" x14ac:dyDescent="0.2">
      <c r="A3034">
        <f>[1]!hospitalinfo[[#This Row],[Facility ID]]</f>
        <v>344035</v>
      </c>
      <c r="B3034" t="str">
        <f>[1]!hospitalinfo[[#This Row],[State]]</f>
        <v>NC</v>
      </c>
      <c r="C3034" t="str">
        <f>[1]!hospitalinfo[[#This Row],[Hospital Type]]</f>
        <v>Psychiatric</v>
      </c>
      <c r="D3034" t="str">
        <f>[1]!hospitalinfo[[#This Row],[Hospital Ownership]]</f>
        <v>Proprietary</v>
      </c>
      <c r="E3034" t="str" cm="1">
        <f t="array" ref="E3034">_xlfn.IFNA(_xlfn.XLOOKUP(1,([1]!hcahps[Facility ID] = clean[[#This Row],[Facility ID]]) * ([1]!hcahps[HCAHPS Measure ID] = "H_HSP_RATING_LINEAR_SCORE"), [1]!hcahps[HCAHPS Linear Mean Value]), "No Match")</f>
        <v>No Match</v>
      </c>
      <c r="F3034" t="str" cm="1">
        <f t="array" ref="F3034">_xlfn.IFNA(_xlfn.XLOOKUP(1,([1]!readmissions[Facility ID] = clean[[#This Row],[Facility ID]]) * ([1]!readmissions[Measure ID] = "Hybrid_HWR"), [1]!readmissions[Score]), "No Match")</f>
        <v>No Match</v>
      </c>
    </row>
    <row r="3035" spans="1:6" x14ac:dyDescent="0.2">
      <c r="A3035">
        <f>[1]!hospitalinfo[[#This Row],[Facility ID]]</f>
        <v>344036</v>
      </c>
      <c r="B3035" t="str">
        <f>[1]!hospitalinfo[[#This Row],[State]]</f>
        <v>NC</v>
      </c>
      <c r="C3035" t="str">
        <f>[1]!hospitalinfo[[#This Row],[Hospital Type]]</f>
        <v>Psychiatric</v>
      </c>
      <c r="D3035" t="str">
        <f>[1]!hospitalinfo[[#This Row],[Hospital Ownership]]</f>
        <v>Proprietary</v>
      </c>
      <c r="E3035" t="str" cm="1">
        <f t="array" ref="E3035">_xlfn.IFNA(_xlfn.XLOOKUP(1,([1]!hcahps[Facility ID] = clean[[#This Row],[Facility ID]]) * ([1]!hcahps[HCAHPS Measure ID] = "H_HSP_RATING_LINEAR_SCORE"), [1]!hcahps[HCAHPS Linear Mean Value]), "No Match")</f>
        <v>No Match</v>
      </c>
      <c r="F3035" t="str" cm="1">
        <f t="array" ref="F3035">_xlfn.IFNA(_xlfn.XLOOKUP(1,([1]!readmissions[Facility ID] = clean[[#This Row],[Facility ID]]) * ([1]!readmissions[Measure ID] = "Hybrid_HWR"), [1]!readmissions[Score]), "No Match")</f>
        <v>No Match</v>
      </c>
    </row>
    <row r="3036" spans="1:6" x14ac:dyDescent="0.2">
      <c r="A3036" t="str">
        <f>[1]!hospitalinfo[[#This Row],[Facility ID]]</f>
        <v>34011F</v>
      </c>
      <c r="B3036" t="str">
        <f>[1]!hospitalinfo[[#This Row],[State]]</f>
        <v>NC</v>
      </c>
      <c r="C3036" t="str">
        <f>[1]!hospitalinfo[[#This Row],[Hospital Type]]</f>
        <v>Acute Care - Department of Defense</v>
      </c>
      <c r="D3036" t="str">
        <f>[1]!hospitalinfo[[#This Row],[Hospital Ownership]]</f>
        <v>Department of Defense</v>
      </c>
      <c r="E3036" cm="1">
        <f t="array" ref="E3036">_xlfn.IFNA(_xlfn.XLOOKUP(1,([1]!hcahps[Facility ID] = clean[[#This Row],[Facility ID]]) * ([1]!hcahps[HCAHPS Measure ID] = "H_HSP_RATING_LINEAR_SCORE"), [1]!hcahps[HCAHPS Linear Mean Value]), "No Match")</f>
        <v>90</v>
      </c>
      <c r="F3036" t="str" cm="1">
        <f t="array" ref="F3036">_xlfn.IFNA(_xlfn.XLOOKUP(1,([1]!readmissions[Facility ID] = clean[[#This Row],[Facility ID]]) * ([1]!readmissions[Measure ID] = "Hybrid_HWR"), [1]!readmissions[Score]), "No Match")</f>
        <v>Not Available</v>
      </c>
    </row>
    <row r="3037" spans="1:6" x14ac:dyDescent="0.2">
      <c r="A3037" t="str">
        <f>[1]!hospitalinfo[[#This Row],[Facility ID]]</f>
        <v>34012F</v>
      </c>
      <c r="B3037" t="str">
        <f>[1]!hospitalinfo[[#This Row],[State]]</f>
        <v>NC</v>
      </c>
      <c r="C3037" t="str">
        <f>[1]!hospitalinfo[[#This Row],[Hospital Type]]</f>
        <v>Acute Care - Veterans Administration</v>
      </c>
      <c r="D3037" t="str">
        <f>[1]!hospitalinfo[[#This Row],[Hospital Ownership]]</f>
        <v>Veterans Health Administration</v>
      </c>
      <c r="E3037" cm="1">
        <f t="array" ref="E3037">_xlfn.IFNA(_xlfn.XLOOKUP(1,([1]!hcahps[Facility ID] = clean[[#This Row],[Facility ID]]) * ([1]!hcahps[HCAHPS Measure ID] = "H_HSP_RATING_LINEAR_SCORE"), [1]!hcahps[HCAHPS Linear Mean Value]), "No Match")</f>
        <v>91</v>
      </c>
      <c r="F3037" cm="1">
        <f t="array" ref="F3037">_xlfn.IFNA(_xlfn.XLOOKUP(1,([1]!readmissions[Facility ID] = clean[[#This Row],[Facility ID]]) * ([1]!readmissions[Measure ID] = "Hybrid_HWR"), [1]!readmissions[Score]), "No Match")</f>
        <v>14.2</v>
      </c>
    </row>
    <row r="3038" spans="1:6" x14ac:dyDescent="0.2">
      <c r="A3038" t="str">
        <f>[1]!hospitalinfo[[#This Row],[Facility ID]]</f>
        <v>34013F</v>
      </c>
      <c r="B3038" t="str">
        <f>[1]!hospitalinfo[[#This Row],[State]]</f>
        <v>NC</v>
      </c>
      <c r="C3038" t="str">
        <f>[1]!hospitalinfo[[#This Row],[Hospital Type]]</f>
        <v>Acute Care - Veterans Administration</v>
      </c>
      <c r="D3038" t="str">
        <f>[1]!hospitalinfo[[#This Row],[Hospital Ownership]]</f>
        <v>Veterans Health Administration</v>
      </c>
      <c r="E3038" cm="1">
        <f t="array" ref="E3038">_xlfn.IFNA(_xlfn.XLOOKUP(1,([1]!hcahps[Facility ID] = clean[[#This Row],[Facility ID]]) * ([1]!hcahps[HCAHPS Measure ID] = "H_HSP_RATING_LINEAR_SCORE"), [1]!hcahps[HCAHPS Linear Mean Value]), "No Match")</f>
        <v>91</v>
      </c>
      <c r="F3038" cm="1">
        <f t="array" ref="F3038">_xlfn.IFNA(_xlfn.XLOOKUP(1,([1]!readmissions[Facility ID] = clean[[#This Row],[Facility ID]]) * ([1]!readmissions[Measure ID] = "Hybrid_HWR"), [1]!readmissions[Score]), "No Match")</f>
        <v>13.9</v>
      </c>
    </row>
    <row r="3039" spans="1:6" x14ac:dyDescent="0.2">
      <c r="A3039" t="str">
        <f>[1]!hospitalinfo[[#This Row],[Facility ID]]</f>
        <v>34014F</v>
      </c>
      <c r="B3039" t="str">
        <f>[1]!hospitalinfo[[#This Row],[State]]</f>
        <v>NC</v>
      </c>
      <c r="C3039" t="str">
        <f>[1]!hospitalinfo[[#This Row],[Hospital Type]]</f>
        <v>Acute Care - Department of Defense</v>
      </c>
      <c r="D3039" t="str">
        <f>[1]!hospitalinfo[[#This Row],[Hospital Ownership]]</f>
        <v>Department of Defense</v>
      </c>
      <c r="E3039" cm="1">
        <f t="array" ref="E3039">_xlfn.IFNA(_xlfn.XLOOKUP(1,([1]!hcahps[Facility ID] = clean[[#This Row],[Facility ID]]) * ([1]!hcahps[HCAHPS Measure ID] = "H_HSP_RATING_LINEAR_SCORE"), [1]!hcahps[HCAHPS Linear Mean Value]), "No Match")</f>
        <v>91</v>
      </c>
      <c r="F3039" t="str" cm="1">
        <f t="array" ref="F3039">_xlfn.IFNA(_xlfn.XLOOKUP(1,([1]!readmissions[Facility ID] = clean[[#This Row],[Facility ID]]) * ([1]!readmissions[Measure ID] = "Hybrid_HWR"), [1]!readmissions[Score]), "No Match")</f>
        <v>Not Available</v>
      </c>
    </row>
    <row r="3040" spans="1:6" x14ac:dyDescent="0.2">
      <c r="A3040" t="str">
        <f>[1]!hospitalinfo[[#This Row],[Facility ID]]</f>
        <v>34017F</v>
      </c>
      <c r="B3040" t="str">
        <f>[1]!hospitalinfo[[#This Row],[State]]</f>
        <v>NC</v>
      </c>
      <c r="C3040" t="str">
        <f>[1]!hospitalinfo[[#This Row],[Hospital Type]]</f>
        <v>Acute Care - Veterans Administration</v>
      </c>
      <c r="D3040" t="str">
        <f>[1]!hospitalinfo[[#This Row],[Hospital Ownership]]</f>
        <v>Veterans Health Administration</v>
      </c>
      <c r="E3040" cm="1">
        <f t="array" ref="E3040">_xlfn.IFNA(_xlfn.XLOOKUP(1,([1]!hcahps[Facility ID] = clean[[#This Row],[Facility ID]]) * ([1]!hcahps[HCAHPS Measure ID] = "H_HSP_RATING_LINEAR_SCORE"), [1]!hcahps[HCAHPS Linear Mean Value]), "No Match")</f>
        <v>91</v>
      </c>
      <c r="F3040" cm="1">
        <f t="array" ref="F3040">_xlfn.IFNA(_xlfn.XLOOKUP(1,([1]!readmissions[Facility ID] = clean[[#This Row],[Facility ID]]) * ([1]!readmissions[Measure ID] = "Hybrid_HWR"), [1]!readmissions[Score]), "No Match")</f>
        <v>12.8</v>
      </c>
    </row>
    <row r="3041" spans="1:6" x14ac:dyDescent="0.2">
      <c r="A3041" t="str">
        <f>[1]!hospitalinfo[[#This Row],[Facility ID]]</f>
        <v>34036F</v>
      </c>
      <c r="B3041" t="str">
        <f>[1]!hospitalinfo[[#This Row],[State]]</f>
        <v>NC</v>
      </c>
      <c r="C3041" t="str">
        <f>[1]!hospitalinfo[[#This Row],[Hospital Type]]</f>
        <v>Acute Care - Veterans Administration</v>
      </c>
      <c r="D3041" t="str">
        <f>[1]!hospitalinfo[[#This Row],[Hospital Ownership]]</f>
        <v>Veterans Health Administration</v>
      </c>
      <c r="E3041" cm="1">
        <f t="array" ref="E3041">_xlfn.IFNA(_xlfn.XLOOKUP(1,([1]!hcahps[Facility ID] = clean[[#This Row],[Facility ID]]) * ([1]!hcahps[HCAHPS Measure ID] = "H_HSP_RATING_LINEAR_SCORE"), [1]!hcahps[HCAHPS Linear Mean Value]), "No Match")</f>
        <v>96</v>
      </c>
      <c r="F3041" cm="1">
        <f t="array" ref="F3041">_xlfn.IFNA(_xlfn.XLOOKUP(1,([1]!readmissions[Facility ID] = clean[[#This Row],[Facility ID]]) * ([1]!readmissions[Measure ID] = "Hybrid_HWR"), [1]!readmissions[Score]), "No Match")</f>
        <v>14.1</v>
      </c>
    </row>
    <row r="3042" spans="1:6" x14ac:dyDescent="0.2">
      <c r="A3042">
        <f>[1]!hospitalinfo[[#This Row],[Facility ID]]</f>
        <v>350002</v>
      </c>
      <c r="B3042" t="str">
        <f>[1]!hospitalinfo[[#This Row],[State]]</f>
        <v>ND</v>
      </c>
      <c r="C3042" t="str">
        <f>[1]!hospitalinfo[[#This Row],[Hospital Type]]</f>
        <v>Acute Care Hospitals</v>
      </c>
      <c r="D3042" t="str">
        <f>[1]!hospitalinfo[[#This Row],[Hospital Ownership]]</f>
        <v>Voluntary non-profit - Church</v>
      </c>
      <c r="E3042" cm="1">
        <f t="array" ref="E3042">_xlfn.IFNA(_xlfn.XLOOKUP(1,([1]!hcahps[Facility ID] = clean[[#This Row],[Facility ID]]) * ([1]!hcahps[HCAHPS Measure ID] = "H_HSP_RATING_LINEAR_SCORE"), [1]!hcahps[HCAHPS Linear Mean Value]), "No Match")</f>
        <v>87</v>
      </c>
      <c r="F3042" cm="1">
        <f t="array" ref="F3042">_xlfn.IFNA(_xlfn.XLOOKUP(1,([1]!readmissions[Facility ID] = clean[[#This Row],[Facility ID]]) * ([1]!readmissions[Measure ID] = "Hybrid_HWR"), [1]!readmissions[Score]), "No Match")</f>
        <v>14.7</v>
      </c>
    </row>
    <row r="3043" spans="1:6" x14ac:dyDescent="0.2">
      <c r="A3043">
        <f>[1]!hospitalinfo[[#This Row],[Facility ID]]</f>
        <v>350006</v>
      </c>
      <c r="B3043" t="str">
        <f>[1]!hospitalinfo[[#This Row],[State]]</f>
        <v>ND</v>
      </c>
      <c r="C3043" t="str">
        <f>[1]!hospitalinfo[[#This Row],[Hospital Type]]</f>
        <v>Acute Care Hospitals</v>
      </c>
      <c r="D3043" t="str">
        <f>[1]!hospitalinfo[[#This Row],[Hospital Ownership]]</f>
        <v>Voluntary non-profit - Private</v>
      </c>
      <c r="E3043" cm="1">
        <f t="array" ref="E3043">_xlfn.IFNA(_xlfn.XLOOKUP(1,([1]!hcahps[Facility ID] = clean[[#This Row],[Facility ID]]) * ([1]!hcahps[HCAHPS Measure ID] = "H_HSP_RATING_LINEAR_SCORE"), [1]!hcahps[HCAHPS Linear Mean Value]), "No Match")</f>
        <v>84</v>
      </c>
      <c r="F3043" cm="1">
        <f t="array" ref="F3043">_xlfn.IFNA(_xlfn.XLOOKUP(1,([1]!readmissions[Facility ID] = clean[[#This Row],[Facility ID]]) * ([1]!readmissions[Measure ID] = "Hybrid_HWR"), [1]!readmissions[Score]), "No Match")</f>
        <v>14.6</v>
      </c>
    </row>
    <row r="3044" spans="1:6" x14ac:dyDescent="0.2">
      <c r="A3044">
        <f>[1]!hospitalinfo[[#This Row],[Facility ID]]</f>
        <v>350011</v>
      </c>
      <c r="B3044" t="str">
        <f>[1]!hospitalinfo[[#This Row],[State]]</f>
        <v>ND</v>
      </c>
      <c r="C3044" t="str">
        <f>[1]!hospitalinfo[[#This Row],[Hospital Type]]</f>
        <v>Acute Care Hospitals</v>
      </c>
      <c r="D3044" t="str">
        <f>[1]!hospitalinfo[[#This Row],[Hospital Ownership]]</f>
        <v>Voluntary non-profit - Private</v>
      </c>
      <c r="E3044" cm="1">
        <f t="array" ref="E3044">_xlfn.IFNA(_xlfn.XLOOKUP(1,([1]!hcahps[Facility ID] = clean[[#This Row],[Facility ID]]) * ([1]!hcahps[HCAHPS Measure ID] = "H_HSP_RATING_LINEAR_SCORE"), [1]!hcahps[HCAHPS Linear Mean Value]), "No Match")</f>
        <v>86</v>
      </c>
      <c r="F3044" cm="1">
        <f t="array" ref="F3044">_xlfn.IFNA(_xlfn.XLOOKUP(1,([1]!readmissions[Facility ID] = clean[[#This Row],[Facility ID]]) * ([1]!readmissions[Measure ID] = "Hybrid_HWR"), [1]!readmissions[Score]), "No Match")</f>
        <v>14.6</v>
      </c>
    </row>
    <row r="3045" spans="1:6" x14ac:dyDescent="0.2">
      <c r="A3045">
        <f>[1]!hospitalinfo[[#This Row],[Facility ID]]</f>
        <v>350015</v>
      </c>
      <c r="B3045" t="str">
        <f>[1]!hospitalinfo[[#This Row],[State]]</f>
        <v>ND</v>
      </c>
      <c r="C3045" t="str">
        <f>[1]!hospitalinfo[[#This Row],[Hospital Type]]</f>
        <v>Acute Care Hospitals</v>
      </c>
      <c r="D3045" t="str">
        <f>[1]!hospitalinfo[[#This Row],[Hospital Ownership]]</f>
        <v>Voluntary non-profit - Private</v>
      </c>
      <c r="E3045" cm="1">
        <f t="array" ref="E3045">_xlfn.IFNA(_xlfn.XLOOKUP(1,([1]!hcahps[Facility ID] = clean[[#This Row],[Facility ID]]) * ([1]!hcahps[HCAHPS Measure ID] = "H_HSP_RATING_LINEAR_SCORE"), [1]!hcahps[HCAHPS Linear Mean Value]), "No Match")</f>
        <v>85</v>
      </c>
      <c r="F3045" cm="1">
        <f t="array" ref="F3045">_xlfn.IFNA(_xlfn.XLOOKUP(1,([1]!readmissions[Facility ID] = clean[[#This Row],[Facility ID]]) * ([1]!readmissions[Measure ID] = "Hybrid_HWR"), [1]!readmissions[Score]), "No Match")</f>
        <v>13.9</v>
      </c>
    </row>
    <row r="3046" spans="1:6" x14ac:dyDescent="0.2">
      <c r="A3046">
        <f>[1]!hospitalinfo[[#This Row],[Facility ID]]</f>
        <v>350019</v>
      </c>
      <c r="B3046" t="str">
        <f>[1]!hospitalinfo[[#This Row],[State]]</f>
        <v>ND</v>
      </c>
      <c r="C3046" t="str">
        <f>[1]!hospitalinfo[[#This Row],[Hospital Type]]</f>
        <v>Acute Care Hospitals</v>
      </c>
      <c r="D3046" t="str">
        <f>[1]!hospitalinfo[[#This Row],[Hospital Ownership]]</f>
        <v>Government - Local</v>
      </c>
      <c r="E3046" cm="1">
        <f t="array" ref="E3046">_xlfn.IFNA(_xlfn.XLOOKUP(1,([1]!hcahps[Facility ID] = clean[[#This Row],[Facility ID]]) * ([1]!hcahps[HCAHPS Measure ID] = "H_HSP_RATING_LINEAR_SCORE"), [1]!hcahps[HCAHPS Linear Mean Value]), "No Match")</f>
        <v>82</v>
      </c>
      <c r="F3046" cm="1">
        <f t="array" ref="F3046">_xlfn.IFNA(_xlfn.XLOOKUP(1,([1]!readmissions[Facility ID] = clean[[#This Row],[Facility ID]]) * ([1]!readmissions[Measure ID] = "Hybrid_HWR"), [1]!readmissions[Score]), "No Match")</f>
        <v>13.9</v>
      </c>
    </row>
    <row r="3047" spans="1:6" x14ac:dyDescent="0.2">
      <c r="A3047">
        <f>[1]!hospitalinfo[[#This Row],[Facility ID]]</f>
        <v>350063</v>
      </c>
      <c r="B3047" t="str">
        <f>[1]!hospitalinfo[[#This Row],[State]]</f>
        <v>ND</v>
      </c>
      <c r="C3047" t="str">
        <f>[1]!hospitalinfo[[#This Row],[Hospital Type]]</f>
        <v>Acute Care Hospitals</v>
      </c>
      <c r="D3047" t="str">
        <f>[1]!hospitalinfo[[#This Row],[Hospital Ownership]]</f>
        <v>Government - Federal</v>
      </c>
      <c r="E3047" t="str" cm="1">
        <f t="array" ref="E3047">_xlfn.IFNA(_xlfn.XLOOKUP(1,([1]!hcahps[Facility ID] = clean[[#This Row],[Facility ID]]) * ([1]!hcahps[HCAHPS Measure ID] = "H_HSP_RATING_LINEAR_SCORE"), [1]!hcahps[HCAHPS Linear Mean Value]), "No Match")</f>
        <v>Not Available</v>
      </c>
      <c r="F3047" cm="1">
        <f t="array" ref="F3047">_xlfn.IFNA(_xlfn.XLOOKUP(1,([1]!readmissions[Facility ID] = clean[[#This Row],[Facility ID]]) * ([1]!readmissions[Measure ID] = "Hybrid_HWR"), [1]!readmissions[Score]), "No Match")</f>
        <v>15.3</v>
      </c>
    </row>
    <row r="3048" spans="1:6" x14ac:dyDescent="0.2">
      <c r="A3048">
        <f>[1]!hospitalinfo[[#This Row],[Facility ID]]</f>
        <v>350070</v>
      </c>
      <c r="B3048" t="str">
        <f>[1]!hospitalinfo[[#This Row],[State]]</f>
        <v>ND</v>
      </c>
      <c r="C3048" t="str">
        <f>[1]!hospitalinfo[[#This Row],[Hospital Type]]</f>
        <v>Acute Care Hospitals</v>
      </c>
      <c r="D3048" t="str">
        <f>[1]!hospitalinfo[[#This Row],[Hospital Ownership]]</f>
        <v>Voluntary non-profit - Private</v>
      </c>
      <c r="E3048" cm="1">
        <f t="array" ref="E3048">_xlfn.IFNA(_xlfn.XLOOKUP(1,([1]!hcahps[Facility ID] = clean[[#This Row],[Facility ID]]) * ([1]!hcahps[HCAHPS Measure ID] = "H_HSP_RATING_LINEAR_SCORE"), [1]!hcahps[HCAHPS Linear Mean Value]), "No Match")</f>
        <v>89</v>
      </c>
      <c r="F3048" cm="1">
        <f t="array" ref="F3048">_xlfn.IFNA(_xlfn.XLOOKUP(1,([1]!readmissions[Facility ID] = clean[[#This Row],[Facility ID]]) * ([1]!readmissions[Measure ID] = "Hybrid_HWR"), [1]!readmissions[Score]), "No Match")</f>
        <v>14.8</v>
      </c>
    </row>
    <row r="3049" spans="1:6" x14ac:dyDescent="0.2">
      <c r="A3049">
        <f>[1]!hospitalinfo[[#This Row],[Facility ID]]</f>
        <v>351300</v>
      </c>
      <c r="B3049" t="str">
        <f>[1]!hospitalinfo[[#This Row],[State]]</f>
        <v>ND</v>
      </c>
      <c r="C3049" t="str">
        <f>[1]!hospitalinfo[[#This Row],[Hospital Type]]</f>
        <v>Critical Access Hospitals</v>
      </c>
      <c r="D3049" t="str">
        <f>[1]!hospitalinfo[[#This Row],[Hospital Ownership]]</f>
        <v>Voluntary non-profit - Private</v>
      </c>
      <c r="E3049" t="str" cm="1">
        <f t="array" ref="E3049">_xlfn.IFNA(_xlfn.XLOOKUP(1,([1]!hcahps[Facility ID] = clean[[#This Row],[Facility ID]]) * ([1]!hcahps[HCAHPS Measure ID] = "H_HSP_RATING_LINEAR_SCORE"), [1]!hcahps[HCAHPS Linear Mean Value]), "No Match")</f>
        <v>Not Available</v>
      </c>
      <c r="F3049" cm="1">
        <f t="array" ref="F3049">_xlfn.IFNA(_xlfn.XLOOKUP(1,([1]!readmissions[Facility ID] = clean[[#This Row],[Facility ID]]) * ([1]!readmissions[Measure ID] = "Hybrid_HWR"), [1]!readmissions[Score]), "No Match")</f>
        <v>15.4</v>
      </c>
    </row>
    <row r="3050" spans="1:6" x14ac:dyDescent="0.2">
      <c r="A3050">
        <f>[1]!hospitalinfo[[#This Row],[Facility ID]]</f>
        <v>351301</v>
      </c>
      <c r="B3050" t="str">
        <f>[1]!hospitalinfo[[#This Row],[State]]</f>
        <v>ND</v>
      </c>
      <c r="C3050" t="str">
        <f>[1]!hospitalinfo[[#This Row],[Hospital Type]]</f>
        <v>Critical Access Hospitals</v>
      </c>
      <c r="D3050" t="str">
        <f>[1]!hospitalinfo[[#This Row],[Hospital Ownership]]</f>
        <v>Voluntary non-profit - Private</v>
      </c>
      <c r="E3050" t="str" cm="1">
        <f t="array" ref="E3050">_xlfn.IFNA(_xlfn.XLOOKUP(1,([1]!hcahps[Facility ID] = clean[[#This Row],[Facility ID]]) * ([1]!hcahps[HCAHPS Measure ID] = "H_HSP_RATING_LINEAR_SCORE"), [1]!hcahps[HCAHPS Linear Mean Value]), "No Match")</f>
        <v>Not Available</v>
      </c>
      <c r="F3050" t="str" cm="1">
        <f t="array" ref="F3050">_xlfn.IFNA(_xlfn.XLOOKUP(1,([1]!readmissions[Facility ID] = clean[[#This Row],[Facility ID]]) * ([1]!readmissions[Measure ID] = "Hybrid_HWR"), [1]!readmissions[Score]), "No Match")</f>
        <v>Not Available</v>
      </c>
    </row>
    <row r="3051" spans="1:6" x14ac:dyDescent="0.2">
      <c r="A3051">
        <f>[1]!hospitalinfo[[#This Row],[Facility ID]]</f>
        <v>351302</v>
      </c>
      <c r="B3051" t="str">
        <f>[1]!hospitalinfo[[#This Row],[State]]</f>
        <v>ND</v>
      </c>
      <c r="C3051" t="str">
        <f>[1]!hospitalinfo[[#This Row],[Hospital Type]]</f>
        <v>Critical Access Hospitals</v>
      </c>
      <c r="D3051" t="str">
        <f>[1]!hospitalinfo[[#This Row],[Hospital Ownership]]</f>
        <v>Voluntary non-profit - Private</v>
      </c>
      <c r="E3051" t="str" cm="1">
        <f t="array" ref="E3051">_xlfn.IFNA(_xlfn.XLOOKUP(1,([1]!hcahps[Facility ID] = clean[[#This Row],[Facility ID]]) * ([1]!hcahps[HCAHPS Measure ID] = "H_HSP_RATING_LINEAR_SCORE"), [1]!hcahps[HCAHPS Linear Mean Value]), "No Match")</f>
        <v>Not Available</v>
      </c>
      <c r="F3051" cm="1">
        <f t="array" ref="F3051">_xlfn.IFNA(_xlfn.XLOOKUP(1,([1]!readmissions[Facility ID] = clean[[#This Row],[Facility ID]]) * ([1]!readmissions[Measure ID] = "Hybrid_HWR"), [1]!readmissions[Score]), "No Match")</f>
        <v>15</v>
      </c>
    </row>
    <row r="3052" spans="1:6" x14ac:dyDescent="0.2">
      <c r="A3052">
        <f>[1]!hospitalinfo[[#This Row],[Facility ID]]</f>
        <v>351303</v>
      </c>
      <c r="B3052" t="str">
        <f>[1]!hospitalinfo[[#This Row],[State]]</f>
        <v>ND</v>
      </c>
      <c r="C3052" t="str">
        <f>[1]!hospitalinfo[[#This Row],[Hospital Type]]</f>
        <v>Critical Access Hospitals</v>
      </c>
      <c r="D3052" t="str">
        <f>[1]!hospitalinfo[[#This Row],[Hospital Ownership]]</f>
        <v>Voluntary non-profit - Church</v>
      </c>
      <c r="E3052" t="str" cm="1">
        <f t="array" ref="E3052">_xlfn.IFNA(_xlfn.XLOOKUP(1,([1]!hcahps[Facility ID] = clean[[#This Row],[Facility ID]]) * ([1]!hcahps[HCAHPS Measure ID] = "H_HSP_RATING_LINEAR_SCORE"), [1]!hcahps[HCAHPS Linear Mean Value]), "No Match")</f>
        <v>Not Available</v>
      </c>
      <c r="F3052" t="str" cm="1">
        <f t="array" ref="F3052">_xlfn.IFNA(_xlfn.XLOOKUP(1,([1]!readmissions[Facility ID] = clean[[#This Row],[Facility ID]]) * ([1]!readmissions[Measure ID] = "Hybrid_HWR"), [1]!readmissions[Score]), "No Match")</f>
        <v>Not Available</v>
      </c>
    </row>
    <row r="3053" spans="1:6" x14ac:dyDescent="0.2">
      <c r="A3053">
        <f>[1]!hospitalinfo[[#This Row],[Facility ID]]</f>
        <v>351304</v>
      </c>
      <c r="B3053" t="str">
        <f>[1]!hospitalinfo[[#This Row],[State]]</f>
        <v>ND</v>
      </c>
      <c r="C3053" t="str">
        <f>[1]!hospitalinfo[[#This Row],[Hospital Type]]</f>
        <v>Critical Access Hospitals</v>
      </c>
      <c r="D3053" t="str">
        <f>[1]!hospitalinfo[[#This Row],[Hospital Ownership]]</f>
        <v>Voluntary non-profit - Church</v>
      </c>
      <c r="E3053" t="str" cm="1">
        <f t="array" ref="E3053">_xlfn.IFNA(_xlfn.XLOOKUP(1,([1]!hcahps[Facility ID] = clean[[#This Row],[Facility ID]]) * ([1]!hcahps[HCAHPS Measure ID] = "H_HSP_RATING_LINEAR_SCORE"), [1]!hcahps[HCAHPS Linear Mean Value]), "No Match")</f>
        <v>Not Available</v>
      </c>
      <c r="F3053" t="str" cm="1">
        <f t="array" ref="F3053">_xlfn.IFNA(_xlfn.XLOOKUP(1,([1]!readmissions[Facility ID] = clean[[#This Row],[Facility ID]]) * ([1]!readmissions[Measure ID] = "Hybrid_HWR"), [1]!readmissions[Score]), "No Match")</f>
        <v>Not Available</v>
      </c>
    </row>
    <row r="3054" spans="1:6" x14ac:dyDescent="0.2">
      <c r="A3054">
        <f>[1]!hospitalinfo[[#This Row],[Facility ID]]</f>
        <v>351305</v>
      </c>
      <c r="B3054" t="str">
        <f>[1]!hospitalinfo[[#This Row],[State]]</f>
        <v>ND</v>
      </c>
      <c r="C3054" t="str">
        <f>[1]!hospitalinfo[[#This Row],[Hospital Type]]</f>
        <v>Critical Access Hospitals</v>
      </c>
      <c r="D3054" t="str">
        <f>[1]!hospitalinfo[[#This Row],[Hospital Ownership]]</f>
        <v>Voluntary non-profit - Private</v>
      </c>
      <c r="E3054" t="str" cm="1">
        <f t="array" ref="E3054">_xlfn.IFNA(_xlfn.XLOOKUP(1,([1]!hcahps[Facility ID] = clean[[#This Row],[Facility ID]]) * ([1]!hcahps[HCAHPS Measure ID] = "H_HSP_RATING_LINEAR_SCORE"), [1]!hcahps[HCAHPS Linear Mean Value]), "No Match")</f>
        <v>Not Available</v>
      </c>
      <c r="F3054" t="str" cm="1">
        <f t="array" ref="F3054">_xlfn.IFNA(_xlfn.XLOOKUP(1,([1]!readmissions[Facility ID] = clean[[#This Row],[Facility ID]]) * ([1]!readmissions[Measure ID] = "Hybrid_HWR"), [1]!readmissions[Score]), "No Match")</f>
        <v>Not Available</v>
      </c>
    </row>
    <row r="3055" spans="1:6" x14ac:dyDescent="0.2">
      <c r="A3055">
        <f>[1]!hospitalinfo[[#This Row],[Facility ID]]</f>
        <v>351306</v>
      </c>
      <c r="B3055" t="str">
        <f>[1]!hospitalinfo[[#This Row],[State]]</f>
        <v>ND</v>
      </c>
      <c r="C3055" t="str">
        <f>[1]!hospitalinfo[[#This Row],[Hospital Type]]</f>
        <v>Critical Access Hospitals</v>
      </c>
      <c r="D3055" t="str">
        <f>[1]!hospitalinfo[[#This Row],[Hospital Ownership]]</f>
        <v>Voluntary non-profit - Private</v>
      </c>
      <c r="E3055" t="str" cm="1">
        <f t="array" ref="E3055">_xlfn.IFNA(_xlfn.XLOOKUP(1,([1]!hcahps[Facility ID] = clean[[#This Row],[Facility ID]]) * ([1]!hcahps[HCAHPS Measure ID] = "H_HSP_RATING_LINEAR_SCORE"), [1]!hcahps[HCAHPS Linear Mean Value]), "No Match")</f>
        <v>Not Available</v>
      </c>
      <c r="F3055" cm="1">
        <f t="array" ref="F3055">_xlfn.IFNA(_xlfn.XLOOKUP(1,([1]!readmissions[Facility ID] = clean[[#This Row],[Facility ID]]) * ([1]!readmissions[Measure ID] = "Hybrid_HWR"), [1]!readmissions[Score]), "No Match")</f>
        <v>14.9</v>
      </c>
    </row>
    <row r="3056" spans="1:6" x14ac:dyDescent="0.2">
      <c r="A3056">
        <f>[1]!hospitalinfo[[#This Row],[Facility ID]]</f>
        <v>351307</v>
      </c>
      <c r="B3056" t="str">
        <f>[1]!hospitalinfo[[#This Row],[State]]</f>
        <v>ND</v>
      </c>
      <c r="C3056" t="str">
        <f>[1]!hospitalinfo[[#This Row],[Hospital Type]]</f>
        <v>Critical Access Hospitals</v>
      </c>
      <c r="D3056" t="str">
        <f>[1]!hospitalinfo[[#This Row],[Hospital Ownership]]</f>
        <v>Voluntary non-profit - Church</v>
      </c>
      <c r="E3056" t="str" cm="1">
        <f t="array" ref="E3056">_xlfn.IFNA(_xlfn.XLOOKUP(1,([1]!hcahps[Facility ID] = clean[[#This Row],[Facility ID]]) * ([1]!hcahps[HCAHPS Measure ID] = "H_HSP_RATING_LINEAR_SCORE"), [1]!hcahps[HCAHPS Linear Mean Value]), "No Match")</f>
        <v>Not Available</v>
      </c>
      <c r="F3056" cm="1">
        <f t="array" ref="F3056">_xlfn.IFNA(_xlfn.XLOOKUP(1,([1]!readmissions[Facility ID] = clean[[#This Row],[Facility ID]]) * ([1]!readmissions[Measure ID] = "Hybrid_HWR"), [1]!readmissions[Score]), "No Match")</f>
        <v>15.6</v>
      </c>
    </row>
    <row r="3057" spans="1:6" x14ac:dyDescent="0.2">
      <c r="A3057">
        <f>[1]!hospitalinfo[[#This Row],[Facility ID]]</f>
        <v>351308</v>
      </c>
      <c r="B3057" t="str">
        <f>[1]!hospitalinfo[[#This Row],[State]]</f>
        <v>ND</v>
      </c>
      <c r="C3057" t="str">
        <f>[1]!hospitalinfo[[#This Row],[Hospital Type]]</f>
        <v>Critical Access Hospitals</v>
      </c>
      <c r="D3057" t="str">
        <f>[1]!hospitalinfo[[#This Row],[Hospital Ownership]]</f>
        <v>Voluntary non-profit - Private</v>
      </c>
      <c r="E3057" t="str" cm="1">
        <f t="array" ref="E3057">_xlfn.IFNA(_xlfn.XLOOKUP(1,([1]!hcahps[Facility ID] = clean[[#This Row],[Facility ID]]) * ([1]!hcahps[HCAHPS Measure ID] = "H_HSP_RATING_LINEAR_SCORE"), [1]!hcahps[HCAHPS Linear Mean Value]), "No Match")</f>
        <v>Not Available</v>
      </c>
      <c r="F3057" t="str" cm="1">
        <f t="array" ref="F3057">_xlfn.IFNA(_xlfn.XLOOKUP(1,([1]!readmissions[Facility ID] = clean[[#This Row],[Facility ID]]) * ([1]!readmissions[Measure ID] = "Hybrid_HWR"), [1]!readmissions[Score]), "No Match")</f>
        <v>Not Available</v>
      </c>
    </row>
    <row r="3058" spans="1:6" x14ac:dyDescent="0.2">
      <c r="A3058">
        <f>[1]!hospitalinfo[[#This Row],[Facility ID]]</f>
        <v>351309</v>
      </c>
      <c r="B3058" t="str">
        <f>[1]!hospitalinfo[[#This Row],[State]]</f>
        <v>ND</v>
      </c>
      <c r="C3058" t="str">
        <f>[1]!hospitalinfo[[#This Row],[Hospital Type]]</f>
        <v>Critical Access Hospitals</v>
      </c>
      <c r="D3058" t="str">
        <f>[1]!hospitalinfo[[#This Row],[Hospital Ownership]]</f>
        <v>Voluntary non-profit - Private</v>
      </c>
      <c r="E3058" t="str" cm="1">
        <f t="array" ref="E3058">_xlfn.IFNA(_xlfn.XLOOKUP(1,([1]!hcahps[Facility ID] = clean[[#This Row],[Facility ID]]) * ([1]!hcahps[HCAHPS Measure ID] = "H_HSP_RATING_LINEAR_SCORE"), [1]!hcahps[HCAHPS Linear Mean Value]), "No Match")</f>
        <v>Not Available</v>
      </c>
      <c r="F3058" cm="1">
        <f t="array" ref="F3058">_xlfn.IFNA(_xlfn.XLOOKUP(1,([1]!readmissions[Facility ID] = clean[[#This Row],[Facility ID]]) * ([1]!readmissions[Measure ID] = "Hybrid_HWR"), [1]!readmissions[Score]), "No Match")</f>
        <v>14.7</v>
      </c>
    </row>
    <row r="3059" spans="1:6" x14ac:dyDescent="0.2">
      <c r="A3059">
        <f>[1]!hospitalinfo[[#This Row],[Facility ID]]</f>
        <v>351310</v>
      </c>
      <c r="B3059" t="str">
        <f>[1]!hospitalinfo[[#This Row],[State]]</f>
        <v>ND</v>
      </c>
      <c r="C3059" t="str">
        <f>[1]!hospitalinfo[[#This Row],[Hospital Type]]</f>
        <v>Critical Access Hospitals</v>
      </c>
      <c r="D3059" t="str">
        <f>[1]!hospitalinfo[[#This Row],[Hospital Ownership]]</f>
        <v>Voluntary non-profit - Private</v>
      </c>
      <c r="E3059" t="str" cm="1">
        <f t="array" ref="E3059">_xlfn.IFNA(_xlfn.XLOOKUP(1,([1]!hcahps[Facility ID] = clean[[#This Row],[Facility ID]]) * ([1]!hcahps[HCAHPS Measure ID] = "H_HSP_RATING_LINEAR_SCORE"), [1]!hcahps[HCAHPS Linear Mean Value]), "No Match")</f>
        <v>Not Available</v>
      </c>
      <c r="F3059" cm="1">
        <f t="array" ref="F3059">_xlfn.IFNA(_xlfn.XLOOKUP(1,([1]!readmissions[Facility ID] = clean[[#This Row],[Facility ID]]) * ([1]!readmissions[Measure ID] = "Hybrid_HWR"), [1]!readmissions[Score]), "No Match")</f>
        <v>15.2</v>
      </c>
    </row>
    <row r="3060" spans="1:6" x14ac:dyDescent="0.2">
      <c r="A3060">
        <f>[1]!hospitalinfo[[#This Row],[Facility ID]]</f>
        <v>351311</v>
      </c>
      <c r="B3060" t="str">
        <f>[1]!hospitalinfo[[#This Row],[State]]</f>
        <v>ND</v>
      </c>
      <c r="C3060" t="str">
        <f>[1]!hospitalinfo[[#This Row],[Hospital Type]]</f>
        <v>Critical Access Hospitals</v>
      </c>
      <c r="D3060" t="str">
        <f>[1]!hospitalinfo[[#This Row],[Hospital Ownership]]</f>
        <v>Voluntary non-profit - Private</v>
      </c>
      <c r="E3060" t="str" cm="1">
        <f t="array" ref="E3060">_xlfn.IFNA(_xlfn.XLOOKUP(1,([1]!hcahps[Facility ID] = clean[[#This Row],[Facility ID]]) * ([1]!hcahps[HCAHPS Measure ID] = "H_HSP_RATING_LINEAR_SCORE"), [1]!hcahps[HCAHPS Linear Mean Value]), "No Match")</f>
        <v>Not Available</v>
      </c>
      <c r="F3060" t="str" cm="1">
        <f t="array" ref="F3060">_xlfn.IFNA(_xlfn.XLOOKUP(1,([1]!readmissions[Facility ID] = clean[[#This Row],[Facility ID]]) * ([1]!readmissions[Measure ID] = "Hybrid_HWR"), [1]!readmissions[Score]), "No Match")</f>
        <v>Not Available</v>
      </c>
    </row>
    <row r="3061" spans="1:6" x14ac:dyDescent="0.2">
      <c r="A3061">
        <f>[1]!hospitalinfo[[#This Row],[Facility ID]]</f>
        <v>351312</v>
      </c>
      <c r="B3061" t="str">
        <f>[1]!hospitalinfo[[#This Row],[State]]</f>
        <v>ND</v>
      </c>
      <c r="C3061" t="str">
        <f>[1]!hospitalinfo[[#This Row],[Hospital Type]]</f>
        <v>Critical Access Hospitals</v>
      </c>
      <c r="D3061" t="str">
        <f>[1]!hospitalinfo[[#This Row],[Hospital Ownership]]</f>
        <v>Voluntary non-profit - Church</v>
      </c>
      <c r="E3061" t="str" cm="1">
        <f t="array" ref="E3061">_xlfn.IFNA(_xlfn.XLOOKUP(1,([1]!hcahps[Facility ID] = clean[[#This Row],[Facility ID]]) * ([1]!hcahps[HCAHPS Measure ID] = "H_HSP_RATING_LINEAR_SCORE"), [1]!hcahps[HCAHPS Linear Mean Value]), "No Match")</f>
        <v>Not Available</v>
      </c>
      <c r="F3061" cm="1">
        <f t="array" ref="F3061">_xlfn.IFNA(_xlfn.XLOOKUP(1,([1]!readmissions[Facility ID] = clean[[#This Row],[Facility ID]]) * ([1]!readmissions[Measure ID] = "Hybrid_HWR"), [1]!readmissions[Score]), "No Match")</f>
        <v>15.1</v>
      </c>
    </row>
    <row r="3062" spans="1:6" x14ac:dyDescent="0.2">
      <c r="A3062">
        <f>[1]!hospitalinfo[[#This Row],[Facility ID]]</f>
        <v>351313</v>
      </c>
      <c r="B3062" t="str">
        <f>[1]!hospitalinfo[[#This Row],[State]]</f>
        <v>ND</v>
      </c>
      <c r="C3062" t="str">
        <f>[1]!hospitalinfo[[#This Row],[Hospital Type]]</f>
        <v>Critical Access Hospitals</v>
      </c>
      <c r="D3062" t="str">
        <f>[1]!hospitalinfo[[#This Row],[Hospital Ownership]]</f>
        <v>Voluntary non-profit - Private</v>
      </c>
      <c r="E3062" t="str" cm="1">
        <f t="array" ref="E3062">_xlfn.IFNA(_xlfn.XLOOKUP(1,([1]!hcahps[Facility ID] = clean[[#This Row],[Facility ID]]) * ([1]!hcahps[HCAHPS Measure ID] = "H_HSP_RATING_LINEAR_SCORE"), [1]!hcahps[HCAHPS Linear Mean Value]), "No Match")</f>
        <v>Not Available</v>
      </c>
      <c r="F3062" cm="1">
        <f t="array" ref="F3062">_xlfn.IFNA(_xlfn.XLOOKUP(1,([1]!readmissions[Facility ID] = clean[[#This Row],[Facility ID]]) * ([1]!readmissions[Measure ID] = "Hybrid_HWR"), [1]!readmissions[Score]), "No Match")</f>
        <v>15</v>
      </c>
    </row>
    <row r="3063" spans="1:6" x14ac:dyDescent="0.2">
      <c r="A3063">
        <f>[1]!hospitalinfo[[#This Row],[Facility ID]]</f>
        <v>351314</v>
      </c>
      <c r="B3063" t="str">
        <f>[1]!hospitalinfo[[#This Row],[State]]</f>
        <v>ND</v>
      </c>
      <c r="C3063" t="str">
        <f>[1]!hospitalinfo[[#This Row],[Hospital Type]]</f>
        <v>Critical Access Hospitals</v>
      </c>
      <c r="D3063" t="str">
        <f>[1]!hospitalinfo[[#This Row],[Hospital Ownership]]</f>
        <v>Voluntary non-profit - Private</v>
      </c>
      <c r="E3063" t="str" cm="1">
        <f t="array" ref="E3063">_xlfn.IFNA(_xlfn.XLOOKUP(1,([1]!hcahps[Facility ID] = clean[[#This Row],[Facility ID]]) * ([1]!hcahps[HCAHPS Measure ID] = "H_HSP_RATING_LINEAR_SCORE"), [1]!hcahps[HCAHPS Linear Mean Value]), "No Match")</f>
        <v>Not Available</v>
      </c>
      <c r="F3063" t="str" cm="1">
        <f t="array" ref="F3063">_xlfn.IFNA(_xlfn.XLOOKUP(1,([1]!readmissions[Facility ID] = clean[[#This Row],[Facility ID]]) * ([1]!readmissions[Measure ID] = "Hybrid_HWR"), [1]!readmissions[Score]), "No Match")</f>
        <v>Not Available</v>
      </c>
    </row>
    <row r="3064" spans="1:6" x14ac:dyDescent="0.2">
      <c r="A3064">
        <f>[1]!hospitalinfo[[#This Row],[Facility ID]]</f>
        <v>351315</v>
      </c>
      <c r="B3064" t="str">
        <f>[1]!hospitalinfo[[#This Row],[State]]</f>
        <v>ND</v>
      </c>
      <c r="C3064" t="str">
        <f>[1]!hospitalinfo[[#This Row],[Hospital Type]]</f>
        <v>Critical Access Hospitals</v>
      </c>
      <c r="D3064" t="str">
        <f>[1]!hospitalinfo[[#This Row],[Hospital Ownership]]</f>
        <v>Voluntary non-profit - Church</v>
      </c>
      <c r="E3064" t="str" cm="1">
        <f t="array" ref="E3064">_xlfn.IFNA(_xlfn.XLOOKUP(1,([1]!hcahps[Facility ID] = clean[[#This Row],[Facility ID]]) * ([1]!hcahps[HCAHPS Measure ID] = "H_HSP_RATING_LINEAR_SCORE"), [1]!hcahps[HCAHPS Linear Mean Value]), "No Match")</f>
        <v>Not Available</v>
      </c>
      <c r="F3064" cm="1">
        <f t="array" ref="F3064">_xlfn.IFNA(_xlfn.XLOOKUP(1,([1]!readmissions[Facility ID] = clean[[#This Row],[Facility ID]]) * ([1]!readmissions[Measure ID] = "Hybrid_HWR"), [1]!readmissions[Score]), "No Match")</f>
        <v>15</v>
      </c>
    </row>
    <row r="3065" spans="1:6" x14ac:dyDescent="0.2">
      <c r="A3065">
        <f>[1]!hospitalinfo[[#This Row],[Facility ID]]</f>
        <v>351316</v>
      </c>
      <c r="B3065" t="str">
        <f>[1]!hospitalinfo[[#This Row],[State]]</f>
        <v>ND</v>
      </c>
      <c r="C3065" t="str">
        <f>[1]!hospitalinfo[[#This Row],[Hospital Type]]</f>
        <v>Critical Access Hospitals</v>
      </c>
      <c r="D3065" t="str">
        <f>[1]!hospitalinfo[[#This Row],[Hospital Ownership]]</f>
        <v>Voluntary non-profit - Private</v>
      </c>
      <c r="E3065" t="str" cm="1">
        <f t="array" ref="E3065">_xlfn.IFNA(_xlfn.XLOOKUP(1,([1]!hcahps[Facility ID] = clean[[#This Row],[Facility ID]]) * ([1]!hcahps[HCAHPS Measure ID] = "H_HSP_RATING_LINEAR_SCORE"), [1]!hcahps[HCAHPS Linear Mean Value]), "No Match")</f>
        <v>Not Available</v>
      </c>
      <c r="F3065" cm="1">
        <f t="array" ref="F3065">_xlfn.IFNA(_xlfn.XLOOKUP(1,([1]!readmissions[Facility ID] = clean[[#This Row],[Facility ID]]) * ([1]!readmissions[Measure ID] = "Hybrid_HWR"), [1]!readmissions[Score]), "No Match")</f>
        <v>15</v>
      </c>
    </row>
    <row r="3066" spans="1:6" x14ac:dyDescent="0.2">
      <c r="A3066">
        <f>[1]!hospitalinfo[[#This Row],[Facility ID]]</f>
        <v>351318</v>
      </c>
      <c r="B3066" t="str">
        <f>[1]!hospitalinfo[[#This Row],[State]]</f>
        <v>ND</v>
      </c>
      <c r="C3066" t="str">
        <f>[1]!hospitalinfo[[#This Row],[Hospital Type]]</f>
        <v>Critical Access Hospitals</v>
      </c>
      <c r="D3066" t="str">
        <f>[1]!hospitalinfo[[#This Row],[Hospital Ownership]]</f>
        <v>Voluntary non-profit - Private</v>
      </c>
      <c r="E3066" t="str" cm="1">
        <f t="array" ref="E3066">_xlfn.IFNA(_xlfn.XLOOKUP(1,([1]!hcahps[Facility ID] = clean[[#This Row],[Facility ID]]) * ([1]!hcahps[HCAHPS Measure ID] = "H_HSP_RATING_LINEAR_SCORE"), [1]!hcahps[HCAHPS Linear Mean Value]), "No Match")</f>
        <v>Not Available</v>
      </c>
      <c r="F3066" cm="1">
        <f t="array" ref="F3066">_xlfn.IFNA(_xlfn.XLOOKUP(1,([1]!readmissions[Facility ID] = clean[[#This Row],[Facility ID]]) * ([1]!readmissions[Measure ID] = "Hybrid_HWR"), [1]!readmissions[Score]), "No Match")</f>
        <v>14.9</v>
      </c>
    </row>
    <row r="3067" spans="1:6" x14ac:dyDescent="0.2">
      <c r="A3067">
        <f>[1]!hospitalinfo[[#This Row],[Facility ID]]</f>
        <v>351319</v>
      </c>
      <c r="B3067" t="str">
        <f>[1]!hospitalinfo[[#This Row],[State]]</f>
        <v>ND</v>
      </c>
      <c r="C3067" t="str">
        <f>[1]!hospitalinfo[[#This Row],[Hospital Type]]</f>
        <v>Critical Access Hospitals</v>
      </c>
      <c r="D3067" t="str">
        <f>[1]!hospitalinfo[[#This Row],[Hospital Ownership]]</f>
        <v>Voluntary non-profit - Private</v>
      </c>
      <c r="E3067" t="str" cm="1">
        <f t="array" ref="E3067">_xlfn.IFNA(_xlfn.XLOOKUP(1,([1]!hcahps[Facility ID] = clean[[#This Row],[Facility ID]]) * ([1]!hcahps[HCAHPS Measure ID] = "H_HSP_RATING_LINEAR_SCORE"), [1]!hcahps[HCAHPS Linear Mean Value]), "No Match")</f>
        <v>Not Available</v>
      </c>
      <c r="F3067" cm="1">
        <f t="array" ref="F3067">_xlfn.IFNA(_xlfn.XLOOKUP(1,([1]!readmissions[Facility ID] = clean[[#This Row],[Facility ID]]) * ([1]!readmissions[Measure ID] = "Hybrid_HWR"), [1]!readmissions[Score]), "No Match")</f>
        <v>15</v>
      </c>
    </row>
    <row r="3068" spans="1:6" x14ac:dyDescent="0.2">
      <c r="A3068">
        <f>[1]!hospitalinfo[[#This Row],[Facility ID]]</f>
        <v>351320</v>
      </c>
      <c r="B3068" t="str">
        <f>[1]!hospitalinfo[[#This Row],[State]]</f>
        <v>ND</v>
      </c>
      <c r="C3068" t="str">
        <f>[1]!hospitalinfo[[#This Row],[Hospital Type]]</f>
        <v>Critical Access Hospitals</v>
      </c>
      <c r="D3068" t="str">
        <f>[1]!hospitalinfo[[#This Row],[Hospital Ownership]]</f>
        <v>Voluntary non-profit - Private</v>
      </c>
      <c r="E3068" t="str" cm="1">
        <f t="array" ref="E3068">_xlfn.IFNA(_xlfn.XLOOKUP(1,([1]!hcahps[Facility ID] = clean[[#This Row],[Facility ID]]) * ([1]!hcahps[HCAHPS Measure ID] = "H_HSP_RATING_LINEAR_SCORE"), [1]!hcahps[HCAHPS Linear Mean Value]), "No Match")</f>
        <v>Not Available</v>
      </c>
      <c r="F3068" cm="1">
        <f t="array" ref="F3068">_xlfn.IFNA(_xlfn.XLOOKUP(1,([1]!readmissions[Facility ID] = clean[[#This Row],[Facility ID]]) * ([1]!readmissions[Measure ID] = "Hybrid_HWR"), [1]!readmissions[Score]), "No Match")</f>
        <v>14.5</v>
      </c>
    </row>
    <row r="3069" spans="1:6" x14ac:dyDescent="0.2">
      <c r="A3069">
        <f>[1]!hospitalinfo[[#This Row],[Facility ID]]</f>
        <v>351321</v>
      </c>
      <c r="B3069" t="str">
        <f>[1]!hospitalinfo[[#This Row],[State]]</f>
        <v>ND</v>
      </c>
      <c r="C3069" t="str">
        <f>[1]!hospitalinfo[[#This Row],[Hospital Type]]</f>
        <v>Critical Access Hospitals</v>
      </c>
      <c r="D3069" t="str">
        <f>[1]!hospitalinfo[[#This Row],[Hospital Ownership]]</f>
        <v>Government - Local</v>
      </c>
      <c r="E3069" t="str" cm="1">
        <f t="array" ref="E3069">_xlfn.IFNA(_xlfn.XLOOKUP(1,([1]!hcahps[Facility ID] = clean[[#This Row],[Facility ID]]) * ([1]!hcahps[HCAHPS Measure ID] = "H_HSP_RATING_LINEAR_SCORE"), [1]!hcahps[HCAHPS Linear Mean Value]), "No Match")</f>
        <v>Not Available</v>
      </c>
      <c r="F3069" cm="1">
        <f t="array" ref="F3069">_xlfn.IFNA(_xlfn.XLOOKUP(1,([1]!readmissions[Facility ID] = clean[[#This Row],[Facility ID]]) * ([1]!readmissions[Measure ID] = "Hybrid_HWR"), [1]!readmissions[Score]), "No Match")</f>
        <v>14.9</v>
      </c>
    </row>
    <row r="3070" spans="1:6" x14ac:dyDescent="0.2">
      <c r="A3070">
        <f>[1]!hospitalinfo[[#This Row],[Facility ID]]</f>
        <v>351322</v>
      </c>
      <c r="B3070" t="str">
        <f>[1]!hospitalinfo[[#This Row],[State]]</f>
        <v>ND</v>
      </c>
      <c r="C3070" t="str">
        <f>[1]!hospitalinfo[[#This Row],[Hospital Type]]</f>
        <v>Critical Access Hospitals</v>
      </c>
      <c r="D3070" t="str">
        <f>[1]!hospitalinfo[[#This Row],[Hospital Ownership]]</f>
        <v>Voluntary non-profit - Private</v>
      </c>
      <c r="E3070" t="str" cm="1">
        <f t="array" ref="E3070">_xlfn.IFNA(_xlfn.XLOOKUP(1,([1]!hcahps[Facility ID] = clean[[#This Row],[Facility ID]]) * ([1]!hcahps[HCAHPS Measure ID] = "H_HSP_RATING_LINEAR_SCORE"), [1]!hcahps[HCAHPS Linear Mean Value]), "No Match")</f>
        <v>Not Available</v>
      </c>
      <c r="F3070" t="str" cm="1">
        <f t="array" ref="F3070">_xlfn.IFNA(_xlfn.XLOOKUP(1,([1]!readmissions[Facility ID] = clean[[#This Row],[Facility ID]]) * ([1]!readmissions[Measure ID] = "Hybrid_HWR"), [1]!readmissions[Score]), "No Match")</f>
        <v>Not Available</v>
      </c>
    </row>
    <row r="3071" spans="1:6" x14ac:dyDescent="0.2">
      <c r="A3071">
        <f>[1]!hospitalinfo[[#This Row],[Facility ID]]</f>
        <v>351323</v>
      </c>
      <c r="B3071" t="str">
        <f>[1]!hospitalinfo[[#This Row],[State]]</f>
        <v>ND</v>
      </c>
      <c r="C3071" t="str">
        <f>[1]!hospitalinfo[[#This Row],[Hospital Type]]</f>
        <v>Critical Access Hospitals</v>
      </c>
      <c r="D3071" t="str">
        <f>[1]!hospitalinfo[[#This Row],[Hospital Ownership]]</f>
        <v>Voluntary non-profit - Private</v>
      </c>
      <c r="E3071" t="str" cm="1">
        <f t="array" ref="E3071">_xlfn.IFNA(_xlfn.XLOOKUP(1,([1]!hcahps[Facility ID] = clean[[#This Row],[Facility ID]]) * ([1]!hcahps[HCAHPS Measure ID] = "H_HSP_RATING_LINEAR_SCORE"), [1]!hcahps[HCAHPS Linear Mean Value]), "No Match")</f>
        <v>Not Available</v>
      </c>
      <c r="F3071" cm="1">
        <f t="array" ref="F3071">_xlfn.IFNA(_xlfn.XLOOKUP(1,([1]!readmissions[Facility ID] = clean[[#This Row],[Facility ID]]) * ([1]!readmissions[Measure ID] = "Hybrid_HWR"), [1]!readmissions[Score]), "No Match")</f>
        <v>15.2</v>
      </c>
    </row>
    <row r="3072" spans="1:6" x14ac:dyDescent="0.2">
      <c r="A3072">
        <f>[1]!hospitalinfo[[#This Row],[Facility ID]]</f>
        <v>351324</v>
      </c>
      <c r="B3072" t="str">
        <f>[1]!hospitalinfo[[#This Row],[State]]</f>
        <v>ND</v>
      </c>
      <c r="C3072" t="str">
        <f>[1]!hospitalinfo[[#This Row],[Hospital Type]]</f>
        <v>Critical Access Hospitals</v>
      </c>
      <c r="D3072" t="str">
        <f>[1]!hospitalinfo[[#This Row],[Hospital Ownership]]</f>
        <v>Voluntary non-profit - Church</v>
      </c>
      <c r="E3072" t="str" cm="1">
        <f t="array" ref="E3072">_xlfn.IFNA(_xlfn.XLOOKUP(1,([1]!hcahps[Facility ID] = clean[[#This Row],[Facility ID]]) * ([1]!hcahps[HCAHPS Measure ID] = "H_HSP_RATING_LINEAR_SCORE"), [1]!hcahps[HCAHPS Linear Mean Value]), "No Match")</f>
        <v>Not Available</v>
      </c>
      <c r="F3072" cm="1">
        <f t="array" ref="F3072">_xlfn.IFNA(_xlfn.XLOOKUP(1,([1]!readmissions[Facility ID] = clean[[#This Row],[Facility ID]]) * ([1]!readmissions[Measure ID] = "Hybrid_HWR"), [1]!readmissions[Score]), "No Match")</f>
        <v>14.4</v>
      </c>
    </row>
    <row r="3073" spans="1:6" x14ac:dyDescent="0.2">
      <c r="A3073">
        <f>[1]!hospitalinfo[[#This Row],[Facility ID]]</f>
        <v>351325</v>
      </c>
      <c r="B3073" t="str">
        <f>[1]!hospitalinfo[[#This Row],[State]]</f>
        <v>ND</v>
      </c>
      <c r="C3073" t="str">
        <f>[1]!hospitalinfo[[#This Row],[Hospital Type]]</f>
        <v>Critical Access Hospitals</v>
      </c>
      <c r="D3073" t="str">
        <f>[1]!hospitalinfo[[#This Row],[Hospital Ownership]]</f>
        <v>Voluntary non-profit - Private</v>
      </c>
      <c r="E3073" t="str" cm="1">
        <f t="array" ref="E3073">_xlfn.IFNA(_xlfn.XLOOKUP(1,([1]!hcahps[Facility ID] = clean[[#This Row],[Facility ID]]) * ([1]!hcahps[HCAHPS Measure ID] = "H_HSP_RATING_LINEAR_SCORE"), [1]!hcahps[HCAHPS Linear Mean Value]), "No Match")</f>
        <v>Not Available</v>
      </c>
      <c r="F3073" cm="1">
        <f t="array" ref="F3073">_xlfn.IFNA(_xlfn.XLOOKUP(1,([1]!readmissions[Facility ID] = clean[[#This Row],[Facility ID]]) * ([1]!readmissions[Measure ID] = "Hybrid_HWR"), [1]!readmissions[Score]), "No Match")</f>
        <v>14.8</v>
      </c>
    </row>
    <row r="3074" spans="1:6" x14ac:dyDescent="0.2">
      <c r="A3074">
        <f>[1]!hospitalinfo[[#This Row],[Facility ID]]</f>
        <v>351326</v>
      </c>
      <c r="B3074" t="str">
        <f>[1]!hospitalinfo[[#This Row],[State]]</f>
        <v>ND</v>
      </c>
      <c r="C3074" t="str">
        <f>[1]!hospitalinfo[[#This Row],[Hospital Type]]</f>
        <v>Critical Access Hospitals</v>
      </c>
      <c r="D3074" t="str">
        <f>[1]!hospitalinfo[[#This Row],[Hospital Ownership]]</f>
        <v>Voluntary non-profit - Private</v>
      </c>
      <c r="E3074" t="str" cm="1">
        <f t="array" ref="E3074">_xlfn.IFNA(_xlfn.XLOOKUP(1,([1]!hcahps[Facility ID] = clean[[#This Row],[Facility ID]]) * ([1]!hcahps[HCAHPS Measure ID] = "H_HSP_RATING_LINEAR_SCORE"), [1]!hcahps[HCAHPS Linear Mean Value]), "No Match")</f>
        <v>Not Available</v>
      </c>
      <c r="F3074" cm="1">
        <f t="array" ref="F3074">_xlfn.IFNA(_xlfn.XLOOKUP(1,([1]!readmissions[Facility ID] = clean[[#This Row],[Facility ID]]) * ([1]!readmissions[Measure ID] = "Hybrid_HWR"), [1]!readmissions[Score]), "No Match")</f>
        <v>15.4</v>
      </c>
    </row>
    <row r="3075" spans="1:6" x14ac:dyDescent="0.2">
      <c r="A3075">
        <f>[1]!hospitalinfo[[#This Row],[Facility ID]]</f>
        <v>351327</v>
      </c>
      <c r="B3075" t="str">
        <f>[1]!hospitalinfo[[#This Row],[State]]</f>
        <v>ND</v>
      </c>
      <c r="C3075" t="str">
        <f>[1]!hospitalinfo[[#This Row],[Hospital Type]]</f>
        <v>Critical Access Hospitals</v>
      </c>
      <c r="D3075" t="str">
        <f>[1]!hospitalinfo[[#This Row],[Hospital Ownership]]</f>
        <v>Voluntary non-profit - Private</v>
      </c>
      <c r="E3075" t="str" cm="1">
        <f t="array" ref="E3075">_xlfn.IFNA(_xlfn.XLOOKUP(1,([1]!hcahps[Facility ID] = clean[[#This Row],[Facility ID]]) * ([1]!hcahps[HCAHPS Measure ID] = "H_HSP_RATING_LINEAR_SCORE"), [1]!hcahps[HCAHPS Linear Mean Value]), "No Match")</f>
        <v>Not Available</v>
      </c>
      <c r="F3075" cm="1">
        <f t="array" ref="F3075">_xlfn.IFNA(_xlfn.XLOOKUP(1,([1]!readmissions[Facility ID] = clean[[#This Row],[Facility ID]]) * ([1]!readmissions[Measure ID] = "Hybrid_HWR"), [1]!readmissions[Score]), "No Match")</f>
        <v>15.8</v>
      </c>
    </row>
    <row r="3076" spans="1:6" x14ac:dyDescent="0.2">
      <c r="A3076">
        <f>[1]!hospitalinfo[[#This Row],[Facility ID]]</f>
        <v>351328</v>
      </c>
      <c r="B3076" t="str">
        <f>[1]!hospitalinfo[[#This Row],[State]]</f>
        <v>ND</v>
      </c>
      <c r="C3076" t="str">
        <f>[1]!hospitalinfo[[#This Row],[Hospital Type]]</f>
        <v>Critical Access Hospitals</v>
      </c>
      <c r="D3076" t="str">
        <f>[1]!hospitalinfo[[#This Row],[Hospital Ownership]]</f>
        <v>Voluntary non-profit - Private</v>
      </c>
      <c r="E3076" t="str" cm="1">
        <f t="array" ref="E3076">_xlfn.IFNA(_xlfn.XLOOKUP(1,([1]!hcahps[Facility ID] = clean[[#This Row],[Facility ID]]) * ([1]!hcahps[HCAHPS Measure ID] = "H_HSP_RATING_LINEAR_SCORE"), [1]!hcahps[HCAHPS Linear Mean Value]), "No Match")</f>
        <v>Not Available</v>
      </c>
      <c r="F3076" cm="1">
        <f t="array" ref="F3076">_xlfn.IFNA(_xlfn.XLOOKUP(1,([1]!readmissions[Facility ID] = clean[[#This Row],[Facility ID]]) * ([1]!readmissions[Measure ID] = "Hybrid_HWR"), [1]!readmissions[Score]), "No Match")</f>
        <v>14.8</v>
      </c>
    </row>
    <row r="3077" spans="1:6" x14ac:dyDescent="0.2">
      <c r="A3077">
        <f>[1]!hospitalinfo[[#This Row],[Facility ID]]</f>
        <v>351329</v>
      </c>
      <c r="B3077" t="str">
        <f>[1]!hospitalinfo[[#This Row],[State]]</f>
        <v>ND</v>
      </c>
      <c r="C3077" t="str">
        <f>[1]!hospitalinfo[[#This Row],[Hospital Type]]</f>
        <v>Critical Access Hospitals</v>
      </c>
      <c r="D3077" t="str">
        <f>[1]!hospitalinfo[[#This Row],[Hospital Ownership]]</f>
        <v>Voluntary non-profit - Private</v>
      </c>
      <c r="E3077" t="str" cm="1">
        <f t="array" ref="E3077">_xlfn.IFNA(_xlfn.XLOOKUP(1,([1]!hcahps[Facility ID] = clean[[#This Row],[Facility ID]]) * ([1]!hcahps[HCAHPS Measure ID] = "H_HSP_RATING_LINEAR_SCORE"), [1]!hcahps[HCAHPS Linear Mean Value]), "No Match")</f>
        <v>Not Available</v>
      </c>
      <c r="F3077" cm="1">
        <f t="array" ref="F3077">_xlfn.IFNA(_xlfn.XLOOKUP(1,([1]!readmissions[Facility ID] = clean[[#This Row],[Facility ID]]) * ([1]!readmissions[Measure ID] = "Hybrid_HWR"), [1]!readmissions[Score]), "No Match")</f>
        <v>15.1</v>
      </c>
    </row>
    <row r="3078" spans="1:6" x14ac:dyDescent="0.2">
      <c r="A3078">
        <f>[1]!hospitalinfo[[#This Row],[Facility ID]]</f>
        <v>351330</v>
      </c>
      <c r="B3078" t="str">
        <f>[1]!hospitalinfo[[#This Row],[State]]</f>
        <v>ND</v>
      </c>
      <c r="C3078" t="str">
        <f>[1]!hospitalinfo[[#This Row],[Hospital Type]]</f>
        <v>Critical Access Hospitals</v>
      </c>
      <c r="D3078" t="str">
        <f>[1]!hospitalinfo[[#This Row],[Hospital Ownership]]</f>
        <v>Voluntary non-profit - Private</v>
      </c>
      <c r="E3078" cm="1">
        <f t="array" ref="E3078">_xlfn.IFNA(_xlfn.XLOOKUP(1,([1]!hcahps[Facility ID] = clean[[#This Row],[Facility ID]]) * ([1]!hcahps[HCAHPS Measure ID] = "H_HSP_RATING_LINEAR_SCORE"), [1]!hcahps[HCAHPS Linear Mean Value]), "No Match")</f>
        <v>90</v>
      </c>
      <c r="F3078" cm="1">
        <f t="array" ref="F3078">_xlfn.IFNA(_xlfn.XLOOKUP(1,([1]!readmissions[Facility ID] = clean[[#This Row],[Facility ID]]) * ([1]!readmissions[Measure ID] = "Hybrid_HWR"), [1]!readmissions[Score]), "No Match")</f>
        <v>15.3</v>
      </c>
    </row>
    <row r="3079" spans="1:6" x14ac:dyDescent="0.2">
      <c r="A3079">
        <f>[1]!hospitalinfo[[#This Row],[Facility ID]]</f>
        <v>351331</v>
      </c>
      <c r="B3079" t="str">
        <f>[1]!hospitalinfo[[#This Row],[State]]</f>
        <v>ND</v>
      </c>
      <c r="C3079" t="str">
        <f>[1]!hospitalinfo[[#This Row],[Hospital Type]]</f>
        <v>Critical Access Hospitals</v>
      </c>
      <c r="D3079" t="str">
        <f>[1]!hospitalinfo[[#This Row],[Hospital Ownership]]</f>
        <v>Voluntary non-profit - Private</v>
      </c>
      <c r="E3079" t="str" cm="1">
        <f t="array" ref="E3079">_xlfn.IFNA(_xlfn.XLOOKUP(1,([1]!hcahps[Facility ID] = clean[[#This Row],[Facility ID]]) * ([1]!hcahps[HCAHPS Measure ID] = "H_HSP_RATING_LINEAR_SCORE"), [1]!hcahps[HCAHPS Linear Mean Value]), "No Match")</f>
        <v>Not Available</v>
      </c>
      <c r="F3079" cm="1">
        <f t="array" ref="F3079">_xlfn.IFNA(_xlfn.XLOOKUP(1,([1]!readmissions[Facility ID] = clean[[#This Row],[Facility ID]]) * ([1]!readmissions[Measure ID] = "Hybrid_HWR"), [1]!readmissions[Score]), "No Match")</f>
        <v>14.8</v>
      </c>
    </row>
    <row r="3080" spans="1:6" x14ac:dyDescent="0.2">
      <c r="A3080">
        <f>[1]!hospitalinfo[[#This Row],[Facility ID]]</f>
        <v>351332</v>
      </c>
      <c r="B3080" t="str">
        <f>[1]!hospitalinfo[[#This Row],[State]]</f>
        <v>ND</v>
      </c>
      <c r="C3080" t="str">
        <f>[1]!hospitalinfo[[#This Row],[Hospital Type]]</f>
        <v>Critical Access Hospitals</v>
      </c>
      <c r="D3080" t="str">
        <f>[1]!hospitalinfo[[#This Row],[Hospital Ownership]]</f>
        <v>Voluntary non-profit - Private</v>
      </c>
      <c r="E3080" t="str" cm="1">
        <f t="array" ref="E3080">_xlfn.IFNA(_xlfn.XLOOKUP(1,([1]!hcahps[Facility ID] = clean[[#This Row],[Facility ID]]) * ([1]!hcahps[HCAHPS Measure ID] = "H_HSP_RATING_LINEAR_SCORE"), [1]!hcahps[HCAHPS Linear Mean Value]), "No Match")</f>
        <v>Not Available</v>
      </c>
      <c r="F3080" cm="1">
        <f t="array" ref="F3080">_xlfn.IFNA(_xlfn.XLOOKUP(1,([1]!readmissions[Facility ID] = clean[[#This Row],[Facility ID]]) * ([1]!readmissions[Measure ID] = "Hybrid_HWR"), [1]!readmissions[Score]), "No Match")</f>
        <v>15.5</v>
      </c>
    </row>
    <row r="3081" spans="1:6" x14ac:dyDescent="0.2">
      <c r="A3081">
        <f>[1]!hospitalinfo[[#This Row],[Facility ID]]</f>
        <v>351333</v>
      </c>
      <c r="B3081" t="str">
        <f>[1]!hospitalinfo[[#This Row],[State]]</f>
        <v>ND</v>
      </c>
      <c r="C3081" t="str">
        <f>[1]!hospitalinfo[[#This Row],[Hospital Type]]</f>
        <v>Critical Access Hospitals</v>
      </c>
      <c r="D3081" t="str">
        <f>[1]!hospitalinfo[[#This Row],[Hospital Ownership]]</f>
        <v>Voluntary non-profit - Private</v>
      </c>
      <c r="E3081" t="str" cm="1">
        <f t="array" ref="E3081">_xlfn.IFNA(_xlfn.XLOOKUP(1,([1]!hcahps[Facility ID] = clean[[#This Row],[Facility ID]]) * ([1]!hcahps[HCAHPS Measure ID] = "H_HSP_RATING_LINEAR_SCORE"), [1]!hcahps[HCAHPS Linear Mean Value]), "No Match")</f>
        <v>Not Available</v>
      </c>
      <c r="F3081" cm="1">
        <f t="array" ref="F3081">_xlfn.IFNA(_xlfn.XLOOKUP(1,([1]!readmissions[Facility ID] = clean[[#This Row],[Facility ID]]) * ([1]!readmissions[Measure ID] = "Hybrid_HWR"), [1]!readmissions[Score]), "No Match")</f>
        <v>14.9</v>
      </c>
    </row>
    <row r="3082" spans="1:6" x14ac:dyDescent="0.2">
      <c r="A3082">
        <f>[1]!hospitalinfo[[#This Row],[Facility ID]]</f>
        <v>351334</v>
      </c>
      <c r="B3082" t="str">
        <f>[1]!hospitalinfo[[#This Row],[State]]</f>
        <v>ND</v>
      </c>
      <c r="C3082" t="str">
        <f>[1]!hospitalinfo[[#This Row],[Hospital Type]]</f>
        <v>Critical Access Hospitals</v>
      </c>
      <c r="D3082" t="str">
        <f>[1]!hospitalinfo[[#This Row],[Hospital Ownership]]</f>
        <v>Voluntary non-profit - Church</v>
      </c>
      <c r="E3082" cm="1">
        <f t="array" ref="E3082">_xlfn.IFNA(_xlfn.XLOOKUP(1,([1]!hcahps[Facility ID] = clean[[#This Row],[Facility ID]]) * ([1]!hcahps[HCAHPS Measure ID] = "H_HSP_RATING_LINEAR_SCORE"), [1]!hcahps[HCAHPS Linear Mean Value]), "No Match")</f>
        <v>84</v>
      </c>
      <c r="F3082" cm="1">
        <f t="array" ref="F3082">_xlfn.IFNA(_xlfn.XLOOKUP(1,([1]!readmissions[Facility ID] = clean[[#This Row],[Facility ID]]) * ([1]!readmissions[Measure ID] = "Hybrid_HWR"), [1]!readmissions[Score]), "No Match")</f>
        <v>15.6</v>
      </c>
    </row>
    <row r="3083" spans="1:6" x14ac:dyDescent="0.2">
      <c r="A3083">
        <f>[1]!hospitalinfo[[#This Row],[Facility ID]]</f>
        <v>351335</v>
      </c>
      <c r="B3083" t="str">
        <f>[1]!hospitalinfo[[#This Row],[State]]</f>
        <v>ND</v>
      </c>
      <c r="C3083" t="str">
        <f>[1]!hospitalinfo[[#This Row],[Hospital Type]]</f>
        <v>Critical Access Hospitals</v>
      </c>
      <c r="D3083" t="str">
        <f>[1]!hospitalinfo[[#This Row],[Hospital Ownership]]</f>
        <v>Voluntary non-profit - Private</v>
      </c>
      <c r="E3083" cm="1">
        <f t="array" ref="E3083">_xlfn.IFNA(_xlfn.XLOOKUP(1,([1]!hcahps[Facility ID] = clean[[#This Row],[Facility ID]]) * ([1]!hcahps[HCAHPS Measure ID] = "H_HSP_RATING_LINEAR_SCORE"), [1]!hcahps[HCAHPS Linear Mean Value]), "No Match")</f>
        <v>92</v>
      </c>
      <c r="F3083" cm="1">
        <f t="array" ref="F3083">_xlfn.IFNA(_xlfn.XLOOKUP(1,([1]!readmissions[Facility ID] = clean[[#This Row],[Facility ID]]) * ([1]!readmissions[Measure ID] = "Hybrid_HWR"), [1]!readmissions[Score]), "No Match")</f>
        <v>14.7</v>
      </c>
    </row>
    <row r="3084" spans="1:6" x14ac:dyDescent="0.2">
      <c r="A3084">
        <f>[1]!hospitalinfo[[#This Row],[Facility ID]]</f>
        <v>351336</v>
      </c>
      <c r="B3084" t="str">
        <f>[1]!hospitalinfo[[#This Row],[State]]</f>
        <v>ND</v>
      </c>
      <c r="C3084" t="str">
        <f>[1]!hospitalinfo[[#This Row],[Hospital Type]]</f>
        <v>Critical Access Hospitals</v>
      </c>
      <c r="D3084" t="str">
        <f>[1]!hospitalinfo[[#This Row],[Hospital Ownership]]</f>
        <v>Voluntary non-profit - Church</v>
      </c>
      <c r="E3084" cm="1">
        <f t="array" ref="E3084">_xlfn.IFNA(_xlfn.XLOOKUP(1,([1]!hcahps[Facility ID] = clean[[#This Row],[Facility ID]]) * ([1]!hcahps[HCAHPS Measure ID] = "H_HSP_RATING_LINEAR_SCORE"), [1]!hcahps[HCAHPS Linear Mean Value]), "No Match")</f>
        <v>86</v>
      </c>
      <c r="F3084" cm="1">
        <f t="array" ref="F3084">_xlfn.IFNA(_xlfn.XLOOKUP(1,([1]!readmissions[Facility ID] = clean[[#This Row],[Facility ID]]) * ([1]!readmissions[Measure ID] = "Hybrid_HWR"), [1]!readmissions[Score]), "No Match")</f>
        <v>13.6</v>
      </c>
    </row>
    <row r="3085" spans="1:6" x14ac:dyDescent="0.2">
      <c r="A3085">
        <f>[1]!hospitalinfo[[#This Row],[Facility ID]]</f>
        <v>351364</v>
      </c>
      <c r="B3085" t="str">
        <f>[1]!hospitalinfo[[#This Row],[State]]</f>
        <v>ND</v>
      </c>
      <c r="C3085" t="str">
        <f>[1]!hospitalinfo[[#This Row],[Hospital Type]]</f>
        <v>Critical Access Hospitals</v>
      </c>
      <c r="D3085" t="str">
        <f>[1]!hospitalinfo[[#This Row],[Hospital Ownership]]</f>
        <v>Government - Federal</v>
      </c>
      <c r="E3085" t="str" cm="1">
        <f t="array" ref="E3085">_xlfn.IFNA(_xlfn.XLOOKUP(1,([1]!hcahps[Facility ID] = clean[[#This Row],[Facility ID]]) * ([1]!hcahps[HCAHPS Measure ID] = "H_HSP_RATING_LINEAR_SCORE"), [1]!hcahps[HCAHPS Linear Mean Value]), "No Match")</f>
        <v>Not Available</v>
      </c>
      <c r="F3085" t="str" cm="1">
        <f t="array" ref="F3085">_xlfn.IFNA(_xlfn.XLOOKUP(1,([1]!readmissions[Facility ID] = clean[[#This Row],[Facility ID]]) * ([1]!readmissions[Measure ID] = "Hybrid_HWR"), [1]!readmissions[Score]), "No Match")</f>
        <v>Not Available</v>
      </c>
    </row>
    <row r="3086" spans="1:6" x14ac:dyDescent="0.2">
      <c r="A3086">
        <f>[1]!hospitalinfo[[#This Row],[Facility ID]]</f>
        <v>354003</v>
      </c>
      <c r="B3086" t="str">
        <f>[1]!hospitalinfo[[#This Row],[State]]</f>
        <v>ND</v>
      </c>
      <c r="C3086" t="str">
        <f>[1]!hospitalinfo[[#This Row],[Hospital Type]]</f>
        <v>Psychiatric</v>
      </c>
      <c r="D3086" t="str">
        <f>[1]!hospitalinfo[[#This Row],[Hospital Ownership]]</f>
        <v>Government - State</v>
      </c>
      <c r="E3086" t="str" cm="1">
        <f t="array" ref="E3086">_xlfn.IFNA(_xlfn.XLOOKUP(1,([1]!hcahps[Facility ID] = clean[[#This Row],[Facility ID]]) * ([1]!hcahps[HCAHPS Measure ID] = "H_HSP_RATING_LINEAR_SCORE"), [1]!hcahps[HCAHPS Linear Mean Value]), "No Match")</f>
        <v>No Match</v>
      </c>
      <c r="F3086" t="str" cm="1">
        <f t="array" ref="F3086">_xlfn.IFNA(_xlfn.XLOOKUP(1,([1]!readmissions[Facility ID] = clean[[#This Row],[Facility ID]]) * ([1]!readmissions[Measure ID] = "Hybrid_HWR"), [1]!readmissions[Score]), "No Match")</f>
        <v>No Match</v>
      </c>
    </row>
    <row r="3087" spans="1:6" x14ac:dyDescent="0.2">
      <c r="A3087">
        <f>[1]!hospitalinfo[[#This Row],[Facility ID]]</f>
        <v>354004</v>
      </c>
      <c r="B3087" t="str">
        <f>[1]!hospitalinfo[[#This Row],[State]]</f>
        <v>ND</v>
      </c>
      <c r="C3087" t="str">
        <f>[1]!hospitalinfo[[#This Row],[Hospital Type]]</f>
        <v>Psychiatric</v>
      </c>
      <c r="D3087" t="str">
        <f>[1]!hospitalinfo[[#This Row],[Hospital Ownership]]</f>
        <v>Proprietary</v>
      </c>
      <c r="E3087" t="str" cm="1">
        <f t="array" ref="E3087">_xlfn.IFNA(_xlfn.XLOOKUP(1,([1]!hcahps[Facility ID] = clean[[#This Row],[Facility ID]]) * ([1]!hcahps[HCAHPS Measure ID] = "H_HSP_RATING_LINEAR_SCORE"), [1]!hcahps[HCAHPS Linear Mean Value]), "No Match")</f>
        <v>No Match</v>
      </c>
      <c r="F3087" t="str" cm="1">
        <f t="array" ref="F3087">_xlfn.IFNA(_xlfn.XLOOKUP(1,([1]!readmissions[Facility ID] = clean[[#This Row],[Facility ID]]) * ([1]!readmissions[Measure ID] = "Hybrid_HWR"), [1]!readmissions[Score]), "No Match")</f>
        <v>No Match</v>
      </c>
    </row>
    <row r="3088" spans="1:6" x14ac:dyDescent="0.2">
      <c r="A3088" t="str">
        <f>[1]!hospitalinfo[[#This Row],[Facility ID]]</f>
        <v>35002F</v>
      </c>
      <c r="B3088" t="str">
        <f>[1]!hospitalinfo[[#This Row],[State]]</f>
        <v>ND</v>
      </c>
      <c r="C3088" t="str">
        <f>[1]!hospitalinfo[[#This Row],[Hospital Type]]</f>
        <v>Acute Care - Veterans Administration</v>
      </c>
      <c r="D3088" t="str">
        <f>[1]!hospitalinfo[[#This Row],[Hospital Ownership]]</f>
        <v>Veterans Health Administration</v>
      </c>
      <c r="E3088" cm="1">
        <f t="array" ref="E3088">_xlfn.IFNA(_xlfn.XLOOKUP(1,([1]!hcahps[Facility ID] = clean[[#This Row],[Facility ID]]) * ([1]!hcahps[HCAHPS Measure ID] = "H_HSP_RATING_LINEAR_SCORE"), [1]!hcahps[HCAHPS Linear Mean Value]), "No Match")</f>
        <v>93</v>
      </c>
      <c r="F3088" cm="1">
        <f t="array" ref="F3088">_xlfn.IFNA(_xlfn.XLOOKUP(1,([1]!readmissions[Facility ID] = clean[[#This Row],[Facility ID]]) * ([1]!readmissions[Measure ID] = "Hybrid_HWR"), [1]!readmissions[Score]), "No Match")</f>
        <v>14.8</v>
      </c>
    </row>
    <row r="3089" spans="1:6" x14ac:dyDescent="0.2">
      <c r="A3089">
        <f>[1]!hospitalinfo[[#This Row],[Facility ID]]</f>
        <v>280003</v>
      </c>
      <c r="B3089" t="str">
        <f>[1]!hospitalinfo[[#This Row],[State]]</f>
        <v>NE</v>
      </c>
      <c r="C3089" t="str">
        <f>[1]!hospitalinfo[[#This Row],[Hospital Type]]</f>
        <v>Acute Care Hospitals</v>
      </c>
      <c r="D3089" t="str">
        <f>[1]!hospitalinfo[[#This Row],[Hospital Ownership]]</f>
        <v>Voluntary non-profit - Private</v>
      </c>
      <c r="E3089" cm="1">
        <f t="array" ref="E3089">_xlfn.IFNA(_xlfn.XLOOKUP(1,([1]!hcahps[Facility ID] = clean[[#This Row],[Facility ID]]) * ([1]!hcahps[HCAHPS Measure ID] = "H_HSP_RATING_LINEAR_SCORE"), [1]!hcahps[HCAHPS Linear Mean Value]), "No Match")</f>
        <v>90</v>
      </c>
      <c r="F3089" cm="1">
        <f t="array" ref="F3089">_xlfn.IFNA(_xlfn.XLOOKUP(1,([1]!readmissions[Facility ID] = clean[[#This Row],[Facility ID]]) * ([1]!readmissions[Measure ID] = "Hybrid_HWR"), [1]!readmissions[Score]), "No Match")</f>
        <v>14.7</v>
      </c>
    </row>
    <row r="3090" spans="1:6" x14ac:dyDescent="0.2">
      <c r="A3090">
        <f>[1]!hospitalinfo[[#This Row],[Facility ID]]</f>
        <v>280009</v>
      </c>
      <c r="B3090" t="str">
        <f>[1]!hospitalinfo[[#This Row],[State]]</f>
        <v>NE</v>
      </c>
      <c r="C3090" t="str">
        <f>[1]!hospitalinfo[[#This Row],[Hospital Type]]</f>
        <v>Acute Care Hospitals</v>
      </c>
      <c r="D3090" t="str">
        <f>[1]!hospitalinfo[[#This Row],[Hospital Ownership]]</f>
        <v>Voluntary non-profit - Church</v>
      </c>
      <c r="E3090" cm="1">
        <f t="array" ref="E3090">_xlfn.IFNA(_xlfn.XLOOKUP(1,([1]!hcahps[Facility ID] = clean[[#This Row],[Facility ID]]) * ([1]!hcahps[HCAHPS Measure ID] = "H_HSP_RATING_LINEAR_SCORE"), [1]!hcahps[HCAHPS Linear Mean Value]), "No Match")</f>
        <v>89</v>
      </c>
      <c r="F3090" cm="1">
        <f t="array" ref="F3090">_xlfn.IFNA(_xlfn.XLOOKUP(1,([1]!readmissions[Facility ID] = clean[[#This Row],[Facility ID]]) * ([1]!readmissions[Measure ID] = "Hybrid_HWR"), [1]!readmissions[Score]), "No Match")</f>
        <v>14.7</v>
      </c>
    </row>
    <row r="3091" spans="1:6" x14ac:dyDescent="0.2">
      <c r="A3091">
        <f>[1]!hospitalinfo[[#This Row],[Facility ID]]</f>
        <v>280013</v>
      </c>
      <c r="B3091" t="str">
        <f>[1]!hospitalinfo[[#This Row],[State]]</f>
        <v>NE</v>
      </c>
      <c r="C3091" t="str">
        <f>[1]!hospitalinfo[[#This Row],[Hospital Type]]</f>
        <v>Acute Care Hospitals</v>
      </c>
      <c r="D3091" t="str">
        <f>[1]!hospitalinfo[[#This Row],[Hospital Ownership]]</f>
        <v>Voluntary non-profit - Private</v>
      </c>
      <c r="E3091" cm="1">
        <f t="array" ref="E3091">_xlfn.IFNA(_xlfn.XLOOKUP(1,([1]!hcahps[Facility ID] = clean[[#This Row],[Facility ID]]) * ([1]!hcahps[HCAHPS Measure ID] = "H_HSP_RATING_LINEAR_SCORE"), [1]!hcahps[HCAHPS Linear Mean Value]), "No Match")</f>
        <v>87</v>
      </c>
      <c r="F3091" cm="1">
        <f t="array" ref="F3091">_xlfn.IFNA(_xlfn.XLOOKUP(1,([1]!readmissions[Facility ID] = clean[[#This Row],[Facility ID]]) * ([1]!readmissions[Measure ID] = "Hybrid_HWR"), [1]!readmissions[Score]), "No Match")</f>
        <v>15</v>
      </c>
    </row>
    <row r="3092" spans="1:6" x14ac:dyDescent="0.2">
      <c r="A3092">
        <f>[1]!hospitalinfo[[#This Row],[Facility ID]]</f>
        <v>280020</v>
      </c>
      <c r="B3092" t="str">
        <f>[1]!hospitalinfo[[#This Row],[State]]</f>
        <v>NE</v>
      </c>
      <c r="C3092" t="str">
        <f>[1]!hospitalinfo[[#This Row],[Hospital Type]]</f>
        <v>Acute Care Hospitals</v>
      </c>
      <c r="D3092" t="str">
        <f>[1]!hospitalinfo[[#This Row],[Hospital Ownership]]</f>
        <v>Voluntary non-profit - Private</v>
      </c>
      <c r="E3092" cm="1">
        <f t="array" ref="E3092">_xlfn.IFNA(_xlfn.XLOOKUP(1,([1]!hcahps[Facility ID] = clean[[#This Row],[Facility ID]]) * ([1]!hcahps[HCAHPS Measure ID] = "H_HSP_RATING_LINEAR_SCORE"), [1]!hcahps[HCAHPS Linear Mean Value]), "No Match")</f>
        <v>86</v>
      </c>
      <c r="F3092" cm="1">
        <f t="array" ref="F3092">_xlfn.IFNA(_xlfn.XLOOKUP(1,([1]!readmissions[Facility ID] = clean[[#This Row],[Facility ID]]) * ([1]!readmissions[Measure ID] = "Hybrid_HWR"), [1]!readmissions[Score]), "No Match")</f>
        <v>15</v>
      </c>
    </row>
    <row r="3093" spans="1:6" x14ac:dyDescent="0.2">
      <c r="A3093">
        <f>[1]!hospitalinfo[[#This Row],[Facility ID]]</f>
        <v>280023</v>
      </c>
      <c r="B3093" t="str">
        <f>[1]!hospitalinfo[[#This Row],[State]]</f>
        <v>NE</v>
      </c>
      <c r="C3093" t="str">
        <f>[1]!hospitalinfo[[#This Row],[Hospital Type]]</f>
        <v>Acute Care Hospitals</v>
      </c>
      <c r="D3093" t="str">
        <f>[1]!hospitalinfo[[#This Row],[Hospital Ownership]]</f>
        <v>Voluntary non-profit - Church</v>
      </c>
      <c r="E3093" cm="1">
        <f t="array" ref="E3093">_xlfn.IFNA(_xlfn.XLOOKUP(1,([1]!hcahps[Facility ID] = clean[[#This Row],[Facility ID]]) * ([1]!hcahps[HCAHPS Measure ID] = "H_HSP_RATING_LINEAR_SCORE"), [1]!hcahps[HCAHPS Linear Mean Value]), "No Match")</f>
        <v>88</v>
      </c>
      <c r="F3093" cm="1">
        <f t="array" ref="F3093">_xlfn.IFNA(_xlfn.XLOOKUP(1,([1]!readmissions[Facility ID] = clean[[#This Row],[Facility ID]]) * ([1]!readmissions[Measure ID] = "Hybrid_HWR"), [1]!readmissions[Score]), "No Match")</f>
        <v>14.3</v>
      </c>
    </row>
    <row r="3094" spans="1:6" x14ac:dyDescent="0.2">
      <c r="A3094">
        <f>[1]!hospitalinfo[[#This Row],[Facility ID]]</f>
        <v>280032</v>
      </c>
      <c r="B3094" t="str">
        <f>[1]!hospitalinfo[[#This Row],[State]]</f>
        <v>NE</v>
      </c>
      <c r="C3094" t="str">
        <f>[1]!hospitalinfo[[#This Row],[Hospital Type]]</f>
        <v>Acute Care Hospitals</v>
      </c>
      <c r="D3094" t="str">
        <f>[1]!hospitalinfo[[#This Row],[Hospital Ownership]]</f>
        <v>Voluntary non-profit - Other</v>
      </c>
      <c r="E3094" cm="1">
        <f t="array" ref="E3094">_xlfn.IFNA(_xlfn.XLOOKUP(1,([1]!hcahps[Facility ID] = clean[[#This Row],[Facility ID]]) * ([1]!hcahps[HCAHPS Measure ID] = "H_HSP_RATING_LINEAR_SCORE"), [1]!hcahps[HCAHPS Linear Mean Value]), "No Match")</f>
        <v>89</v>
      </c>
      <c r="F3094" cm="1">
        <f t="array" ref="F3094">_xlfn.IFNA(_xlfn.XLOOKUP(1,([1]!readmissions[Facility ID] = clean[[#This Row],[Facility ID]]) * ([1]!readmissions[Measure ID] = "Hybrid_HWR"), [1]!readmissions[Score]), "No Match")</f>
        <v>13.7</v>
      </c>
    </row>
    <row r="3095" spans="1:6" x14ac:dyDescent="0.2">
      <c r="A3095">
        <f>[1]!hospitalinfo[[#This Row],[Facility ID]]</f>
        <v>280040</v>
      </c>
      <c r="B3095" t="str">
        <f>[1]!hospitalinfo[[#This Row],[State]]</f>
        <v>NE</v>
      </c>
      <c r="C3095" t="str">
        <f>[1]!hospitalinfo[[#This Row],[Hospital Type]]</f>
        <v>Acute Care Hospitals</v>
      </c>
      <c r="D3095" t="str">
        <f>[1]!hospitalinfo[[#This Row],[Hospital Ownership]]</f>
        <v>Voluntary non-profit - Private</v>
      </c>
      <c r="E3095" cm="1">
        <f t="array" ref="E3095">_xlfn.IFNA(_xlfn.XLOOKUP(1,([1]!hcahps[Facility ID] = clean[[#This Row],[Facility ID]]) * ([1]!hcahps[HCAHPS Measure ID] = "H_HSP_RATING_LINEAR_SCORE"), [1]!hcahps[HCAHPS Linear Mean Value]), "No Match")</f>
        <v>92</v>
      </c>
      <c r="F3095" cm="1">
        <f t="array" ref="F3095">_xlfn.IFNA(_xlfn.XLOOKUP(1,([1]!readmissions[Facility ID] = clean[[#This Row],[Facility ID]]) * ([1]!readmissions[Measure ID] = "Hybrid_HWR"), [1]!readmissions[Score]), "No Match")</f>
        <v>15.5</v>
      </c>
    </row>
    <row r="3096" spans="1:6" x14ac:dyDescent="0.2">
      <c r="A3096">
        <f>[1]!hospitalinfo[[#This Row],[Facility ID]]</f>
        <v>280059</v>
      </c>
      <c r="B3096" t="str">
        <f>[1]!hospitalinfo[[#This Row],[State]]</f>
        <v>NE</v>
      </c>
      <c r="C3096" t="str">
        <f>[1]!hospitalinfo[[#This Row],[Hospital Type]]</f>
        <v>Acute Care Hospitals</v>
      </c>
      <c r="D3096" t="str">
        <f>[1]!hospitalinfo[[#This Row],[Hospital Ownership]]</f>
        <v>Tribal</v>
      </c>
      <c r="E3096" t="str" cm="1">
        <f t="array" ref="E3096">_xlfn.IFNA(_xlfn.XLOOKUP(1,([1]!hcahps[Facility ID] = clean[[#This Row],[Facility ID]]) * ([1]!hcahps[HCAHPS Measure ID] = "H_HSP_RATING_LINEAR_SCORE"), [1]!hcahps[HCAHPS Linear Mean Value]), "No Match")</f>
        <v>Not Available</v>
      </c>
      <c r="F3096" t="str" cm="1">
        <f t="array" ref="F3096">_xlfn.IFNA(_xlfn.XLOOKUP(1,([1]!readmissions[Facility ID] = clean[[#This Row],[Facility ID]]) * ([1]!readmissions[Measure ID] = "Hybrid_HWR"), [1]!readmissions[Score]), "No Match")</f>
        <v>Not Available</v>
      </c>
    </row>
    <row r="3097" spans="1:6" x14ac:dyDescent="0.2">
      <c r="A3097">
        <f>[1]!hospitalinfo[[#This Row],[Facility ID]]</f>
        <v>280060</v>
      </c>
      <c r="B3097" t="str">
        <f>[1]!hospitalinfo[[#This Row],[State]]</f>
        <v>NE</v>
      </c>
      <c r="C3097" t="str">
        <f>[1]!hospitalinfo[[#This Row],[Hospital Type]]</f>
        <v>Acute Care Hospitals</v>
      </c>
      <c r="D3097" t="str">
        <f>[1]!hospitalinfo[[#This Row],[Hospital Ownership]]</f>
        <v>Voluntary non-profit - Private</v>
      </c>
      <c r="E3097" cm="1">
        <f t="array" ref="E3097">_xlfn.IFNA(_xlfn.XLOOKUP(1,([1]!hcahps[Facility ID] = clean[[#This Row],[Facility ID]]) * ([1]!hcahps[HCAHPS Measure ID] = "H_HSP_RATING_LINEAR_SCORE"), [1]!hcahps[HCAHPS Linear Mean Value]), "No Match")</f>
        <v>84</v>
      </c>
      <c r="F3097" cm="1">
        <f t="array" ref="F3097">_xlfn.IFNA(_xlfn.XLOOKUP(1,([1]!readmissions[Facility ID] = clean[[#This Row],[Facility ID]]) * ([1]!readmissions[Measure ID] = "Hybrid_HWR"), [1]!readmissions[Score]), "No Match")</f>
        <v>14.6</v>
      </c>
    </row>
    <row r="3098" spans="1:6" x14ac:dyDescent="0.2">
      <c r="A3098">
        <f>[1]!hospitalinfo[[#This Row],[Facility ID]]</f>
        <v>280061</v>
      </c>
      <c r="B3098" t="str">
        <f>[1]!hospitalinfo[[#This Row],[State]]</f>
        <v>NE</v>
      </c>
      <c r="C3098" t="str">
        <f>[1]!hospitalinfo[[#This Row],[Hospital Type]]</f>
        <v>Acute Care Hospitals</v>
      </c>
      <c r="D3098" t="str">
        <f>[1]!hospitalinfo[[#This Row],[Hospital Ownership]]</f>
        <v>Voluntary non-profit - Private</v>
      </c>
      <c r="E3098" cm="1">
        <f t="array" ref="E3098">_xlfn.IFNA(_xlfn.XLOOKUP(1,([1]!hcahps[Facility ID] = clean[[#This Row],[Facility ID]]) * ([1]!hcahps[HCAHPS Measure ID] = "H_HSP_RATING_LINEAR_SCORE"), [1]!hcahps[HCAHPS Linear Mean Value]), "No Match")</f>
        <v>81</v>
      </c>
      <c r="F3098" cm="1">
        <f t="array" ref="F3098">_xlfn.IFNA(_xlfn.XLOOKUP(1,([1]!readmissions[Facility ID] = clean[[#This Row],[Facility ID]]) * ([1]!readmissions[Measure ID] = "Hybrid_HWR"), [1]!readmissions[Score]), "No Match")</f>
        <v>14.9</v>
      </c>
    </row>
    <row r="3099" spans="1:6" x14ac:dyDescent="0.2">
      <c r="A3099">
        <f>[1]!hospitalinfo[[#This Row],[Facility ID]]</f>
        <v>280065</v>
      </c>
      <c r="B3099" t="str">
        <f>[1]!hospitalinfo[[#This Row],[State]]</f>
        <v>NE</v>
      </c>
      <c r="C3099" t="str">
        <f>[1]!hospitalinfo[[#This Row],[Hospital Type]]</f>
        <v>Acute Care Hospitals</v>
      </c>
      <c r="D3099" t="str">
        <f>[1]!hospitalinfo[[#This Row],[Hospital Ownership]]</f>
        <v>Voluntary non-profit - Private</v>
      </c>
      <c r="E3099" cm="1">
        <f t="array" ref="E3099">_xlfn.IFNA(_xlfn.XLOOKUP(1,([1]!hcahps[Facility ID] = clean[[#This Row],[Facility ID]]) * ([1]!hcahps[HCAHPS Measure ID] = "H_HSP_RATING_LINEAR_SCORE"), [1]!hcahps[HCAHPS Linear Mean Value]), "No Match")</f>
        <v>85</v>
      </c>
      <c r="F3099" cm="1">
        <f t="array" ref="F3099">_xlfn.IFNA(_xlfn.XLOOKUP(1,([1]!readmissions[Facility ID] = clean[[#This Row],[Facility ID]]) * ([1]!readmissions[Measure ID] = "Hybrid_HWR"), [1]!readmissions[Score]), "No Match")</f>
        <v>15</v>
      </c>
    </row>
    <row r="3100" spans="1:6" x14ac:dyDescent="0.2">
      <c r="A3100">
        <f>[1]!hospitalinfo[[#This Row],[Facility ID]]</f>
        <v>280077</v>
      </c>
      <c r="B3100" t="str">
        <f>[1]!hospitalinfo[[#This Row],[State]]</f>
        <v>NE</v>
      </c>
      <c r="C3100" t="str">
        <f>[1]!hospitalinfo[[#This Row],[Hospital Type]]</f>
        <v>Acute Care Hospitals</v>
      </c>
      <c r="D3100" t="str">
        <f>[1]!hospitalinfo[[#This Row],[Hospital Ownership]]</f>
        <v>Voluntary non-profit - Private</v>
      </c>
      <c r="E3100" cm="1">
        <f t="array" ref="E3100">_xlfn.IFNA(_xlfn.XLOOKUP(1,([1]!hcahps[Facility ID] = clean[[#This Row],[Facility ID]]) * ([1]!hcahps[HCAHPS Measure ID] = "H_HSP_RATING_LINEAR_SCORE"), [1]!hcahps[HCAHPS Linear Mean Value]), "No Match")</f>
        <v>89</v>
      </c>
      <c r="F3100" cm="1">
        <f t="array" ref="F3100">_xlfn.IFNA(_xlfn.XLOOKUP(1,([1]!readmissions[Facility ID] = clean[[#This Row],[Facility ID]]) * ([1]!readmissions[Measure ID] = "Hybrid_HWR"), [1]!readmissions[Score]), "No Match")</f>
        <v>14.9</v>
      </c>
    </row>
    <row r="3101" spans="1:6" x14ac:dyDescent="0.2">
      <c r="A3101">
        <f>[1]!hospitalinfo[[#This Row],[Facility ID]]</f>
        <v>280081</v>
      </c>
      <c r="B3101" t="str">
        <f>[1]!hospitalinfo[[#This Row],[State]]</f>
        <v>NE</v>
      </c>
      <c r="C3101" t="str">
        <f>[1]!hospitalinfo[[#This Row],[Hospital Type]]</f>
        <v>Acute Care Hospitals</v>
      </c>
      <c r="D3101" t="str">
        <f>[1]!hospitalinfo[[#This Row],[Hospital Ownership]]</f>
        <v>Voluntary non-profit - Private</v>
      </c>
      <c r="E3101" cm="1">
        <f t="array" ref="E3101">_xlfn.IFNA(_xlfn.XLOOKUP(1,([1]!hcahps[Facility ID] = clean[[#This Row],[Facility ID]]) * ([1]!hcahps[HCAHPS Measure ID] = "H_HSP_RATING_LINEAR_SCORE"), [1]!hcahps[HCAHPS Linear Mean Value]), "No Match")</f>
        <v>87</v>
      </c>
      <c r="F3101" cm="1">
        <f t="array" ref="F3101">_xlfn.IFNA(_xlfn.XLOOKUP(1,([1]!readmissions[Facility ID] = clean[[#This Row],[Facility ID]]) * ([1]!readmissions[Measure ID] = "Hybrid_HWR"), [1]!readmissions[Score]), "No Match")</f>
        <v>15.5</v>
      </c>
    </row>
    <row r="3102" spans="1:6" x14ac:dyDescent="0.2">
      <c r="A3102">
        <f>[1]!hospitalinfo[[#This Row],[Facility ID]]</f>
        <v>280105</v>
      </c>
      <c r="B3102" t="str">
        <f>[1]!hospitalinfo[[#This Row],[State]]</f>
        <v>NE</v>
      </c>
      <c r="C3102" t="str">
        <f>[1]!hospitalinfo[[#This Row],[Hospital Type]]</f>
        <v>Acute Care Hospitals</v>
      </c>
      <c r="D3102" t="str">
        <f>[1]!hospitalinfo[[#This Row],[Hospital Ownership]]</f>
        <v>Voluntary non-profit - Church</v>
      </c>
      <c r="E3102" cm="1">
        <f t="array" ref="E3102">_xlfn.IFNA(_xlfn.XLOOKUP(1,([1]!hcahps[Facility ID] = clean[[#This Row],[Facility ID]]) * ([1]!hcahps[HCAHPS Measure ID] = "H_HSP_RATING_LINEAR_SCORE"), [1]!hcahps[HCAHPS Linear Mean Value]), "No Match")</f>
        <v>90</v>
      </c>
      <c r="F3102" cm="1">
        <f t="array" ref="F3102">_xlfn.IFNA(_xlfn.XLOOKUP(1,([1]!readmissions[Facility ID] = clean[[#This Row],[Facility ID]]) * ([1]!readmissions[Measure ID] = "Hybrid_HWR"), [1]!readmissions[Score]), "No Match")</f>
        <v>14.8</v>
      </c>
    </row>
    <row r="3103" spans="1:6" x14ac:dyDescent="0.2">
      <c r="A3103">
        <f>[1]!hospitalinfo[[#This Row],[Facility ID]]</f>
        <v>280111</v>
      </c>
      <c r="B3103" t="str">
        <f>[1]!hospitalinfo[[#This Row],[State]]</f>
        <v>NE</v>
      </c>
      <c r="C3103" t="str">
        <f>[1]!hospitalinfo[[#This Row],[Hospital Type]]</f>
        <v>Acute Care Hospitals</v>
      </c>
      <c r="D3103" t="str">
        <f>[1]!hospitalinfo[[#This Row],[Hospital Ownership]]</f>
        <v>Voluntary non-profit - Other</v>
      </c>
      <c r="E3103" cm="1">
        <f t="array" ref="E3103">_xlfn.IFNA(_xlfn.XLOOKUP(1,([1]!hcahps[Facility ID] = clean[[#This Row],[Facility ID]]) * ([1]!hcahps[HCAHPS Measure ID] = "H_HSP_RATING_LINEAR_SCORE"), [1]!hcahps[HCAHPS Linear Mean Value]), "No Match")</f>
        <v>90</v>
      </c>
      <c r="F3103" cm="1">
        <f t="array" ref="F3103">_xlfn.IFNA(_xlfn.XLOOKUP(1,([1]!readmissions[Facility ID] = clean[[#This Row],[Facility ID]]) * ([1]!readmissions[Measure ID] = "Hybrid_HWR"), [1]!readmissions[Score]), "No Match")</f>
        <v>14.1</v>
      </c>
    </row>
    <row r="3104" spans="1:6" x14ac:dyDescent="0.2">
      <c r="A3104">
        <f>[1]!hospitalinfo[[#This Row],[Facility ID]]</f>
        <v>280125</v>
      </c>
      <c r="B3104" t="str">
        <f>[1]!hospitalinfo[[#This Row],[State]]</f>
        <v>NE</v>
      </c>
      <c r="C3104" t="str">
        <f>[1]!hospitalinfo[[#This Row],[Hospital Type]]</f>
        <v>Acute Care Hospitals</v>
      </c>
      <c r="D3104" t="str">
        <f>[1]!hospitalinfo[[#This Row],[Hospital Ownership]]</f>
        <v>Voluntary non-profit - Church</v>
      </c>
      <c r="E3104" cm="1">
        <f t="array" ref="E3104">_xlfn.IFNA(_xlfn.XLOOKUP(1,([1]!hcahps[Facility ID] = clean[[#This Row],[Facility ID]]) * ([1]!hcahps[HCAHPS Measure ID] = "H_HSP_RATING_LINEAR_SCORE"), [1]!hcahps[HCAHPS Linear Mean Value]), "No Match")</f>
        <v>89</v>
      </c>
      <c r="F3104" cm="1">
        <f t="array" ref="F3104">_xlfn.IFNA(_xlfn.XLOOKUP(1,([1]!readmissions[Facility ID] = clean[[#This Row],[Facility ID]]) * ([1]!readmissions[Measure ID] = "Hybrid_HWR"), [1]!readmissions[Score]), "No Match")</f>
        <v>13.8</v>
      </c>
    </row>
    <row r="3105" spans="1:6" x14ac:dyDescent="0.2">
      <c r="A3105">
        <f>[1]!hospitalinfo[[#This Row],[Facility ID]]</f>
        <v>280127</v>
      </c>
      <c r="B3105" t="str">
        <f>[1]!hospitalinfo[[#This Row],[State]]</f>
        <v>NE</v>
      </c>
      <c r="C3105" t="str">
        <f>[1]!hospitalinfo[[#This Row],[Hospital Type]]</f>
        <v>Acute Care Hospitals</v>
      </c>
      <c r="D3105" t="str">
        <f>[1]!hospitalinfo[[#This Row],[Hospital Ownership]]</f>
        <v>Proprietary</v>
      </c>
      <c r="E3105" t="str" cm="1">
        <f t="array" ref="E3105">_xlfn.IFNA(_xlfn.XLOOKUP(1,([1]!hcahps[Facility ID] = clean[[#This Row],[Facility ID]]) * ([1]!hcahps[HCAHPS Measure ID] = "H_HSP_RATING_LINEAR_SCORE"), [1]!hcahps[HCAHPS Linear Mean Value]), "No Match")</f>
        <v>Not Available</v>
      </c>
      <c r="F3105" cm="1">
        <f t="array" ref="F3105">_xlfn.IFNA(_xlfn.XLOOKUP(1,([1]!readmissions[Facility ID] = clean[[#This Row],[Facility ID]]) * ([1]!readmissions[Measure ID] = "Hybrid_HWR"), [1]!readmissions[Score]), "No Match")</f>
        <v>14.4</v>
      </c>
    </row>
    <row r="3106" spans="1:6" x14ac:dyDescent="0.2">
      <c r="A3106">
        <f>[1]!hospitalinfo[[#This Row],[Facility ID]]</f>
        <v>280128</v>
      </c>
      <c r="B3106" t="str">
        <f>[1]!hospitalinfo[[#This Row],[State]]</f>
        <v>NE</v>
      </c>
      <c r="C3106" t="str">
        <f>[1]!hospitalinfo[[#This Row],[Hospital Type]]</f>
        <v>Acute Care Hospitals</v>
      </c>
      <c r="D3106" t="str">
        <f>[1]!hospitalinfo[[#This Row],[Hospital Ownership]]</f>
        <v>Voluntary non-profit - Private</v>
      </c>
      <c r="E3106" cm="1">
        <f t="array" ref="E3106">_xlfn.IFNA(_xlfn.XLOOKUP(1,([1]!hcahps[Facility ID] = clean[[#This Row],[Facility ID]]) * ([1]!hcahps[HCAHPS Measure ID] = "H_HSP_RATING_LINEAR_SCORE"), [1]!hcahps[HCAHPS Linear Mean Value]), "No Match")</f>
        <v>93</v>
      </c>
      <c r="F3106" cm="1">
        <f t="array" ref="F3106">_xlfn.IFNA(_xlfn.XLOOKUP(1,([1]!readmissions[Facility ID] = clean[[#This Row],[Facility ID]]) * ([1]!readmissions[Measure ID] = "Hybrid_HWR"), [1]!readmissions[Score]), "No Match")</f>
        <v>13.3</v>
      </c>
    </row>
    <row r="3107" spans="1:6" x14ac:dyDescent="0.2">
      <c r="A3107">
        <f>[1]!hospitalinfo[[#This Row],[Facility ID]]</f>
        <v>280129</v>
      </c>
      <c r="B3107" t="str">
        <f>[1]!hospitalinfo[[#This Row],[State]]</f>
        <v>NE</v>
      </c>
      <c r="C3107" t="str">
        <f>[1]!hospitalinfo[[#This Row],[Hospital Type]]</f>
        <v>Acute Care Hospitals</v>
      </c>
      <c r="D3107" t="str">
        <f>[1]!hospitalinfo[[#This Row],[Hospital Ownership]]</f>
        <v>Physician</v>
      </c>
      <c r="E3107" cm="1">
        <f t="array" ref="E3107">_xlfn.IFNA(_xlfn.XLOOKUP(1,([1]!hcahps[Facility ID] = clean[[#This Row],[Facility ID]]) * ([1]!hcahps[HCAHPS Measure ID] = "H_HSP_RATING_LINEAR_SCORE"), [1]!hcahps[HCAHPS Linear Mean Value]), "No Match")</f>
        <v>94</v>
      </c>
      <c r="F3107" cm="1">
        <f t="array" ref="F3107">_xlfn.IFNA(_xlfn.XLOOKUP(1,([1]!readmissions[Facility ID] = clean[[#This Row],[Facility ID]]) * ([1]!readmissions[Measure ID] = "Hybrid_HWR"), [1]!readmissions[Score]), "No Match")</f>
        <v>14.5</v>
      </c>
    </row>
    <row r="3108" spans="1:6" x14ac:dyDescent="0.2">
      <c r="A3108">
        <f>[1]!hospitalinfo[[#This Row],[Facility ID]]</f>
        <v>280130</v>
      </c>
      <c r="B3108" t="str">
        <f>[1]!hospitalinfo[[#This Row],[State]]</f>
        <v>NE</v>
      </c>
      <c r="C3108" t="str">
        <f>[1]!hospitalinfo[[#This Row],[Hospital Type]]</f>
        <v>Acute Care Hospitals</v>
      </c>
      <c r="D3108" t="str">
        <f>[1]!hospitalinfo[[#This Row],[Hospital Ownership]]</f>
        <v>Voluntary non-profit - Church</v>
      </c>
      <c r="E3108" cm="1">
        <f t="array" ref="E3108">_xlfn.IFNA(_xlfn.XLOOKUP(1,([1]!hcahps[Facility ID] = clean[[#This Row],[Facility ID]]) * ([1]!hcahps[HCAHPS Measure ID] = "H_HSP_RATING_LINEAR_SCORE"), [1]!hcahps[HCAHPS Linear Mean Value]), "No Match")</f>
        <v>86</v>
      </c>
      <c r="F3108" cm="1">
        <f t="array" ref="F3108">_xlfn.IFNA(_xlfn.XLOOKUP(1,([1]!readmissions[Facility ID] = clean[[#This Row],[Facility ID]]) * ([1]!readmissions[Measure ID] = "Hybrid_HWR"), [1]!readmissions[Score]), "No Match")</f>
        <v>15.1</v>
      </c>
    </row>
    <row r="3109" spans="1:6" x14ac:dyDescent="0.2">
      <c r="A3109">
        <f>[1]!hospitalinfo[[#This Row],[Facility ID]]</f>
        <v>280131</v>
      </c>
      <c r="B3109" t="str">
        <f>[1]!hospitalinfo[[#This Row],[State]]</f>
        <v>NE</v>
      </c>
      <c r="C3109" t="str">
        <f>[1]!hospitalinfo[[#This Row],[Hospital Type]]</f>
        <v>Acute Care Hospitals</v>
      </c>
      <c r="D3109" t="str">
        <f>[1]!hospitalinfo[[#This Row],[Hospital Ownership]]</f>
        <v>Physician</v>
      </c>
      <c r="E3109" cm="1">
        <f t="array" ref="E3109">_xlfn.IFNA(_xlfn.XLOOKUP(1,([1]!hcahps[Facility ID] = clean[[#This Row],[Facility ID]]) * ([1]!hcahps[HCAHPS Measure ID] = "H_HSP_RATING_LINEAR_SCORE"), [1]!hcahps[HCAHPS Linear Mean Value]), "No Match")</f>
        <v>94</v>
      </c>
      <c r="F3109" cm="1">
        <f t="array" ref="F3109">_xlfn.IFNA(_xlfn.XLOOKUP(1,([1]!readmissions[Facility ID] = clean[[#This Row],[Facility ID]]) * ([1]!readmissions[Measure ID] = "Hybrid_HWR"), [1]!readmissions[Score]), "No Match")</f>
        <v>14</v>
      </c>
    </row>
    <row r="3110" spans="1:6" x14ac:dyDescent="0.2">
      <c r="A3110">
        <f>[1]!hospitalinfo[[#This Row],[Facility ID]]</f>
        <v>280132</v>
      </c>
      <c r="B3110" t="str">
        <f>[1]!hospitalinfo[[#This Row],[State]]</f>
        <v>NE</v>
      </c>
      <c r="C3110" t="str">
        <f>[1]!hospitalinfo[[#This Row],[Hospital Type]]</f>
        <v>Acute Care Hospitals</v>
      </c>
      <c r="D3110" t="str">
        <f>[1]!hospitalinfo[[#This Row],[Hospital Ownership]]</f>
        <v>Proprietary</v>
      </c>
      <c r="E3110" cm="1">
        <f t="array" ref="E3110">_xlfn.IFNA(_xlfn.XLOOKUP(1,([1]!hcahps[Facility ID] = clean[[#This Row],[Facility ID]]) * ([1]!hcahps[HCAHPS Measure ID] = "H_HSP_RATING_LINEAR_SCORE"), [1]!hcahps[HCAHPS Linear Mean Value]), "No Match")</f>
        <v>90</v>
      </c>
      <c r="F3110" cm="1">
        <f t="array" ref="F3110">_xlfn.IFNA(_xlfn.XLOOKUP(1,([1]!readmissions[Facility ID] = clean[[#This Row],[Facility ID]]) * ([1]!readmissions[Measure ID] = "Hybrid_HWR"), [1]!readmissions[Score]), "No Match")</f>
        <v>15.7</v>
      </c>
    </row>
    <row r="3111" spans="1:6" x14ac:dyDescent="0.2">
      <c r="A3111">
        <f>[1]!hospitalinfo[[#This Row],[Facility ID]]</f>
        <v>280133</v>
      </c>
      <c r="B3111" t="str">
        <f>[1]!hospitalinfo[[#This Row],[State]]</f>
        <v>NE</v>
      </c>
      <c r="C3111" t="str">
        <f>[1]!hospitalinfo[[#This Row],[Hospital Type]]</f>
        <v>Acute Care Hospitals</v>
      </c>
      <c r="D3111" t="str">
        <f>[1]!hospitalinfo[[#This Row],[Hospital Ownership]]</f>
        <v>Proprietary</v>
      </c>
      <c r="E3111" cm="1">
        <f t="array" ref="E3111">_xlfn.IFNA(_xlfn.XLOOKUP(1,([1]!hcahps[Facility ID] = clean[[#This Row],[Facility ID]]) * ([1]!hcahps[HCAHPS Measure ID] = "H_HSP_RATING_LINEAR_SCORE"), [1]!hcahps[HCAHPS Linear Mean Value]), "No Match")</f>
        <v>92</v>
      </c>
      <c r="F3111" cm="1">
        <f t="array" ref="F3111">_xlfn.IFNA(_xlfn.XLOOKUP(1,([1]!readmissions[Facility ID] = clean[[#This Row],[Facility ID]]) * ([1]!readmissions[Measure ID] = "Hybrid_HWR"), [1]!readmissions[Score]), "No Match")</f>
        <v>13.7</v>
      </c>
    </row>
    <row r="3112" spans="1:6" x14ac:dyDescent="0.2">
      <c r="A3112">
        <f>[1]!hospitalinfo[[#This Row],[Facility ID]]</f>
        <v>280134</v>
      </c>
      <c r="B3112" t="str">
        <f>[1]!hospitalinfo[[#This Row],[State]]</f>
        <v>NE</v>
      </c>
      <c r="C3112" t="str">
        <f>[1]!hospitalinfo[[#This Row],[Hospital Type]]</f>
        <v>Acute Care Hospitals</v>
      </c>
      <c r="D3112" t="str">
        <f>[1]!hospitalinfo[[#This Row],[Hospital Ownership]]</f>
        <v>Proprietary</v>
      </c>
      <c r="E3112" cm="1">
        <f t="array" ref="E3112">_xlfn.IFNA(_xlfn.XLOOKUP(1,([1]!hcahps[Facility ID] = clean[[#This Row],[Facility ID]]) * ([1]!hcahps[HCAHPS Measure ID] = "H_HSP_RATING_LINEAR_SCORE"), [1]!hcahps[HCAHPS Linear Mean Value]), "No Match")</f>
        <v>90</v>
      </c>
      <c r="F3112" cm="1">
        <f t="array" ref="F3112">_xlfn.IFNA(_xlfn.XLOOKUP(1,([1]!readmissions[Facility ID] = clean[[#This Row],[Facility ID]]) * ([1]!readmissions[Measure ID] = "Hybrid_HWR"), [1]!readmissions[Score]), "No Match")</f>
        <v>15</v>
      </c>
    </row>
    <row r="3113" spans="1:6" x14ac:dyDescent="0.2">
      <c r="A3113">
        <f>[1]!hospitalinfo[[#This Row],[Facility ID]]</f>
        <v>280139</v>
      </c>
      <c r="B3113" t="str">
        <f>[1]!hospitalinfo[[#This Row],[State]]</f>
        <v>NE</v>
      </c>
      <c r="C3113" t="str">
        <f>[1]!hospitalinfo[[#This Row],[Hospital Type]]</f>
        <v>Acute Care Hospitals</v>
      </c>
      <c r="D3113" t="str">
        <f>[1]!hospitalinfo[[#This Row],[Hospital Ownership]]</f>
        <v>Voluntary non-profit - Private</v>
      </c>
      <c r="E3113" cm="1">
        <f t="array" ref="E3113">_xlfn.IFNA(_xlfn.XLOOKUP(1,([1]!hcahps[Facility ID] = clean[[#This Row],[Facility ID]]) * ([1]!hcahps[HCAHPS Measure ID] = "H_HSP_RATING_LINEAR_SCORE"), [1]!hcahps[HCAHPS Linear Mean Value]), "No Match")</f>
        <v>88</v>
      </c>
      <c r="F3113" cm="1">
        <f t="array" ref="F3113">_xlfn.IFNA(_xlfn.XLOOKUP(1,([1]!readmissions[Facility ID] = clean[[#This Row],[Facility ID]]) * ([1]!readmissions[Measure ID] = "Hybrid_HWR"), [1]!readmissions[Score]), "No Match")</f>
        <v>15.1</v>
      </c>
    </row>
    <row r="3114" spans="1:6" x14ac:dyDescent="0.2">
      <c r="A3114">
        <f>[1]!hospitalinfo[[#This Row],[Facility ID]]</f>
        <v>280779</v>
      </c>
      <c r="B3114" t="str">
        <f>[1]!hospitalinfo[[#This Row],[State]]</f>
        <v>NE</v>
      </c>
      <c r="C3114" t="str">
        <f>[1]!hospitalinfo[[#This Row],[Hospital Type]]</f>
        <v>Rural Emergency Hospital</v>
      </c>
      <c r="D3114" t="str">
        <f>[1]!hospitalinfo[[#This Row],[Hospital Ownership]]</f>
        <v>Government - Local</v>
      </c>
      <c r="E3114" t="str" cm="1">
        <f t="array" ref="E3114">_xlfn.IFNA(_xlfn.XLOOKUP(1,([1]!hcahps[Facility ID] = clean[[#This Row],[Facility ID]]) * ([1]!hcahps[HCAHPS Measure ID] = "H_HSP_RATING_LINEAR_SCORE"), [1]!hcahps[HCAHPS Linear Mean Value]), "No Match")</f>
        <v>Not Available</v>
      </c>
      <c r="F3114" t="str" cm="1">
        <f t="array" ref="F3114">_xlfn.IFNA(_xlfn.XLOOKUP(1,([1]!readmissions[Facility ID] = clean[[#This Row],[Facility ID]]) * ([1]!readmissions[Measure ID] = "Hybrid_HWR"), [1]!readmissions[Score]), "No Match")</f>
        <v>Not Available</v>
      </c>
    </row>
    <row r="3115" spans="1:6" x14ac:dyDescent="0.2">
      <c r="A3115">
        <f>[1]!hospitalinfo[[#This Row],[Facility ID]]</f>
        <v>281300</v>
      </c>
      <c r="B3115" t="str">
        <f>[1]!hospitalinfo[[#This Row],[State]]</f>
        <v>NE</v>
      </c>
      <c r="C3115" t="str">
        <f>[1]!hospitalinfo[[#This Row],[Hospital Type]]</f>
        <v>Critical Access Hospitals</v>
      </c>
      <c r="D3115" t="str">
        <f>[1]!hospitalinfo[[#This Row],[Hospital Ownership]]</f>
        <v>Government - Local</v>
      </c>
      <c r="E3115" t="str" cm="1">
        <f t="array" ref="E3115">_xlfn.IFNA(_xlfn.XLOOKUP(1,([1]!hcahps[Facility ID] = clean[[#This Row],[Facility ID]]) * ([1]!hcahps[HCAHPS Measure ID] = "H_HSP_RATING_LINEAR_SCORE"), [1]!hcahps[HCAHPS Linear Mean Value]), "No Match")</f>
        <v>Not Available</v>
      </c>
      <c r="F3115" cm="1">
        <f t="array" ref="F3115">_xlfn.IFNA(_xlfn.XLOOKUP(1,([1]!readmissions[Facility ID] = clean[[#This Row],[Facility ID]]) * ([1]!readmissions[Measure ID] = "Hybrid_HWR"), [1]!readmissions[Score]), "No Match")</f>
        <v>15.4</v>
      </c>
    </row>
    <row r="3116" spans="1:6" x14ac:dyDescent="0.2">
      <c r="A3116">
        <f>[1]!hospitalinfo[[#This Row],[Facility ID]]</f>
        <v>281301</v>
      </c>
      <c r="B3116" t="str">
        <f>[1]!hospitalinfo[[#This Row],[State]]</f>
        <v>NE</v>
      </c>
      <c r="C3116" t="str">
        <f>[1]!hospitalinfo[[#This Row],[Hospital Type]]</f>
        <v>Critical Access Hospitals</v>
      </c>
      <c r="D3116" t="str">
        <f>[1]!hospitalinfo[[#This Row],[Hospital Ownership]]</f>
        <v>Government - Local</v>
      </c>
      <c r="E3116" t="str" cm="1">
        <f t="array" ref="E3116">_xlfn.IFNA(_xlfn.XLOOKUP(1,([1]!hcahps[Facility ID] = clean[[#This Row],[Facility ID]]) * ([1]!hcahps[HCAHPS Measure ID] = "H_HSP_RATING_LINEAR_SCORE"), [1]!hcahps[HCAHPS Linear Mean Value]), "No Match")</f>
        <v>Not Available</v>
      </c>
      <c r="F3116" cm="1">
        <f t="array" ref="F3116">_xlfn.IFNA(_xlfn.XLOOKUP(1,([1]!readmissions[Facility ID] = clean[[#This Row],[Facility ID]]) * ([1]!readmissions[Measure ID] = "Hybrid_HWR"), [1]!readmissions[Score]), "No Match")</f>
        <v>15.2</v>
      </c>
    </row>
    <row r="3117" spans="1:6" x14ac:dyDescent="0.2">
      <c r="A3117">
        <f>[1]!hospitalinfo[[#This Row],[Facility ID]]</f>
        <v>281302</v>
      </c>
      <c r="B3117" t="str">
        <f>[1]!hospitalinfo[[#This Row],[State]]</f>
        <v>NE</v>
      </c>
      <c r="C3117" t="str">
        <f>[1]!hospitalinfo[[#This Row],[Hospital Type]]</f>
        <v>Critical Access Hospitals</v>
      </c>
      <c r="D3117" t="str">
        <f>[1]!hospitalinfo[[#This Row],[Hospital Ownership]]</f>
        <v>Government - Local</v>
      </c>
      <c r="E3117" t="str" cm="1">
        <f t="array" ref="E3117">_xlfn.IFNA(_xlfn.XLOOKUP(1,([1]!hcahps[Facility ID] = clean[[#This Row],[Facility ID]]) * ([1]!hcahps[HCAHPS Measure ID] = "H_HSP_RATING_LINEAR_SCORE"), [1]!hcahps[HCAHPS Linear Mean Value]), "No Match")</f>
        <v>Not Available</v>
      </c>
      <c r="F3117" t="str" cm="1">
        <f t="array" ref="F3117">_xlfn.IFNA(_xlfn.XLOOKUP(1,([1]!readmissions[Facility ID] = clean[[#This Row],[Facility ID]]) * ([1]!readmissions[Measure ID] = "Hybrid_HWR"), [1]!readmissions[Score]), "No Match")</f>
        <v>Not Available</v>
      </c>
    </row>
    <row r="3118" spans="1:6" x14ac:dyDescent="0.2">
      <c r="A3118">
        <f>[1]!hospitalinfo[[#This Row],[Facility ID]]</f>
        <v>281303</v>
      </c>
      <c r="B3118" t="str">
        <f>[1]!hospitalinfo[[#This Row],[State]]</f>
        <v>NE</v>
      </c>
      <c r="C3118" t="str">
        <f>[1]!hospitalinfo[[#This Row],[Hospital Type]]</f>
        <v>Critical Access Hospitals</v>
      </c>
      <c r="D3118" t="str">
        <f>[1]!hospitalinfo[[#This Row],[Hospital Ownership]]</f>
        <v>Voluntary non-profit - Private</v>
      </c>
      <c r="E3118" t="str" cm="1">
        <f t="array" ref="E3118">_xlfn.IFNA(_xlfn.XLOOKUP(1,([1]!hcahps[Facility ID] = clean[[#This Row],[Facility ID]]) * ([1]!hcahps[HCAHPS Measure ID] = "H_HSP_RATING_LINEAR_SCORE"), [1]!hcahps[HCAHPS Linear Mean Value]), "No Match")</f>
        <v>Not Available</v>
      </c>
      <c r="F3118" t="str" cm="1">
        <f t="array" ref="F3118">_xlfn.IFNA(_xlfn.XLOOKUP(1,([1]!readmissions[Facility ID] = clean[[#This Row],[Facility ID]]) * ([1]!readmissions[Measure ID] = "Hybrid_HWR"), [1]!readmissions[Score]), "No Match")</f>
        <v>Not Available</v>
      </c>
    </row>
    <row r="3119" spans="1:6" x14ac:dyDescent="0.2">
      <c r="A3119">
        <f>[1]!hospitalinfo[[#This Row],[Facility ID]]</f>
        <v>281304</v>
      </c>
      <c r="B3119" t="str">
        <f>[1]!hospitalinfo[[#This Row],[State]]</f>
        <v>NE</v>
      </c>
      <c r="C3119" t="str">
        <f>[1]!hospitalinfo[[#This Row],[Hospital Type]]</f>
        <v>Critical Access Hospitals</v>
      </c>
      <c r="D3119" t="str">
        <f>[1]!hospitalinfo[[#This Row],[Hospital Ownership]]</f>
        <v>Government - Local</v>
      </c>
      <c r="E3119" cm="1">
        <f t="array" ref="E3119">_xlfn.IFNA(_xlfn.XLOOKUP(1,([1]!hcahps[Facility ID] = clean[[#This Row],[Facility ID]]) * ([1]!hcahps[HCAHPS Measure ID] = "H_HSP_RATING_LINEAR_SCORE"), [1]!hcahps[HCAHPS Linear Mean Value]), "No Match")</f>
        <v>95</v>
      </c>
      <c r="F3119" cm="1">
        <f t="array" ref="F3119">_xlfn.IFNA(_xlfn.XLOOKUP(1,([1]!readmissions[Facility ID] = clean[[#This Row],[Facility ID]]) * ([1]!readmissions[Measure ID] = "Hybrid_HWR"), [1]!readmissions[Score]), "No Match")</f>
        <v>14.7</v>
      </c>
    </row>
    <row r="3120" spans="1:6" x14ac:dyDescent="0.2">
      <c r="A3120">
        <f>[1]!hospitalinfo[[#This Row],[Facility ID]]</f>
        <v>281305</v>
      </c>
      <c r="B3120" t="str">
        <f>[1]!hospitalinfo[[#This Row],[State]]</f>
        <v>NE</v>
      </c>
      <c r="C3120" t="str">
        <f>[1]!hospitalinfo[[#This Row],[Hospital Type]]</f>
        <v>Critical Access Hospitals</v>
      </c>
      <c r="D3120" t="str">
        <f>[1]!hospitalinfo[[#This Row],[Hospital Ownership]]</f>
        <v>Government - Local</v>
      </c>
      <c r="E3120" t="str" cm="1">
        <f t="array" ref="E3120">_xlfn.IFNA(_xlfn.XLOOKUP(1,([1]!hcahps[Facility ID] = clean[[#This Row],[Facility ID]]) * ([1]!hcahps[HCAHPS Measure ID] = "H_HSP_RATING_LINEAR_SCORE"), [1]!hcahps[HCAHPS Linear Mean Value]), "No Match")</f>
        <v>Not Available</v>
      </c>
      <c r="F3120" cm="1">
        <f t="array" ref="F3120">_xlfn.IFNA(_xlfn.XLOOKUP(1,([1]!readmissions[Facility ID] = clean[[#This Row],[Facility ID]]) * ([1]!readmissions[Measure ID] = "Hybrid_HWR"), [1]!readmissions[Score]), "No Match")</f>
        <v>14.7</v>
      </c>
    </row>
    <row r="3121" spans="1:6" x14ac:dyDescent="0.2">
      <c r="A3121">
        <f>[1]!hospitalinfo[[#This Row],[Facility ID]]</f>
        <v>281306</v>
      </c>
      <c r="B3121" t="str">
        <f>[1]!hospitalinfo[[#This Row],[State]]</f>
        <v>NE</v>
      </c>
      <c r="C3121" t="str">
        <f>[1]!hospitalinfo[[#This Row],[Hospital Type]]</f>
        <v>Critical Access Hospitals</v>
      </c>
      <c r="D3121" t="str">
        <f>[1]!hospitalinfo[[#This Row],[Hospital Ownership]]</f>
        <v>Government - Local</v>
      </c>
      <c r="E3121" t="str" cm="1">
        <f t="array" ref="E3121">_xlfn.IFNA(_xlfn.XLOOKUP(1,([1]!hcahps[Facility ID] = clean[[#This Row],[Facility ID]]) * ([1]!hcahps[HCAHPS Measure ID] = "H_HSP_RATING_LINEAR_SCORE"), [1]!hcahps[HCAHPS Linear Mean Value]), "No Match")</f>
        <v>Not Available</v>
      </c>
      <c r="F3121" cm="1">
        <f t="array" ref="F3121">_xlfn.IFNA(_xlfn.XLOOKUP(1,([1]!readmissions[Facility ID] = clean[[#This Row],[Facility ID]]) * ([1]!readmissions[Measure ID] = "Hybrid_HWR"), [1]!readmissions[Score]), "No Match")</f>
        <v>14.6</v>
      </c>
    </row>
    <row r="3122" spans="1:6" x14ac:dyDescent="0.2">
      <c r="A3122">
        <f>[1]!hospitalinfo[[#This Row],[Facility ID]]</f>
        <v>281307</v>
      </c>
      <c r="B3122" t="str">
        <f>[1]!hospitalinfo[[#This Row],[State]]</f>
        <v>NE</v>
      </c>
      <c r="C3122" t="str">
        <f>[1]!hospitalinfo[[#This Row],[Hospital Type]]</f>
        <v>Critical Access Hospitals</v>
      </c>
      <c r="D3122" t="str">
        <f>[1]!hospitalinfo[[#This Row],[Hospital Ownership]]</f>
        <v>Government - Local</v>
      </c>
      <c r="E3122" t="str" cm="1">
        <f t="array" ref="E3122">_xlfn.IFNA(_xlfn.XLOOKUP(1,([1]!hcahps[Facility ID] = clean[[#This Row],[Facility ID]]) * ([1]!hcahps[HCAHPS Measure ID] = "H_HSP_RATING_LINEAR_SCORE"), [1]!hcahps[HCAHPS Linear Mean Value]), "No Match")</f>
        <v>Not Available</v>
      </c>
      <c r="F3122" cm="1">
        <f t="array" ref="F3122">_xlfn.IFNA(_xlfn.XLOOKUP(1,([1]!readmissions[Facility ID] = clean[[#This Row],[Facility ID]]) * ([1]!readmissions[Measure ID] = "Hybrid_HWR"), [1]!readmissions[Score]), "No Match")</f>
        <v>14.8</v>
      </c>
    </row>
    <row r="3123" spans="1:6" x14ac:dyDescent="0.2">
      <c r="A3123">
        <f>[1]!hospitalinfo[[#This Row],[Facility ID]]</f>
        <v>281308</v>
      </c>
      <c r="B3123" t="str">
        <f>[1]!hospitalinfo[[#This Row],[State]]</f>
        <v>NE</v>
      </c>
      <c r="C3123" t="str">
        <f>[1]!hospitalinfo[[#This Row],[Hospital Type]]</f>
        <v>Critical Access Hospitals</v>
      </c>
      <c r="D3123" t="str">
        <f>[1]!hospitalinfo[[#This Row],[Hospital Ownership]]</f>
        <v>Voluntary non-profit - Private</v>
      </c>
      <c r="E3123" t="str" cm="1">
        <f t="array" ref="E3123">_xlfn.IFNA(_xlfn.XLOOKUP(1,([1]!hcahps[Facility ID] = clean[[#This Row],[Facility ID]]) * ([1]!hcahps[HCAHPS Measure ID] = "H_HSP_RATING_LINEAR_SCORE"), [1]!hcahps[HCAHPS Linear Mean Value]), "No Match")</f>
        <v>Not Available</v>
      </c>
      <c r="F3123" cm="1">
        <f t="array" ref="F3123">_xlfn.IFNA(_xlfn.XLOOKUP(1,([1]!readmissions[Facility ID] = clean[[#This Row],[Facility ID]]) * ([1]!readmissions[Measure ID] = "Hybrid_HWR"), [1]!readmissions[Score]), "No Match")</f>
        <v>14.8</v>
      </c>
    </row>
    <row r="3124" spans="1:6" x14ac:dyDescent="0.2">
      <c r="A3124">
        <f>[1]!hospitalinfo[[#This Row],[Facility ID]]</f>
        <v>281309</v>
      </c>
      <c r="B3124" t="str">
        <f>[1]!hospitalinfo[[#This Row],[State]]</f>
        <v>NE</v>
      </c>
      <c r="C3124" t="str">
        <f>[1]!hospitalinfo[[#This Row],[Hospital Type]]</f>
        <v>Critical Access Hospitals</v>
      </c>
      <c r="D3124" t="str">
        <f>[1]!hospitalinfo[[#This Row],[Hospital Ownership]]</f>
        <v>Government - Hospital District or Authority</v>
      </c>
      <c r="E3124" t="str" cm="1">
        <f t="array" ref="E3124">_xlfn.IFNA(_xlfn.XLOOKUP(1,([1]!hcahps[Facility ID] = clean[[#This Row],[Facility ID]]) * ([1]!hcahps[HCAHPS Measure ID] = "H_HSP_RATING_LINEAR_SCORE"), [1]!hcahps[HCAHPS Linear Mean Value]), "No Match")</f>
        <v>Not Available</v>
      </c>
      <c r="F3124" cm="1">
        <f t="array" ref="F3124">_xlfn.IFNA(_xlfn.XLOOKUP(1,([1]!readmissions[Facility ID] = clean[[#This Row],[Facility ID]]) * ([1]!readmissions[Measure ID] = "Hybrid_HWR"), [1]!readmissions[Score]), "No Match")</f>
        <v>15.1</v>
      </c>
    </row>
    <row r="3125" spans="1:6" x14ac:dyDescent="0.2">
      <c r="A3125">
        <f>[1]!hospitalinfo[[#This Row],[Facility ID]]</f>
        <v>281310</v>
      </c>
      <c r="B3125" t="str">
        <f>[1]!hospitalinfo[[#This Row],[State]]</f>
        <v>NE</v>
      </c>
      <c r="C3125" t="str">
        <f>[1]!hospitalinfo[[#This Row],[Hospital Type]]</f>
        <v>Critical Access Hospitals</v>
      </c>
      <c r="D3125" t="str">
        <f>[1]!hospitalinfo[[#This Row],[Hospital Ownership]]</f>
        <v>Voluntary non-profit - Private</v>
      </c>
      <c r="E3125" t="str" cm="1">
        <f t="array" ref="E3125">_xlfn.IFNA(_xlfn.XLOOKUP(1,([1]!hcahps[Facility ID] = clean[[#This Row],[Facility ID]]) * ([1]!hcahps[HCAHPS Measure ID] = "H_HSP_RATING_LINEAR_SCORE"), [1]!hcahps[HCAHPS Linear Mean Value]), "No Match")</f>
        <v>Not Available</v>
      </c>
      <c r="F3125" t="str" cm="1">
        <f t="array" ref="F3125">_xlfn.IFNA(_xlfn.XLOOKUP(1,([1]!readmissions[Facility ID] = clean[[#This Row],[Facility ID]]) * ([1]!readmissions[Measure ID] = "Hybrid_HWR"), [1]!readmissions[Score]), "No Match")</f>
        <v>Not Available</v>
      </c>
    </row>
    <row r="3126" spans="1:6" x14ac:dyDescent="0.2">
      <c r="A3126">
        <f>[1]!hospitalinfo[[#This Row],[Facility ID]]</f>
        <v>281311</v>
      </c>
      <c r="B3126" t="str">
        <f>[1]!hospitalinfo[[#This Row],[State]]</f>
        <v>NE</v>
      </c>
      <c r="C3126" t="str">
        <f>[1]!hospitalinfo[[#This Row],[Hospital Type]]</f>
        <v>Critical Access Hospitals</v>
      </c>
      <c r="D3126" t="str">
        <f>[1]!hospitalinfo[[#This Row],[Hospital Ownership]]</f>
        <v>Government - Local</v>
      </c>
      <c r="E3126" t="str" cm="1">
        <f t="array" ref="E3126">_xlfn.IFNA(_xlfn.XLOOKUP(1,([1]!hcahps[Facility ID] = clean[[#This Row],[Facility ID]]) * ([1]!hcahps[HCAHPS Measure ID] = "H_HSP_RATING_LINEAR_SCORE"), [1]!hcahps[HCAHPS Linear Mean Value]), "No Match")</f>
        <v>Not Available</v>
      </c>
      <c r="F3126" t="str" cm="1">
        <f t="array" ref="F3126">_xlfn.IFNA(_xlfn.XLOOKUP(1,([1]!readmissions[Facility ID] = clean[[#This Row],[Facility ID]]) * ([1]!readmissions[Measure ID] = "Hybrid_HWR"), [1]!readmissions[Score]), "No Match")</f>
        <v>Not Available</v>
      </c>
    </row>
    <row r="3127" spans="1:6" x14ac:dyDescent="0.2">
      <c r="A3127">
        <f>[1]!hospitalinfo[[#This Row],[Facility ID]]</f>
        <v>281312</v>
      </c>
      <c r="B3127" t="str">
        <f>[1]!hospitalinfo[[#This Row],[State]]</f>
        <v>NE</v>
      </c>
      <c r="C3127" t="str">
        <f>[1]!hospitalinfo[[#This Row],[Hospital Type]]</f>
        <v>Critical Access Hospitals</v>
      </c>
      <c r="D3127" t="str">
        <f>[1]!hospitalinfo[[#This Row],[Hospital Ownership]]</f>
        <v>Government - Local</v>
      </c>
      <c r="E3127" t="str" cm="1">
        <f t="array" ref="E3127">_xlfn.IFNA(_xlfn.XLOOKUP(1,([1]!hcahps[Facility ID] = clean[[#This Row],[Facility ID]]) * ([1]!hcahps[HCAHPS Measure ID] = "H_HSP_RATING_LINEAR_SCORE"), [1]!hcahps[HCAHPS Linear Mean Value]), "No Match")</f>
        <v>Not Available</v>
      </c>
      <c r="F3127" t="str" cm="1">
        <f t="array" ref="F3127">_xlfn.IFNA(_xlfn.XLOOKUP(1,([1]!readmissions[Facility ID] = clean[[#This Row],[Facility ID]]) * ([1]!readmissions[Measure ID] = "Hybrid_HWR"), [1]!readmissions[Score]), "No Match")</f>
        <v>Not Available</v>
      </c>
    </row>
    <row r="3128" spans="1:6" x14ac:dyDescent="0.2">
      <c r="A3128">
        <f>[1]!hospitalinfo[[#This Row],[Facility ID]]</f>
        <v>281313</v>
      </c>
      <c r="B3128" t="str">
        <f>[1]!hospitalinfo[[#This Row],[State]]</f>
        <v>NE</v>
      </c>
      <c r="C3128" t="str">
        <f>[1]!hospitalinfo[[#This Row],[Hospital Type]]</f>
        <v>Critical Access Hospitals</v>
      </c>
      <c r="D3128" t="str">
        <f>[1]!hospitalinfo[[#This Row],[Hospital Ownership]]</f>
        <v>Government - Hospital District or Authority</v>
      </c>
      <c r="E3128" t="str" cm="1">
        <f t="array" ref="E3128">_xlfn.IFNA(_xlfn.XLOOKUP(1,([1]!hcahps[Facility ID] = clean[[#This Row],[Facility ID]]) * ([1]!hcahps[HCAHPS Measure ID] = "H_HSP_RATING_LINEAR_SCORE"), [1]!hcahps[HCAHPS Linear Mean Value]), "No Match")</f>
        <v>Not Available</v>
      </c>
      <c r="F3128" cm="1">
        <f t="array" ref="F3128">_xlfn.IFNA(_xlfn.XLOOKUP(1,([1]!readmissions[Facility ID] = clean[[#This Row],[Facility ID]]) * ([1]!readmissions[Measure ID] = "Hybrid_HWR"), [1]!readmissions[Score]), "No Match")</f>
        <v>14.6</v>
      </c>
    </row>
    <row r="3129" spans="1:6" x14ac:dyDescent="0.2">
      <c r="A3129">
        <f>[1]!hospitalinfo[[#This Row],[Facility ID]]</f>
        <v>281314</v>
      </c>
      <c r="B3129" t="str">
        <f>[1]!hospitalinfo[[#This Row],[State]]</f>
        <v>NE</v>
      </c>
      <c r="C3129" t="str">
        <f>[1]!hospitalinfo[[#This Row],[Hospital Type]]</f>
        <v>Critical Access Hospitals</v>
      </c>
      <c r="D3129" t="str">
        <f>[1]!hospitalinfo[[#This Row],[Hospital Ownership]]</f>
        <v>Government - Local</v>
      </c>
      <c r="E3129" t="str" cm="1">
        <f t="array" ref="E3129">_xlfn.IFNA(_xlfn.XLOOKUP(1,([1]!hcahps[Facility ID] = clean[[#This Row],[Facility ID]]) * ([1]!hcahps[HCAHPS Measure ID] = "H_HSP_RATING_LINEAR_SCORE"), [1]!hcahps[HCAHPS Linear Mean Value]), "No Match")</f>
        <v>Not Available</v>
      </c>
      <c r="F3129" cm="1">
        <f t="array" ref="F3129">_xlfn.IFNA(_xlfn.XLOOKUP(1,([1]!readmissions[Facility ID] = clean[[#This Row],[Facility ID]]) * ([1]!readmissions[Measure ID] = "Hybrid_HWR"), [1]!readmissions[Score]), "No Match")</f>
        <v>15.6</v>
      </c>
    </row>
    <row r="3130" spans="1:6" x14ac:dyDescent="0.2">
      <c r="A3130">
        <f>[1]!hospitalinfo[[#This Row],[Facility ID]]</f>
        <v>281315</v>
      </c>
      <c r="B3130" t="str">
        <f>[1]!hospitalinfo[[#This Row],[State]]</f>
        <v>NE</v>
      </c>
      <c r="C3130" t="str">
        <f>[1]!hospitalinfo[[#This Row],[Hospital Type]]</f>
        <v>Critical Access Hospitals</v>
      </c>
      <c r="D3130" t="str">
        <f>[1]!hospitalinfo[[#This Row],[Hospital Ownership]]</f>
        <v>Voluntary non-profit - Private</v>
      </c>
      <c r="E3130" cm="1">
        <f t="array" ref="E3130">_xlfn.IFNA(_xlfn.XLOOKUP(1,([1]!hcahps[Facility ID] = clean[[#This Row],[Facility ID]]) * ([1]!hcahps[HCAHPS Measure ID] = "H_HSP_RATING_LINEAR_SCORE"), [1]!hcahps[HCAHPS Linear Mean Value]), "No Match")</f>
        <v>94</v>
      </c>
      <c r="F3130" cm="1">
        <f t="array" ref="F3130">_xlfn.IFNA(_xlfn.XLOOKUP(1,([1]!readmissions[Facility ID] = clean[[#This Row],[Facility ID]]) * ([1]!readmissions[Measure ID] = "Hybrid_HWR"), [1]!readmissions[Score]), "No Match")</f>
        <v>15.2</v>
      </c>
    </row>
    <row r="3131" spans="1:6" x14ac:dyDescent="0.2">
      <c r="A3131">
        <f>[1]!hospitalinfo[[#This Row],[Facility ID]]</f>
        <v>281316</v>
      </c>
      <c r="B3131" t="str">
        <f>[1]!hospitalinfo[[#This Row],[State]]</f>
        <v>NE</v>
      </c>
      <c r="C3131" t="str">
        <f>[1]!hospitalinfo[[#This Row],[Hospital Type]]</f>
        <v>Critical Access Hospitals</v>
      </c>
      <c r="D3131" t="str">
        <f>[1]!hospitalinfo[[#This Row],[Hospital Ownership]]</f>
        <v>Government - Local</v>
      </c>
      <c r="E3131" t="str" cm="1">
        <f t="array" ref="E3131">_xlfn.IFNA(_xlfn.XLOOKUP(1,([1]!hcahps[Facility ID] = clean[[#This Row],[Facility ID]]) * ([1]!hcahps[HCAHPS Measure ID] = "H_HSP_RATING_LINEAR_SCORE"), [1]!hcahps[HCAHPS Linear Mean Value]), "No Match")</f>
        <v>Not Available</v>
      </c>
      <c r="F3131" t="str" cm="1">
        <f t="array" ref="F3131">_xlfn.IFNA(_xlfn.XLOOKUP(1,([1]!readmissions[Facility ID] = clean[[#This Row],[Facility ID]]) * ([1]!readmissions[Measure ID] = "Hybrid_HWR"), [1]!readmissions[Score]), "No Match")</f>
        <v>Not Available</v>
      </c>
    </row>
    <row r="3132" spans="1:6" x14ac:dyDescent="0.2">
      <c r="A3132">
        <f>[1]!hospitalinfo[[#This Row],[Facility ID]]</f>
        <v>281318</v>
      </c>
      <c r="B3132" t="str">
        <f>[1]!hospitalinfo[[#This Row],[State]]</f>
        <v>NE</v>
      </c>
      <c r="C3132" t="str">
        <f>[1]!hospitalinfo[[#This Row],[Hospital Type]]</f>
        <v>Critical Access Hospitals</v>
      </c>
      <c r="D3132" t="str">
        <f>[1]!hospitalinfo[[#This Row],[Hospital Ownership]]</f>
        <v>Government - Local</v>
      </c>
      <c r="E3132" t="str" cm="1">
        <f t="array" ref="E3132">_xlfn.IFNA(_xlfn.XLOOKUP(1,([1]!hcahps[Facility ID] = clean[[#This Row],[Facility ID]]) * ([1]!hcahps[HCAHPS Measure ID] = "H_HSP_RATING_LINEAR_SCORE"), [1]!hcahps[HCAHPS Linear Mean Value]), "No Match")</f>
        <v>Not Available</v>
      </c>
      <c r="F3132" cm="1">
        <f t="array" ref="F3132">_xlfn.IFNA(_xlfn.XLOOKUP(1,([1]!readmissions[Facility ID] = clean[[#This Row],[Facility ID]]) * ([1]!readmissions[Measure ID] = "Hybrid_HWR"), [1]!readmissions[Score]), "No Match")</f>
        <v>14.6</v>
      </c>
    </row>
    <row r="3133" spans="1:6" x14ac:dyDescent="0.2">
      <c r="A3133">
        <f>[1]!hospitalinfo[[#This Row],[Facility ID]]</f>
        <v>281319</v>
      </c>
      <c r="B3133" t="str">
        <f>[1]!hospitalinfo[[#This Row],[State]]</f>
        <v>NE</v>
      </c>
      <c r="C3133" t="str">
        <f>[1]!hospitalinfo[[#This Row],[Hospital Type]]</f>
        <v>Critical Access Hospitals</v>
      </c>
      <c r="D3133" t="str">
        <f>[1]!hospitalinfo[[#This Row],[Hospital Ownership]]</f>
        <v>Voluntary non-profit - Private</v>
      </c>
      <c r="E3133" t="str" cm="1">
        <f t="array" ref="E3133">_xlfn.IFNA(_xlfn.XLOOKUP(1,([1]!hcahps[Facility ID] = clean[[#This Row],[Facility ID]]) * ([1]!hcahps[HCAHPS Measure ID] = "H_HSP_RATING_LINEAR_SCORE"), [1]!hcahps[HCAHPS Linear Mean Value]), "No Match")</f>
        <v>Not Available</v>
      </c>
      <c r="F3133" cm="1">
        <f t="array" ref="F3133">_xlfn.IFNA(_xlfn.XLOOKUP(1,([1]!readmissions[Facility ID] = clean[[#This Row],[Facility ID]]) * ([1]!readmissions[Measure ID] = "Hybrid_HWR"), [1]!readmissions[Score]), "No Match")</f>
        <v>14.5</v>
      </c>
    </row>
    <row r="3134" spans="1:6" x14ac:dyDescent="0.2">
      <c r="A3134">
        <f>[1]!hospitalinfo[[#This Row],[Facility ID]]</f>
        <v>281320</v>
      </c>
      <c r="B3134" t="str">
        <f>[1]!hospitalinfo[[#This Row],[State]]</f>
        <v>NE</v>
      </c>
      <c r="C3134" t="str">
        <f>[1]!hospitalinfo[[#This Row],[Hospital Type]]</f>
        <v>Critical Access Hospitals</v>
      </c>
      <c r="D3134" t="str">
        <f>[1]!hospitalinfo[[#This Row],[Hospital Ownership]]</f>
        <v>Voluntary non-profit - Private</v>
      </c>
      <c r="E3134" t="str" cm="1">
        <f t="array" ref="E3134">_xlfn.IFNA(_xlfn.XLOOKUP(1,([1]!hcahps[Facility ID] = clean[[#This Row],[Facility ID]]) * ([1]!hcahps[HCAHPS Measure ID] = "H_HSP_RATING_LINEAR_SCORE"), [1]!hcahps[HCAHPS Linear Mean Value]), "No Match")</f>
        <v>Not Available</v>
      </c>
      <c r="F3134" cm="1">
        <f t="array" ref="F3134">_xlfn.IFNA(_xlfn.XLOOKUP(1,([1]!readmissions[Facility ID] = clean[[#This Row],[Facility ID]]) * ([1]!readmissions[Measure ID] = "Hybrid_HWR"), [1]!readmissions[Score]), "No Match")</f>
        <v>14.6</v>
      </c>
    </row>
    <row r="3135" spans="1:6" x14ac:dyDescent="0.2">
      <c r="A3135">
        <f>[1]!hospitalinfo[[#This Row],[Facility ID]]</f>
        <v>281322</v>
      </c>
      <c r="B3135" t="str">
        <f>[1]!hospitalinfo[[#This Row],[State]]</f>
        <v>NE</v>
      </c>
      <c r="C3135" t="str">
        <f>[1]!hospitalinfo[[#This Row],[Hospital Type]]</f>
        <v>Critical Access Hospitals</v>
      </c>
      <c r="D3135" t="str">
        <f>[1]!hospitalinfo[[#This Row],[Hospital Ownership]]</f>
        <v>Voluntary non-profit - Private</v>
      </c>
      <c r="E3135" t="str" cm="1">
        <f t="array" ref="E3135">_xlfn.IFNA(_xlfn.XLOOKUP(1,([1]!hcahps[Facility ID] = clean[[#This Row],[Facility ID]]) * ([1]!hcahps[HCAHPS Measure ID] = "H_HSP_RATING_LINEAR_SCORE"), [1]!hcahps[HCAHPS Linear Mean Value]), "No Match")</f>
        <v>Not Available</v>
      </c>
      <c r="F3135" cm="1">
        <f t="array" ref="F3135">_xlfn.IFNA(_xlfn.XLOOKUP(1,([1]!readmissions[Facility ID] = clean[[#This Row],[Facility ID]]) * ([1]!readmissions[Measure ID] = "Hybrid_HWR"), [1]!readmissions[Score]), "No Match")</f>
        <v>15.2</v>
      </c>
    </row>
    <row r="3136" spans="1:6" x14ac:dyDescent="0.2">
      <c r="A3136">
        <f>[1]!hospitalinfo[[#This Row],[Facility ID]]</f>
        <v>281323</v>
      </c>
      <c r="B3136" t="str">
        <f>[1]!hospitalinfo[[#This Row],[State]]</f>
        <v>NE</v>
      </c>
      <c r="C3136" t="str">
        <f>[1]!hospitalinfo[[#This Row],[Hospital Type]]</f>
        <v>Critical Access Hospitals</v>
      </c>
      <c r="D3136" t="str">
        <f>[1]!hospitalinfo[[#This Row],[Hospital Ownership]]</f>
        <v>Voluntary non-profit - Private</v>
      </c>
      <c r="E3136" t="str" cm="1">
        <f t="array" ref="E3136">_xlfn.IFNA(_xlfn.XLOOKUP(1,([1]!hcahps[Facility ID] = clean[[#This Row],[Facility ID]]) * ([1]!hcahps[HCAHPS Measure ID] = "H_HSP_RATING_LINEAR_SCORE"), [1]!hcahps[HCAHPS Linear Mean Value]), "No Match")</f>
        <v>Not Available</v>
      </c>
      <c r="F3136" t="str" cm="1">
        <f t="array" ref="F3136">_xlfn.IFNA(_xlfn.XLOOKUP(1,([1]!readmissions[Facility ID] = clean[[#This Row],[Facility ID]]) * ([1]!readmissions[Measure ID] = "Hybrid_HWR"), [1]!readmissions[Score]), "No Match")</f>
        <v>Not Available</v>
      </c>
    </row>
    <row r="3137" spans="1:6" x14ac:dyDescent="0.2">
      <c r="A3137">
        <f>[1]!hospitalinfo[[#This Row],[Facility ID]]</f>
        <v>281324</v>
      </c>
      <c r="B3137" t="str">
        <f>[1]!hospitalinfo[[#This Row],[State]]</f>
        <v>NE</v>
      </c>
      <c r="C3137" t="str">
        <f>[1]!hospitalinfo[[#This Row],[Hospital Type]]</f>
        <v>Critical Access Hospitals</v>
      </c>
      <c r="D3137" t="str">
        <f>[1]!hospitalinfo[[#This Row],[Hospital Ownership]]</f>
        <v>Government - Local</v>
      </c>
      <c r="E3137" t="str" cm="1">
        <f t="array" ref="E3137">_xlfn.IFNA(_xlfn.XLOOKUP(1,([1]!hcahps[Facility ID] = clean[[#This Row],[Facility ID]]) * ([1]!hcahps[HCAHPS Measure ID] = "H_HSP_RATING_LINEAR_SCORE"), [1]!hcahps[HCAHPS Linear Mean Value]), "No Match")</f>
        <v>Not Available</v>
      </c>
      <c r="F3137" cm="1">
        <f t="array" ref="F3137">_xlfn.IFNA(_xlfn.XLOOKUP(1,([1]!readmissions[Facility ID] = clean[[#This Row],[Facility ID]]) * ([1]!readmissions[Measure ID] = "Hybrid_HWR"), [1]!readmissions[Score]), "No Match")</f>
        <v>14.7</v>
      </c>
    </row>
    <row r="3138" spans="1:6" x14ac:dyDescent="0.2">
      <c r="A3138">
        <f>[1]!hospitalinfo[[#This Row],[Facility ID]]</f>
        <v>281325</v>
      </c>
      <c r="B3138" t="str">
        <f>[1]!hospitalinfo[[#This Row],[State]]</f>
        <v>NE</v>
      </c>
      <c r="C3138" t="str">
        <f>[1]!hospitalinfo[[#This Row],[Hospital Type]]</f>
        <v>Critical Access Hospitals</v>
      </c>
      <c r="D3138" t="str">
        <f>[1]!hospitalinfo[[#This Row],[Hospital Ownership]]</f>
        <v>Government - Local</v>
      </c>
      <c r="E3138" t="str" cm="1">
        <f t="array" ref="E3138">_xlfn.IFNA(_xlfn.XLOOKUP(1,([1]!hcahps[Facility ID] = clean[[#This Row],[Facility ID]]) * ([1]!hcahps[HCAHPS Measure ID] = "H_HSP_RATING_LINEAR_SCORE"), [1]!hcahps[HCAHPS Linear Mean Value]), "No Match")</f>
        <v>Not Available</v>
      </c>
      <c r="F3138" cm="1">
        <f t="array" ref="F3138">_xlfn.IFNA(_xlfn.XLOOKUP(1,([1]!readmissions[Facility ID] = clean[[#This Row],[Facility ID]]) * ([1]!readmissions[Measure ID] = "Hybrid_HWR"), [1]!readmissions[Score]), "No Match")</f>
        <v>14.6</v>
      </c>
    </row>
    <row r="3139" spans="1:6" x14ac:dyDescent="0.2">
      <c r="A3139">
        <f>[1]!hospitalinfo[[#This Row],[Facility ID]]</f>
        <v>281326</v>
      </c>
      <c r="B3139" t="str">
        <f>[1]!hospitalinfo[[#This Row],[State]]</f>
        <v>NE</v>
      </c>
      <c r="C3139" t="str">
        <f>[1]!hospitalinfo[[#This Row],[Hospital Type]]</f>
        <v>Critical Access Hospitals</v>
      </c>
      <c r="D3139" t="str">
        <f>[1]!hospitalinfo[[#This Row],[Hospital Ownership]]</f>
        <v>Voluntary non-profit - Private</v>
      </c>
      <c r="E3139" t="str" cm="1">
        <f t="array" ref="E3139">_xlfn.IFNA(_xlfn.XLOOKUP(1,([1]!hcahps[Facility ID] = clean[[#This Row],[Facility ID]]) * ([1]!hcahps[HCAHPS Measure ID] = "H_HSP_RATING_LINEAR_SCORE"), [1]!hcahps[HCAHPS Linear Mean Value]), "No Match")</f>
        <v>Not Available</v>
      </c>
      <c r="F3139" cm="1">
        <f t="array" ref="F3139">_xlfn.IFNA(_xlfn.XLOOKUP(1,([1]!readmissions[Facility ID] = clean[[#This Row],[Facility ID]]) * ([1]!readmissions[Measure ID] = "Hybrid_HWR"), [1]!readmissions[Score]), "No Match")</f>
        <v>15.1</v>
      </c>
    </row>
    <row r="3140" spans="1:6" x14ac:dyDescent="0.2">
      <c r="A3140">
        <f>[1]!hospitalinfo[[#This Row],[Facility ID]]</f>
        <v>281327</v>
      </c>
      <c r="B3140" t="str">
        <f>[1]!hospitalinfo[[#This Row],[State]]</f>
        <v>NE</v>
      </c>
      <c r="C3140" t="str">
        <f>[1]!hospitalinfo[[#This Row],[Hospital Type]]</f>
        <v>Critical Access Hospitals</v>
      </c>
      <c r="D3140" t="str">
        <f>[1]!hospitalinfo[[#This Row],[Hospital Ownership]]</f>
        <v>Government - Hospital District or Authority</v>
      </c>
      <c r="E3140" t="str" cm="1">
        <f t="array" ref="E3140">_xlfn.IFNA(_xlfn.XLOOKUP(1,([1]!hcahps[Facility ID] = clean[[#This Row],[Facility ID]]) * ([1]!hcahps[HCAHPS Measure ID] = "H_HSP_RATING_LINEAR_SCORE"), [1]!hcahps[HCAHPS Linear Mean Value]), "No Match")</f>
        <v>Not Available</v>
      </c>
      <c r="F3140" cm="1">
        <f t="array" ref="F3140">_xlfn.IFNA(_xlfn.XLOOKUP(1,([1]!readmissions[Facility ID] = clean[[#This Row],[Facility ID]]) * ([1]!readmissions[Measure ID] = "Hybrid_HWR"), [1]!readmissions[Score]), "No Match")</f>
        <v>15.7</v>
      </c>
    </row>
    <row r="3141" spans="1:6" x14ac:dyDescent="0.2">
      <c r="A3141">
        <f>[1]!hospitalinfo[[#This Row],[Facility ID]]</f>
        <v>281328</v>
      </c>
      <c r="B3141" t="str">
        <f>[1]!hospitalinfo[[#This Row],[State]]</f>
        <v>NE</v>
      </c>
      <c r="C3141" t="str">
        <f>[1]!hospitalinfo[[#This Row],[Hospital Type]]</f>
        <v>Critical Access Hospitals</v>
      </c>
      <c r="D3141" t="str">
        <f>[1]!hospitalinfo[[#This Row],[Hospital Ownership]]</f>
        <v>Voluntary non-profit - Private</v>
      </c>
      <c r="E3141" t="str" cm="1">
        <f t="array" ref="E3141">_xlfn.IFNA(_xlfn.XLOOKUP(1,([1]!hcahps[Facility ID] = clean[[#This Row],[Facility ID]]) * ([1]!hcahps[HCAHPS Measure ID] = "H_HSP_RATING_LINEAR_SCORE"), [1]!hcahps[HCAHPS Linear Mean Value]), "No Match")</f>
        <v>Not Available</v>
      </c>
      <c r="F3141" cm="1">
        <f t="array" ref="F3141">_xlfn.IFNA(_xlfn.XLOOKUP(1,([1]!readmissions[Facility ID] = clean[[#This Row],[Facility ID]]) * ([1]!readmissions[Measure ID] = "Hybrid_HWR"), [1]!readmissions[Score]), "No Match")</f>
        <v>14.6</v>
      </c>
    </row>
    <row r="3142" spans="1:6" x14ac:dyDescent="0.2">
      <c r="A3142">
        <f>[1]!hospitalinfo[[#This Row],[Facility ID]]</f>
        <v>281329</v>
      </c>
      <c r="B3142" t="str">
        <f>[1]!hospitalinfo[[#This Row],[State]]</f>
        <v>NE</v>
      </c>
      <c r="C3142" t="str">
        <f>[1]!hospitalinfo[[#This Row],[Hospital Type]]</f>
        <v>Critical Access Hospitals</v>
      </c>
      <c r="D3142" t="str">
        <f>[1]!hospitalinfo[[#This Row],[Hospital Ownership]]</f>
        <v>Voluntary non-profit - Church</v>
      </c>
      <c r="E3142" cm="1">
        <f t="array" ref="E3142">_xlfn.IFNA(_xlfn.XLOOKUP(1,([1]!hcahps[Facility ID] = clean[[#This Row],[Facility ID]]) * ([1]!hcahps[HCAHPS Measure ID] = "H_HSP_RATING_LINEAR_SCORE"), [1]!hcahps[HCAHPS Linear Mean Value]), "No Match")</f>
        <v>91</v>
      </c>
      <c r="F3142" cm="1">
        <f t="array" ref="F3142">_xlfn.IFNA(_xlfn.XLOOKUP(1,([1]!readmissions[Facility ID] = clean[[#This Row],[Facility ID]]) * ([1]!readmissions[Measure ID] = "Hybrid_HWR"), [1]!readmissions[Score]), "No Match")</f>
        <v>14.7</v>
      </c>
    </row>
    <row r="3143" spans="1:6" x14ac:dyDescent="0.2">
      <c r="A3143">
        <f>[1]!hospitalinfo[[#This Row],[Facility ID]]</f>
        <v>281331</v>
      </c>
      <c r="B3143" t="str">
        <f>[1]!hospitalinfo[[#This Row],[State]]</f>
        <v>NE</v>
      </c>
      <c r="C3143" t="str">
        <f>[1]!hospitalinfo[[#This Row],[Hospital Type]]</f>
        <v>Critical Access Hospitals</v>
      </c>
      <c r="D3143" t="str">
        <f>[1]!hospitalinfo[[#This Row],[Hospital Ownership]]</f>
        <v>Voluntary non-profit - Private</v>
      </c>
      <c r="E3143" t="str" cm="1">
        <f t="array" ref="E3143">_xlfn.IFNA(_xlfn.XLOOKUP(1,([1]!hcahps[Facility ID] = clean[[#This Row],[Facility ID]]) * ([1]!hcahps[HCAHPS Measure ID] = "H_HSP_RATING_LINEAR_SCORE"), [1]!hcahps[HCAHPS Linear Mean Value]), "No Match")</f>
        <v>Not Available</v>
      </c>
      <c r="F3143" cm="1">
        <f t="array" ref="F3143">_xlfn.IFNA(_xlfn.XLOOKUP(1,([1]!readmissions[Facility ID] = clean[[#This Row],[Facility ID]]) * ([1]!readmissions[Measure ID] = "Hybrid_HWR"), [1]!readmissions[Score]), "No Match")</f>
        <v>14.9</v>
      </c>
    </row>
    <row r="3144" spans="1:6" x14ac:dyDescent="0.2">
      <c r="A3144">
        <f>[1]!hospitalinfo[[#This Row],[Facility ID]]</f>
        <v>281332</v>
      </c>
      <c r="B3144" t="str">
        <f>[1]!hospitalinfo[[#This Row],[State]]</f>
        <v>NE</v>
      </c>
      <c r="C3144" t="str">
        <f>[1]!hospitalinfo[[#This Row],[Hospital Type]]</f>
        <v>Critical Access Hospitals</v>
      </c>
      <c r="D3144" t="str">
        <f>[1]!hospitalinfo[[#This Row],[Hospital Ownership]]</f>
        <v>Government - Local</v>
      </c>
      <c r="E3144" t="str" cm="1">
        <f t="array" ref="E3144">_xlfn.IFNA(_xlfn.XLOOKUP(1,([1]!hcahps[Facility ID] = clean[[#This Row],[Facility ID]]) * ([1]!hcahps[HCAHPS Measure ID] = "H_HSP_RATING_LINEAR_SCORE"), [1]!hcahps[HCAHPS Linear Mean Value]), "No Match")</f>
        <v>Not Available</v>
      </c>
      <c r="F3144" cm="1">
        <f t="array" ref="F3144">_xlfn.IFNA(_xlfn.XLOOKUP(1,([1]!readmissions[Facility ID] = clean[[#This Row],[Facility ID]]) * ([1]!readmissions[Measure ID] = "Hybrid_HWR"), [1]!readmissions[Score]), "No Match")</f>
        <v>15.2</v>
      </c>
    </row>
    <row r="3145" spans="1:6" x14ac:dyDescent="0.2">
      <c r="A3145">
        <f>[1]!hospitalinfo[[#This Row],[Facility ID]]</f>
        <v>281333</v>
      </c>
      <c r="B3145" t="str">
        <f>[1]!hospitalinfo[[#This Row],[State]]</f>
        <v>NE</v>
      </c>
      <c r="C3145" t="str">
        <f>[1]!hospitalinfo[[#This Row],[Hospital Type]]</f>
        <v>Critical Access Hospitals</v>
      </c>
      <c r="D3145" t="str">
        <f>[1]!hospitalinfo[[#This Row],[Hospital Ownership]]</f>
        <v>Government - Local</v>
      </c>
      <c r="E3145" t="str" cm="1">
        <f t="array" ref="E3145">_xlfn.IFNA(_xlfn.XLOOKUP(1,([1]!hcahps[Facility ID] = clean[[#This Row],[Facility ID]]) * ([1]!hcahps[HCAHPS Measure ID] = "H_HSP_RATING_LINEAR_SCORE"), [1]!hcahps[HCAHPS Linear Mean Value]), "No Match")</f>
        <v>Not Available</v>
      </c>
      <c r="F3145" cm="1">
        <f t="array" ref="F3145">_xlfn.IFNA(_xlfn.XLOOKUP(1,([1]!readmissions[Facility ID] = clean[[#This Row],[Facility ID]]) * ([1]!readmissions[Measure ID] = "Hybrid_HWR"), [1]!readmissions[Score]), "No Match")</f>
        <v>15.4</v>
      </c>
    </row>
    <row r="3146" spans="1:6" x14ac:dyDescent="0.2">
      <c r="A3146">
        <f>[1]!hospitalinfo[[#This Row],[Facility ID]]</f>
        <v>281334</v>
      </c>
      <c r="B3146" t="str">
        <f>[1]!hospitalinfo[[#This Row],[State]]</f>
        <v>NE</v>
      </c>
      <c r="C3146" t="str">
        <f>[1]!hospitalinfo[[#This Row],[Hospital Type]]</f>
        <v>Critical Access Hospitals</v>
      </c>
      <c r="D3146" t="str">
        <f>[1]!hospitalinfo[[#This Row],[Hospital Ownership]]</f>
        <v>Government - Local</v>
      </c>
      <c r="E3146" cm="1">
        <f t="array" ref="E3146">_xlfn.IFNA(_xlfn.XLOOKUP(1,([1]!hcahps[Facility ID] = clean[[#This Row],[Facility ID]]) * ([1]!hcahps[HCAHPS Measure ID] = "H_HSP_RATING_LINEAR_SCORE"), [1]!hcahps[HCAHPS Linear Mean Value]), "No Match")</f>
        <v>97</v>
      </c>
      <c r="F3146" cm="1">
        <f t="array" ref="F3146">_xlfn.IFNA(_xlfn.XLOOKUP(1,([1]!readmissions[Facility ID] = clean[[#This Row],[Facility ID]]) * ([1]!readmissions[Measure ID] = "Hybrid_HWR"), [1]!readmissions[Score]), "No Match")</f>
        <v>15.5</v>
      </c>
    </row>
    <row r="3147" spans="1:6" x14ac:dyDescent="0.2">
      <c r="A3147">
        <f>[1]!hospitalinfo[[#This Row],[Facility ID]]</f>
        <v>281335</v>
      </c>
      <c r="B3147" t="str">
        <f>[1]!hospitalinfo[[#This Row],[State]]</f>
        <v>NE</v>
      </c>
      <c r="C3147" t="str">
        <f>[1]!hospitalinfo[[#This Row],[Hospital Type]]</f>
        <v>Critical Access Hospitals</v>
      </c>
      <c r="D3147" t="str">
        <f>[1]!hospitalinfo[[#This Row],[Hospital Ownership]]</f>
        <v>Government - Hospital District or Authority</v>
      </c>
      <c r="E3147" t="str" cm="1">
        <f t="array" ref="E3147">_xlfn.IFNA(_xlfn.XLOOKUP(1,([1]!hcahps[Facility ID] = clean[[#This Row],[Facility ID]]) * ([1]!hcahps[HCAHPS Measure ID] = "H_HSP_RATING_LINEAR_SCORE"), [1]!hcahps[HCAHPS Linear Mean Value]), "No Match")</f>
        <v>Not Available</v>
      </c>
      <c r="F3147" cm="1">
        <f t="array" ref="F3147">_xlfn.IFNA(_xlfn.XLOOKUP(1,([1]!readmissions[Facility ID] = clean[[#This Row],[Facility ID]]) * ([1]!readmissions[Measure ID] = "Hybrid_HWR"), [1]!readmissions[Score]), "No Match")</f>
        <v>15.1</v>
      </c>
    </row>
    <row r="3148" spans="1:6" x14ac:dyDescent="0.2">
      <c r="A3148">
        <f>[1]!hospitalinfo[[#This Row],[Facility ID]]</f>
        <v>281336</v>
      </c>
      <c r="B3148" t="str">
        <f>[1]!hospitalinfo[[#This Row],[State]]</f>
        <v>NE</v>
      </c>
      <c r="C3148" t="str">
        <f>[1]!hospitalinfo[[#This Row],[Hospital Type]]</f>
        <v>Critical Access Hospitals</v>
      </c>
      <c r="D3148" t="str">
        <f>[1]!hospitalinfo[[#This Row],[Hospital Ownership]]</f>
        <v>Voluntary non-profit - Private</v>
      </c>
      <c r="E3148" cm="1">
        <f t="array" ref="E3148">_xlfn.IFNA(_xlfn.XLOOKUP(1,([1]!hcahps[Facility ID] = clean[[#This Row],[Facility ID]]) * ([1]!hcahps[HCAHPS Measure ID] = "H_HSP_RATING_LINEAR_SCORE"), [1]!hcahps[HCAHPS Linear Mean Value]), "No Match")</f>
        <v>92</v>
      </c>
      <c r="F3148" cm="1">
        <f t="array" ref="F3148">_xlfn.IFNA(_xlfn.XLOOKUP(1,([1]!readmissions[Facility ID] = clean[[#This Row],[Facility ID]]) * ([1]!readmissions[Measure ID] = "Hybrid_HWR"), [1]!readmissions[Score]), "No Match")</f>
        <v>15</v>
      </c>
    </row>
    <row r="3149" spans="1:6" x14ac:dyDescent="0.2">
      <c r="A3149">
        <f>[1]!hospitalinfo[[#This Row],[Facility ID]]</f>
        <v>281338</v>
      </c>
      <c r="B3149" t="str">
        <f>[1]!hospitalinfo[[#This Row],[State]]</f>
        <v>NE</v>
      </c>
      <c r="C3149" t="str">
        <f>[1]!hospitalinfo[[#This Row],[Hospital Type]]</f>
        <v>Critical Access Hospitals</v>
      </c>
      <c r="D3149" t="str">
        <f>[1]!hospitalinfo[[#This Row],[Hospital Ownership]]</f>
        <v>Voluntary non-profit - Other</v>
      </c>
      <c r="E3149" t="str" cm="1">
        <f t="array" ref="E3149">_xlfn.IFNA(_xlfn.XLOOKUP(1,([1]!hcahps[Facility ID] = clean[[#This Row],[Facility ID]]) * ([1]!hcahps[HCAHPS Measure ID] = "H_HSP_RATING_LINEAR_SCORE"), [1]!hcahps[HCAHPS Linear Mean Value]), "No Match")</f>
        <v>Not Available</v>
      </c>
      <c r="F3149" cm="1">
        <f t="array" ref="F3149">_xlfn.IFNA(_xlfn.XLOOKUP(1,([1]!readmissions[Facility ID] = clean[[#This Row],[Facility ID]]) * ([1]!readmissions[Measure ID] = "Hybrid_HWR"), [1]!readmissions[Score]), "No Match")</f>
        <v>14.9</v>
      </c>
    </row>
    <row r="3150" spans="1:6" x14ac:dyDescent="0.2">
      <c r="A3150">
        <f>[1]!hospitalinfo[[#This Row],[Facility ID]]</f>
        <v>281339</v>
      </c>
      <c r="B3150" t="str">
        <f>[1]!hospitalinfo[[#This Row],[State]]</f>
        <v>NE</v>
      </c>
      <c r="C3150" t="str">
        <f>[1]!hospitalinfo[[#This Row],[Hospital Type]]</f>
        <v>Critical Access Hospitals</v>
      </c>
      <c r="D3150" t="str">
        <f>[1]!hospitalinfo[[#This Row],[Hospital Ownership]]</f>
        <v>Voluntary non-profit - Private</v>
      </c>
      <c r="E3150" t="str" cm="1">
        <f t="array" ref="E3150">_xlfn.IFNA(_xlfn.XLOOKUP(1,([1]!hcahps[Facility ID] = clean[[#This Row],[Facility ID]]) * ([1]!hcahps[HCAHPS Measure ID] = "H_HSP_RATING_LINEAR_SCORE"), [1]!hcahps[HCAHPS Linear Mean Value]), "No Match")</f>
        <v>Not Available</v>
      </c>
      <c r="F3150" cm="1">
        <f t="array" ref="F3150">_xlfn.IFNA(_xlfn.XLOOKUP(1,([1]!readmissions[Facility ID] = clean[[#This Row],[Facility ID]]) * ([1]!readmissions[Measure ID] = "Hybrid_HWR"), [1]!readmissions[Score]), "No Match")</f>
        <v>14.9</v>
      </c>
    </row>
    <row r="3151" spans="1:6" x14ac:dyDescent="0.2">
      <c r="A3151">
        <f>[1]!hospitalinfo[[#This Row],[Facility ID]]</f>
        <v>281340</v>
      </c>
      <c r="B3151" t="str">
        <f>[1]!hospitalinfo[[#This Row],[State]]</f>
        <v>NE</v>
      </c>
      <c r="C3151" t="str">
        <f>[1]!hospitalinfo[[#This Row],[Hospital Type]]</f>
        <v>Critical Access Hospitals</v>
      </c>
      <c r="D3151" t="str">
        <f>[1]!hospitalinfo[[#This Row],[Hospital Ownership]]</f>
        <v>Government - Local</v>
      </c>
      <c r="E3151" t="str" cm="1">
        <f t="array" ref="E3151">_xlfn.IFNA(_xlfn.XLOOKUP(1,([1]!hcahps[Facility ID] = clean[[#This Row],[Facility ID]]) * ([1]!hcahps[HCAHPS Measure ID] = "H_HSP_RATING_LINEAR_SCORE"), [1]!hcahps[HCAHPS Linear Mean Value]), "No Match")</f>
        <v>Not Available</v>
      </c>
      <c r="F3151" cm="1">
        <f t="array" ref="F3151">_xlfn.IFNA(_xlfn.XLOOKUP(1,([1]!readmissions[Facility ID] = clean[[#This Row],[Facility ID]]) * ([1]!readmissions[Measure ID] = "Hybrid_HWR"), [1]!readmissions[Score]), "No Match")</f>
        <v>15.6</v>
      </c>
    </row>
    <row r="3152" spans="1:6" x14ac:dyDescent="0.2">
      <c r="A3152">
        <f>[1]!hospitalinfo[[#This Row],[Facility ID]]</f>
        <v>281341</v>
      </c>
      <c r="B3152" t="str">
        <f>[1]!hospitalinfo[[#This Row],[State]]</f>
        <v>NE</v>
      </c>
      <c r="C3152" t="str">
        <f>[1]!hospitalinfo[[#This Row],[Hospital Type]]</f>
        <v>Critical Access Hospitals</v>
      </c>
      <c r="D3152" t="str">
        <f>[1]!hospitalinfo[[#This Row],[Hospital Ownership]]</f>
        <v>Voluntary non-profit - Private</v>
      </c>
      <c r="E3152" t="str" cm="1">
        <f t="array" ref="E3152">_xlfn.IFNA(_xlfn.XLOOKUP(1,([1]!hcahps[Facility ID] = clean[[#This Row],[Facility ID]]) * ([1]!hcahps[HCAHPS Measure ID] = "H_HSP_RATING_LINEAR_SCORE"), [1]!hcahps[HCAHPS Linear Mean Value]), "No Match")</f>
        <v>Not Available</v>
      </c>
      <c r="F3152" cm="1">
        <f t="array" ref="F3152">_xlfn.IFNA(_xlfn.XLOOKUP(1,([1]!readmissions[Facility ID] = clean[[#This Row],[Facility ID]]) * ([1]!readmissions[Measure ID] = "Hybrid_HWR"), [1]!readmissions[Score]), "No Match")</f>
        <v>14.7</v>
      </c>
    </row>
    <row r="3153" spans="1:6" x14ac:dyDescent="0.2">
      <c r="A3153">
        <f>[1]!hospitalinfo[[#This Row],[Facility ID]]</f>
        <v>281342</v>
      </c>
      <c r="B3153" t="str">
        <f>[1]!hospitalinfo[[#This Row],[State]]</f>
        <v>NE</v>
      </c>
      <c r="C3153" t="str">
        <f>[1]!hospitalinfo[[#This Row],[Hospital Type]]</f>
        <v>Critical Access Hospitals</v>
      </c>
      <c r="D3153" t="str">
        <f>[1]!hospitalinfo[[#This Row],[Hospital Ownership]]</f>
        <v>Voluntary non-profit - Church</v>
      </c>
      <c r="E3153" t="str" cm="1">
        <f t="array" ref="E3153">_xlfn.IFNA(_xlfn.XLOOKUP(1,([1]!hcahps[Facility ID] = clean[[#This Row],[Facility ID]]) * ([1]!hcahps[HCAHPS Measure ID] = "H_HSP_RATING_LINEAR_SCORE"), [1]!hcahps[HCAHPS Linear Mean Value]), "No Match")</f>
        <v>Not Available</v>
      </c>
      <c r="F3153" cm="1">
        <f t="array" ref="F3153">_xlfn.IFNA(_xlfn.XLOOKUP(1,([1]!readmissions[Facility ID] = clean[[#This Row],[Facility ID]]) * ([1]!readmissions[Measure ID] = "Hybrid_HWR"), [1]!readmissions[Score]), "No Match")</f>
        <v>14.8</v>
      </c>
    </row>
    <row r="3154" spans="1:6" x14ac:dyDescent="0.2">
      <c r="A3154">
        <f>[1]!hospitalinfo[[#This Row],[Facility ID]]</f>
        <v>281343</v>
      </c>
      <c r="B3154" t="str">
        <f>[1]!hospitalinfo[[#This Row],[State]]</f>
        <v>NE</v>
      </c>
      <c r="C3154" t="str">
        <f>[1]!hospitalinfo[[#This Row],[Hospital Type]]</f>
        <v>Critical Access Hospitals</v>
      </c>
      <c r="D3154" t="str">
        <f>[1]!hospitalinfo[[#This Row],[Hospital Ownership]]</f>
        <v>Voluntary non-profit - Private</v>
      </c>
      <c r="E3154" t="str" cm="1">
        <f t="array" ref="E3154">_xlfn.IFNA(_xlfn.XLOOKUP(1,([1]!hcahps[Facility ID] = clean[[#This Row],[Facility ID]]) * ([1]!hcahps[HCAHPS Measure ID] = "H_HSP_RATING_LINEAR_SCORE"), [1]!hcahps[HCAHPS Linear Mean Value]), "No Match")</f>
        <v>Not Available</v>
      </c>
      <c r="F3154" cm="1">
        <f t="array" ref="F3154">_xlfn.IFNA(_xlfn.XLOOKUP(1,([1]!readmissions[Facility ID] = clean[[#This Row],[Facility ID]]) * ([1]!readmissions[Measure ID] = "Hybrid_HWR"), [1]!readmissions[Score]), "No Match")</f>
        <v>15</v>
      </c>
    </row>
    <row r="3155" spans="1:6" x14ac:dyDescent="0.2">
      <c r="A3155">
        <f>[1]!hospitalinfo[[#This Row],[Facility ID]]</f>
        <v>281344</v>
      </c>
      <c r="B3155" t="str">
        <f>[1]!hospitalinfo[[#This Row],[State]]</f>
        <v>NE</v>
      </c>
      <c r="C3155" t="str">
        <f>[1]!hospitalinfo[[#This Row],[Hospital Type]]</f>
        <v>Critical Access Hospitals</v>
      </c>
      <c r="D3155" t="str">
        <f>[1]!hospitalinfo[[#This Row],[Hospital Ownership]]</f>
        <v>Government - Local</v>
      </c>
      <c r="E3155" t="str" cm="1">
        <f t="array" ref="E3155">_xlfn.IFNA(_xlfn.XLOOKUP(1,([1]!hcahps[Facility ID] = clean[[#This Row],[Facility ID]]) * ([1]!hcahps[HCAHPS Measure ID] = "H_HSP_RATING_LINEAR_SCORE"), [1]!hcahps[HCAHPS Linear Mean Value]), "No Match")</f>
        <v>Not Available</v>
      </c>
      <c r="F3155" cm="1">
        <f t="array" ref="F3155">_xlfn.IFNA(_xlfn.XLOOKUP(1,([1]!readmissions[Facility ID] = clean[[#This Row],[Facility ID]]) * ([1]!readmissions[Measure ID] = "Hybrid_HWR"), [1]!readmissions[Score]), "No Match")</f>
        <v>15.2</v>
      </c>
    </row>
    <row r="3156" spans="1:6" x14ac:dyDescent="0.2">
      <c r="A3156">
        <f>[1]!hospitalinfo[[#This Row],[Facility ID]]</f>
        <v>281345</v>
      </c>
      <c r="B3156" t="str">
        <f>[1]!hospitalinfo[[#This Row],[State]]</f>
        <v>NE</v>
      </c>
      <c r="C3156" t="str">
        <f>[1]!hospitalinfo[[#This Row],[Hospital Type]]</f>
        <v>Critical Access Hospitals</v>
      </c>
      <c r="D3156" t="str">
        <f>[1]!hospitalinfo[[#This Row],[Hospital Ownership]]</f>
        <v>Voluntary non-profit - Private</v>
      </c>
      <c r="E3156" t="str" cm="1">
        <f t="array" ref="E3156">_xlfn.IFNA(_xlfn.XLOOKUP(1,([1]!hcahps[Facility ID] = clean[[#This Row],[Facility ID]]) * ([1]!hcahps[HCAHPS Measure ID] = "H_HSP_RATING_LINEAR_SCORE"), [1]!hcahps[HCAHPS Linear Mean Value]), "No Match")</f>
        <v>Not Available</v>
      </c>
      <c r="F3156" cm="1">
        <f t="array" ref="F3156">_xlfn.IFNA(_xlfn.XLOOKUP(1,([1]!readmissions[Facility ID] = clean[[#This Row],[Facility ID]]) * ([1]!readmissions[Measure ID] = "Hybrid_HWR"), [1]!readmissions[Score]), "No Match")</f>
        <v>14.8</v>
      </c>
    </row>
    <row r="3157" spans="1:6" x14ac:dyDescent="0.2">
      <c r="A3157">
        <f>[1]!hospitalinfo[[#This Row],[Facility ID]]</f>
        <v>281346</v>
      </c>
      <c r="B3157" t="str">
        <f>[1]!hospitalinfo[[#This Row],[State]]</f>
        <v>NE</v>
      </c>
      <c r="C3157" t="str">
        <f>[1]!hospitalinfo[[#This Row],[Hospital Type]]</f>
        <v>Critical Access Hospitals</v>
      </c>
      <c r="D3157" t="str">
        <f>[1]!hospitalinfo[[#This Row],[Hospital Ownership]]</f>
        <v>Voluntary non-profit - Church</v>
      </c>
      <c r="E3157" t="str" cm="1">
        <f t="array" ref="E3157">_xlfn.IFNA(_xlfn.XLOOKUP(1,([1]!hcahps[Facility ID] = clean[[#This Row],[Facility ID]]) * ([1]!hcahps[HCAHPS Measure ID] = "H_HSP_RATING_LINEAR_SCORE"), [1]!hcahps[HCAHPS Linear Mean Value]), "No Match")</f>
        <v>Not Available</v>
      </c>
      <c r="F3157" cm="1">
        <f t="array" ref="F3157">_xlfn.IFNA(_xlfn.XLOOKUP(1,([1]!readmissions[Facility ID] = clean[[#This Row],[Facility ID]]) * ([1]!readmissions[Measure ID] = "Hybrid_HWR"), [1]!readmissions[Score]), "No Match")</f>
        <v>14.8</v>
      </c>
    </row>
    <row r="3158" spans="1:6" x14ac:dyDescent="0.2">
      <c r="A3158">
        <f>[1]!hospitalinfo[[#This Row],[Facility ID]]</f>
        <v>281347</v>
      </c>
      <c r="B3158" t="str">
        <f>[1]!hospitalinfo[[#This Row],[State]]</f>
        <v>NE</v>
      </c>
      <c r="C3158" t="str">
        <f>[1]!hospitalinfo[[#This Row],[Hospital Type]]</f>
        <v>Critical Access Hospitals</v>
      </c>
      <c r="D3158" t="str">
        <f>[1]!hospitalinfo[[#This Row],[Hospital Ownership]]</f>
        <v>Voluntary non-profit - Private</v>
      </c>
      <c r="E3158" t="str" cm="1">
        <f t="array" ref="E3158">_xlfn.IFNA(_xlfn.XLOOKUP(1,([1]!hcahps[Facility ID] = clean[[#This Row],[Facility ID]]) * ([1]!hcahps[HCAHPS Measure ID] = "H_HSP_RATING_LINEAR_SCORE"), [1]!hcahps[HCAHPS Linear Mean Value]), "No Match")</f>
        <v>Not Available</v>
      </c>
      <c r="F3158" cm="1">
        <f t="array" ref="F3158">_xlfn.IFNA(_xlfn.XLOOKUP(1,([1]!readmissions[Facility ID] = clean[[#This Row],[Facility ID]]) * ([1]!readmissions[Measure ID] = "Hybrid_HWR"), [1]!readmissions[Score]), "No Match")</f>
        <v>15</v>
      </c>
    </row>
    <row r="3159" spans="1:6" x14ac:dyDescent="0.2">
      <c r="A3159">
        <f>[1]!hospitalinfo[[#This Row],[Facility ID]]</f>
        <v>281348</v>
      </c>
      <c r="B3159" t="str">
        <f>[1]!hospitalinfo[[#This Row],[State]]</f>
        <v>NE</v>
      </c>
      <c r="C3159" t="str">
        <f>[1]!hospitalinfo[[#This Row],[Hospital Type]]</f>
        <v>Critical Access Hospitals</v>
      </c>
      <c r="D3159" t="str">
        <f>[1]!hospitalinfo[[#This Row],[Hospital Ownership]]</f>
        <v>Voluntary non-profit - Private</v>
      </c>
      <c r="E3159" t="str" cm="1">
        <f t="array" ref="E3159">_xlfn.IFNA(_xlfn.XLOOKUP(1,([1]!hcahps[Facility ID] = clean[[#This Row],[Facility ID]]) * ([1]!hcahps[HCAHPS Measure ID] = "H_HSP_RATING_LINEAR_SCORE"), [1]!hcahps[HCAHPS Linear Mean Value]), "No Match")</f>
        <v>Not Available</v>
      </c>
      <c r="F3159" cm="1">
        <f t="array" ref="F3159">_xlfn.IFNA(_xlfn.XLOOKUP(1,([1]!readmissions[Facility ID] = clean[[#This Row],[Facility ID]]) * ([1]!readmissions[Measure ID] = "Hybrid_HWR"), [1]!readmissions[Score]), "No Match")</f>
        <v>14.9</v>
      </c>
    </row>
    <row r="3160" spans="1:6" x14ac:dyDescent="0.2">
      <c r="A3160">
        <f>[1]!hospitalinfo[[#This Row],[Facility ID]]</f>
        <v>281349</v>
      </c>
      <c r="B3160" t="str">
        <f>[1]!hospitalinfo[[#This Row],[State]]</f>
        <v>NE</v>
      </c>
      <c r="C3160" t="str">
        <f>[1]!hospitalinfo[[#This Row],[Hospital Type]]</f>
        <v>Critical Access Hospitals</v>
      </c>
      <c r="D3160" t="str">
        <f>[1]!hospitalinfo[[#This Row],[Hospital Ownership]]</f>
        <v>Government - Local</v>
      </c>
      <c r="E3160" t="str" cm="1">
        <f t="array" ref="E3160">_xlfn.IFNA(_xlfn.XLOOKUP(1,([1]!hcahps[Facility ID] = clean[[#This Row],[Facility ID]]) * ([1]!hcahps[HCAHPS Measure ID] = "H_HSP_RATING_LINEAR_SCORE"), [1]!hcahps[HCAHPS Linear Mean Value]), "No Match")</f>
        <v>Not Available</v>
      </c>
      <c r="F3160" cm="1">
        <f t="array" ref="F3160">_xlfn.IFNA(_xlfn.XLOOKUP(1,([1]!readmissions[Facility ID] = clean[[#This Row],[Facility ID]]) * ([1]!readmissions[Measure ID] = "Hybrid_HWR"), [1]!readmissions[Score]), "No Match")</f>
        <v>15.1</v>
      </c>
    </row>
    <row r="3161" spans="1:6" x14ac:dyDescent="0.2">
      <c r="A3161">
        <f>[1]!hospitalinfo[[#This Row],[Facility ID]]</f>
        <v>281350</v>
      </c>
      <c r="B3161" t="str">
        <f>[1]!hospitalinfo[[#This Row],[State]]</f>
        <v>NE</v>
      </c>
      <c r="C3161" t="str">
        <f>[1]!hospitalinfo[[#This Row],[Hospital Type]]</f>
        <v>Critical Access Hospitals</v>
      </c>
      <c r="D3161" t="str">
        <f>[1]!hospitalinfo[[#This Row],[Hospital Ownership]]</f>
        <v>Government - Local</v>
      </c>
      <c r="E3161" t="str" cm="1">
        <f t="array" ref="E3161">_xlfn.IFNA(_xlfn.XLOOKUP(1,([1]!hcahps[Facility ID] = clean[[#This Row],[Facility ID]]) * ([1]!hcahps[HCAHPS Measure ID] = "H_HSP_RATING_LINEAR_SCORE"), [1]!hcahps[HCAHPS Linear Mean Value]), "No Match")</f>
        <v>Not Available</v>
      </c>
      <c r="F3161" cm="1">
        <f t="array" ref="F3161">_xlfn.IFNA(_xlfn.XLOOKUP(1,([1]!readmissions[Facility ID] = clean[[#This Row],[Facility ID]]) * ([1]!readmissions[Measure ID] = "Hybrid_HWR"), [1]!readmissions[Score]), "No Match")</f>
        <v>15.4</v>
      </c>
    </row>
    <row r="3162" spans="1:6" x14ac:dyDescent="0.2">
      <c r="A3162">
        <f>[1]!hospitalinfo[[#This Row],[Facility ID]]</f>
        <v>281351</v>
      </c>
      <c r="B3162" t="str">
        <f>[1]!hospitalinfo[[#This Row],[State]]</f>
        <v>NE</v>
      </c>
      <c r="C3162" t="str">
        <f>[1]!hospitalinfo[[#This Row],[Hospital Type]]</f>
        <v>Critical Access Hospitals</v>
      </c>
      <c r="D3162" t="str">
        <f>[1]!hospitalinfo[[#This Row],[Hospital Ownership]]</f>
        <v>Government - Local</v>
      </c>
      <c r="E3162" t="str" cm="1">
        <f t="array" ref="E3162">_xlfn.IFNA(_xlfn.XLOOKUP(1,([1]!hcahps[Facility ID] = clean[[#This Row],[Facility ID]]) * ([1]!hcahps[HCAHPS Measure ID] = "H_HSP_RATING_LINEAR_SCORE"), [1]!hcahps[HCAHPS Linear Mean Value]), "No Match")</f>
        <v>Not Available</v>
      </c>
      <c r="F3162" cm="1">
        <f t="array" ref="F3162">_xlfn.IFNA(_xlfn.XLOOKUP(1,([1]!readmissions[Facility ID] = clean[[#This Row],[Facility ID]]) * ([1]!readmissions[Measure ID] = "Hybrid_HWR"), [1]!readmissions[Score]), "No Match")</f>
        <v>15.5</v>
      </c>
    </row>
    <row r="3163" spans="1:6" x14ac:dyDescent="0.2">
      <c r="A3163">
        <f>[1]!hospitalinfo[[#This Row],[Facility ID]]</f>
        <v>281352</v>
      </c>
      <c r="B3163" t="str">
        <f>[1]!hospitalinfo[[#This Row],[State]]</f>
        <v>NE</v>
      </c>
      <c r="C3163" t="str">
        <f>[1]!hospitalinfo[[#This Row],[Hospital Type]]</f>
        <v>Critical Access Hospitals</v>
      </c>
      <c r="D3163" t="str">
        <f>[1]!hospitalinfo[[#This Row],[Hospital Ownership]]</f>
        <v>Voluntary non-profit - Private</v>
      </c>
      <c r="E3163" cm="1">
        <f t="array" ref="E3163">_xlfn.IFNA(_xlfn.XLOOKUP(1,([1]!hcahps[Facility ID] = clean[[#This Row],[Facility ID]]) * ([1]!hcahps[HCAHPS Measure ID] = "H_HSP_RATING_LINEAR_SCORE"), [1]!hcahps[HCAHPS Linear Mean Value]), "No Match")</f>
        <v>95</v>
      </c>
      <c r="F3163" cm="1">
        <f t="array" ref="F3163">_xlfn.IFNA(_xlfn.XLOOKUP(1,([1]!readmissions[Facility ID] = clean[[#This Row],[Facility ID]]) * ([1]!readmissions[Measure ID] = "Hybrid_HWR"), [1]!readmissions[Score]), "No Match")</f>
        <v>14.6</v>
      </c>
    </row>
    <row r="3164" spans="1:6" x14ac:dyDescent="0.2">
      <c r="A3164">
        <f>[1]!hospitalinfo[[#This Row],[Facility ID]]</f>
        <v>281353</v>
      </c>
      <c r="B3164" t="str">
        <f>[1]!hospitalinfo[[#This Row],[State]]</f>
        <v>NE</v>
      </c>
      <c r="C3164" t="str">
        <f>[1]!hospitalinfo[[#This Row],[Hospital Type]]</f>
        <v>Critical Access Hospitals</v>
      </c>
      <c r="D3164" t="str">
        <f>[1]!hospitalinfo[[#This Row],[Hospital Ownership]]</f>
        <v>Government - Local</v>
      </c>
      <c r="E3164" t="str" cm="1">
        <f t="array" ref="E3164">_xlfn.IFNA(_xlfn.XLOOKUP(1,([1]!hcahps[Facility ID] = clean[[#This Row],[Facility ID]]) * ([1]!hcahps[HCAHPS Measure ID] = "H_HSP_RATING_LINEAR_SCORE"), [1]!hcahps[HCAHPS Linear Mean Value]), "No Match")</f>
        <v>Not Available</v>
      </c>
      <c r="F3164" cm="1">
        <f t="array" ref="F3164">_xlfn.IFNA(_xlfn.XLOOKUP(1,([1]!readmissions[Facility ID] = clean[[#This Row],[Facility ID]]) * ([1]!readmissions[Measure ID] = "Hybrid_HWR"), [1]!readmissions[Score]), "No Match")</f>
        <v>15</v>
      </c>
    </row>
    <row r="3165" spans="1:6" x14ac:dyDescent="0.2">
      <c r="A3165">
        <f>[1]!hospitalinfo[[#This Row],[Facility ID]]</f>
        <v>281354</v>
      </c>
      <c r="B3165" t="str">
        <f>[1]!hospitalinfo[[#This Row],[State]]</f>
        <v>NE</v>
      </c>
      <c r="C3165" t="str">
        <f>[1]!hospitalinfo[[#This Row],[Hospital Type]]</f>
        <v>Critical Access Hospitals</v>
      </c>
      <c r="D3165" t="str">
        <f>[1]!hospitalinfo[[#This Row],[Hospital Ownership]]</f>
        <v>Voluntary non-profit - Private</v>
      </c>
      <c r="E3165" t="str" cm="1">
        <f t="array" ref="E3165">_xlfn.IFNA(_xlfn.XLOOKUP(1,([1]!hcahps[Facility ID] = clean[[#This Row],[Facility ID]]) * ([1]!hcahps[HCAHPS Measure ID] = "H_HSP_RATING_LINEAR_SCORE"), [1]!hcahps[HCAHPS Linear Mean Value]), "No Match")</f>
        <v>Not Available</v>
      </c>
      <c r="F3165" cm="1">
        <f t="array" ref="F3165">_xlfn.IFNA(_xlfn.XLOOKUP(1,([1]!readmissions[Facility ID] = clean[[#This Row],[Facility ID]]) * ([1]!readmissions[Measure ID] = "Hybrid_HWR"), [1]!readmissions[Score]), "No Match")</f>
        <v>14.8</v>
      </c>
    </row>
    <row r="3166" spans="1:6" x14ac:dyDescent="0.2">
      <c r="A3166">
        <f>[1]!hospitalinfo[[#This Row],[Facility ID]]</f>
        <v>281355</v>
      </c>
      <c r="B3166" t="str">
        <f>[1]!hospitalinfo[[#This Row],[State]]</f>
        <v>NE</v>
      </c>
      <c r="C3166" t="str">
        <f>[1]!hospitalinfo[[#This Row],[Hospital Type]]</f>
        <v>Critical Access Hospitals</v>
      </c>
      <c r="D3166" t="str">
        <f>[1]!hospitalinfo[[#This Row],[Hospital Ownership]]</f>
        <v>Government - Hospital District or Authority</v>
      </c>
      <c r="E3166" t="str" cm="1">
        <f t="array" ref="E3166">_xlfn.IFNA(_xlfn.XLOOKUP(1,([1]!hcahps[Facility ID] = clean[[#This Row],[Facility ID]]) * ([1]!hcahps[HCAHPS Measure ID] = "H_HSP_RATING_LINEAR_SCORE"), [1]!hcahps[HCAHPS Linear Mean Value]), "No Match")</f>
        <v>Not Available</v>
      </c>
      <c r="F3166" cm="1">
        <f t="array" ref="F3166">_xlfn.IFNA(_xlfn.XLOOKUP(1,([1]!readmissions[Facility ID] = clean[[#This Row],[Facility ID]]) * ([1]!readmissions[Measure ID] = "Hybrid_HWR"), [1]!readmissions[Score]), "No Match")</f>
        <v>15.3</v>
      </c>
    </row>
    <row r="3167" spans="1:6" x14ac:dyDescent="0.2">
      <c r="A3167">
        <f>[1]!hospitalinfo[[#This Row],[Facility ID]]</f>
        <v>281356</v>
      </c>
      <c r="B3167" t="str">
        <f>[1]!hospitalinfo[[#This Row],[State]]</f>
        <v>NE</v>
      </c>
      <c r="C3167" t="str">
        <f>[1]!hospitalinfo[[#This Row],[Hospital Type]]</f>
        <v>Critical Access Hospitals</v>
      </c>
      <c r="D3167" t="str">
        <f>[1]!hospitalinfo[[#This Row],[Hospital Ownership]]</f>
        <v>Government - Hospital District or Authority</v>
      </c>
      <c r="E3167" t="str" cm="1">
        <f t="array" ref="E3167">_xlfn.IFNA(_xlfn.XLOOKUP(1,([1]!hcahps[Facility ID] = clean[[#This Row],[Facility ID]]) * ([1]!hcahps[HCAHPS Measure ID] = "H_HSP_RATING_LINEAR_SCORE"), [1]!hcahps[HCAHPS Linear Mean Value]), "No Match")</f>
        <v>Not Available</v>
      </c>
      <c r="F3167" cm="1">
        <f t="array" ref="F3167">_xlfn.IFNA(_xlfn.XLOOKUP(1,([1]!readmissions[Facility ID] = clean[[#This Row],[Facility ID]]) * ([1]!readmissions[Measure ID] = "Hybrid_HWR"), [1]!readmissions[Score]), "No Match")</f>
        <v>15.4</v>
      </c>
    </row>
    <row r="3168" spans="1:6" x14ac:dyDescent="0.2">
      <c r="A3168">
        <f>[1]!hospitalinfo[[#This Row],[Facility ID]]</f>
        <v>281357</v>
      </c>
      <c r="B3168" t="str">
        <f>[1]!hospitalinfo[[#This Row],[State]]</f>
        <v>NE</v>
      </c>
      <c r="C3168" t="str">
        <f>[1]!hospitalinfo[[#This Row],[Hospital Type]]</f>
        <v>Critical Access Hospitals</v>
      </c>
      <c r="D3168" t="str">
        <f>[1]!hospitalinfo[[#This Row],[Hospital Ownership]]</f>
        <v>Voluntary non-profit - Private</v>
      </c>
      <c r="E3168" cm="1">
        <f t="array" ref="E3168">_xlfn.IFNA(_xlfn.XLOOKUP(1,([1]!hcahps[Facility ID] = clean[[#This Row],[Facility ID]]) * ([1]!hcahps[HCAHPS Measure ID] = "H_HSP_RATING_LINEAR_SCORE"), [1]!hcahps[HCAHPS Linear Mean Value]), "No Match")</f>
        <v>92</v>
      </c>
      <c r="F3168" cm="1">
        <f t="array" ref="F3168">_xlfn.IFNA(_xlfn.XLOOKUP(1,([1]!readmissions[Facility ID] = clean[[#This Row],[Facility ID]]) * ([1]!readmissions[Measure ID] = "Hybrid_HWR"), [1]!readmissions[Score]), "No Match")</f>
        <v>15.4</v>
      </c>
    </row>
    <row r="3169" spans="1:6" x14ac:dyDescent="0.2">
      <c r="A3169">
        <f>[1]!hospitalinfo[[#This Row],[Facility ID]]</f>
        <v>281358</v>
      </c>
      <c r="B3169" t="str">
        <f>[1]!hospitalinfo[[#This Row],[State]]</f>
        <v>NE</v>
      </c>
      <c r="C3169" t="str">
        <f>[1]!hospitalinfo[[#This Row],[Hospital Type]]</f>
        <v>Critical Access Hospitals</v>
      </c>
      <c r="D3169" t="str">
        <f>[1]!hospitalinfo[[#This Row],[Hospital Ownership]]</f>
        <v>Government - Hospital District or Authority</v>
      </c>
      <c r="E3169" t="str" cm="1">
        <f t="array" ref="E3169">_xlfn.IFNA(_xlfn.XLOOKUP(1,([1]!hcahps[Facility ID] = clean[[#This Row],[Facility ID]]) * ([1]!hcahps[HCAHPS Measure ID] = "H_HSP_RATING_LINEAR_SCORE"), [1]!hcahps[HCAHPS Linear Mean Value]), "No Match")</f>
        <v>Not Available</v>
      </c>
      <c r="F3169" cm="1">
        <f t="array" ref="F3169">_xlfn.IFNA(_xlfn.XLOOKUP(1,([1]!readmissions[Facility ID] = clean[[#This Row],[Facility ID]]) * ([1]!readmissions[Measure ID] = "Hybrid_HWR"), [1]!readmissions[Score]), "No Match")</f>
        <v>15.4</v>
      </c>
    </row>
    <row r="3170" spans="1:6" x14ac:dyDescent="0.2">
      <c r="A3170">
        <f>[1]!hospitalinfo[[#This Row],[Facility ID]]</f>
        <v>281359</v>
      </c>
      <c r="B3170" t="str">
        <f>[1]!hospitalinfo[[#This Row],[State]]</f>
        <v>NE</v>
      </c>
      <c r="C3170" t="str">
        <f>[1]!hospitalinfo[[#This Row],[Hospital Type]]</f>
        <v>Critical Access Hospitals</v>
      </c>
      <c r="D3170" t="str">
        <f>[1]!hospitalinfo[[#This Row],[Hospital Ownership]]</f>
        <v>Voluntary non-profit - Private</v>
      </c>
      <c r="E3170" cm="1">
        <f t="array" ref="E3170">_xlfn.IFNA(_xlfn.XLOOKUP(1,([1]!hcahps[Facility ID] = clean[[#This Row],[Facility ID]]) * ([1]!hcahps[HCAHPS Measure ID] = "H_HSP_RATING_LINEAR_SCORE"), [1]!hcahps[HCAHPS Linear Mean Value]), "No Match")</f>
        <v>91</v>
      </c>
      <c r="F3170" cm="1">
        <f t="array" ref="F3170">_xlfn.IFNA(_xlfn.XLOOKUP(1,([1]!readmissions[Facility ID] = clean[[#This Row],[Facility ID]]) * ([1]!readmissions[Measure ID] = "Hybrid_HWR"), [1]!readmissions[Score]), "No Match")</f>
        <v>15.2</v>
      </c>
    </row>
    <row r="3171" spans="1:6" x14ac:dyDescent="0.2">
      <c r="A3171">
        <f>[1]!hospitalinfo[[#This Row],[Facility ID]]</f>
        <v>281360</v>
      </c>
      <c r="B3171" t="str">
        <f>[1]!hospitalinfo[[#This Row],[State]]</f>
        <v>NE</v>
      </c>
      <c r="C3171" t="str">
        <f>[1]!hospitalinfo[[#This Row],[Hospital Type]]</f>
        <v>Critical Access Hospitals</v>
      </c>
      <c r="D3171" t="str">
        <f>[1]!hospitalinfo[[#This Row],[Hospital Ownership]]</f>
        <v>Government - Local</v>
      </c>
      <c r="E3171" cm="1">
        <f t="array" ref="E3171">_xlfn.IFNA(_xlfn.XLOOKUP(1,([1]!hcahps[Facility ID] = clean[[#This Row],[Facility ID]]) * ([1]!hcahps[HCAHPS Measure ID] = "H_HSP_RATING_LINEAR_SCORE"), [1]!hcahps[HCAHPS Linear Mean Value]), "No Match")</f>
        <v>88</v>
      </c>
      <c r="F3171" cm="1">
        <f t="array" ref="F3171">_xlfn.IFNA(_xlfn.XLOOKUP(1,([1]!readmissions[Facility ID] = clean[[#This Row],[Facility ID]]) * ([1]!readmissions[Measure ID] = "Hybrid_HWR"), [1]!readmissions[Score]), "No Match")</f>
        <v>14.5</v>
      </c>
    </row>
    <row r="3172" spans="1:6" x14ac:dyDescent="0.2">
      <c r="A3172">
        <f>[1]!hospitalinfo[[#This Row],[Facility ID]]</f>
        <v>281361</v>
      </c>
      <c r="B3172" t="str">
        <f>[1]!hospitalinfo[[#This Row],[State]]</f>
        <v>NE</v>
      </c>
      <c r="C3172" t="str">
        <f>[1]!hospitalinfo[[#This Row],[Hospital Type]]</f>
        <v>Critical Access Hospitals</v>
      </c>
      <c r="D3172" t="str">
        <f>[1]!hospitalinfo[[#This Row],[Hospital Ownership]]</f>
        <v>Government - Hospital District or Authority</v>
      </c>
      <c r="E3172" t="str" cm="1">
        <f t="array" ref="E3172">_xlfn.IFNA(_xlfn.XLOOKUP(1,([1]!hcahps[Facility ID] = clean[[#This Row],[Facility ID]]) * ([1]!hcahps[HCAHPS Measure ID] = "H_HSP_RATING_LINEAR_SCORE"), [1]!hcahps[HCAHPS Linear Mean Value]), "No Match")</f>
        <v>Not Available</v>
      </c>
      <c r="F3172" cm="1">
        <f t="array" ref="F3172">_xlfn.IFNA(_xlfn.XLOOKUP(1,([1]!readmissions[Facility ID] = clean[[#This Row],[Facility ID]]) * ([1]!readmissions[Measure ID] = "Hybrid_HWR"), [1]!readmissions[Score]), "No Match")</f>
        <v>14.9</v>
      </c>
    </row>
    <row r="3173" spans="1:6" x14ac:dyDescent="0.2">
      <c r="A3173">
        <f>[1]!hospitalinfo[[#This Row],[Facility ID]]</f>
        <v>281362</v>
      </c>
      <c r="B3173" t="str">
        <f>[1]!hospitalinfo[[#This Row],[State]]</f>
        <v>NE</v>
      </c>
      <c r="C3173" t="str">
        <f>[1]!hospitalinfo[[#This Row],[Hospital Type]]</f>
        <v>Critical Access Hospitals</v>
      </c>
      <c r="D3173" t="str">
        <f>[1]!hospitalinfo[[#This Row],[Hospital Ownership]]</f>
        <v>Voluntary non-profit - Private</v>
      </c>
      <c r="E3173" cm="1">
        <f t="array" ref="E3173">_xlfn.IFNA(_xlfn.XLOOKUP(1,([1]!hcahps[Facility ID] = clean[[#This Row],[Facility ID]]) * ([1]!hcahps[HCAHPS Measure ID] = "H_HSP_RATING_LINEAR_SCORE"), [1]!hcahps[HCAHPS Linear Mean Value]), "No Match")</f>
        <v>93</v>
      </c>
      <c r="F3173" cm="1">
        <f t="array" ref="F3173">_xlfn.IFNA(_xlfn.XLOOKUP(1,([1]!readmissions[Facility ID] = clean[[#This Row],[Facility ID]]) * ([1]!readmissions[Measure ID] = "Hybrid_HWR"), [1]!readmissions[Score]), "No Match")</f>
        <v>14.7</v>
      </c>
    </row>
    <row r="3174" spans="1:6" x14ac:dyDescent="0.2">
      <c r="A3174">
        <f>[1]!hospitalinfo[[#This Row],[Facility ID]]</f>
        <v>281363</v>
      </c>
      <c r="B3174" t="str">
        <f>[1]!hospitalinfo[[#This Row],[State]]</f>
        <v>NE</v>
      </c>
      <c r="C3174" t="str">
        <f>[1]!hospitalinfo[[#This Row],[Hospital Type]]</f>
        <v>Critical Access Hospitals</v>
      </c>
      <c r="D3174" t="str">
        <f>[1]!hospitalinfo[[#This Row],[Hospital Ownership]]</f>
        <v>Voluntary non-profit - Other</v>
      </c>
      <c r="E3174" t="str" cm="1">
        <f t="array" ref="E3174">_xlfn.IFNA(_xlfn.XLOOKUP(1,([1]!hcahps[Facility ID] = clean[[#This Row],[Facility ID]]) * ([1]!hcahps[HCAHPS Measure ID] = "H_HSP_RATING_LINEAR_SCORE"), [1]!hcahps[HCAHPS Linear Mean Value]), "No Match")</f>
        <v>Not Available</v>
      </c>
      <c r="F3174" cm="1">
        <f t="array" ref="F3174">_xlfn.IFNA(_xlfn.XLOOKUP(1,([1]!readmissions[Facility ID] = clean[[#This Row],[Facility ID]]) * ([1]!readmissions[Measure ID] = "Hybrid_HWR"), [1]!readmissions[Score]), "No Match")</f>
        <v>15</v>
      </c>
    </row>
    <row r="3175" spans="1:6" x14ac:dyDescent="0.2">
      <c r="A3175">
        <f>[1]!hospitalinfo[[#This Row],[Facility ID]]</f>
        <v>281364</v>
      </c>
      <c r="B3175" t="str">
        <f>[1]!hospitalinfo[[#This Row],[State]]</f>
        <v>NE</v>
      </c>
      <c r="C3175" t="str">
        <f>[1]!hospitalinfo[[#This Row],[Hospital Type]]</f>
        <v>Critical Access Hospitals</v>
      </c>
      <c r="D3175" t="str">
        <f>[1]!hospitalinfo[[#This Row],[Hospital Ownership]]</f>
        <v>Voluntary non-profit - Private</v>
      </c>
      <c r="E3175" cm="1">
        <f t="array" ref="E3175">_xlfn.IFNA(_xlfn.XLOOKUP(1,([1]!hcahps[Facility ID] = clean[[#This Row],[Facility ID]]) * ([1]!hcahps[HCAHPS Measure ID] = "H_HSP_RATING_LINEAR_SCORE"), [1]!hcahps[HCAHPS Linear Mean Value]), "No Match")</f>
        <v>91</v>
      </c>
      <c r="F3175" cm="1">
        <f t="array" ref="F3175">_xlfn.IFNA(_xlfn.XLOOKUP(1,([1]!readmissions[Facility ID] = clean[[#This Row],[Facility ID]]) * ([1]!readmissions[Measure ID] = "Hybrid_HWR"), [1]!readmissions[Score]), "No Match")</f>
        <v>14.7</v>
      </c>
    </row>
    <row r="3176" spans="1:6" x14ac:dyDescent="0.2">
      <c r="A3176">
        <f>[1]!hospitalinfo[[#This Row],[Facility ID]]</f>
        <v>281365</v>
      </c>
      <c r="B3176" t="str">
        <f>[1]!hospitalinfo[[#This Row],[State]]</f>
        <v>NE</v>
      </c>
      <c r="C3176" t="str">
        <f>[1]!hospitalinfo[[#This Row],[Hospital Type]]</f>
        <v>Critical Access Hospitals</v>
      </c>
      <c r="D3176" t="str">
        <f>[1]!hospitalinfo[[#This Row],[Hospital Ownership]]</f>
        <v>Voluntary non-profit - Private</v>
      </c>
      <c r="E3176" t="str" cm="1">
        <f t="array" ref="E3176">_xlfn.IFNA(_xlfn.XLOOKUP(1,([1]!hcahps[Facility ID] = clean[[#This Row],[Facility ID]]) * ([1]!hcahps[HCAHPS Measure ID] = "H_HSP_RATING_LINEAR_SCORE"), [1]!hcahps[HCAHPS Linear Mean Value]), "No Match")</f>
        <v>Not Available</v>
      </c>
      <c r="F3176" cm="1">
        <f t="array" ref="F3176">_xlfn.IFNA(_xlfn.XLOOKUP(1,([1]!readmissions[Facility ID] = clean[[#This Row],[Facility ID]]) * ([1]!readmissions[Measure ID] = "Hybrid_HWR"), [1]!readmissions[Score]), "No Match")</f>
        <v>14.7</v>
      </c>
    </row>
    <row r="3177" spans="1:6" x14ac:dyDescent="0.2">
      <c r="A3177">
        <f>[1]!hospitalinfo[[#This Row],[Facility ID]]</f>
        <v>283300</v>
      </c>
      <c r="B3177" t="str">
        <f>[1]!hospitalinfo[[#This Row],[State]]</f>
        <v>NE</v>
      </c>
      <c r="C3177" t="str">
        <f>[1]!hospitalinfo[[#This Row],[Hospital Type]]</f>
        <v>Childrens</v>
      </c>
      <c r="D3177" t="str">
        <f>[1]!hospitalinfo[[#This Row],[Hospital Ownership]]</f>
        <v>Voluntary non-profit - Private</v>
      </c>
      <c r="E3177" t="str" cm="1">
        <f t="array" ref="E3177">_xlfn.IFNA(_xlfn.XLOOKUP(1,([1]!hcahps[Facility ID] = clean[[#This Row],[Facility ID]]) * ([1]!hcahps[HCAHPS Measure ID] = "H_HSP_RATING_LINEAR_SCORE"), [1]!hcahps[HCAHPS Linear Mean Value]), "No Match")</f>
        <v>Not Available</v>
      </c>
      <c r="F3177" t="str" cm="1">
        <f t="array" ref="F3177">_xlfn.IFNA(_xlfn.XLOOKUP(1,([1]!readmissions[Facility ID] = clean[[#This Row],[Facility ID]]) * ([1]!readmissions[Measure ID] = "Hybrid_HWR"), [1]!readmissions[Score]), "No Match")</f>
        <v>Not Available</v>
      </c>
    </row>
    <row r="3178" spans="1:6" x14ac:dyDescent="0.2">
      <c r="A3178">
        <f>[1]!hospitalinfo[[#This Row],[Facility ID]]</f>
        <v>283301</v>
      </c>
      <c r="B3178" t="str">
        <f>[1]!hospitalinfo[[#This Row],[State]]</f>
        <v>NE</v>
      </c>
      <c r="C3178" t="str">
        <f>[1]!hospitalinfo[[#This Row],[Hospital Type]]</f>
        <v>Childrens</v>
      </c>
      <c r="D3178" t="str">
        <f>[1]!hospitalinfo[[#This Row],[Hospital Ownership]]</f>
        <v>Voluntary non-profit - Private</v>
      </c>
      <c r="E3178" t="str" cm="1">
        <f t="array" ref="E3178">_xlfn.IFNA(_xlfn.XLOOKUP(1,([1]!hcahps[Facility ID] = clean[[#This Row],[Facility ID]]) * ([1]!hcahps[HCAHPS Measure ID] = "H_HSP_RATING_LINEAR_SCORE"), [1]!hcahps[HCAHPS Linear Mean Value]), "No Match")</f>
        <v>Not Available</v>
      </c>
      <c r="F3178" t="str" cm="1">
        <f t="array" ref="F3178">_xlfn.IFNA(_xlfn.XLOOKUP(1,([1]!readmissions[Facility ID] = clean[[#This Row],[Facility ID]]) * ([1]!readmissions[Measure ID] = "Hybrid_HWR"), [1]!readmissions[Score]), "No Match")</f>
        <v>Not Available</v>
      </c>
    </row>
    <row r="3179" spans="1:6" x14ac:dyDescent="0.2">
      <c r="A3179">
        <f>[1]!hospitalinfo[[#This Row],[Facility ID]]</f>
        <v>284003</v>
      </c>
      <c r="B3179" t="str">
        <f>[1]!hospitalinfo[[#This Row],[State]]</f>
        <v>NE</v>
      </c>
      <c r="C3179" t="str">
        <f>[1]!hospitalinfo[[#This Row],[Hospital Type]]</f>
        <v>Psychiatric</v>
      </c>
      <c r="D3179" t="str">
        <f>[1]!hospitalinfo[[#This Row],[Hospital Ownership]]</f>
        <v>Government - State</v>
      </c>
      <c r="E3179" t="str" cm="1">
        <f t="array" ref="E3179">_xlfn.IFNA(_xlfn.XLOOKUP(1,([1]!hcahps[Facility ID] = clean[[#This Row],[Facility ID]]) * ([1]!hcahps[HCAHPS Measure ID] = "H_HSP_RATING_LINEAR_SCORE"), [1]!hcahps[HCAHPS Linear Mean Value]), "No Match")</f>
        <v>No Match</v>
      </c>
      <c r="F3179" t="str" cm="1">
        <f t="array" ref="F3179">_xlfn.IFNA(_xlfn.XLOOKUP(1,([1]!readmissions[Facility ID] = clean[[#This Row],[Facility ID]]) * ([1]!readmissions[Measure ID] = "Hybrid_HWR"), [1]!readmissions[Score]), "No Match")</f>
        <v>No Match</v>
      </c>
    </row>
    <row r="3180" spans="1:6" x14ac:dyDescent="0.2">
      <c r="A3180">
        <f>[1]!hospitalinfo[[#This Row],[Facility ID]]</f>
        <v>284009</v>
      </c>
      <c r="B3180" t="str">
        <f>[1]!hospitalinfo[[#This Row],[State]]</f>
        <v>NE</v>
      </c>
      <c r="C3180" t="str">
        <f>[1]!hospitalinfo[[#This Row],[Hospital Type]]</f>
        <v>Psychiatric</v>
      </c>
      <c r="D3180" t="str">
        <f>[1]!hospitalinfo[[#This Row],[Hospital Ownership]]</f>
        <v>Government - Local</v>
      </c>
      <c r="E3180" t="str" cm="1">
        <f t="array" ref="E3180">_xlfn.IFNA(_xlfn.XLOOKUP(1,([1]!hcahps[Facility ID] = clean[[#This Row],[Facility ID]]) * ([1]!hcahps[HCAHPS Measure ID] = "H_HSP_RATING_LINEAR_SCORE"), [1]!hcahps[HCAHPS Linear Mean Value]), "No Match")</f>
        <v>No Match</v>
      </c>
      <c r="F3180" t="str" cm="1">
        <f t="array" ref="F3180">_xlfn.IFNA(_xlfn.XLOOKUP(1,([1]!readmissions[Facility ID] = clean[[#This Row],[Facility ID]]) * ([1]!readmissions[Measure ID] = "Hybrid_HWR"), [1]!readmissions[Score]), "No Match")</f>
        <v>No Match</v>
      </c>
    </row>
    <row r="3181" spans="1:6" x14ac:dyDescent="0.2">
      <c r="A3181" t="str">
        <f>[1]!hospitalinfo[[#This Row],[Facility ID]]</f>
        <v>28006F</v>
      </c>
      <c r="B3181" t="str">
        <f>[1]!hospitalinfo[[#This Row],[State]]</f>
        <v>NE</v>
      </c>
      <c r="C3181" t="str">
        <f>[1]!hospitalinfo[[#This Row],[Hospital Type]]</f>
        <v>Acute Care - Veterans Administration</v>
      </c>
      <c r="D3181" t="str">
        <f>[1]!hospitalinfo[[#This Row],[Hospital Ownership]]</f>
        <v>Veterans Health Administration</v>
      </c>
      <c r="E3181" cm="1">
        <f t="array" ref="E3181">_xlfn.IFNA(_xlfn.XLOOKUP(1,([1]!hcahps[Facility ID] = clean[[#This Row],[Facility ID]]) * ([1]!hcahps[HCAHPS Measure ID] = "H_HSP_RATING_LINEAR_SCORE"), [1]!hcahps[HCAHPS Linear Mean Value]), "No Match")</f>
        <v>90</v>
      </c>
      <c r="F3181" cm="1">
        <f t="array" ref="F3181">_xlfn.IFNA(_xlfn.XLOOKUP(1,([1]!readmissions[Facility ID] = clean[[#This Row],[Facility ID]]) * ([1]!readmissions[Measure ID] = "Hybrid_HWR"), [1]!readmissions[Score]), "No Match")</f>
        <v>15.2</v>
      </c>
    </row>
    <row r="3182" spans="1:6" x14ac:dyDescent="0.2">
      <c r="A3182">
        <f>[1]!hospitalinfo[[#This Row],[Facility ID]]</f>
        <v>300001</v>
      </c>
      <c r="B3182" t="str">
        <f>[1]!hospitalinfo[[#This Row],[State]]</f>
        <v>NH</v>
      </c>
      <c r="C3182" t="str">
        <f>[1]!hospitalinfo[[#This Row],[Hospital Type]]</f>
        <v>Acute Care Hospitals</v>
      </c>
      <c r="D3182" t="str">
        <f>[1]!hospitalinfo[[#This Row],[Hospital Ownership]]</f>
        <v>Voluntary non-profit - Private</v>
      </c>
      <c r="E3182" cm="1">
        <f t="array" ref="E3182">_xlfn.IFNA(_xlfn.XLOOKUP(1,([1]!hcahps[Facility ID] = clean[[#This Row],[Facility ID]]) * ([1]!hcahps[HCAHPS Measure ID] = "H_HSP_RATING_LINEAR_SCORE"), [1]!hcahps[HCAHPS Linear Mean Value]), "No Match")</f>
        <v>87</v>
      </c>
      <c r="F3182" cm="1">
        <f t="array" ref="F3182">_xlfn.IFNA(_xlfn.XLOOKUP(1,([1]!readmissions[Facility ID] = clean[[#This Row],[Facility ID]]) * ([1]!readmissions[Measure ID] = "Hybrid_HWR"), [1]!readmissions[Score]), "No Match")</f>
        <v>15.2</v>
      </c>
    </row>
    <row r="3183" spans="1:6" x14ac:dyDescent="0.2">
      <c r="A3183">
        <f>[1]!hospitalinfo[[#This Row],[Facility ID]]</f>
        <v>300003</v>
      </c>
      <c r="B3183" t="str">
        <f>[1]!hospitalinfo[[#This Row],[State]]</f>
        <v>NH</v>
      </c>
      <c r="C3183" t="str">
        <f>[1]!hospitalinfo[[#This Row],[Hospital Type]]</f>
        <v>Acute Care Hospitals</v>
      </c>
      <c r="D3183" t="str">
        <f>[1]!hospitalinfo[[#This Row],[Hospital Ownership]]</f>
        <v>Voluntary non-profit - Private</v>
      </c>
      <c r="E3183" cm="1">
        <f t="array" ref="E3183">_xlfn.IFNA(_xlfn.XLOOKUP(1,([1]!hcahps[Facility ID] = clean[[#This Row],[Facility ID]]) * ([1]!hcahps[HCAHPS Measure ID] = "H_HSP_RATING_LINEAR_SCORE"), [1]!hcahps[HCAHPS Linear Mean Value]), "No Match")</f>
        <v>89</v>
      </c>
      <c r="F3183" cm="1">
        <f t="array" ref="F3183">_xlfn.IFNA(_xlfn.XLOOKUP(1,([1]!readmissions[Facility ID] = clean[[#This Row],[Facility ID]]) * ([1]!readmissions[Measure ID] = "Hybrid_HWR"), [1]!readmissions[Score]), "No Match")</f>
        <v>15.2</v>
      </c>
    </row>
    <row r="3184" spans="1:6" x14ac:dyDescent="0.2">
      <c r="A3184">
        <f>[1]!hospitalinfo[[#This Row],[Facility ID]]</f>
        <v>300005</v>
      </c>
      <c r="B3184" t="str">
        <f>[1]!hospitalinfo[[#This Row],[State]]</f>
        <v>NH</v>
      </c>
      <c r="C3184" t="str">
        <f>[1]!hospitalinfo[[#This Row],[Hospital Type]]</f>
        <v>Acute Care Hospitals</v>
      </c>
      <c r="D3184" t="str">
        <f>[1]!hospitalinfo[[#This Row],[Hospital Ownership]]</f>
        <v>Voluntary non-profit - Private</v>
      </c>
      <c r="E3184" cm="1">
        <f t="array" ref="E3184">_xlfn.IFNA(_xlfn.XLOOKUP(1,([1]!hcahps[Facility ID] = clean[[#This Row],[Facility ID]]) * ([1]!hcahps[HCAHPS Measure ID] = "H_HSP_RATING_LINEAR_SCORE"), [1]!hcahps[HCAHPS Linear Mean Value]), "No Match")</f>
        <v>86</v>
      </c>
      <c r="F3184" cm="1">
        <f t="array" ref="F3184">_xlfn.IFNA(_xlfn.XLOOKUP(1,([1]!readmissions[Facility ID] = clean[[#This Row],[Facility ID]]) * ([1]!readmissions[Measure ID] = "Hybrid_HWR"), [1]!readmissions[Score]), "No Match")</f>
        <v>15.6</v>
      </c>
    </row>
    <row r="3185" spans="1:6" x14ac:dyDescent="0.2">
      <c r="A3185">
        <f>[1]!hospitalinfo[[#This Row],[Facility ID]]</f>
        <v>300011</v>
      </c>
      <c r="B3185" t="str">
        <f>[1]!hospitalinfo[[#This Row],[State]]</f>
        <v>NH</v>
      </c>
      <c r="C3185" t="str">
        <f>[1]!hospitalinfo[[#This Row],[Hospital Type]]</f>
        <v>Acute Care Hospitals</v>
      </c>
      <c r="D3185" t="str">
        <f>[1]!hospitalinfo[[#This Row],[Hospital Ownership]]</f>
        <v>Voluntary non-profit - Other</v>
      </c>
      <c r="E3185" cm="1">
        <f t="array" ref="E3185">_xlfn.IFNA(_xlfn.XLOOKUP(1,([1]!hcahps[Facility ID] = clean[[#This Row],[Facility ID]]) * ([1]!hcahps[HCAHPS Measure ID] = "H_HSP_RATING_LINEAR_SCORE"), [1]!hcahps[HCAHPS Linear Mean Value]), "No Match")</f>
        <v>87</v>
      </c>
      <c r="F3185" cm="1">
        <f t="array" ref="F3185">_xlfn.IFNA(_xlfn.XLOOKUP(1,([1]!readmissions[Facility ID] = clean[[#This Row],[Facility ID]]) * ([1]!readmissions[Measure ID] = "Hybrid_HWR"), [1]!readmissions[Score]), "No Match")</f>
        <v>14.5</v>
      </c>
    </row>
    <row r="3186" spans="1:6" x14ac:dyDescent="0.2">
      <c r="A3186">
        <f>[1]!hospitalinfo[[#This Row],[Facility ID]]</f>
        <v>300012</v>
      </c>
      <c r="B3186" t="str">
        <f>[1]!hospitalinfo[[#This Row],[State]]</f>
        <v>NH</v>
      </c>
      <c r="C3186" t="str">
        <f>[1]!hospitalinfo[[#This Row],[Hospital Type]]</f>
        <v>Acute Care Hospitals</v>
      </c>
      <c r="D3186" t="str">
        <f>[1]!hospitalinfo[[#This Row],[Hospital Ownership]]</f>
        <v>Voluntary non-profit - Private</v>
      </c>
      <c r="E3186" cm="1">
        <f t="array" ref="E3186">_xlfn.IFNA(_xlfn.XLOOKUP(1,([1]!hcahps[Facility ID] = clean[[#This Row],[Facility ID]]) * ([1]!hcahps[HCAHPS Measure ID] = "H_HSP_RATING_LINEAR_SCORE"), [1]!hcahps[HCAHPS Linear Mean Value]), "No Match")</f>
        <v>89</v>
      </c>
      <c r="F3186" cm="1">
        <f t="array" ref="F3186">_xlfn.IFNA(_xlfn.XLOOKUP(1,([1]!readmissions[Facility ID] = clean[[#This Row],[Facility ID]]) * ([1]!readmissions[Measure ID] = "Hybrid_HWR"), [1]!readmissions[Score]), "No Match")</f>
        <v>15.4</v>
      </c>
    </row>
    <row r="3187" spans="1:6" x14ac:dyDescent="0.2">
      <c r="A3187">
        <f>[1]!hospitalinfo[[#This Row],[Facility ID]]</f>
        <v>300014</v>
      </c>
      <c r="B3187" t="str">
        <f>[1]!hospitalinfo[[#This Row],[State]]</f>
        <v>NH</v>
      </c>
      <c r="C3187" t="str">
        <f>[1]!hospitalinfo[[#This Row],[Hospital Type]]</f>
        <v>Acute Care Hospitals</v>
      </c>
      <c r="D3187" t="str">
        <f>[1]!hospitalinfo[[#This Row],[Hospital Ownership]]</f>
        <v>Proprietary</v>
      </c>
      <c r="E3187" cm="1">
        <f t="array" ref="E3187">_xlfn.IFNA(_xlfn.XLOOKUP(1,([1]!hcahps[Facility ID] = clean[[#This Row],[Facility ID]]) * ([1]!hcahps[HCAHPS Measure ID] = "H_HSP_RATING_LINEAR_SCORE"), [1]!hcahps[HCAHPS Linear Mean Value]), "No Match")</f>
        <v>90</v>
      </c>
      <c r="F3187" cm="1">
        <f t="array" ref="F3187">_xlfn.IFNA(_xlfn.XLOOKUP(1,([1]!readmissions[Facility ID] = clean[[#This Row],[Facility ID]]) * ([1]!readmissions[Measure ID] = "Hybrid_HWR"), [1]!readmissions[Score]), "No Match")</f>
        <v>14.6</v>
      </c>
    </row>
    <row r="3188" spans="1:6" x14ac:dyDescent="0.2">
      <c r="A3188">
        <f>[1]!hospitalinfo[[#This Row],[Facility ID]]</f>
        <v>300017</v>
      </c>
      <c r="B3188" t="str">
        <f>[1]!hospitalinfo[[#This Row],[State]]</f>
        <v>NH</v>
      </c>
      <c r="C3188" t="str">
        <f>[1]!hospitalinfo[[#This Row],[Hospital Type]]</f>
        <v>Acute Care Hospitals</v>
      </c>
      <c r="D3188" t="str">
        <f>[1]!hospitalinfo[[#This Row],[Hospital Ownership]]</f>
        <v>Proprietary</v>
      </c>
      <c r="E3188" cm="1">
        <f t="array" ref="E3188">_xlfn.IFNA(_xlfn.XLOOKUP(1,([1]!hcahps[Facility ID] = clean[[#This Row],[Facility ID]]) * ([1]!hcahps[HCAHPS Measure ID] = "H_HSP_RATING_LINEAR_SCORE"), [1]!hcahps[HCAHPS Linear Mean Value]), "No Match")</f>
        <v>86</v>
      </c>
      <c r="F3188" cm="1">
        <f t="array" ref="F3188">_xlfn.IFNA(_xlfn.XLOOKUP(1,([1]!readmissions[Facility ID] = clean[[#This Row],[Facility ID]]) * ([1]!readmissions[Measure ID] = "Hybrid_HWR"), [1]!readmissions[Score]), "No Match")</f>
        <v>15.5</v>
      </c>
    </row>
    <row r="3189" spans="1:6" x14ac:dyDescent="0.2">
      <c r="A3189">
        <f>[1]!hospitalinfo[[#This Row],[Facility ID]]</f>
        <v>300018</v>
      </c>
      <c r="B3189" t="str">
        <f>[1]!hospitalinfo[[#This Row],[State]]</f>
        <v>NH</v>
      </c>
      <c r="C3189" t="str">
        <f>[1]!hospitalinfo[[#This Row],[Hospital Type]]</f>
        <v>Acute Care Hospitals</v>
      </c>
      <c r="D3189" t="str">
        <f>[1]!hospitalinfo[[#This Row],[Hospital Ownership]]</f>
        <v>Voluntary non-profit - Private</v>
      </c>
      <c r="E3189" cm="1">
        <f t="array" ref="E3189">_xlfn.IFNA(_xlfn.XLOOKUP(1,([1]!hcahps[Facility ID] = clean[[#This Row],[Facility ID]]) * ([1]!hcahps[HCAHPS Measure ID] = "H_HSP_RATING_LINEAR_SCORE"), [1]!hcahps[HCAHPS Linear Mean Value]), "No Match")</f>
        <v>90</v>
      </c>
      <c r="F3189" cm="1">
        <f t="array" ref="F3189">_xlfn.IFNA(_xlfn.XLOOKUP(1,([1]!readmissions[Facility ID] = clean[[#This Row],[Facility ID]]) * ([1]!readmissions[Measure ID] = "Hybrid_HWR"), [1]!readmissions[Score]), "No Match")</f>
        <v>15.2</v>
      </c>
    </row>
    <row r="3190" spans="1:6" x14ac:dyDescent="0.2">
      <c r="A3190">
        <f>[1]!hospitalinfo[[#This Row],[Facility ID]]</f>
        <v>300019</v>
      </c>
      <c r="B3190" t="str">
        <f>[1]!hospitalinfo[[#This Row],[State]]</f>
        <v>NH</v>
      </c>
      <c r="C3190" t="str">
        <f>[1]!hospitalinfo[[#This Row],[Hospital Type]]</f>
        <v>Acute Care Hospitals</v>
      </c>
      <c r="D3190" t="str">
        <f>[1]!hospitalinfo[[#This Row],[Hospital Ownership]]</f>
        <v>Voluntary non-profit - Private</v>
      </c>
      <c r="E3190" cm="1">
        <f t="array" ref="E3190">_xlfn.IFNA(_xlfn.XLOOKUP(1,([1]!hcahps[Facility ID] = clean[[#This Row],[Facility ID]]) * ([1]!hcahps[HCAHPS Measure ID] = "H_HSP_RATING_LINEAR_SCORE"), [1]!hcahps[HCAHPS Linear Mean Value]), "No Match")</f>
        <v>87</v>
      </c>
      <c r="F3190" cm="1">
        <f t="array" ref="F3190">_xlfn.IFNA(_xlfn.XLOOKUP(1,([1]!readmissions[Facility ID] = clean[[#This Row],[Facility ID]]) * ([1]!readmissions[Measure ID] = "Hybrid_HWR"), [1]!readmissions[Score]), "No Match")</f>
        <v>14.9</v>
      </c>
    </row>
    <row r="3191" spans="1:6" x14ac:dyDescent="0.2">
      <c r="A3191">
        <f>[1]!hospitalinfo[[#This Row],[Facility ID]]</f>
        <v>300020</v>
      </c>
      <c r="B3191" t="str">
        <f>[1]!hospitalinfo[[#This Row],[State]]</f>
        <v>NH</v>
      </c>
      <c r="C3191" t="str">
        <f>[1]!hospitalinfo[[#This Row],[Hospital Type]]</f>
        <v>Acute Care Hospitals</v>
      </c>
      <c r="D3191" t="str">
        <f>[1]!hospitalinfo[[#This Row],[Hospital Ownership]]</f>
        <v>Voluntary non-profit - Private</v>
      </c>
      <c r="E3191" cm="1">
        <f t="array" ref="E3191">_xlfn.IFNA(_xlfn.XLOOKUP(1,([1]!hcahps[Facility ID] = clean[[#This Row],[Facility ID]]) * ([1]!hcahps[HCAHPS Measure ID] = "H_HSP_RATING_LINEAR_SCORE"), [1]!hcahps[HCAHPS Linear Mean Value]), "No Match")</f>
        <v>87</v>
      </c>
      <c r="F3191" cm="1">
        <f t="array" ref="F3191">_xlfn.IFNA(_xlfn.XLOOKUP(1,([1]!readmissions[Facility ID] = clean[[#This Row],[Facility ID]]) * ([1]!readmissions[Measure ID] = "Hybrid_HWR"), [1]!readmissions[Score]), "No Match")</f>
        <v>15.6</v>
      </c>
    </row>
    <row r="3192" spans="1:6" x14ac:dyDescent="0.2">
      <c r="A3192">
        <f>[1]!hospitalinfo[[#This Row],[Facility ID]]</f>
        <v>300023</v>
      </c>
      <c r="B3192" t="str">
        <f>[1]!hospitalinfo[[#This Row],[State]]</f>
        <v>NH</v>
      </c>
      <c r="C3192" t="str">
        <f>[1]!hospitalinfo[[#This Row],[Hospital Type]]</f>
        <v>Acute Care Hospitals</v>
      </c>
      <c r="D3192" t="str">
        <f>[1]!hospitalinfo[[#This Row],[Hospital Ownership]]</f>
        <v>Voluntary non-profit - Private</v>
      </c>
      <c r="E3192" cm="1">
        <f t="array" ref="E3192">_xlfn.IFNA(_xlfn.XLOOKUP(1,([1]!hcahps[Facility ID] = clean[[#This Row],[Facility ID]]) * ([1]!hcahps[HCAHPS Measure ID] = "H_HSP_RATING_LINEAR_SCORE"), [1]!hcahps[HCAHPS Linear Mean Value]), "No Match")</f>
        <v>88</v>
      </c>
      <c r="F3192" cm="1">
        <f t="array" ref="F3192">_xlfn.IFNA(_xlfn.XLOOKUP(1,([1]!readmissions[Facility ID] = clean[[#This Row],[Facility ID]]) * ([1]!readmissions[Measure ID] = "Hybrid_HWR"), [1]!readmissions[Score]), "No Match")</f>
        <v>14</v>
      </c>
    </row>
    <row r="3193" spans="1:6" x14ac:dyDescent="0.2">
      <c r="A3193">
        <f>[1]!hospitalinfo[[#This Row],[Facility ID]]</f>
        <v>300029</v>
      </c>
      <c r="B3193" t="str">
        <f>[1]!hospitalinfo[[#This Row],[State]]</f>
        <v>NH</v>
      </c>
      <c r="C3193" t="str">
        <f>[1]!hospitalinfo[[#This Row],[Hospital Type]]</f>
        <v>Acute Care Hospitals</v>
      </c>
      <c r="D3193" t="str">
        <f>[1]!hospitalinfo[[#This Row],[Hospital Ownership]]</f>
        <v>Proprietary</v>
      </c>
      <c r="E3193" cm="1">
        <f t="array" ref="E3193">_xlfn.IFNA(_xlfn.XLOOKUP(1,([1]!hcahps[Facility ID] = clean[[#This Row],[Facility ID]]) * ([1]!hcahps[HCAHPS Measure ID] = "H_HSP_RATING_LINEAR_SCORE"), [1]!hcahps[HCAHPS Linear Mean Value]), "No Match")</f>
        <v>85</v>
      </c>
      <c r="F3193" cm="1">
        <f t="array" ref="F3193">_xlfn.IFNA(_xlfn.XLOOKUP(1,([1]!readmissions[Facility ID] = clean[[#This Row],[Facility ID]]) * ([1]!readmissions[Measure ID] = "Hybrid_HWR"), [1]!readmissions[Score]), "No Match")</f>
        <v>15.4</v>
      </c>
    </row>
    <row r="3194" spans="1:6" x14ac:dyDescent="0.2">
      <c r="A3194">
        <f>[1]!hospitalinfo[[#This Row],[Facility ID]]</f>
        <v>300034</v>
      </c>
      <c r="B3194" t="str">
        <f>[1]!hospitalinfo[[#This Row],[State]]</f>
        <v>NH</v>
      </c>
      <c r="C3194" t="str">
        <f>[1]!hospitalinfo[[#This Row],[Hospital Type]]</f>
        <v>Acute Care Hospitals</v>
      </c>
      <c r="D3194" t="str">
        <f>[1]!hospitalinfo[[#This Row],[Hospital Ownership]]</f>
        <v>Voluntary non-profit - Private</v>
      </c>
      <c r="E3194" cm="1">
        <f t="array" ref="E3194">_xlfn.IFNA(_xlfn.XLOOKUP(1,([1]!hcahps[Facility ID] = clean[[#This Row],[Facility ID]]) * ([1]!hcahps[HCAHPS Measure ID] = "H_HSP_RATING_LINEAR_SCORE"), [1]!hcahps[HCAHPS Linear Mean Value]), "No Match")</f>
        <v>88</v>
      </c>
      <c r="F3194" cm="1">
        <f t="array" ref="F3194">_xlfn.IFNA(_xlfn.XLOOKUP(1,([1]!readmissions[Facility ID] = clean[[#This Row],[Facility ID]]) * ([1]!readmissions[Measure ID] = "Hybrid_HWR"), [1]!readmissions[Score]), "No Match")</f>
        <v>15.7</v>
      </c>
    </row>
    <row r="3195" spans="1:6" x14ac:dyDescent="0.2">
      <c r="A3195">
        <f>[1]!hospitalinfo[[#This Row],[Facility ID]]</f>
        <v>301300</v>
      </c>
      <c r="B3195" t="str">
        <f>[1]!hospitalinfo[[#This Row],[State]]</f>
        <v>NH</v>
      </c>
      <c r="C3195" t="str">
        <f>[1]!hospitalinfo[[#This Row],[Hospital Type]]</f>
        <v>Critical Access Hospitals</v>
      </c>
      <c r="D3195" t="str">
        <f>[1]!hospitalinfo[[#This Row],[Hospital Ownership]]</f>
        <v>Voluntary non-profit - Private</v>
      </c>
      <c r="E3195" t="str" cm="1">
        <f t="array" ref="E3195">_xlfn.IFNA(_xlfn.XLOOKUP(1,([1]!hcahps[Facility ID] = clean[[#This Row],[Facility ID]]) * ([1]!hcahps[HCAHPS Measure ID] = "H_HSP_RATING_LINEAR_SCORE"), [1]!hcahps[HCAHPS Linear Mean Value]), "No Match")</f>
        <v>Not Available</v>
      </c>
      <c r="F3195" cm="1">
        <f t="array" ref="F3195">_xlfn.IFNA(_xlfn.XLOOKUP(1,([1]!readmissions[Facility ID] = clean[[#This Row],[Facility ID]]) * ([1]!readmissions[Measure ID] = "Hybrid_HWR"), [1]!readmissions[Score]), "No Match")</f>
        <v>14.6</v>
      </c>
    </row>
    <row r="3196" spans="1:6" x14ac:dyDescent="0.2">
      <c r="A3196">
        <f>[1]!hospitalinfo[[#This Row],[Facility ID]]</f>
        <v>301301</v>
      </c>
      <c r="B3196" t="str">
        <f>[1]!hospitalinfo[[#This Row],[State]]</f>
        <v>NH</v>
      </c>
      <c r="C3196" t="str">
        <f>[1]!hospitalinfo[[#This Row],[Hospital Type]]</f>
        <v>Critical Access Hospitals</v>
      </c>
      <c r="D3196" t="str">
        <f>[1]!hospitalinfo[[#This Row],[Hospital Ownership]]</f>
        <v>Voluntary non-profit - Private</v>
      </c>
      <c r="E3196" t="str" cm="1">
        <f t="array" ref="E3196">_xlfn.IFNA(_xlfn.XLOOKUP(1,([1]!hcahps[Facility ID] = clean[[#This Row],[Facility ID]]) * ([1]!hcahps[HCAHPS Measure ID] = "H_HSP_RATING_LINEAR_SCORE"), [1]!hcahps[HCAHPS Linear Mean Value]), "No Match")</f>
        <v>Not Available</v>
      </c>
      <c r="F3196" cm="1">
        <f t="array" ref="F3196">_xlfn.IFNA(_xlfn.XLOOKUP(1,([1]!readmissions[Facility ID] = clean[[#This Row],[Facility ID]]) * ([1]!readmissions[Measure ID] = "Hybrid_HWR"), [1]!readmissions[Score]), "No Match")</f>
        <v>14.8</v>
      </c>
    </row>
    <row r="3197" spans="1:6" x14ac:dyDescent="0.2">
      <c r="A3197">
        <f>[1]!hospitalinfo[[#This Row],[Facility ID]]</f>
        <v>301302</v>
      </c>
      <c r="B3197" t="str">
        <f>[1]!hospitalinfo[[#This Row],[State]]</f>
        <v>NH</v>
      </c>
      <c r="C3197" t="str">
        <f>[1]!hospitalinfo[[#This Row],[Hospital Type]]</f>
        <v>Critical Access Hospitals</v>
      </c>
      <c r="D3197" t="str">
        <f>[1]!hospitalinfo[[#This Row],[Hospital Ownership]]</f>
        <v>Voluntary non-profit - Private</v>
      </c>
      <c r="E3197" cm="1">
        <f t="array" ref="E3197">_xlfn.IFNA(_xlfn.XLOOKUP(1,([1]!hcahps[Facility ID] = clean[[#This Row],[Facility ID]]) * ([1]!hcahps[HCAHPS Measure ID] = "H_HSP_RATING_LINEAR_SCORE"), [1]!hcahps[HCAHPS Linear Mean Value]), "No Match")</f>
        <v>93</v>
      </c>
      <c r="F3197" cm="1">
        <f t="array" ref="F3197">_xlfn.IFNA(_xlfn.XLOOKUP(1,([1]!readmissions[Facility ID] = clean[[#This Row],[Facility ID]]) * ([1]!readmissions[Measure ID] = "Hybrid_HWR"), [1]!readmissions[Score]), "No Match")</f>
        <v>15.2</v>
      </c>
    </row>
    <row r="3198" spans="1:6" x14ac:dyDescent="0.2">
      <c r="A3198">
        <f>[1]!hospitalinfo[[#This Row],[Facility ID]]</f>
        <v>301303</v>
      </c>
      <c r="B3198" t="str">
        <f>[1]!hospitalinfo[[#This Row],[State]]</f>
        <v>NH</v>
      </c>
      <c r="C3198" t="str">
        <f>[1]!hospitalinfo[[#This Row],[Hospital Type]]</f>
        <v>Critical Access Hospitals</v>
      </c>
      <c r="D3198" t="str">
        <f>[1]!hospitalinfo[[#This Row],[Hospital Ownership]]</f>
        <v>Voluntary non-profit - Private</v>
      </c>
      <c r="E3198" t="str" cm="1">
        <f t="array" ref="E3198">_xlfn.IFNA(_xlfn.XLOOKUP(1,([1]!hcahps[Facility ID] = clean[[#This Row],[Facility ID]]) * ([1]!hcahps[HCAHPS Measure ID] = "H_HSP_RATING_LINEAR_SCORE"), [1]!hcahps[HCAHPS Linear Mean Value]), "No Match")</f>
        <v>Not Available</v>
      </c>
      <c r="F3198" cm="1">
        <f t="array" ref="F3198">_xlfn.IFNA(_xlfn.XLOOKUP(1,([1]!readmissions[Facility ID] = clean[[#This Row],[Facility ID]]) * ([1]!readmissions[Measure ID] = "Hybrid_HWR"), [1]!readmissions[Score]), "No Match")</f>
        <v>14.6</v>
      </c>
    </row>
    <row r="3199" spans="1:6" x14ac:dyDescent="0.2">
      <c r="A3199">
        <f>[1]!hospitalinfo[[#This Row],[Facility ID]]</f>
        <v>301304</v>
      </c>
      <c r="B3199" t="str">
        <f>[1]!hospitalinfo[[#This Row],[State]]</f>
        <v>NH</v>
      </c>
      <c r="C3199" t="str">
        <f>[1]!hospitalinfo[[#This Row],[Hospital Type]]</f>
        <v>Critical Access Hospitals</v>
      </c>
      <c r="D3199" t="str">
        <f>[1]!hospitalinfo[[#This Row],[Hospital Ownership]]</f>
        <v>Voluntary non-profit - Private</v>
      </c>
      <c r="E3199" cm="1">
        <f t="array" ref="E3199">_xlfn.IFNA(_xlfn.XLOOKUP(1,([1]!hcahps[Facility ID] = clean[[#This Row],[Facility ID]]) * ([1]!hcahps[HCAHPS Measure ID] = "H_HSP_RATING_LINEAR_SCORE"), [1]!hcahps[HCAHPS Linear Mean Value]), "No Match")</f>
        <v>90</v>
      </c>
      <c r="F3199" cm="1">
        <f t="array" ref="F3199">_xlfn.IFNA(_xlfn.XLOOKUP(1,([1]!readmissions[Facility ID] = clean[[#This Row],[Facility ID]]) * ([1]!readmissions[Measure ID] = "Hybrid_HWR"), [1]!readmissions[Score]), "No Match")</f>
        <v>15.9</v>
      </c>
    </row>
    <row r="3200" spans="1:6" x14ac:dyDescent="0.2">
      <c r="A3200">
        <f>[1]!hospitalinfo[[#This Row],[Facility ID]]</f>
        <v>301305</v>
      </c>
      <c r="B3200" t="str">
        <f>[1]!hospitalinfo[[#This Row],[State]]</f>
        <v>NH</v>
      </c>
      <c r="C3200" t="str">
        <f>[1]!hospitalinfo[[#This Row],[Hospital Type]]</f>
        <v>Critical Access Hospitals</v>
      </c>
      <c r="D3200" t="str">
        <f>[1]!hospitalinfo[[#This Row],[Hospital Ownership]]</f>
        <v>Voluntary non-profit - Private</v>
      </c>
      <c r="E3200" cm="1">
        <f t="array" ref="E3200">_xlfn.IFNA(_xlfn.XLOOKUP(1,([1]!hcahps[Facility ID] = clean[[#This Row],[Facility ID]]) * ([1]!hcahps[HCAHPS Measure ID] = "H_HSP_RATING_LINEAR_SCORE"), [1]!hcahps[HCAHPS Linear Mean Value]), "No Match")</f>
        <v>95</v>
      </c>
      <c r="F3200" cm="1">
        <f t="array" ref="F3200">_xlfn.IFNA(_xlfn.XLOOKUP(1,([1]!readmissions[Facility ID] = clean[[#This Row],[Facility ID]]) * ([1]!readmissions[Measure ID] = "Hybrid_HWR"), [1]!readmissions[Score]), "No Match")</f>
        <v>15.3</v>
      </c>
    </row>
    <row r="3201" spans="1:6" x14ac:dyDescent="0.2">
      <c r="A3201">
        <f>[1]!hospitalinfo[[#This Row],[Facility ID]]</f>
        <v>301306</v>
      </c>
      <c r="B3201" t="str">
        <f>[1]!hospitalinfo[[#This Row],[State]]</f>
        <v>NH</v>
      </c>
      <c r="C3201" t="str">
        <f>[1]!hospitalinfo[[#This Row],[Hospital Type]]</f>
        <v>Critical Access Hospitals</v>
      </c>
      <c r="D3201" t="str">
        <f>[1]!hospitalinfo[[#This Row],[Hospital Ownership]]</f>
        <v>Voluntary non-profit - Private</v>
      </c>
      <c r="E3201" t="str" cm="1">
        <f t="array" ref="E3201">_xlfn.IFNA(_xlfn.XLOOKUP(1,([1]!hcahps[Facility ID] = clean[[#This Row],[Facility ID]]) * ([1]!hcahps[HCAHPS Measure ID] = "H_HSP_RATING_LINEAR_SCORE"), [1]!hcahps[HCAHPS Linear Mean Value]), "No Match")</f>
        <v>Not Available</v>
      </c>
      <c r="F3201" cm="1">
        <f t="array" ref="F3201">_xlfn.IFNA(_xlfn.XLOOKUP(1,([1]!readmissions[Facility ID] = clean[[#This Row],[Facility ID]]) * ([1]!readmissions[Measure ID] = "Hybrid_HWR"), [1]!readmissions[Score]), "No Match")</f>
        <v>15.6</v>
      </c>
    </row>
    <row r="3202" spans="1:6" x14ac:dyDescent="0.2">
      <c r="A3202">
        <f>[1]!hospitalinfo[[#This Row],[Facility ID]]</f>
        <v>301307</v>
      </c>
      <c r="B3202" t="str">
        <f>[1]!hospitalinfo[[#This Row],[State]]</f>
        <v>NH</v>
      </c>
      <c r="C3202" t="str">
        <f>[1]!hospitalinfo[[#This Row],[Hospital Type]]</f>
        <v>Critical Access Hospitals</v>
      </c>
      <c r="D3202" t="str">
        <f>[1]!hospitalinfo[[#This Row],[Hospital Ownership]]</f>
        <v>Voluntary non-profit - Private</v>
      </c>
      <c r="E3202" cm="1">
        <f t="array" ref="E3202">_xlfn.IFNA(_xlfn.XLOOKUP(1,([1]!hcahps[Facility ID] = clean[[#This Row],[Facility ID]]) * ([1]!hcahps[HCAHPS Measure ID] = "H_HSP_RATING_LINEAR_SCORE"), [1]!hcahps[HCAHPS Linear Mean Value]), "No Match")</f>
        <v>92</v>
      </c>
      <c r="F3202" cm="1">
        <f t="array" ref="F3202">_xlfn.IFNA(_xlfn.XLOOKUP(1,([1]!readmissions[Facility ID] = clean[[#This Row],[Facility ID]]) * ([1]!readmissions[Measure ID] = "Hybrid_HWR"), [1]!readmissions[Score]), "No Match")</f>
        <v>15.4</v>
      </c>
    </row>
    <row r="3203" spans="1:6" x14ac:dyDescent="0.2">
      <c r="A3203">
        <f>[1]!hospitalinfo[[#This Row],[Facility ID]]</f>
        <v>301308</v>
      </c>
      <c r="B3203" t="str">
        <f>[1]!hospitalinfo[[#This Row],[State]]</f>
        <v>NH</v>
      </c>
      <c r="C3203" t="str">
        <f>[1]!hospitalinfo[[#This Row],[Hospital Type]]</f>
        <v>Critical Access Hospitals</v>
      </c>
      <c r="D3203" t="str">
        <f>[1]!hospitalinfo[[#This Row],[Hospital Ownership]]</f>
        <v>Voluntary non-profit - Private</v>
      </c>
      <c r="E3203" t="str" cm="1">
        <f t="array" ref="E3203">_xlfn.IFNA(_xlfn.XLOOKUP(1,([1]!hcahps[Facility ID] = clean[[#This Row],[Facility ID]]) * ([1]!hcahps[HCAHPS Measure ID] = "H_HSP_RATING_LINEAR_SCORE"), [1]!hcahps[HCAHPS Linear Mean Value]), "No Match")</f>
        <v>Not Available</v>
      </c>
      <c r="F3203" cm="1">
        <f t="array" ref="F3203">_xlfn.IFNA(_xlfn.XLOOKUP(1,([1]!readmissions[Facility ID] = clean[[#This Row],[Facility ID]]) * ([1]!readmissions[Measure ID] = "Hybrid_HWR"), [1]!readmissions[Score]), "No Match")</f>
        <v>14.4</v>
      </c>
    </row>
    <row r="3204" spans="1:6" x14ac:dyDescent="0.2">
      <c r="A3204">
        <f>[1]!hospitalinfo[[#This Row],[Facility ID]]</f>
        <v>301309</v>
      </c>
      <c r="B3204" t="str">
        <f>[1]!hospitalinfo[[#This Row],[State]]</f>
        <v>NH</v>
      </c>
      <c r="C3204" t="str">
        <f>[1]!hospitalinfo[[#This Row],[Hospital Type]]</f>
        <v>Critical Access Hospitals</v>
      </c>
      <c r="D3204" t="str">
        <f>[1]!hospitalinfo[[#This Row],[Hospital Ownership]]</f>
        <v>Voluntary non-profit - Private</v>
      </c>
      <c r="E3204" cm="1">
        <f t="array" ref="E3204">_xlfn.IFNA(_xlfn.XLOOKUP(1,([1]!hcahps[Facility ID] = clean[[#This Row],[Facility ID]]) * ([1]!hcahps[HCAHPS Measure ID] = "H_HSP_RATING_LINEAR_SCORE"), [1]!hcahps[HCAHPS Linear Mean Value]), "No Match")</f>
        <v>89</v>
      </c>
      <c r="F3204" cm="1">
        <f t="array" ref="F3204">_xlfn.IFNA(_xlfn.XLOOKUP(1,([1]!readmissions[Facility ID] = clean[[#This Row],[Facility ID]]) * ([1]!readmissions[Measure ID] = "Hybrid_HWR"), [1]!readmissions[Score]), "No Match")</f>
        <v>14.9</v>
      </c>
    </row>
    <row r="3205" spans="1:6" x14ac:dyDescent="0.2">
      <c r="A3205">
        <f>[1]!hospitalinfo[[#This Row],[Facility ID]]</f>
        <v>301310</v>
      </c>
      <c r="B3205" t="str">
        <f>[1]!hospitalinfo[[#This Row],[State]]</f>
        <v>NH</v>
      </c>
      <c r="C3205" t="str">
        <f>[1]!hospitalinfo[[#This Row],[Hospital Type]]</f>
        <v>Critical Access Hospitals</v>
      </c>
      <c r="D3205" t="str">
        <f>[1]!hospitalinfo[[#This Row],[Hospital Ownership]]</f>
        <v>Voluntary non-profit - Private</v>
      </c>
      <c r="E3205" cm="1">
        <f t="array" ref="E3205">_xlfn.IFNA(_xlfn.XLOOKUP(1,([1]!hcahps[Facility ID] = clean[[#This Row],[Facility ID]]) * ([1]!hcahps[HCAHPS Measure ID] = "H_HSP_RATING_LINEAR_SCORE"), [1]!hcahps[HCAHPS Linear Mean Value]), "No Match")</f>
        <v>88</v>
      </c>
      <c r="F3205" cm="1">
        <f t="array" ref="F3205">_xlfn.IFNA(_xlfn.XLOOKUP(1,([1]!readmissions[Facility ID] = clean[[#This Row],[Facility ID]]) * ([1]!readmissions[Measure ID] = "Hybrid_HWR"), [1]!readmissions[Score]), "No Match")</f>
        <v>14.3</v>
      </c>
    </row>
    <row r="3206" spans="1:6" x14ac:dyDescent="0.2">
      <c r="A3206">
        <f>[1]!hospitalinfo[[#This Row],[Facility ID]]</f>
        <v>301311</v>
      </c>
      <c r="B3206" t="str">
        <f>[1]!hospitalinfo[[#This Row],[State]]</f>
        <v>NH</v>
      </c>
      <c r="C3206" t="str">
        <f>[1]!hospitalinfo[[#This Row],[Hospital Type]]</f>
        <v>Critical Access Hospitals</v>
      </c>
      <c r="D3206" t="str">
        <f>[1]!hospitalinfo[[#This Row],[Hospital Ownership]]</f>
        <v>Voluntary non-profit - Private</v>
      </c>
      <c r="E3206" cm="1">
        <f t="array" ref="E3206">_xlfn.IFNA(_xlfn.XLOOKUP(1,([1]!hcahps[Facility ID] = clean[[#This Row],[Facility ID]]) * ([1]!hcahps[HCAHPS Measure ID] = "H_HSP_RATING_LINEAR_SCORE"), [1]!hcahps[HCAHPS Linear Mean Value]), "No Match")</f>
        <v>91</v>
      </c>
      <c r="F3206" cm="1">
        <f t="array" ref="F3206">_xlfn.IFNA(_xlfn.XLOOKUP(1,([1]!readmissions[Facility ID] = clean[[#This Row],[Facility ID]]) * ([1]!readmissions[Measure ID] = "Hybrid_HWR"), [1]!readmissions[Score]), "No Match")</f>
        <v>15</v>
      </c>
    </row>
    <row r="3207" spans="1:6" x14ac:dyDescent="0.2">
      <c r="A3207">
        <f>[1]!hospitalinfo[[#This Row],[Facility ID]]</f>
        <v>301312</v>
      </c>
      <c r="B3207" t="str">
        <f>[1]!hospitalinfo[[#This Row],[State]]</f>
        <v>NH</v>
      </c>
      <c r="C3207" t="str">
        <f>[1]!hospitalinfo[[#This Row],[Hospital Type]]</f>
        <v>Critical Access Hospitals</v>
      </c>
      <c r="D3207" t="str">
        <f>[1]!hospitalinfo[[#This Row],[Hospital Ownership]]</f>
        <v>Voluntary non-profit - Private</v>
      </c>
      <c r="E3207" cm="1">
        <f t="array" ref="E3207">_xlfn.IFNA(_xlfn.XLOOKUP(1,([1]!hcahps[Facility ID] = clean[[#This Row],[Facility ID]]) * ([1]!hcahps[HCAHPS Measure ID] = "H_HSP_RATING_LINEAR_SCORE"), [1]!hcahps[HCAHPS Linear Mean Value]), "No Match")</f>
        <v>89</v>
      </c>
      <c r="F3207" cm="1">
        <f t="array" ref="F3207">_xlfn.IFNA(_xlfn.XLOOKUP(1,([1]!readmissions[Facility ID] = clean[[#This Row],[Facility ID]]) * ([1]!readmissions[Measure ID] = "Hybrid_HWR"), [1]!readmissions[Score]), "No Match")</f>
        <v>15</v>
      </c>
    </row>
    <row r="3208" spans="1:6" x14ac:dyDescent="0.2">
      <c r="A3208">
        <f>[1]!hospitalinfo[[#This Row],[Facility ID]]</f>
        <v>304000</v>
      </c>
      <c r="B3208" t="str">
        <f>[1]!hospitalinfo[[#This Row],[State]]</f>
        <v>NH</v>
      </c>
      <c r="C3208" t="str">
        <f>[1]!hospitalinfo[[#This Row],[Hospital Type]]</f>
        <v>Psychiatric</v>
      </c>
      <c r="D3208" t="str">
        <f>[1]!hospitalinfo[[#This Row],[Hospital Ownership]]</f>
        <v>Government - State</v>
      </c>
      <c r="E3208" t="str" cm="1">
        <f t="array" ref="E3208">_xlfn.IFNA(_xlfn.XLOOKUP(1,([1]!hcahps[Facility ID] = clean[[#This Row],[Facility ID]]) * ([1]!hcahps[HCAHPS Measure ID] = "H_HSP_RATING_LINEAR_SCORE"), [1]!hcahps[HCAHPS Linear Mean Value]), "No Match")</f>
        <v>No Match</v>
      </c>
      <c r="F3208" t="str" cm="1">
        <f t="array" ref="F3208">_xlfn.IFNA(_xlfn.XLOOKUP(1,([1]!readmissions[Facility ID] = clean[[#This Row],[Facility ID]]) * ([1]!readmissions[Measure ID] = "Hybrid_HWR"), [1]!readmissions[Score]), "No Match")</f>
        <v>No Match</v>
      </c>
    </row>
    <row r="3209" spans="1:6" x14ac:dyDescent="0.2">
      <c r="A3209">
        <f>[1]!hospitalinfo[[#This Row],[Facility ID]]</f>
        <v>304001</v>
      </c>
      <c r="B3209" t="str">
        <f>[1]!hospitalinfo[[#This Row],[State]]</f>
        <v>NH</v>
      </c>
      <c r="C3209" t="str">
        <f>[1]!hospitalinfo[[#This Row],[Hospital Type]]</f>
        <v>Psychiatric</v>
      </c>
      <c r="D3209" t="str">
        <f>[1]!hospitalinfo[[#This Row],[Hospital Ownership]]</f>
        <v>Proprietary</v>
      </c>
      <c r="E3209" t="str" cm="1">
        <f t="array" ref="E3209">_xlfn.IFNA(_xlfn.XLOOKUP(1,([1]!hcahps[Facility ID] = clean[[#This Row],[Facility ID]]) * ([1]!hcahps[HCAHPS Measure ID] = "H_HSP_RATING_LINEAR_SCORE"), [1]!hcahps[HCAHPS Linear Mean Value]), "No Match")</f>
        <v>No Match</v>
      </c>
      <c r="F3209" t="str" cm="1">
        <f t="array" ref="F3209">_xlfn.IFNA(_xlfn.XLOOKUP(1,([1]!readmissions[Facility ID] = clean[[#This Row],[Facility ID]]) * ([1]!readmissions[Measure ID] = "Hybrid_HWR"), [1]!readmissions[Score]), "No Match")</f>
        <v>No Match</v>
      </c>
    </row>
    <row r="3210" spans="1:6" x14ac:dyDescent="0.2">
      <c r="A3210">
        <f>[1]!hospitalinfo[[#This Row],[Facility ID]]</f>
        <v>310001</v>
      </c>
      <c r="B3210" t="str">
        <f>[1]!hospitalinfo[[#This Row],[State]]</f>
        <v>NJ</v>
      </c>
      <c r="C3210" t="str">
        <f>[1]!hospitalinfo[[#This Row],[Hospital Type]]</f>
        <v>Acute Care Hospitals</v>
      </c>
      <c r="D3210" t="str">
        <f>[1]!hospitalinfo[[#This Row],[Hospital Ownership]]</f>
        <v>Voluntary non-profit - Private</v>
      </c>
      <c r="E3210" cm="1">
        <f t="array" ref="E3210">_xlfn.IFNA(_xlfn.XLOOKUP(1,([1]!hcahps[Facility ID] = clean[[#This Row],[Facility ID]]) * ([1]!hcahps[HCAHPS Measure ID] = "H_HSP_RATING_LINEAR_SCORE"), [1]!hcahps[HCAHPS Linear Mean Value]), "No Match")</f>
        <v>88</v>
      </c>
      <c r="F3210" cm="1">
        <f t="array" ref="F3210">_xlfn.IFNA(_xlfn.XLOOKUP(1,([1]!readmissions[Facility ID] = clean[[#This Row],[Facility ID]]) * ([1]!readmissions[Measure ID] = "Hybrid_HWR"), [1]!readmissions[Score]), "No Match")</f>
        <v>14.4</v>
      </c>
    </row>
    <row r="3211" spans="1:6" x14ac:dyDescent="0.2">
      <c r="A3211">
        <f>[1]!hospitalinfo[[#This Row],[Facility ID]]</f>
        <v>310002</v>
      </c>
      <c r="B3211" t="str">
        <f>[1]!hospitalinfo[[#This Row],[State]]</f>
        <v>NJ</v>
      </c>
      <c r="C3211" t="str">
        <f>[1]!hospitalinfo[[#This Row],[Hospital Type]]</f>
        <v>Acute Care Hospitals</v>
      </c>
      <c r="D3211" t="str">
        <f>[1]!hospitalinfo[[#This Row],[Hospital Ownership]]</f>
        <v>Voluntary non-profit - Private</v>
      </c>
      <c r="E3211" cm="1">
        <f t="array" ref="E3211">_xlfn.IFNA(_xlfn.XLOOKUP(1,([1]!hcahps[Facility ID] = clean[[#This Row],[Facility ID]]) * ([1]!hcahps[HCAHPS Measure ID] = "H_HSP_RATING_LINEAR_SCORE"), [1]!hcahps[HCAHPS Linear Mean Value]), "No Match")</f>
        <v>84</v>
      </c>
      <c r="F3211" cm="1">
        <f t="array" ref="F3211">_xlfn.IFNA(_xlfn.XLOOKUP(1,([1]!readmissions[Facility ID] = clean[[#This Row],[Facility ID]]) * ([1]!readmissions[Measure ID] = "Hybrid_HWR"), [1]!readmissions[Score]), "No Match")</f>
        <v>14.9</v>
      </c>
    </row>
    <row r="3212" spans="1:6" x14ac:dyDescent="0.2">
      <c r="A3212">
        <f>[1]!hospitalinfo[[#This Row],[Facility ID]]</f>
        <v>310003</v>
      </c>
      <c r="B3212" t="str">
        <f>[1]!hospitalinfo[[#This Row],[State]]</f>
        <v>NJ</v>
      </c>
      <c r="C3212" t="str">
        <f>[1]!hospitalinfo[[#This Row],[Hospital Type]]</f>
        <v>Acute Care Hospitals</v>
      </c>
      <c r="D3212" t="str">
        <f>[1]!hospitalinfo[[#This Row],[Hospital Ownership]]</f>
        <v>Voluntary non-profit - Private</v>
      </c>
      <c r="E3212" cm="1">
        <f t="array" ref="E3212">_xlfn.IFNA(_xlfn.XLOOKUP(1,([1]!hcahps[Facility ID] = clean[[#This Row],[Facility ID]]) * ([1]!hcahps[HCAHPS Measure ID] = "H_HSP_RATING_LINEAR_SCORE"), [1]!hcahps[HCAHPS Linear Mean Value]), "No Match")</f>
        <v>83</v>
      </c>
      <c r="F3212" cm="1">
        <f t="array" ref="F3212">_xlfn.IFNA(_xlfn.XLOOKUP(1,([1]!readmissions[Facility ID] = clean[[#This Row],[Facility ID]]) * ([1]!readmissions[Measure ID] = "Hybrid_HWR"), [1]!readmissions[Score]), "No Match")</f>
        <v>16</v>
      </c>
    </row>
    <row r="3213" spans="1:6" x14ac:dyDescent="0.2">
      <c r="A3213">
        <f>[1]!hospitalinfo[[#This Row],[Facility ID]]</f>
        <v>310005</v>
      </c>
      <c r="B3213" t="str">
        <f>[1]!hospitalinfo[[#This Row],[State]]</f>
        <v>NJ</v>
      </c>
      <c r="C3213" t="str">
        <f>[1]!hospitalinfo[[#This Row],[Hospital Type]]</f>
        <v>Acute Care Hospitals</v>
      </c>
      <c r="D3213" t="str">
        <f>[1]!hospitalinfo[[#This Row],[Hospital Ownership]]</f>
        <v>Voluntary non-profit - Private</v>
      </c>
      <c r="E3213" cm="1">
        <f t="array" ref="E3213">_xlfn.IFNA(_xlfn.XLOOKUP(1,([1]!hcahps[Facility ID] = clean[[#This Row],[Facility ID]]) * ([1]!hcahps[HCAHPS Measure ID] = "H_HSP_RATING_LINEAR_SCORE"), [1]!hcahps[HCAHPS Linear Mean Value]), "No Match")</f>
        <v>87</v>
      </c>
      <c r="F3213" cm="1">
        <f t="array" ref="F3213">_xlfn.IFNA(_xlfn.XLOOKUP(1,([1]!readmissions[Facility ID] = clean[[#This Row],[Facility ID]]) * ([1]!readmissions[Measure ID] = "Hybrid_HWR"), [1]!readmissions[Score]), "No Match")</f>
        <v>16.3</v>
      </c>
    </row>
    <row r="3214" spans="1:6" x14ac:dyDescent="0.2">
      <c r="A3214">
        <f>[1]!hospitalinfo[[#This Row],[Facility ID]]</f>
        <v>310006</v>
      </c>
      <c r="B3214" t="str">
        <f>[1]!hospitalinfo[[#This Row],[State]]</f>
        <v>NJ</v>
      </c>
      <c r="C3214" t="str">
        <f>[1]!hospitalinfo[[#This Row],[Hospital Type]]</f>
        <v>Acute Care Hospitals</v>
      </c>
      <c r="D3214" t="str">
        <f>[1]!hospitalinfo[[#This Row],[Hospital Ownership]]</f>
        <v>Proprietary</v>
      </c>
      <c r="E3214" cm="1">
        <f t="array" ref="E3214">_xlfn.IFNA(_xlfn.XLOOKUP(1,([1]!hcahps[Facility ID] = clean[[#This Row],[Facility ID]]) * ([1]!hcahps[HCAHPS Measure ID] = "H_HSP_RATING_LINEAR_SCORE"), [1]!hcahps[HCAHPS Linear Mean Value]), "No Match")</f>
        <v>87</v>
      </c>
      <c r="F3214" cm="1">
        <f t="array" ref="F3214">_xlfn.IFNA(_xlfn.XLOOKUP(1,([1]!readmissions[Facility ID] = clean[[#This Row],[Facility ID]]) * ([1]!readmissions[Measure ID] = "Hybrid_HWR"), [1]!readmissions[Score]), "No Match")</f>
        <v>16.2</v>
      </c>
    </row>
    <row r="3215" spans="1:6" x14ac:dyDescent="0.2">
      <c r="A3215">
        <f>[1]!hospitalinfo[[#This Row],[Facility ID]]</f>
        <v>310008</v>
      </c>
      <c r="B3215" t="str">
        <f>[1]!hospitalinfo[[#This Row],[State]]</f>
        <v>NJ</v>
      </c>
      <c r="C3215" t="str">
        <f>[1]!hospitalinfo[[#This Row],[Hospital Type]]</f>
        <v>Acute Care Hospitals</v>
      </c>
      <c r="D3215" t="str">
        <f>[1]!hospitalinfo[[#This Row],[Hospital Ownership]]</f>
        <v>Voluntary non-profit - Private</v>
      </c>
      <c r="E3215" cm="1">
        <f t="array" ref="E3215">_xlfn.IFNA(_xlfn.XLOOKUP(1,([1]!hcahps[Facility ID] = clean[[#This Row],[Facility ID]]) * ([1]!hcahps[HCAHPS Measure ID] = "H_HSP_RATING_LINEAR_SCORE"), [1]!hcahps[HCAHPS Linear Mean Value]), "No Match")</f>
        <v>89</v>
      </c>
      <c r="F3215" cm="1">
        <f t="array" ref="F3215">_xlfn.IFNA(_xlfn.XLOOKUP(1,([1]!readmissions[Facility ID] = clean[[#This Row],[Facility ID]]) * ([1]!readmissions[Measure ID] = "Hybrid_HWR"), [1]!readmissions[Score]), "No Match")</f>
        <v>15.5</v>
      </c>
    </row>
    <row r="3216" spans="1:6" x14ac:dyDescent="0.2">
      <c r="A3216">
        <f>[1]!hospitalinfo[[#This Row],[Facility ID]]</f>
        <v>310009</v>
      </c>
      <c r="B3216" t="str">
        <f>[1]!hospitalinfo[[#This Row],[State]]</f>
        <v>NJ</v>
      </c>
      <c r="C3216" t="str">
        <f>[1]!hospitalinfo[[#This Row],[Hospital Type]]</f>
        <v>Acute Care Hospitals</v>
      </c>
      <c r="D3216" t="str">
        <f>[1]!hospitalinfo[[#This Row],[Hospital Ownership]]</f>
        <v>Voluntary non-profit - Private</v>
      </c>
      <c r="E3216" cm="1">
        <f t="array" ref="E3216">_xlfn.IFNA(_xlfn.XLOOKUP(1,([1]!hcahps[Facility ID] = clean[[#This Row],[Facility ID]]) * ([1]!hcahps[HCAHPS Measure ID] = "H_HSP_RATING_LINEAR_SCORE"), [1]!hcahps[HCAHPS Linear Mean Value]), "No Match")</f>
        <v>85</v>
      </c>
      <c r="F3216" cm="1">
        <f t="array" ref="F3216">_xlfn.IFNA(_xlfn.XLOOKUP(1,([1]!readmissions[Facility ID] = clean[[#This Row],[Facility ID]]) * ([1]!readmissions[Measure ID] = "Hybrid_HWR"), [1]!readmissions[Score]), "No Match")</f>
        <v>16.100000000000001</v>
      </c>
    </row>
    <row r="3217" spans="1:6" x14ac:dyDescent="0.2">
      <c r="A3217">
        <f>[1]!hospitalinfo[[#This Row],[Facility ID]]</f>
        <v>310010</v>
      </c>
      <c r="B3217" t="str">
        <f>[1]!hospitalinfo[[#This Row],[State]]</f>
        <v>NJ</v>
      </c>
      <c r="C3217" t="str">
        <f>[1]!hospitalinfo[[#This Row],[Hospital Type]]</f>
        <v>Acute Care Hospitals</v>
      </c>
      <c r="D3217" t="str">
        <f>[1]!hospitalinfo[[#This Row],[Hospital Ownership]]</f>
        <v>Voluntary non-profit - Private</v>
      </c>
      <c r="E3217" cm="1">
        <f t="array" ref="E3217">_xlfn.IFNA(_xlfn.XLOOKUP(1,([1]!hcahps[Facility ID] = clean[[#This Row],[Facility ID]]) * ([1]!hcahps[HCAHPS Measure ID] = "H_HSP_RATING_LINEAR_SCORE"), [1]!hcahps[HCAHPS Linear Mean Value]), "No Match")</f>
        <v>88</v>
      </c>
      <c r="F3217" cm="1">
        <f t="array" ref="F3217">_xlfn.IFNA(_xlfn.XLOOKUP(1,([1]!readmissions[Facility ID] = clean[[#This Row],[Facility ID]]) * ([1]!readmissions[Measure ID] = "Hybrid_HWR"), [1]!readmissions[Score]), "No Match")</f>
        <v>14.8</v>
      </c>
    </row>
    <row r="3218" spans="1:6" x14ac:dyDescent="0.2">
      <c r="A3218">
        <f>[1]!hospitalinfo[[#This Row],[Facility ID]]</f>
        <v>310011</v>
      </c>
      <c r="B3218" t="str">
        <f>[1]!hospitalinfo[[#This Row],[State]]</f>
        <v>NJ</v>
      </c>
      <c r="C3218" t="str">
        <f>[1]!hospitalinfo[[#This Row],[Hospital Type]]</f>
        <v>Acute Care Hospitals</v>
      </c>
      <c r="D3218" t="str">
        <f>[1]!hospitalinfo[[#This Row],[Hospital Ownership]]</f>
        <v>Voluntary non-profit - Private</v>
      </c>
      <c r="E3218" t="str" cm="1">
        <f t="array" ref="E3218">_xlfn.IFNA(_xlfn.XLOOKUP(1,([1]!hcahps[Facility ID] = clean[[#This Row],[Facility ID]]) * ([1]!hcahps[HCAHPS Measure ID] = "H_HSP_RATING_LINEAR_SCORE"), [1]!hcahps[HCAHPS Linear Mean Value]), "No Match")</f>
        <v>Not Available</v>
      </c>
      <c r="F3218" cm="1">
        <f t="array" ref="F3218">_xlfn.IFNA(_xlfn.XLOOKUP(1,([1]!readmissions[Facility ID] = clean[[#This Row],[Facility ID]]) * ([1]!readmissions[Measure ID] = "Hybrid_HWR"), [1]!readmissions[Score]), "No Match")</f>
        <v>15.9</v>
      </c>
    </row>
    <row r="3219" spans="1:6" x14ac:dyDescent="0.2">
      <c r="A3219">
        <f>[1]!hospitalinfo[[#This Row],[Facility ID]]</f>
        <v>310012</v>
      </c>
      <c r="B3219" t="str">
        <f>[1]!hospitalinfo[[#This Row],[State]]</f>
        <v>NJ</v>
      </c>
      <c r="C3219" t="str">
        <f>[1]!hospitalinfo[[#This Row],[Hospital Type]]</f>
        <v>Acute Care Hospitals</v>
      </c>
      <c r="D3219" t="str">
        <f>[1]!hospitalinfo[[#This Row],[Hospital Ownership]]</f>
        <v>Voluntary non-profit - Private</v>
      </c>
      <c r="E3219" cm="1">
        <f t="array" ref="E3219">_xlfn.IFNA(_xlfn.XLOOKUP(1,([1]!hcahps[Facility ID] = clean[[#This Row],[Facility ID]]) * ([1]!hcahps[HCAHPS Measure ID] = "H_HSP_RATING_LINEAR_SCORE"), [1]!hcahps[HCAHPS Linear Mean Value]), "No Match")</f>
        <v>90</v>
      </c>
      <c r="F3219" cm="1">
        <f t="array" ref="F3219">_xlfn.IFNA(_xlfn.XLOOKUP(1,([1]!readmissions[Facility ID] = clean[[#This Row],[Facility ID]]) * ([1]!readmissions[Measure ID] = "Hybrid_HWR"), [1]!readmissions[Score]), "No Match")</f>
        <v>14.9</v>
      </c>
    </row>
    <row r="3220" spans="1:6" x14ac:dyDescent="0.2">
      <c r="A3220">
        <f>[1]!hospitalinfo[[#This Row],[Facility ID]]</f>
        <v>310014</v>
      </c>
      <c r="B3220" t="str">
        <f>[1]!hospitalinfo[[#This Row],[State]]</f>
        <v>NJ</v>
      </c>
      <c r="C3220" t="str">
        <f>[1]!hospitalinfo[[#This Row],[Hospital Type]]</f>
        <v>Acute Care Hospitals</v>
      </c>
      <c r="D3220" t="str">
        <f>[1]!hospitalinfo[[#This Row],[Hospital Ownership]]</f>
        <v>Voluntary non-profit - Private</v>
      </c>
      <c r="E3220" cm="1">
        <f t="array" ref="E3220">_xlfn.IFNA(_xlfn.XLOOKUP(1,([1]!hcahps[Facility ID] = clean[[#This Row],[Facility ID]]) * ([1]!hcahps[HCAHPS Measure ID] = "H_HSP_RATING_LINEAR_SCORE"), [1]!hcahps[HCAHPS Linear Mean Value]), "No Match")</f>
        <v>86</v>
      </c>
      <c r="F3220" cm="1">
        <f t="array" ref="F3220">_xlfn.IFNA(_xlfn.XLOOKUP(1,([1]!readmissions[Facility ID] = clean[[#This Row],[Facility ID]]) * ([1]!readmissions[Measure ID] = "Hybrid_HWR"), [1]!readmissions[Score]), "No Match")</f>
        <v>16</v>
      </c>
    </row>
    <row r="3221" spans="1:6" x14ac:dyDescent="0.2">
      <c r="A3221">
        <f>[1]!hospitalinfo[[#This Row],[Facility ID]]</f>
        <v>310015</v>
      </c>
      <c r="B3221" t="str">
        <f>[1]!hospitalinfo[[#This Row],[State]]</f>
        <v>NJ</v>
      </c>
      <c r="C3221" t="str">
        <f>[1]!hospitalinfo[[#This Row],[Hospital Type]]</f>
        <v>Acute Care Hospitals</v>
      </c>
      <c r="D3221" t="str">
        <f>[1]!hospitalinfo[[#This Row],[Hospital Ownership]]</f>
        <v>Voluntary non-profit - Private</v>
      </c>
      <c r="E3221" cm="1">
        <f t="array" ref="E3221">_xlfn.IFNA(_xlfn.XLOOKUP(1,([1]!hcahps[Facility ID] = clean[[#This Row],[Facility ID]]) * ([1]!hcahps[HCAHPS Measure ID] = "H_HSP_RATING_LINEAR_SCORE"), [1]!hcahps[HCAHPS Linear Mean Value]), "No Match")</f>
        <v>89</v>
      </c>
      <c r="F3221" cm="1">
        <f t="array" ref="F3221">_xlfn.IFNA(_xlfn.XLOOKUP(1,([1]!readmissions[Facility ID] = clean[[#This Row],[Facility ID]]) * ([1]!readmissions[Measure ID] = "Hybrid_HWR"), [1]!readmissions[Score]), "No Match")</f>
        <v>13.6</v>
      </c>
    </row>
    <row r="3222" spans="1:6" x14ac:dyDescent="0.2">
      <c r="A3222">
        <f>[1]!hospitalinfo[[#This Row],[Facility ID]]</f>
        <v>310016</v>
      </c>
      <c r="B3222" t="str">
        <f>[1]!hospitalinfo[[#This Row],[State]]</f>
        <v>NJ</v>
      </c>
      <c r="C3222" t="str">
        <f>[1]!hospitalinfo[[#This Row],[Hospital Type]]</f>
        <v>Acute Care Hospitals</v>
      </c>
      <c r="D3222" t="str">
        <f>[1]!hospitalinfo[[#This Row],[Hospital Ownership]]</f>
        <v>Voluntary non-profit - Church</v>
      </c>
      <c r="E3222" cm="1">
        <f t="array" ref="E3222">_xlfn.IFNA(_xlfn.XLOOKUP(1,([1]!hcahps[Facility ID] = clean[[#This Row],[Facility ID]]) * ([1]!hcahps[HCAHPS Measure ID] = "H_HSP_RATING_LINEAR_SCORE"), [1]!hcahps[HCAHPS Linear Mean Value]), "No Match")</f>
        <v>82</v>
      </c>
      <c r="F3222" cm="1">
        <f t="array" ref="F3222">_xlfn.IFNA(_xlfn.XLOOKUP(1,([1]!readmissions[Facility ID] = clean[[#This Row],[Facility ID]]) * ([1]!readmissions[Measure ID] = "Hybrid_HWR"), [1]!readmissions[Score]), "No Match")</f>
        <v>14.8</v>
      </c>
    </row>
    <row r="3223" spans="1:6" x14ac:dyDescent="0.2">
      <c r="A3223">
        <f>[1]!hospitalinfo[[#This Row],[Facility ID]]</f>
        <v>310017</v>
      </c>
      <c r="B3223" t="str">
        <f>[1]!hospitalinfo[[#This Row],[State]]</f>
        <v>NJ</v>
      </c>
      <c r="C3223" t="str">
        <f>[1]!hospitalinfo[[#This Row],[Hospital Type]]</f>
        <v>Acute Care Hospitals</v>
      </c>
      <c r="D3223" t="str">
        <f>[1]!hospitalinfo[[#This Row],[Hospital Ownership]]</f>
        <v>Voluntary non-profit - Private</v>
      </c>
      <c r="E3223" cm="1">
        <f t="array" ref="E3223">_xlfn.IFNA(_xlfn.XLOOKUP(1,([1]!hcahps[Facility ID] = clean[[#This Row],[Facility ID]]) * ([1]!hcahps[HCAHPS Measure ID] = "H_HSP_RATING_LINEAR_SCORE"), [1]!hcahps[HCAHPS Linear Mean Value]), "No Match")</f>
        <v>88</v>
      </c>
      <c r="F3223" cm="1">
        <f t="array" ref="F3223">_xlfn.IFNA(_xlfn.XLOOKUP(1,([1]!readmissions[Facility ID] = clean[[#This Row],[Facility ID]]) * ([1]!readmissions[Measure ID] = "Hybrid_HWR"), [1]!readmissions[Score]), "No Match")</f>
        <v>13.5</v>
      </c>
    </row>
    <row r="3224" spans="1:6" x14ac:dyDescent="0.2">
      <c r="A3224">
        <f>[1]!hospitalinfo[[#This Row],[Facility ID]]</f>
        <v>310019</v>
      </c>
      <c r="B3224" t="str">
        <f>[1]!hospitalinfo[[#This Row],[State]]</f>
        <v>NJ</v>
      </c>
      <c r="C3224" t="str">
        <f>[1]!hospitalinfo[[#This Row],[Hospital Type]]</f>
        <v>Acute Care Hospitals</v>
      </c>
      <c r="D3224" t="str">
        <f>[1]!hospitalinfo[[#This Row],[Hospital Ownership]]</f>
        <v>Voluntary non-profit - Church</v>
      </c>
      <c r="E3224" cm="1">
        <f t="array" ref="E3224">_xlfn.IFNA(_xlfn.XLOOKUP(1,([1]!hcahps[Facility ID] = clean[[#This Row],[Facility ID]]) * ([1]!hcahps[HCAHPS Measure ID] = "H_HSP_RATING_LINEAR_SCORE"), [1]!hcahps[HCAHPS Linear Mean Value]), "No Match")</f>
        <v>83</v>
      </c>
      <c r="F3224" cm="1">
        <f t="array" ref="F3224">_xlfn.IFNA(_xlfn.XLOOKUP(1,([1]!readmissions[Facility ID] = clean[[#This Row],[Facility ID]]) * ([1]!readmissions[Measure ID] = "Hybrid_HWR"), [1]!readmissions[Score]), "No Match")</f>
        <v>15.4</v>
      </c>
    </row>
    <row r="3225" spans="1:6" x14ac:dyDescent="0.2">
      <c r="A3225">
        <f>[1]!hospitalinfo[[#This Row],[Facility ID]]</f>
        <v>310022</v>
      </c>
      <c r="B3225" t="str">
        <f>[1]!hospitalinfo[[#This Row],[State]]</f>
        <v>NJ</v>
      </c>
      <c r="C3225" t="str">
        <f>[1]!hospitalinfo[[#This Row],[Hospital Type]]</f>
        <v>Acute Care Hospitals</v>
      </c>
      <c r="D3225" t="str">
        <f>[1]!hospitalinfo[[#This Row],[Hospital Ownership]]</f>
        <v>Voluntary non-profit - Private</v>
      </c>
      <c r="E3225" cm="1">
        <f t="array" ref="E3225">_xlfn.IFNA(_xlfn.XLOOKUP(1,([1]!hcahps[Facility ID] = clean[[#This Row],[Facility ID]]) * ([1]!hcahps[HCAHPS Measure ID] = "H_HSP_RATING_LINEAR_SCORE"), [1]!hcahps[HCAHPS Linear Mean Value]), "No Match")</f>
        <v>87</v>
      </c>
      <c r="F3225" cm="1">
        <f t="array" ref="F3225">_xlfn.IFNA(_xlfn.XLOOKUP(1,([1]!readmissions[Facility ID] = clean[[#This Row],[Facility ID]]) * ([1]!readmissions[Measure ID] = "Hybrid_HWR"), [1]!readmissions[Score]), "No Match")</f>
        <v>16.8</v>
      </c>
    </row>
    <row r="3226" spans="1:6" x14ac:dyDescent="0.2">
      <c r="A3226">
        <f>[1]!hospitalinfo[[#This Row],[Facility ID]]</f>
        <v>310024</v>
      </c>
      <c r="B3226" t="str">
        <f>[1]!hospitalinfo[[#This Row],[State]]</f>
        <v>NJ</v>
      </c>
      <c r="C3226" t="str">
        <f>[1]!hospitalinfo[[#This Row],[Hospital Type]]</f>
        <v>Acute Care Hospitals</v>
      </c>
      <c r="D3226" t="str">
        <f>[1]!hospitalinfo[[#This Row],[Hospital Ownership]]</f>
        <v>Voluntary non-profit - Private</v>
      </c>
      <c r="E3226" cm="1">
        <f t="array" ref="E3226">_xlfn.IFNA(_xlfn.XLOOKUP(1,([1]!hcahps[Facility ID] = clean[[#This Row],[Facility ID]]) * ([1]!hcahps[HCAHPS Measure ID] = "H_HSP_RATING_LINEAR_SCORE"), [1]!hcahps[HCAHPS Linear Mean Value]), "No Match")</f>
        <v>87</v>
      </c>
      <c r="F3226" cm="1">
        <f t="array" ref="F3226">_xlfn.IFNA(_xlfn.XLOOKUP(1,([1]!readmissions[Facility ID] = clean[[#This Row],[Facility ID]]) * ([1]!readmissions[Measure ID] = "Hybrid_HWR"), [1]!readmissions[Score]), "No Match")</f>
        <v>14.9</v>
      </c>
    </row>
    <row r="3227" spans="1:6" x14ac:dyDescent="0.2">
      <c r="A3227">
        <f>[1]!hospitalinfo[[#This Row],[Facility ID]]</f>
        <v>310025</v>
      </c>
      <c r="B3227" t="str">
        <f>[1]!hospitalinfo[[#This Row],[State]]</f>
        <v>NJ</v>
      </c>
      <c r="C3227" t="str">
        <f>[1]!hospitalinfo[[#This Row],[Hospital Type]]</f>
        <v>Acute Care Hospitals</v>
      </c>
      <c r="D3227" t="str">
        <f>[1]!hospitalinfo[[#This Row],[Hospital Ownership]]</f>
        <v>Voluntary non-profit - Private</v>
      </c>
      <c r="E3227" cm="1">
        <f t="array" ref="E3227">_xlfn.IFNA(_xlfn.XLOOKUP(1,([1]!hcahps[Facility ID] = clean[[#This Row],[Facility ID]]) * ([1]!hcahps[HCAHPS Measure ID] = "H_HSP_RATING_LINEAR_SCORE"), [1]!hcahps[HCAHPS Linear Mean Value]), "No Match")</f>
        <v>79</v>
      </c>
      <c r="F3227" cm="1">
        <f t="array" ref="F3227">_xlfn.IFNA(_xlfn.XLOOKUP(1,([1]!readmissions[Facility ID] = clean[[#This Row],[Facility ID]]) * ([1]!readmissions[Measure ID] = "Hybrid_HWR"), [1]!readmissions[Score]), "No Match")</f>
        <v>15.7</v>
      </c>
    </row>
    <row r="3228" spans="1:6" x14ac:dyDescent="0.2">
      <c r="A3228">
        <f>[1]!hospitalinfo[[#This Row],[Facility ID]]</f>
        <v>310027</v>
      </c>
      <c r="B3228" t="str">
        <f>[1]!hospitalinfo[[#This Row],[State]]</f>
        <v>NJ</v>
      </c>
      <c r="C3228" t="str">
        <f>[1]!hospitalinfo[[#This Row],[Hospital Type]]</f>
        <v>Acute Care Hospitals</v>
      </c>
      <c r="D3228" t="str">
        <f>[1]!hospitalinfo[[#This Row],[Hospital Ownership]]</f>
        <v>Voluntary non-profit - Private</v>
      </c>
      <c r="E3228" cm="1">
        <f t="array" ref="E3228">_xlfn.IFNA(_xlfn.XLOOKUP(1,([1]!hcahps[Facility ID] = clean[[#This Row],[Facility ID]]) * ([1]!hcahps[HCAHPS Measure ID] = "H_HSP_RATING_LINEAR_SCORE"), [1]!hcahps[HCAHPS Linear Mean Value]), "No Match")</f>
        <v>84</v>
      </c>
      <c r="F3228" cm="1">
        <f t="array" ref="F3228">_xlfn.IFNA(_xlfn.XLOOKUP(1,([1]!readmissions[Facility ID] = clean[[#This Row],[Facility ID]]) * ([1]!readmissions[Measure ID] = "Hybrid_HWR"), [1]!readmissions[Score]), "No Match")</f>
        <v>14.3</v>
      </c>
    </row>
    <row r="3229" spans="1:6" x14ac:dyDescent="0.2">
      <c r="A3229">
        <f>[1]!hospitalinfo[[#This Row],[Facility ID]]</f>
        <v>310028</v>
      </c>
      <c r="B3229" t="str">
        <f>[1]!hospitalinfo[[#This Row],[State]]</f>
        <v>NJ</v>
      </c>
      <c r="C3229" t="str">
        <f>[1]!hospitalinfo[[#This Row],[Hospital Type]]</f>
        <v>Acute Care Hospitals</v>
      </c>
      <c r="D3229" t="str">
        <f>[1]!hospitalinfo[[#This Row],[Hospital Ownership]]</f>
        <v>Voluntary non-profit - Private</v>
      </c>
      <c r="E3229" cm="1">
        <f t="array" ref="E3229">_xlfn.IFNA(_xlfn.XLOOKUP(1,([1]!hcahps[Facility ID] = clean[[#This Row],[Facility ID]]) * ([1]!hcahps[HCAHPS Measure ID] = "H_HSP_RATING_LINEAR_SCORE"), [1]!hcahps[HCAHPS Linear Mean Value]), "No Match")</f>
        <v>85</v>
      </c>
      <c r="F3229" cm="1">
        <f t="array" ref="F3229">_xlfn.IFNA(_xlfn.XLOOKUP(1,([1]!readmissions[Facility ID] = clean[[#This Row],[Facility ID]]) * ([1]!readmissions[Measure ID] = "Hybrid_HWR"), [1]!readmissions[Score]), "No Match")</f>
        <v>14.7</v>
      </c>
    </row>
    <row r="3230" spans="1:6" x14ac:dyDescent="0.2">
      <c r="A3230">
        <f>[1]!hospitalinfo[[#This Row],[Facility ID]]</f>
        <v>310029</v>
      </c>
      <c r="B3230" t="str">
        <f>[1]!hospitalinfo[[#This Row],[State]]</f>
        <v>NJ</v>
      </c>
      <c r="C3230" t="str">
        <f>[1]!hospitalinfo[[#This Row],[Hospital Type]]</f>
        <v>Acute Care Hospitals</v>
      </c>
      <c r="D3230" t="str">
        <f>[1]!hospitalinfo[[#This Row],[Hospital Ownership]]</f>
        <v>Government - State</v>
      </c>
      <c r="E3230" cm="1">
        <f t="array" ref="E3230">_xlfn.IFNA(_xlfn.XLOOKUP(1,([1]!hcahps[Facility ID] = clean[[#This Row],[Facility ID]]) * ([1]!hcahps[HCAHPS Measure ID] = "H_HSP_RATING_LINEAR_SCORE"), [1]!hcahps[HCAHPS Linear Mean Value]), "No Match")</f>
        <v>84</v>
      </c>
      <c r="F3230" cm="1">
        <f t="array" ref="F3230">_xlfn.IFNA(_xlfn.XLOOKUP(1,([1]!readmissions[Facility ID] = clean[[#This Row],[Facility ID]]) * ([1]!readmissions[Measure ID] = "Hybrid_HWR"), [1]!readmissions[Score]), "No Match")</f>
        <v>15.4</v>
      </c>
    </row>
    <row r="3231" spans="1:6" x14ac:dyDescent="0.2">
      <c r="A3231">
        <f>[1]!hospitalinfo[[#This Row],[Facility ID]]</f>
        <v>310031</v>
      </c>
      <c r="B3231" t="str">
        <f>[1]!hospitalinfo[[#This Row],[State]]</f>
        <v>NJ</v>
      </c>
      <c r="C3231" t="str">
        <f>[1]!hospitalinfo[[#This Row],[Hospital Type]]</f>
        <v>Acute Care Hospitals</v>
      </c>
      <c r="D3231" t="str">
        <f>[1]!hospitalinfo[[#This Row],[Hospital Ownership]]</f>
        <v>Voluntary non-profit - Private</v>
      </c>
      <c r="E3231" cm="1">
        <f t="array" ref="E3231">_xlfn.IFNA(_xlfn.XLOOKUP(1,([1]!hcahps[Facility ID] = clean[[#This Row],[Facility ID]]) * ([1]!hcahps[HCAHPS Measure ID] = "H_HSP_RATING_LINEAR_SCORE"), [1]!hcahps[HCAHPS Linear Mean Value]), "No Match")</f>
        <v>91</v>
      </c>
      <c r="F3231" cm="1">
        <f t="array" ref="F3231">_xlfn.IFNA(_xlfn.XLOOKUP(1,([1]!readmissions[Facility ID] = clean[[#This Row],[Facility ID]]) * ([1]!readmissions[Measure ID] = "Hybrid_HWR"), [1]!readmissions[Score]), "No Match")</f>
        <v>15.6</v>
      </c>
    </row>
    <row r="3232" spans="1:6" x14ac:dyDescent="0.2">
      <c r="A3232">
        <f>[1]!hospitalinfo[[#This Row],[Facility ID]]</f>
        <v>310032</v>
      </c>
      <c r="B3232" t="str">
        <f>[1]!hospitalinfo[[#This Row],[State]]</f>
        <v>NJ</v>
      </c>
      <c r="C3232" t="str">
        <f>[1]!hospitalinfo[[#This Row],[Hospital Type]]</f>
        <v>Acute Care Hospitals</v>
      </c>
      <c r="D3232" t="str">
        <f>[1]!hospitalinfo[[#This Row],[Hospital Ownership]]</f>
        <v>Voluntary non-profit - Private</v>
      </c>
      <c r="E3232" cm="1">
        <f t="array" ref="E3232">_xlfn.IFNA(_xlfn.XLOOKUP(1,([1]!hcahps[Facility ID] = clean[[#This Row],[Facility ID]]) * ([1]!hcahps[HCAHPS Measure ID] = "H_HSP_RATING_LINEAR_SCORE"), [1]!hcahps[HCAHPS Linear Mean Value]), "No Match")</f>
        <v>86</v>
      </c>
      <c r="F3232" cm="1">
        <f t="array" ref="F3232">_xlfn.IFNA(_xlfn.XLOOKUP(1,([1]!readmissions[Facility ID] = clean[[#This Row],[Facility ID]]) * ([1]!readmissions[Measure ID] = "Hybrid_HWR"), [1]!readmissions[Score]), "No Match")</f>
        <v>15.4</v>
      </c>
    </row>
    <row r="3233" spans="1:6" x14ac:dyDescent="0.2">
      <c r="A3233">
        <f>[1]!hospitalinfo[[#This Row],[Facility ID]]</f>
        <v>310034</v>
      </c>
      <c r="B3233" t="str">
        <f>[1]!hospitalinfo[[#This Row],[State]]</f>
        <v>NJ</v>
      </c>
      <c r="C3233" t="str">
        <f>[1]!hospitalinfo[[#This Row],[Hospital Type]]</f>
        <v>Acute Care Hospitals</v>
      </c>
      <c r="D3233" t="str">
        <f>[1]!hospitalinfo[[#This Row],[Hospital Ownership]]</f>
        <v>Voluntary non-profit - Private</v>
      </c>
      <c r="E3233" cm="1">
        <f t="array" ref="E3233">_xlfn.IFNA(_xlfn.XLOOKUP(1,([1]!hcahps[Facility ID] = clean[[#This Row],[Facility ID]]) * ([1]!hcahps[HCAHPS Measure ID] = "H_HSP_RATING_LINEAR_SCORE"), [1]!hcahps[HCAHPS Linear Mean Value]), "No Match")</f>
        <v>89</v>
      </c>
      <c r="F3233" cm="1">
        <f t="array" ref="F3233">_xlfn.IFNA(_xlfn.XLOOKUP(1,([1]!readmissions[Facility ID] = clean[[#This Row],[Facility ID]]) * ([1]!readmissions[Measure ID] = "Hybrid_HWR"), [1]!readmissions[Score]), "No Match")</f>
        <v>16.3</v>
      </c>
    </row>
    <row r="3234" spans="1:6" x14ac:dyDescent="0.2">
      <c r="A3234">
        <f>[1]!hospitalinfo[[#This Row],[Facility ID]]</f>
        <v>310038</v>
      </c>
      <c r="B3234" t="str">
        <f>[1]!hospitalinfo[[#This Row],[State]]</f>
        <v>NJ</v>
      </c>
      <c r="C3234" t="str">
        <f>[1]!hospitalinfo[[#This Row],[Hospital Type]]</f>
        <v>Acute Care Hospitals</v>
      </c>
      <c r="D3234" t="str">
        <f>[1]!hospitalinfo[[#This Row],[Hospital Ownership]]</f>
        <v>Voluntary non-profit - Private</v>
      </c>
      <c r="E3234" cm="1">
        <f t="array" ref="E3234">_xlfn.IFNA(_xlfn.XLOOKUP(1,([1]!hcahps[Facility ID] = clean[[#This Row],[Facility ID]]) * ([1]!hcahps[HCAHPS Measure ID] = "H_HSP_RATING_LINEAR_SCORE"), [1]!hcahps[HCAHPS Linear Mean Value]), "No Match")</f>
        <v>87</v>
      </c>
      <c r="F3234" cm="1">
        <f t="array" ref="F3234">_xlfn.IFNA(_xlfn.XLOOKUP(1,([1]!readmissions[Facility ID] = clean[[#This Row],[Facility ID]]) * ([1]!readmissions[Measure ID] = "Hybrid_HWR"), [1]!readmissions[Score]), "No Match")</f>
        <v>15.5</v>
      </c>
    </row>
    <row r="3235" spans="1:6" x14ac:dyDescent="0.2">
      <c r="A3235">
        <f>[1]!hospitalinfo[[#This Row],[Facility ID]]</f>
        <v>310039</v>
      </c>
      <c r="B3235" t="str">
        <f>[1]!hospitalinfo[[#This Row],[State]]</f>
        <v>NJ</v>
      </c>
      <c r="C3235" t="str">
        <f>[1]!hospitalinfo[[#This Row],[Hospital Type]]</f>
        <v>Acute Care Hospitals</v>
      </c>
      <c r="D3235" t="str">
        <f>[1]!hospitalinfo[[#This Row],[Hospital Ownership]]</f>
        <v>Voluntary non-profit - Private</v>
      </c>
      <c r="E3235" cm="1">
        <f t="array" ref="E3235">_xlfn.IFNA(_xlfn.XLOOKUP(1,([1]!hcahps[Facility ID] = clean[[#This Row],[Facility ID]]) * ([1]!hcahps[HCAHPS Measure ID] = "H_HSP_RATING_LINEAR_SCORE"), [1]!hcahps[HCAHPS Linear Mean Value]), "No Match")</f>
        <v>84</v>
      </c>
      <c r="F3235" cm="1">
        <f t="array" ref="F3235">_xlfn.IFNA(_xlfn.XLOOKUP(1,([1]!readmissions[Facility ID] = clean[[#This Row],[Facility ID]]) * ([1]!readmissions[Measure ID] = "Hybrid_HWR"), [1]!readmissions[Score]), "No Match")</f>
        <v>15</v>
      </c>
    </row>
    <row r="3236" spans="1:6" x14ac:dyDescent="0.2">
      <c r="A3236">
        <f>[1]!hospitalinfo[[#This Row],[Facility ID]]</f>
        <v>310040</v>
      </c>
      <c r="B3236" t="str">
        <f>[1]!hospitalinfo[[#This Row],[State]]</f>
        <v>NJ</v>
      </c>
      <c r="C3236" t="str">
        <f>[1]!hospitalinfo[[#This Row],[Hospital Type]]</f>
        <v>Acute Care Hospitals</v>
      </c>
      <c r="D3236" t="str">
        <f>[1]!hospitalinfo[[#This Row],[Hospital Ownership]]</f>
        <v>Voluntary non-profit - Church</v>
      </c>
      <c r="E3236" cm="1">
        <f t="array" ref="E3236">_xlfn.IFNA(_xlfn.XLOOKUP(1,([1]!hcahps[Facility ID] = clean[[#This Row],[Facility ID]]) * ([1]!hcahps[HCAHPS Measure ID] = "H_HSP_RATING_LINEAR_SCORE"), [1]!hcahps[HCAHPS Linear Mean Value]), "No Match")</f>
        <v>79</v>
      </c>
      <c r="F3236" cm="1">
        <f t="array" ref="F3236">_xlfn.IFNA(_xlfn.XLOOKUP(1,([1]!readmissions[Facility ID] = clean[[#This Row],[Facility ID]]) * ([1]!readmissions[Measure ID] = "Hybrid_HWR"), [1]!readmissions[Score]), "No Match")</f>
        <v>14.9</v>
      </c>
    </row>
    <row r="3237" spans="1:6" x14ac:dyDescent="0.2">
      <c r="A3237">
        <f>[1]!hospitalinfo[[#This Row],[Facility ID]]</f>
        <v>310041</v>
      </c>
      <c r="B3237" t="str">
        <f>[1]!hospitalinfo[[#This Row],[State]]</f>
        <v>NJ</v>
      </c>
      <c r="C3237" t="str">
        <f>[1]!hospitalinfo[[#This Row],[Hospital Type]]</f>
        <v>Acute Care Hospitals</v>
      </c>
      <c r="D3237" t="str">
        <f>[1]!hospitalinfo[[#This Row],[Hospital Ownership]]</f>
        <v>Voluntary non-profit - Private</v>
      </c>
      <c r="E3237" cm="1">
        <f t="array" ref="E3237">_xlfn.IFNA(_xlfn.XLOOKUP(1,([1]!hcahps[Facility ID] = clean[[#This Row],[Facility ID]]) * ([1]!hcahps[HCAHPS Measure ID] = "H_HSP_RATING_LINEAR_SCORE"), [1]!hcahps[HCAHPS Linear Mean Value]), "No Match")</f>
        <v>84</v>
      </c>
      <c r="F3237" cm="1">
        <f t="array" ref="F3237">_xlfn.IFNA(_xlfn.XLOOKUP(1,([1]!readmissions[Facility ID] = clean[[#This Row],[Facility ID]]) * ([1]!readmissions[Measure ID] = "Hybrid_HWR"), [1]!readmissions[Score]), "No Match")</f>
        <v>15.7</v>
      </c>
    </row>
    <row r="3238" spans="1:6" x14ac:dyDescent="0.2">
      <c r="A3238">
        <f>[1]!hospitalinfo[[#This Row],[Facility ID]]</f>
        <v>310044</v>
      </c>
      <c r="B3238" t="str">
        <f>[1]!hospitalinfo[[#This Row],[State]]</f>
        <v>NJ</v>
      </c>
      <c r="C3238" t="str">
        <f>[1]!hospitalinfo[[#This Row],[Hospital Type]]</f>
        <v>Acute Care Hospitals</v>
      </c>
      <c r="D3238" t="str">
        <f>[1]!hospitalinfo[[#This Row],[Hospital Ownership]]</f>
        <v>Voluntary non-profit - Private</v>
      </c>
      <c r="E3238" cm="1">
        <f t="array" ref="E3238">_xlfn.IFNA(_xlfn.XLOOKUP(1,([1]!hcahps[Facility ID] = clean[[#This Row],[Facility ID]]) * ([1]!hcahps[HCAHPS Measure ID] = "H_HSP_RATING_LINEAR_SCORE"), [1]!hcahps[HCAHPS Linear Mean Value]), "No Match")</f>
        <v>85</v>
      </c>
      <c r="F3238" cm="1">
        <f t="array" ref="F3238">_xlfn.IFNA(_xlfn.XLOOKUP(1,([1]!readmissions[Facility ID] = clean[[#This Row],[Facility ID]]) * ([1]!readmissions[Measure ID] = "Hybrid_HWR"), [1]!readmissions[Score]), "No Match")</f>
        <v>16.7</v>
      </c>
    </row>
    <row r="3239" spans="1:6" x14ac:dyDescent="0.2">
      <c r="A3239">
        <f>[1]!hospitalinfo[[#This Row],[Facility ID]]</f>
        <v>310045</v>
      </c>
      <c r="B3239" t="str">
        <f>[1]!hospitalinfo[[#This Row],[State]]</f>
        <v>NJ</v>
      </c>
      <c r="C3239" t="str">
        <f>[1]!hospitalinfo[[#This Row],[Hospital Type]]</f>
        <v>Acute Care Hospitals</v>
      </c>
      <c r="D3239" t="str">
        <f>[1]!hospitalinfo[[#This Row],[Hospital Ownership]]</f>
        <v>Voluntary non-profit - Private</v>
      </c>
      <c r="E3239" cm="1">
        <f t="array" ref="E3239">_xlfn.IFNA(_xlfn.XLOOKUP(1,([1]!hcahps[Facility ID] = clean[[#This Row],[Facility ID]]) * ([1]!hcahps[HCAHPS Measure ID] = "H_HSP_RATING_LINEAR_SCORE"), [1]!hcahps[HCAHPS Linear Mean Value]), "No Match")</f>
        <v>90</v>
      </c>
      <c r="F3239" cm="1">
        <f t="array" ref="F3239">_xlfn.IFNA(_xlfn.XLOOKUP(1,([1]!readmissions[Facility ID] = clean[[#This Row],[Facility ID]]) * ([1]!readmissions[Measure ID] = "Hybrid_HWR"), [1]!readmissions[Score]), "No Match")</f>
        <v>15.6</v>
      </c>
    </row>
    <row r="3240" spans="1:6" x14ac:dyDescent="0.2">
      <c r="A3240">
        <f>[1]!hospitalinfo[[#This Row],[Facility ID]]</f>
        <v>310047</v>
      </c>
      <c r="B3240" t="str">
        <f>[1]!hospitalinfo[[#This Row],[State]]</f>
        <v>NJ</v>
      </c>
      <c r="C3240" t="str">
        <f>[1]!hospitalinfo[[#This Row],[Hospital Type]]</f>
        <v>Acute Care Hospitals</v>
      </c>
      <c r="D3240" t="str">
        <f>[1]!hospitalinfo[[#This Row],[Hospital Ownership]]</f>
        <v>Voluntary non-profit - Private</v>
      </c>
      <c r="E3240" cm="1">
        <f t="array" ref="E3240">_xlfn.IFNA(_xlfn.XLOOKUP(1,([1]!hcahps[Facility ID] = clean[[#This Row],[Facility ID]]) * ([1]!hcahps[HCAHPS Measure ID] = "H_HSP_RATING_LINEAR_SCORE"), [1]!hcahps[HCAHPS Linear Mean Value]), "No Match")</f>
        <v>87</v>
      </c>
      <c r="F3240" cm="1">
        <f t="array" ref="F3240">_xlfn.IFNA(_xlfn.XLOOKUP(1,([1]!readmissions[Facility ID] = clean[[#This Row],[Facility ID]]) * ([1]!readmissions[Measure ID] = "Hybrid_HWR"), [1]!readmissions[Score]), "No Match")</f>
        <v>15.2</v>
      </c>
    </row>
    <row r="3241" spans="1:6" x14ac:dyDescent="0.2">
      <c r="A3241">
        <f>[1]!hospitalinfo[[#This Row],[Facility ID]]</f>
        <v>310048</v>
      </c>
      <c r="B3241" t="str">
        <f>[1]!hospitalinfo[[#This Row],[State]]</f>
        <v>NJ</v>
      </c>
      <c r="C3241" t="str">
        <f>[1]!hospitalinfo[[#This Row],[Hospital Type]]</f>
        <v>Acute Care Hospitals</v>
      </c>
      <c r="D3241" t="str">
        <f>[1]!hospitalinfo[[#This Row],[Hospital Ownership]]</f>
        <v>Voluntary non-profit - Private</v>
      </c>
      <c r="E3241" cm="1">
        <f t="array" ref="E3241">_xlfn.IFNA(_xlfn.XLOOKUP(1,([1]!hcahps[Facility ID] = clean[[#This Row],[Facility ID]]) * ([1]!hcahps[HCAHPS Measure ID] = "H_HSP_RATING_LINEAR_SCORE"), [1]!hcahps[HCAHPS Linear Mean Value]), "No Match")</f>
        <v>88</v>
      </c>
      <c r="F3241" cm="1">
        <f t="array" ref="F3241">_xlfn.IFNA(_xlfn.XLOOKUP(1,([1]!readmissions[Facility ID] = clean[[#This Row],[Facility ID]]) * ([1]!readmissions[Measure ID] = "Hybrid_HWR"), [1]!readmissions[Score]), "No Match")</f>
        <v>14.6</v>
      </c>
    </row>
    <row r="3242" spans="1:6" x14ac:dyDescent="0.2">
      <c r="A3242">
        <f>[1]!hospitalinfo[[#This Row],[Facility ID]]</f>
        <v>310050</v>
      </c>
      <c r="B3242" t="str">
        <f>[1]!hospitalinfo[[#This Row],[State]]</f>
        <v>NJ</v>
      </c>
      <c r="C3242" t="str">
        <f>[1]!hospitalinfo[[#This Row],[Hospital Type]]</f>
        <v>Acute Care Hospitals</v>
      </c>
      <c r="D3242" t="str">
        <f>[1]!hospitalinfo[[#This Row],[Hospital Ownership]]</f>
        <v>Proprietary</v>
      </c>
      <c r="E3242" cm="1">
        <f t="array" ref="E3242">_xlfn.IFNA(_xlfn.XLOOKUP(1,([1]!hcahps[Facility ID] = clean[[#This Row],[Facility ID]]) * ([1]!hcahps[HCAHPS Measure ID] = "H_HSP_RATING_LINEAR_SCORE"), [1]!hcahps[HCAHPS Linear Mean Value]), "No Match")</f>
        <v>85</v>
      </c>
      <c r="F3242" cm="1">
        <f t="array" ref="F3242">_xlfn.IFNA(_xlfn.XLOOKUP(1,([1]!readmissions[Facility ID] = clean[[#This Row],[Facility ID]]) * ([1]!readmissions[Measure ID] = "Hybrid_HWR"), [1]!readmissions[Score]), "No Match")</f>
        <v>16.2</v>
      </c>
    </row>
    <row r="3243" spans="1:6" x14ac:dyDescent="0.2">
      <c r="A3243">
        <f>[1]!hospitalinfo[[#This Row],[Facility ID]]</f>
        <v>310051</v>
      </c>
      <c r="B3243" t="str">
        <f>[1]!hospitalinfo[[#This Row],[State]]</f>
        <v>NJ</v>
      </c>
      <c r="C3243" t="str">
        <f>[1]!hospitalinfo[[#This Row],[Hospital Type]]</f>
        <v>Acute Care Hospitals</v>
      </c>
      <c r="D3243" t="str">
        <f>[1]!hospitalinfo[[#This Row],[Hospital Ownership]]</f>
        <v>Voluntary non-profit - Private</v>
      </c>
      <c r="E3243" cm="1">
        <f t="array" ref="E3243">_xlfn.IFNA(_xlfn.XLOOKUP(1,([1]!hcahps[Facility ID] = clean[[#This Row],[Facility ID]]) * ([1]!hcahps[HCAHPS Measure ID] = "H_HSP_RATING_LINEAR_SCORE"), [1]!hcahps[HCAHPS Linear Mean Value]), "No Match")</f>
        <v>87</v>
      </c>
      <c r="F3243" cm="1">
        <f t="array" ref="F3243">_xlfn.IFNA(_xlfn.XLOOKUP(1,([1]!readmissions[Facility ID] = clean[[#This Row],[Facility ID]]) * ([1]!readmissions[Measure ID] = "Hybrid_HWR"), [1]!readmissions[Score]), "No Match")</f>
        <v>13.9</v>
      </c>
    </row>
    <row r="3244" spans="1:6" x14ac:dyDescent="0.2">
      <c r="A3244">
        <f>[1]!hospitalinfo[[#This Row],[Facility ID]]</f>
        <v>310052</v>
      </c>
      <c r="B3244" t="str">
        <f>[1]!hospitalinfo[[#This Row],[State]]</f>
        <v>NJ</v>
      </c>
      <c r="C3244" t="str">
        <f>[1]!hospitalinfo[[#This Row],[Hospital Type]]</f>
        <v>Acute Care Hospitals</v>
      </c>
      <c r="D3244" t="str">
        <f>[1]!hospitalinfo[[#This Row],[Hospital Ownership]]</f>
        <v>Voluntary non-profit - Other</v>
      </c>
      <c r="E3244" cm="1">
        <f t="array" ref="E3244">_xlfn.IFNA(_xlfn.XLOOKUP(1,([1]!hcahps[Facility ID] = clean[[#This Row],[Facility ID]]) * ([1]!hcahps[HCAHPS Measure ID] = "H_HSP_RATING_LINEAR_SCORE"), [1]!hcahps[HCAHPS Linear Mean Value]), "No Match")</f>
        <v>87</v>
      </c>
      <c r="F3244" cm="1">
        <f t="array" ref="F3244">_xlfn.IFNA(_xlfn.XLOOKUP(1,([1]!readmissions[Facility ID] = clean[[#This Row],[Facility ID]]) * ([1]!readmissions[Measure ID] = "Hybrid_HWR"), [1]!readmissions[Score]), "No Match")</f>
        <v>14.7</v>
      </c>
    </row>
    <row r="3245" spans="1:6" x14ac:dyDescent="0.2">
      <c r="A3245">
        <f>[1]!hospitalinfo[[#This Row],[Facility ID]]</f>
        <v>310054</v>
      </c>
      <c r="B3245" t="str">
        <f>[1]!hospitalinfo[[#This Row],[State]]</f>
        <v>NJ</v>
      </c>
      <c r="C3245" t="str">
        <f>[1]!hospitalinfo[[#This Row],[Hospital Type]]</f>
        <v>Acute Care Hospitals</v>
      </c>
      <c r="D3245" t="str">
        <f>[1]!hospitalinfo[[#This Row],[Hospital Ownership]]</f>
        <v>Proprietary</v>
      </c>
      <c r="E3245" cm="1">
        <f t="array" ref="E3245">_xlfn.IFNA(_xlfn.XLOOKUP(1,([1]!hcahps[Facility ID] = clean[[#This Row],[Facility ID]]) * ([1]!hcahps[HCAHPS Measure ID] = "H_HSP_RATING_LINEAR_SCORE"), [1]!hcahps[HCAHPS Linear Mean Value]), "No Match")</f>
        <v>85</v>
      </c>
      <c r="F3245" cm="1">
        <f t="array" ref="F3245">_xlfn.IFNA(_xlfn.XLOOKUP(1,([1]!readmissions[Facility ID] = clean[[#This Row],[Facility ID]]) * ([1]!readmissions[Measure ID] = "Hybrid_HWR"), [1]!readmissions[Score]), "No Match")</f>
        <v>15.1</v>
      </c>
    </row>
    <row r="3246" spans="1:6" x14ac:dyDescent="0.2">
      <c r="A3246">
        <f>[1]!hospitalinfo[[#This Row],[Facility ID]]</f>
        <v>310057</v>
      </c>
      <c r="B3246" t="str">
        <f>[1]!hospitalinfo[[#This Row],[State]]</f>
        <v>NJ</v>
      </c>
      <c r="C3246" t="str">
        <f>[1]!hospitalinfo[[#This Row],[Hospital Type]]</f>
        <v>Acute Care Hospitals</v>
      </c>
      <c r="D3246" t="str">
        <f>[1]!hospitalinfo[[#This Row],[Hospital Ownership]]</f>
        <v>Voluntary non-profit - Private</v>
      </c>
      <c r="E3246" cm="1">
        <f t="array" ref="E3246">_xlfn.IFNA(_xlfn.XLOOKUP(1,([1]!hcahps[Facility ID] = clean[[#This Row],[Facility ID]]) * ([1]!hcahps[HCAHPS Measure ID] = "H_HSP_RATING_LINEAR_SCORE"), [1]!hcahps[HCAHPS Linear Mean Value]), "No Match")</f>
        <v>83</v>
      </c>
      <c r="F3246" cm="1">
        <f t="array" ref="F3246">_xlfn.IFNA(_xlfn.XLOOKUP(1,([1]!readmissions[Facility ID] = clean[[#This Row],[Facility ID]]) * ([1]!readmissions[Measure ID] = "Hybrid_HWR"), [1]!readmissions[Score]), "No Match")</f>
        <v>16.5</v>
      </c>
    </row>
    <row r="3247" spans="1:6" x14ac:dyDescent="0.2">
      <c r="A3247">
        <f>[1]!hospitalinfo[[#This Row],[Facility ID]]</f>
        <v>310058</v>
      </c>
      <c r="B3247" t="str">
        <f>[1]!hospitalinfo[[#This Row],[State]]</f>
        <v>NJ</v>
      </c>
      <c r="C3247" t="str">
        <f>[1]!hospitalinfo[[#This Row],[Hospital Type]]</f>
        <v>Acute Care Hospitals</v>
      </c>
      <c r="D3247" t="str">
        <f>[1]!hospitalinfo[[#This Row],[Hospital Ownership]]</f>
        <v>Voluntary non-profit - Private</v>
      </c>
      <c r="E3247" t="str" cm="1">
        <f t="array" ref="E3247">_xlfn.IFNA(_xlfn.XLOOKUP(1,([1]!hcahps[Facility ID] = clean[[#This Row],[Facility ID]]) * ([1]!hcahps[HCAHPS Measure ID] = "H_HSP_RATING_LINEAR_SCORE"), [1]!hcahps[HCAHPS Linear Mean Value]), "No Match")</f>
        <v>Not Available</v>
      </c>
      <c r="F3247" cm="1">
        <f t="array" ref="F3247">_xlfn.IFNA(_xlfn.XLOOKUP(1,([1]!readmissions[Facility ID] = clean[[#This Row],[Facility ID]]) * ([1]!readmissions[Measure ID] = "Hybrid_HWR"), [1]!readmissions[Score]), "No Match")</f>
        <v>14.7</v>
      </c>
    </row>
    <row r="3248" spans="1:6" x14ac:dyDescent="0.2">
      <c r="A3248">
        <f>[1]!hospitalinfo[[#This Row],[Facility ID]]</f>
        <v>310060</v>
      </c>
      <c r="B3248" t="str">
        <f>[1]!hospitalinfo[[#This Row],[State]]</f>
        <v>NJ</v>
      </c>
      <c r="C3248" t="str">
        <f>[1]!hospitalinfo[[#This Row],[Hospital Type]]</f>
        <v>Acute Care Hospitals</v>
      </c>
      <c r="D3248" t="str">
        <f>[1]!hospitalinfo[[#This Row],[Hospital Ownership]]</f>
        <v>Voluntary non-profit - Private</v>
      </c>
      <c r="E3248" cm="1">
        <f t="array" ref="E3248">_xlfn.IFNA(_xlfn.XLOOKUP(1,([1]!hcahps[Facility ID] = clean[[#This Row],[Facility ID]]) * ([1]!hcahps[HCAHPS Measure ID] = "H_HSP_RATING_LINEAR_SCORE"), [1]!hcahps[HCAHPS Linear Mean Value]), "No Match")</f>
        <v>89</v>
      </c>
      <c r="F3248" cm="1">
        <f t="array" ref="F3248">_xlfn.IFNA(_xlfn.XLOOKUP(1,([1]!readmissions[Facility ID] = clean[[#This Row],[Facility ID]]) * ([1]!readmissions[Measure ID] = "Hybrid_HWR"), [1]!readmissions[Score]), "No Match")</f>
        <v>15</v>
      </c>
    </row>
    <row r="3249" spans="1:6" x14ac:dyDescent="0.2">
      <c r="A3249">
        <f>[1]!hospitalinfo[[#This Row],[Facility ID]]</f>
        <v>310061</v>
      </c>
      <c r="B3249" t="str">
        <f>[1]!hospitalinfo[[#This Row],[State]]</f>
        <v>NJ</v>
      </c>
      <c r="C3249" t="str">
        <f>[1]!hospitalinfo[[#This Row],[Hospital Type]]</f>
        <v>Acute Care Hospitals</v>
      </c>
      <c r="D3249" t="str">
        <f>[1]!hospitalinfo[[#This Row],[Hospital Ownership]]</f>
        <v>Voluntary non-profit - Private</v>
      </c>
      <c r="E3249" cm="1">
        <f t="array" ref="E3249">_xlfn.IFNA(_xlfn.XLOOKUP(1,([1]!hcahps[Facility ID] = clean[[#This Row],[Facility ID]]) * ([1]!hcahps[HCAHPS Measure ID] = "H_HSP_RATING_LINEAR_SCORE"), [1]!hcahps[HCAHPS Linear Mean Value]), "No Match")</f>
        <v>82</v>
      </c>
      <c r="F3249" cm="1">
        <f t="array" ref="F3249">_xlfn.IFNA(_xlfn.XLOOKUP(1,([1]!readmissions[Facility ID] = clean[[#This Row],[Facility ID]]) * ([1]!readmissions[Measure ID] = "Hybrid_HWR"), [1]!readmissions[Score]), "No Match")</f>
        <v>14.8</v>
      </c>
    </row>
    <row r="3250" spans="1:6" x14ac:dyDescent="0.2">
      <c r="A3250">
        <f>[1]!hospitalinfo[[#This Row],[Facility ID]]</f>
        <v>310064</v>
      </c>
      <c r="B3250" t="str">
        <f>[1]!hospitalinfo[[#This Row],[State]]</f>
        <v>NJ</v>
      </c>
      <c r="C3250" t="str">
        <f>[1]!hospitalinfo[[#This Row],[Hospital Type]]</f>
        <v>Acute Care Hospitals</v>
      </c>
      <c r="D3250" t="str">
        <f>[1]!hospitalinfo[[#This Row],[Hospital Ownership]]</f>
        <v>Voluntary non-profit - Private</v>
      </c>
      <c r="E3250" cm="1">
        <f t="array" ref="E3250">_xlfn.IFNA(_xlfn.XLOOKUP(1,([1]!hcahps[Facility ID] = clean[[#This Row],[Facility ID]]) * ([1]!hcahps[HCAHPS Measure ID] = "H_HSP_RATING_LINEAR_SCORE"), [1]!hcahps[HCAHPS Linear Mean Value]), "No Match")</f>
        <v>86</v>
      </c>
      <c r="F3250" cm="1">
        <f t="array" ref="F3250">_xlfn.IFNA(_xlfn.XLOOKUP(1,([1]!readmissions[Facility ID] = clean[[#This Row],[Facility ID]]) * ([1]!readmissions[Measure ID] = "Hybrid_HWR"), [1]!readmissions[Score]), "No Match")</f>
        <v>14.7</v>
      </c>
    </row>
    <row r="3251" spans="1:6" x14ac:dyDescent="0.2">
      <c r="A3251">
        <f>[1]!hospitalinfo[[#This Row],[Facility ID]]</f>
        <v>310069</v>
      </c>
      <c r="B3251" t="str">
        <f>[1]!hospitalinfo[[#This Row],[State]]</f>
        <v>NJ</v>
      </c>
      <c r="C3251" t="str">
        <f>[1]!hospitalinfo[[#This Row],[Hospital Type]]</f>
        <v>Acute Care Hospitals</v>
      </c>
      <c r="D3251" t="str">
        <f>[1]!hospitalinfo[[#This Row],[Hospital Ownership]]</f>
        <v>Voluntary non-profit - Private</v>
      </c>
      <c r="E3251" cm="1">
        <f t="array" ref="E3251">_xlfn.IFNA(_xlfn.XLOOKUP(1,([1]!hcahps[Facility ID] = clean[[#This Row],[Facility ID]]) * ([1]!hcahps[HCAHPS Measure ID] = "H_HSP_RATING_LINEAR_SCORE"), [1]!hcahps[HCAHPS Linear Mean Value]), "No Match")</f>
        <v>87</v>
      </c>
      <c r="F3251" cm="1">
        <f t="array" ref="F3251">_xlfn.IFNA(_xlfn.XLOOKUP(1,([1]!readmissions[Facility ID] = clean[[#This Row],[Facility ID]]) * ([1]!readmissions[Measure ID] = "Hybrid_HWR"), [1]!readmissions[Score]), "No Match")</f>
        <v>16.2</v>
      </c>
    </row>
    <row r="3252" spans="1:6" x14ac:dyDescent="0.2">
      <c r="A3252">
        <f>[1]!hospitalinfo[[#This Row],[Facility ID]]</f>
        <v>310070</v>
      </c>
      <c r="B3252" t="str">
        <f>[1]!hospitalinfo[[#This Row],[State]]</f>
        <v>NJ</v>
      </c>
      <c r="C3252" t="str">
        <f>[1]!hospitalinfo[[#This Row],[Hospital Type]]</f>
        <v>Acute Care Hospitals</v>
      </c>
      <c r="D3252" t="str">
        <f>[1]!hospitalinfo[[#This Row],[Hospital Ownership]]</f>
        <v>Voluntary non-profit - Private</v>
      </c>
      <c r="E3252" cm="1">
        <f t="array" ref="E3252">_xlfn.IFNA(_xlfn.XLOOKUP(1,([1]!hcahps[Facility ID] = clean[[#This Row],[Facility ID]]) * ([1]!hcahps[HCAHPS Measure ID] = "H_HSP_RATING_LINEAR_SCORE"), [1]!hcahps[HCAHPS Linear Mean Value]), "No Match")</f>
        <v>89</v>
      </c>
      <c r="F3252" cm="1">
        <f t="array" ref="F3252">_xlfn.IFNA(_xlfn.XLOOKUP(1,([1]!readmissions[Facility ID] = clean[[#This Row],[Facility ID]]) * ([1]!readmissions[Measure ID] = "Hybrid_HWR"), [1]!readmissions[Score]), "No Match")</f>
        <v>16.2</v>
      </c>
    </row>
    <row r="3253" spans="1:6" x14ac:dyDescent="0.2">
      <c r="A3253">
        <f>[1]!hospitalinfo[[#This Row],[Facility ID]]</f>
        <v>310073</v>
      </c>
      <c r="B3253" t="str">
        <f>[1]!hospitalinfo[[#This Row],[State]]</f>
        <v>NJ</v>
      </c>
      <c r="C3253" t="str">
        <f>[1]!hospitalinfo[[#This Row],[Hospital Type]]</f>
        <v>Acute Care Hospitals</v>
      </c>
      <c r="D3253" t="str">
        <f>[1]!hospitalinfo[[#This Row],[Hospital Ownership]]</f>
        <v>Voluntary non-profit - Private</v>
      </c>
      <c r="E3253" cm="1">
        <f t="array" ref="E3253">_xlfn.IFNA(_xlfn.XLOOKUP(1,([1]!hcahps[Facility ID] = clean[[#This Row],[Facility ID]]) * ([1]!hcahps[HCAHPS Measure ID] = "H_HSP_RATING_LINEAR_SCORE"), [1]!hcahps[HCAHPS Linear Mean Value]), "No Match")</f>
        <v>86</v>
      </c>
      <c r="F3253" cm="1">
        <f t="array" ref="F3253">_xlfn.IFNA(_xlfn.XLOOKUP(1,([1]!readmissions[Facility ID] = clean[[#This Row],[Facility ID]]) * ([1]!readmissions[Measure ID] = "Hybrid_HWR"), [1]!readmissions[Score]), "No Match")</f>
        <v>14.9</v>
      </c>
    </row>
    <row r="3254" spans="1:6" x14ac:dyDescent="0.2">
      <c r="A3254">
        <f>[1]!hospitalinfo[[#This Row],[Facility ID]]</f>
        <v>310074</v>
      </c>
      <c r="B3254" t="str">
        <f>[1]!hospitalinfo[[#This Row],[State]]</f>
        <v>NJ</v>
      </c>
      <c r="C3254" t="str">
        <f>[1]!hospitalinfo[[#This Row],[Hospital Type]]</f>
        <v>Acute Care Hospitals</v>
      </c>
      <c r="D3254" t="str">
        <f>[1]!hospitalinfo[[#This Row],[Hospital Ownership]]</f>
        <v>Voluntary non-profit - Private</v>
      </c>
      <c r="E3254" cm="1">
        <f t="array" ref="E3254">_xlfn.IFNA(_xlfn.XLOOKUP(1,([1]!hcahps[Facility ID] = clean[[#This Row],[Facility ID]]) * ([1]!hcahps[HCAHPS Measure ID] = "H_HSP_RATING_LINEAR_SCORE"), [1]!hcahps[HCAHPS Linear Mean Value]), "No Match")</f>
        <v>88</v>
      </c>
      <c r="F3254" cm="1">
        <f t="array" ref="F3254">_xlfn.IFNA(_xlfn.XLOOKUP(1,([1]!readmissions[Facility ID] = clean[[#This Row],[Facility ID]]) * ([1]!readmissions[Measure ID] = "Hybrid_HWR"), [1]!readmissions[Score]), "No Match")</f>
        <v>16.100000000000001</v>
      </c>
    </row>
    <row r="3255" spans="1:6" x14ac:dyDescent="0.2">
      <c r="A3255">
        <f>[1]!hospitalinfo[[#This Row],[Facility ID]]</f>
        <v>310075</v>
      </c>
      <c r="B3255" t="str">
        <f>[1]!hospitalinfo[[#This Row],[State]]</f>
        <v>NJ</v>
      </c>
      <c r="C3255" t="str">
        <f>[1]!hospitalinfo[[#This Row],[Hospital Type]]</f>
        <v>Acute Care Hospitals</v>
      </c>
      <c r="D3255" t="str">
        <f>[1]!hospitalinfo[[#This Row],[Hospital Ownership]]</f>
        <v>Voluntary non-profit - Private</v>
      </c>
      <c r="E3255" cm="1">
        <f t="array" ref="E3255">_xlfn.IFNA(_xlfn.XLOOKUP(1,([1]!hcahps[Facility ID] = clean[[#This Row],[Facility ID]]) * ([1]!hcahps[HCAHPS Measure ID] = "H_HSP_RATING_LINEAR_SCORE"), [1]!hcahps[HCAHPS Linear Mean Value]), "No Match")</f>
        <v>89</v>
      </c>
      <c r="F3255" cm="1">
        <f t="array" ref="F3255">_xlfn.IFNA(_xlfn.XLOOKUP(1,([1]!readmissions[Facility ID] = clean[[#This Row],[Facility ID]]) * ([1]!readmissions[Measure ID] = "Hybrid_HWR"), [1]!readmissions[Score]), "No Match")</f>
        <v>16.2</v>
      </c>
    </row>
    <row r="3256" spans="1:6" x14ac:dyDescent="0.2">
      <c r="A3256">
        <f>[1]!hospitalinfo[[#This Row],[Facility ID]]</f>
        <v>310076</v>
      </c>
      <c r="B3256" t="str">
        <f>[1]!hospitalinfo[[#This Row],[State]]</f>
        <v>NJ</v>
      </c>
      <c r="C3256" t="str">
        <f>[1]!hospitalinfo[[#This Row],[Hospital Type]]</f>
        <v>Acute Care Hospitals</v>
      </c>
      <c r="D3256" t="str">
        <f>[1]!hospitalinfo[[#This Row],[Hospital Ownership]]</f>
        <v>Voluntary non-profit - Private</v>
      </c>
      <c r="E3256" cm="1">
        <f t="array" ref="E3256">_xlfn.IFNA(_xlfn.XLOOKUP(1,([1]!hcahps[Facility ID] = clean[[#This Row],[Facility ID]]) * ([1]!hcahps[HCAHPS Measure ID] = "H_HSP_RATING_LINEAR_SCORE"), [1]!hcahps[HCAHPS Linear Mean Value]), "No Match")</f>
        <v>86</v>
      </c>
      <c r="F3256" cm="1">
        <f t="array" ref="F3256">_xlfn.IFNA(_xlfn.XLOOKUP(1,([1]!readmissions[Facility ID] = clean[[#This Row],[Facility ID]]) * ([1]!readmissions[Measure ID] = "Hybrid_HWR"), [1]!readmissions[Score]), "No Match")</f>
        <v>15.9</v>
      </c>
    </row>
    <row r="3257" spans="1:6" x14ac:dyDescent="0.2">
      <c r="A3257">
        <f>[1]!hospitalinfo[[#This Row],[Facility ID]]</f>
        <v>310083</v>
      </c>
      <c r="B3257" t="str">
        <f>[1]!hospitalinfo[[#This Row],[State]]</f>
        <v>NJ</v>
      </c>
      <c r="C3257" t="str">
        <f>[1]!hospitalinfo[[#This Row],[Hospital Type]]</f>
        <v>Acute Care Hospitals</v>
      </c>
      <c r="D3257" t="str">
        <f>[1]!hospitalinfo[[#This Row],[Hospital Ownership]]</f>
        <v>Proprietary</v>
      </c>
      <c r="E3257" cm="1">
        <f t="array" ref="E3257">_xlfn.IFNA(_xlfn.XLOOKUP(1,([1]!hcahps[Facility ID] = clean[[#This Row],[Facility ID]]) * ([1]!hcahps[HCAHPS Measure ID] = "H_HSP_RATING_LINEAR_SCORE"), [1]!hcahps[HCAHPS Linear Mean Value]), "No Match")</f>
        <v>71</v>
      </c>
      <c r="F3257" cm="1">
        <f t="array" ref="F3257">_xlfn.IFNA(_xlfn.XLOOKUP(1,([1]!readmissions[Facility ID] = clean[[#This Row],[Facility ID]]) * ([1]!readmissions[Measure ID] = "Hybrid_HWR"), [1]!readmissions[Score]), "No Match")</f>
        <v>16.100000000000001</v>
      </c>
    </row>
    <row r="3258" spans="1:6" x14ac:dyDescent="0.2">
      <c r="A3258">
        <f>[1]!hospitalinfo[[#This Row],[Facility ID]]</f>
        <v>310084</v>
      </c>
      <c r="B3258" t="str">
        <f>[1]!hospitalinfo[[#This Row],[State]]</f>
        <v>NJ</v>
      </c>
      <c r="C3258" t="str">
        <f>[1]!hospitalinfo[[#This Row],[Hospital Type]]</f>
        <v>Acute Care Hospitals</v>
      </c>
      <c r="D3258" t="str">
        <f>[1]!hospitalinfo[[#This Row],[Hospital Ownership]]</f>
        <v>Voluntary non-profit - Private</v>
      </c>
      <c r="E3258" cm="1">
        <f t="array" ref="E3258">_xlfn.IFNA(_xlfn.XLOOKUP(1,([1]!hcahps[Facility ID] = clean[[#This Row],[Facility ID]]) * ([1]!hcahps[HCAHPS Measure ID] = "H_HSP_RATING_LINEAR_SCORE"), [1]!hcahps[HCAHPS Linear Mean Value]), "No Match")</f>
        <v>87</v>
      </c>
      <c r="F3258" cm="1">
        <f t="array" ref="F3258">_xlfn.IFNA(_xlfn.XLOOKUP(1,([1]!readmissions[Facility ID] = clean[[#This Row],[Facility ID]]) * ([1]!readmissions[Measure ID] = "Hybrid_HWR"), [1]!readmissions[Score]), "No Match")</f>
        <v>16.100000000000001</v>
      </c>
    </row>
    <row r="3259" spans="1:6" x14ac:dyDescent="0.2">
      <c r="A3259">
        <f>[1]!hospitalinfo[[#This Row],[Facility ID]]</f>
        <v>310086</v>
      </c>
      <c r="B3259" t="str">
        <f>[1]!hospitalinfo[[#This Row],[State]]</f>
        <v>NJ</v>
      </c>
      <c r="C3259" t="str">
        <f>[1]!hospitalinfo[[#This Row],[Hospital Type]]</f>
        <v>Acute Care Hospitals</v>
      </c>
      <c r="D3259" t="str">
        <f>[1]!hospitalinfo[[#This Row],[Hospital Ownership]]</f>
        <v>Voluntary non-profit - Private</v>
      </c>
      <c r="E3259" cm="1">
        <f t="array" ref="E3259">_xlfn.IFNA(_xlfn.XLOOKUP(1,([1]!hcahps[Facility ID] = clean[[#This Row],[Facility ID]]) * ([1]!hcahps[HCAHPS Measure ID] = "H_HSP_RATING_LINEAR_SCORE"), [1]!hcahps[HCAHPS Linear Mean Value]), "No Match")</f>
        <v>86</v>
      </c>
      <c r="F3259" cm="1">
        <f t="array" ref="F3259">_xlfn.IFNA(_xlfn.XLOOKUP(1,([1]!readmissions[Facility ID] = clean[[#This Row],[Facility ID]]) * ([1]!readmissions[Measure ID] = "Hybrid_HWR"), [1]!readmissions[Score]), "No Match")</f>
        <v>17.5</v>
      </c>
    </row>
    <row r="3260" spans="1:6" x14ac:dyDescent="0.2">
      <c r="A3260">
        <f>[1]!hospitalinfo[[#This Row],[Facility ID]]</f>
        <v>310092</v>
      </c>
      <c r="B3260" t="str">
        <f>[1]!hospitalinfo[[#This Row],[State]]</f>
        <v>NJ</v>
      </c>
      <c r="C3260" t="str">
        <f>[1]!hospitalinfo[[#This Row],[Hospital Type]]</f>
        <v>Acute Care Hospitals</v>
      </c>
      <c r="D3260" t="str">
        <f>[1]!hospitalinfo[[#This Row],[Hospital Ownership]]</f>
        <v>Voluntary non-profit - Private</v>
      </c>
      <c r="E3260" cm="1">
        <f t="array" ref="E3260">_xlfn.IFNA(_xlfn.XLOOKUP(1,([1]!hcahps[Facility ID] = clean[[#This Row],[Facility ID]]) * ([1]!hcahps[HCAHPS Measure ID] = "H_HSP_RATING_LINEAR_SCORE"), [1]!hcahps[HCAHPS Linear Mean Value]), "No Match")</f>
        <v>79</v>
      </c>
      <c r="F3260" cm="1">
        <f t="array" ref="F3260">_xlfn.IFNA(_xlfn.XLOOKUP(1,([1]!readmissions[Facility ID] = clean[[#This Row],[Facility ID]]) * ([1]!readmissions[Measure ID] = "Hybrid_HWR"), [1]!readmissions[Score]), "No Match")</f>
        <v>15.6</v>
      </c>
    </row>
    <row r="3261" spans="1:6" x14ac:dyDescent="0.2">
      <c r="A3261">
        <f>[1]!hospitalinfo[[#This Row],[Facility ID]]</f>
        <v>310096</v>
      </c>
      <c r="B3261" t="str">
        <f>[1]!hospitalinfo[[#This Row],[State]]</f>
        <v>NJ</v>
      </c>
      <c r="C3261" t="str">
        <f>[1]!hospitalinfo[[#This Row],[Hospital Type]]</f>
        <v>Acute Care Hospitals</v>
      </c>
      <c r="D3261" t="str">
        <f>[1]!hospitalinfo[[#This Row],[Hospital Ownership]]</f>
        <v>Voluntary non-profit - Private</v>
      </c>
      <c r="E3261" cm="1">
        <f t="array" ref="E3261">_xlfn.IFNA(_xlfn.XLOOKUP(1,([1]!hcahps[Facility ID] = clean[[#This Row],[Facility ID]]) * ([1]!hcahps[HCAHPS Measure ID] = "H_HSP_RATING_LINEAR_SCORE"), [1]!hcahps[HCAHPS Linear Mean Value]), "No Match")</f>
        <v>89</v>
      </c>
      <c r="F3261" cm="1">
        <f t="array" ref="F3261">_xlfn.IFNA(_xlfn.XLOOKUP(1,([1]!readmissions[Facility ID] = clean[[#This Row],[Facility ID]]) * ([1]!readmissions[Measure ID] = "Hybrid_HWR"), [1]!readmissions[Score]), "No Match")</f>
        <v>16</v>
      </c>
    </row>
    <row r="3262" spans="1:6" x14ac:dyDescent="0.2">
      <c r="A3262">
        <f>[1]!hospitalinfo[[#This Row],[Facility ID]]</f>
        <v>310108</v>
      </c>
      <c r="B3262" t="str">
        <f>[1]!hospitalinfo[[#This Row],[State]]</f>
        <v>NJ</v>
      </c>
      <c r="C3262" t="str">
        <f>[1]!hospitalinfo[[#This Row],[Hospital Type]]</f>
        <v>Acute Care Hospitals</v>
      </c>
      <c r="D3262" t="str">
        <f>[1]!hospitalinfo[[#This Row],[Hospital Ownership]]</f>
        <v>Voluntary non-profit - Private</v>
      </c>
      <c r="E3262" cm="1">
        <f t="array" ref="E3262">_xlfn.IFNA(_xlfn.XLOOKUP(1,([1]!hcahps[Facility ID] = clean[[#This Row],[Facility ID]]) * ([1]!hcahps[HCAHPS Measure ID] = "H_HSP_RATING_LINEAR_SCORE"), [1]!hcahps[HCAHPS Linear Mean Value]), "No Match")</f>
        <v>82</v>
      </c>
      <c r="F3262" cm="1">
        <f t="array" ref="F3262">_xlfn.IFNA(_xlfn.XLOOKUP(1,([1]!readmissions[Facility ID] = clean[[#This Row],[Facility ID]]) * ([1]!readmissions[Measure ID] = "Hybrid_HWR"), [1]!readmissions[Score]), "No Match")</f>
        <v>15.5</v>
      </c>
    </row>
    <row r="3263" spans="1:6" x14ac:dyDescent="0.2">
      <c r="A3263">
        <f>[1]!hospitalinfo[[#This Row],[Facility ID]]</f>
        <v>310110</v>
      </c>
      <c r="B3263" t="str">
        <f>[1]!hospitalinfo[[#This Row],[State]]</f>
        <v>NJ</v>
      </c>
      <c r="C3263" t="str">
        <f>[1]!hospitalinfo[[#This Row],[Hospital Type]]</f>
        <v>Acute Care Hospitals</v>
      </c>
      <c r="D3263" t="str">
        <f>[1]!hospitalinfo[[#This Row],[Hospital Ownership]]</f>
        <v>Voluntary non-profit - Private</v>
      </c>
      <c r="E3263" cm="1">
        <f t="array" ref="E3263">_xlfn.IFNA(_xlfn.XLOOKUP(1,([1]!hcahps[Facility ID] = clean[[#This Row],[Facility ID]]) * ([1]!hcahps[HCAHPS Measure ID] = "H_HSP_RATING_LINEAR_SCORE"), [1]!hcahps[HCAHPS Linear Mean Value]), "No Match")</f>
        <v>87</v>
      </c>
      <c r="F3263" cm="1">
        <f t="array" ref="F3263">_xlfn.IFNA(_xlfn.XLOOKUP(1,([1]!readmissions[Facility ID] = clean[[#This Row],[Facility ID]]) * ([1]!readmissions[Measure ID] = "Hybrid_HWR"), [1]!readmissions[Score]), "No Match")</f>
        <v>15.6</v>
      </c>
    </row>
    <row r="3264" spans="1:6" x14ac:dyDescent="0.2">
      <c r="A3264">
        <f>[1]!hospitalinfo[[#This Row],[Facility ID]]</f>
        <v>310111</v>
      </c>
      <c r="B3264" t="str">
        <f>[1]!hospitalinfo[[#This Row],[State]]</f>
        <v>NJ</v>
      </c>
      <c r="C3264" t="str">
        <f>[1]!hospitalinfo[[#This Row],[Hospital Type]]</f>
        <v>Acute Care Hospitals</v>
      </c>
      <c r="D3264" t="str">
        <f>[1]!hospitalinfo[[#This Row],[Hospital Ownership]]</f>
        <v>Voluntary non-profit - Private</v>
      </c>
      <c r="E3264" cm="1">
        <f t="array" ref="E3264">_xlfn.IFNA(_xlfn.XLOOKUP(1,([1]!hcahps[Facility ID] = clean[[#This Row],[Facility ID]]) * ([1]!hcahps[HCAHPS Measure ID] = "H_HSP_RATING_LINEAR_SCORE"), [1]!hcahps[HCAHPS Linear Mean Value]), "No Match")</f>
        <v>86</v>
      </c>
      <c r="F3264" cm="1">
        <f t="array" ref="F3264">_xlfn.IFNA(_xlfn.XLOOKUP(1,([1]!readmissions[Facility ID] = clean[[#This Row],[Facility ID]]) * ([1]!readmissions[Measure ID] = "Hybrid_HWR"), [1]!readmissions[Score]), "No Match")</f>
        <v>15.8</v>
      </c>
    </row>
    <row r="3265" spans="1:6" x14ac:dyDescent="0.2">
      <c r="A3265">
        <f>[1]!hospitalinfo[[#This Row],[Facility ID]]</f>
        <v>310112</v>
      </c>
      <c r="B3265" t="str">
        <f>[1]!hospitalinfo[[#This Row],[State]]</f>
        <v>NJ</v>
      </c>
      <c r="C3265" t="str">
        <f>[1]!hospitalinfo[[#This Row],[Hospital Type]]</f>
        <v>Acute Care Hospitals</v>
      </c>
      <c r="D3265" t="str">
        <f>[1]!hospitalinfo[[#This Row],[Hospital Ownership]]</f>
        <v>Voluntary non-profit - Private</v>
      </c>
      <c r="E3265" cm="1">
        <f t="array" ref="E3265">_xlfn.IFNA(_xlfn.XLOOKUP(1,([1]!hcahps[Facility ID] = clean[[#This Row],[Facility ID]]) * ([1]!hcahps[HCAHPS Measure ID] = "H_HSP_RATING_LINEAR_SCORE"), [1]!hcahps[HCAHPS Linear Mean Value]), "No Match")</f>
        <v>86</v>
      </c>
      <c r="F3265" cm="1">
        <f t="array" ref="F3265">_xlfn.IFNA(_xlfn.XLOOKUP(1,([1]!readmissions[Facility ID] = clean[[#This Row],[Facility ID]]) * ([1]!readmissions[Measure ID] = "Hybrid_HWR"), [1]!readmissions[Score]), "No Match")</f>
        <v>14.8</v>
      </c>
    </row>
    <row r="3266" spans="1:6" x14ac:dyDescent="0.2">
      <c r="A3266">
        <f>[1]!hospitalinfo[[#This Row],[Facility ID]]</f>
        <v>310113</v>
      </c>
      <c r="B3266" t="str">
        <f>[1]!hospitalinfo[[#This Row],[State]]</f>
        <v>NJ</v>
      </c>
      <c r="C3266" t="str">
        <f>[1]!hospitalinfo[[#This Row],[Hospital Type]]</f>
        <v>Acute Care Hospitals</v>
      </c>
      <c r="D3266" t="str">
        <f>[1]!hospitalinfo[[#This Row],[Hospital Ownership]]</f>
        <v>Voluntary non-profit - Private</v>
      </c>
      <c r="E3266" cm="1">
        <f t="array" ref="E3266">_xlfn.IFNA(_xlfn.XLOOKUP(1,([1]!hcahps[Facility ID] = clean[[#This Row],[Facility ID]]) * ([1]!hcahps[HCAHPS Measure ID] = "H_HSP_RATING_LINEAR_SCORE"), [1]!hcahps[HCAHPS Linear Mean Value]), "No Match")</f>
        <v>86</v>
      </c>
      <c r="F3266" cm="1">
        <f t="array" ref="F3266">_xlfn.IFNA(_xlfn.XLOOKUP(1,([1]!readmissions[Facility ID] = clean[[#This Row],[Facility ID]]) * ([1]!readmissions[Measure ID] = "Hybrid_HWR"), [1]!readmissions[Score]), "No Match")</f>
        <v>15.4</v>
      </c>
    </row>
    <row r="3267" spans="1:6" x14ac:dyDescent="0.2">
      <c r="A3267">
        <f>[1]!hospitalinfo[[#This Row],[Facility ID]]</f>
        <v>310115</v>
      </c>
      <c r="B3267" t="str">
        <f>[1]!hospitalinfo[[#This Row],[State]]</f>
        <v>NJ</v>
      </c>
      <c r="C3267" t="str">
        <f>[1]!hospitalinfo[[#This Row],[Hospital Type]]</f>
        <v>Acute Care Hospitals</v>
      </c>
      <c r="D3267" t="str">
        <f>[1]!hospitalinfo[[#This Row],[Hospital Ownership]]</f>
        <v>Voluntary non-profit - Private</v>
      </c>
      <c r="E3267" cm="1">
        <f t="array" ref="E3267">_xlfn.IFNA(_xlfn.XLOOKUP(1,([1]!hcahps[Facility ID] = clean[[#This Row],[Facility ID]]) * ([1]!hcahps[HCAHPS Measure ID] = "H_HSP_RATING_LINEAR_SCORE"), [1]!hcahps[HCAHPS Linear Mean Value]), "No Match")</f>
        <v>84</v>
      </c>
      <c r="F3267" cm="1">
        <f t="array" ref="F3267">_xlfn.IFNA(_xlfn.XLOOKUP(1,([1]!readmissions[Facility ID] = clean[[#This Row],[Facility ID]]) * ([1]!readmissions[Measure ID] = "Hybrid_HWR"), [1]!readmissions[Score]), "No Match")</f>
        <v>15</v>
      </c>
    </row>
    <row r="3268" spans="1:6" x14ac:dyDescent="0.2">
      <c r="A3268">
        <f>[1]!hospitalinfo[[#This Row],[Facility ID]]</f>
        <v>310118</v>
      </c>
      <c r="B3268" t="str">
        <f>[1]!hospitalinfo[[#This Row],[State]]</f>
        <v>NJ</v>
      </c>
      <c r="C3268" t="str">
        <f>[1]!hospitalinfo[[#This Row],[Hospital Type]]</f>
        <v>Acute Care Hospitals</v>
      </c>
      <c r="D3268" t="str">
        <f>[1]!hospitalinfo[[#This Row],[Hospital Ownership]]</f>
        <v>Proprietary</v>
      </c>
      <c r="E3268" cm="1">
        <f t="array" ref="E3268">_xlfn.IFNA(_xlfn.XLOOKUP(1,([1]!hcahps[Facility ID] = clean[[#This Row],[Facility ID]]) * ([1]!hcahps[HCAHPS Measure ID] = "H_HSP_RATING_LINEAR_SCORE"), [1]!hcahps[HCAHPS Linear Mean Value]), "No Match")</f>
        <v>85</v>
      </c>
      <c r="F3268" cm="1">
        <f t="array" ref="F3268">_xlfn.IFNA(_xlfn.XLOOKUP(1,([1]!readmissions[Facility ID] = clean[[#This Row],[Facility ID]]) * ([1]!readmissions[Measure ID] = "Hybrid_HWR"), [1]!readmissions[Score]), "No Match")</f>
        <v>15.3</v>
      </c>
    </row>
    <row r="3269" spans="1:6" x14ac:dyDescent="0.2">
      <c r="A3269">
        <f>[1]!hospitalinfo[[#This Row],[Facility ID]]</f>
        <v>310119</v>
      </c>
      <c r="B3269" t="str">
        <f>[1]!hospitalinfo[[#This Row],[State]]</f>
        <v>NJ</v>
      </c>
      <c r="C3269" t="str">
        <f>[1]!hospitalinfo[[#This Row],[Hospital Type]]</f>
        <v>Acute Care Hospitals</v>
      </c>
      <c r="D3269" t="str">
        <f>[1]!hospitalinfo[[#This Row],[Hospital Ownership]]</f>
        <v>Government - State</v>
      </c>
      <c r="E3269" cm="1">
        <f t="array" ref="E3269">_xlfn.IFNA(_xlfn.XLOOKUP(1,([1]!hcahps[Facility ID] = clean[[#This Row],[Facility ID]]) * ([1]!hcahps[HCAHPS Measure ID] = "H_HSP_RATING_LINEAR_SCORE"), [1]!hcahps[HCAHPS Linear Mean Value]), "No Match")</f>
        <v>82</v>
      </c>
      <c r="F3269" cm="1">
        <f t="array" ref="F3269">_xlfn.IFNA(_xlfn.XLOOKUP(1,([1]!readmissions[Facility ID] = clean[[#This Row],[Facility ID]]) * ([1]!readmissions[Measure ID] = "Hybrid_HWR"), [1]!readmissions[Score]), "No Match")</f>
        <v>15.6</v>
      </c>
    </row>
    <row r="3270" spans="1:6" x14ac:dyDescent="0.2">
      <c r="A3270">
        <f>[1]!hospitalinfo[[#This Row],[Facility ID]]</f>
        <v>310130</v>
      </c>
      <c r="B3270" t="str">
        <f>[1]!hospitalinfo[[#This Row],[State]]</f>
        <v>NJ</v>
      </c>
      <c r="C3270" t="str">
        <f>[1]!hospitalinfo[[#This Row],[Hospital Type]]</f>
        <v>Acute Care Hospitals</v>
      </c>
      <c r="D3270" t="str">
        <f>[1]!hospitalinfo[[#This Row],[Hospital Ownership]]</f>
        <v>Proprietary</v>
      </c>
      <c r="E3270" cm="1">
        <f t="array" ref="E3270">_xlfn.IFNA(_xlfn.XLOOKUP(1,([1]!hcahps[Facility ID] = clean[[#This Row],[Facility ID]]) * ([1]!hcahps[HCAHPS Measure ID] = "H_HSP_RATING_LINEAR_SCORE"), [1]!hcahps[HCAHPS Linear Mean Value]), "No Match")</f>
        <v>87</v>
      </c>
      <c r="F3270" cm="1">
        <f t="array" ref="F3270">_xlfn.IFNA(_xlfn.XLOOKUP(1,([1]!readmissions[Facility ID] = clean[[#This Row],[Facility ID]]) * ([1]!readmissions[Measure ID] = "Hybrid_HWR"), [1]!readmissions[Score]), "No Match")</f>
        <v>15.4</v>
      </c>
    </row>
    <row r="3271" spans="1:6" x14ac:dyDescent="0.2">
      <c r="A3271">
        <f>[1]!hospitalinfo[[#This Row],[Facility ID]]</f>
        <v>312024</v>
      </c>
      <c r="B3271" t="str">
        <f>[1]!hospitalinfo[[#This Row],[State]]</f>
        <v>NJ</v>
      </c>
      <c r="C3271" t="str">
        <f>[1]!hospitalinfo[[#This Row],[Hospital Type]]</f>
        <v>Long-term</v>
      </c>
      <c r="D3271" t="str">
        <f>[1]!hospitalinfo[[#This Row],[Hospital Ownership]]</f>
        <v>Voluntary non-profit - Church</v>
      </c>
      <c r="E3271" t="str" cm="1">
        <f t="array" ref="E3271">_xlfn.IFNA(_xlfn.XLOOKUP(1,([1]!hcahps[Facility ID] = clean[[#This Row],[Facility ID]]) * ([1]!hcahps[HCAHPS Measure ID] = "H_HSP_RATING_LINEAR_SCORE"), [1]!hcahps[HCAHPS Linear Mean Value]), "No Match")</f>
        <v>No Match</v>
      </c>
      <c r="F3271" t="str" cm="1">
        <f t="array" ref="F3271">_xlfn.IFNA(_xlfn.XLOOKUP(1,([1]!readmissions[Facility ID] = clean[[#This Row],[Facility ID]]) * ([1]!readmissions[Measure ID] = "Hybrid_HWR"), [1]!readmissions[Score]), "No Match")</f>
        <v>No Match</v>
      </c>
    </row>
    <row r="3272" spans="1:6" x14ac:dyDescent="0.2">
      <c r="A3272">
        <f>[1]!hospitalinfo[[#This Row],[Facility ID]]</f>
        <v>313300</v>
      </c>
      <c r="B3272" t="str">
        <f>[1]!hospitalinfo[[#This Row],[State]]</f>
        <v>NJ</v>
      </c>
      <c r="C3272" t="str">
        <f>[1]!hospitalinfo[[#This Row],[Hospital Type]]</f>
        <v>Childrens</v>
      </c>
      <c r="D3272" t="str">
        <f>[1]!hospitalinfo[[#This Row],[Hospital Ownership]]</f>
        <v>Voluntary non-profit - Private</v>
      </c>
      <c r="E3272" t="str" cm="1">
        <f t="array" ref="E3272">_xlfn.IFNA(_xlfn.XLOOKUP(1,([1]!hcahps[Facility ID] = clean[[#This Row],[Facility ID]]) * ([1]!hcahps[HCAHPS Measure ID] = "H_HSP_RATING_LINEAR_SCORE"), [1]!hcahps[HCAHPS Linear Mean Value]), "No Match")</f>
        <v>Not Available</v>
      </c>
      <c r="F3272" t="str" cm="1">
        <f t="array" ref="F3272">_xlfn.IFNA(_xlfn.XLOOKUP(1,([1]!readmissions[Facility ID] = clean[[#This Row],[Facility ID]]) * ([1]!readmissions[Measure ID] = "Hybrid_HWR"), [1]!readmissions[Score]), "No Match")</f>
        <v>Not Available</v>
      </c>
    </row>
    <row r="3273" spans="1:6" x14ac:dyDescent="0.2">
      <c r="A3273">
        <f>[1]!hospitalinfo[[#This Row],[Facility ID]]</f>
        <v>313302</v>
      </c>
      <c r="B3273" t="str">
        <f>[1]!hospitalinfo[[#This Row],[State]]</f>
        <v>NJ</v>
      </c>
      <c r="C3273" t="str">
        <f>[1]!hospitalinfo[[#This Row],[Hospital Type]]</f>
        <v>Childrens</v>
      </c>
      <c r="D3273" t="str">
        <f>[1]!hospitalinfo[[#This Row],[Hospital Ownership]]</f>
        <v>Proprietary</v>
      </c>
      <c r="E3273" t="str" cm="1">
        <f t="array" ref="E3273">_xlfn.IFNA(_xlfn.XLOOKUP(1,([1]!hcahps[Facility ID] = clean[[#This Row],[Facility ID]]) * ([1]!hcahps[HCAHPS Measure ID] = "H_HSP_RATING_LINEAR_SCORE"), [1]!hcahps[HCAHPS Linear Mean Value]), "No Match")</f>
        <v>Not Available</v>
      </c>
      <c r="F3273" t="str" cm="1">
        <f t="array" ref="F3273">_xlfn.IFNA(_xlfn.XLOOKUP(1,([1]!readmissions[Facility ID] = clean[[#This Row],[Facility ID]]) * ([1]!readmissions[Measure ID] = "Hybrid_HWR"), [1]!readmissions[Score]), "No Match")</f>
        <v>Not Available</v>
      </c>
    </row>
    <row r="3274" spans="1:6" x14ac:dyDescent="0.2">
      <c r="A3274">
        <f>[1]!hospitalinfo[[#This Row],[Facility ID]]</f>
        <v>314001</v>
      </c>
      <c r="B3274" t="str">
        <f>[1]!hospitalinfo[[#This Row],[State]]</f>
        <v>NJ</v>
      </c>
      <c r="C3274" t="str">
        <f>[1]!hospitalinfo[[#This Row],[Hospital Type]]</f>
        <v>Psychiatric</v>
      </c>
      <c r="D3274" t="str">
        <f>[1]!hospitalinfo[[#This Row],[Hospital Ownership]]</f>
        <v>Voluntary non-profit - Other</v>
      </c>
      <c r="E3274" t="str" cm="1">
        <f t="array" ref="E3274">_xlfn.IFNA(_xlfn.XLOOKUP(1,([1]!hcahps[Facility ID] = clean[[#This Row],[Facility ID]]) * ([1]!hcahps[HCAHPS Measure ID] = "H_HSP_RATING_LINEAR_SCORE"), [1]!hcahps[HCAHPS Linear Mean Value]), "No Match")</f>
        <v>No Match</v>
      </c>
      <c r="F3274" t="str" cm="1">
        <f t="array" ref="F3274">_xlfn.IFNA(_xlfn.XLOOKUP(1,([1]!readmissions[Facility ID] = clean[[#This Row],[Facility ID]]) * ([1]!readmissions[Measure ID] = "Hybrid_HWR"), [1]!readmissions[Score]), "No Match")</f>
        <v>No Match</v>
      </c>
    </row>
    <row r="3275" spans="1:6" x14ac:dyDescent="0.2">
      <c r="A3275">
        <f>[1]!hospitalinfo[[#This Row],[Facility ID]]</f>
        <v>314005</v>
      </c>
      <c r="B3275" t="str">
        <f>[1]!hospitalinfo[[#This Row],[State]]</f>
        <v>NJ</v>
      </c>
      <c r="C3275" t="str">
        <f>[1]!hospitalinfo[[#This Row],[Hospital Type]]</f>
        <v>Psychiatric</v>
      </c>
      <c r="D3275" t="str">
        <f>[1]!hospitalinfo[[#This Row],[Hospital Ownership]]</f>
        <v>Voluntary non-profit - Other</v>
      </c>
      <c r="E3275" t="str" cm="1">
        <f t="array" ref="E3275">_xlfn.IFNA(_xlfn.XLOOKUP(1,([1]!hcahps[Facility ID] = clean[[#This Row],[Facility ID]]) * ([1]!hcahps[HCAHPS Measure ID] = "H_HSP_RATING_LINEAR_SCORE"), [1]!hcahps[HCAHPS Linear Mean Value]), "No Match")</f>
        <v>No Match</v>
      </c>
      <c r="F3275" t="str" cm="1">
        <f t="array" ref="F3275">_xlfn.IFNA(_xlfn.XLOOKUP(1,([1]!readmissions[Facility ID] = clean[[#This Row],[Facility ID]]) * ([1]!readmissions[Measure ID] = "Hybrid_HWR"), [1]!readmissions[Score]), "No Match")</f>
        <v>No Match</v>
      </c>
    </row>
    <row r="3276" spans="1:6" x14ac:dyDescent="0.2">
      <c r="A3276">
        <f>[1]!hospitalinfo[[#This Row],[Facility ID]]</f>
        <v>314011</v>
      </c>
      <c r="B3276" t="str">
        <f>[1]!hospitalinfo[[#This Row],[State]]</f>
        <v>NJ</v>
      </c>
      <c r="C3276" t="str">
        <f>[1]!hospitalinfo[[#This Row],[Hospital Type]]</f>
        <v>Psychiatric</v>
      </c>
      <c r="D3276" t="str">
        <f>[1]!hospitalinfo[[#This Row],[Hospital Ownership]]</f>
        <v>Government - State</v>
      </c>
      <c r="E3276" t="str" cm="1">
        <f t="array" ref="E3276">_xlfn.IFNA(_xlfn.XLOOKUP(1,([1]!hcahps[Facility ID] = clean[[#This Row],[Facility ID]]) * ([1]!hcahps[HCAHPS Measure ID] = "H_HSP_RATING_LINEAR_SCORE"), [1]!hcahps[HCAHPS Linear Mean Value]), "No Match")</f>
        <v>No Match</v>
      </c>
      <c r="F3276" t="str" cm="1">
        <f t="array" ref="F3276">_xlfn.IFNA(_xlfn.XLOOKUP(1,([1]!readmissions[Facility ID] = clean[[#This Row],[Facility ID]]) * ([1]!readmissions[Measure ID] = "Hybrid_HWR"), [1]!readmissions[Score]), "No Match")</f>
        <v>No Match</v>
      </c>
    </row>
    <row r="3277" spans="1:6" x14ac:dyDescent="0.2">
      <c r="A3277">
        <f>[1]!hospitalinfo[[#This Row],[Facility ID]]</f>
        <v>314012</v>
      </c>
      <c r="B3277" t="str">
        <f>[1]!hospitalinfo[[#This Row],[State]]</f>
        <v>NJ</v>
      </c>
      <c r="C3277" t="str">
        <f>[1]!hospitalinfo[[#This Row],[Hospital Type]]</f>
        <v>Psychiatric</v>
      </c>
      <c r="D3277" t="str">
        <f>[1]!hospitalinfo[[#This Row],[Hospital Ownership]]</f>
        <v>Voluntary non-profit - Private</v>
      </c>
      <c r="E3277" t="str" cm="1">
        <f t="array" ref="E3277">_xlfn.IFNA(_xlfn.XLOOKUP(1,([1]!hcahps[Facility ID] = clean[[#This Row],[Facility ID]]) * ([1]!hcahps[HCAHPS Measure ID] = "H_HSP_RATING_LINEAR_SCORE"), [1]!hcahps[HCAHPS Linear Mean Value]), "No Match")</f>
        <v>No Match</v>
      </c>
      <c r="F3277" t="str" cm="1">
        <f t="array" ref="F3277">_xlfn.IFNA(_xlfn.XLOOKUP(1,([1]!readmissions[Facility ID] = clean[[#This Row],[Facility ID]]) * ([1]!readmissions[Measure ID] = "Hybrid_HWR"), [1]!readmissions[Score]), "No Match")</f>
        <v>No Match</v>
      </c>
    </row>
    <row r="3278" spans="1:6" x14ac:dyDescent="0.2">
      <c r="A3278">
        <f>[1]!hospitalinfo[[#This Row],[Facility ID]]</f>
        <v>314013</v>
      </c>
      <c r="B3278" t="str">
        <f>[1]!hospitalinfo[[#This Row],[State]]</f>
        <v>NJ</v>
      </c>
      <c r="C3278" t="str">
        <f>[1]!hospitalinfo[[#This Row],[Hospital Type]]</f>
        <v>Psychiatric</v>
      </c>
      <c r="D3278" t="str">
        <f>[1]!hospitalinfo[[#This Row],[Hospital Ownership]]</f>
        <v>Government - State</v>
      </c>
      <c r="E3278" t="str" cm="1">
        <f t="array" ref="E3278">_xlfn.IFNA(_xlfn.XLOOKUP(1,([1]!hcahps[Facility ID] = clean[[#This Row],[Facility ID]]) * ([1]!hcahps[HCAHPS Measure ID] = "H_HSP_RATING_LINEAR_SCORE"), [1]!hcahps[HCAHPS Linear Mean Value]), "No Match")</f>
        <v>No Match</v>
      </c>
      <c r="F3278" t="str" cm="1">
        <f t="array" ref="F3278">_xlfn.IFNA(_xlfn.XLOOKUP(1,([1]!readmissions[Facility ID] = clean[[#This Row],[Facility ID]]) * ([1]!readmissions[Measure ID] = "Hybrid_HWR"), [1]!readmissions[Score]), "No Match")</f>
        <v>No Match</v>
      </c>
    </row>
    <row r="3279" spans="1:6" x14ac:dyDescent="0.2">
      <c r="A3279">
        <f>[1]!hospitalinfo[[#This Row],[Facility ID]]</f>
        <v>314016</v>
      </c>
      <c r="B3279" t="str">
        <f>[1]!hospitalinfo[[#This Row],[State]]</f>
        <v>NJ</v>
      </c>
      <c r="C3279" t="str">
        <f>[1]!hospitalinfo[[#This Row],[Hospital Type]]</f>
        <v>Psychiatric</v>
      </c>
      <c r="D3279" t="str">
        <f>[1]!hospitalinfo[[#This Row],[Hospital Ownership]]</f>
        <v>Government - State</v>
      </c>
      <c r="E3279" t="str" cm="1">
        <f t="array" ref="E3279">_xlfn.IFNA(_xlfn.XLOOKUP(1,([1]!hcahps[Facility ID] = clean[[#This Row],[Facility ID]]) * ([1]!hcahps[HCAHPS Measure ID] = "H_HSP_RATING_LINEAR_SCORE"), [1]!hcahps[HCAHPS Linear Mean Value]), "No Match")</f>
        <v>No Match</v>
      </c>
      <c r="F3279" t="str" cm="1">
        <f t="array" ref="F3279">_xlfn.IFNA(_xlfn.XLOOKUP(1,([1]!readmissions[Facility ID] = clean[[#This Row],[Facility ID]]) * ([1]!readmissions[Measure ID] = "Hybrid_HWR"), [1]!readmissions[Score]), "No Match")</f>
        <v>No Match</v>
      </c>
    </row>
    <row r="3280" spans="1:6" x14ac:dyDescent="0.2">
      <c r="A3280">
        <f>[1]!hospitalinfo[[#This Row],[Facility ID]]</f>
        <v>314018</v>
      </c>
      <c r="B3280" t="str">
        <f>[1]!hospitalinfo[[#This Row],[State]]</f>
        <v>NJ</v>
      </c>
      <c r="C3280" t="str">
        <f>[1]!hospitalinfo[[#This Row],[Hospital Type]]</f>
        <v>Psychiatric</v>
      </c>
      <c r="D3280" t="str">
        <f>[1]!hospitalinfo[[#This Row],[Hospital Ownership]]</f>
        <v>Proprietary</v>
      </c>
      <c r="E3280" t="str" cm="1">
        <f t="array" ref="E3280">_xlfn.IFNA(_xlfn.XLOOKUP(1,([1]!hcahps[Facility ID] = clean[[#This Row],[Facility ID]]) * ([1]!hcahps[HCAHPS Measure ID] = "H_HSP_RATING_LINEAR_SCORE"), [1]!hcahps[HCAHPS Linear Mean Value]), "No Match")</f>
        <v>No Match</v>
      </c>
      <c r="F3280" t="str" cm="1">
        <f t="array" ref="F3280">_xlfn.IFNA(_xlfn.XLOOKUP(1,([1]!readmissions[Facility ID] = clean[[#This Row],[Facility ID]]) * ([1]!readmissions[Measure ID] = "Hybrid_HWR"), [1]!readmissions[Score]), "No Match")</f>
        <v>No Match</v>
      </c>
    </row>
    <row r="3281" spans="1:6" x14ac:dyDescent="0.2">
      <c r="A3281">
        <f>[1]!hospitalinfo[[#This Row],[Facility ID]]</f>
        <v>314019</v>
      </c>
      <c r="B3281" t="str">
        <f>[1]!hospitalinfo[[#This Row],[State]]</f>
        <v>NJ</v>
      </c>
      <c r="C3281" t="str">
        <f>[1]!hospitalinfo[[#This Row],[Hospital Type]]</f>
        <v>Psychiatric</v>
      </c>
      <c r="D3281" t="str">
        <f>[1]!hospitalinfo[[#This Row],[Hospital Ownership]]</f>
        <v>Voluntary non-profit - Private</v>
      </c>
      <c r="E3281" t="str" cm="1">
        <f t="array" ref="E3281">_xlfn.IFNA(_xlfn.XLOOKUP(1,([1]!hcahps[Facility ID] = clean[[#This Row],[Facility ID]]) * ([1]!hcahps[HCAHPS Measure ID] = "H_HSP_RATING_LINEAR_SCORE"), [1]!hcahps[HCAHPS Linear Mean Value]), "No Match")</f>
        <v>No Match</v>
      </c>
      <c r="F3281" t="str" cm="1">
        <f t="array" ref="F3281">_xlfn.IFNA(_xlfn.XLOOKUP(1,([1]!readmissions[Facility ID] = clean[[#This Row],[Facility ID]]) * ([1]!readmissions[Measure ID] = "Hybrid_HWR"), [1]!readmissions[Score]), "No Match")</f>
        <v>No Match</v>
      </c>
    </row>
    <row r="3282" spans="1:6" x14ac:dyDescent="0.2">
      <c r="A3282">
        <f>[1]!hospitalinfo[[#This Row],[Facility ID]]</f>
        <v>314020</v>
      </c>
      <c r="B3282" t="str">
        <f>[1]!hospitalinfo[[#This Row],[State]]</f>
        <v>NJ</v>
      </c>
      <c r="C3282" t="str">
        <f>[1]!hospitalinfo[[#This Row],[Hospital Type]]</f>
        <v>Psychiatric</v>
      </c>
      <c r="D3282" t="str">
        <f>[1]!hospitalinfo[[#This Row],[Hospital Ownership]]</f>
        <v>Government - Local</v>
      </c>
      <c r="E3282" t="str" cm="1">
        <f t="array" ref="E3282">_xlfn.IFNA(_xlfn.XLOOKUP(1,([1]!hcahps[Facility ID] = clean[[#This Row],[Facility ID]]) * ([1]!hcahps[HCAHPS Measure ID] = "H_HSP_RATING_LINEAR_SCORE"), [1]!hcahps[HCAHPS Linear Mean Value]), "No Match")</f>
        <v>No Match</v>
      </c>
      <c r="F3282" t="str" cm="1">
        <f t="array" ref="F3282">_xlfn.IFNA(_xlfn.XLOOKUP(1,([1]!readmissions[Facility ID] = clean[[#This Row],[Facility ID]]) * ([1]!readmissions[Measure ID] = "Hybrid_HWR"), [1]!readmissions[Score]), "No Match")</f>
        <v>No Match</v>
      </c>
    </row>
    <row r="3283" spans="1:6" x14ac:dyDescent="0.2">
      <c r="A3283">
        <f>[1]!hospitalinfo[[#This Row],[Facility ID]]</f>
        <v>314021</v>
      </c>
      <c r="B3283" t="str">
        <f>[1]!hospitalinfo[[#This Row],[State]]</f>
        <v>NJ</v>
      </c>
      <c r="C3283" t="str">
        <f>[1]!hospitalinfo[[#This Row],[Hospital Type]]</f>
        <v>Psychiatric</v>
      </c>
      <c r="D3283" t="str">
        <f>[1]!hospitalinfo[[#This Row],[Hospital Ownership]]</f>
        <v>Proprietary</v>
      </c>
      <c r="E3283" t="str" cm="1">
        <f t="array" ref="E3283">_xlfn.IFNA(_xlfn.XLOOKUP(1,([1]!hcahps[Facility ID] = clean[[#This Row],[Facility ID]]) * ([1]!hcahps[HCAHPS Measure ID] = "H_HSP_RATING_LINEAR_SCORE"), [1]!hcahps[HCAHPS Linear Mean Value]), "No Match")</f>
        <v>No Match</v>
      </c>
      <c r="F3283" t="str" cm="1">
        <f t="array" ref="F3283">_xlfn.IFNA(_xlfn.XLOOKUP(1,([1]!readmissions[Facility ID] = clean[[#This Row],[Facility ID]]) * ([1]!readmissions[Measure ID] = "Hybrid_HWR"), [1]!readmissions[Score]), "No Match")</f>
        <v>No Match</v>
      </c>
    </row>
    <row r="3284" spans="1:6" x14ac:dyDescent="0.2">
      <c r="A3284">
        <f>[1]!hospitalinfo[[#This Row],[Facility ID]]</f>
        <v>314022</v>
      </c>
      <c r="B3284" t="str">
        <f>[1]!hospitalinfo[[#This Row],[State]]</f>
        <v>NJ</v>
      </c>
      <c r="C3284" t="str">
        <f>[1]!hospitalinfo[[#This Row],[Hospital Type]]</f>
        <v>Psychiatric</v>
      </c>
      <c r="D3284" t="str">
        <f>[1]!hospitalinfo[[#This Row],[Hospital Ownership]]</f>
        <v>Voluntary non-profit - Private</v>
      </c>
      <c r="E3284" t="str" cm="1">
        <f t="array" ref="E3284">_xlfn.IFNA(_xlfn.XLOOKUP(1,([1]!hcahps[Facility ID] = clean[[#This Row],[Facility ID]]) * ([1]!hcahps[HCAHPS Measure ID] = "H_HSP_RATING_LINEAR_SCORE"), [1]!hcahps[HCAHPS Linear Mean Value]), "No Match")</f>
        <v>No Match</v>
      </c>
      <c r="F3284" t="str" cm="1">
        <f t="array" ref="F3284">_xlfn.IFNA(_xlfn.XLOOKUP(1,([1]!readmissions[Facility ID] = clean[[#This Row],[Facility ID]]) * ([1]!readmissions[Measure ID] = "Hybrid_HWR"), [1]!readmissions[Score]), "No Match")</f>
        <v>No Match</v>
      </c>
    </row>
    <row r="3285" spans="1:6" x14ac:dyDescent="0.2">
      <c r="A3285">
        <f>[1]!hospitalinfo[[#This Row],[Facility ID]]</f>
        <v>314023</v>
      </c>
      <c r="B3285" t="str">
        <f>[1]!hospitalinfo[[#This Row],[State]]</f>
        <v>NJ</v>
      </c>
      <c r="C3285" t="str">
        <f>[1]!hospitalinfo[[#This Row],[Hospital Type]]</f>
        <v>Psychiatric</v>
      </c>
      <c r="D3285" t="str">
        <f>[1]!hospitalinfo[[#This Row],[Hospital Ownership]]</f>
        <v>Proprietary</v>
      </c>
      <c r="E3285" t="str" cm="1">
        <f t="array" ref="E3285">_xlfn.IFNA(_xlfn.XLOOKUP(1,([1]!hcahps[Facility ID] = clean[[#This Row],[Facility ID]]) * ([1]!hcahps[HCAHPS Measure ID] = "H_HSP_RATING_LINEAR_SCORE"), [1]!hcahps[HCAHPS Linear Mean Value]), "No Match")</f>
        <v>No Match</v>
      </c>
      <c r="F3285" t="str" cm="1">
        <f t="array" ref="F3285">_xlfn.IFNA(_xlfn.XLOOKUP(1,([1]!readmissions[Facility ID] = clean[[#This Row],[Facility ID]]) * ([1]!readmissions[Measure ID] = "Hybrid_HWR"), [1]!readmissions[Score]), "No Match")</f>
        <v>No Match</v>
      </c>
    </row>
    <row r="3286" spans="1:6" x14ac:dyDescent="0.2">
      <c r="A3286">
        <f>[1]!hospitalinfo[[#This Row],[Facility ID]]</f>
        <v>314024</v>
      </c>
      <c r="B3286" t="str">
        <f>[1]!hospitalinfo[[#This Row],[State]]</f>
        <v>NJ</v>
      </c>
      <c r="C3286" t="str">
        <f>[1]!hospitalinfo[[#This Row],[Hospital Type]]</f>
        <v>Psychiatric</v>
      </c>
      <c r="D3286" t="str">
        <f>[1]!hospitalinfo[[#This Row],[Hospital Ownership]]</f>
        <v>Government - Local</v>
      </c>
      <c r="E3286" t="str" cm="1">
        <f t="array" ref="E3286">_xlfn.IFNA(_xlfn.XLOOKUP(1,([1]!hcahps[Facility ID] = clean[[#This Row],[Facility ID]]) * ([1]!hcahps[HCAHPS Measure ID] = "H_HSP_RATING_LINEAR_SCORE"), [1]!hcahps[HCAHPS Linear Mean Value]), "No Match")</f>
        <v>No Match</v>
      </c>
      <c r="F3286" t="str" cm="1">
        <f t="array" ref="F3286">_xlfn.IFNA(_xlfn.XLOOKUP(1,([1]!readmissions[Facility ID] = clean[[#This Row],[Facility ID]]) * ([1]!readmissions[Measure ID] = "Hybrid_HWR"), [1]!readmissions[Score]), "No Match")</f>
        <v>No Match</v>
      </c>
    </row>
    <row r="3287" spans="1:6" x14ac:dyDescent="0.2">
      <c r="A3287">
        <f>[1]!hospitalinfo[[#This Row],[Facility ID]]</f>
        <v>314027</v>
      </c>
      <c r="B3287" t="str">
        <f>[1]!hospitalinfo[[#This Row],[State]]</f>
        <v>NJ</v>
      </c>
      <c r="C3287" t="str">
        <f>[1]!hospitalinfo[[#This Row],[Hospital Type]]</f>
        <v>Psychiatric</v>
      </c>
      <c r="D3287" t="str">
        <f>[1]!hospitalinfo[[#This Row],[Hospital Ownership]]</f>
        <v>Proprietary</v>
      </c>
      <c r="E3287" t="str" cm="1">
        <f t="array" ref="E3287">_xlfn.IFNA(_xlfn.XLOOKUP(1,([1]!hcahps[Facility ID] = clean[[#This Row],[Facility ID]]) * ([1]!hcahps[HCAHPS Measure ID] = "H_HSP_RATING_LINEAR_SCORE"), [1]!hcahps[HCAHPS Linear Mean Value]), "No Match")</f>
        <v>No Match</v>
      </c>
      <c r="F3287" t="str" cm="1">
        <f t="array" ref="F3287">_xlfn.IFNA(_xlfn.XLOOKUP(1,([1]!readmissions[Facility ID] = clean[[#This Row],[Facility ID]]) * ([1]!readmissions[Measure ID] = "Hybrid_HWR"), [1]!readmissions[Score]), "No Match")</f>
        <v>No Match</v>
      </c>
    </row>
    <row r="3288" spans="1:6" x14ac:dyDescent="0.2">
      <c r="A3288" t="str">
        <f>[1]!hospitalinfo[[#This Row],[Facility ID]]</f>
        <v>31001F</v>
      </c>
      <c r="B3288" t="str">
        <f>[1]!hospitalinfo[[#This Row],[State]]</f>
        <v>NJ</v>
      </c>
      <c r="C3288" t="str">
        <f>[1]!hospitalinfo[[#This Row],[Hospital Type]]</f>
        <v>Acute Care - Veterans Administration</v>
      </c>
      <c r="D3288" t="str">
        <f>[1]!hospitalinfo[[#This Row],[Hospital Ownership]]</f>
        <v>Veterans Health Administration</v>
      </c>
      <c r="E3288" cm="1">
        <f t="array" ref="E3288">_xlfn.IFNA(_xlfn.XLOOKUP(1,([1]!hcahps[Facility ID] = clean[[#This Row],[Facility ID]]) * ([1]!hcahps[HCAHPS Measure ID] = "H_HSP_RATING_LINEAR_SCORE"), [1]!hcahps[HCAHPS Linear Mean Value]), "No Match")</f>
        <v>86</v>
      </c>
      <c r="F3288" cm="1">
        <f t="array" ref="F3288">_xlfn.IFNA(_xlfn.XLOOKUP(1,([1]!readmissions[Facility ID] = clean[[#This Row],[Facility ID]]) * ([1]!readmissions[Measure ID] = "Hybrid_HWR"), [1]!readmissions[Score]), "No Match")</f>
        <v>16.7</v>
      </c>
    </row>
    <row r="3289" spans="1:6" x14ac:dyDescent="0.2">
      <c r="A3289">
        <f>[1]!hospitalinfo[[#This Row],[Facility ID]]</f>
        <v>320001</v>
      </c>
      <c r="B3289" t="str">
        <f>[1]!hospitalinfo[[#This Row],[State]]</f>
        <v>NM</v>
      </c>
      <c r="C3289" t="str">
        <f>[1]!hospitalinfo[[#This Row],[Hospital Type]]</f>
        <v>Acute Care Hospitals</v>
      </c>
      <c r="D3289" t="str">
        <f>[1]!hospitalinfo[[#This Row],[Hospital Ownership]]</f>
        <v>Government - State</v>
      </c>
      <c r="E3289" cm="1">
        <f t="array" ref="E3289">_xlfn.IFNA(_xlfn.XLOOKUP(1,([1]!hcahps[Facility ID] = clean[[#This Row],[Facility ID]]) * ([1]!hcahps[HCAHPS Measure ID] = "H_HSP_RATING_LINEAR_SCORE"), [1]!hcahps[HCAHPS Linear Mean Value]), "No Match")</f>
        <v>85</v>
      </c>
      <c r="F3289" cm="1">
        <f t="array" ref="F3289">_xlfn.IFNA(_xlfn.XLOOKUP(1,([1]!readmissions[Facility ID] = clean[[#This Row],[Facility ID]]) * ([1]!readmissions[Measure ID] = "Hybrid_HWR"), [1]!readmissions[Score]), "No Match")</f>
        <v>15.3</v>
      </c>
    </row>
    <row r="3290" spans="1:6" x14ac:dyDescent="0.2">
      <c r="A3290">
        <f>[1]!hospitalinfo[[#This Row],[Facility ID]]</f>
        <v>320002</v>
      </c>
      <c r="B3290" t="str">
        <f>[1]!hospitalinfo[[#This Row],[State]]</f>
        <v>NM</v>
      </c>
      <c r="C3290" t="str">
        <f>[1]!hospitalinfo[[#This Row],[Hospital Type]]</f>
        <v>Acute Care Hospitals</v>
      </c>
      <c r="D3290" t="str">
        <f>[1]!hospitalinfo[[#This Row],[Hospital Ownership]]</f>
        <v>Voluntary non-profit - Private</v>
      </c>
      <c r="E3290" cm="1">
        <f t="array" ref="E3290">_xlfn.IFNA(_xlfn.XLOOKUP(1,([1]!hcahps[Facility ID] = clean[[#This Row],[Facility ID]]) * ([1]!hcahps[HCAHPS Measure ID] = "H_HSP_RATING_LINEAR_SCORE"), [1]!hcahps[HCAHPS Linear Mean Value]), "No Match")</f>
        <v>88</v>
      </c>
      <c r="F3290" cm="1">
        <f t="array" ref="F3290">_xlfn.IFNA(_xlfn.XLOOKUP(1,([1]!readmissions[Facility ID] = clean[[#This Row],[Facility ID]]) * ([1]!readmissions[Measure ID] = "Hybrid_HWR"), [1]!readmissions[Score]), "No Match")</f>
        <v>13.7</v>
      </c>
    </row>
    <row r="3291" spans="1:6" x14ac:dyDescent="0.2">
      <c r="A3291">
        <f>[1]!hospitalinfo[[#This Row],[Facility ID]]</f>
        <v>320004</v>
      </c>
      <c r="B3291" t="str">
        <f>[1]!hospitalinfo[[#This Row],[State]]</f>
        <v>NM</v>
      </c>
      <c r="C3291" t="str">
        <f>[1]!hospitalinfo[[#This Row],[Hospital Type]]</f>
        <v>Acute Care Hospitals</v>
      </c>
      <c r="D3291" t="str">
        <f>[1]!hospitalinfo[[#This Row],[Hospital Ownership]]</f>
        <v>Voluntary non-profit - Private</v>
      </c>
      <c r="E3291" cm="1">
        <f t="array" ref="E3291">_xlfn.IFNA(_xlfn.XLOOKUP(1,([1]!hcahps[Facility ID] = clean[[#This Row],[Facility ID]]) * ([1]!hcahps[HCAHPS Measure ID] = "H_HSP_RATING_LINEAR_SCORE"), [1]!hcahps[HCAHPS Linear Mean Value]), "No Match")</f>
        <v>87</v>
      </c>
      <c r="F3291" cm="1">
        <f t="array" ref="F3291">_xlfn.IFNA(_xlfn.XLOOKUP(1,([1]!readmissions[Facility ID] = clean[[#This Row],[Facility ID]]) * ([1]!readmissions[Measure ID] = "Hybrid_HWR"), [1]!readmissions[Score]), "No Match")</f>
        <v>15.3</v>
      </c>
    </row>
    <row r="3292" spans="1:6" x14ac:dyDescent="0.2">
      <c r="A3292">
        <f>[1]!hospitalinfo[[#This Row],[Facility ID]]</f>
        <v>320005</v>
      </c>
      <c r="B3292" t="str">
        <f>[1]!hospitalinfo[[#This Row],[State]]</f>
        <v>NM</v>
      </c>
      <c r="C3292" t="str">
        <f>[1]!hospitalinfo[[#This Row],[Hospital Type]]</f>
        <v>Acute Care Hospitals</v>
      </c>
      <c r="D3292" t="str">
        <f>[1]!hospitalinfo[[#This Row],[Hospital Ownership]]</f>
        <v>Voluntary non-profit - Private</v>
      </c>
      <c r="E3292" cm="1">
        <f t="array" ref="E3292">_xlfn.IFNA(_xlfn.XLOOKUP(1,([1]!hcahps[Facility ID] = clean[[#This Row],[Facility ID]]) * ([1]!hcahps[HCAHPS Measure ID] = "H_HSP_RATING_LINEAR_SCORE"), [1]!hcahps[HCAHPS Linear Mean Value]), "No Match")</f>
        <v>84</v>
      </c>
      <c r="F3292" cm="1">
        <f t="array" ref="F3292">_xlfn.IFNA(_xlfn.XLOOKUP(1,([1]!readmissions[Facility ID] = clean[[#This Row],[Facility ID]]) * ([1]!readmissions[Measure ID] = "Hybrid_HWR"), [1]!readmissions[Score]), "No Match")</f>
        <v>15.2</v>
      </c>
    </row>
    <row r="3293" spans="1:6" x14ac:dyDescent="0.2">
      <c r="A3293">
        <f>[1]!hospitalinfo[[#This Row],[Facility ID]]</f>
        <v>320006</v>
      </c>
      <c r="B3293" t="str">
        <f>[1]!hospitalinfo[[#This Row],[State]]</f>
        <v>NM</v>
      </c>
      <c r="C3293" t="str">
        <f>[1]!hospitalinfo[[#This Row],[Hospital Type]]</f>
        <v>Acute Care Hospitals</v>
      </c>
      <c r="D3293" t="str">
        <f>[1]!hospitalinfo[[#This Row],[Hospital Ownership]]</f>
        <v>Proprietary</v>
      </c>
      <c r="E3293" cm="1">
        <f t="array" ref="E3293">_xlfn.IFNA(_xlfn.XLOOKUP(1,([1]!hcahps[Facility ID] = clean[[#This Row],[Facility ID]]) * ([1]!hcahps[HCAHPS Measure ID] = "H_HSP_RATING_LINEAR_SCORE"), [1]!hcahps[HCAHPS Linear Mean Value]), "No Match")</f>
        <v>82</v>
      </c>
      <c r="F3293" cm="1">
        <f t="array" ref="F3293">_xlfn.IFNA(_xlfn.XLOOKUP(1,([1]!readmissions[Facility ID] = clean[[#This Row],[Facility ID]]) * ([1]!readmissions[Measure ID] = "Hybrid_HWR"), [1]!readmissions[Score]), "No Match")</f>
        <v>15.3</v>
      </c>
    </row>
    <row r="3294" spans="1:6" x14ac:dyDescent="0.2">
      <c r="A3294">
        <f>[1]!hospitalinfo[[#This Row],[Facility ID]]</f>
        <v>320009</v>
      </c>
      <c r="B3294" t="str">
        <f>[1]!hospitalinfo[[#This Row],[State]]</f>
        <v>NM</v>
      </c>
      <c r="C3294" t="str">
        <f>[1]!hospitalinfo[[#This Row],[Hospital Type]]</f>
        <v>Acute Care Hospitals</v>
      </c>
      <c r="D3294" t="str">
        <f>[1]!hospitalinfo[[#This Row],[Hospital Ownership]]</f>
        <v>Proprietary</v>
      </c>
      <c r="E3294" cm="1">
        <f t="array" ref="E3294">_xlfn.IFNA(_xlfn.XLOOKUP(1,([1]!hcahps[Facility ID] = clean[[#This Row],[Facility ID]]) * ([1]!hcahps[HCAHPS Measure ID] = "H_HSP_RATING_LINEAR_SCORE"), [1]!hcahps[HCAHPS Linear Mean Value]), "No Match")</f>
        <v>86</v>
      </c>
      <c r="F3294" cm="1">
        <f t="array" ref="F3294">_xlfn.IFNA(_xlfn.XLOOKUP(1,([1]!readmissions[Facility ID] = clean[[#This Row],[Facility ID]]) * ([1]!readmissions[Measure ID] = "Hybrid_HWR"), [1]!readmissions[Score]), "No Match")</f>
        <v>14.9</v>
      </c>
    </row>
    <row r="3295" spans="1:6" x14ac:dyDescent="0.2">
      <c r="A3295">
        <f>[1]!hospitalinfo[[#This Row],[Facility ID]]</f>
        <v>320011</v>
      </c>
      <c r="B3295" t="str">
        <f>[1]!hospitalinfo[[#This Row],[State]]</f>
        <v>NM</v>
      </c>
      <c r="C3295" t="str">
        <f>[1]!hospitalinfo[[#This Row],[Hospital Type]]</f>
        <v>Acute Care Hospitals</v>
      </c>
      <c r="D3295" t="str">
        <f>[1]!hospitalinfo[[#This Row],[Hospital Ownership]]</f>
        <v>Voluntary non-profit - Private</v>
      </c>
      <c r="E3295" cm="1">
        <f t="array" ref="E3295">_xlfn.IFNA(_xlfn.XLOOKUP(1,([1]!hcahps[Facility ID] = clean[[#This Row],[Facility ID]]) * ([1]!hcahps[HCAHPS Measure ID] = "H_HSP_RATING_LINEAR_SCORE"), [1]!hcahps[HCAHPS Linear Mean Value]), "No Match")</f>
        <v>91</v>
      </c>
      <c r="F3295" cm="1">
        <f t="array" ref="F3295">_xlfn.IFNA(_xlfn.XLOOKUP(1,([1]!readmissions[Facility ID] = clean[[#This Row],[Facility ID]]) * ([1]!readmissions[Measure ID] = "Hybrid_HWR"), [1]!readmissions[Score]), "No Match")</f>
        <v>14.2</v>
      </c>
    </row>
    <row r="3296" spans="1:6" x14ac:dyDescent="0.2">
      <c r="A3296">
        <f>[1]!hospitalinfo[[#This Row],[Facility ID]]</f>
        <v>320017</v>
      </c>
      <c r="B3296" t="str">
        <f>[1]!hospitalinfo[[#This Row],[State]]</f>
        <v>NM</v>
      </c>
      <c r="C3296" t="str">
        <f>[1]!hospitalinfo[[#This Row],[Hospital Type]]</f>
        <v>Acute Care Hospitals</v>
      </c>
      <c r="D3296" t="str">
        <f>[1]!hospitalinfo[[#This Row],[Hospital Ownership]]</f>
        <v>Proprietary</v>
      </c>
      <c r="E3296" cm="1">
        <f t="array" ref="E3296">_xlfn.IFNA(_xlfn.XLOOKUP(1,([1]!hcahps[Facility ID] = clean[[#This Row],[Facility ID]]) * ([1]!hcahps[HCAHPS Measure ID] = "H_HSP_RATING_LINEAR_SCORE"), [1]!hcahps[HCAHPS Linear Mean Value]), "No Match")</f>
        <v>84</v>
      </c>
      <c r="F3296" cm="1">
        <f t="array" ref="F3296">_xlfn.IFNA(_xlfn.XLOOKUP(1,([1]!readmissions[Facility ID] = clean[[#This Row],[Facility ID]]) * ([1]!readmissions[Measure ID] = "Hybrid_HWR"), [1]!readmissions[Score]), "No Match")</f>
        <v>14</v>
      </c>
    </row>
    <row r="3297" spans="1:6" x14ac:dyDescent="0.2">
      <c r="A3297">
        <f>[1]!hospitalinfo[[#This Row],[Facility ID]]</f>
        <v>320018</v>
      </c>
      <c r="B3297" t="str">
        <f>[1]!hospitalinfo[[#This Row],[State]]</f>
        <v>NM</v>
      </c>
      <c r="C3297" t="str">
        <f>[1]!hospitalinfo[[#This Row],[Hospital Type]]</f>
        <v>Acute Care Hospitals</v>
      </c>
      <c r="D3297" t="str">
        <f>[1]!hospitalinfo[[#This Row],[Hospital Ownership]]</f>
        <v>Proprietary</v>
      </c>
      <c r="E3297" cm="1">
        <f t="array" ref="E3297">_xlfn.IFNA(_xlfn.XLOOKUP(1,([1]!hcahps[Facility ID] = clean[[#This Row],[Facility ID]]) * ([1]!hcahps[HCAHPS Measure ID] = "H_HSP_RATING_LINEAR_SCORE"), [1]!hcahps[HCAHPS Linear Mean Value]), "No Match")</f>
        <v>83</v>
      </c>
      <c r="F3297" cm="1">
        <f t="array" ref="F3297">_xlfn.IFNA(_xlfn.XLOOKUP(1,([1]!readmissions[Facility ID] = clean[[#This Row],[Facility ID]]) * ([1]!readmissions[Measure ID] = "Hybrid_HWR"), [1]!readmissions[Score]), "No Match")</f>
        <v>15.4</v>
      </c>
    </row>
    <row r="3298" spans="1:6" x14ac:dyDescent="0.2">
      <c r="A3298">
        <f>[1]!hospitalinfo[[#This Row],[Facility ID]]</f>
        <v>320021</v>
      </c>
      <c r="B3298" t="str">
        <f>[1]!hospitalinfo[[#This Row],[State]]</f>
        <v>NM</v>
      </c>
      <c r="C3298" t="str">
        <f>[1]!hospitalinfo[[#This Row],[Hospital Type]]</f>
        <v>Acute Care Hospitals</v>
      </c>
      <c r="D3298" t="str">
        <f>[1]!hospitalinfo[[#This Row],[Hospital Ownership]]</f>
        <v>Voluntary non-profit - Private</v>
      </c>
      <c r="E3298" cm="1">
        <f t="array" ref="E3298">_xlfn.IFNA(_xlfn.XLOOKUP(1,([1]!hcahps[Facility ID] = clean[[#This Row],[Facility ID]]) * ([1]!hcahps[HCAHPS Measure ID] = "H_HSP_RATING_LINEAR_SCORE"), [1]!hcahps[HCAHPS Linear Mean Value]), "No Match")</f>
        <v>86</v>
      </c>
      <c r="F3298" cm="1">
        <f t="array" ref="F3298">_xlfn.IFNA(_xlfn.XLOOKUP(1,([1]!readmissions[Facility ID] = clean[[#This Row],[Facility ID]]) * ([1]!readmissions[Measure ID] = "Hybrid_HWR"), [1]!readmissions[Score]), "No Match")</f>
        <v>13.8</v>
      </c>
    </row>
    <row r="3299" spans="1:6" x14ac:dyDescent="0.2">
      <c r="A3299">
        <f>[1]!hospitalinfo[[#This Row],[Facility ID]]</f>
        <v>320022</v>
      </c>
      <c r="B3299" t="str">
        <f>[1]!hospitalinfo[[#This Row],[State]]</f>
        <v>NM</v>
      </c>
      <c r="C3299" t="str">
        <f>[1]!hospitalinfo[[#This Row],[Hospital Type]]</f>
        <v>Acute Care Hospitals</v>
      </c>
      <c r="D3299" t="str">
        <f>[1]!hospitalinfo[[#This Row],[Hospital Ownership]]</f>
        <v>Voluntary non-profit - Private</v>
      </c>
      <c r="E3299" cm="1">
        <f t="array" ref="E3299">_xlfn.IFNA(_xlfn.XLOOKUP(1,([1]!hcahps[Facility ID] = clean[[#This Row],[Facility ID]]) * ([1]!hcahps[HCAHPS Measure ID] = "H_HSP_RATING_LINEAR_SCORE"), [1]!hcahps[HCAHPS Linear Mean Value]), "No Match")</f>
        <v>85</v>
      </c>
      <c r="F3299" cm="1">
        <f t="array" ref="F3299">_xlfn.IFNA(_xlfn.XLOOKUP(1,([1]!readmissions[Facility ID] = clean[[#This Row],[Facility ID]]) * ([1]!readmissions[Measure ID] = "Hybrid_HWR"), [1]!readmissions[Score]), "No Match")</f>
        <v>14.9</v>
      </c>
    </row>
    <row r="3300" spans="1:6" x14ac:dyDescent="0.2">
      <c r="A3300">
        <f>[1]!hospitalinfo[[#This Row],[Facility ID]]</f>
        <v>320030</v>
      </c>
      <c r="B3300" t="str">
        <f>[1]!hospitalinfo[[#This Row],[State]]</f>
        <v>NM</v>
      </c>
      <c r="C3300" t="str">
        <f>[1]!hospitalinfo[[#This Row],[Hospital Type]]</f>
        <v>Acute Care Hospitals</v>
      </c>
      <c r="D3300" t="str">
        <f>[1]!hospitalinfo[[#This Row],[Hospital Ownership]]</f>
        <v>Voluntary non-profit - Private</v>
      </c>
      <c r="E3300" t="str" cm="1">
        <f t="array" ref="E3300">_xlfn.IFNA(_xlfn.XLOOKUP(1,([1]!hcahps[Facility ID] = clean[[#This Row],[Facility ID]]) * ([1]!hcahps[HCAHPS Measure ID] = "H_HSP_RATING_LINEAR_SCORE"), [1]!hcahps[HCAHPS Linear Mean Value]), "No Match")</f>
        <v>Not Available</v>
      </c>
      <c r="F3300" cm="1">
        <f t="array" ref="F3300">_xlfn.IFNA(_xlfn.XLOOKUP(1,([1]!readmissions[Facility ID] = clean[[#This Row],[Facility ID]]) * ([1]!readmissions[Measure ID] = "Hybrid_HWR"), [1]!readmissions[Score]), "No Match")</f>
        <v>15</v>
      </c>
    </row>
    <row r="3301" spans="1:6" x14ac:dyDescent="0.2">
      <c r="A3301">
        <f>[1]!hospitalinfo[[#This Row],[Facility ID]]</f>
        <v>320033</v>
      </c>
      <c r="B3301" t="str">
        <f>[1]!hospitalinfo[[#This Row],[State]]</f>
        <v>NM</v>
      </c>
      <c r="C3301" t="str">
        <f>[1]!hospitalinfo[[#This Row],[Hospital Type]]</f>
        <v>Acute Care Hospitals</v>
      </c>
      <c r="D3301" t="str">
        <f>[1]!hospitalinfo[[#This Row],[Hospital Ownership]]</f>
        <v>Proprietary</v>
      </c>
      <c r="E3301" cm="1">
        <f t="array" ref="E3301">_xlfn.IFNA(_xlfn.XLOOKUP(1,([1]!hcahps[Facility ID] = clean[[#This Row],[Facility ID]]) * ([1]!hcahps[HCAHPS Measure ID] = "H_HSP_RATING_LINEAR_SCORE"), [1]!hcahps[HCAHPS Linear Mean Value]), "No Match")</f>
        <v>86</v>
      </c>
      <c r="F3301" cm="1">
        <f t="array" ref="F3301">_xlfn.IFNA(_xlfn.XLOOKUP(1,([1]!readmissions[Facility ID] = clean[[#This Row],[Facility ID]]) * ([1]!readmissions[Measure ID] = "Hybrid_HWR"), [1]!readmissions[Score]), "No Match")</f>
        <v>15.2</v>
      </c>
    </row>
    <row r="3302" spans="1:6" x14ac:dyDescent="0.2">
      <c r="A3302">
        <f>[1]!hospitalinfo[[#This Row],[Facility ID]]</f>
        <v>320057</v>
      </c>
      <c r="B3302" t="str">
        <f>[1]!hospitalinfo[[#This Row],[State]]</f>
        <v>NM</v>
      </c>
      <c r="C3302" t="str">
        <f>[1]!hospitalinfo[[#This Row],[Hospital Type]]</f>
        <v>Acute Care Hospitals</v>
      </c>
      <c r="D3302" t="str">
        <f>[1]!hospitalinfo[[#This Row],[Hospital Ownership]]</f>
        <v>Government - Federal</v>
      </c>
      <c r="E3302" t="str" cm="1">
        <f t="array" ref="E3302">_xlfn.IFNA(_xlfn.XLOOKUP(1,([1]!hcahps[Facility ID] = clean[[#This Row],[Facility ID]]) * ([1]!hcahps[HCAHPS Measure ID] = "H_HSP_RATING_LINEAR_SCORE"), [1]!hcahps[HCAHPS Linear Mean Value]), "No Match")</f>
        <v>Not Available</v>
      </c>
      <c r="F3302" t="str" cm="1">
        <f t="array" ref="F3302">_xlfn.IFNA(_xlfn.XLOOKUP(1,([1]!readmissions[Facility ID] = clean[[#This Row],[Facility ID]]) * ([1]!readmissions[Measure ID] = "Hybrid_HWR"), [1]!readmissions[Score]), "No Match")</f>
        <v>Not Available</v>
      </c>
    </row>
    <row r="3303" spans="1:6" x14ac:dyDescent="0.2">
      <c r="A3303">
        <f>[1]!hospitalinfo[[#This Row],[Facility ID]]</f>
        <v>320059</v>
      </c>
      <c r="B3303" t="str">
        <f>[1]!hospitalinfo[[#This Row],[State]]</f>
        <v>NM</v>
      </c>
      <c r="C3303" t="str">
        <f>[1]!hospitalinfo[[#This Row],[Hospital Type]]</f>
        <v>Acute Care Hospitals</v>
      </c>
      <c r="D3303" t="str">
        <f>[1]!hospitalinfo[[#This Row],[Hospital Ownership]]</f>
        <v>Government - Federal</v>
      </c>
      <c r="E3303" cm="1">
        <f t="array" ref="E3303">_xlfn.IFNA(_xlfn.XLOOKUP(1,([1]!hcahps[Facility ID] = clean[[#This Row],[Facility ID]]) * ([1]!hcahps[HCAHPS Measure ID] = "H_HSP_RATING_LINEAR_SCORE"), [1]!hcahps[HCAHPS Linear Mean Value]), "No Match")</f>
        <v>86</v>
      </c>
      <c r="F3303" cm="1">
        <f t="array" ref="F3303">_xlfn.IFNA(_xlfn.XLOOKUP(1,([1]!readmissions[Facility ID] = clean[[#This Row],[Facility ID]]) * ([1]!readmissions[Measure ID] = "Hybrid_HWR"), [1]!readmissions[Score]), "No Match")</f>
        <v>15.2</v>
      </c>
    </row>
    <row r="3304" spans="1:6" x14ac:dyDescent="0.2">
      <c r="A3304">
        <f>[1]!hospitalinfo[[#This Row],[Facility ID]]</f>
        <v>320060</v>
      </c>
      <c r="B3304" t="str">
        <f>[1]!hospitalinfo[[#This Row],[State]]</f>
        <v>NM</v>
      </c>
      <c r="C3304" t="str">
        <f>[1]!hospitalinfo[[#This Row],[Hospital Type]]</f>
        <v>Acute Care Hospitals</v>
      </c>
      <c r="D3304" t="str">
        <f>[1]!hospitalinfo[[#This Row],[Hospital Ownership]]</f>
        <v>Government - Federal</v>
      </c>
      <c r="E3304" t="str" cm="1">
        <f t="array" ref="E3304">_xlfn.IFNA(_xlfn.XLOOKUP(1,([1]!hcahps[Facility ID] = clean[[#This Row],[Facility ID]]) * ([1]!hcahps[HCAHPS Measure ID] = "H_HSP_RATING_LINEAR_SCORE"), [1]!hcahps[HCAHPS Linear Mean Value]), "No Match")</f>
        <v>Not Available</v>
      </c>
      <c r="F3304" cm="1">
        <f t="array" ref="F3304">_xlfn.IFNA(_xlfn.XLOOKUP(1,([1]!readmissions[Facility ID] = clean[[#This Row],[Facility ID]]) * ([1]!readmissions[Measure ID] = "Hybrid_HWR"), [1]!readmissions[Score]), "No Match")</f>
        <v>15.1</v>
      </c>
    </row>
    <row r="3305" spans="1:6" x14ac:dyDescent="0.2">
      <c r="A3305">
        <f>[1]!hospitalinfo[[#This Row],[Facility ID]]</f>
        <v>320061</v>
      </c>
      <c r="B3305" t="str">
        <f>[1]!hospitalinfo[[#This Row],[State]]</f>
        <v>NM</v>
      </c>
      <c r="C3305" t="str">
        <f>[1]!hospitalinfo[[#This Row],[Hospital Type]]</f>
        <v>Acute Care Hospitals</v>
      </c>
      <c r="D3305" t="str">
        <f>[1]!hospitalinfo[[#This Row],[Hospital Ownership]]</f>
        <v>Government - Federal</v>
      </c>
      <c r="E3305" cm="1">
        <f t="array" ref="E3305">_xlfn.IFNA(_xlfn.XLOOKUP(1,([1]!hcahps[Facility ID] = clean[[#This Row],[Facility ID]]) * ([1]!hcahps[HCAHPS Measure ID] = "H_HSP_RATING_LINEAR_SCORE"), [1]!hcahps[HCAHPS Linear Mean Value]), "No Match")</f>
        <v>79</v>
      </c>
      <c r="F3305" cm="1">
        <f t="array" ref="F3305">_xlfn.IFNA(_xlfn.XLOOKUP(1,([1]!readmissions[Facility ID] = clean[[#This Row],[Facility ID]]) * ([1]!readmissions[Measure ID] = "Hybrid_HWR"), [1]!readmissions[Score]), "No Match")</f>
        <v>14.8</v>
      </c>
    </row>
    <row r="3306" spans="1:6" x14ac:dyDescent="0.2">
      <c r="A3306">
        <f>[1]!hospitalinfo[[#This Row],[Facility ID]]</f>
        <v>320062</v>
      </c>
      <c r="B3306" t="str">
        <f>[1]!hospitalinfo[[#This Row],[State]]</f>
        <v>NM</v>
      </c>
      <c r="C3306" t="str">
        <f>[1]!hospitalinfo[[#This Row],[Hospital Type]]</f>
        <v>Acute Care Hospitals</v>
      </c>
      <c r="D3306" t="str">
        <f>[1]!hospitalinfo[[#This Row],[Hospital Ownership]]</f>
        <v>Government - Federal</v>
      </c>
      <c r="E3306" t="str" cm="1">
        <f t="array" ref="E3306">_xlfn.IFNA(_xlfn.XLOOKUP(1,([1]!hcahps[Facility ID] = clean[[#This Row],[Facility ID]]) * ([1]!hcahps[HCAHPS Measure ID] = "H_HSP_RATING_LINEAR_SCORE"), [1]!hcahps[HCAHPS Linear Mean Value]), "No Match")</f>
        <v>Not Available</v>
      </c>
      <c r="F3306" t="str" cm="1">
        <f t="array" ref="F3306">_xlfn.IFNA(_xlfn.XLOOKUP(1,([1]!readmissions[Facility ID] = clean[[#This Row],[Facility ID]]) * ([1]!readmissions[Measure ID] = "Hybrid_HWR"), [1]!readmissions[Score]), "No Match")</f>
        <v>Not Available</v>
      </c>
    </row>
    <row r="3307" spans="1:6" x14ac:dyDescent="0.2">
      <c r="A3307">
        <f>[1]!hospitalinfo[[#This Row],[Facility ID]]</f>
        <v>320063</v>
      </c>
      <c r="B3307" t="str">
        <f>[1]!hospitalinfo[[#This Row],[State]]</f>
        <v>NM</v>
      </c>
      <c r="C3307" t="str">
        <f>[1]!hospitalinfo[[#This Row],[Hospital Type]]</f>
        <v>Acute Care Hospitals</v>
      </c>
      <c r="D3307" t="str">
        <f>[1]!hospitalinfo[[#This Row],[Hospital Ownership]]</f>
        <v>Voluntary non-profit - Other</v>
      </c>
      <c r="E3307" cm="1">
        <f t="array" ref="E3307">_xlfn.IFNA(_xlfn.XLOOKUP(1,([1]!hcahps[Facility ID] = clean[[#This Row],[Facility ID]]) * ([1]!hcahps[HCAHPS Measure ID] = "H_HSP_RATING_LINEAR_SCORE"), [1]!hcahps[HCAHPS Linear Mean Value]), "No Match")</f>
        <v>77</v>
      </c>
      <c r="F3307" cm="1">
        <f t="array" ref="F3307">_xlfn.IFNA(_xlfn.XLOOKUP(1,([1]!readmissions[Facility ID] = clean[[#This Row],[Facility ID]]) * ([1]!readmissions[Measure ID] = "Hybrid_HWR"), [1]!readmissions[Score]), "No Match")</f>
        <v>14.9</v>
      </c>
    </row>
    <row r="3308" spans="1:6" x14ac:dyDescent="0.2">
      <c r="A3308">
        <f>[1]!hospitalinfo[[#This Row],[Facility ID]]</f>
        <v>320065</v>
      </c>
      <c r="B3308" t="str">
        <f>[1]!hospitalinfo[[#This Row],[State]]</f>
        <v>NM</v>
      </c>
      <c r="C3308" t="str">
        <f>[1]!hospitalinfo[[#This Row],[Hospital Type]]</f>
        <v>Acute Care Hospitals</v>
      </c>
      <c r="D3308" t="str">
        <f>[1]!hospitalinfo[[#This Row],[Hospital Ownership]]</f>
        <v>Voluntary non-profit - Private</v>
      </c>
      <c r="E3308" cm="1">
        <f t="array" ref="E3308">_xlfn.IFNA(_xlfn.XLOOKUP(1,([1]!hcahps[Facility ID] = clean[[#This Row],[Facility ID]]) * ([1]!hcahps[HCAHPS Measure ID] = "H_HSP_RATING_LINEAR_SCORE"), [1]!hcahps[HCAHPS Linear Mean Value]), "No Match")</f>
        <v>89</v>
      </c>
      <c r="F3308" cm="1">
        <f t="array" ref="F3308">_xlfn.IFNA(_xlfn.XLOOKUP(1,([1]!readmissions[Facility ID] = clean[[#This Row],[Facility ID]]) * ([1]!readmissions[Measure ID] = "Hybrid_HWR"), [1]!readmissions[Score]), "No Match")</f>
        <v>14.3</v>
      </c>
    </row>
    <row r="3309" spans="1:6" x14ac:dyDescent="0.2">
      <c r="A3309">
        <f>[1]!hospitalinfo[[#This Row],[Facility ID]]</f>
        <v>320074</v>
      </c>
      <c r="B3309" t="str">
        <f>[1]!hospitalinfo[[#This Row],[State]]</f>
        <v>NM</v>
      </c>
      <c r="C3309" t="str">
        <f>[1]!hospitalinfo[[#This Row],[Hospital Type]]</f>
        <v>Acute Care Hospitals</v>
      </c>
      <c r="D3309" t="str">
        <f>[1]!hospitalinfo[[#This Row],[Hospital Ownership]]</f>
        <v>Proprietary</v>
      </c>
      <c r="E3309" cm="1">
        <f t="array" ref="E3309">_xlfn.IFNA(_xlfn.XLOOKUP(1,([1]!hcahps[Facility ID] = clean[[#This Row],[Facility ID]]) * ([1]!hcahps[HCAHPS Measure ID] = "H_HSP_RATING_LINEAR_SCORE"), [1]!hcahps[HCAHPS Linear Mean Value]), "No Match")</f>
        <v>90</v>
      </c>
      <c r="F3309" cm="1">
        <f t="array" ref="F3309">_xlfn.IFNA(_xlfn.XLOOKUP(1,([1]!readmissions[Facility ID] = clean[[#This Row],[Facility ID]]) * ([1]!readmissions[Measure ID] = "Hybrid_HWR"), [1]!readmissions[Score]), "No Match")</f>
        <v>15.2</v>
      </c>
    </row>
    <row r="3310" spans="1:6" x14ac:dyDescent="0.2">
      <c r="A3310">
        <f>[1]!hospitalinfo[[#This Row],[Facility ID]]</f>
        <v>320084</v>
      </c>
      <c r="B3310" t="str">
        <f>[1]!hospitalinfo[[#This Row],[State]]</f>
        <v>NM</v>
      </c>
      <c r="C3310" t="str">
        <f>[1]!hospitalinfo[[#This Row],[Hospital Type]]</f>
        <v>Acute Care Hospitals</v>
      </c>
      <c r="D3310" t="str">
        <f>[1]!hospitalinfo[[#This Row],[Hospital Ownership]]</f>
        <v>Government - Hospital District or Authority</v>
      </c>
      <c r="E3310" t="str" cm="1">
        <f t="array" ref="E3310">_xlfn.IFNA(_xlfn.XLOOKUP(1,([1]!hcahps[Facility ID] = clean[[#This Row],[Facility ID]]) * ([1]!hcahps[HCAHPS Measure ID] = "H_HSP_RATING_LINEAR_SCORE"), [1]!hcahps[HCAHPS Linear Mean Value]), "No Match")</f>
        <v>Not Available</v>
      </c>
      <c r="F3310" cm="1">
        <f t="array" ref="F3310">_xlfn.IFNA(_xlfn.XLOOKUP(1,([1]!readmissions[Facility ID] = clean[[#This Row],[Facility ID]]) * ([1]!readmissions[Measure ID] = "Hybrid_HWR"), [1]!readmissions[Score]), "No Match")</f>
        <v>14.8</v>
      </c>
    </row>
    <row r="3311" spans="1:6" x14ac:dyDescent="0.2">
      <c r="A3311">
        <f>[1]!hospitalinfo[[#This Row],[Facility ID]]</f>
        <v>320085</v>
      </c>
      <c r="B3311" t="str">
        <f>[1]!hospitalinfo[[#This Row],[State]]</f>
        <v>NM</v>
      </c>
      <c r="C3311" t="str">
        <f>[1]!hospitalinfo[[#This Row],[Hospital Type]]</f>
        <v>Acute Care Hospitals</v>
      </c>
      <c r="D3311" t="str">
        <f>[1]!hospitalinfo[[#This Row],[Hospital Ownership]]</f>
        <v>Proprietary</v>
      </c>
      <c r="E3311" cm="1">
        <f t="array" ref="E3311">_xlfn.IFNA(_xlfn.XLOOKUP(1,([1]!hcahps[Facility ID] = clean[[#This Row],[Facility ID]]) * ([1]!hcahps[HCAHPS Measure ID] = "H_HSP_RATING_LINEAR_SCORE"), [1]!hcahps[HCAHPS Linear Mean Value]), "No Match")</f>
        <v>83</v>
      </c>
      <c r="F3311" cm="1">
        <f t="array" ref="F3311">_xlfn.IFNA(_xlfn.XLOOKUP(1,([1]!readmissions[Facility ID] = clean[[#This Row],[Facility ID]]) * ([1]!readmissions[Measure ID] = "Hybrid_HWR"), [1]!readmissions[Score]), "No Match")</f>
        <v>16</v>
      </c>
    </row>
    <row r="3312" spans="1:6" x14ac:dyDescent="0.2">
      <c r="A3312">
        <f>[1]!hospitalinfo[[#This Row],[Facility ID]]</f>
        <v>320086</v>
      </c>
      <c r="B3312" t="str">
        <f>[1]!hospitalinfo[[#This Row],[State]]</f>
        <v>NM</v>
      </c>
      <c r="C3312" t="str">
        <f>[1]!hospitalinfo[[#This Row],[Hospital Type]]</f>
        <v>Acute Care Hospitals</v>
      </c>
      <c r="D3312" t="str">
        <f>[1]!hospitalinfo[[#This Row],[Hospital Ownership]]</f>
        <v>Proprietary</v>
      </c>
      <c r="E3312" cm="1">
        <f t="array" ref="E3312">_xlfn.IFNA(_xlfn.XLOOKUP(1,([1]!hcahps[Facility ID] = clean[[#This Row],[Facility ID]]) * ([1]!hcahps[HCAHPS Measure ID] = "H_HSP_RATING_LINEAR_SCORE"), [1]!hcahps[HCAHPS Linear Mean Value]), "No Match")</f>
        <v>87</v>
      </c>
      <c r="F3312" cm="1">
        <f t="array" ref="F3312">_xlfn.IFNA(_xlfn.XLOOKUP(1,([1]!readmissions[Facility ID] = clean[[#This Row],[Facility ID]]) * ([1]!readmissions[Measure ID] = "Hybrid_HWR"), [1]!readmissions[Score]), "No Match")</f>
        <v>15.3</v>
      </c>
    </row>
    <row r="3313" spans="1:6" x14ac:dyDescent="0.2">
      <c r="A3313">
        <f>[1]!hospitalinfo[[#This Row],[Facility ID]]</f>
        <v>320090</v>
      </c>
      <c r="B3313" t="str">
        <f>[1]!hospitalinfo[[#This Row],[State]]</f>
        <v>NM</v>
      </c>
      <c r="C3313" t="str">
        <f>[1]!hospitalinfo[[#This Row],[Hospital Type]]</f>
        <v>Acute Care Hospitals</v>
      </c>
      <c r="D3313" t="str">
        <f>[1]!hospitalinfo[[#This Row],[Hospital Ownership]]</f>
        <v>Voluntary non-profit - Private</v>
      </c>
      <c r="E3313" cm="1">
        <f t="array" ref="E3313">_xlfn.IFNA(_xlfn.XLOOKUP(1,([1]!hcahps[Facility ID] = clean[[#This Row],[Facility ID]]) * ([1]!hcahps[HCAHPS Measure ID] = "H_HSP_RATING_LINEAR_SCORE"), [1]!hcahps[HCAHPS Linear Mean Value]), "No Match")</f>
        <v>88</v>
      </c>
      <c r="F3313" cm="1">
        <f t="array" ref="F3313">_xlfn.IFNA(_xlfn.XLOOKUP(1,([1]!readmissions[Facility ID] = clean[[#This Row],[Facility ID]]) * ([1]!readmissions[Measure ID] = "Hybrid_HWR"), [1]!readmissions[Score]), "No Match")</f>
        <v>14.1</v>
      </c>
    </row>
    <row r="3314" spans="1:6" x14ac:dyDescent="0.2">
      <c r="A3314">
        <f>[1]!hospitalinfo[[#This Row],[Facility ID]]</f>
        <v>320091</v>
      </c>
      <c r="B3314" t="str">
        <f>[1]!hospitalinfo[[#This Row],[State]]</f>
        <v>NM</v>
      </c>
      <c r="C3314" t="str">
        <f>[1]!hospitalinfo[[#This Row],[Hospital Type]]</f>
        <v>Acute Care Hospitals</v>
      </c>
      <c r="D3314" t="str">
        <f>[1]!hospitalinfo[[#This Row],[Hospital Ownership]]</f>
        <v>Proprietary</v>
      </c>
      <c r="E3314" cm="1">
        <f t="array" ref="E3314">_xlfn.IFNA(_xlfn.XLOOKUP(1,([1]!hcahps[Facility ID] = clean[[#This Row],[Facility ID]]) * ([1]!hcahps[HCAHPS Measure ID] = "H_HSP_RATING_LINEAR_SCORE"), [1]!hcahps[HCAHPS Linear Mean Value]), "No Match")</f>
        <v>91</v>
      </c>
      <c r="F3314" cm="1">
        <f t="array" ref="F3314">_xlfn.IFNA(_xlfn.XLOOKUP(1,([1]!readmissions[Facility ID] = clean[[#This Row],[Facility ID]]) * ([1]!readmissions[Measure ID] = "Hybrid_HWR"), [1]!readmissions[Score]), "No Match")</f>
        <v>15.6</v>
      </c>
    </row>
    <row r="3315" spans="1:6" x14ac:dyDescent="0.2">
      <c r="A3315">
        <f>[1]!hospitalinfo[[#This Row],[Facility ID]]</f>
        <v>320779</v>
      </c>
      <c r="B3315" t="str">
        <f>[1]!hospitalinfo[[#This Row],[State]]</f>
        <v>NM</v>
      </c>
      <c r="C3315" t="str">
        <f>[1]!hospitalinfo[[#This Row],[Hospital Type]]</f>
        <v>Rural Emergency Hospital</v>
      </c>
      <c r="D3315" t="str">
        <f>[1]!hospitalinfo[[#This Row],[Hospital Ownership]]</f>
        <v>Government - Local</v>
      </c>
      <c r="E3315" t="str" cm="1">
        <f t="array" ref="E3315">_xlfn.IFNA(_xlfn.XLOOKUP(1,([1]!hcahps[Facility ID] = clean[[#This Row],[Facility ID]]) * ([1]!hcahps[HCAHPS Measure ID] = "H_HSP_RATING_LINEAR_SCORE"), [1]!hcahps[HCAHPS Linear Mean Value]), "No Match")</f>
        <v>Not Available</v>
      </c>
      <c r="F3315" t="str" cm="1">
        <f t="array" ref="F3315">_xlfn.IFNA(_xlfn.XLOOKUP(1,([1]!readmissions[Facility ID] = clean[[#This Row],[Facility ID]]) * ([1]!readmissions[Measure ID] = "Hybrid_HWR"), [1]!readmissions[Score]), "No Match")</f>
        <v>Not Available</v>
      </c>
    </row>
    <row r="3316" spans="1:6" x14ac:dyDescent="0.2">
      <c r="A3316">
        <f>[1]!hospitalinfo[[#This Row],[Facility ID]]</f>
        <v>321300</v>
      </c>
      <c r="B3316" t="str">
        <f>[1]!hospitalinfo[[#This Row],[State]]</f>
        <v>NM</v>
      </c>
      <c r="C3316" t="str">
        <f>[1]!hospitalinfo[[#This Row],[Hospital Type]]</f>
        <v>Critical Access Hospitals</v>
      </c>
      <c r="D3316" t="str">
        <f>[1]!hospitalinfo[[#This Row],[Hospital Ownership]]</f>
        <v>Government - Local</v>
      </c>
      <c r="E3316" t="str" cm="1">
        <f t="array" ref="E3316">_xlfn.IFNA(_xlfn.XLOOKUP(1,([1]!hcahps[Facility ID] = clean[[#This Row],[Facility ID]]) * ([1]!hcahps[HCAHPS Measure ID] = "H_HSP_RATING_LINEAR_SCORE"), [1]!hcahps[HCAHPS Linear Mean Value]), "No Match")</f>
        <v>Not Available</v>
      </c>
      <c r="F3316" cm="1">
        <f t="array" ref="F3316">_xlfn.IFNA(_xlfn.XLOOKUP(1,([1]!readmissions[Facility ID] = clean[[#This Row],[Facility ID]]) * ([1]!readmissions[Measure ID] = "Hybrid_HWR"), [1]!readmissions[Score]), "No Match")</f>
        <v>15.2</v>
      </c>
    </row>
    <row r="3317" spans="1:6" x14ac:dyDescent="0.2">
      <c r="A3317">
        <f>[1]!hospitalinfo[[#This Row],[Facility ID]]</f>
        <v>321301</v>
      </c>
      <c r="B3317" t="str">
        <f>[1]!hospitalinfo[[#This Row],[State]]</f>
        <v>NM</v>
      </c>
      <c r="C3317" t="str">
        <f>[1]!hospitalinfo[[#This Row],[Hospital Type]]</f>
        <v>Critical Access Hospitals</v>
      </c>
      <c r="D3317" t="str">
        <f>[1]!hospitalinfo[[#This Row],[Hospital Ownership]]</f>
        <v>Voluntary non-profit - Private</v>
      </c>
      <c r="E3317" t="str" cm="1">
        <f t="array" ref="E3317">_xlfn.IFNA(_xlfn.XLOOKUP(1,([1]!hcahps[Facility ID] = clean[[#This Row],[Facility ID]]) * ([1]!hcahps[HCAHPS Measure ID] = "H_HSP_RATING_LINEAR_SCORE"), [1]!hcahps[HCAHPS Linear Mean Value]), "No Match")</f>
        <v>Not Available</v>
      </c>
      <c r="F3317" cm="1">
        <f t="array" ref="F3317">_xlfn.IFNA(_xlfn.XLOOKUP(1,([1]!readmissions[Facility ID] = clean[[#This Row],[Facility ID]]) * ([1]!readmissions[Measure ID] = "Hybrid_HWR"), [1]!readmissions[Score]), "No Match")</f>
        <v>14.7</v>
      </c>
    </row>
    <row r="3318" spans="1:6" x14ac:dyDescent="0.2">
      <c r="A3318">
        <f>[1]!hospitalinfo[[#This Row],[Facility ID]]</f>
        <v>321302</v>
      </c>
      <c r="B3318" t="str">
        <f>[1]!hospitalinfo[[#This Row],[State]]</f>
        <v>NM</v>
      </c>
      <c r="C3318" t="str">
        <f>[1]!hospitalinfo[[#This Row],[Hospital Type]]</f>
        <v>Critical Access Hospitals</v>
      </c>
      <c r="D3318" t="str">
        <f>[1]!hospitalinfo[[#This Row],[Hospital Ownership]]</f>
        <v>Voluntary non-profit - Private</v>
      </c>
      <c r="E3318" t="str" cm="1">
        <f t="array" ref="E3318">_xlfn.IFNA(_xlfn.XLOOKUP(1,([1]!hcahps[Facility ID] = clean[[#This Row],[Facility ID]]) * ([1]!hcahps[HCAHPS Measure ID] = "H_HSP_RATING_LINEAR_SCORE"), [1]!hcahps[HCAHPS Linear Mean Value]), "No Match")</f>
        <v>Not Available</v>
      </c>
      <c r="F3318" cm="1">
        <f t="array" ref="F3318">_xlfn.IFNA(_xlfn.XLOOKUP(1,([1]!readmissions[Facility ID] = clean[[#This Row],[Facility ID]]) * ([1]!readmissions[Measure ID] = "Hybrid_HWR"), [1]!readmissions[Score]), "No Match")</f>
        <v>14.7</v>
      </c>
    </row>
    <row r="3319" spans="1:6" x14ac:dyDescent="0.2">
      <c r="A3319">
        <f>[1]!hospitalinfo[[#This Row],[Facility ID]]</f>
        <v>321304</v>
      </c>
      <c r="B3319" t="str">
        <f>[1]!hospitalinfo[[#This Row],[State]]</f>
        <v>NM</v>
      </c>
      <c r="C3319" t="str">
        <f>[1]!hospitalinfo[[#This Row],[Hospital Type]]</f>
        <v>Critical Access Hospitals</v>
      </c>
      <c r="D3319" t="str">
        <f>[1]!hospitalinfo[[#This Row],[Hospital Ownership]]</f>
        <v>Government - Local</v>
      </c>
      <c r="E3319" t="str" cm="1">
        <f t="array" ref="E3319">_xlfn.IFNA(_xlfn.XLOOKUP(1,([1]!hcahps[Facility ID] = clean[[#This Row],[Facility ID]]) * ([1]!hcahps[HCAHPS Measure ID] = "H_HSP_RATING_LINEAR_SCORE"), [1]!hcahps[HCAHPS Linear Mean Value]), "No Match")</f>
        <v>Not Available</v>
      </c>
      <c r="F3319" cm="1">
        <f t="array" ref="F3319">_xlfn.IFNA(_xlfn.XLOOKUP(1,([1]!readmissions[Facility ID] = clean[[#This Row],[Facility ID]]) * ([1]!readmissions[Measure ID] = "Hybrid_HWR"), [1]!readmissions[Score]), "No Match")</f>
        <v>15.3</v>
      </c>
    </row>
    <row r="3320" spans="1:6" x14ac:dyDescent="0.2">
      <c r="A3320">
        <f>[1]!hospitalinfo[[#This Row],[Facility ID]]</f>
        <v>321305</v>
      </c>
      <c r="B3320" t="str">
        <f>[1]!hospitalinfo[[#This Row],[State]]</f>
        <v>NM</v>
      </c>
      <c r="C3320" t="str">
        <f>[1]!hospitalinfo[[#This Row],[Hospital Type]]</f>
        <v>Critical Access Hospitals</v>
      </c>
      <c r="D3320" t="str">
        <f>[1]!hospitalinfo[[#This Row],[Hospital Ownership]]</f>
        <v>Government - Hospital District or Authority</v>
      </c>
      <c r="E3320" t="str" cm="1">
        <f t="array" ref="E3320">_xlfn.IFNA(_xlfn.XLOOKUP(1,([1]!hcahps[Facility ID] = clean[[#This Row],[Facility ID]]) * ([1]!hcahps[HCAHPS Measure ID] = "H_HSP_RATING_LINEAR_SCORE"), [1]!hcahps[HCAHPS Linear Mean Value]), "No Match")</f>
        <v>Not Available</v>
      </c>
      <c r="F3320" cm="1">
        <f t="array" ref="F3320">_xlfn.IFNA(_xlfn.XLOOKUP(1,([1]!readmissions[Facility ID] = clean[[#This Row],[Facility ID]]) * ([1]!readmissions[Measure ID] = "Hybrid_HWR"), [1]!readmissions[Score]), "No Match")</f>
        <v>14.3</v>
      </c>
    </row>
    <row r="3321" spans="1:6" x14ac:dyDescent="0.2">
      <c r="A3321">
        <f>[1]!hospitalinfo[[#This Row],[Facility ID]]</f>
        <v>321306</v>
      </c>
      <c r="B3321" t="str">
        <f>[1]!hospitalinfo[[#This Row],[State]]</f>
        <v>NM</v>
      </c>
      <c r="C3321" t="str">
        <f>[1]!hospitalinfo[[#This Row],[Hospital Type]]</f>
        <v>Critical Access Hospitals</v>
      </c>
      <c r="D3321" t="str">
        <f>[1]!hospitalinfo[[#This Row],[Hospital Ownership]]</f>
        <v>Voluntary non-profit - Private</v>
      </c>
      <c r="E3321" cm="1">
        <f t="array" ref="E3321">_xlfn.IFNA(_xlfn.XLOOKUP(1,([1]!hcahps[Facility ID] = clean[[#This Row],[Facility ID]]) * ([1]!hcahps[HCAHPS Measure ID] = "H_HSP_RATING_LINEAR_SCORE"), [1]!hcahps[HCAHPS Linear Mean Value]), "No Match")</f>
        <v>91</v>
      </c>
      <c r="F3321" cm="1">
        <f t="array" ref="F3321">_xlfn.IFNA(_xlfn.XLOOKUP(1,([1]!readmissions[Facility ID] = clean[[#This Row],[Facility ID]]) * ([1]!readmissions[Measure ID] = "Hybrid_HWR"), [1]!readmissions[Score]), "No Match")</f>
        <v>14.7</v>
      </c>
    </row>
    <row r="3322" spans="1:6" x14ac:dyDescent="0.2">
      <c r="A3322">
        <f>[1]!hospitalinfo[[#This Row],[Facility ID]]</f>
        <v>321307</v>
      </c>
      <c r="B3322" t="str">
        <f>[1]!hospitalinfo[[#This Row],[State]]</f>
        <v>NM</v>
      </c>
      <c r="C3322" t="str">
        <f>[1]!hospitalinfo[[#This Row],[Hospital Type]]</f>
        <v>Critical Access Hospitals</v>
      </c>
      <c r="D3322" t="str">
        <f>[1]!hospitalinfo[[#This Row],[Hospital Ownership]]</f>
        <v>Government - State</v>
      </c>
      <c r="E3322" t="str" cm="1">
        <f t="array" ref="E3322">_xlfn.IFNA(_xlfn.XLOOKUP(1,([1]!hcahps[Facility ID] = clean[[#This Row],[Facility ID]]) * ([1]!hcahps[HCAHPS Measure ID] = "H_HSP_RATING_LINEAR_SCORE"), [1]!hcahps[HCAHPS Linear Mean Value]), "No Match")</f>
        <v>Not Available</v>
      </c>
      <c r="F3322" cm="1">
        <f t="array" ref="F3322">_xlfn.IFNA(_xlfn.XLOOKUP(1,([1]!readmissions[Facility ID] = clean[[#This Row],[Facility ID]]) * ([1]!readmissions[Measure ID] = "Hybrid_HWR"), [1]!readmissions[Score]), "No Match")</f>
        <v>15.3</v>
      </c>
    </row>
    <row r="3323" spans="1:6" x14ac:dyDescent="0.2">
      <c r="A3323">
        <f>[1]!hospitalinfo[[#This Row],[Facility ID]]</f>
        <v>321308</v>
      </c>
      <c r="B3323" t="str">
        <f>[1]!hospitalinfo[[#This Row],[State]]</f>
        <v>NM</v>
      </c>
      <c r="C3323" t="str">
        <f>[1]!hospitalinfo[[#This Row],[Hospital Type]]</f>
        <v>Critical Access Hospitals</v>
      </c>
      <c r="D3323" t="str">
        <f>[1]!hospitalinfo[[#This Row],[Hospital Ownership]]</f>
        <v>Voluntary non-profit - Private</v>
      </c>
      <c r="E3323" t="str" cm="1">
        <f t="array" ref="E3323">_xlfn.IFNA(_xlfn.XLOOKUP(1,([1]!hcahps[Facility ID] = clean[[#This Row],[Facility ID]]) * ([1]!hcahps[HCAHPS Measure ID] = "H_HSP_RATING_LINEAR_SCORE"), [1]!hcahps[HCAHPS Linear Mean Value]), "No Match")</f>
        <v>Not Available</v>
      </c>
      <c r="F3323" cm="1">
        <f t="array" ref="F3323">_xlfn.IFNA(_xlfn.XLOOKUP(1,([1]!readmissions[Facility ID] = clean[[#This Row],[Facility ID]]) * ([1]!readmissions[Measure ID] = "Hybrid_HWR"), [1]!readmissions[Score]), "No Match")</f>
        <v>15.4</v>
      </c>
    </row>
    <row r="3324" spans="1:6" x14ac:dyDescent="0.2">
      <c r="A3324">
        <f>[1]!hospitalinfo[[#This Row],[Facility ID]]</f>
        <v>321309</v>
      </c>
      <c r="B3324" t="str">
        <f>[1]!hospitalinfo[[#This Row],[State]]</f>
        <v>NM</v>
      </c>
      <c r="C3324" t="str">
        <f>[1]!hospitalinfo[[#This Row],[Hospital Type]]</f>
        <v>Critical Access Hospitals</v>
      </c>
      <c r="D3324" t="str">
        <f>[1]!hospitalinfo[[#This Row],[Hospital Ownership]]</f>
        <v>Proprietary</v>
      </c>
      <c r="E3324" cm="1">
        <f t="array" ref="E3324">_xlfn.IFNA(_xlfn.XLOOKUP(1,([1]!hcahps[Facility ID] = clean[[#This Row],[Facility ID]]) * ([1]!hcahps[HCAHPS Measure ID] = "H_HSP_RATING_LINEAR_SCORE"), [1]!hcahps[HCAHPS Linear Mean Value]), "No Match")</f>
        <v>89</v>
      </c>
      <c r="F3324" cm="1">
        <f t="array" ref="F3324">_xlfn.IFNA(_xlfn.XLOOKUP(1,([1]!readmissions[Facility ID] = clean[[#This Row],[Facility ID]]) * ([1]!readmissions[Measure ID] = "Hybrid_HWR"), [1]!readmissions[Score]), "No Match")</f>
        <v>15.3</v>
      </c>
    </row>
    <row r="3325" spans="1:6" x14ac:dyDescent="0.2">
      <c r="A3325">
        <f>[1]!hospitalinfo[[#This Row],[Facility ID]]</f>
        <v>321310</v>
      </c>
      <c r="B3325" t="str">
        <f>[1]!hospitalinfo[[#This Row],[State]]</f>
        <v>NM</v>
      </c>
      <c r="C3325" t="str">
        <f>[1]!hospitalinfo[[#This Row],[Hospital Type]]</f>
        <v>Critical Access Hospitals</v>
      </c>
      <c r="D3325" t="str">
        <f>[1]!hospitalinfo[[#This Row],[Hospital Ownership]]</f>
        <v>Voluntary non-profit - Private</v>
      </c>
      <c r="E3325" cm="1">
        <f t="array" ref="E3325">_xlfn.IFNA(_xlfn.XLOOKUP(1,([1]!hcahps[Facility ID] = clean[[#This Row],[Facility ID]]) * ([1]!hcahps[HCAHPS Measure ID] = "H_HSP_RATING_LINEAR_SCORE"), [1]!hcahps[HCAHPS Linear Mean Value]), "No Match")</f>
        <v>85</v>
      </c>
      <c r="F3325" cm="1">
        <f t="array" ref="F3325">_xlfn.IFNA(_xlfn.XLOOKUP(1,([1]!readmissions[Facility ID] = clean[[#This Row],[Facility ID]]) * ([1]!readmissions[Measure ID] = "Hybrid_HWR"), [1]!readmissions[Score]), "No Match")</f>
        <v>14.7</v>
      </c>
    </row>
    <row r="3326" spans="1:6" x14ac:dyDescent="0.2">
      <c r="A3326">
        <f>[1]!hospitalinfo[[#This Row],[Facility ID]]</f>
        <v>321311</v>
      </c>
      <c r="B3326" t="str">
        <f>[1]!hospitalinfo[[#This Row],[State]]</f>
        <v>NM</v>
      </c>
      <c r="C3326" t="str">
        <f>[1]!hospitalinfo[[#This Row],[Hospital Type]]</f>
        <v>Critical Access Hospitals</v>
      </c>
      <c r="D3326" t="str">
        <f>[1]!hospitalinfo[[#This Row],[Hospital Ownership]]</f>
        <v>Government - Local</v>
      </c>
      <c r="E3326" cm="1">
        <f t="array" ref="E3326">_xlfn.IFNA(_xlfn.XLOOKUP(1,([1]!hcahps[Facility ID] = clean[[#This Row],[Facility ID]]) * ([1]!hcahps[HCAHPS Measure ID] = "H_HSP_RATING_LINEAR_SCORE"), [1]!hcahps[HCAHPS Linear Mean Value]), "No Match")</f>
        <v>88</v>
      </c>
      <c r="F3326" cm="1">
        <f t="array" ref="F3326">_xlfn.IFNA(_xlfn.XLOOKUP(1,([1]!readmissions[Facility ID] = clean[[#This Row],[Facility ID]]) * ([1]!readmissions[Measure ID] = "Hybrid_HWR"), [1]!readmissions[Score]), "No Match")</f>
        <v>15.1</v>
      </c>
    </row>
    <row r="3327" spans="1:6" x14ac:dyDescent="0.2">
      <c r="A3327">
        <f>[1]!hospitalinfo[[#This Row],[Facility ID]]</f>
        <v>321312</v>
      </c>
      <c r="B3327" t="str">
        <f>[1]!hospitalinfo[[#This Row],[State]]</f>
        <v>NM</v>
      </c>
      <c r="C3327" t="str">
        <f>[1]!hospitalinfo[[#This Row],[Hospital Type]]</f>
        <v>Critical Access Hospitals</v>
      </c>
      <c r="D3327" t="str">
        <f>[1]!hospitalinfo[[#This Row],[Hospital Ownership]]</f>
        <v>Proprietary</v>
      </c>
      <c r="E3327" t="str" cm="1">
        <f t="array" ref="E3327">_xlfn.IFNA(_xlfn.XLOOKUP(1,([1]!hcahps[Facility ID] = clean[[#This Row],[Facility ID]]) * ([1]!hcahps[HCAHPS Measure ID] = "H_HSP_RATING_LINEAR_SCORE"), [1]!hcahps[HCAHPS Linear Mean Value]), "No Match")</f>
        <v>Not Available</v>
      </c>
      <c r="F3327" t="str" cm="1">
        <f t="array" ref="F3327">_xlfn.IFNA(_xlfn.XLOOKUP(1,([1]!readmissions[Facility ID] = clean[[#This Row],[Facility ID]]) * ([1]!readmissions[Measure ID] = "Hybrid_HWR"), [1]!readmissions[Score]), "No Match")</f>
        <v>Not Available</v>
      </c>
    </row>
    <row r="3328" spans="1:6" x14ac:dyDescent="0.2">
      <c r="A3328">
        <f>[1]!hospitalinfo[[#This Row],[Facility ID]]</f>
        <v>321313</v>
      </c>
      <c r="B3328" t="str">
        <f>[1]!hospitalinfo[[#This Row],[State]]</f>
        <v>NM</v>
      </c>
      <c r="C3328" t="str">
        <f>[1]!hospitalinfo[[#This Row],[Hospital Type]]</f>
        <v>Critical Access Hospitals</v>
      </c>
      <c r="D3328" t="str">
        <f>[1]!hospitalinfo[[#This Row],[Hospital Ownership]]</f>
        <v>Voluntary non-profit - Private</v>
      </c>
      <c r="E3328" t="str" cm="1">
        <f t="array" ref="E3328">_xlfn.IFNA(_xlfn.XLOOKUP(1,([1]!hcahps[Facility ID] = clean[[#This Row],[Facility ID]]) * ([1]!hcahps[HCAHPS Measure ID] = "H_HSP_RATING_LINEAR_SCORE"), [1]!hcahps[HCAHPS Linear Mean Value]), "No Match")</f>
        <v>Not Available</v>
      </c>
      <c r="F3328" t="str" cm="1">
        <f t="array" ref="F3328">_xlfn.IFNA(_xlfn.XLOOKUP(1,([1]!readmissions[Facility ID] = clean[[#This Row],[Facility ID]]) * ([1]!readmissions[Measure ID] = "Hybrid_HWR"), [1]!readmissions[Score]), "No Match")</f>
        <v>Not Available</v>
      </c>
    </row>
    <row r="3329" spans="1:6" x14ac:dyDescent="0.2">
      <c r="A3329">
        <f>[1]!hospitalinfo[[#This Row],[Facility ID]]</f>
        <v>324010</v>
      </c>
      <c r="B3329" t="str">
        <f>[1]!hospitalinfo[[#This Row],[State]]</f>
        <v>NM</v>
      </c>
      <c r="C3329" t="str">
        <f>[1]!hospitalinfo[[#This Row],[Hospital Type]]</f>
        <v>Psychiatric</v>
      </c>
      <c r="D3329" t="str">
        <f>[1]!hospitalinfo[[#This Row],[Hospital Ownership]]</f>
        <v>Proprietary</v>
      </c>
      <c r="E3329" t="str" cm="1">
        <f t="array" ref="E3329">_xlfn.IFNA(_xlfn.XLOOKUP(1,([1]!hcahps[Facility ID] = clean[[#This Row],[Facility ID]]) * ([1]!hcahps[HCAHPS Measure ID] = "H_HSP_RATING_LINEAR_SCORE"), [1]!hcahps[HCAHPS Linear Mean Value]), "No Match")</f>
        <v>No Match</v>
      </c>
      <c r="F3329" t="str" cm="1">
        <f t="array" ref="F3329">_xlfn.IFNA(_xlfn.XLOOKUP(1,([1]!readmissions[Facility ID] = clean[[#This Row],[Facility ID]]) * ([1]!readmissions[Measure ID] = "Hybrid_HWR"), [1]!readmissions[Score]), "No Match")</f>
        <v>No Match</v>
      </c>
    </row>
    <row r="3330" spans="1:6" x14ac:dyDescent="0.2">
      <c r="A3330">
        <f>[1]!hospitalinfo[[#This Row],[Facility ID]]</f>
        <v>324012</v>
      </c>
      <c r="B3330" t="str">
        <f>[1]!hospitalinfo[[#This Row],[State]]</f>
        <v>NM</v>
      </c>
      <c r="C3330" t="str">
        <f>[1]!hospitalinfo[[#This Row],[Hospital Type]]</f>
        <v>Psychiatric</v>
      </c>
      <c r="D3330" t="str">
        <f>[1]!hospitalinfo[[#This Row],[Hospital Ownership]]</f>
        <v>Proprietary</v>
      </c>
      <c r="E3330" t="str" cm="1">
        <f t="array" ref="E3330">_xlfn.IFNA(_xlfn.XLOOKUP(1,([1]!hcahps[Facility ID] = clean[[#This Row],[Facility ID]]) * ([1]!hcahps[HCAHPS Measure ID] = "H_HSP_RATING_LINEAR_SCORE"), [1]!hcahps[HCAHPS Linear Mean Value]), "No Match")</f>
        <v>No Match</v>
      </c>
      <c r="F3330" t="str" cm="1">
        <f t="array" ref="F3330">_xlfn.IFNA(_xlfn.XLOOKUP(1,([1]!readmissions[Facility ID] = clean[[#This Row],[Facility ID]]) * ([1]!readmissions[Measure ID] = "Hybrid_HWR"), [1]!readmissions[Score]), "No Match")</f>
        <v>No Match</v>
      </c>
    </row>
    <row r="3331" spans="1:6" x14ac:dyDescent="0.2">
      <c r="A3331">
        <f>[1]!hospitalinfo[[#This Row],[Facility ID]]</f>
        <v>324013</v>
      </c>
      <c r="B3331" t="str">
        <f>[1]!hospitalinfo[[#This Row],[State]]</f>
        <v>NM</v>
      </c>
      <c r="C3331" t="str">
        <f>[1]!hospitalinfo[[#This Row],[Hospital Type]]</f>
        <v>Psychiatric</v>
      </c>
      <c r="D3331" t="str">
        <f>[1]!hospitalinfo[[#This Row],[Hospital Ownership]]</f>
        <v>Proprietary</v>
      </c>
      <c r="E3331" t="str" cm="1">
        <f t="array" ref="E3331">_xlfn.IFNA(_xlfn.XLOOKUP(1,([1]!hcahps[Facility ID] = clean[[#This Row],[Facility ID]]) * ([1]!hcahps[HCAHPS Measure ID] = "H_HSP_RATING_LINEAR_SCORE"), [1]!hcahps[HCAHPS Linear Mean Value]), "No Match")</f>
        <v>No Match</v>
      </c>
      <c r="F3331" t="str" cm="1">
        <f t="array" ref="F3331">_xlfn.IFNA(_xlfn.XLOOKUP(1,([1]!readmissions[Facility ID] = clean[[#This Row],[Facility ID]]) * ([1]!readmissions[Measure ID] = "Hybrid_HWR"), [1]!readmissions[Score]), "No Match")</f>
        <v>No Match</v>
      </c>
    </row>
    <row r="3332" spans="1:6" x14ac:dyDescent="0.2">
      <c r="A3332">
        <f>[1]!hospitalinfo[[#This Row],[Facility ID]]</f>
        <v>324014</v>
      </c>
      <c r="B3332" t="str">
        <f>[1]!hospitalinfo[[#This Row],[State]]</f>
        <v>NM</v>
      </c>
      <c r="C3332" t="str">
        <f>[1]!hospitalinfo[[#This Row],[Hospital Type]]</f>
        <v>Psychiatric</v>
      </c>
      <c r="D3332" t="str">
        <f>[1]!hospitalinfo[[#This Row],[Hospital Ownership]]</f>
        <v>Proprietary</v>
      </c>
      <c r="E3332" t="str" cm="1">
        <f t="array" ref="E3332">_xlfn.IFNA(_xlfn.XLOOKUP(1,([1]!hcahps[Facility ID] = clean[[#This Row],[Facility ID]]) * ([1]!hcahps[HCAHPS Measure ID] = "H_HSP_RATING_LINEAR_SCORE"), [1]!hcahps[HCAHPS Linear Mean Value]), "No Match")</f>
        <v>No Match</v>
      </c>
      <c r="F3332" t="str" cm="1">
        <f t="array" ref="F3332">_xlfn.IFNA(_xlfn.XLOOKUP(1,([1]!readmissions[Facility ID] = clean[[#This Row],[Facility ID]]) * ([1]!readmissions[Measure ID] = "Hybrid_HWR"), [1]!readmissions[Score]), "No Match")</f>
        <v>No Match</v>
      </c>
    </row>
    <row r="3333" spans="1:6" x14ac:dyDescent="0.2">
      <c r="A3333" t="str">
        <f>[1]!hospitalinfo[[#This Row],[Facility ID]]</f>
        <v>32005F</v>
      </c>
      <c r="B3333" t="str">
        <f>[1]!hospitalinfo[[#This Row],[State]]</f>
        <v>NM</v>
      </c>
      <c r="C3333" t="str">
        <f>[1]!hospitalinfo[[#This Row],[Hospital Type]]</f>
        <v>Acute Care - Veterans Administration</v>
      </c>
      <c r="D3333" t="str">
        <f>[1]!hospitalinfo[[#This Row],[Hospital Ownership]]</f>
        <v>Veterans Health Administration</v>
      </c>
      <c r="E3333" cm="1">
        <f t="array" ref="E3333">_xlfn.IFNA(_xlfn.XLOOKUP(1,([1]!hcahps[Facility ID] = clean[[#This Row],[Facility ID]]) * ([1]!hcahps[HCAHPS Measure ID] = "H_HSP_RATING_LINEAR_SCORE"), [1]!hcahps[HCAHPS Linear Mean Value]), "No Match")</f>
        <v>90</v>
      </c>
      <c r="F3333" cm="1">
        <f t="array" ref="F3333">_xlfn.IFNA(_xlfn.XLOOKUP(1,([1]!readmissions[Facility ID] = clean[[#This Row],[Facility ID]]) * ([1]!readmissions[Measure ID] = "Hybrid_HWR"), [1]!readmissions[Score]), "No Match")</f>
        <v>14.8</v>
      </c>
    </row>
    <row r="3334" spans="1:6" x14ac:dyDescent="0.2">
      <c r="A3334">
        <f>[1]!hospitalinfo[[#This Row],[Facility ID]]</f>
        <v>290001</v>
      </c>
      <c r="B3334" t="str">
        <f>[1]!hospitalinfo[[#This Row],[State]]</f>
        <v>NV</v>
      </c>
      <c r="C3334" t="str">
        <f>[1]!hospitalinfo[[#This Row],[Hospital Type]]</f>
        <v>Acute Care Hospitals</v>
      </c>
      <c r="D3334" t="str">
        <f>[1]!hospitalinfo[[#This Row],[Hospital Ownership]]</f>
        <v>Voluntary non-profit - Private</v>
      </c>
      <c r="E3334" cm="1">
        <f t="array" ref="E3334">_xlfn.IFNA(_xlfn.XLOOKUP(1,([1]!hcahps[Facility ID] = clean[[#This Row],[Facility ID]]) * ([1]!hcahps[HCAHPS Measure ID] = "H_HSP_RATING_LINEAR_SCORE"), [1]!hcahps[HCAHPS Linear Mean Value]), "No Match")</f>
        <v>87</v>
      </c>
      <c r="F3334" cm="1">
        <f t="array" ref="F3334">_xlfn.IFNA(_xlfn.XLOOKUP(1,([1]!readmissions[Facility ID] = clean[[#This Row],[Facility ID]]) * ([1]!readmissions[Measure ID] = "Hybrid_HWR"), [1]!readmissions[Score]), "No Match")</f>
        <v>15.1</v>
      </c>
    </row>
    <row r="3335" spans="1:6" x14ac:dyDescent="0.2">
      <c r="A3335">
        <f>[1]!hospitalinfo[[#This Row],[Facility ID]]</f>
        <v>290003</v>
      </c>
      <c r="B3335" t="str">
        <f>[1]!hospitalinfo[[#This Row],[State]]</f>
        <v>NV</v>
      </c>
      <c r="C3335" t="str">
        <f>[1]!hospitalinfo[[#This Row],[Hospital Type]]</f>
        <v>Acute Care Hospitals</v>
      </c>
      <c r="D3335" t="str">
        <f>[1]!hospitalinfo[[#This Row],[Hospital Ownership]]</f>
        <v>Proprietary</v>
      </c>
      <c r="E3335" cm="1">
        <f t="array" ref="E3335">_xlfn.IFNA(_xlfn.XLOOKUP(1,([1]!hcahps[Facility ID] = clean[[#This Row],[Facility ID]]) * ([1]!hcahps[HCAHPS Measure ID] = "H_HSP_RATING_LINEAR_SCORE"), [1]!hcahps[HCAHPS Linear Mean Value]), "No Match")</f>
        <v>81</v>
      </c>
      <c r="F3335" cm="1">
        <f t="array" ref="F3335">_xlfn.IFNA(_xlfn.XLOOKUP(1,([1]!readmissions[Facility ID] = clean[[#This Row],[Facility ID]]) * ([1]!readmissions[Measure ID] = "Hybrid_HWR"), [1]!readmissions[Score]), "No Match")</f>
        <v>15.4</v>
      </c>
    </row>
    <row r="3336" spans="1:6" x14ac:dyDescent="0.2">
      <c r="A3336">
        <f>[1]!hospitalinfo[[#This Row],[Facility ID]]</f>
        <v>290005</v>
      </c>
      <c r="B3336" t="str">
        <f>[1]!hospitalinfo[[#This Row],[State]]</f>
        <v>NV</v>
      </c>
      <c r="C3336" t="str">
        <f>[1]!hospitalinfo[[#This Row],[Hospital Type]]</f>
        <v>Acute Care Hospitals</v>
      </c>
      <c r="D3336" t="str">
        <f>[1]!hospitalinfo[[#This Row],[Hospital Ownership]]</f>
        <v>Voluntary non-profit - Private</v>
      </c>
      <c r="E3336" cm="1">
        <f t="array" ref="E3336">_xlfn.IFNA(_xlfn.XLOOKUP(1,([1]!hcahps[Facility ID] = clean[[#This Row],[Facility ID]]) * ([1]!hcahps[HCAHPS Measure ID] = "H_HSP_RATING_LINEAR_SCORE"), [1]!hcahps[HCAHPS Linear Mean Value]), "No Match")</f>
        <v>84</v>
      </c>
      <c r="F3336" cm="1">
        <f t="array" ref="F3336">_xlfn.IFNA(_xlfn.XLOOKUP(1,([1]!readmissions[Facility ID] = clean[[#This Row],[Facility ID]]) * ([1]!readmissions[Measure ID] = "Hybrid_HWR"), [1]!readmissions[Score]), "No Match")</f>
        <v>15.8</v>
      </c>
    </row>
    <row r="3337" spans="1:6" x14ac:dyDescent="0.2">
      <c r="A3337">
        <f>[1]!hospitalinfo[[#This Row],[Facility ID]]</f>
        <v>290007</v>
      </c>
      <c r="B3337" t="str">
        <f>[1]!hospitalinfo[[#This Row],[State]]</f>
        <v>NV</v>
      </c>
      <c r="C3337" t="str">
        <f>[1]!hospitalinfo[[#This Row],[Hospital Type]]</f>
        <v>Acute Care Hospitals</v>
      </c>
      <c r="D3337" t="str">
        <f>[1]!hospitalinfo[[#This Row],[Hospital Ownership]]</f>
        <v>Voluntary non-profit - Other</v>
      </c>
      <c r="E3337" cm="1">
        <f t="array" ref="E3337">_xlfn.IFNA(_xlfn.XLOOKUP(1,([1]!hcahps[Facility ID] = clean[[#This Row],[Facility ID]]) * ([1]!hcahps[HCAHPS Measure ID] = "H_HSP_RATING_LINEAR_SCORE"), [1]!hcahps[HCAHPS Linear Mean Value]), "No Match")</f>
        <v>82</v>
      </c>
      <c r="F3337" cm="1">
        <f t="array" ref="F3337">_xlfn.IFNA(_xlfn.XLOOKUP(1,([1]!readmissions[Facility ID] = clean[[#This Row],[Facility ID]]) * ([1]!readmissions[Measure ID] = "Hybrid_HWR"), [1]!readmissions[Score]), "No Match")</f>
        <v>15.6</v>
      </c>
    </row>
    <row r="3338" spans="1:6" x14ac:dyDescent="0.2">
      <c r="A3338">
        <f>[1]!hospitalinfo[[#This Row],[Facility ID]]</f>
        <v>290008</v>
      </c>
      <c r="B3338" t="str">
        <f>[1]!hospitalinfo[[#This Row],[State]]</f>
        <v>NV</v>
      </c>
      <c r="C3338" t="str">
        <f>[1]!hospitalinfo[[#This Row],[Hospital Type]]</f>
        <v>Acute Care Hospitals</v>
      </c>
      <c r="D3338" t="str">
        <f>[1]!hospitalinfo[[#This Row],[Hospital Ownership]]</f>
        <v>Proprietary</v>
      </c>
      <c r="E3338" cm="1">
        <f t="array" ref="E3338">_xlfn.IFNA(_xlfn.XLOOKUP(1,([1]!hcahps[Facility ID] = clean[[#This Row],[Facility ID]]) * ([1]!hcahps[HCAHPS Measure ID] = "H_HSP_RATING_LINEAR_SCORE"), [1]!hcahps[HCAHPS Linear Mean Value]), "No Match")</f>
        <v>83</v>
      </c>
      <c r="F3338" cm="1">
        <f t="array" ref="F3338">_xlfn.IFNA(_xlfn.XLOOKUP(1,([1]!readmissions[Facility ID] = clean[[#This Row],[Facility ID]]) * ([1]!readmissions[Measure ID] = "Hybrid_HWR"), [1]!readmissions[Score]), "No Match")</f>
        <v>14.7</v>
      </c>
    </row>
    <row r="3339" spans="1:6" x14ac:dyDescent="0.2">
      <c r="A3339">
        <f>[1]!hospitalinfo[[#This Row],[Facility ID]]</f>
        <v>290009</v>
      </c>
      <c r="B3339" t="str">
        <f>[1]!hospitalinfo[[#This Row],[State]]</f>
        <v>NV</v>
      </c>
      <c r="C3339" t="str">
        <f>[1]!hospitalinfo[[#This Row],[Hospital Type]]</f>
        <v>Acute Care Hospitals</v>
      </c>
      <c r="D3339" t="str">
        <f>[1]!hospitalinfo[[#This Row],[Hospital Ownership]]</f>
        <v>Proprietary</v>
      </c>
      <c r="E3339" cm="1">
        <f t="array" ref="E3339">_xlfn.IFNA(_xlfn.XLOOKUP(1,([1]!hcahps[Facility ID] = clean[[#This Row],[Facility ID]]) * ([1]!hcahps[HCAHPS Measure ID] = "H_HSP_RATING_LINEAR_SCORE"), [1]!hcahps[HCAHPS Linear Mean Value]), "No Match")</f>
        <v>87</v>
      </c>
      <c r="F3339" cm="1">
        <f t="array" ref="F3339">_xlfn.IFNA(_xlfn.XLOOKUP(1,([1]!readmissions[Facility ID] = clean[[#This Row],[Facility ID]]) * ([1]!readmissions[Measure ID] = "Hybrid_HWR"), [1]!readmissions[Score]), "No Match")</f>
        <v>14.9</v>
      </c>
    </row>
    <row r="3340" spans="1:6" x14ac:dyDescent="0.2">
      <c r="A3340">
        <f>[1]!hospitalinfo[[#This Row],[Facility ID]]</f>
        <v>290012</v>
      </c>
      <c r="B3340" t="str">
        <f>[1]!hospitalinfo[[#This Row],[State]]</f>
        <v>NV</v>
      </c>
      <c r="C3340" t="str">
        <f>[1]!hospitalinfo[[#This Row],[Hospital Type]]</f>
        <v>Acute Care Hospitals</v>
      </c>
      <c r="D3340" t="str">
        <f>[1]!hospitalinfo[[#This Row],[Hospital Ownership]]</f>
        <v>Voluntary non-profit - Private</v>
      </c>
      <c r="E3340" t="str" cm="1">
        <f t="array" ref="E3340">_xlfn.IFNA(_xlfn.XLOOKUP(1,([1]!hcahps[Facility ID] = clean[[#This Row],[Facility ID]]) * ([1]!hcahps[HCAHPS Measure ID] = "H_HSP_RATING_LINEAR_SCORE"), [1]!hcahps[HCAHPS Linear Mean Value]), "No Match")</f>
        <v>Not Available</v>
      </c>
      <c r="F3340" t="str" cm="1">
        <f t="array" ref="F3340">_xlfn.IFNA(_xlfn.XLOOKUP(1,([1]!readmissions[Facility ID] = clean[[#This Row],[Facility ID]]) * ([1]!readmissions[Measure ID] = "Hybrid_HWR"), [1]!readmissions[Score]), "No Match")</f>
        <v>Not Available</v>
      </c>
    </row>
    <row r="3341" spans="1:6" x14ac:dyDescent="0.2">
      <c r="A3341">
        <f>[1]!hospitalinfo[[#This Row],[Facility ID]]</f>
        <v>290019</v>
      </c>
      <c r="B3341" t="str">
        <f>[1]!hospitalinfo[[#This Row],[State]]</f>
        <v>NV</v>
      </c>
      <c r="C3341" t="str">
        <f>[1]!hospitalinfo[[#This Row],[Hospital Type]]</f>
        <v>Acute Care Hospitals</v>
      </c>
      <c r="D3341" t="str">
        <f>[1]!hospitalinfo[[#This Row],[Hospital Ownership]]</f>
        <v>Voluntary non-profit - Private</v>
      </c>
      <c r="E3341" cm="1">
        <f t="array" ref="E3341">_xlfn.IFNA(_xlfn.XLOOKUP(1,([1]!hcahps[Facility ID] = clean[[#This Row],[Facility ID]]) * ([1]!hcahps[HCAHPS Measure ID] = "H_HSP_RATING_LINEAR_SCORE"), [1]!hcahps[HCAHPS Linear Mean Value]), "No Match")</f>
        <v>89</v>
      </c>
      <c r="F3341" cm="1">
        <f t="array" ref="F3341">_xlfn.IFNA(_xlfn.XLOOKUP(1,([1]!readmissions[Facility ID] = clean[[#This Row],[Facility ID]]) * ([1]!readmissions[Measure ID] = "Hybrid_HWR"), [1]!readmissions[Score]), "No Match")</f>
        <v>14</v>
      </c>
    </row>
    <row r="3342" spans="1:6" x14ac:dyDescent="0.2">
      <c r="A3342">
        <f>[1]!hospitalinfo[[#This Row],[Facility ID]]</f>
        <v>290021</v>
      </c>
      <c r="B3342" t="str">
        <f>[1]!hospitalinfo[[#This Row],[State]]</f>
        <v>NV</v>
      </c>
      <c r="C3342" t="str">
        <f>[1]!hospitalinfo[[#This Row],[Hospital Type]]</f>
        <v>Acute Care Hospitals</v>
      </c>
      <c r="D3342" t="str">
        <f>[1]!hospitalinfo[[#This Row],[Hospital Ownership]]</f>
        <v>Proprietary</v>
      </c>
      <c r="E3342" cm="1">
        <f t="array" ref="E3342">_xlfn.IFNA(_xlfn.XLOOKUP(1,([1]!hcahps[Facility ID] = clean[[#This Row],[Facility ID]]) * ([1]!hcahps[HCAHPS Measure ID] = "H_HSP_RATING_LINEAR_SCORE"), [1]!hcahps[HCAHPS Linear Mean Value]), "No Match")</f>
        <v>83</v>
      </c>
      <c r="F3342" cm="1">
        <f t="array" ref="F3342">_xlfn.IFNA(_xlfn.XLOOKUP(1,([1]!readmissions[Facility ID] = clean[[#This Row],[Facility ID]]) * ([1]!readmissions[Measure ID] = "Hybrid_HWR"), [1]!readmissions[Score]), "No Match")</f>
        <v>16.899999999999999</v>
      </c>
    </row>
    <row r="3343" spans="1:6" x14ac:dyDescent="0.2">
      <c r="A3343">
        <f>[1]!hospitalinfo[[#This Row],[Facility ID]]</f>
        <v>290032</v>
      </c>
      <c r="B3343" t="str">
        <f>[1]!hospitalinfo[[#This Row],[State]]</f>
        <v>NV</v>
      </c>
      <c r="C3343" t="str">
        <f>[1]!hospitalinfo[[#This Row],[Hospital Type]]</f>
        <v>Acute Care Hospitals</v>
      </c>
      <c r="D3343" t="str">
        <f>[1]!hospitalinfo[[#This Row],[Hospital Ownership]]</f>
        <v>Voluntary non-profit - Private</v>
      </c>
      <c r="E3343" cm="1">
        <f t="array" ref="E3343">_xlfn.IFNA(_xlfn.XLOOKUP(1,([1]!hcahps[Facility ID] = clean[[#This Row],[Facility ID]]) * ([1]!hcahps[HCAHPS Measure ID] = "H_HSP_RATING_LINEAR_SCORE"), [1]!hcahps[HCAHPS Linear Mean Value]), "No Match")</f>
        <v>88</v>
      </c>
      <c r="F3343" cm="1">
        <f t="array" ref="F3343">_xlfn.IFNA(_xlfn.XLOOKUP(1,([1]!readmissions[Facility ID] = clean[[#This Row],[Facility ID]]) * ([1]!readmissions[Measure ID] = "Hybrid_HWR"), [1]!readmissions[Score]), "No Match")</f>
        <v>13.9</v>
      </c>
    </row>
    <row r="3344" spans="1:6" x14ac:dyDescent="0.2">
      <c r="A3344">
        <f>[1]!hospitalinfo[[#This Row],[Facility ID]]</f>
        <v>290039</v>
      </c>
      <c r="B3344" t="str">
        <f>[1]!hospitalinfo[[#This Row],[State]]</f>
        <v>NV</v>
      </c>
      <c r="C3344" t="str">
        <f>[1]!hospitalinfo[[#This Row],[Hospital Type]]</f>
        <v>Acute Care Hospitals</v>
      </c>
      <c r="D3344" t="str">
        <f>[1]!hospitalinfo[[#This Row],[Hospital Ownership]]</f>
        <v>Proprietary</v>
      </c>
      <c r="E3344" cm="1">
        <f t="array" ref="E3344">_xlfn.IFNA(_xlfn.XLOOKUP(1,([1]!hcahps[Facility ID] = clean[[#This Row],[Facility ID]]) * ([1]!hcahps[HCAHPS Measure ID] = "H_HSP_RATING_LINEAR_SCORE"), [1]!hcahps[HCAHPS Linear Mean Value]), "No Match")</f>
        <v>87</v>
      </c>
      <c r="F3344" cm="1">
        <f t="array" ref="F3344">_xlfn.IFNA(_xlfn.XLOOKUP(1,([1]!readmissions[Facility ID] = clean[[#This Row],[Facility ID]]) * ([1]!readmissions[Measure ID] = "Hybrid_HWR"), [1]!readmissions[Score]), "No Match")</f>
        <v>15.1</v>
      </c>
    </row>
    <row r="3345" spans="1:6" x14ac:dyDescent="0.2">
      <c r="A3345">
        <f>[1]!hospitalinfo[[#This Row],[Facility ID]]</f>
        <v>290041</v>
      </c>
      <c r="B3345" t="str">
        <f>[1]!hospitalinfo[[#This Row],[State]]</f>
        <v>NV</v>
      </c>
      <c r="C3345" t="str">
        <f>[1]!hospitalinfo[[#This Row],[Hospital Type]]</f>
        <v>Acute Care Hospitals</v>
      </c>
      <c r="D3345" t="str">
        <f>[1]!hospitalinfo[[#This Row],[Hospital Ownership]]</f>
        <v>Proprietary</v>
      </c>
      <c r="E3345" cm="1">
        <f t="array" ref="E3345">_xlfn.IFNA(_xlfn.XLOOKUP(1,([1]!hcahps[Facility ID] = clean[[#This Row],[Facility ID]]) * ([1]!hcahps[HCAHPS Measure ID] = "H_HSP_RATING_LINEAR_SCORE"), [1]!hcahps[HCAHPS Linear Mean Value]), "No Match")</f>
        <v>86</v>
      </c>
      <c r="F3345" cm="1">
        <f t="array" ref="F3345">_xlfn.IFNA(_xlfn.XLOOKUP(1,([1]!readmissions[Facility ID] = clean[[#This Row],[Facility ID]]) * ([1]!readmissions[Measure ID] = "Hybrid_HWR"), [1]!readmissions[Score]), "No Match")</f>
        <v>16</v>
      </c>
    </row>
    <row r="3346" spans="1:6" x14ac:dyDescent="0.2">
      <c r="A3346">
        <f>[1]!hospitalinfo[[#This Row],[Facility ID]]</f>
        <v>290042</v>
      </c>
      <c r="B3346" t="str">
        <f>[1]!hospitalinfo[[#This Row],[State]]</f>
        <v>NV</v>
      </c>
      <c r="C3346" t="str">
        <f>[1]!hospitalinfo[[#This Row],[Hospital Type]]</f>
        <v>Acute Care Hospitals</v>
      </c>
      <c r="D3346" t="str">
        <f>[1]!hospitalinfo[[#This Row],[Hospital Ownership]]</f>
        <v>Proprietary</v>
      </c>
      <c r="E3346" t="str" cm="1">
        <f t="array" ref="E3346">_xlfn.IFNA(_xlfn.XLOOKUP(1,([1]!hcahps[Facility ID] = clean[[#This Row],[Facility ID]]) * ([1]!hcahps[HCAHPS Measure ID] = "H_HSP_RATING_LINEAR_SCORE"), [1]!hcahps[HCAHPS Linear Mean Value]), "No Match")</f>
        <v>Not Available</v>
      </c>
      <c r="F3346" t="str" cm="1">
        <f t="array" ref="F3346">_xlfn.IFNA(_xlfn.XLOOKUP(1,([1]!readmissions[Facility ID] = clean[[#This Row],[Facility ID]]) * ([1]!readmissions[Measure ID] = "Hybrid_HWR"), [1]!readmissions[Score]), "No Match")</f>
        <v>Not Available</v>
      </c>
    </row>
    <row r="3347" spans="1:6" x14ac:dyDescent="0.2">
      <c r="A3347">
        <f>[1]!hospitalinfo[[#This Row],[Facility ID]]</f>
        <v>290045</v>
      </c>
      <c r="B3347" t="str">
        <f>[1]!hospitalinfo[[#This Row],[State]]</f>
        <v>NV</v>
      </c>
      <c r="C3347" t="str">
        <f>[1]!hospitalinfo[[#This Row],[Hospital Type]]</f>
        <v>Acute Care Hospitals</v>
      </c>
      <c r="D3347" t="str">
        <f>[1]!hospitalinfo[[#This Row],[Hospital Ownership]]</f>
        <v>Voluntary non-profit - Private</v>
      </c>
      <c r="E3347" cm="1">
        <f t="array" ref="E3347">_xlfn.IFNA(_xlfn.XLOOKUP(1,([1]!hcahps[Facility ID] = clean[[#This Row],[Facility ID]]) * ([1]!hcahps[HCAHPS Measure ID] = "H_HSP_RATING_LINEAR_SCORE"), [1]!hcahps[HCAHPS Linear Mean Value]), "No Match")</f>
        <v>87</v>
      </c>
      <c r="F3347" cm="1">
        <f t="array" ref="F3347">_xlfn.IFNA(_xlfn.XLOOKUP(1,([1]!readmissions[Facility ID] = clean[[#This Row],[Facility ID]]) * ([1]!readmissions[Measure ID] = "Hybrid_HWR"), [1]!readmissions[Score]), "No Match")</f>
        <v>15.2</v>
      </c>
    </row>
    <row r="3348" spans="1:6" x14ac:dyDescent="0.2">
      <c r="A3348">
        <f>[1]!hospitalinfo[[#This Row],[Facility ID]]</f>
        <v>290046</v>
      </c>
      <c r="B3348" t="str">
        <f>[1]!hospitalinfo[[#This Row],[State]]</f>
        <v>NV</v>
      </c>
      <c r="C3348" t="str">
        <f>[1]!hospitalinfo[[#This Row],[Hospital Type]]</f>
        <v>Acute Care Hospitals</v>
      </c>
      <c r="D3348" t="str">
        <f>[1]!hospitalinfo[[#This Row],[Hospital Ownership]]</f>
        <v>Proprietary</v>
      </c>
      <c r="E3348" cm="1">
        <f t="array" ref="E3348">_xlfn.IFNA(_xlfn.XLOOKUP(1,([1]!hcahps[Facility ID] = clean[[#This Row],[Facility ID]]) * ([1]!hcahps[HCAHPS Measure ID] = "H_HSP_RATING_LINEAR_SCORE"), [1]!hcahps[HCAHPS Linear Mean Value]), "No Match")</f>
        <v>87</v>
      </c>
      <c r="F3348" cm="1">
        <f t="array" ref="F3348">_xlfn.IFNA(_xlfn.XLOOKUP(1,([1]!readmissions[Facility ID] = clean[[#This Row],[Facility ID]]) * ([1]!readmissions[Measure ID] = "Hybrid_HWR"), [1]!readmissions[Score]), "No Match")</f>
        <v>15.6</v>
      </c>
    </row>
    <row r="3349" spans="1:6" x14ac:dyDescent="0.2">
      <c r="A3349">
        <f>[1]!hospitalinfo[[#This Row],[Facility ID]]</f>
        <v>290047</v>
      </c>
      <c r="B3349" t="str">
        <f>[1]!hospitalinfo[[#This Row],[State]]</f>
        <v>NV</v>
      </c>
      <c r="C3349" t="str">
        <f>[1]!hospitalinfo[[#This Row],[Hospital Type]]</f>
        <v>Acute Care Hospitals</v>
      </c>
      <c r="D3349" t="str">
        <f>[1]!hospitalinfo[[#This Row],[Hospital Ownership]]</f>
        <v>Proprietary</v>
      </c>
      <c r="E3349" cm="1">
        <f t="array" ref="E3349">_xlfn.IFNA(_xlfn.XLOOKUP(1,([1]!hcahps[Facility ID] = clean[[#This Row],[Facility ID]]) * ([1]!hcahps[HCAHPS Measure ID] = "H_HSP_RATING_LINEAR_SCORE"), [1]!hcahps[HCAHPS Linear Mean Value]), "No Match")</f>
        <v>88</v>
      </c>
      <c r="F3349" cm="1">
        <f t="array" ref="F3349">_xlfn.IFNA(_xlfn.XLOOKUP(1,([1]!readmissions[Facility ID] = clean[[#This Row],[Facility ID]]) * ([1]!readmissions[Measure ID] = "Hybrid_HWR"), [1]!readmissions[Score]), "No Match")</f>
        <v>16</v>
      </c>
    </row>
    <row r="3350" spans="1:6" x14ac:dyDescent="0.2">
      <c r="A3350">
        <f>[1]!hospitalinfo[[#This Row],[Facility ID]]</f>
        <v>290049</v>
      </c>
      <c r="B3350" t="str">
        <f>[1]!hospitalinfo[[#This Row],[State]]</f>
        <v>NV</v>
      </c>
      <c r="C3350" t="str">
        <f>[1]!hospitalinfo[[#This Row],[Hospital Type]]</f>
        <v>Acute Care Hospitals</v>
      </c>
      <c r="D3350" t="str">
        <f>[1]!hospitalinfo[[#This Row],[Hospital Ownership]]</f>
        <v>Voluntary non-profit - Private</v>
      </c>
      <c r="E3350" cm="1">
        <f t="array" ref="E3350">_xlfn.IFNA(_xlfn.XLOOKUP(1,([1]!hcahps[Facility ID] = clean[[#This Row],[Facility ID]]) * ([1]!hcahps[HCAHPS Measure ID] = "H_HSP_RATING_LINEAR_SCORE"), [1]!hcahps[HCAHPS Linear Mean Value]), "No Match")</f>
        <v>89</v>
      </c>
      <c r="F3350" cm="1">
        <f t="array" ref="F3350">_xlfn.IFNA(_xlfn.XLOOKUP(1,([1]!readmissions[Facility ID] = clean[[#This Row],[Facility ID]]) * ([1]!readmissions[Measure ID] = "Hybrid_HWR"), [1]!readmissions[Score]), "No Match")</f>
        <v>14.5</v>
      </c>
    </row>
    <row r="3351" spans="1:6" x14ac:dyDescent="0.2">
      <c r="A3351">
        <f>[1]!hospitalinfo[[#This Row],[Facility ID]]</f>
        <v>290053</v>
      </c>
      <c r="B3351" t="str">
        <f>[1]!hospitalinfo[[#This Row],[State]]</f>
        <v>NV</v>
      </c>
      <c r="C3351" t="str">
        <f>[1]!hospitalinfo[[#This Row],[Hospital Type]]</f>
        <v>Acute Care Hospitals</v>
      </c>
      <c r="D3351" t="str">
        <f>[1]!hospitalinfo[[#This Row],[Hospital Ownership]]</f>
        <v>Voluntary non-profit - Private</v>
      </c>
      <c r="E3351" cm="1">
        <f t="array" ref="E3351">_xlfn.IFNA(_xlfn.XLOOKUP(1,([1]!hcahps[Facility ID] = clean[[#This Row],[Facility ID]]) * ([1]!hcahps[HCAHPS Measure ID] = "H_HSP_RATING_LINEAR_SCORE"), [1]!hcahps[HCAHPS Linear Mean Value]), "No Match")</f>
        <v>92</v>
      </c>
      <c r="F3351" cm="1">
        <f t="array" ref="F3351">_xlfn.IFNA(_xlfn.XLOOKUP(1,([1]!readmissions[Facility ID] = clean[[#This Row],[Facility ID]]) * ([1]!readmissions[Measure ID] = "Hybrid_HWR"), [1]!readmissions[Score]), "No Match")</f>
        <v>15.4</v>
      </c>
    </row>
    <row r="3352" spans="1:6" x14ac:dyDescent="0.2">
      <c r="A3352">
        <f>[1]!hospitalinfo[[#This Row],[Facility ID]]</f>
        <v>290054</v>
      </c>
      <c r="B3352" t="str">
        <f>[1]!hospitalinfo[[#This Row],[State]]</f>
        <v>NV</v>
      </c>
      <c r="C3352" t="str">
        <f>[1]!hospitalinfo[[#This Row],[Hospital Type]]</f>
        <v>Acute Care Hospitals</v>
      </c>
      <c r="D3352" t="str">
        <f>[1]!hospitalinfo[[#This Row],[Hospital Ownership]]</f>
        <v>Proprietary</v>
      </c>
      <c r="E3352" cm="1">
        <f t="array" ref="E3352">_xlfn.IFNA(_xlfn.XLOOKUP(1,([1]!hcahps[Facility ID] = clean[[#This Row],[Facility ID]]) * ([1]!hcahps[HCAHPS Measure ID] = "H_HSP_RATING_LINEAR_SCORE"), [1]!hcahps[HCAHPS Linear Mean Value]), "No Match")</f>
        <v>83</v>
      </c>
      <c r="F3352" cm="1">
        <f t="array" ref="F3352">_xlfn.IFNA(_xlfn.XLOOKUP(1,([1]!readmissions[Facility ID] = clean[[#This Row],[Facility ID]]) * ([1]!readmissions[Measure ID] = "Hybrid_HWR"), [1]!readmissions[Score]), "No Match")</f>
        <v>14.6</v>
      </c>
    </row>
    <row r="3353" spans="1:6" x14ac:dyDescent="0.2">
      <c r="A3353">
        <f>[1]!hospitalinfo[[#This Row],[Facility ID]]</f>
        <v>290057</v>
      </c>
      <c r="B3353" t="str">
        <f>[1]!hospitalinfo[[#This Row],[State]]</f>
        <v>NV</v>
      </c>
      <c r="C3353" t="str">
        <f>[1]!hospitalinfo[[#This Row],[Hospital Type]]</f>
        <v>Acute Care Hospitals</v>
      </c>
      <c r="D3353" t="str">
        <f>[1]!hospitalinfo[[#This Row],[Hospital Ownership]]</f>
        <v>Proprietary</v>
      </c>
      <c r="E3353" cm="1">
        <f t="array" ref="E3353">_xlfn.IFNA(_xlfn.XLOOKUP(1,([1]!hcahps[Facility ID] = clean[[#This Row],[Facility ID]]) * ([1]!hcahps[HCAHPS Measure ID] = "H_HSP_RATING_LINEAR_SCORE"), [1]!hcahps[HCAHPS Linear Mean Value]), "No Match")</f>
        <v>81</v>
      </c>
      <c r="F3353" cm="1">
        <f t="array" ref="F3353">_xlfn.IFNA(_xlfn.XLOOKUP(1,([1]!readmissions[Facility ID] = clean[[#This Row],[Facility ID]]) * ([1]!readmissions[Measure ID] = "Hybrid_HWR"), [1]!readmissions[Score]), "No Match")</f>
        <v>16.399999999999999</v>
      </c>
    </row>
    <row r="3354" spans="1:6" x14ac:dyDescent="0.2">
      <c r="A3354">
        <f>[1]!hospitalinfo[[#This Row],[Facility ID]]</f>
        <v>290058</v>
      </c>
      <c r="B3354" t="str">
        <f>[1]!hospitalinfo[[#This Row],[State]]</f>
        <v>NV</v>
      </c>
      <c r="C3354" t="str">
        <f>[1]!hospitalinfo[[#This Row],[Hospital Type]]</f>
        <v>Acute Care Hospitals</v>
      </c>
      <c r="D3354" t="str">
        <f>[1]!hospitalinfo[[#This Row],[Hospital Ownership]]</f>
        <v>Proprietary</v>
      </c>
      <c r="E3354" t="str" cm="1">
        <f t="array" ref="E3354">_xlfn.IFNA(_xlfn.XLOOKUP(1,([1]!hcahps[Facility ID] = clean[[#This Row],[Facility ID]]) * ([1]!hcahps[HCAHPS Measure ID] = "H_HSP_RATING_LINEAR_SCORE"), [1]!hcahps[HCAHPS Linear Mean Value]), "No Match")</f>
        <v>Not Available</v>
      </c>
      <c r="F3354" cm="1">
        <f t="array" ref="F3354">_xlfn.IFNA(_xlfn.XLOOKUP(1,([1]!readmissions[Facility ID] = clean[[#This Row],[Facility ID]]) * ([1]!readmissions[Measure ID] = "Hybrid_HWR"), [1]!readmissions[Score]), "No Match")</f>
        <v>15</v>
      </c>
    </row>
    <row r="3355" spans="1:6" x14ac:dyDescent="0.2">
      <c r="A3355">
        <f>[1]!hospitalinfo[[#This Row],[Facility ID]]</f>
        <v>290062</v>
      </c>
      <c r="B3355" t="str">
        <f>[1]!hospitalinfo[[#This Row],[State]]</f>
        <v>NV</v>
      </c>
      <c r="C3355" t="str">
        <f>[1]!hospitalinfo[[#This Row],[Hospital Type]]</f>
        <v>Acute Care Hospitals</v>
      </c>
      <c r="D3355" t="str">
        <f>[1]!hospitalinfo[[#This Row],[Hospital Ownership]]</f>
        <v>Proprietary</v>
      </c>
      <c r="E3355" t="str" cm="1">
        <f t="array" ref="E3355">_xlfn.IFNA(_xlfn.XLOOKUP(1,([1]!hcahps[Facility ID] = clean[[#This Row],[Facility ID]]) * ([1]!hcahps[HCAHPS Measure ID] = "H_HSP_RATING_LINEAR_SCORE"), [1]!hcahps[HCAHPS Linear Mean Value]), "No Match")</f>
        <v>Not Available</v>
      </c>
      <c r="F3355" t="str" cm="1">
        <f t="array" ref="F3355">_xlfn.IFNA(_xlfn.XLOOKUP(1,([1]!readmissions[Facility ID] = clean[[#This Row],[Facility ID]]) * ([1]!readmissions[Measure ID] = "Hybrid_HWR"), [1]!readmissions[Score]), "No Match")</f>
        <v>Not Available</v>
      </c>
    </row>
    <row r="3356" spans="1:6" x14ac:dyDescent="0.2">
      <c r="A3356">
        <f>[1]!hospitalinfo[[#This Row],[Facility ID]]</f>
        <v>291300</v>
      </c>
      <c r="B3356" t="str">
        <f>[1]!hospitalinfo[[#This Row],[State]]</f>
        <v>NV</v>
      </c>
      <c r="C3356" t="str">
        <f>[1]!hospitalinfo[[#This Row],[Hospital Type]]</f>
        <v>Critical Access Hospitals</v>
      </c>
      <c r="D3356" t="str">
        <f>[1]!hospitalinfo[[#This Row],[Hospital Ownership]]</f>
        <v>Government - Hospital District or Authority</v>
      </c>
      <c r="E3356" t="str" cm="1">
        <f t="array" ref="E3356">_xlfn.IFNA(_xlfn.XLOOKUP(1,([1]!hcahps[Facility ID] = clean[[#This Row],[Facility ID]]) * ([1]!hcahps[HCAHPS Measure ID] = "H_HSP_RATING_LINEAR_SCORE"), [1]!hcahps[HCAHPS Linear Mean Value]), "No Match")</f>
        <v>Not Available</v>
      </c>
      <c r="F3356" cm="1">
        <f t="array" ref="F3356">_xlfn.IFNA(_xlfn.XLOOKUP(1,([1]!readmissions[Facility ID] = clean[[#This Row],[Facility ID]]) * ([1]!readmissions[Measure ID] = "Hybrid_HWR"), [1]!readmissions[Score]), "No Match")</f>
        <v>14.8</v>
      </c>
    </row>
    <row r="3357" spans="1:6" x14ac:dyDescent="0.2">
      <c r="A3357">
        <f>[1]!hospitalinfo[[#This Row],[Facility ID]]</f>
        <v>291301</v>
      </c>
      <c r="B3357" t="str">
        <f>[1]!hospitalinfo[[#This Row],[State]]</f>
        <v>NV</v>
      </c>
      <c r="C3357" t="str">
        <f>[1]!hospitalinfo[[#This Row],[Hospital Type]]</f>
        <v>Critical Access Hospitals</v>
      </c>
      <c r="D3357" t="str">
        <f>[1]!hospitalinfo[[#This Row],[Hospital Ownership]]</f>
        <v>Government - Hospital District or Authority</v>
      </c>
      <c r="E3357" t="str" cm="1">
        <f t="array" ref="E3357">_xlfn.IFNA(_xlfn.XLOOKUP(1,([1]!hcahps[Facility ID] = clean[[#This Row],[Facility ID]]) * ([1]!hcahps[HCAHPS Measure ID] = "H_HSP_RATING_LINEAR_SCORE"), [1]!hcahps[HCAHPS Linear Mean Value]), "No Match")</f>
        <v>Not Available</v>
      </c>
      <c r="F3357" t="str" cm="1">
        <f t="array" ref="F3357">_xlfn.IFNA(_xlfn.XLOOKUP(1,([1]!readmissions[Facility ID] = clean[[#This Row],[Facility ID]]) * ([1]!readmissions[Measure ID] = "Hybrid_HWR"), [1]!readmissions[Score]), "No Match")</f>
        <v>Not Available</v>
      </c>
    </row>
    <row r="3358" spans="1:6" x14ac:dyDescent="0.2">
      <c r="A3358">
        <f>[1]!hospitalinfo[[#This Row],[Facility ID]]</f>
        <v>291302</v>
      </c>
      <c r="B3358" t="str">
        <f>[1]!hospitalinfo[[#This Row],[State]]</f>
        <v>NV</v>
      </c>
      <c r="C3358" t="str">
        <f>[1]!hospitalinfo[[#This Row],[Hospital Type]]</f>
        <v>Critical Access Hospitals</v>
      </c>
      <c r="D3358" t="str">
        <f>[1]!hospitalinfo[[#This Row],[Hospital Ownership]]</f>
        <v>Government - Hospital District or Authority</v>
      </c>
      <c r="E3358" t="str" cm="1">
        <f t="array" ref="E3358">_xlfn.IFNA(_xlfn.XLOOKUP(1,([1]!hcahps[Facility ID] = clean[[#This Row],[Facility ID]]) * ([1]!hcahps[HCAHPS Measure ID] = "H_HSP_RATING_LINEAR_SCORE"), [1]!hcahps[HCAHPS Linear Mean Value]), "No Match")</f>
        <v>Not Available</v>
      </c>
      <c r="F3358" cm="1">
        <f t="array" ref="F3358">_xlfn.IFNA(_xlfn.XLOOKUP(1,([1]!readmissions[Facility ID] = clean[[#This Row],[Facility ID]]) * ([1]!readmissions[Measure ID] = "Hybrid_HWR"), [1]!readmissions[Score]), "No Match")</f>
        <v>15.1</v>
      </c>
    </row>
    <row r="3359" spans="1:6" x14ac:dyDescent="0.2">
      <c r="A3359">
        <f>[1]!hospitalinfo[[#This Row],[Facility ID]]</f>
        <v>291303</v>
      </c>
      <c r="B3359" t="str">
        <f>[1]!hospitalinfo[[#This Row],[State]]</f>
        <v>NV</v>
      </c>
      <c r="C3359" t="str">
        <f>[1]!hospitalinfo[[#This Row],[Hospital Type]]</f>
        <v>Critical Access Hospitals</v>
      </c>
      <c r="D3359" t="str">
        <f>[1]!hospitalinfo[[#This Row],[Hospital Ownership]]</f>
        <v>Government - Hospital District or Authority</v>
      </c>
      <c r="E3359" t="str" cm="1">
        <f t="array" ref="E3359">_xlfn.IFNA(_xlfn.XLOOKUP(1,([1]!hcahps[Facility ID] = clean[[#This Row],[Facility ID]]) * ([1]!hcahps[HCAHPS Measure ID] = "H_HSP_RATING_LINEAR_SCORE"), [1]!hcahps[HCAHPS Linear Mean Value]), "No Match")</f>
        <v>Not Available</v>
      </c>
      <c r="F3359" t="str" cm="1">
        <f t="array" ref="F3359">_xlfn.IFNA(_xlfn.XLOOKUP(1,([1]!readmissions[Facility ID] = clean[[#This Row],[Facility ID]]) * ([1]!readmissions[Measure ID] = "Hybrid_HWR"), [1]!readmissions[Score]), "No Match")</f>
        <v>Not Available</v>
      </c>
    </row>
    <row r="3360" spans="1:6" x14ac:dyDescent="0.2">
      <c r="A3360">
        <f>[1]!hospitalinfo[[#This Row],[Facility ID]]</f>
        <v>291304</v>
      </c>
      <c r="B3360" t="str">
        <f>[1]!hospitalinfo[[#This Row],[State]]</f>
        <v>NV</v>
      </c>
      <c r="C3360" t="str">
        <f>[1]!hospitalinfo[[#This Row],[Hospital Type]]</f>
        <v>Critical Access Hospitals</v>
      </c>
      <c r="D3360" t="str">
        <f>[1]!hospitalinfo[[#This Row],[Hospital Ownership]]</f>
        <v>Government - Hospital District or Authority</v>
      </c>
      <c r="E3360" t="str" cm="1">
        <f t="array" ref="E3360">_xlfn.IFNA(_xlfn.XLOOKUP(1,([1]!hcahps[Facility ID] = clean[[#This Row],[Facility ID]]) * ([1]!hcahps[HCAHPS Measure ID] = "H_HSP_RATING_LINEAR_SCORE"), [1]!hcahps[HCAHPS Linear Mean Value]), "No Match")</f>
        <v>Not Available</v>
      </c>
      <c r="F3360" t="str" cm="1">
        <f t="array" ref="F3360">_xlfn.IFNA(_xlfn.XLOOKUP(1,([1]!readmissions[Facility ID] = clean[[#This Row],[Facility ID]]) * ([1]!readmissions[Measure ID] = "Hybrid_HWR"), [1]!readmissions[Score]), "No Match")</f>
        <v>Not Available</v>
      </c>
    </row>
    <row r="3361" spans="1:6" x14ac:dyDescent="0.2">
      <c r="A3361">
        <f>[1]!hospitalinfo[[#This Row],[Facility ID]]</f>
        <v>291306</v>
      </c>
      <c r="B3361" t="str">
        <f>[1]!hospitalinfo[[#This Row],[State]]</f>
        <v>NV</v>
      </c>
      <c r="C3361" t="str">
        <f>[1]!hospitalinfo[[#This Row],[Hospital Type]]</f>
        <v>Critical Access Hospitals</v>
      </c>
      <c r="D3361" t="str">
        <f>[1]!hospitalinfo[[#This Row],[Hospital Ownership]]</f>
        <v>Voluntary non-profit - Private</v>
      </c>
      <c r="E3361" cm="1">
        <f t="array" ref="E3361">_xlfn.IFNA(_xlfn.XLOOKUP(1,([1]!hcahps[Facility ID] = clean[[#This Row],[Facility ID]]) * ([1]!hcahps[HCAHPS Measure ID] = "H_HSP_RATING_LINEAR_SCORE"), [1]!hcahps[HCAHPS Linear Mean Value]), "No Match")</f>
        <v>94</v>
      </c>
      <c r="F3361" cm="1">
        <f t="array" ref="F3361">_xlfn.IFNA(_xlfn.XLOOKUP(1,([1]!readmissions[Facility ID] = clean[[#This Row],[Facility ID]]) * ([1]!readmissions[Measure ID] = "Hybrid_HWR"), [1]!readmissions[Score]), "No Match")</f>
        <v>16.3</v>
      </c>
    </row>
    <row r="3362" spans="1:6" x14ac:dyDescent="0.2">
      <c r="A3362">
        <f>[1]!hospitalinfo[[#This Row],[Facility ID]]</f>
        <v>291307</v>
      </c>
      <c r="B3362" t="str">
        <f>[1]!hospitalinfo[[#This Row],[State]]</f>
        <v>NV</v>
      </c>
      <c r="C3362" t="str">
        <f>[1]!hospitalinfo[[#This Row],[Hospital Type]]</f>
        <v>Critical Access Hospitals</v>
      </c>
      <c r="D3362" t="str">
        <f>[1]!hospitalinfo[[#This Row],[Hospital Ownership]]</f>
        <v>Proprietary</v>
      </c>
      <c r="E3362" cm="1">
        <f t="array" ref="E3362">_xlfn.IFNA(_xlfn.XLOOKUP(1,([1]!hcahps[Facility ID] = clean[[#This Row],[Facility ID]]) * ([1]!hcahps[HCAHPS Measure ID] = "H_HSP_RATING_LINEAR_SCORE"), [1]!hcahps[HCAHPS Linear Mean Value]), "No Match")</f>
        <v>84</v>
      </c>
      <c r="F3362" cm="1">
        <f t="array" ref="F3362">_xlfn.IFNA(_xlfn.XLOOKUP(1,([1]!readmissions[Facility ID] = clean[[#This Row],[Facility ID]]) * ([1]!readmissions[Measure ID] = "Hybrid_HWR"), [1]!readmissions[Score]), "No Match")</f>
        <v>15.2</v>
      </c>
    </row>
    <row r="3363" spans="1:6" x14ac:dyDescent="0.2">
      <c r="A3363">
        <f>[1]!hospitalinfo[[#This Row],[Facility ID]]</f>
        <v>291308</v>
      </c>
      <c r="B3363" t="str">
        <f>[1]!hospitalinfo[[#This Row],[State]]</f>
        <v>NV</v>
      </c>
      <c r="C3363" t="str">
        <f>[1]!hospitalinfo[[#This Row],[Hospital Type]]</f>
        <v>Critical Access Hospitals</v>
      </c>
      <c r="D3363" t="str">
        <f>[1]!hospitalinfo[[#This Row],[Hospital Ownership]]</f>
        <v>Government - Hospital District or Authority</v>
      </c>
      <c r="E3363" cm="1">
        <f t="array" ref="E3363">_xlfn.IFNA(_xlfn.XLOOKUP(1,([1]!hcahps[Facility ID] = clean[[#This Row],[Facility ID]]) * ([1]!hcahps[HCAHPS Measure ID] = "H_HSP_RATING_LINEAR_SCORE"), [1]!hcahps[HCAHPS Linear Mean Value]), "No Match")</f>
        <v>87</v>
      </c>
      <c r="F3363" cm="1">
        <f t="array" ref="F3363">_xlfn.IFNA(_xlfn.XLOOKUP(1,([1]!readmissions[Facility ID] = clean[[#This Row],[Facility ID]]) * ([1]!readmissions[Measure ID] = "Hybrid_HWR"), [1]!readmissions[Score]), "No Match")</f>
        <v>14.7</v>
      </c>
    </row>
    <row r="3364" spans="1:6" x14ac:dyDescent="0.2">
      <c r="A3364">
        <f>[1]!hospitalinfo[[#This Row],[Facility ID]]</f>
        <v>291309</v>
      </c>
      <c r="B3364" t="str">
        <f>[1]!hospitalinfo[[#This Row],[State]]</f>
        <v>NV</v>
      </c>
      <c r="C3364" t="str">
        <f>[1]!hospitalinfo[[#This Row],[Hospital Type]]</f>
        <v>Critical Access Hospitals</v>
      </c>
      <c r="D3364" t="str">
        <f>[1]!hospitalinfo[[#This Row],[Hospital Ownership]]</f>
        <v>Voluntary non-profit - Private</v>
      </c>
      <c r="E3364" t="str" cm="1">
        <f t="array" ref="E3364">_xlfn.IFNA(_xlfn.XLOOKUP(1,([1]!hcahps[Facility ID] = clean[[#This Row],[Facility ID]]) * ([1]!hcahps[HCAHPS Measure ID] = "H_HSP_RATING_LINEAR_SCORE"), [1]!hcahps[HCAHPS Linear Mean Value]), "No Match")</f>
        <v>Not Available</v>
      </c>
      <c r="F3364" cm="1">
        <f t="array" ref="F3364">_xlfn.IFNA(_xlfn.XLOOKUP(1,([1]!readmissions[Facility ID] = clean[[#This Row],[Facility ID]]) * ([1]!readmissions[Measure ID] = "Hybrid_HWR"), [1]!readmissions[Score]), "No Match")</f>
        <v>15.2</v>
      </c>
    </row>
    <row r="3365" spans="1:6" x14ac:dyDescent="0.2">
      <c r="A3365">
        <f>[1]!hospitalinfo[[#This Row],[Facility ID]]</f>
        <v>291311</v>
      </c>
      <c r="B3365" t="str">
        <f>[1]!hospitalinfo[[#This Row],[State]]</f>
        <v>NV</v>
      </c>
      <c r="C3365" t="str">
        <f>[1]!hospitalinfo[[#This Row],[Hospital Type]]</f>
        <v>Critical Access Hospitals</v>
      </c>
      <c r="D3365" t="str">
        <f>[1]!hospitalinfo[[#This Row],[Hospital Ownership]]</f>
        <v>Proprietary</v>
      </c>
      <c r="E3365" cm="1">
        <f t="array" ref="E3365">_xlfn.IFNA(_xlfn.XLOOKUP(1,([1]!hcahps[Facility ID] = clean[[#This Row],[Facility ID]]) * ([1]!hcahps[HCAHPS Measure ID] = "H_HSP_RATING_LINEAR_SCORE"), [1]!hcahps[HCAHPS Linear Mean Value]), "No Match")</f>
        <v>84</v>
      </c>
      <c r="F3365" cm="1">
        <f t="array" ref="F3365">_xlfn.IFNA(_xlfn.XLOOKUP(1,([1]!readmissions[Facility ID] = clean[[#This Row],[Facility ID]]) * ([1]!readmissions[Measure ID] = "Hybrid_HWR"), [1]!readmissions[Score]), "No Match")</f>
        <v>17</v>
      </c>
    </row>
    <row r="3366" spans="1:6" x14ac:dyDescent="0.2">
      <c r="A3366">
        <f>[1]!hospitalinfo[[#This Row],[Facility ID]]</f>
        <v>291312</v>
      </c>
      <c r="B3366" t="str">
        <f>[1]!hospitalinfo[[#This Row],[State]]</f>
        <v>NV</v>
      </c>
      <c r="C3366" t="str">
        <f>[1]!hospitalinfo[[#This Row],[Hospital Type]]</f>
        <v>Critical Access Hospitals</v>
      </c>
      <c r="D3366" t="str">
        <f>[1]!hospitalinfo[[#This Row],[Hospital Ownership]]</f>
        <v>Voluntary non-profit - Private</v>
      </c>
      <c r="E3366" t="str" cm="1">
        <f t="array" ref="E3366">_xlfn.IFNA(_xlfn.XLOOKUP(1,([1]!hcahps[Facility ID] = clean[[#This Row],[Facility ID]]) * ([1]!hcahps[HCAHPS Measure ID] = "H_HSP_RATING_LINEAR_SCORE"), [1]!hcahps[HCAHPS Linear Mean Value]), "No Match")</f>
        <v>Not Available</v>
      </c>
      <c r="F3366" cm="1">
        <f t="array" ref="F3366">_xlfn.IFNA(_xlfn.XLOOKUP(1,([1]!readmissions[Facility ID] = clean[[#This Row],[Facility ID]]) * ([1]!readmissions[Measure ID] = "Hybrid_HWR"), [1]!readmissions[Score]), "No Match")</f>
        <v>15.1</v>
      </c>
    </row>
    <row r="3367" spans="1:6" x14ac:dyDescent="0.2">
      <c r="A3367">
        <f>[1]!hospitalinfo[[#This Row],[Facility ID]]</f>
        <v>291313</v>
      </c>
      <c r="B3367" t="str">
        <f>[1]!hospitalinfo[[#This Row],[State]]</f>
        <v>NV</v>
      </c>
      <c r="C3367" t="str">
        <f>[1]!hospitalinfo[[#This Row],[Hospital Type]]</f>
        <v>Critical Access Hospitals</v>
      </c>
      <c r="D3367" t="str">
        <f>[1]!hospitalinfo[[#This Row],[Hospital Ownership]]</f>
        <v>Voluntary non-profit - Private</v>
      </c>
      <c r="E3367" cm="1">
        <f t="array" ref="E3367">_xlfn.IFNA(_xlfn.XLOOKUP(1,([1]!hcahps[Facility ID] = clean[[#This Row],[Facility ID]]) * ([1]!hcahps[HCAHPS Measure ID] = "H_HSP_RATING_LINEAR_SCORE"), [1]!hcahps[HCAHPS Linear Mean Value]), "No Match")</f>
        <v>90</v>
      </c>
      <c r="F3367" cm="1">
        <f t="array" ref="F3367">_xlfn.IFNA(_xlfn.XLOOKUP(1,([1]!readmissions[Facility ID] = clean[[#This Row],[Facility ID]]) * ([1]!readmissions[Measure ID] = "Hybrid_HWR"), [1]!readmissions[Score]), "No Match")</f>
        <v>15.6</v>
      </c>
    </row>
    <row r="3368" spans="1:6" x14ac:dyDescent="0.2">
      <c r="A3368">
        <f>[1]!hospitalinfo[[#This Row],[Facility ID]]</f>
        <v>291314</v>
      </c>
      <c r="B3368" t="str">
        <f>[1]!hospitalinfo[[#This Row],[State]]</f>
        <v>NV</v>
      </c>
      <c r="C3368" t="str">
        <f>[1]!hospitalinfo[[#This Row],[Hospital Type]]</f>
        <v>Critical Access Hospitals</v>
      </c>
      <c r="D3368" t="str">
        <f>[1]!hospitalinfo[[#This Row],[Hospital Ownership]]</f>
        <v>Voluntary non-profit - Private</v>
      </c>
      <c r="E3368" t="str" cm="1">
        <f t="array" ref="E3368">_xlfn.IFNA(_xlfn.XLOOKUP(1,([1]!hcahps[Facility ID] = clean[[#This Row],[Facility ID]]) * ([1]!hcahps[HCAHPS Measure ID] = "H_HSP_RATING_LINEAR_SCORE"), [1]!hcahps[HCAHPS Linear Mean Value]), "No Match")</f>
        <v>Not Available</v>
      </c>
      <c r="F3368" t="str" cm="1">
        <f t="array" ref="F3368">_xlfn.IFNA(_xlfn.XLOOKUP(1,([1]!readmissions[Facility ID] = clean[[#This Row],[Facility ID]]) * ([1]!readmissions[Measure ID] = "Hybrid_HWR"), [1]!readmissions[Score]), "No Match")</f>
        <v>Not Available</v>
      </c>
    </row>
    <row r="3369" spans="1:6" x14ac:dyDescent="0.2">
      <c r="A3369">
        <f>[1]!hospitalinfo[[#This Row],[Facility ID]]</f>
        <v>294000</v>
      </c>
      <c r="B3369" t="str">
        <f>[1]!hospitalinfo[[#This Row],[State]]</f>
        <v>NV</v>
      </c>
      <c r="C3369" t="str">
        <f>[1]!hospitalinfo[[#This Row],[Hospital Type]]</f>
        <v>Psychiatric</v>
      </c>
      <c r="D3369" t="str">
        <f>[1]!hospitalinfo[[#This Row],[Hospital Ownership]]</f>
        <v>Government - State</v>
      </c>
      <c r="E3369" t="str" cm="1">
        <f t="array" ref="E3369">_xlfn.IFNA(_xlfn.XLOOKUP(1,([1]!hcahps[Facility ID] = clean[[#This Row],[Facility ID]]) * ([1]!hcahps[HCAHPS Measure ID] = "H_HSP_RATING_LINEAR_SCORE"), [1]!hcahps[HCAHPS Linear Mean Value]), "No Match")</f>
        <v>No Match</v>
      </c>
      <c r="F3369" t="str" cm="1">
        <f t="array" ref="F3369">_xlfn.IFNA(_xlfn.XLOOKUP(1,([1]!readmissions[Facility ID] = clean[[#This Row],[Facility ID]]) * ([1]!readmissions[Measure ID] = "Hybrid_HWR"), [1]!readmissions[Score]), "No Match")</f>
        <v>No Match</v>
      </c>
    </row>
    <row r="3370" spans="1:6" x14ac:dyDescent="0.2">
      <c r="A3370">
        <f>[1]!hospitalinfo[[#This Row],[Facility ID]]</f>
        <v>294002</v>
      </c>
      <c r="B3370" t="str">
        <f>[1]!hospitalinfo[[#This Row],[State]]</f>
        <v>NV</v>
      </c>
      <c r="C3370" t="str">
        <f>[1]!hospitalinfo[[#This Row],[Hospital Type]]</f>
        <v>Psychiatric</v>
      </c>
      <c r="D3370" t="str">
        <f>[1]!hospitalinfo[[#This Row],[Hospital Ownership]]</f>
        <v>Government - State</v>
      </c>
      <c r="E3370" t="str" cm="1">
        <f t="array" ref="E3370">_xlfn.IFNA(_xlfn.XLOOKUP(1,([1]!hcahps[Facility ID] = clean[[#This Row],[Facility ID]]) * ([1]!hcahps[HCAHPS Measure ID] = "H_HSP_RATING_LINEAR_SCORE"), [1]!hcahps[HCAHPS Linear Mean Value]), "No Match")</f>
        <v>No Match</v>
      </c>
      <c r="F3370" t="str" cm="1">
        <f t="array" ref="F3370">_xlfn.IFNA(_xlfn.XLOOKUP(1,([1]!readmissions[Facility ID] = clean[[#This Row],[Facility ID]]) * ([1]!readmissions[Measure ID] = "Hybrid_HWR"), [1]!readmissions[Score]), "No Match")</f>
        <v>No Match</v>
      </c>
    </row>
    <row r="3371" spans="1:6" x14ac:dyDescent="0.2">
      <c r="A3371">
        <f>[1]!hospitalinfo[[#This Row],[Facility ID]]</f>
        <v>294010</v>
      </c>
      <c r="B3371" t="str">
        <f>[1]!hospitalinfo[[#This Row],[State]]</f>
        <v>NV</v>
      </c>
      <c r="C3371" t="str">
        <f>[1]!hospitalinfo[[#This Row],[Hospital Type]]</f>
        <v>Psychiatric</v>
      </c>
      <c r="D3371" t="str">
        <f>[1]!hospitalinfo[[#This Row],[Hospital Ownership]]</f>
        <v>Proprietary</v>
      </c>
      <c r="E3371" t="str" cm="1">
        <f t="array" ref="E3371">_xlfn.IFNA(_xlfn.XLOOKUP(1,([1]!hcahps[Facility ID] = clean[[#This Row],[Facility ID]]) * ([1]!hcahps[HCAHPS Measure ID] = "H_HSP_RATING_LINEAR_SCORE"), [1]!hcahps[HCAHPS Linear Mean Value]), "No Match")</f>
        <v>No Match</v>
      </c>
      <c r="F3371" t="str" cm="1">
        <f t="array" ref="F3371">_xlfn.IFNA(_xlfn.XLOOKUP(1,([1]!readmissions[Facility ID] = clean[[#This Row],[Facility ID]]) * ([1]!readmissions[Measure ID] = "Hybrid_HWR"), [1]!readmissions[Score]), "No Match")</f>
        <v>No Match</v>
      </c>
    </row>
    <row r="3372" spans="1:6" x14ac:dyDescent="0.2">
      <c r="A3372">
        <f>[1]!hospitalinfo[[#This Row],[Facility ID]]</f>
        <v>294011</v>
      </c>
      <c r="B3372" t="str">
        <f>[1]!hospitalinfo[[#This Row],[State]]</f>
        <v>NV</v>
      </c>
      <c r="C3372" t="str">
        <f>[1]!hospitalinfo[[#This Row],[Hospital Type]]</f>
        <v>Psychiatric</v>
      </c>
      <c r="D3372" t="str">
        <f>[1]!hospitalinfo[[#This Row],[Hospital Ownership]]</f>
        <v>Proprietary</v>
      </c>
      <c r="E3372" t="str" cm="1">
        <f t="array" ref="E3372">_xlfn.IFNA(_xlfn.XLOOKUP(1,([1]!hcahps[Facility ID] = clean[[#This Row],[Facility ID]]) * ([1]!hcahps[HCAHPS Measure ID] = "H_HSP_RATING_LINEAR_SCORE"), [1]!hcahps[HCAHPS Linear Mean Value]), "No Match")</f>
        <v>No Match</v>
      </c>
      <c r="F3372" t="str" cm="1">
        <f t="array" ref="F3372">_xlfn.IFNA(_xlfn.XLOOKUP(1,([1]!readmissions[Facility ID] = clean[[#This Row],[Facility ID]]) * ([1]!readmissions[Measure ID] = "Hybrid_HWR"), [1]!readmissions[Score]), "No Match")</f>
        <v>No Match</v>
      </c>
    </row>
    <row r="3373" spans="1:6" x14ac:dyDescent="0.2">
      <c r="A3373">
        <f>[1]!hospitalinfo[[#This Row],[Facility ID]]</f>
        <v>294012</v>
      </c>
      <c r="B3373" t="str">
        <f>[1]!hospitalinfo[[#This Row],[State]]</f>
        <v>NV</v>
      </c>
      <c r="C3373" t="str">
        <f>[1]!hospitalinfo[[#This Row],[Hospital Type]]</f>
        <v>Psychiatric</v>
      </c>
      <c r="D3373" t="str">
        <f>[1]!hospitalinfo[[#This Row],[Hospital Ownership]]</f>
        <v>Proprietary</v>
      </c>
      <c r="E3373" t="str" cm="1">
        <f t="array" ref="E3373">_xlfn.IFNA(_xlfn.XLOOKUP(1,([1]!hcahps[Facility ID] = clean[[#This Row],[Facility ID]]) * ([1]!hcahps[HCAHPS Measure ID] = "H_HSP_RATING_LINEAR_SCORE"), [1]!hcahps[HCAHPS Linear Mean Value]), "No Match")</f>
        <v>No Match</v>
      </c>
      <c r="F3373" t="str" cm="1">
        <f t="array" ref="F3373">_xlfn.IFNA(_xlfn.XLOOKUP(1,([1]!readmissions[Facility ID] = clean[[#This Row],[Facility ID]]) * ([1]!readmissions[Measure ID] = "Hybrid_HWR"), [1]!readmissions[Score]), "No Match")</f>
        <v>No Match</v>
      </c>
    </row>
    <row r="3374" spans="1:6" x14ac:dyDescent="0.2">
      <c r="A3374">
        <f>[1]!hospitalinfo[[#This Row],[Facility ID]]</f>
        <v>294013</v>
      </c>
      <c r="B3374" t="str">
        <f>[1]!hospitalinfo[[#This Row],[State]]</f>
        <v>NV</v>
      </c>
      <c r="C3374" t="str">
        <f>[1]!hospitalinfo[[#This Row],[Hospital Type]]</f>
        <v>Psychiatric</v>
      </c>
      <c r="D3374" t="str">
        <f>[1]!hospitalinfo[[#This Row],[Hospital Ownership]]</f>
        <v>Proprietary</v>
      </c>
      <c r="E3374" t="str" cm="1">
        <f t="array" ref="E3374">_xlfn.IFNA(_xlfn.XLOOKUP(1,([1]!hcahps[Facility ID] = clean[[#This Row],[Facility ID]]) * ([1]!hcahps[HCAHPS Measure ID] = "H_HSP_RATING_LINEAR_SCORE"), [1]!hcahps[HCAHPS Linear Mean Value]), "No Match")</f>
        <v>No Match</v>
      </c>
      <c r="F3374" t="str" cm="1">
        <f t="array" ref="F3374">_xlfn.IFNA(_xlfn.XLOOKUP(1,([1]!readmissions[Facility ID] = clean[[#This Row],[Facility ID]]) * ([1]!readmissions[Measure ID] = "Hybrid_HWR"), [1]!readmissions[Score]), "No Match")</f>
        <v>No Match</v>
      </c>
    </row>
    <row r="3375" spans="1:6" x14ac:dyDescent="0.2">
      <c r="A3375">
        <f>[1]!hospitalinfo[[#This Row],[Facility ID]]</f>
        <v>294015</v>
      </c>
      <c r="B3375" t="str">
        <f>[1]!hospitalinfo[[#This Row],[State]]</f>
        <v>NV</v>
      </c>
      <c r="C3375" t="str">
        <f>[1]!hospitalinfo[[#This Row],[Hospital Type]]</f>
        <v>Psychiatric</v>
      </c>
      <c r="D3375" t="str">
        <f>[1]!hospitalinfo[[#This Row],[Hospital Ownership]]</f>
        <v>Proprietary</v>
      </c>
      <c r="E3375" t="str" cm="1">
        <f t="array" ref="E3375">_xlfn.IFNA(_xlfn.XLOOKUP(1,([1]!hcahps[Facility ID] = clean[[#This Row],[Facility ID]]) * ([1]!hcahps[HCAHPS Measure ID] = "H_HSP_RATING_LINEAR_SCORE"), [1]!hcahps[HCAHPS Linear Mean Value]), "No Match")</f>
        <v>No Match</v>
      </c>
      <c r="F3375" t="str" cm="1">
        <f t="array" ref="F3375">_xlfn.IFNA(_xlfn.XLOOKUP(1,([1]!readmissions[Facility ID] = clean[[#This Row],[Facility ID]]) * ([1]!readmissions[Measure ID] = "Hybrid_HWR"), [1]!readmissions[Score]), "No Match")</f>
        <v>No Match</v>
      </c>
    </row>
    <row r="3376" spans="1:6" x14ac:dyDescent="0.2">
      <c r="A3376">
        <f>[1]!hospitalinfo[[#This Row],[Facility ID]]</f>
        <v>294016</v>
      </c>
      <c r="B3376" t="str">
        <f>[1]!hospitalinfo[[#This Row],[State]]</f>
        <v>NV</v>
      </c>
      <c r="C3376" t="str">
        <f>[1]!hospitalinfo[[#This Row],[Hospital Type]]</f>
        <v>Psychiatric</v>
      </c>
      <c r="D3376" t="str">
        <f>[1]!hospitalinfo[[#This Row],[Hospital Ownership]]</f>
        <v>Proprietary</v>
      </c>
      <c r="E3376" t="str" cm="1">
        <f t="array" ref="E3376">_xlfn.IFNA(_xlfn.XLOOKUP(1,([1]!hcahps[Facility ID] = clean[[#This Row],[Facility ID]]) * ([1]!hcahps[HCAHPS Measure ID] = "H_HSP_RATING_LINEAR_SCORE"), [1]!hcahps[HCAHPS Linear Mean Value]), "No Match")</f>
        <v>No Match</v>
      </c>
      <c r="F3376" t="str" cm="1">
        <f t="array" ref="F3376">_xlfn.IFNA(_xlfn.XLOOKUP(1,([1]!readmissions[Facility ID] = clean[[#This Row],[Facility ID]]) * ([1]!readmissions[Measure ID] = "Hybrid_HWR"), [1]!readmissions[Score]), "No Match")</f>
        <v>No Match</v>
      </c>
    </row>
    <row r="3377" spans="1:6" x14ac:dyDescent="0.2">
      <c r="A3377" t="str">
        <f>[1]!hospitalinfo[[#This Row],[Facility ID]]</f>
        <v>29001F</v>
      </c>
      <c r="B3377" t="str">
        <f>[1]!hospitalinfo[[#This Row],[State]]</f>
        <v>NV</v>
      </c>
      <c r="C3377" t="str">
        <f>[1]!hospitalinfo[[#This Row],[Hospital Type]]</f>
        <v>Acute Care - Department of Defense</v>
      </c>
      <c r="D3377" t="str">
        <f>[1]!hospitalinfo[[#This Row],[Hospital Ownership]]</f>
        <v>Department of Defense</v>
      </c>
      <c r="E3377" cm="1">
        <f t="array" ref="E3377">_xlfn.IFNA(_xlfn.XLOOKUP(1,([1]!hcahps[Facility ID] = clean[[#This Row],[Facility ID]]) * ([1]!hcahps[HCAHPS Measure ID] = "H_HSP_RATING_LINEAR_SCORE"), [1]!hcahps[HCAHPS Linear Mean Value]), "No Match")</f>
        <v>90</v>
      </c>
      <c r="F3377" t="str" cm="1">
        <f t="array" ref="F3377">_xlfn.IFNA(_xlfn.XLOOKUP(1,([1]!readmissions[Facility ID] = clean[[#This Row],[Facility ID]]) * ([1]!readmissions[Measure ID] = "Hybrid_HWR"), [1]!readmissions[Score]), "No Match")</f>
        <v>Not Available</v>
      </c>
    </row>
    <row r="3378" spans="1:6" x14ac:dyDescent="0.2">
      <c r="A3378" t="str">
        <f>[1]!hospitalinfo[[#This Row],[Facility ID]]</f>
        <v>29002F</v>
      </c>
      <c r="B3378" t="str">
        <f>[1]!hospitalinfo[[#This Row],[State]]</f>
        <v>NV</v>
      </c>
      <c r="C3378" t="str">
        <f>[1]!hospitalinfo[[#This Row],[Hospital Type]]</f>
        <v>Acute Care - Veterans Administration</v>
      </c>
      <c r="D3378" t="str">
        <f>[1]!hospitalinfo[[#This Row],[Hospital Ownership]]</f>
        <v>Veterans Health Administration</v>
      </c>
      <c r="E3378" cm="1">
        <f t="array" ref="E3378">_xlfn.IFNA(_xlfn.XLOOKUP(1,([1]!hcahps[Facility ID] = clean[[#This Row],[Facility ID]]) * ([1]!hcahps[HCAHPS Measure ID] = "H_HSP_RATING_LINEAR_SCORE"), [1]!hcahps[HCAHPS Linear Mean Value]), "No Match")</f>
        <v>90</v>
      </c>
      <c r="F3378" cm="1">
        <f t="array" ref="F3378">_xlfn.IFNA(_xlfn.XLOOKUP(1,([1]!readmissions[Facility ID] = clean[[#This Row],[Facility ID]]) * ([1]!readmissions[Measure ID] = "Hybrid_HWR"), [1]!readmissions[Score]), "No Match")</f>
        <v>14</v>
      </c>
    </row>
    <row r="3379" spans="1:6" x14ac:dyDescent="0.2">
      <c r="A3379" t="str">
        <f>[1]!hospitalinfo[[#This Row],[Facility ID]]</f>
        <v>29004F</v>
      </c>
      <c r="B3379" t="str">
        <f>[1]!hospitalinfo[[#This Row],[State]]</f>
        <v>NV</v>
      </c>
      <c r="C3379" t="str">
        <f>[1]!hospitalinfo[[#This Row],[Hospital Type]]</f>
        <v>Acute Care - Veterans Administration</v>
      </c>
      <c r="D3379" t="str">
        <f>[1]!hospitalinfo[[#This Row],[Hospital Ownership]]</f>
        <v>Veterans Health Administration</v>
      </c>
      <c r="E3379" cm="1">
        <f t="array" ref="E3379">_xlfn.IFNA(_xlfn.XLOOKUP(1,([1]!hcahps[Facility ID] = clean[[#This Row],[Facility ID]]) * ([1]!hcahps[HCAHPS Measure ID] = "H_HSP_RATING_LINEAR_SCORE"), [1]!hcahps[HCAHPS Linear Mean Value]), "No Match")</f>
        <v>91</v>
      </c>
      <c r="F3379" cm="1">
        <f t="array" ref="F3379">_xlfn.IFNA(_xlfn.XLOOKUP(1,([1]!readmissions[Facility ID] = clean[[#This Row],[Facility ID]]) * ([1]!readmissions[Measure ID] = "Hybrid_HWR"), [1]!readmissions[Score]), "No Match")</f>
        <v>14.4</v>
      </c>
    </row>
    <row r="3380" spans="1:6" x14ac:dyDescent="0.2">
      <c r="A3380">
        <f>[1]!hospitalinfo[[#This Row],[Facility ID]]</f>
        <v>330005</v>
      </c>
      <c r="B3380" t="str">
        <f>[1]!hospitalinfo[[#This Row],[State]]</f>
        <v>NY</v>
      </c>
      <c r="C3380" t="str">
        <f>[1]!hospitalinfo[[#This Row],[Hospital Type]]</f>
        <v>Acute Care Hospitals</v>
      </c>
      <c r="D3380" t="str">
        <f>[1]!hospitalinfo[[#This Row],[Hospital Ownership]]</f>
        <v>Voluntary non-profit - Private</v>
      </c>
      <c r="E3380" cm="1">
        <f t="array" ref="E3380">_xlfn.IFNA(_xlfn.XLOOKUP(1,([1]!hcahps[Facility ID] = clean[[#This Row],[Facility ID]]) * ([1]!hcahps[HCAHPS Measure ID] = "H_HSP_RATING_LINEAR_SCORE"), [1]!hcahps[HCAHPS Linear Mean Value]), "No Match")</f>
        <v>86</v>
      </c>
      <c r="F3380" cm="1">
        <f t="array" ref="F3380">_xlfn.IFNA(_xlfn.XLOOKUP(1,([1]!readmissions[Facility ID] = clean[[#This Row],[Facility ID]]) * ([1]!readmissions[Measure ID] = "Hybrid_HWR"), [1]!readmissions[Score]), "No Match")</f>
        <v>14.5</v>
      </c>
    </row>
    <row r="3381" spans="1:6" x14ac:dyDescent="0.2">
      <c r="A3381">
        <f>[1]!hospitalinfo[[#This Row],[Facility ID]]</f>
        <v>330006</v>
      </c>
      <c r="B3381" t="str">
        <f>[1]!hospitalinfo[[#This Row],[State]]</f>
        <v>NY</v>
      </c>
      <c r="C3381" t="str">
        <f>[1]!hospitalinfo[[#This Row],[Hospital Type]]</f>
        <v>Acute Care Hospitals</v>
      </c>
      <c r="D3381" t="str">
        <f>[1]!hospitalinfo[[#This Row],[Hospital Ownership]]</f>
        <v>Voluntary non-profit - Private</v>
      </c>
      <c r="E3381" cm="1">
        <f t="array" ref="E3381">_xlfn.IFNA(_xlfn.XLOOKUP(1,([1]!hcahps[Facility ID] = clean[[#This Row],[Facility ID]]) * ([1]!hcahps[HCAHPS Measure ID] = "H_HSP_RATING_LINEAR_SCORE"), [1]!hcahps[HCAHPS Linear Mean Value]), "No Match")</f>
        <v>77</v>
      </c>
      <c r="F3381" cm="1">
        <f t="array" ref="F3381">_xlfn.IFNA(_xlfn.XLOOKUP(1,([1]!readmissions[Facility ID] = clean[[#This Row],[Facility ID]]) * ([1]!readmissions[Measure ID] = "Hybrid_HWR"), [1]!readmissions[Score]), "No Match")</f>
        <v>15.2</v>
      </c>
    </row>
    <row r="3382" spans="1:6" x14ac:dyDescent="0.2">
      <c r="A3382">
        <f>[1]!hospitalinfo[[#This Row],[Facility ID]]</f>
        <v>330009</v>
      </c>
      <c r="B3382" t="str">
        <f>[1]!hospitalinfo[[#This Row],[State]]</f>
        <v>NY</v>
      </c>
      <c r="C3382" t="str">
        <f>[1]!hospitalinfo[[#This Row],[Hospital Type]]</f>
        <v>Acute Care Hospitals</v>
      </c>
      <c r="D3382" t="str">
        <f>[1]!hospitalinfo[[#This Row],[Hospital Ownership]]</f>
        <v>Voluntary non-profit - Private</v>
      </c>
      <c r="E3382" cm="1">
        <f t="array" ref="E3382">_xlfn.IFNA(_xlfn.XLOOKUP(1,([1]!hcahps[Facility ID] = clean[[#This Row],[Facility ID]]) * ([1]!hcahps[HCAHPS Measure ID] = "H_HSP_RATING_LINEAR_SCORE"), [1]!hcahps[HCAHPS Linear Mean Value]), "No Match")</f>
        <v>82</v>
      </c>
      <c r="F3382" cm="1">
        <f t="array" ref="F3382">_xlfn.IFNA(_xlfn.XLOOKUP(1,([1]!readmissions[Facility ID] = clean[[#This Row],[Facility ID]]) * ([1]!readmissions[Measure ID] = "Hybrid_HWR"), [1]!readmissions[Score]), "No Match")</f>
        <v>16.7</v>
      </c>
    </row>
    <row r="3383" spans="1:6" x14ac:dyDescent="0.2">
      <c r="A3383">
        <f>[1]!hospitalinfo[[#This Row],[Facility ID]]</f>
        <v>330011</v>
      </c>
      <c r="B3383" t="str">
        <f>[1]!hospitalinfo[[#This Row],[State]]</f>
        <v>NY</v>
      </c>
      <c r="C3383" t="str">
        <f>[1]!hospitalinfo[[#This Row],[Hospital Type]]</f>
        <v>Acute Care Hospitals</v>
      </c>
      <c r="D3383" t="str">
        <f>[1]!hospitalinfo[[#This Row],[Hospital Ownership]]</f>
        <v>Voluntary non-profit - Private</v>
      </c>
      <c r="E3383" cm="1">
        <f t="array" ref="E3383">_xlfn.IFNA(_xlfn.XLOOKUP(1,([1]!hcahps[Facility ID] = clean[[#This Row],[Facility ID]]) * ([1]!hcahps[HCAHPS Measure ID] = "H_HSP_RATING_LINEAR_SCORE"), [1]!hcahps[HCAHPS Linear Mean Value]), "No Match")</f>
        <v>82</v>
      </c>
      <c r="F3383" cm="1">
        <f t="array" ref="F3383">_xlfn.IFNA(_xlfn.XLOOKUP(1,([1]!readmissions[Facility ID] = clean[[#This Row],[Facility ID]]) * ([1]!readmissions[Measure ID] = "Hybrid_HWR"), [1]!readmissions[Score]), "No Match")</f>
        <v>15.3</v>
      </c>
    </row>
    <row r="3384" spans="1:6" x14ac:dyDescent="0.2">
      <c r="A3384">
        <f>[1]!hospitalinfo[[#This Row],[Facility ID]]</f>
        <v>330013</v>
      </c>
      <c r="B3384" t="str">
        <f>[1]!hospitalinfo[[#This Row],[State]]</f>
        <v>NY</v>
      </c>
      <c r="C3384" t="str">
        <f>[1]!hospitalinfo[[#This Row],[Hospital Type]]</f>
        <v>Acute Care Hospitals</v>
      </c>
      <c r="D3384" t="str">
        <f>[1]!hospitalinfo[[#This Row],[Hospital Ownership]]</f>
        <v>Voluntary non-profit - Private</v>
      </c>
      <c r="E3384" cm="1">
        <f t="array" ref="E3384">_xlfn.IFNA(_xlfn.XLOOKUP(1,([1]!hcahps[Facility ID] = clean[[#This Row],[Facility ID]]) * ([1]!hcahps[HCAHPS Measure ID] = "H_HSP_RATING_LINEAR_SCORE"), [1]!hcahps[HCAHPS Linear Mean Value]), "No Match")</f>
        <v>81</v>
      </c>
      <c r="F3384" cm="1">
        <f t="array" ref="F3384">_xlfn.IFNA(_xlfn.XLOOKUP(1,([1]!readmissions[Facility ID] = clean[[#This Row],[Facility ID]]) * ([1]!readmissions[Measure ID] = "Hybrid_HWR"), [1]!readmissions[Score]), "No Match")</f>
        <v>15.3</v>
      </c>
    </row>
    <row r="3385" spans="1:6" x14ac:dyDescent="0.2">
      <c r="A3385">
        <f>[1]!hospitalinfo[[#This Row],[Facility ID]]</f>
        <v>330014</v>
      </c>
      <c r="B3385" t="str">
        <f>[1]!hospitalinfo[[#This Row],[State]]</f>
        <v>NY</v>
      </c>
      <c r="C3385" t="str">
        <f>[1]!hospitalinfo[[#This Row],[Hospital Type]]</f>
        <v>Acute Care Hospitals</v>
      </c>
      <c r="D3385" t="str">
        <f>[1]!hospitalinfo[[#This Row],[Hospital Ownership]]</f>
        <v>Voluntary non-profit - Private</v>
      </c>
      <c r="E3385" cm="1">
        <f t="array" ref="E3385">_xlfn.IFNA(_xlfn.XLOOKUP(1,([1]!hcahps[Facility ID] = clean[[#This Row],[Facility ID]]) * ([1]!hcahps[HCAHPS Measure ID] = "H_HSP_RATING_LINEAR_SCORE"), [1]!hcahps[HCAHPS Linear Mean Value]), "No Match")</f>
        <v>83</v>
      </c>
      <c r="F3385" cm="1">
        <f t="array" ref="F3385">_xlfn.IFNA(_xlfn.XLOOKUP(1,([1]!readmissions[Facility ID] = clean[[#This Row],[Facility ID]]) * ([1]!readmissions[Measure ID] = "Hybrid_HWR"), [1]!readmissions[Score]), "No Match")</f>
        <v>15.7</v>
      </c>
    </row>
    <row r="3386" spans="1:6" x14ac:dyDescent="0.2">
      <c r="A3386">
        <f>[1]!hospitalinfo[[#This Row],[Facility ID]]</f>
        <v>330019</v>
      </c>
      <c r="B3386" t="str">
        <f>[1]!hospitalinfo[[#This Row],[State]]</f>
        <v>NY</v>
      </c>
      <c r="C3386" t="str">
        <f>[1]!hospitalinfo[[#This Row],[Hospital Type]]</f>
        <v>Acute Care Hospitals</v>
      </c>
      <c r="D3386" t="str">
        <f>[1]!hospitalinfo[[#This Row],[Hospital Ownership]]</f>
        <v>Voluntary non-profit - Private</v>
      </c>
      <c r="E3386" cm="1">
        <f t="array" ref="E3386">_xlfn.IFNA(_xlfn.XLOOKUP(1,([1]!hcahps[Facility ID] = clean[[#This Row],[Facility ID]]) * ([1]!hcahps[HCAHPS Measure ID] = "H_HSP_RATING_LINEAR_SCORE"), [1]!hcahps[HCAHPS Linear Mean Value]), "No Match")</f>
        <v>76</v>
      </c>
      <c r="F3386" cm="1">
        <f t="array" ref="F3386">_xlfn.IFNA(_xlfn.XLOOKUP(1,([1]!readmissions[Facility ID] = clean[[#This Row],[Facility ID]]) * ([1]!readmissions[Measure ID] = "Hybrid_HWR"), [1]!readmissions[Score]), "No Match")</f>
        <v>16.8</v>
      </c>
    </row>
    <row r="3387" spans="1:6" x14ac:dyDescent="0.2">
      <c r="A3387">
        <f>[1]!hospitalinfo[[#This Row],[Facility ID]]</f>
        <v>330023</v>
      </c>
      <c r="B3387" t="str">
        <f>[1]!hospitalinfo[[#This Row],[State]]</f>
        <v>NY</v>
      </c>
      <c r="C3387" t="str">
        <f>[1]!hospitalinfo[[#This Row],[Hospital Type]]</f>
        <v>Acute Care Hospitals</v>
      </c>
      <c r="D3387" t="str">
        <f>[1]!hospitalinfo[[#This Row],[Hospital Ownership]]</f>
        <v>Voluntary non-profit - Private</v>
      </c>
      <c r="E3387" cm="1">
        <f t="array" ref="E3387">_xlfn.IFNA(_xlfn.XLOOKUP(1,([1]!hcahps[Facility ID] = clean[[#This Row],[Facility ID]]) * ([1]!hcahps[HCAHPS Measure ID] = "H_HSP_RATING_LINEAR_SCORE"), [1]!hcahps[HCAHPS Linear Mean Value]), "No Match")</f>
        <v>88</v>
      </c>
      <c r="F3387" cm="1">
        <f t="array" ref="F3387">_xlfn.IFNA(_xlfn.XLOOKUP(1,([1]!readmissions[Facility ID] = clean[[#This Row],[Facility ID]]) * ([1]!readmissions[Measure ID] = "Hybrid_HWR"), [1]!readmissions[Score]), "No Match")</f>
        <v>15.8</v>
      </c>
    </row>
    <row r="3388" spans="1:6" x14ac:dyDescent="0.2">
      <c r="A3388">
        <f>[1]!hospitalinfo[[#This Row],[Facility ID]]</f>
        <v>330024</v>
      </c>
      <c r="B3388" t="str">
        <f>[1]!hospitalinfo[[#This Row],[State]]</f>
        <v>NY</v>
      </c>
      <c r="C3388" t="str">
        <f>[1]!hospitalinfo[[#This Row],[Hospital Type]]</f>
        <v>Acute Care Hospitals</v>
      </c>
      <c r="D3388" t="str">
        <f>[1]!hospitalinfo[[#This Row],[Hospital Ownership]]</f>
        <v>Voluntary non-profit - Private</v>
      </c>
      <c r="E3388" cm="1">
        <f t="array" ref="E3388">_xlfn.IFNA(_xlfn.XLOOKUP(1,([1]!hcahps[Facility ID] = clean[[#This Row],[Facility ID]]) * ([1]!hcahps[HCAHPS Measure ID] = "H_HSP_RATING_LINEAR_SCORE"), [1]!hcahps[HCAHPS Linear Mean Value]), "No Match")</f>
        <v>87</v>
      </c>
      <c r="F3388" cm="1">
        <f t="array" ref="F3388">_xlfn.IFNA(_xlfn.XLOOKUP(1,([1]!readmissions[Facility ID] = clean[[#This Row],[Facility ID]]) * ([1]!readmissions[Measure ID] = "Hybrid_HWR"), [1]!readmissions[Score]), "No Match")</f>
        <v>14.6</v>
      </c>
    </row>
    <row r="3389" spans="1:6" x14ac:dyDescent="0.2">
      <c r="A3389">
        <f>[1]!hospitalinfo[[#This Row],[Facility ID]]</f>
        <v>330027</v>
      </c>
      <c r="B3389" t="str">
        <f>[1]!hospitalinfo[[#This Row],[State]]</f>
        <v>NY</v>
      </c>
      <c r="C3389" t="str">
        <f>[1]!hospitalinfo[[#This Row],[Hospital Type]]</f>
        <v>Acute Care Hospitals</v>
      </c>
      <c r="D3389" t="str">
        <f>[1]!hospitalinfo[[#This Row],[Hospital Ownership]]</f>
        <v>Government - State</v>
      </c>
      <c r="E3389" cm="1">
        <f t="array" ref="E3389">_xlfn.IFNA(_xlfn.XLOOKUP(1,([1]!hcahps[Facility ID] = clean[[#This Row],[Facility ID]]) * ([1]!hcahps[HCAHPS Measure ID] = "H_HSP_RATING_LINEAR_SCORE"), [1]!hcahps[HCAHPS Linear Mean Value]), "No Match")</f>
        <v>76</v>
      </c>
      <c r="F3389" cm="1">
        <f t="array" ref="F3389">_xlfn.IFNA(_xlfn.XLOOKUP(1,([1]!readmissions[Facility ID] = clean[[#This Row],[Facility ID]]) * ([1]!readmissions[Measure ID] = "Hybrid_HWR"), [1]!readmissions[Score]), "No Match")</f>
        <v>16.7</v>
      </c>
    </row>
    <row r="3390" spans="1:6" x14ac:dyDescent="0.2">
      <c r="A3390">
        <f>[1]!hospitalinfo[[#This Row],[Facility ID]]</f>
        <v>330028</v>
      </c>
      <c r="B3390" t="str">
        <f>[1]!hospitalinfo[[#This Row],[State]]</f>
        <v>NY</v>
      </c>
      <c r="C3390" t="str">
        <f>[1]!hospitalinfo[[#This Row],[Hospital Type]]</f>
        <v>Acute Care Hospitals</v>
      </c>
      <c r="D3390" t="str">
        <f>[1]!hospitalinfo[[#This Row],[Hospital Ownership]]</f>
        <v>Voluntary non-profit - Private</v>
      </c>
      <c r="E3390" cm="1">
        <f t="array" ref="E3390">_xlfn.IFNA(_xlfn.XLOOKUP(1,([1]!hcahps[Facility ID] = clean[[#This Row],[Facility ID]]) * ([1]!hcahps[HCAHPS Measure ID] = "H_HSP_RATING_LINEAR_SCORE"), [1]!hcahps[HCAHPS Linear Mean Value]), "No Match")</f>
        <v>77</v>
      </c>
      <c r="F3390" cm="1">
        <f t="array" ref="F3390">_xlfn.IFNA(_xlfn.XLOOKUP(1,([1]!readmissions[Facility ID] = clean[[#This Row],[Facility ID]]) * ([1]!readmissions[Measure ID] = "Hybrid_HWR"), [1]!readmissions[Score]), "No Match")</f>
        <v>16.2</v>
      </c>
    </row>
    <row r="3391" spans="1:6" x14ac:dyDescent="0.2">
      <c r="A3391">
        <f>[1]!hospitalinfo[[#This Row],[Facility ID]]</f>
        <v>330030</v>
      </c>
      <c r="B3391" t="str">
        <f>[1]!hospitalinfo[[#This Row],[State]]</f>
        <v>NY</v>
      </c>
      <c r="C3391" t="str">
        <f>[1]!hospitalinfo[[#This Row],[Hospital Type]]</f>
        <v>Acute Care Hospitals</v>
      </c>
      <c r="D3391" t="str">
        <f>[1]!hospitalinfo[[#This Row],[Hospital Ownership]]</f>
        <v>Voluntary non-profit - Private</v>
      </c>
      <c r="E3391" cm="1">
        <f t="array" ref="E3391">_xlfn.IFNA(_xlfn.XLOOKUP(1,([1]!hcahps[Facility ID] = clean[[#This Row],[Facility ID]]) * ([1]!hcahps[HCAHPS Measure ID] = "H_HSP_RATING_LINEAR_SCORE"), [1]!hcahps[HCAHPS Linear Mean Value]), "No Match")</f>
        <v>86</v>
      </c>
      <c r="F3391" cm="1">
        <f t="array" ref="F3391">_xlfn.IFNA(_xlfn.XLOOKUP(1,([1]!readmissions[Facility ID] = clean[[#This Row],[Facility ID]]) * ([1]!readmissions[Measure ID] = "Hybrid_HWR"), [1]!readmissions[Score]), "No Match")</f>
        <v>16.3</v>
      </c>
    </row>
    <row r="3392" spans="1:6" x14ac:dyDescent="0.2">
      <c r="A3392">
        <f>[1]!hospitalinfo[[#This Row],[Facility ID]]</f>
        <v>330033</v>
      </c>
      <c r="B3392" t="str">
        <f>[1]!hospitalinfo[[#This Row],[State]]</f>
        <v>NY</v>
      </c>
      <c r="C3392" t="str">
        <f>[1]!hospitalinfo[[#This Row],[Hospital Type]]</f>
        <v>Acute Care Hospitals</v>
      </c>
      <c r="D3392" t="str">
        <f>[1]!hospitalinfo[[#This Row],[Hospital Ownership]]</f>
        <v>Voluntary non-profit - Private</v>
      </c>
      <c r="E3392" cm="1">
        <f t="array" ref="E3392">_xlfn.IFNA(_xlfn.XLOOKUP(1,([1]!hcahps[Facility ID] = clean[[#This Row],[Facility ID]]) * ([1]!hcahps[HCAHPS Measure ID] = "H_HSP_RATING_LINEAR_SCORE"), [1]!hcahps[HCAHPS Linear Mean Value]), "No Match")</f>
        <v>87</v>
      </c>
      <c r="F3392" cm="1">
        <f t="array" ref="F3392">_xlfn.IFNA(_xlfn.XLOOKUP(1,([1]!readmissions[Facility ID] = clean[[#This Row],[Facility ID]]) * ([1]!readmissions[Measure ID] = "Hybrid_HWR"), [1]!readmissions[Score]), "No Match")</f>
        <v>14.8</v>
      </c>
    </row>
    <row r="3393" spans="1:6" x14ac:dyDescent="0.2">
      <c r="A3393">
        <f>[1]!hospitalinfo[[#This Row],[Facility ID]]</f>
        <v>330043</v>
      </c>
      <c r="B3393" t="str">
        <f>[1]!hospitalinfo[[#This Row],[State]]</f>
        <v>NY</v>
      </c>
      <c r="C3393" t="str">
        <f>[1]!hospitalinfo[[#This Row],[Hospital Type]]</f>
        <v>Acute Care Hospitals</v>
      </c>
      <c r="D3393" t="str">
        <f>[1]!hospitalinfo[[#This Row],[Hospital Ownership]]</f>
        <v>Voluntary non-profit - Private</v>
      </c>
      <c r="E3393" cm="1">
        <f t="array" ref="E3393">_xlfn.IFNA(_xlfn.XLOOKUP(1,([1]!hcahps[Facility ID] = clean[[#This Row],[Facility ID]]) * ([1]!hcahps[HCAHPS Measure ID] = "H_HSP_RATING_LINEAR_SCORE"), [1]!hcahps[HCAHPS Linear Mean Value]), "No Match")</f>
        <v>86</v>
      </c>
      <c r="F3393" cm="1">
        <f t="array" ref="F3393">_xlfn.IFNA(_xlfn.XLOOKUP(1,([1]!readmissions[Facility ID] = clean[[#This Row],[Facility ID]]) * ([1]!readmissions[Measure ID] = "Hybrid_HWR"), [1]!readmissions[Score]), "No Match")</f>
        <v>15.1</v>
      </c>
    </row>
    <row r="3394" spans="1:6" x14ac:dyDescent="0.2">
      <c r="A3394">
        <f>[1]!hospitalinfo[[#This Row],[Facility ID]]</f>
        <v>330044</v>
      </c>
      <c r="B3394" t="str">
        <f>[1]!hospitalinfo[[#This Row],[State]]</f>
        <v>NY</v>
      </c>
      <c r="C3394" t="str">
        <f>[1]!hospitalinfo[[#This Row],[Hospital Type]]</f>
        <v>Acute Care Hospitals</v>
      </c>
      <c r="D3394" t="str">
        <f>[1]!hospitalinfo[[#This Row],[Hospital Ownership]]</f>
        <v>Voluntary non-profit - Private</v>
      </c>
      <c r="E3394" cm="1">
        <f t="array" ref="E3394">_xlfn.IFNA(_xlfn.XLOOKUP(1,([1]!hcahps[Facility ID] = clean[[#This Row],[Facility ID]]) * ([1]!hcahps[HCAHPS Measure ID] = "H_HSP_RATING_LINEAR_SCORE"), [1]!hcahps[HCAHPS Linear Mean Value]), "No Match")</f>
        <v>81</v>
      </c>
      <c r="F3394" cm="1">
        <f t="array" ref="F3394">_xlfn.IFNA(_xlfn.XLOOKUP(1,([1]!readmissions[Facility ID] = clean[[#This Row],[Facility ID]]) * ([1]!readmissions[Measure ID] = "Hybrid_HWR"), [1]!readmissions[Score]), "No Match")</f>
        <v>15.6</v>
      </c>
    </row>
    <row r="3395" spans="1:6" x14ac:dyDescent="0.2">
      <c r="A3395">
        <f>[1]!hospitalinfo[[#This Row],[Facility ID]]</f>
        <v>330045</v>
      </c>
      <c r="B3395" t="str">
        <f>[1]!hospitalinfo[[#This Row],[State]]</f>
        <v>NY</v>
      </c>
      <c r="C3395" t="str">
        <f>[1]!hospitalinfo[[#This Row],[Hospital Type]]</f>
        <v>Acute Care Hospitals</v>
      </c>
      <c r="D3395" t="str">
        <f>[1]!hospitalinfo[[#This Row],[Hospital Ownership]]</f>
        <v>Voluntary non-profit - Private</v>
      </c>
      <c r="E3395" cm="1">
        <f t="array" ref="E3395">_xlfn.IFNA(_xlfn.XLOOKUP(1,([1]!hcahps[Facility ID] = clean[[#This Row],[Facility ID]]) * ([1]!hcahps[HCAHPS Measure ID] = "H_HSP_RATING_LINEAR_SCORE"), [1]!hcahps[HCAHPS Linear Mean Value]), "No Match")</f>
        <v>89</v>
      </c>
      <c r="F3395" cm="1">
        <f t="array" ref="F3395">_xlfn.IFNA(_xlfn.XLOOKUP(1,([1]!readmissions[Facility ID] = clean[[#This Row],[Facility ID]]) * ([1]!readmissions[Measure ID] = "Hybrid_HWR"), [1]!readmissions[Score]), "No Match")</f>
        <v>15.8</v>
      </c>
    </row>
    <row r="3396" spans="1:6" x14ac:dyDescent="0.2">
      <c r="A3396">
        <f>[1]!hospitalinfo[[#This Row],[Facility ID]]</f>
        <v>330046</v>
      </c>
      <c r="B3396" t="str">
        <f>[1]!hospitalinfo[[#This Row],[State]]</f>
        <v>NY</v>
      </c>
      <c r="C3396" t="str">
        <f>[1]!hospitalinfo[[#This Row],[Hospital Type]]</f>
        <v>Acute Care Hospitals</v>
      </c>
      <c r="D3396" t="str">
        <f>[1]!hospitalinfo[[#This Row],[Hospital Ownership]]</f>
        <v>Voluntary non-profit - Church</v>
      </c>
      <c r="E3396" cm="1">
        <f t="array" ref="E3396">_xlfn.IFNA(_xlfn.XLOOKUP(1,([1]!hcahps[Facility ID] = clean[[#This Row],[Facility ID]]) * ([1]!hcahps[HCAHPS Measure ID] = "H_HSP_RATING_LINEAR_SCORE"), [1]!hcahps[HCAHPS Linear Mean Value]), "No Match")</f>
        <v>85</v>
      </c>
      <c r="F3396" cm="1">
        <f t="array" ref="F3396">_xlfn.IFNA(_xlfn.XLOOKUP(1,([1]!readmissions[Facility ID] = clean[[#This Row],[Facility ID]]) * ([1]!readmissions[Measure ID] = "Hybrid_HWR"), [1]!readmissions[Score]), "No Match")</f>
        <v>14.3</v>
      </c>
    </row>
    <row r="3397" spans="1:6" x14ac:dyDescent="0.2">
      <c r="A3397">
        <f>[1]!hospitalinfo[[#This Row],[Facility ID]]</f>
        <v>330047</v>
      </c>
      <c r="B3397" t="str">
        <f>[1]!hospitalinfo[[#This Row],[State]]</f>
        <v>NY</v>
      </c>
      <c r="C3397" t="str">
        <f>[1]!hospitalinfo[[#This Row],[Hospital Type]]</f>
        <v>Acute Care Hospitals</v>
      </c>
      <c r="D3397" t="str">
        <f>[1]!hospitalinfo[[#This Row],[Hospital Ownership]]</f>
        <v>Voluntary non-profit - Private</v>
      </c>
      <c r="E3397" cm="1">
        <f t="array" ref="E3397">_xlfn.IFNA(_xlfn.XLOOKUP(1,([1]!hcahps[Facility ID] = clean[[#This Row],[Facility ID]]) * ([1]!hcahps[HCAHPS Measure ID] = "H_HSP_RATING_LINEAR_SCORE"), [1]!hcahps[HCAHPS Linear Mean Value]), "No Match")</f>
        <v>86</v>
      </c>
      <c r="F3397" cm="1">
        <f t="array" ref="F3397">_xlfn.IFNA(_xlfn.XLOOKUP(1,([1]!readmissions[Facility ID] = clean[[#This Row],[Facility ID]]) * ([1]!readmissions[Measure ID] = "Hybrid_HWR"), [1]!readmissions[Score]), "No Match")</f>
        <v>15.4</v>
      </c>
    </row>
    <row r="3398" spans="1:6" x14ac:dyDescent="0.2">
      <c r="A3398">
        <f>[1]!hospitalinfo[[#This Row],[Facility ID]]</f>
        <v>330049</v>
      </c>
      <c r="B3398" t="str">
        <f>[1]!hospitalinfo[[#This Row],[State]]</f>
        <v>NY</v>
      </c>
      <c r="C3398" t="str">
        <f>[1]!hospitalinfo[[#This Row],[Hospital Type]]</f>
        <v>Acute Care Hospitals</v>
      </c>
      <c r="D3398" t="str">
        <f>[1]!hospitalinfo[[#This Row],[Hospital Ownership]]</f>
        <v>Voluntary non-profit - Private</v>
      </c>
      <c r="E3398" cm="1">
        <f t="array" ref="E3398">_xlfn.IFNA(_xlfn.XLOOKUP(1,([1]!hcahps[Facility ID] = clean[[#This Row],[Facility ID]]) * ([1]!hcahps[HCAHPS Measure ID] = "H_HSP_RATING_LINEAR_SCORE"), [1]!hcahps[HCAHPS Linear Mean Value]), "No Match")</f>
        <v>91</v>
      </c>
      <c r="F3398" cm="1">
        <f t="array" ref="F3398">_xlfn.IFNA(_xlfn.XLOOKUP(1,([1]!readmissions[Facility ID] = clean[[#This Row],[Facility ID]]) * ([1]!readmissions[Measure ID] = "Hybrid_HWR"), [1]!readmissions[Score]), "No Match")</f>
        <v>14.5</v>
      </c>
    </row>
    <row r="3399" spans="1:6" x14ac:dyDescent="0.2">
      <c r="A3399">
        <f>[1]!hospitalinfo[[#This Row],[Facility ID]]</f>
        <v>330055</v>
      </c>
      <c r="B3399" t="str">
        <f>[1]!hospitalinfo[[#This Row],[State]]</f>
        <v>NY</v>
      </c>
      <c r="C3399" t="str">
        <f>[1]!hospitalinfo[[#This Row],[Hospital Type]]</f>
        <v>Acute Care Hospitals</v>
      </c>
      <c r="D3399" t="str">
        <f>[1]!hospitalinfo[[#This Row],[Hospital Ownership]]</f>
        <v>Voluntary non-profit - Private</v>
      </c>
      <c r="E3399" cm="1">
        <f t="array" ref="E3399">_xlfn.IFNA(_xlfn.XLOOKUP(1,([1]!hcahps[Facility ID] = clean[[#This Row],[Facility ID]]) * ([1]!hcahps[HCAHPS Measure ID] = "H_HSP_RATING_LINEAR_SCORE"), [1]!hcahps[HCAHPS Linear Mean Value]), "No Match")</f>
        <v>86</v>
      </c>
      <c r="F3399" cm="1">
        <f t="array" ref="F3399">_xlfn.IFNA(_xlfn.XLOOKUP(1,([1]!readmissions[Facility ID] = clean[[#This Row],[Facility ID]]) * ([1]!readmissions[Measure ID] = "Hybrid_HWR"), [1]!readmissions[Score]), "No Match")</f>
        <v>13.6</v>
      </c>
    </row>
    <row r="3400" spans="1:6" x14ac:dyDescent="0.2">
      <c r="A3400">
        <f>[1]!hospitalinfo[[#This Row],[Facility ID]]</f>
        <v>330056</v>
      </c>
      <c r="B3400" t="str">
        <f>[1]!hospitalinfo[[#This Row],[State]]</f>
        <v>NY</v>
      </c>
      <c r="C3400" t="str">
        <f>[1]!hospitalinfo[[#This Row],[Hospital Type]]</f>
        <v>Acute Care Hospitals</v>
      </c>
      <c r="D3400" t="str">
        <f>[1]!hospitalinfo[[#This Row],[Hospital Ownership]]</f>
        <v>Voluntary non-profit - Other</v>
      </c>
      <c r="E3400" cm="1">
        <f t="array" ref="E3400">_xlfn.IFNA(_xlfn.XLOOKUP(1,([1]!hcahps[Facility ID] = clean[[#This Row],[Facility ID]]) * ([1]!hcahps[HCAHPS Measure ID] = "H_HSP_RATING_LINEAR_SCORE"), [1]!hcahps[HCAHPS Linear Mean Value]), "No Match")</f>
        <v>80</v>
      </c>
      <c r="F3400" cm="1">
        <f t="array" ref="F3400">_xlfn.IFNA(_xlfn.XLOOKUP(1,([1]!readmissions[Facility ID] = clean[[#This Row],[Facility ID]]) * ([1]!readmissions[Measure ID] = "Hybrid_HWR"), [1]!readmissions[Score]), "No Match")</f>
        <v>16.399999999999999</v>
      </c>
    </row>
    <row r="3401" spans="1:6" x14ac:dyDescent="0.2">
      <c r="A3401">
        <f>[1]!hospitalinfo[[#This Row],[Facility ID]]</f>
        <v>330057</v>
      </c>
      <c r="B3401" t="str">
        <f>[1]!hospitalinfo[[#This Row],[State]]</f>
        <v>NY</v>
      </c>
      <c r="C3401" t="str">
        <f>[1]!hospitalinfo[[#This Row],[Hospital Type]]</f>
        <v>Acute Care Hospitals</v>
      </c>
      <c r="D3401" t="str">
        <f>[1]!hospitalinfo[[#This Row],[Hospital Ownership]]</f>
        <v>Voluntary non-profit - Private</v>
      </c>
      <c r="E3401" cm="1">
        <f t="array" ref="E3401">_xlfn.IFNA(_xlfn.XLOOKUP(1,([1]!hcahps[Facility ID] = clean[[#This Row],[Facility ID]]) * ([1]!hcahps[HCAHPS Measure ID] = "H_HSP_RATING_LINEAR_SCORE"), [1]!hcahps[HCAHPS Linear Mean Value]), "No Match")</f>
        <v>87</v>
      </c>
      <c r="F3401" cm="1">
        <f t="array" ref="F3401">_xlfn.IFNA(_xlfn.XLOOKUP(1,([1]!readmissions[Facility ID] = clean[[#This Row],[Facility ID]]) * ([1]!readmissions[Measure ID] = "Hybrid_HWR"), [1]!readmissions[Score]), "No Match")</f>
        <v>14.8</v>
      </c>
    </row>
    <row r="3402" spans="1:6" x14ac:dyDescent="0.2">
      <c r="A3402">
        <f>[1]!hospitalinfo[[#This Row],[Facility ID]]</f>
        <v>330058</v>
      </c>
      <c r="B3402" t="str">
        <f>[1]!hospitalinfo[[#This Row],[State]]</f>
        <v>NY</v>
      </c>
      <c r="C3402" t="str">
        <f>[1]!hospitalinfo[[#This Row],[Hospital Type]]</f>
        <v>Acute Care Hospitals</v>
      </c>
      <c r="D3402" t="str">
        <f>[1]!hospitalinfo[[#This Row],[Hospital Ownership]]</f>
        <v>Voluntary non-profit - Other</v>
      </c>
      <c r="E3402" cm="1">
        <f t="array" ref="E3402">_xlfn.IFNA(_xlfn.XLOOKUP(1,([1]!hcahps[Facility ID] = clean[[#This Row],[Facility ID]]) * ([1]!hcahps[HCAHPS Measure ID] = "H_HSP_RATING_LINEAR_SCORE"), [1]!hcahps[HCAHPS Linear Mean Value]), "No Match")</f>
        <v>82</v>
      </c>
      <c r="F3402" cm="1">
        <f t="array" ref="F3402">_xlfn.IFNA(_xlfn.XLOOKUP(1,([1]!readmissions[Facility ID] = clean[[#This Row],[Facility ID]]) * ([1]!readmissions[Measure ID] = "Hybrid_HWR"), [1]!readmissions[Score]), "No Match")</f>
        <v>16.899999999999999</v>
      </c>
    </row>
    <row r="3403" spans="1:6" x14ac:dyDescent="0.2">
      <c r="A3403">
        <f>[1]!hospitalinfo[[#This Row],[Facility ID]]</f>
        <v>330059</v>
      </c>
      <c r="B3403" t="str">
        <f>[1]!hospitalinfo[[#This Row],[State]]</f>
        <v>NY</v>
      </c>
      <c r="C3403" t="str">
        <f>[1]!hospitalinfo[[#This Row],[Hospital Type]]</f>
        <v>Acute Care Hospitals</v>
      </c>
      <c r="D3403" t="str">
        <f>[1]!hospitalinfo[[#This Row],[Hospital Ownership]]</f>
        <v>Voluntary non-profit - Private</v>
      </c>
      <c r="E3403" cm="1">
        <f t="array" ref="E3403">_xlfn.IFNA(_xlfn.XLOOKUP(1,([1]!hcahps[Facility ID] = clean[[#This Row],[Facility ID]]) * ([1]!hcahps[HCAHPS Measure ID] = "H_HSP_RATING_LINEAR_SCORE"), [1]!hcahps[HCAHPS Linear Mean Value]), "No Match")</f>
        <v>85</v>
      </c>
      <c r="F3403" cm="1">
        <f t="array" ref="F3403">_xlfn.IFNA(_xlfn.XLOOKUP(1,([1]!readmissions[Facility ID] = clean[[#This Row],[Facility ID]]) * ([1]!readmissions[Measure ID] = "Hybrid_HWR"), [1]!readmissions[Score]), "No Match")</f>
        <v>15.5</v>
      </c>
    </row>
    <row r="3404" spans="1:6" x14ac:dyDescent="0.2">
      <c r="A3404">
        <f>[1]!hospitalinfo[[#This Row],[Facility ID]]</f>
        <v>330060</v>
      </c>
      <c r="B3404" t="str">
        <f>[1]!hospitalinfo[[#This Row],[State]]</f>
        <v>NY</v>
      </c>
      <c r="C3404" t="str">
        <f>[1]!hospitalinfo[[#This Row],[Hospital Type]]</f>
        <v>Acute Care Hospitals</v>
      </c>
      <c r="D3404" t="str">
        <f>[1]!hospitalinfo[[#This Row],[Hospital Ownership]]</f>
        <v>Voluntary non-profit - Private</v>
      </c>
      <c r="E3404" t="str" cm="1">
        <f t="array" ref="E3404">_xlfn.IFNA(_xlfn.XLOOKUP(1,([1]!hcahps[Facility ID] = clean[[#This Row],[Facility ID]]) * ([1]!hcahps[HCAHPS Measure ID] = "H_HSP_RATING_LINEAR_SCORE"), [1]!hcahps[HCAHPS Linear Mean Value]), "No Match")</f>
        <v>Not Available</v>
      </c>
      <c r="F3404" t="str" cm="1">
        <f t="array" ref="F3404">_xlfn.IFNA(_xlfn.XLOOKUP(1,([1]!readmissions[Facility ID] = clean[[#This Row],[Facility ID]]) * ([1]!readmissions[Measure ID] = "Hybrid_HWR"), [1]!readmissions[Score]), "No Match")</f>
        <v>Not Available</v>
      </c>
    </row>
    <row r="3405" spans="1:6" x14ac:dyDescent="0.2">
      <c r="A3405">
        <f>[1]!hospitalinfo[[#This Row],[Facility ID]]</f>
        <v>330065</v>
      </c>
      <c r="B3405" t="str">
        <f>[1]!hospitalinfo[[#This Row],[State]]</f>
        <v>NY</v>
      </c>
      <c r="C3405" t="str">
        <f>[1]!hospitalinfo[[#This Row],[Hospital Type]]</f>
        <v>Acute Care Hospitals</v>
      </c>
      <c r="D3405" t="str">
        <f>[1]!hospitalinfo[[#This Row],[Hospital Ownership]]</f>
        <v>Voluntary non-profit - Private</v>
      </c>
      <c r="E3405" cm="1">
        <f t="array" ref="E3405">_xlfn.IFNA(_xlfn.XLOOKUP(1,([1]!hcahps[Facility ID] = clean[[#This Row],[Facility ID]]) * ([1]!hcahps[HCAHPS Measure ID] = "H_HSP_RATING_LINEAR_SCORE"), [1]!hcahps[HCAHPS Linear Mean Value]), "No Match")</f>
        <v>79</v>
      </c>
      <c r="F3405" cm="1">
        <f t="array" ref="F3405">_xlfn.IFNA(_xlfn.XLOOKUP(1,([1]!readmissions[Facility ID] = clean[[#This Row],[Facility ID]]) * ([1]!readmissions[Measure ID] = "Hybrid_HWR"), [1]!readmissions[Score]), "No Match")</f>
        <v>15.3</v>
      </c>
    </row>
    <row r="3406" spans="1:6" x14ac:dyDescent="0.2">
      <c r="A3406">
        <f>[1]!hospitalinfo[[#This Row],[Facility ID]]</f>
        <v>330073</v>
      </c>
      <c r="B3406" t="str">
        <f>[1]!hospitalinfo[[#This Row],[State]]</f>
        <v>NY</v>
      </c>
      <c r="C3406" t="str">
        <f>[1]!hospitalinfo[[#This Row],[Hospital Type]]</f>
        <v>Acute Care Hospitals</v>
      </c>
      <c r="D3406" t="str">
        <f>[1]!hospitalinfo[[#This Row],[Hospital Ownership]]</f>
        <v>Voluntary non-profit - Private</v>
      </c>
      <c r="E3406" cm="1">
        <f t="array" ref="E3406">_xlfn.IFNA(_xlfn.XLOOKUP(1,([1]!hcahps[Facility ID] = clean[[#This Row],[Facility ID]]) * ([1]!hcahps[HCAHPS Measure ID] = "H_HSP_RATING_LINEAR_SCORE"), [1]!hcahps[HCAHPS Linear Mean Value]), "No Match")</f>
        <v>86</v>
      </c>
      <c r="F3406" cm="1">
        <f t="array" ref="F3406">_xlfn.IFNA(_xlfn.XLOOKUP(1,([1]!readmissions[Facility ID] = clean[[#This Row],[Facility ID]]) * ([1]!readmissions[Measure ID] = "Hybrid_HWR"), [1]!readmissions[Score]), "No Match")</f>
        <v>14.7</v>
      </c>
    </row>
    <row r="3407" spans="1:6" x14ac:dyDescent="0.2">
      <c r="A3407">
        <f>[1]!hospitalinfo[[#This Row],[Facility ID]]</f>
        <v>330074</v>
      </c>
      <c r="B3407" t="str">
        <f>[1]!hospitalinfo[[#This Row],[State]]</f>
        <v>NY</v>
      </c>
      <c r="C3407" t="str">
        <f>[1]!hospitalinfo[[#This Row],[Hospital Type]]</f>
        <v>Acute Care Hospitals</v>
      </c>
      <c r="D3407" t="str">
        <f>[1]!hospitalinfo[[#This Row],[Hospital Ownership]]</f>
        <v>Voluntary non-profit - Private</v>
      </c>
      <c r="E3407" cm="1">
        <f t="array" ref="E3407">_xlfn.IFNA(_xlfn.XLOOKUP(1,([1]!hcahps[Facility ID] = clean[[#This Row],[Facility ID]]) * ([1]!hcahps[HCAHPS Measure ID] = "H_HSP_RATING_LINEAR_SCORE"), [1]!hcahps[HCAHPS Linear Mean Value]), "No Match")</f>
        <v>88</v>
      </c>
      <c r="F3407" cm="1">
        <f t="array" ref="F3407">_xlfn.IFNA(_xlfn.XLOOKUP(1,([1]!readmissions[Facility ID] = clean[[#This Row],[Facility ID]]) * ([1]!readmissions[Measure ID] = "Hybrid_HWR"), [1]!readmissions[Score]), "No Match")</f>
        <v>16.2</v>
      </c>
    </row>
    <row r="3408" spans="1:6" x14ac:dyDescent="0.2">
      <c r="A3408">
        <f>[1]!hospitalinfo[[#This Row],[Facility ID]]</f>
        <v>330078</v>
      </c>
      <c r="B3408" t="str">
        <f>[1]!hospitalinfo[[#This Row],[State]]</f>
        <v>NY</v>
      </c>
      <c r="C3408" t="str">
        <f>[1]!hospitalinfo[[#This Row],[Hospital Type]]</f>
        <v>Acute Care Hospitals</v>
      </c>
      <c r="D3408" t="str">
        <f>[1]!hospitalinfo[[#This Row],[Hospital Ownership]]</f>
        <v>Voluntary non-profit - Private</v>
      </c>
      <c r="E3408" cm="1">
        <f t="array" ref="E3408">_xlfn.IFNA(_xlfn.XLOOKUP(1,([1]!hcahps[Facility ID] = clean[[#This Row],[Facility ID]]) * ([1]!hcahps[HCAHPS Measure ID] = "H_HSP_RATING_LINEAR_SCORE"), [1]!hcahps[HCAHPS Linear Mean Value]), "No Match")</f>
        <v>87</v>
      </c>
      <c r="F3408" cm="1">
        <f t="array" ref="F3408">_xlfn.IFNA(_xlfn.XLOOKUP(1,([1]!readmissions[Facility ID] = clean[[#This Row],[Facility ID]]) * ([1]!readmissions[Measure ID] = "Hybrid_HWR"), [1]!readmissions[Score]), "No Match")</f>
        <v>15.3</v>
      </c>
    </row>
    <row r="3409" spans="1:6" x14ac:dyDescent="0.2">
      <c r="A3409">
        <f>[1]!hospitalinfo[[#This Row],[Facility ID]]</f>
        <v>330079</v>
      </c>
      <c r="B3409" t="str">
        <f>[1]!hospitalinfo[[#This Row],[State]]</f>
        <v>NY</v>
      </c>
      <c r="C3409" t="str">
        <f>[1]!hospitalinfo[[#This Row],[Hospital Type]]</f>
        <v>Acute Care Hospitals</v>
      </c>
      <c r="D3409" t="str">
        <f>[1]!hospitalinfo[[#This Row],[Hospital Ownership]]</f>
        <v>Voluntary non-profit - Other</v>
      </c>
      <c r="E3409" cm="1">
        <f t="array" ref="E3409">_xlfn.IFNA(_xlfn.XLOOKUP(1,([1]!hcahps[Facility ID] = clean[[#This Row],[Facility ID]]) * ([1]!hcahps[HCAHPS Measure ID] = "H_HSP_RATING_LINEAR_SCORE"), [1]!hcahps[HCAHPS Linear Mean Value]), "No Match")</f>
        <v>92</v>
      </c>
      <c r="F3409" cm="1">
        <f t="array" ref="F3409">_xlfn.IFNA(_xlfn.XLOOKUP(1,([1]!readmissions[Facility ID] = clean[[#This Row],[Facility ID]]) * ([1]!readmissions[Measure ID] = "Hybrid_HWR"), [1]!readmissions[Score]), "No Match")</f>
        <v>14.3</v>
      </c>
    </row>
    <row r="3410" spans="1:6" x14ac:dyDescent="0.2">
      <c r="A3410">
        <f>[1]!hospitalinfo[[#This Row],[Facility ID]]</f>
        <v>330080</v>
      </c>
      <c r="B3410" t="str">
        <f>[1]!hospitalinfo[[#This Row],[State]]</f>
        <v>NY</v>
      </c>
      <c r="C3410" t="str">
        <f>[1]!hospitalinfo[[#This Row],[Hospital Type]]</f>
        <v>Acute Care Hospitals</v>
      </c>
      <c r="D3410" t="str">
        <f>[1]!hospitalinfo[[#This Row],[Hospital Ownership]]</f>
        <v>Government - Local</v>
      </c>
      <c r="E3410" cm="1">
        <f t="array" ref="E3410">_xlfn.IFNA(_xlfn.XLOOKUP(1,([1]!hcahps[Facility ID] = clean[[#This Row],[Facility ID]]) * ([1]!hcahps[HCAHPS Measure ID] = "H_HSP_RATING_LINEAR_SCORE"), [1]!hcahps[HCAHPS Linear Mean Value]), "No Match")</f>
        <v>82</v>
      </c>
      <c r="F3410" cm="1">
        <f t="array" ref="F3410">_xlfn.IFNA(_xlfn.XLOOKUP(1,([1]!readmissions[Facility ID] = clean[[#This Row],[Facility ID]]) * ([1]!readmissions[Measure ID] = "Hybrid_HWR"), [1]!readmissions[Score]), "No Match")</f>
        <v>15.1</v>
      </c>
    </row>
    <row r="3411" spans="1:6" x14ac:dyDescent="0.2">
      <c r="A3411">
        <f>[1]!hospitalinfo[[#This Row],[Facility ID]]</f>
        <v>330085</v>
      </c>
      <c r="B3411" t="str">
        <f>[1]!hospitalinfo[[#This Row],[State]]</f>
        <v>NY</v>
      </c>
      <c r="C3411" t="str">
        <f>[1]!hospitalinfo[[#This Row],[Hospital Type]]</f>
        <v>Acute Care Hospitals</v>
      </c>
      <c r="D3411" t="str">
        <f>[1]!hospitalinfo[[#This Row],[Hospital Ownership]]</f>
        <v>Voluntary non-profit - Private</v>
      </c>
      <c r="E3411" cm="1">
        <f t="array" ref="E3411">_xlfn.IFNA(_xlfn.XLOOKUP(1,([1]!hcahps[Facility ID] = clean[[#This Row],[Facility ID]]) * ([1]!hcahps[HCAHPS Measure ID] = "H_HSP_RATING_LINEAR_SCORE"), [1]!hcahps[HCAHPS Linear Mean Value]), "No Match")</f>
        <v>85</v>
      </c>
      <c r="F3411" cm="1">
        <f t="array" ref="F3411">_xlfn.IFNA(_xlfn.XLOOKUP(1,([1]!readmissions[Facility ID] = clean[[#This Row],[Facility ID]]) * ([1]!readmissions[Measure ID] = "Hybrid_HWR"), [1]!readmissions[Score]), "No Match")</f>
        <v>15.2</v>
      </c>
    </row>
    <row r="3412" spans="1:6" x14ac:dyDescent="0.2">
      <c r="A3412">
        <f>[1]!hospitalinfo[[#This Row],[Facility ID]]</f>
        <v>330086</v>
      </c>
      <c r="B3412" t="str">
        <f>[1]!hospitalinfo[[#This Row],[State]]</f>
        <v>NY</v>
      </c>
      <c r="C3412" t="str">
        <f>[1]!hospitalinfo[[#This Row],[Hospital Type]]</f>
        <v>Acute Care Hospitals</v>
      </c>
      <c r="D3412" t="str">
        <f>[1]!hospitalinfo[[#This Row],[Hospital Ownership]]</f>
        <v>Voluntary non-profit - Private</v>
      </c>
      <c r="E3412" cm="1">
        <f t="array" ref="E3412">_xlfn.IFNA(_xlfn.XLOOKUP(1,([1]!hcahps[Facility ID] = clean[[#This Row],[Facility ID]]) * ([1]!hcahps[HCAHPS Measure ID] = "H_HSP_RATING_LINEAR_SCORE"), [1]!hcahps[HCAHPS Linear Mean Value]), "No Match")</f>
        <v>85</v>
      </c>
      <c r="F3412" cm="1">
        <f t="array" ref="F3412">_xlfn.IFNA(_xlfn.XLOOKUP(1,([1]!readmissions[Facility ID] = clean[[#This Row],[Facility ID]]) * ([1]!readmissions[Measure ID] = "Hybrid_HWR"), [1]!readmissions[Score]), "No Match")</f>
        <v>14.9</v>
      </c>
    </row>
    <row r="3413" spans="1:6" x14ac:dyDescent="0.2">
      <c r="A3413">
        <f>[1]!hospitalinfo[[#This Row],[Facility ID]]</f>
        <v>330090</v>
      </c>
      <c r="B3413" t="str">
        <f>[1]!hospitalinfo[[#This Row],[State]]</f>
        <v>NY</v>
      </c>
      <c r="C3413" t="str">
        <f>[1]!hospitalinfo[[#This Row],[Hospital Type]]</f>
        <v>Acute Care Hospitals</v>
      </c>
      <c r="D3413" t="str">
        <f>[1]!hospitalinfo[[#This Row],[Hospital Ownership]]</f>
        <v>Voluntary non-profit - Private</v>
      </c>
      <c r="E3413" cm="1">
        <f t="array" ref="E3413">_xlfn.IFNA(_xlfn.XLOOKUP(1,([1]!hcahps[Facility ID] = clean[[#This Row],[Facility ID]]) * ([1]!hcahps[HCAHPS Measure ID] = "H_HSP_RATING_LINEAR_SCORE"), [1]!hcahps[HCAHPS Linear Mean Value]), "No Match")</f>
        <v>85</v>
      </c>
      <c r="F3413" cm="1">
        <f t="array" ref="F3413">_xlfn.IFNA(_xlfn.XLOOKUP(1,([1]!readmissions[Facility ID] = clean[[#This Row],[Facility ID]]) * ([1]!readmissions[Measure ID] = "Hybrid_HWR"), [1]!readmissions[Score]), "No Match")</f>
        <v>15.8</v>
      </c>
    </row>
    <row r="3414" spans="1:6" x14ac:dyDescent="0.2">
      <c r="A3414">
        <f>[1]!hospitalinfo[[#This Row],[Facility ID]]</f>
        <v>330094</v>
      </c>
      <c r="B3414" t="str">
        <f>[1]!hospitalinfo[[#This Row],[State]]</f>
        <v>NY</v>
      </c>
      <c r="C3414" t="str">
        <f>[1]!hospitalinfo[[#This Row],[Hospital Type]]</f>
        <v>Acute Care Hospitals</v>
      </c>
      <c r="D3414" t="str">
        <f>[1]!hospitalinfo[[#This Row],[Hospital Ownership]]</f>
        <v>Voluntary non-profit - Private</v>
      </c>
      <c r="E3414" cm="1">
        <f t="array" ref="E3414">_xlfn.IFNA(_xlfn.XLOOKUP(1,([1]!hcahps[Facility ID] = clean[[#This Row],[Facility ID]]) * ([1]!hcahps[HCAHPS Measure ID] = "H_HSP_RATING_LINEAR_SCORE"), [1]!hcahps[HCAHPS Linear Mean Value]), "No Match")</f>
        <v>82</v>
      </c>
      <c r="F3414" cm="1">
        <f t="array" ref="F3414">_xlfn.IFNA(_xlfn.XLOOKUP(1,([1]!readmissions[Facility ID] = clean[[#This Row],[Facility ID]]) * ([1]!readmissions[Measure ID] = "Hybrid_HWR"), [1]!readmissions[Score]), "No Match")</f>
        <v>14.5</v>
      </c>
    </row>
    <row r="3415" spans="1:6" x14ac:dyDescent="0.2">
      <c r="A3415">
        <f>[1]!hospitalinfo[[#This Row],[Facility ID]]</f>
        <v>330096</v>
      </c>
      <c r="B3415" t="str">
        <f>[1]!hospitalinfo[[#This Row],[State]]</f>
        <v>NY</v>
      </c>
      <c r="C3415" t="str">
        <f>[1]!hospitalinfo[[#This Row],[Hospital Type]]</f>
        <v>Acute Care Hospitals</v>
      </c>
      <c r="D3415" t="str">
        <f>[1]!hospitalinfo[[#This Row],[Hospital Ownership]]</f>
        <v>Voluntary non-profit - Private</v>
      </c>
      <c r="E3415" cm="1">
        <f t="array" ref="E3415">_xlfn.IFNA(_xlfn.XLOOKUP(1,([1]!hcahps[Facility ID] = clean[[#This Row],[Facility ID]]) * ([1]!hcahps[HCAHPS Measure ID] = "H_HSP_RATING_LINEAR_SCORE"), [1]!hcahps[HCAHPS Linear Mean Value]), "No Match")</f>
        <v>89</v>
      </c>
      <c r="F3415" cm="1">
        <f t="array" ref="F3415">_xlfn.IFNA(_xlfn.XLOOKUP(1,([1]!readmissions[Facility ID] = clean[[#This Row],[Facility ID]]) * ([1]!readmissions[Measure ID] = "Hybrid_HWR"), [1]!readmissions[Score]), "No Match")</f>
        <v>13.5</v>
      </c>
    </row>
    <row r="3416" spans="1:6" x14ac:dyDescent="0.2">
      <c r="A3416">
        <f>[1]!hospitalinfo[[#This Row],[Facility ID]]</f>
        <v>330100</v>
      </c>
      <c r="B3416" t="str">
        <f>[1]!hospitalinfo[[#This Row],[State]]</f>
        <v>NY</v>
      </c>
      <c r="C3416" t="str">
        <f>[1]!hospitalinfo[[#This Row],[Hospital Type]]</f>
        <v>Acute Care Hospitals</v>
      </c>
      <c r="D3416" t="str">
        <f>[1]!hospitalinfo[[#This Row],[Hospital Ownership]]</f>
        <v>Voluntary non-profit - Private</v>
      </c>
      <c r="E3416" t="str" cm="1">
        <f t="array" ref="E3416">_xlfn.IFNA(_xlfn.XLOOKUP(1,([1]!hcahps[Facility ID] = clean[[#This Row],[Facility ID]]) * ([1]!hcahps[HCAHPS Measure ID] = "H_HSP_RATING_LINEAR_SCORE"), [1]!hcahps[HCAHPS Linear Mean Value]), "No Match")</f>
        <v>Not Available</v>
      </c>
      <c r="F3416" t="str" cm="1">
        <f t="array" ref="F3416">_xlfn.IFNA(_xlfn.XLOOKUP(1,([1]!readmissions[Facility ID] = clean[[#This Row],[Facility ID]]) * ([1]!readmissions[Measure ID] = "Hybrid_HWR"), [1]!readmissions[Score]), "No Match")</f>
        <v>Not Available</v>
      </c>
    </row>
    <row r="3417" spans="1:6" x14ac:dyDescent="0.2">
      <c r="A3417">
        <f>[1]!hospitalinfo[[#This Row],[Facility ID]]</f>
        <v>330101</v>
      </c>
      <c r="B3417" t="str">
        <f>[1]!hospitalinfo[[#This Row],[State]]</f>
        <v>NY</v>
      </c>
      <c r="C3417" t="str">
        <f>[1]!hospitalinfo[[#This Row],[Hospital Type]]</f>
        <v>Acute Care Hospitals</v>
      </c>
      <c r="D3417" t="str">
        <f>[1]!hospitalinfo[[#This Row],[Hospital Ownership]]</f>
        <v>Voluntary non-profit - Private</v>
      </c>
      <c r="E3417" cm="1">
        <f t="array" ref="E3417">_xlfn.IFNA(_xlfn.XLOOKUP(1,([1]!hcahps[Facility ID] = clean[[#This Row],[Facility ID]]) * ([1]!hcahps[HCAHPS Measure ID] = "H_HSP_RATING_LINEAR_SCORE"), [1]!hcahps[HCAHPS Linear Mean Value]), "No Match")</f>
        <v>88</v>
      </c>
      <c r="F3417" cm="1">
        <f t="array" ref="F3417">_xlfn.IFNA(_xlfn.XLOOKUP(1,([1]!readmissions[Facility ID] = clean[[#This Row],[Facility ID]]) * ([1]!readmissions[Measure ID] = "Hybrid_HWR"), [1]!readmissions[Score]), "No Match")</f>
        <v>13.6</v>
      </c>
    </row>
    <row r="3418" spans="1:6" x14ac:dyDescent="0.2">
      <c r="A3418">
        <f>[1]!hospitalinfo[[#This Row],[Facility ID]]</f>
        <v>330102</v>
      </c>
      <c r="B3418" t="str">
        <f>[1]!hospitalinfo[[#This Row],[State]]</f>
        <v>NY</v>
      </c>
      <c r="C3418" t="str">
        <f>[1]!hospitalinfo[[#This Row],[Hospital Type]]</f>
        <v>Acute Care Hospitals</v>
      </c>
      <c r="D3418" t="str">
        <f>[1]!hospitalinfo[[#This Row],[Hospital Ownership]]</f>
        <v>Voluntary non-profit - Private</v>
      </c>
      <c r="E3418" cm="1">
        <f t="array" ref="E3418">_xlfn.IFNA(_xlfn.XLOOKUP(1,([1]!hcahps[Facility ID] = clean[[#This Row],[Facility ID]]) * ([1]!hcahps[HCAHPS Measure ID] = "H_HSP_RATING_LINEAR_SCORE"), [1]!hcahps[HCAHPS Linear Mean Value]), "No Match")</f>
        <v>90</v>
      </c>
      <c r="F3418" cm="1">
        <f t="array" ref="F3418">_xlfn.IFNA(_xlfn.XLOOKUP(1,([1]!readmissions[Facility ID] = clean[[#This Row],[Facility ID]]) * ([1]!readmissions[Measure ID] = "Hybrid_HWR"), [1]!readmissions[Score]), "No Match")</f>
        <v>14.4</v>
      </c>
    </row>
    <row r="3419" spans="1:6" x14ac:dyDescent="0.2">
      <c r="A3419">
        <f>[1]!hospitalinfo[[#This Row],[Facility ID]]</f>
        <v>330103</v>
      </c>
      <c r="B3419" t="str">
        <f>[1]!hospitalinfo[[#This Row],[State]]</f>
        <v>NY</v>
      </c>
      <c r="C3419" t="str">
        <f>[1]!hospitalinfo[[#This Row],[Hospital Type]]</f>
        <v>Acute Care Hospitals</v>
      </c>
      <c r="D3419" t="str">
        <f>[1]!hospitalinfo[[#This Row],[Hospital Ownership]]</f>
        <v>Proprietary</v>
      </c>
      <c r="E3419" cm="1">
        <f t="array" ref="E3419">_xlfn.IFNA(_xlfn.XLOOKUP(1,([1]!hcahps[Facility ID] = clean[[#This Row],[Facility ID]]) * ([1]!hcahps[HCAHPS Measure ID] = "H_HSP_RATING_LINEAR_SCORE"), [1]!hcahps[HCAHPS Linear Mean Value]), "No Match")</f>
        <v>78</v>
      </c>
      <c r="F3419" cm="1">
        <f t="array" ref="F3419">_xlfn.IFNA(_xlfn.XLOOKUP(1,([1]!readmissions[Facility ID] = clean[[#This Row],[Facility ID]]) * ([1]!readmissions[Measure ID] = "Hybrid_HWR"), [1]!readmissions[Score]), "No Match")</f>
        <v>15.5</v>
      </c>
    </row>
    <row r="3420" spans="1:6" x14ac:dyDescent="0.2">
      <c r="A3420">
        <f>[1]!hospitalinfo[[#This Row],[Facility ID]]</f>
        <v>330104</v>
      </c>
      <c r="B3420" t="str">
        <f>[1]!hospitalinfo[[#This Row],[State]]</f>
        <v>NY</v>
      </c>
      <c r="C3420" t="str">
        <f>[1]!hospitalinfo[[#This Row],[Hospital Type]]</f>
        <v>Acute Care Hospitals</v>
      </c>
      <c r="D3420" t="str">
        <f>[1]!hospitalinfo[[#This Row],[Hospital Ownership]]</f>
        <v>Voluntary non-profit - Private</v>
      </c>
      <c r="E3420" cm="1">
        <f t="array" ref="E3420">_xlfn.IFNA(_xlfn.XLOOKUP(1,([1]!hcahps[Facility ID] = clean[[#This Row],[Facility ID]]) * ([1]!hcahps[HCAHPS Measure ID] = "H_HSP_RATING_LINEAR_SCORE"), [1]!hcahps[HCAHPS Linear Mean Value]), "No Match")</f>
        <v>84</v>
      </c>
      <c r="F3420" cm="1">
        <f t="array" ref="F3420">_xlfn.IFNA(_xlfn.XLOOKUP(1,([1]!readmissions[Facility ID] = clean[[#This Row],[Facility ID]]) * ([1]!readmissions[Measure ID] = "Hybrid_HWR"), [1]!readmissions[Score]), "No Match")</f>
        <v>16</v>
      </c>
    </row>
    <row r="3421" spans="1:6" x14ac:dyDescent="0.2">
      <c r="A3421">
        <f>[1]!hospitalinfo[[#This Row],[Facility ID]]</f>
        <v>330106</v>
      </c>
      <c r="B3421" t="str">
        <f>[1]!hospitalinfo[[#This Row],[State]]</f>
        <v>NY</v>
      </c>
      <c r="C3421" t="str">
        <f>[1]!hospitalinfo[[#This Row],[Hospital Type]]</f>
        <v>Acute Care Hospitals</v>
      </c>
      <c r="D3421" t="str">
        <f>[1]!hospitalinfo[[#This Row],[Hospital Ownership]]</f>
        <v>Voluntary non-profit - Private</v>
      </c>
      <c r="E3421" cm="1">
        <f t="array" ref="E3421">_xlfn.IFNA(_xlfn.XLOOKUP(1,([1]!hcahps[Facility ID] = clean[[#This Row],[Facility ID]]) * ([1]!hcahps[HCAHPS Measure ID] = "H_HSP_RATING_LINEAR_SCORE"), [1]!hcahps[HCAHPS Linear Mean Value]), "No Match")</f>
        <v>87</v>
      </c>
      <c r="F3421" cm="1">
        <f t="array" ref="F3421">_xlfn.IFNA(_xlfn.XLOOKUP(1,([1]!readmissions[Facility ID] = clean[[#This Row],[Facility ID]]) * ([1]!readmissions[Measure ID] = "Hybrid_HWR"), [1]!readmissions[Score]), "No Match")</f>
        <v>15.7</v>
      </c>
    </row>
    <row r="3422" spans="1:6" x14ac:dyDescent="0.2">
      <c r="A3422">
        <f>[1]!hospitalinfo[[#This Row],[Facility ID]]</f>
        <v>330107</v>
      </c>
      <c r="B3422" t="str">
        <f>[1]!hospitalinfo[[#This Row],[State]]</f>
        <v>NY</v>
      </c>
      <c r="C3422" t="str">
        <f>[1]!hospitalinfo[[#This Row],[Hospital Type]]</f>
        <v>Acute Care Hospitals</v>
      </c>
      <c r="D3422" t="str">
        <f>[1]!hospitalinfo[[#This Row],[Hospital Ownership]]</f>
        <v>Voluntary non-profit - Other</v>
      </c>
      <c r="E3422" cm="1">
        <f t="array" ref="E3422">_xlfn.IFNA(_xlfn.XLOOKUP(1,([1]!hcahps[Facility ID] = clean[[#This Row],[Facility ID]]) * ([1]!hcahps[HCAHPS Measure ID] = "H_HSP_RATING_LINEAR_SCORE"), [1]!hcahps[HCAHPS Linear Mean Value]), "No Match")</f>
        <v>87</v>
      </c>
      <c r="F3422" cm="1">
        <f t="array" ref="F3422">_xlfn.IFNA(_xlfn.XLOOKUP(1,([1]!readmissions[Facility ID] = clean[[#This Row],[Facility ID]]) * ([1]!readmissions[Measure ID] = "Hybrid_HWR"), [1]!readmissions[Score]), "No Match")</f>
        <v>15.9</v>
      </c>
    </row>
    <row r="3423" spans="1:6" x14ac:dyDescent="0.2">
      <c r="A3423">
        <f>[1]!hospitalinfo[[#This Row],[Facility ID]]</f>
        <v>330111</v>
      </c>
      <c r="B3423" t="str">
        <f>[1]!hospitalinfo[[#This Row],[State]]</f>
        <v>NY</v>
      </c>
      <c r="C3423" t="str">
        <f>[1]!hospitalinfo[[#This Row],[Hospital Type]]</f>
        <v>Acute Care Hospitals</v>
      </c>
      <c r="D3423" t="str">
        <f>[1]!hospitalinfo[[#This Row],[Hospital Ownership]]</f>
        <v>Voluntary non-profit - Private</v>
      </c>
      <c r="E3423" cm="1">
        <f t="array" ref="E3423">_xlfn.IFNA(_xlfn.XLOOKUP(1,([1]!hcahps[Facility ID] = clean[[#This Row],[Facility ID]]) * ([1]!hcahps[HCAHPS Measure ID] = "H_HSP_RATING_LINEAR_SCORE"), [1]!hcahps[HCAHPS Linear Mean Value]), "No Match")</f>
        <v>86</v>
      </c>
      <c r="F3423" cm="1">
        <f t="array" ref="F3423">_xlfn.IFNA(_xlfn.XLOOKUP(1,([1]!readmissions[Facility ID] = clean[[#This Row],[Facility ID]]) * ([1]!readmissions[Measure ID] = "Hybrid_HWR"), [1]!readmissions[Score]), "No Match")</f>
        <v>15.2</v>
      </c>
    </row>
    <row r="3424" spans="1:6" x14ac:dyDescent="0.2">
      <c r="A3424">
        <f>[1]!hospitalinfo[[#This Row],[Facility ID]]</f>
        <v>330115</v>
      </c>
      <c r="B3424" t="str">
        <f>[1]!hospitalinfo[[#This Row],[State]]</f>
        <v>NY</v>
      </c>
      <c r="C3424" t="str">
        <f>[1]!hospitalinfo[[#This Row],[Hospital Type]]</f>
        <v>Acute Care Hospitals</v>
      </c>
      <c r="D3424" t="str">
        <f>[1]!hospitalinfo[[#This Row],[Hospital Ownership]]</f>
        <v>Voluntary non-profit - Private</v>
      </c>
      <c r="E3424" cm="1">
        <f t="array" ref="E3424">_xlfn.IFNA(_xlfn.XLOOKUP(1,([1]!hcahps[Facility ID] = clean[[#This Row],[Facility ID]]) * ([1]!hcahps[HCAHPS Measure ID] = "H_HSP_RATING_LINEAR_SCORE"), [1]!hcahps[HCAHPS Linear Mean Value]), "No Match")</f>
        <v>90</v>
      </c>
      <c r="F3424" cm="1">
        <f t="array" ref="F3424">_xlfn.IFNA(_xlfn.XLOOKUP(1,([1]!readmissions[Facility ID] = clean[[#This Row],[Facility ID]]) * ([1]!readmissions[Measure ID] = "Hybrid_HWR"), [1]!readmissions[Score]), "No Match")</f>
        <v>15.4</v>
      </c>
    </row>
    <row r="3425" spans="1:6" x14ac:dyDescent="0.2">
      <c r="A3425">
        <f>[1]!hospitalinfo[[#This Row],[Facility ID]]</f>
        <v>330119</v>
      </c>
      <c r="B3425" t="str">
        <f>[1]!hospitalinfo[[#This Row],[State]]</f>
        <v>NY</v>
      </c>
      <c r="C3425" t="str">
        <f>[1]!hospitalinfo[[#This Row],[Hospital Type]]</f>
        <v>Acute Care Hospitals</v>
      </c>
      <c r="D3425" t="str">
        <f>[1]!hospitalinfo[[#This Row],[Hospital Ownership]]</f>
        <v>Voluntary non-profit - Private</v>
      </c>
      <c r="E3425" cm="1">
        <f t="array" ref="E3425">_xlfn.IFNA(_xlfn.XLOOKUP(1,([1]!hcahps[Facility ID] = clean[[#This Row],[Facility ID]]) * ([1]!hcahps[HCAHPS Measure ID] = "H_HSP_RATING_LINEAR_SCORE"), [1]!hcahps[HCAHPS Linear Mean Value]), "No Match")</f>
        <v>86</v>
      </c>
      <c r="F3425" cm="1">
        <f t="array" ref="F3425">_xlfn.IFNA(_xlfn.XLOOKUP(1,([1]!readmissions[Facility ID] = clean[[#This Row],[Facility ID]]) * ([1]!readmissions[Measure ID] = "Hybrid_HWR"), [1]!readmissions[Score]), "No Match")</f>
        <v>14.5</v>
      </c>
    </row>
    <row r="3426" spans="1:6" x14ac:dyDescent="0.2">
      <c r="A3426">
        <f>[1]!hospitalinfo[[#This Row],[Facility ID]]</f>
        <v>330125</v>
      </c>
      <c r="B3426" t="str">
        <f>[1]!hospitalinfo[[#This Row],[State]]</f>
        <v>NY</v>
      </c>
      <c r="C3426" t="str">
        <f>[1]!hospitalinfo[[#This Row],[Hospital Type]]</f>
        <v>Acute Care Hospitals</v>
      </c>
      <c r="D3426" t="str">
        <f>[1]!hospitalinfo[[#This Row],[Hospital Ownership]]</f>
        <v>Voluntary non-profit - Private</v>
      </c>
      <c r="E3426" cm="1">
        <f t="array" ref="E3426">_xlfn.IFNA(_xlfn.XLOOKUP(1,([1]!hcahps[Facility ID] = clean[[#This Row],[Facility ID]]) * ([1]!hcahps[HCAHPS Measure ID] = "H_HSP_RATING_LINEAR_SCORE"), [1]!hcahps[HCAHPS Linear Mean Value]), "No Match")</f>
        <v>82</v>
      </c>
      <c r="F3426" cm="1">
        <f t="array" ref="F3426">_xlfn.IFNA(_xlfn.XLOOKUP(1,([1]!readmissions[Facility ID] = clean[[#This Row],[Facility ID]]) * ([1]!readmissions[Measure ID] = "Hybrid_HWR"), [1]!readmissions[Score]), "No Match")</f>
        <v>15.8</v>
      </c>
    </row>
    <row r="3427" spans="1:6" x14ac:dyDescent="0.2">
      <c r="A3427">
        <f>[1]!hospitalinfo[[#This Row],[Facility ID]]</f>
        <v>330126</v>
      </c>
      <c r="B3427" t="str">
        <f>[1]!hospitalinfo[[#This Row],[State]]</f>
        <v>NY</v>
      </c>
      <c r="C3427" t="str">
        <f>[1]!hospitalinfo[[#This Row],[Hospital Type]]</f>
        <v>Acute Care Hospitals</v>
      </c>
      <c r="D3427" t="str">
        <f>[1]!hospitalinfo[[#This Row],[Hospital Ownership]]</f>
        <v>Voluntary non-profit - Private</v>
      </c>
      <c r="E3427" cm="1">
        <f t="array" ref="E3427">_xlfn.IFNA(_xlfn.XLOOKUP(1,([1]!hcahps[Facility ID] = clean[[#This Row],[Facility ID]]) * ([1]!hcahps[HCAHPS Measure ID] = "H_HSP_RATING_LINEAR_SCORE"), [1]!hcahps[HCAHPS Linear Mean Value]), "No Match")</f>
        <v>86</v>
      </c>
      <c r="F3427" cm="1">
        <f t="array" ref="F3427">_xlfn.IFNA(_xlfn.XLOOKUP(1,([1]!readmissions[Facility ID] = clean[[#This Row],[Facility ID]]) * ([1]!readmissions[Measure ID] = "Hybrid_HWR"), [1]!readmissions[Score]), "No Match")</f>
        <v>15.6</v>
      </c>
    </row>
    <row r="3428" spans="1:6" x14ac:dyDescent="0.2">
      <c r="A3428">
        <f>[1]!hospitalinfo[[#This Row],[Facility ID]]</f>
        <v>330127</v>
      </c>
      <c r="B3428" t="str">
        <f>[1]!hospitalinfo[[#This Row],[State]]</f>
        <v>NY</v>
      </c>
      <c r="C3428" t="str">
        <f>[1]!hospitalinfo[[#This Row],[Hospital Type]]</f>
        <v>Acute Care Hospitals</v>
      </c>
      <c r="D3428" t="str">
        <f>[1]!hospitalinfo[[#This Row],[Hospital Ownership]]</f>
        <v>Government - Local</v>
      </c>
      <c r="E3428" cm="1">
        <f t="array" ref="E3428">_xlfn.IFNA(_xlfn.XLOOKUP(1,([1]!hcahps[Facility ID] = clean[[#This Row],[Facility ID]]) * ([1]!hcahps[HCAHPS Measure ID] = "H_HSP_RATING_LINEAR_SCORE"), [1]!hcahps[HCAHPS Linear Mean Value]), "No Match")</f>
        <v>82</v>
      </c>
      <c r="F3428" cm="1">
        <f t="array" ref="F3428">_xlfn.IFNA(_xlfn.XLOOKUP(1,([1]!readmissions[Facility ID] = clean[[#This Row],[Facility ID]]) * ([1]!readmissions[Measure ID] = "Hybrid_HWR"), [1]!readmissions[Score]), "No Match")</f>
        <v>16.3</v>
      </c>
    </row>
    <row r="3429" spans="1:6" x14ac:dyDescent="0.2">
      <c r="A3429">
        <f>[1]!hospitalinfo[[#This Row],[Facility ID]]</f>
        <v>330128</v>
      </c>
      <c r="B3429" t="str">
        <f>[1]!hospitalinfo[[#This Row],[State]]</f>
        <v>NY</v>
      </c>
      <c r="C3429" t="str">
        <f>[1]!hospitalinfo[[#This Row],[Hospital Type]]</f>
        <v>Acute Care Hospitals</v>
      </c>
      <c r="D3429" t="str">
        <f>[1]!hospitalinfo[[#This Row],[Hospital Ownership]]</f>
        <v>Government - Local</v>
      </c>
      <c r="E3429" cm="1">
        <f t="array" ref="E3429">_xlfn.IFNA(_xlfn.XLOOKUP(1,([1]!hcahps[Facility ID] = clean[[#This Row],[Facility ID]]) * ([1]!hcahps[HCAHPS Measure ID] = "H_HSP_RATING_LINEAR_SCORE"), [1]!hcahps[HCAHPS Linear Mean Value]), "No Match")</f>
        <v>82</v>
      </c>
      <c r="F3429" cm="1">
        <f t="array" ref="F3429">_xlfn.IFNA(_xlfn.XLOOKUP(1,([1]!readmissions[Facility ID] = clean[[#This Row],[Facility ID]]) * ([1]!readmissions[Measure ID] = "Hybrid_HWR"), [1]!readmissions[Score]), "No Match")</f>
        <v>16</v>
      </c>
    </row>
    <row r="3430" spans="1:6" x14ac:dyDescent="0.2">
      <c r="A3430">
        <f>[1]!hospitalinfo[[#This Row],[Facility ID]]</f>
        <v>330135</v>
      </c>
      <c r="B3430" t="str">
        <f>[1]!hospitalinfo[[#This Row],[State]]</f>
        <v>NY</v>
      </c>
      <c r="C3430" t="str">
        <f>[1]!hospitalinfo[[#This Row],[Hospital Type]]</f>
        <v>Acute Care Hospitals</v>
      </c>
      <c r="D3430" t="str">
        <f>[1]!hospitalinfo[[#This Row],[Hospital Ownership]]</f>
        <v>Voluntary non-profit - Private</v>
      </c>
      <c r="E3430" cm="1">
        <f t="array" ref="E3430">_xlfn.IFNA(_xlfn.XLOOKUP(1,([1]!hcahps[Facility ID] = clean[[#This Row],[Facility ID]]) * ([1]!hcahps[HCAHPS Measure ID] = "H_HSP_RATING_LINEAR_SCORE"), [1]!hcahps[HCAHPS Linear Mean Value]), "No Match")</f>
        <v>85</v>
      </c>
      <c r="F3430" cm="1">
        <f t="array" ref="F3430">_xlfn.IFNA(_xlfn.XLOOKUP(1,([1]!readmissions[Facility ID] = clean[[#This Row],[Facility ID]]) * ([1]!readmissions[Measure ID] = "Hybrid_HWR"), [1]!readmissions[Score]), "No Match")</f>
        <v>15</v>
      </c>
    </row>
    <row r="3431" spans="1:6" x14ac:dyDescent="0.2">
      <c r="A3431">
        <f>[1]!hospitalinfo[[#This Row],[Facility ID]]</f>
        <v>330136</v>
      </c>
      <c r="B3431" t="str">
        <f>[1]!hospitalinfo[[#This Row],[State]]</f>
        <v>NY</v>
      </c>
      <c r="C3431" t="str">
        <f>[1]!hospitalinfo[[#This Row],[Hospital Type]]</f>
        <v>Acute Care Hospitals</v>
      </c>
      <c r="D3431" t="str">
        <f>[1]!hospitalinfo[[#This Row],[Hospital Ownership]]</f>
        <v>Voluntary non-profit - Private</v>
      </c>
      <c r="E3431" cm="1">
        <f t="array" ref="E3431">_xlfn.IFNA(_xlfn.XLOOKUP(1,([1]!hcahps[Facility ID] = clean[[#This Row],[Facility ID]]) * ([1]!hcahps[HCAHPS Measure ID] = "H_HSP_RATING_LINEAR_SCORE"), [1]!hcahps[HCAHPS Linear Mean Value]), "No Match")</f>
        <v>85</v>
      </c>
      <c r="F3431" cm="1">
        <f t="array" ref="F3431">_xlfn.IFNA(_xlfn.XLOOKUP(1,([1]!readmissions[Facility ID] = clean[[#This Row],[Facility ID]]) * ([1]!readmissions[Measure ID] = "Hybrid_HWR"), [1]!readmissions[Score]), "No Match")</f>
        <v>15.6</v>
      </c>
    </row>
    <row r="3432" spans="1:6" x14ac:dyDescent="0.2">
      <c r="A3432">
        <f>[1]!hospitalinfo[[#This Row],[Facility ID]]</f>
        <v>330140</v>
      </c>
      <c r="B3432" t="str">
        <f>[1]!hospitalinfo[[#This Row],[State]]</f>
        <v>NY</v>
      </c>
      <c r="C3432" t="str">
        <f>[1]!hospitalinfo[[#This Row],[Hospital Type]]</f>
        <v>Acute Care Hospitals</v>
      </c>
      <c r="D3432" t="str">
        <f>[1]!hospitalinfo[[#This Row],[Hospital Ownership]]</f>
        <v>Voluntary non-profit - Church</v>
      </c>
      <c r="E3432" cm="1">
        <f t="array" ref="E3432">_xlfn.IFNA(_xlfn.XLOOKUP(1,([1]!hcahps[Facility ID] = clean[[#This Row],[Facility ID]]) * ([1]!hcahps[HCAHPS Measure ID] = "H_HSP_RATING_LINEAR_SCORE"), [1]!hcahps[HCAHPS Linear Mean Value]), "No Match")</f>
        <v>89</v>
      </c>
      <c r="F3432" cm="1">
        <f t="array" ref="F3432">_xlfn.IFNA(_xlfn.XLOOKUP(1,([1]!readmissions[Facility ID] = clean[[#This Row],[Facility ID]]) * ([1]!readmissions[Measure ID] = "Hybrid_HWR"), [1]!readmissions[Score]), "No Match")</f>
        <v>16.2</v>
      </c>
    </row>
    <row r="3433" spans="1:6" x14ac:dyDescent="0.2">
      <c r="A3433">
        <f>[1]!hospitalinfo[[#This Row],[Facility ID]]</f>
        <v>330141</v>
      </c>
      <c r="B3433" t="str">
        <f>[1]!hospitalinfo[[#This Row],[State]]</f>
        <v>NY</v>
      </c>
      <c r="C3433" t="str">
        <f>[1]!hospitalinfo[[#This Row],[Hospital Type]]</f>
        <v>Acute Care Hospitals</v>
      </c>
      <c r="D3433" t="str">
        <f>[1]!hospitalinfo[[#This Row],[Hospital Ownership]]</f>
        <v>Voluntary non-profit - Private</v>
      </c>
      <c r="E3433" cm="1">
        <f t="array" ref="E3433">_xlfn.IFNA(_xlfn.XLOOKUP(1,([1]!hcahps[Facility ID] = clean[[#This Row],[Facility ID]]) * ([1]!hcahps[HCAHPS Measure ID] = "H_HSP_RATING_LINEAR_SCORE"), [1]!hcahps[HCAHPS Linear Mean Value]), "No Match")</f>
        <v>80</v>
      </c>
      <c r="F3433" cm="1">
        <f t="array" ref="F3433">_xlfn.IFNA(_xlfn.XLOOKUP(1,([1]!readmissions[Facility ID] = clean[[#This Row],[Facility ID]]) * ([1]!readmissions[Measure ID] = "Hybrid_HWR"), [1]!readmissions[Score]), "No Match")</f>
        <v>14.2</v>
      </c>
    </row>
    <row r="3434" spans="1:6" x14ac:dyDescent="0.2">
      <c r="A3434">
        <f>[1]!hospitalinfo[[#This Row],[Facility ID]]</f>
        <v>330151</v>
      </c>
      <c r="B3434" t="str">
        <f>[1]!hospitalinfo[[#This Row],[State]]</f>
        <v>NY</v>
      </c>
      <c r="C3434" t="str">
        <f>[1]!hospitalinfo[[#This Row],[Hospital Type]]</f>
        <v>Acute Care Hospitals</v>
      </c>
      <c r="D3434" t="str">
        <f>[1]!hospitalinfo[[#This Row],[Hospital Ownership]]</f>
        <v>Voluntary non-profit - Private</v>
      </c>
      <c r="E3434" cm="1">
        <f t="array" ref="E3434">_xlfn.IFNA(_xlfn.XLOOKUP(1,([1]!hcahps[Facility ID] = clean[[#This Row],[Facility ID]]) * ([1]!hcahps[HCAHPS Measure ID] = "H_HSP_RATING_LINEAR_SCORE"), [1]!hcahps[HCAHPS Linear Mean Value]), "No Match")</f>
        <v>88</v>
      </c>
      <c r="F3434" cm="1">
        <f t="array" ref="F3434">_xlfn.IFNA(_xlfn.XLOOKUP(1,([1]!readmissions[Facility ID] = clean[[#This Row],[Facility ID]]) * ([1]!readmissions[Measure ID] = "Hybrid_HWR"), [1]!readmissions[Score]), "No Match")</f>
        <v>15.8</v>
      </c>
    </row>
    <row r="3435" spans="1:6" x14ac:dyDescent="0.2">
      <c r="A3435">
        <f>[1]!hospitalinfo[[#This Row],[Facility ID]]</f>
        <v>330153</v>
      </c>
      <c r="B3435" t="str">
        <f>[1]!hospitalinfo[[#This Row],[State]]</f>
        <v>NY</v>
      </c>
      <c r="C3435" t="str">
        <f>[1]!hospitalinfo[[#This Row],[Hospital Type]]</f>
        <v>Acute Care Hospitals</v>
      </c>
      <c r="D3435" t="str">
        <f>[1]!hospitalinfo[[#This Row],[Hospital Ownership]]</f>
        <v>Voluntary non-profit - Private</v>
      </c>
      <c r="E3435" cm="1">
        <f t="array" ref="E3435">_xlfn.IFNA(_xlfn.XLOOKUP(1,([1]!hcahps[Facility ID] = clean[[#This Row],[Facility ID]]) * ([1]!hcahps[HCAHPS Measure ID] = "H_HSP_RATING_LINEAR_SCORE"), [1]!hcahps[HCAHPS Linear Mean Value]), "No Match")</f>
        <v>83</v>
      </c>
      <c r="F3435" cm="1">
        <f t="array" ref="F3435">_xlfn.IFNA(_xlfn.XLOOKUP(1,([1]!readmissions[Facility ID] = clean[[#This Row],[Facility ID]]) * ([1]!readmissions[Measure ID] = "Hybrid_HWR"), [1]!readmissions[Score]), "No Match")</f>
        <v>14.9</v>
      </c>
    </row>
    <row r="3436" spans="1:6" x14ac:dyDescent="0.2">
      <c r="A3436">
        <f>[1]!hospitalinfo[[#This Row],[Facility ID]]</f>
        <v>330157</v>
      </c>
      <c r="B3436" t="str">
        <f>[1]!hospitalinfo[[#This Row],[State]]</f>
        <v>NY</v>
      </c>
      <c r="C3436" t="str">
        <f>[1]!hospitalinfo[[#This Row],[Hospital Type]]</f>
        <v>Acute Care Hospitals</v>
      </c>
      <c r="D3436" t="str">
        <f>[1]!hospitalinfo[[#This Row],[Hospital Ownership]]</f>
        <v>Voluntary non-profit - Private</v>
      </c>
      <c r="E3436" cm="1">
        <f t="array" ref="E3436">_xlfn.IFNA(_xlfn.XLOOKUP(1,([1]!hcahps[Facility ID] = clean[[#This Row],[Facility ID]]) * ([1]!hcahps[HCAHPS Measure ID] = "H_HSP_RATING_LINEAR_SCORE"), [1]!hcahps[HCAHPS Linear Mean Value]), "No Match")</f>
        <v>86</v>
      </c>
      <c r="F3436" cm="1">
        <f t="array" ref="F3436">_xlfn.IFNA(_xlfn.XLOOKUP(1,([1]!readmissions[Facility ID] = clean[[#This Row],[Facility ID]]) * ([1]!readmissions[Measure ID] = "Hybrid_HWR"), [1]!readmissions[Score]), "No Match")</f>
        <v>15.3</v>
      </c>
    </row>
    <row r="3437" spans="1:6" x14ac:dyDescent="0.2">
      <c r="A3437">
        <f>[1]!hospitalinfo[[#This Row],[Facility ID]]</f>
        <v>330158</v>
      </c>
      <c r="B3437" t="str">
        <f>[1]!hospitalinfo[[#This Row],[State]]</f>
        <v>NY</v>
      </c>
      <c r="C3437" t="str">
        <f>[1]!hospitalinfo[[#This Row],[Hospital Type]]</f>
        <v>Acute Care Hospitals</v>
      </c>
      <c r="D3437" t="str">
        <f>[1]!hospitalinfo[[#This Row],[Hospital Ownership]]</f>
        <v>Voluntary non-profit - Private</v>
      </c>
      <c r="E3437" cm="1">
        <f t="array" ref="E3437">_xlfn.IFNA(_xlfn.XLOOKUP(1,([1]!hcahps[Facility ID] = clean[[#This Row],[Facility ID]]) * ([1]!hcahps[HCAHPS Measure ID] = "H_HSP_RATING_LINEAR_SCORE"), [1]!hcahps[HCAHPS Linear Mean Value]), "No Match")</f>
        <v>84</v>
      </c>
      <c r="F3437" cm="1">
        <f t="array" ref="F3437">_xlfn.IFNA(_xlfn.XLOOKUP(1,([1]!readmissions[Facility ID] = clean[[#This Row],[Facility ID]]) * ([1]!readmissions[Measure ID] = "Hybrid_HWR"), [1]!readmissions[Score]), "No Match")</f>
        <v>15.1</v>
      </c>
    </row>
    <row r="3438" spans="1:6" x14ac:dyDescent="0.2">
      <c r="A3438">
        <f>[1]!hospitalinfo[[#This Row],[Facility ID]]</f>
        <v>330160</v>
      </c>
      <c r="B3438" t="str">
        <f>[1]!hospitalinfo[[#This Row],[State]]</f>
        <v>NY</v>
      </c>
      <c r="C3438" t="str">
        <f>[1]!hospitalinfo[[#This Row],[Hospital Type]]</f>
        <v>Acute Care Hospitals</v>
      </c>
      <c r="D3438" t="str">
        <f>[1]!hospitalinfo[[#This Row],[Hospital Ownership]]</f>
        <v>Voluntary non-profit - Private</v>
      </c>
      <c r="E3438" cm="1">
        <f t="array" ref="E3438">_xlfn.IFNA(_xlfn.XLOOKUP(1,([1]!hcahps[Facility ID] = clean[[#This Row],[Facility ID]]) * ([1]!hcahps[HCAHPS Measure ID] = "H_HSP_RATING_LINEAR_SCORE"), [1]!hcahps[HCAHPS Linear Mean Value]), "No Match")</f>
        <v>84</v>
      </c>
      <c r="F3438" cm="1">
        <f t="array" ref="F3438">_xlfn.IFNA(_xlfn.XLOOKUP(1,([1]!readmissions[Facility ID] = clean[[#This Row],[Facility ID]]) * ([1]!readmissions[Measure ID] = "Hybrid_HWR"), [1]!readmissions[Score]), "No Match")</f>
        <v>16.399999999999999</v>
      </c>
    </row>
    <row r="3439" spans="1:6" x14ac:dyDescent="0.2">
      <c r="A3439">
        <f>[1]!hospitalinfo[[#This Row],[Facility ID]]</f>
        <v>330162</v>
      </c>
      <c r="B3439" t="str">
        <f>[1]!hospitalinfo[[#This Row],[State]]</f>
        <v>NY</v>
      </c>
      <c r="C3439" t="str">
        <f>[1]!hospitalinfo[[#This Row],[Hospital Type]]</f>
        <v>Acute Care Hospitals</v>
      </c>
      <c r="D3439" t="str">
        <f>[1]!hospitalinfo[[#This Row],[Hospital Ownership]]</f>
        <v>Voluntary non-profit - Private</v>
      </c>
      <c r="E3439" cm="1">
        <f t="array" ref="E3439">_xlfn.IFNA(_xlfn.XLOOKUP(1,([1]!hcahps[Facility ID] = clean[[#This Row],[Facility ID]]) * ([1]!hcahps[HCAHPS Measure ID] = "H_HSP_RATING_LINEAR_SCORE"), [1]!hcahps[HCAHPS Linear Mean Value]), "No Match")</f>
        <v>91</v>
      </c>
      <c r="F3439" cm="1">
        <f t="array" ref="F3439">_xlfn.IFNA(_xlfn.XLOOKUP(1,([1]!readmissions[Facility ID] = clean[[#This Row],[Facility ID]]) * ([1]!readmissions[Measure ID] = "Hybrid_HWR"), [1]!readmissions[Score]), "No Match")</f>
        <v>14.1</v>
      </c>
    </row>
    <row r="3440" spans="1:6" x14ac:dyDescent="0.2">
      <c r="A3440">
        <f>[1]!hospitalinfo[[#This Row],[Facility ID]]</f>
        <v>330164</v>
      </c>
      <c r="B3440" t="str">
        <f>[1]!hospitalinfo[[#This Row],[State]]</f>
        <v>NY</v>
      </c>
      <c r="C3440" t="str">
        <f>[1]!hospitalinfo[[#This Row],[Hospital Type]]</f>
        <v>Acute Care Hospitals</v>
      </c>
      <c r="D3440" t="str">
        <f>[1]!hospitalinfo[[#This Row],[Hospital Ownership]]</f>
        <v>Voluntary non-profit - Private</v>
      </c>
      <c r="E3440" cm="1">
        <f t="array" ref="E3440">_xlfn.IFNA(_xlfn.XLOOKUP(1,([1]!hcahps[Facility ID] = clean[[#This Row],[Facility ID]]) * ([1]!hcahps[HCAHPS Measure ID] = "H_HSP_RATING_LINEAR_SCORE"), [1]!hcahps[HCAHPS Linear Mean Value]), "No Match")</f>
        <v>86</v>
      </c>
      <c r="F3440" cm="1">
        <f t="array" ref="F3440">_xlfn.IFNA(_xlfn.XLOOKUP(1,([1]!readmissions[Facility ID] = clean[[#This Row],[Facility ID]]) * ([1]!readmissions[Measure ID] = "Hybrid_HWR"), [1]!readmissions[Score]), "No Match")</f>
        <v>15.5</v>
      </c>
    </row>
    <row r="3441" spans="1:6" x14ac:dyDescent="0.2">
      <c r="A3441">
        <f>[1]!hospitalinfo[[#This Row],[Facility ID]]</f>
        <v>330166</v>
      </c>
      <c r="B3441" t="str">
        <f>[1]!hospitalinfo[[#This Row],[State]]</f>
        <v>NY</v>
      </c>
      <c r="C3441" t="str">
        <f>[1]!hospitalinfo[[#This Row],[Hospital Type]]</f>
        <v>Acute Care Hospitals</v>
      </c>
      <c r="D3441" t="str">
        <f>[1]!hospitalinfo[[#This Row],[Hospital Ownership]]</f>
        <v>Voluntary non-profit - Private</v>
      </c>
      <c r="E3441" t="str" cm="1">
        <f t="array" ref="E3441">_xlfn.IFNA(_xlfn.XLOOKUP(1,([1]!hcahps[Facility ID] = clean[[#This Row],[Facility ID]]) * ([1]!hcahps[HCAHPS Measure ID] = "H_HSP_RATING_LINEAR_SCORE"), [1]!hcahps[HCAHPS Linear Mean Value]), "No Match")</f>
        <v>Not Available</v>
      </c>
      <c r="F3441" cm="1">
        <f t="array" ref="F3441">_xlfn.IFNA(_xlfn.XLOOKUP(1,([1]!readmissions[Facility ID] = clean[[#This Row],[Facility ID]]) * ([1]!readmissions[Measure ID] = "Hybrid_HWR"), [1]!readmissions[Score]), "No Match")</f>
        <v>14.8</v>
      </c>
    </row>
    <row r="3442" spans="1:6" x14ac:dyDescent="0.2">
      <c r="A3442">
        <f>[1]!hospitalinfo[[#This Row],[Facility ID]]</f>
        <v>330169</v>
      </c>
      <c r="B3442" t="str">
        <f>[1]!hospitalinfo[[#This Row],[State]]</f>
        <v>NY</v>
      </c>
      <c r="C3442" t="str">
        <f>[1]!hospitalinfo[[#This Row],[Hospital Type]]</f>
        <v>Acute Care Hospitals</v>
      </c>
      <c r="D3442" t="str">
        <f>[1]!hospitalinfo[[#This Row],[Hospital Ownership]]</f>
        <v>Voluntary non-profit - Private</v>
      </c>
      <c r="E3442" cm="1">
        <f t="array" ref="E3442">_xlfn.IFNA(_xlfn.XLOOKUP(1,([1]!hcahps[Facility ID] = clean[[#This Row],[Facility ID]]) * ([1]!hcahps[HCAHPS Measure ID] = "H_HSP_RATING_LINEAR_SCORE"), [1]!hcahps[HCAHPS Linear Mean Value]), "No Match")</f>
        <v>82</v>
      </c>
      <c r="F3442" cm="1">
        <f t="array" ref="F3442">_xlfn.IFNA(_xlfn.XLOOKUP(1,([1]!readmissions[Facility ID] = clean[[#This Row],[Facility ID]]) * ([1]!readmissions[Measure ID] = "Hybrid_HWR"), [1]!readmissions[Score]), "No Match")</f>
        <v>16.399999999999999</v>
      </c>
    </row>
    <row r="3443" spans="1:6" x14ac:dyDescent="0.2">
      <c r="A3443">
        <f>[1]!hospitalinfo[[#This Row],[Facility ID]]</f>
        <v>330175</v>
      </c>
      <c r="B3443" t="str">
        <f>[1]!hospitalinfo[[#This Row],[State]]</f>
        <v>NY</v>
      </c>
      <c r="C3443" t="str">
        <f>[1]!hospitalinfo[[#This Row],[Hospital Type]]</f>
        <v>Acute Care Hospitals</v>
      </c>
      <c r="D3443" t="str">
        <f>[1]!hospitalinfo[[#This Row],[Hospital Ownership]]</f>
        <v>Voluntary non-profit - Private</v>
      </c>
      <c r="E3443" cm="1">
        <f t="array" ref="E3443">_xlfn.IFNA(_xlfn.XLOOKUP(1,([1]!hcahps[Facility ID] = clean[[#This Row],[Facility ID]]) * ([1]!hcahps[HCAHPS Measure ID] = "H_HSP_RATING_LINEAR_SCORE"), [1]!hcahps[HCAHPS Linear Mean Value]), "No Match")</f>
        <v>84</v>
      </c>
      <c r="F3443" cm="1">
        <f t="array" ref="F3443">_xlfn.IFNA(_xlfn.XLOOKUP(1,([1]!readmissions[Facility ID] = clean[[#This Row],[Facility ID]]) * ([1]!readmissions[Measure ID] = "Hybrid_HWR"), [1]!readmissions[Score]), "No Match")</f>
        <v>15.3</v>
      </c>
    </row>
    <row r="3444" spans="1:6" x14ac:dyDescent="0.2">
      <c r="A3444">
        <f>[1]!hospitalinfo[[#This Row],[Facility ID]]</f>
        <v>330180</v>
      </c>
      <c r="B3444" t="str">
        <f>[1]!hospitalinfo[[#This Row],[State]]</f>
        <v>NY</v>
      </c>
      <c r="C3444" t="str">
        <f>[1]!hospitalinfo[[#This Row],[Hospital Type]]</f>
        <v>Acute Care Hospitals</v>
      </c>
      <c r="D3444" t="str">
        <f>[1]!hospitalinfo[[#This Row],[Hospital Ownership]]</f>
        <v>Voluntary non-profit - Private</v>
      </c>
      <c r="E3444" cm="1">
        <f t="array" ref="E3444">_xlfn.IFNA(_xlfn.XLOOKUP(1,([1]!hcahps[Facility ID] = clean[[#This Row],[Facility ID]]) * ([1]!hcahps[HCAHPS Measure ID] = "H_HSP_RATING_LINEAR_SCORE"), [1]!hcahps[HCAHPS Linear Mean Value]), "No Match")</f>
        <v>87</v>
      </c>
      <c r="F3444" cm="1">
        <f t="array" ref="F3444">_xlfn.IFNA(_xlfn.XLOOKUP(1,([1]!readmissions[Facility ID] = clean[[#This Row],[Facility ID]]) * ([1]!readmissions[Measure ID] = "Hybrid_HWR"), [1]!readmissions[Score]), "No Match")</f>
        <v>14.3</v>
      </c>
    </row>
    <row r="3445" spans="1:6" x14ac:dyDescent="0.2">
      <c r="A3445">
        <f>[1]!hospitalinfo[[#This Row],[Facility ID]]</f>
        <v>330181</v>
      </c>
      <c r="B3445" t="str">
        <f>[1]!hospitalinfo[[#This Row],[State]]</f>
        <v>NY</v>
      </c>
      <c r="C3445" t="str">
        <f>[1]!hospitalinfo[[#This Row],[Hospital Type]]</f>
        <v>Acute Care Hospitals</v>
      </c>
      <c r="D3445" t="str">
        <f>[1]!hospitalinfo[[#This Row],[Hospital Ownership]]</f>
        <v>Voluntary non-profit - Private</v>
      </c>
      <c r="E3445" cm="1">
        <f t="array" ref="E3445">_xlfn.IFNA(_xlfn.XLOOKUP(1,([1]!hcahps[Facility ID] = clean[[#This Row],[Facility ID]]) * ([1]!hcahps[HCAHPS Measure ID] = "H_HSP_RATING_LINEAR_SCORE"), [1]!hcahps[HCAHPS Linear Mean Value]), "No Match")</f>
        <v>91</v>
      </c>
      <c r="F3445" cm="1">
        <f t="array" ref="F3445">_xlfn.IFNA(_xlfn.XLOOKUP(1,([1]!readmissions[Facility ID] = clean[[#This Row],[Facility ID]]) * ([1]!readmissions[Measure ID] = "Hybrid_HWR"), [1]!readmissions[Score]), "No Match")</f>
        <v>15</v>
      </c>
    </row>
    <row r="3446" spans="1:6" x14ac:dyDescent="0.2">
      <c r="A3446">
        <f>[1]!hospitalinfo[[#This Row],[Facility ID]]</f>
        <v>330182</v>
      </c>
      <c r="B3446" t="str">
        <f>[1]!hospitalinfo[[#This Row],[State]]</f>
        <v>NY</v>
      </c>
      <c r="C3446" t="str">
        <f>[1]!hospitalinfo[[#This Row],[Hospital Type]]</f>
        <v>Acute Care Hospitals</v>
      </c>
      <c r="D3446" t="str">
        <f>[1]!hospitalinfo[[#This Row],[Hospital Ownership]]</f>
        <v>Voluntary non-profit - Church</v>
      </c>
      <c r="E3446" cm="1">
        <f t="array" ref="E3446">_xlfn.IFNA(_xlfn.XLOOKUP(1,([1]!hcahps[Facility ID] = clean[[#This Row],[Facility ID]]) * ([1]!hcahps[HCAHPS Measure ID] = "H_HSP_RATING_LINEAR_SCORE"), [1]!hcahps[HCAHPS Linear Mean Value]), "No Match")</f>
        <v>92</v>
      </c>
      <c r="F3446" cm="1">
        <f t="array" ref="F3446">_xlfn.IFNA(_xlfn.XLOOKUP(1,([1]!readmissions[Facility ID] = clean[[#This Row],[Facility ID]]) * ([1]!readmissions[Measure ID] = "Hybrid_HWR"), [1]!readmissions[Score]), "No Match")</f>
        <v>15.2</v>
      </c>
    </row>
    <row r="3447" spans="1:6" x14ac:dyDescent="0.2">
      <c r="A3447">
        <f>[1]!hospitalinfo[[#This Row],[Facility ID]]</f>
        <v>330184</v>
      </c>
      <c r="B3447" t="str">
        <f>[1]!hospitalinfo[[#This Row],[State]]</f>
        <v>NY</v>
      </c>
      <c r="C3447" t="str">
        <f>[1]!hospitalinfo[[#This Row],[Hospital Type]]</f>
        <v>Acute Care Hospitals</v>
      </c>
      <c r="D3447" t="str">
        <f>[1]!hospitalinfo[[#This Row],[Hospital Ownership]]</f>
        <v>Voluntary non-profit - Private</v>
      </c>
      <c r="E3447" cm="1">
        <f t="array" ref="E3447">_xlfn.IFNA(_xlfn.XLOOKUP(1,([1]!hcahps[Facility ID] = clean[[#This Row],[Facility ID]]) * ([1]!hcahps[HCAHPS Measure ID] = "H_HSP_RATING_LINEAR_SCORE"), [1]!hcahps[HCAHPS Linear Mean Value]), "No Match")</f>
        <v>81</v>
      </c>
      <c r="F3447" cm="1">
        <f t="array" ref="F3447">_xlfn.IFNA(_xlfn.XLOOKUP(1,([1]!readmissions[Facility ID] = clean[[#This Row],[Facility ID]]) * ([1]!readmissions[Measure ID] = "Hybrid_HWR"), [1]!readmissions[Score]), "No Match")</f>
        <v>15.3</v>
      </c>
    </row>
    <row r="3448" spans="1:6" x14ac:dyDescent="0.2">
      <c r="A3448">
        <f>[1]!hospitalinfo[[#This Row],[Facility ID]]</f>
        <v>330185</v>
      </c>
      <c r="B3448" t="str">
        <f>[1]!hospitalinfo[[#This Row],[State]]</f>
        <v>NY</v>
      </c>
      <c r="C3448" t="str">
        <f>[1]!hospitalinfo[[#This Row],[Hospital Type]]</f>
        <v>Acute Care Hospitals</v>
      </c>
      <c r="D3448" t="str">
        <f>[1]!hospitalinfo[[#This Row],[Hospital Ownership]]</f>
        <v>Voluntary non-profit - Private</v>
      </c>
      <c r="E3448" cm="1">
        <f t="array" ref="E3448">_xlfn.IFNA(_xlfn.XLOOKUP(1,([1]!hcahps[Facility ID] = clean[[#This Row],[Facility ID]]) * ([1]!hcahps[HCAHPS Measure ID] = "H_HSP_RATING_LINEAR_SCORE"), [1]!hcahps[HCAHPS Linear Mean Value]), "No Match")</f>
        <v>89</v>
      </c>
      <c r="F3448" cm="1">
        <f t="array" ref="F3448">_xlfn.IFNA(_xlfn.XLOOKUP(1,([1]!readmissions[Facility ID] = clean[[#This Row],[Facility ID]]) * ([1]!readmissions[Measure ID] = "Hybrid_HWR"), [1]!readmissions[Score]), "No Match")</f>
        <v>12.2</v>
      </c>
    </row>
    <row r="3449" spans="1:6" x14ac:dyDescent="0.2">
      <c r="A3449">
        <f>[1]!hospitalinfo[[#This Row],[Facility ID]]</f>
        <v>330188</v>
      </c>
      <c r="B3449" t="str">
        <f>[1]!hospitalinfo[[#This Row],[State]]</f>
        <v>NY</v>
      </c>
      <c r="C3449" t="str">
        <f>[1]!hospitalinfo[[#This Row],[Hospital Type]]</f>
        <v>Acute Care Hospitals</v>
      </c>
      <c r="D3449" t="str">
        <f>[1]!hospitalinfo[[#This Row],[Hospital Ownership]]</f>
        <v>Voluntary non-profit - Private</v>
      </c>
      <c r="E3449" cm="1">
        <f t="array" ref="E3449">_xlfn.IFNA(_xlfn.XLOOKUP(1,([1]!hcahps[Facility ID] = clean[[#This Row],[Facility ID]]) * ([1]!hcahps[HCAHPS Measure ID] = "H_HSP_RATING_LINEAR_SCORE"), [1]!hcahps[HCAHPS Linear Mean Value]), "No Match")</f>
        <v>89</v>
      </c>
      <c r="F3449" cm="1">
        <f t="array" ref="F3449">_xlfn.IFNA(_xlfn.XLOOKUP(1,([1]!readmissions[Facility ID] = clean[[#This Row],[Facility ID]]) * ([1]!readmissions[Measure ID] = "Hybrid_HWR"), [1]!readmissions[Score]), "No Match")</f>
        <v>15.3</v>
      </c>
    </row>
    <row r="3450" spans="1:6" x14ac:dyDescent="0.2">
      <c r="A3450">
        <f>[1]!hospitalinfo[[#This Row],[Facility ID]]</f>
        <v>330191</v>
      </c>
      <c r="B3450" t="str">
        <f>[1]!hospitalinfo[[#This Row],[State]]</f>
        <v>NY</v>
      </c>
      <c r="C3450" t="str">
        <f>[1]!hospitalinfo[[#This Row],[Hospital Type]]</f>
        <v>Acute Care Hospitals</v>
      </c>
      <c r="D3450" t="str">
        <f>[1]!hospitalinfo[[#This Row],[Hospital Ownership]]</f>
        <v>Voluntary non-profit - Private</v>
      </c>
      <c r="E3450" cm="1">
        <f t="array" ref="E3450">_xlfn.IFNA(_xlfn.XLOOKUP(1,([1]!hcahps[Facility ID] = clean[[#This Row],[Facility ID]]) * ([1]!hcahps[HCAHPS Measure ID] = "H_HSP_RATING_LINEAR_SCORE"), [1]!hcahps[HCAHPS Linear Mean Value]), "No Match")</f>
        <v>86</v>
      </c>
      <c r="F3450" cm="1">
        <f t="array" ref="F3450">_xlfn.IFNA(_xlfn.XLOOKUP(1,([1]!readmissions[Facility ID] = clean[[#This Row],[Facility ID]]) * ([1]!readmissions[Measure ID] = "Hybrid_HWR"), [1]!readmissions[Score]), "No Match")</f>
        <v>14.6</v>
      </c>
    </row>
    <row r="3451" spans="1:6" x14ac:dyDescent="0.2">
      <c r="A3451">
        <f>[1]!hospitalinfo[[#This Row],[Facility ID]]</f>
        <v>330193</v>
      </c>
      <c r="B3451" t="str">
        <f>[1]!hospitalinfo[[#This Row],[State]]</f>
        <v>NY</v>
      </c>
      <c r="C3451" t="str">
        <f>[1]!hospitalinfo[[#This Row],[Hospital Type]]</f>
        <v>Acute Care Hospitals</v>
      </c>
      <c r="D3451" t="str">
        <f>[1]!hospitalinfo[[#This Row],[Hospital Ownership]]</f>
        <v>Voluntary non-profit - Private</v>
      </c>
      <c r="E3451" cm="1">
        <f t="array" ref="E3451">_xlfn.IFNA(_xlfn.XLOOKUP(1,([1]!hcahps[Facility ID] = clean[[#This Row],[Facility ID]]) * ([1]!hcahps[HCAHPS Measure ID] = "H_HSP_RATING_LINEAR_SCORE"), [1]!hcahps[HCAHPS Linear Mean Value]), "No Match")</f>
        <v>86</v>
      </c>
      <c r="F3451" cm="1">
        <f t="array" ref="F3451">_xlfn.IFNA(_xlfn.XLOOKUP(1,([1]!readmissions[Facility ID] = clean[[#This Row],[Facility ID]]) * ([1]!readmissions[Measure ID] = "Hybrid_HWR"), [1]!readmissions[Score]), "No Match")</f>
        <v>15.6</v>
      </c>
    </row>
    <row r="3452" spans="1:6" x14ac:dyDescent="0.2">
      <c r="A3452">
        <f>[1]!hospitalinfo[[#This Row],[Facility ID]]</f>
        <v>330194</v>
      </c>
      <c r="B3452" t="str">
        <f>[1]!hospitalinfo[[#This Row],[State]]</f>
        <v>NY</v>
      </c>
      <c r="C3452" t="str">
        <f>[1]!hospitalinfo[[#This Row],[Hospital Type]]</f>
        <v>Acute Care Hospitals</v>
      </c>
      <c r="D3452" t="str">
        <f>[1]!hospitalinfo[[#This Row],[Hospital Ownership]]</f>
        <v>Voluntary non-profit - Private</v>
      </c>
      <c r="E3452" cm="1">
        <f t="array" ref="E3452">_xlfn.IFNA(_xlfn.XLOOKUP(1,([1]!hcahps[Facility ID] = clean[[#This Row],[Facility ID]]) * ([1]!hcahps[HCAHPS Measure ID] = "H_HSP_RATING_LINEAR_SCORE"), [1]!hcahps[HCAHPS Linear Mean Value]), "No Match")</f>
        <v>84</v>
      </c>
      <c r="F3452" cm="1">
        <f t="array" ref="F3452">_xlfn.IFNA(_xlfn.XLOOKUP(1,([1]!readmissions[Facility ID] = clean[[#This Row],[Facility ID]]) * ([1]!readmissions[Measure ID] = "Hybrid_HWR"), [1]!readmissions[Score]), "No Match")</f>
        <v>17.2</v>
      </c>
    </row>
    <row r="3453" spans="1:6" x14ac:dyDescent="0.2">
      <c r="A3453">
        <f>[1]!hospitalinfo[[#This Row],[Facility ID]]</f>
        <v>330195</v>
      </c>
      <c r="B3453" t="str">
        <f>[1]!hospitalinfo[[#This Row],[State]]</f>
        <v>NY</v>
      </c>
      <c r="C3453" t="str">
        <f>[1]!hospitalinfo[[#This Row],[Hospital Type]]</f>
        <v>Acute Care Hospitals</v>
      </c>
      <c r="D3453" t="str">
        <f>[1]!hospitalinfo[[#This Row],[Hospital Ownership]]</f>
        <v>Voluntary non-profit - Private</v>
      </c>
      <c r="E3453" cm="1">
        <f t="array" ref="E3453">_xlfn.IFNA(_xlfn.XLOOKUP(1,([1]!hcahps[Facility ID] = clean[[#This Row],[Facility ID]]) * ([1]!hcahps[HCAHPS Measure ID] = "H_HSP_RATING_LINEAR_SCORE"), [1]!hcahps[HCAHPS Linear Mean Value]), "No Match")</f>
        <v>86</v>
      </c>
      <c r="F3453" cm="1">
        <f t="array" ref="F3453">_xlfn.IFNA(_xlfn.XLOOKUP(1,([1]!readmissions[Facility ID] = clean[[#This Row],[Facility ID]]) * ([1]!readmissions[Measure ID] = "Hybrid_HWR"), [1]!readmissions[Score]), "No Match")</f>
        <v>15.6</v>
      </c>
    </row>
    <row r="3454" spans="1:6" x14ac:dyDescent="0.2">
      <c r="A3454">
        <f>[1]!hospitalinfo[[#This Row],[Facility ID]]</f>
        <v>330196</v>
      </c>
      <c r="B3454" t="str">
        <f>[1]!hospitalinfo[[#This Row],[State]]</f>
        <v>NY</v>
      </c>
      <c r="C3454" t="str">
        <f>[1]!hospitalinfo[[#This Row],[Hospital Type]]</f>
        <v>Acute Care Hospitals</v>
      </c>
      <c r="D3454" t="str">
        <f>[1]!hospitalinfo[[#This Row],[Hospital Ownership]]</f>
        <v>Voluntary non-profit - Other</v>
      </c>
      <c r="E3454" cm="1">
        <f t="array" ref="E3454">_xlfn.IFNA(_xlfn.XLOOKUP(1,([1]!hcahps[Facility ID] = clean[[#This Row],[Facility ID]]) * ([1]!hcahps[HCAHPS Measure ID] = "H_HSP_RATING_LINEAR_SCORE"), [1]!hcahps[HCAHPS Linear Mean Value]), "No Match")</f>
        <v>84</v>
      </c>
      <c r="F3454" cm="1">
        <f t="array" ref="F3454">_xlfn.IFNA(_xlfn.XLOOKUP(1,([1]!readmissions[Facility ID] = clean[[#This Row],[Facility ID]]) * ([1]!readmissions[Measure ID] = "Hybrid_HWR"), [1]!readmissions[Score]), "No Match")</f>
        <v>16.100000000000001</v>
      </c>
    </row>
    <row r="3455" spans="1:6" x14ac:dyDescent="0.2">
      <c r="A3455">
        <f>[1]!hospitalinfo[[#This Row],[Facility ID]]</f>
        <v>330197</v>
      </c>
      <c r="B3455" t="str">
        <f>[1]!hospitalinfo[[#This Row],[State]]</f>
        <v>NY</v>
      </c>
      <c r="C3455" t="str">
        <f>[1]!hospitalinfo[[#This Row],[Hospital Type]]</f>
        <v>Acute Care Hospitals</v>
      </c>
      <c r="D3455" t="str">
        <f>[1]!hospitalinfo[[#This Row],[Hospital Ownership]]</f>
        <v>Voluntary non-profit - Private</v>
      </c>
      <c r="E3455" cm="1">
        <f t="array" ref="E3455">_xlfn.IFNA(_xlfn.XLOOKUP(1,([1]!hcahps[Facility ID] = clean[[#This Row],[Facility ID]]) * ([1]!hcahps[HCAHPS Measure ID] = "H_HSP_RATING_LINEAR_SCORE"), [1]!hcahps[HCAHPS Linear Mean Value]), "No Match")</f>
        <v>90</v>
      </c>
      <c r="F3455" cm="1">
        <f t="array" ref="F3455">_xlfn.IFNA(_xlfn.XLOOKUP(1,([1]!readmissions[Facility ID] = clean[[#This Row],[Facility ID]]) * ([1]!readmissions[Measure ID] = "Hybrid_HWR"), [1]!readmissions[Score]), "No Match")</f>
        <v>15.6</v>
      </c>
    </row>
    <row r="3456" spans="1:6" x14ac:dyDescent="0.2">
      <c r="A3456">
        <f>[1]!hospitalinfo[[#This Row],[Facility ID]]</f>
        <v>330198</v>
      </c>
      <c r="B3456" t="str">
        <f>[1]!hospitalinfo[[#This Row],[State]]</f>
        <v>NY</v>
      </c>
      <c r="C3456" t="str">
        <f>[1]!hospitalinfo[[#This Row],[Hospital Type]]</f>
        <v>Acute Care Hospitals</v>
      </c>
      <c r="D3456" t="str">
        <f>[1]!hospitalinfo[[#This Row],[Hospital Ownership]]</f>
        <v>Voluntary non-profit - Private</v>
      </c>
      <c r="E3456" cm="1">
        <f t="array" ref="E3456">_xlfn.IFNA(_xlfn.XLOOKUP(1,([1]!hcahps[Facility ID] = clean[[#This Row],[Facility ID]]) * ([1]!hcahps[HCAHPS Measure ID] = "H_HSP_RATING_LINEAR_SCORE"), [1]!hcahps[HCAHPS Linear Mean Value]), "No Match")</f>
        <v>84</v>
      </c>
      <c r="F3456" cm="1">
        <f t="array" ref="F3456">_xlfn.IFNA(_xlfn.XLOOKUP(1,([1]!readmissions[Facility ID] = clean[[#This Row],[Facility ID]]) * ([1]!readmissions[Measure ID] = "Hybrid_HWR"), [1]!readmissions[Score]), "No Match")</f>
        <v>15.9</v>
      </c>
    </row>
    <row r="3457" spans="1:6" x14ac:dyDescent="0.2">
      <c r="A3457">
        <f>[1]!hospitalinfo[[#This Row],[Facility ID]]</f>
        <v>330199</v>
      </c>
      <c r="B3457" t="str">
        <f>[1]!hospitalinfo[[#This Row],[State]]</f>
        <v>NY</v>
      </c>
      <c r="C3457" t="str">
        <f>[1]!hospitalinfo[[#This Row],[Hospital Type]]</f>
        <v>Acute Care Hospitals</v>
      </c>
      <c r="D3457" t="str">
        <f>[1]!hospitalinfo[[#This Row],[Hospital Ownership]]</f>
        <v>Government - Local</v>
      </c>
      <c r="E3457" cm="1">
        <f t="array" ref="E3457">_xlfn.IFNA(_xlfn.XLOOKUP(1,([1]!hcahps[Facility ID] = clean[[#This Row],[Facility ID]]) * ([1]!hcahps[HCAHPS Measure ID] = "H_HSP_RATING_LINEAR_SCORE"), [1]!hcahps[HCAHPS Linear Mean Value]), "No Match")</f>
        <v>85</v>
      </c>
      <c r="F3457" cm="1">
        <f t="array" ref="F3457">_xlfn.IFNA(_xlfn.XLOOKUP(1,([1]!readmissions[Facility ID] = clean[[#This Row],[Facility ID]]) * ([1]!readmissions[Measure ID] = "Hybrid_HWR"), [1]!readmissions[Score]), "No Match")</f>
        <v>15.1</v>
      </c>
    </row>
    <row r="3458" spans="1:6" x14ac:dyDescent="0.2">
      <c r="A3458">
        <f>[1]!hospitalinfo[[#This Row],[Facility ID]]</f>
        <v>330202</v>
      </c>
      <c r="B3458" t="str">
        <f>[1]!hospitalinfo[[#This Row],[State]]</f>
        <v>NY</v>
      </c>
      <c r="C3458" t="str">
        <f>[1]!hospitalinfo[[#This Row],[Hospital Type]]</f>
        <v>Acute Care Hospitals</v>
      </c>
      <c r="D3458" t="str">
        <f>[1]!hospitalinfo[[#This Row],[Hospital Ownership]]</f>
        <v>Government - Local</v>
      </c>
      <c r="E3458" cm="1">
        <f t="array" ref="E3458">_xlfn.IFNA(_xlfn.XLOOKUP(1,([1]!hcahps[Facility ID] = clean[[#This Row],[Facility ID]]) * ([1]!hcahps[HCAHPS Measure ID] = "H_HSP_RATING_LINEAR_SCORE"), [1]!hcahps[HCAHPS Linear Mean Value]), "No Match")</f>
        <v>85</v>
      </c>
      <c r="F3458" cm="1">
        <f t="array" ref="F3458">_xlfn.IFNA(_xlfn.XLOOKUP(1,([1]!readmissions[Facility ID] = clean[[#This Row],[Facility ID]]) * ([1]!readmissions[Measure ID] = "Hybrid_HWR"), [1]!readmissions[Score]), "No Match")</f>
        <v>14.9</v>
      </c>
    </row>
    <row r="3459" spans="1:6" x14ac:dyDescent="0.2">
      <c r="A3459">
        <f>[1]!hospitalinfo[[#This Row],[Facility ID]]</f>
        <v>330203</v>
      </c>
      <c r="B3459" t="str">
        <f>[1]!hospitalinfo[[#This Row],[State]]</f>
        <v>NY</v>
      </c>
      <c r="C3459" t="str">
        <f>[1]!hospitalinfo[[#This Row],[Hospital Type]]</f>
        <v>Acute Care Hospitals</v>
      </c>
      <c r="D3459" t="str">
        <f>[1]!hospitalinfo[[#This Row],[Hospital Ownership]]</f>
        <v>Voluntary non-profit - Private</v>
      </c>
      <c r="E3459" cm="1">
        <f t="array" ref="E3459">_xlfn.IFNA(_xlfn.XLOOKUP(1,([1]!hcahps[Facility ID] = clean[[#This Row],[Facility ID]]) * ([1]!hcahps[HCAHPS Measure ID] = "H_HSP_RATING_LINEAR_SCORE"), [1]!hcahps[HCAHPS Linear Mean Value]), "No Match")</f>
        <v>86</v>
      </c>
      <c r="F3459" cm="1">
        <f t="array" ref="F3459">_xlfn.IFNA(_xlfn.XLOOKUP(1,([1]!readmissions[Facility ID] = clean[[#This Row],[Facility ID]]) * ([1]!readmissions[Measure ID] = "Hybrid_HWR"), [1]!readmissions[Score]), "No Match")</f>
        <v>14.9</v>
      </c>
    </row>
    <row r="3460" spans="1:6" x14ac:dyDescent="0.2">
      <c r="A3460">
        <f>[1]!hospitalinfo[[#This Row],[Facility ID]]</f>
        <v>330204</v>
      </c>
      <c r="B3460" t="str">
        <f>[1]!hospitalinfo[[#This Row],[State]]</f>
        <v>NY</v>
      </c>
      <c r="C3460" t="str">
        <f>[1]!hospitalinfo[[#This Row],[Hospital Type]]</f>
        <v>Acute Care Hospitals</v>
      </c>
      <c r="D3460" t="str">
        <f>[1]!hospitalinfo[[#This Row],[Hospital Ownership]]</f>
        <v>Government - Local</v>
      </c>
      <c r="E3460" cm="1">
        <f t="array" ref="E3460">_xlfn.IFNA(_xlfn.XLOOKUP(1,([1]!hcahps[Facility ID] = clean[[#This Row],[Facility ID]]) * ([1]!hcahps[HCAHPS Measure ID] = "H_HSP_RATING_LINEAR_SCORE"), [1]!hcahps[HCAHPS Linear Mean Value]), "No Match")</f>
        <v>84</v>
      </c>
      <c r="F3460" cm="1">
        <f t="array" ref="F3460">_xlfn.IFNA(_xlfn.XLOOKUP(1,([1]!readmissions[Facility ID] = clean[[#This Row],[Facility ID]]) * ([1]!readmissions[Measure ID] = "Hybrid_HWR"), [1]!readmissions[Score]), "No Match")</f>
        <v>15.1</v>
      </c>
    </row>
    <row r="3461" spans="1:6" x14ac:dyDescent="0.2">
      <c r="A3461">
        <f>[1]!hospitalinfo[[#This Row],[Facility ID]]</f>
        <v>330205</v>
      </c>
      <c r="B3461" t="str">
        <f>[1]!hospitalinfo[[#This Row],[State]]</f>
        <v>NY</v>
      </c>
      <c r="C3461" t="str">
        <f>[1]!hospitalinfo[[#This Row],[Hospital Type]]</f>
        <v>Acute Care Hospitals</v>
      </c>
      <c r="D3461" t="str">
        <f>[1]!hospitalinfo[[#This Row],[Hospital Ownership]]</f>
        <v>Voluntary non-profit - Church</v>
      </c>
      <c r="E3461" cm="1">
        <f t="array" ref="E3461">_xlfn.IFNA(_xlfn.XLOOKUP(1,([1]!hcahps[Facility ID] = clean[[#This Row],[Facility ID]]) * ([1]!hcahps[HCAHPS Measure ID] = "H_HSP_RATING_LINEAR_SCORE"), [1]!hcahps[HCAHPS Linear Mean Value]), "No Match")</f>
        <v>88</v>
      </c>
      <c r="F3461" cm="1">
        <f t="array" ref="F3461">_xlfn.IFNA(_xlfn.XLOOKUP(1,([1]!readmissions[Facility ID] = clean[[#This Row],[Facility ID]]) * ([1]!readmissions[Measure ID] = "Hybrid_HWR"), [1]!readmissions[Score]), "No Match")</f>
        <v>14.9</v>
      </c>
    </row>
    <row r="3462" spans="1:6" x14ac:dyDescent="0.2">
      <c r="A3462">
        <f>[1]!hospitalinfo[[#This Row],[Facility ID]]</f>
        <v>330208</v>
      </c>
      <c r="B3462" t="str">
        <f>[1]!hospitalinfo[[#This Row],[State]]</f>
        <v>NY</v>
      </c>
      <c r="C3462" t="str">
        <f>[1]!hospitalinfo[[#This Row],[Hospital Type]]</f>
        <v>Acute Care Hospitals</v>
      </c>
      <c r="D3462" t="str">
        <f>[1]!hospitalinfo[[#This Row],[Hospital Ownership]]</f>
        <v>Voluntary non-profit - Private</v>
      </c>
      <c r="E3462" cm="1">
        <f t="array" ref="E3462">_xlfn.IFNA(_xlfn.XLOOKUP(1,([1]!hcahps[Facility ID] = clean[[#This Row],[Facility ID]]) * ([1]!hcahps[HCAHPS Measure ID] = "H_HSP_RATING_LINEAR_SCORE"), [1]!hcahps[HCAHPS Linear Mean Value]), "No Match")</f>
        <v>86</v>
      </c>
      <c r="F3462" cm="1">
        <f t="array" ref="F3462">_xlfn.IFNA(_xlfn.XLOOKUP(1,([1]!readmissions[Facility ID] = clean[[#This Row],[Facility ID]]) * ([1]!readmissions[Measure ID] = "Hybrid_HWR"), [1]!readmissions[Score]), "No Match")</f>
        <v>16.3</v>
      </c>
    </row>
    <row r="3463" spans="1:6" x14ac:dyDescent="0.2">
      <c r="A3463">
        <f>[1]!hospitalinfo[[#This Row],[Facility ID]]</f>
        <v>330214</v>
      </c>
      <c r="B3463" t="str">
        <f>[1]!hospitalinfo[[#This Row],[State]]</f>
        <v>NY</v>
      </c>
      <c r="C3463" t="str">
        <f>[1]!hospitalinfo[[#This Row],[Hospital Type]]</f>
        <v>Acute Care Hospitals</v>
      </c>
      <c r="D3463" t="str">
        <f>[1]!hospitalinfo[[#This Row],[Hospital Ownership]]</f>
        <v>Voluntary non-profit - Private</v>
      </c>
      <c r="E3463" cm="1">
        <f t="array" ref="E3463">_xlfn.IFNA(_xlfn.XLOOKUP(1,([1]!hcahps[Facility ID] = clean[[#This Row],[Facility ID]]) * ([1]!hcahps[HCAHPS Measure ID] = "H_HSP_RATING_LINEAR_SCORE"), [1]!hcahps[HCAHPS Linear Mean Value]), "No Match")</f>
        <v>88</v>
      </c>
      <c r="F3463" cm="1">
        <f t="array" ref="F3463">_xlfn.IFNA(_xlfn.XLOOKUP(1,([1]!readmissions[Facility ID] = clean[[#This Row],[Facility ID]]) * ([1]!readmissions[Measure ID] = "Hybrid_HWR"), [1]!readmissions[Score]), "No Match")</f>
        <v>13.1</v>
      </c>
    </row>
    <row r="3464" spans="1:6" x14ac:dyDescent="0.2">
      <c r="A3464">
        <f>[1]!hospitalinfo[[#This Row],[Facility ID]]</f>
        <v>330215</v>
      </c>
      <c r="B3464" t="str">
        <f>[1]!hospitalinfo[[#This Row],[State]]</f>
        <v>NY</v>
      </c>
      <c r="C3464" t="str">
        <f>[1]!hospitalinfo[[#This Row],[Hospital Type]]</f>
        <v>Acute Care Hospitals</v>
      </c>
      <c r="D3464" t="str">
        <f>[1]!hospitalinfo[[#This Row],[Hospital Ownership]]</f>
        <v>Voluntary non-profit - Private</v>
      </c>
      <c r="E3464" cm="1">
        <f t="array" ref="E3464">_xlfn.IFNA(_xlfn.XLOOKUP(1,([1]!hcahps[Facility ID] = clean[[#This Row],[Facility ID]]) * ([1]!hcahps[HCAHPS Measure ID] = "H_HSP_RATING_LINEAR_SCORE"), [1]!hcahps[HCAHPS Linear Mean Value]), "No Match")</f>
        <v>84</v>
      </c>
      <c r="F3464" cm="1">
        <f t="array" ref="F3464">_xlfn.IFNA(_xlfn.XLOOKUP(1,([1]!readmissions[Facility ID] = clean[[#This Row],[Facility ID]]) * ([1]!readmissions[Measure ID] = "Hybrid_HWR"), [1]!readmissions[Score]), "No Match")</f>
        <v>15.5</v>
      </c>
    </row>
    <row r="3465" spans="1:6" x14ac:dyDescent="0.2">
      <c r="A3465">
        <f>[1]!hospitalinfo[[#This Row],[Facility ID]]</f>
        <v>330218</v>
      </c>
      <c r="B3465" t="str">
        <f>[1]!hospitalinfo[[#This Row],[State]]</f>
        <v>NY</v>
      </c>
      <c r="C3465" t="str">
        <f>[1]!hospitalinfo[[#This Row],[Hospital Type]]</f>
        <v>Acute Care Hospitals</v>
      </c>
      <c r="D3465" t="str">
        <f>[1]!hospitalinfo[[#This Row],[Hospital Ownership]]</f>
        <v>Voluntary non-profit - Private</v>
      </c>
      <c r="E3465" cm="1">
        <f t="array" ref="E3465">_xlfn.IFNA(_xlfn.XLOOKUP(1,([1]!hcahps[Facility ID] = clean[[#This Row],[Facility ID]]) * ([1]!hcahps[HCAHPS Measure ID] = "H_HSP_RATING_LINEAR_SCORE"), [1]!hcahps[HCAHPS Linear Mean Value]), "No Match")</f>
        <v>89</v>
      </c>
      <c r="F3465" cm="1">
        <f t="array" ref="F3465">_xlfn.IFNA(_xlfn.XLOOKUP(1,([1]!readmissions[Facility ID] = clean[[#This Row],[Facility ID]]) * ([1]!readmissions[Measure ID] = "Hybrid_HWR"), [1]!readmissions[Score]), "No Match")</f>
        <v>15.2</v>
      </c>
    </row>
    <row r="3466" spans="1:6" x14ac:dyDescent="0.2">
      <c r="A3466">
        <f>[1]!hospitalinfo[[#This Row],[Facility ID]]</f>
        <v>330219</v>
      </c>
      <c r="B3466" t="str">
        <f>[1]!hospitalinfo[[#This Row],[State]]</f>
        <v>NY</v>
      </c>
      <c r="C3466" t="str">
        <f>[1]!hospitalinfo[[#This Row],[Hospital Type]]</f>
        <v>Acute Care Hospitals</v>
      </c>
      <c r="D3466" t="str">
        <f>[1]!hospitalinfo[[#This Row],[Hospital Ownership]]</f>
        <v>Voluntary non-profit - Other</v>
      </c>
      <c r="E3466" cm="1">
        <f t="array" ref="E3466">_xlfn.IFNA(_xlfn.XLOOKUP(1,([1]!hcahps[Facility ID] = clean[[#This Row],[Facility ID]]) * ([1]!hcahps[HCAHPS Measure ID] = "H_HSP_RATING_LINEAR_SCORE"), [1]!hcahps[HCAHPS Linear Mean Value]), "No Match")</f>
        <v>85</v>
      </c>
      <c r="F3466" cm="1">
        <f t="array" ref="F3466">_xlfn.IFNA(_xlfn.XLOOKUP(1,([1]!readmissions[Facility ID] = clean[[#This Row],[Facility ID]]) * ([1]!readmissions[Measure ID] = "Hybrid_HWR"), [1]!readmissions[Score]), "No Match")</f>
        <v>15.1</v>
      </c>
    </row>
    <row r="3467" spans="1:6" x14ac:dyDescent="0.2">
      <c r="A3467">
        <f>[1]!hospitalinfo[[#This Row],[Facility ID]]</f>
        <v>330221</v>
      </c>
      <c r="B3467" t="str">
        <f>[1]!hospitalinfo[[#This Row],[State]]</f>
        <v>NY</v>
      </c>
      <c r="C3467" t="str">
        <f>[1]!hospitalinfo[[#This Row],[Hospital Type]]</f>
        <v>Acute Care Hospitals</v>
      </c>
      <c r="D3467" t="str">
        <f>[1]!hospitalinfo[[#This Row],[Hospital Ownership]]</f>
        <v>Voluntary non-profit - Private</v>
      </c>
      <c r="E3467" cm="1">
        <f t="array" ref="E3467">_xlfn.IFNA(_xlfn.XLOOKUP(1,([1]!hcahps[Facility ID] = clean[[#This Row],[Facility ID]]) * ([1]!hcahps[HCAHPS Measure ID] = "H_HSP_RATING_LINEAR_SCORE"), [1]!hcahps[HCAHPS Linear Mean Value]), "No Match")</f>
        <v>84</v>
      </c>
      <c r="F3467" cm="1">
        <f t="array" ref="F3467">_xlfn.IFNA(_xlfn.XLOOKUP(1,([1]!readmissions[Facility ID] = clean[[#This Row],[Facility ID]]) * ([1]!readmissions[Measure ID] = "Hybrid_HWR"), [1]!readmissions[Score]), "No Match")</f>
        <v>15.1</v>
      </c>
    </row>
    <row r="3468" spans="1:6" x14ac:dyDescent="0.2">
      <c r="A3468">
        <f>[1]!hospitalinfo[[#This Row],[Facility ID]]</f>
        <v>330222</v>
      </c>
      <c r="B3468" t="str">
        <f>[1]!hospitalinfo[[#This Row],[State]]</f>
        <v>NY</v>
      </c>
      <c r="C3468" t="str">
        <f>[1]!hospitalinfo[[#This Row],[Hospital Type]]</f>
        <v>Acute Care Hospitals</v>
      </c>
      <c r="D3468" t="str">
        <f>[1]!hospitalinfo[[#This Row],[Hospital Ownership]]</f>
        <v>Voluntary non-profit - Private</v>
      </c>
      <c r="E3468" cm="1">
        <f t="array" ref="E3468">_xlfn.IFNA(_xlfn.XLOOKUP(1,([1]!hcahps[Facility ID] = clean[[#This Row],[Facility ID]]) * ([1]!hcahps[HCAHPS Measure ID] = "H_HSP_RATING_LINEAR_SCORE"), [1]!hcahps[HCAHPS Linear Mean Value]), "No Match")</f>
        <v>89</v>
      </c>
      <c r="F3468" cm="1">
        <f t="array" ref="F3468">_xlfn.IFNA(_xlfn.XLOOKUP(1,([1]!readmissions[Facility ID] = clean[[#This Row],[Facility ID]]) * ([1]!readmissions[Measure ID] = "Hybrid_HWR"), [1]!readmissions[Score]), "No Match")</f>
        <v>14.7</v>
      </c>
    </row>
    <row r="3469" spans="1:6" x14ac:dyDescent="0.2">
      <c r="A3469">
        <f>[1]!hospitalinfo[[#This Row],[Facility ID]]</f>
        <v>330224</v>
      </c>
      <c r="B3469" t="str">
        <f>[1]!hospitalinfo[[#This Row],[State]]</f>
        <v>NY</v>
      </c>
      <c r="C3469" t="str">
        <f>[1]!hospitalinfo[[#This Row],[Hospital Type]]</f>
        <v>Acute Care Hospitals</v>
      </c>
      <c r="D3469" t="str">
        <f>[1]!hospitalinfo[[#This Row],[Hospital Ownership]]</f>
        <v>Voluntary non-profit - Private</v>
      </c>
      <c r="E3469" cm="1">
        <f t="array" ref="E3469">_xlfn.IFNA(_xlfn.XLOOKUP(1,([1]!hcahps[Facility ID] = clean[[#This Row],[Facility ID]]) * ([1]!hcahps[HCAHPS Measure ID] = "H_HSP_RATING_LINEAR_SCORE"), [1]!hcahps[HCAHPS Linear Mean Value]), "No Match")</f>
        <v>80</v>
      </c>
      <c r="F3469" cm="1">
        <f t="array" ref="F3469">_xlfn.IFNA(_xlfn.XLOOKUP(1,([1]!readmissions[Facility ID] = clean[[#This Row],[Facility ID]]) * ([1]!readmissions[Measure ID] = "Hybrid_HWR"), [1]!readmissions[Score]), "No Match")</f>
        <v>15.2</v>
      </c>
    </row>
    <row r="3470" spans="1:6" x14ac:dyDescent="0.2">
      <c r="A3470">
        <f>[1]!hospitalinfo[[#This Row],[Facility ID]]</f>
        <v>330226</v>
      </c>
      <c r="B3470" t="str">
        <f>[1]!hospitalinfo[[#This Row],[State]]</f>
        <v>NY</v>
      </c>
      <c r="C3470" t="str">
        <f>[1]!hospitalinfo[[#This Row],[Hospital Type]]</f>
        <v>Acute Care Hospitals</v>
      </c>
      <c r="D3470" t="str">
        <f>[1]!hospitalinfo[[#This Row],[Hospital Ownership]]</f>
        <v>Voluntary non-profit - Private</v>
      </c>
      <c r="E3470" cm="1">
        <f t="array" ref="E3470">_xlfn.IFNA(_xlfn.XLOOKUP(1,([1]!hcahps[Facility ID] = clean[[#This Row],[Facility ID]]) * ([1]!hcahps[HCAHPS Measure ID] = "H_HSP_RATING_LINEAR_SCORE"), [1]!hcahps[HCAHPS Linear Mean Value]), "No Match")</f>
        <v>83</v>
      </c>
      <c r="F3470" cm="1">
        <f t="array" ref="F3470">_xlfn.IFNA(_xlfn.XLOOKUP(1,([1]!readmissions[Facility ID] = clean[[#This Row],[Facility ID]]) * ([1]!readmissions[Measure ID] = "Hybrid_HWR"), [1]!readmissions[Score]), "No Match")</f>
        <v>15.3</v>
      </c>
    </row>
    <row r="3471" spans="1:6" x14ac:dyDescent="0.2">
      <c r="A3471">
        <f>[1]!hospitalinfo[[#This Row],[Facility ID]]</f>
        <v>330229</v>
      </c>
      <c r="B3471" t="str">
        <f>[1]!hospitalinfo[[#This Row],[State]]</f>
        <v>NY</v>
      </c>
      <c r="C3471" t="str">
        <f>[1]!hospitalinfo[[#This Row],[Hospital Type]]</f>
        <v>Acute Care Hospitals</v>
      </c>
      <c r="D3471" t="str">
        <f>[1]!hospitalinfo[[#This Row],[Hospital Ownership]]</f>
        <v>Voluntary non-profit - Private</v>
      </c>
      <c r="E3471" cm="1">
        <f t="array" ref="E3471">_xlfn.IFNA(_xlfn.XLOOKUP(1,([1]!hcahps[Facility ID] = clean[[#This Row],[Facility ID]]) * ([1]!hcahps[HCAHPS Measure ID] = "H_HSP_RATING_LINEAR_SCORE"), [1]!hcahps[HCAHPS Linear Mean Value]), "No Match")</f>
        <v>87</v>
      </c>
      <c r="F3471" cm="1">
        <f t="array" ref="F3471">_xlfn.IFNA(_xlfn.XLOOKUP(1,([1]!readmissions[Facility ID] = clean[[#This Row],[Facility ID]]) * ([1]!readmissions[Measure ID] = "Hybrid_HWR"), [1]!readmissions[Score]), "No Match")</f>
        <v>15.3</v>
      </c>
    </row>
    <row r="3472" spans="1:6" x14ac:dyDescent="0.2">
      <c r="A3472">
        <f>[1]!hospitalinfo[[#This Row],[Facility ID]]</f>
        <v>330231</v>
      </c>
      <c r="B3472" t="str">
        <f>[1]!hospitalinfo[[#This Row],[State]]</f>
        <v>NY</v>
      </c>
      <c r="C3472" t="str">
        <f>[1]!hospitalinfo[[#This Row],[Hospital Type]]</f>
        <v>Acute Care Hospitals</v>
      </c>
      <c r="D3472" t="str">
        <f>[1]!hospitalinfo[[#This Row],[Hospital Ownership]]</f>
        <v>Voluntary non-profit - Other</v>
      </c>
      <c r="E3472" cm="1">
        <f t="array" ref="E3472">_xlfn.IFNA(_xlfn.XLOOKUP(1,([1]!hcahps[Facility ID] = clean[[#This Row],[Facility ID]]) * ([1]!hcahps[HCAHPS Measure ID] = "H_HSP_RATING_LINEAR_SCORE"), [1]!hcahps[HCAHPS Linear Mean Value]), "No Match")</f>
        <v>86</v>
      </c>
      <c r="F3472" cm="1">
        <f t="array" ref="F3472">_xlfn.IFNA(_xlfn.XLOOKUP(1,([1]!readmissions[Facility ID] = clean[[#This Row],[Facility ID]]) * ([1]!readmissions[Measure ID] = "Hybrid_HWR"), [1]!readmissions[Score]), "No Match")</f>
        <v>16.3</v>
      </c>
    </row>
    <row r="3473" spans="1:6" x14ac:dyDescent="0.2">
      <c r="A3473">
        <f>[1]!hospitalinfo[[#This Row],[Facility ID]]</f>
        <v>330233</v>
      </c>
      <c r="B3473" t="str">
        <f>[1]!hospitalinfo[[#This Row],[State]]</f>
        <v>NY</v>
      </c>
      <c r="C3473" t="str">
        <f>[1]!hospitalinfo[[#This Row],[Hospital Type]]</f>
        <v>Acute Care Hospitals</v>
      </c>
      <c r="D3473" t="str">
        <f>[1]!hospitalinfo[[#This Row],[Hospital Ownership]]</f>
        <v>Voluntary non-profit - Private</v>
      </c>
      <c r="E3473" cm="1">
        <f t="array" ref="E3473">_xlfn.IFNA(_xlfn.XLOOKUP(1,([1]!hcahps[Facility ID] = clean[[#This Row],[Facility ID]]) * ([1]!hcahps[HCAHPS Measure ID] = "H_HSP_RATING_LINEAR_SCORE"), [1]!hcahps[HCAHPS Linear Mean Value]), "No Match")</f>
        <v>75</v>
      </c>
      <c r="F3473" cm="1">
        <f t="array" ref="F3473">_xlfn.IFNA(_xlfn.XLOOKUP(1,([1]!readmissions[Facility ID] = clean[[#This Row],[Facility ID]]) * ([1]!readmissions[Measure ID] = "Hybrid_HWR"), [1]!readmissions[Score]), "No Match")</f>
        <v>15.7</v>
      </c>
    </row>
    <row r="3474" spans="1:6" x14ac:dyDescent="0.2">
      <c r="A3474">
        <f>[1]!hospitalinfo[[#This Row],[Facility ID]]</f>
        <v>330234</v>
      </c>
      <c r="B3474" t="str">
        <f>[1]!hospitalinfo[[#This Row],[State]]</f>
        <v>NY</v>
      </c>
      <c r="C3474" t="str">
        <f>[1]!hospitalinfo[[#This Row],[Hospital Type]]</f>
        <v>Acute Care Hospitals</v>
      </c>
      <c r="D3474" t="str">
        <f>[1]!hospitalinfo[[#This Row],[Hospital Ownership]]</f>
        <v>Voluntary non-profit - Other</v>
      </c>
      <c r="E3474" cm="1">
        <f t="array" ref="E3474">_xlfn.IFNA(_xlfn.XLOOKUP(1,([1]!hcahps[Facility ID] = clean[[#This Row],[Facility ID]]) * ([1]!hcahps[HCAHPS Measure ID] = "H_HSP_RATING_LINEAR_SCORE"), [1]!hcahps[HCAHPS Linear Mean Value]), "No Match")</f>
        <v>81</v>
      </c>
      <c r="F3474" cm="1">
        <f t="array" ref="F3474">_xlfn.IFNA(_xlfn.XLOOKUP(1,([1]!readmissions[Facility ID] = clean[[#This Row],[Facility ID]]) * ([1]!readmissions[Measure ID] = "Hybrid_HWR"), [1]!readmissions[Score]), "No Match")</f>
        <v>14.7</v>
      </c>
    </row>
    <row r="3475" spans="1:6" x14ac:dyDescent="0.2">
      <c r="A3475">
        <f>[1]!hospitalinfo[[#This Row],[Facility ID]]</f>
        <v>330235</v>
      </c>
      <c r="B3475" t="str">
        <f>[1]!hospitalinfo[[#This Row],[State]]</f>
        <v>NY</v>
      </c>
      <c r="C3475" t="str">
        <f>[1]!hospitalinfo[[#This Row],[Hospital Type]]</f>
        <v>Acute Care Hospitals</v>
      </c>
      <c r="D3475" t="str">
        <f>[1]!hospitalinfo[[#This Row],[Hospital Ownership]]</f>
        <v>Voluntary non-profit - Private</v>
      </c>
      <c r="E3475" cm="1">
        <f t="array" ref="E3475">_xlfn.IFNA(_xlfn.XLOOKUP(1,([1]!hcahps[Facility ID] = clean[[#This Row],[Facility ID]]) * ([1]!hcahps[HCAHPS Measure ID] = "H_HSP_RATING_LINEAR_SCORE"), [1]!hcahps[HCAHPS Linear Mean Value]), "No Match")</f>
        <v>80</v>
      </c>
      <c r="F3475" cm="1">
        <f t="array" ref="F3475">_xlfn.IFNA(_xlfn.XLOOKUP(1,([1]!readmissions[Facility ID] = clean[[#This Row],[Facility ID]]) * ([1]!readmissions[Measure ID] = "Hybrid_HWR"), [1]!readmissions[Score]), "No Match")</f>
        <v>15.6</v>
      </c>
    </row>
    <row r="3476" spans="1:6" x14ac:dyDescent="0.2">
      <c r="A3476">
        <f>[1]!hospitalinfo[[#This Row],[Facility ID]]</f>
        <v>330238</v>
      </c>
      <c r="B3476" t="str">
        <f>[1]!hospitalinfo[[#This Row],[State]]</f>
        <v>NY</v>
      </c>
      <c r="C3476" t="str">
        <f>[1]!hospitalinfo[[#This Row],[Hospital Type]]</f>
        <v>Acute Care Hospitals</v>
      </c>
      <c r="D3476" t="str">
        <f>[1]!hospitalinfo[[#This Row],[Hospital Ownership]]</f>
        <v>Voluntary non-profit - Private</v>
      </c>
      <c r="E3476" cm="1">
        <f t="array" ref="E3476">_xlfn.IFNA(_xlfn.XLOOKUP(1,([1]!hcahps[Facility ID] = clean[[#This Row],[Facility ID]]) * ([1]!hcahps[HCAHPS Measure ID] = "H_HSP_RATING_LINEAR_SCORE"), [1]!hcahps[HCAHPS Linear Mean Value]), "No Match")</f>
        <v>86</v>
      </c>
      <c r="F3476" cm="1">
        <f t="array" ref="F3476">_xlfn.IFNA(_xlfn.XLOOKUP(1,([1]!readmissions[Facility ID] = clean[[#This Row],[Facility ID]]) * ([1]!readmissions[Measure ID] = "Hybrid_HWR"), [1]!readmissions[Score]), "No Match")</f>
        <v>15.7</v>
      </c>
    </row>
    <row r="3477" spans="1:6" x14ac:dyDescent="0.2">
      <c r="A3477">
        <f>[1]!hospitalinfo[[#This Row],[Facility ID]]</f>
        <v>330239</v>
      </c>
      <c r="B3477" t="str">
        <f>[1]!hospitalinfo[[#This Row],[State]]</f>
        <v>NY</v>
      </c>
      <c r="C3477" t="str">
        <f>[1]!hospitalinfo[[#This Row],[Hospital Type]]</f>
        <v>Acute Care Hospitals</v>
      </c>
      <c r="D3477" t="str">
        <f>[1]!hospitalinfo[[#This Row],[Hospital Ownership]]</f>
        <v>Voluntary non-profit - Private</v>
      </c>
      <c r="E3477" cm="1">
        <f t="array" ref="E3477">_xlfn.IFNA(_xlfn.XLOOKUP(1,([1]!hcahps[Facility ID] = clean[[#This Row],[Facility ID]]) * ([1]!hcahps[HCAHPS Measure ID] = "H_HSP_RATING_LINEAR_SCORE"), [1]!hcahps[HCAHPS Linear Mean Value]), "No Match")</f>
        <v>86</v>
      </c>
      <c r="F3477" cm="1">
        <f t="array" ref="F3477">_xlfn.IFNA(_xlfn.XLOOKUP(1,([1]!readmissions[Facility ID] = clean[[#This Row],[Facility ID]]) * ([1]!readmissions[Measure ID] = "Hybrid_HWR"), [1]!readmissions[Score]), "No Match")</f>
        <v>16</v>
      </c>
    </row>
    <row r="3478" spans="1:6" x14ac:dyDescent="0.2">
      <c r="A3478">
        <f>[1]!hospitalinfo[[#This Row],[Facility ID]]</f>
        <v>330240</v>
      </c>
      <c r="B3478" t="str">
        <f>[1]!hospitalinfo[[#This Row],[State]]</f>
        <v>NY</v>
      </c>
      <c r="C3478" t="str">
        <f>[1]!hospitalinfo[[#This Row],[Hospital Type]]</f>
        <v>Acute Care Hospitals</v>
      </c>
      <c r="D3478" t="str">
        <f>[1]!hospitalinfo[[#This Row],[Hospital Ownership]]</f>
        <v>Voluntary non-profit - Other</v>
      </c>
      <c r="E3478" cm="1">
        <f t="array" ref="E3478">_xlfn.IFNA(_xlfn.XLOOKUP(1,([1]!hcahps[Facility ID] = clean[[#This Row],[Facility ID]]) * ([1]!hcahps[HCAHPS Measure ID] = "H_HSP_RATING_LINEAR_SCORE"), [1]!hcahps[HCAHPS Linear Mean Value]), "No Match")</f>
        <v>78</v>
      </c>
      <c r="F3478" cm="1">
        <f t="array" ref="F3478">_xlfn.IFNA(_xlfn.XLOOKUP(1,([1]!readmissions[Facility ID] = clean[[#This Row],[Facility ID]]) * ([1]!readmissions[Measure ID] = "Hybrid_HWR"), [1]!readmissions[Score]), "No Match")</f>
        <v>15.1</v>
      </c>
    </row>
    <row r="3479" spans="1:6" x14ac:dyDescent="0.2">
      <c r="A3479">
        <f>[1]!hospitalinfo[[#This Row],[Facility ID]]</f>
        <v>330241</v>
      </c>
      <c r="B3479" t="str">
        <f>[1]!hospitalinfo[[#This Row],[State]]</f>
        <v>NY</v>
      </c>
      <c r="C3479" t="str">
        <f>[1]!hospitalinfo[[#This Row],[Hospital Type]]</f>
        <v>Acute Care Hospitals</v>
      </c>
      <c r="D3479" t="str">
        <f>[1]!hospitalinfo[[#This Row],[Hospital Ownership]]</f>
        <v>Government - State</v>
      </c>
      <c r="E3479" cm="1">
        <f t="array" ref="E3479">_xlfn.IFNA(_xlfn.XLOOKUP(1,([1]!hcahps[Facility ID] = clean[[#This Row],[Facility ID]]) * ([1]!hcahps[HCAHPS Measure ID] = "H_HSP_RATING_LINEAR_SCORE"), [1]!hcahps[HCAHPS Linear Mean Value]), "No Match")</f>
        <v>88</v>
      </c>
      <c r="F3479" cm="1">
        <f t="array" ref="F3479">_xlfn.IFNA(_xlfn.XLOOKUP(1,([1]!readmissions[Facility ID] = clean[[#This Row],[Facility ID]]) * ([1]!readmissions[Measure ID] = "Hybrid_HWR"), [1]!readmissions[Score]), "No Match")</f>
        <v>15.5</v>
      </c>
    </row>
    <row r="3480" spans="1:6" x14ac:dyDescent="0.2">
      <c r="A3480">
        <f>[1]!hospitalinfo[[#This Row],[Facility ID]]</f>
        <v>330246</v>
      </c>
      <c r="B3480" t="str">
        <f>[1]!hospitalinfo[[#This Row],[State]]</f>
        <v>NY</v>
      </c>
      <c r="C3480" t="str">
        <f>[1]!hospitalinfo[[#This Row],[Hospital Type]]</f>
        <v>Acute Care Hospitals</v>
      </c>
      <c r="D3480" t="str">
        <f>[1]!hospitalinfo[[#This Row],[Hospital Ownership]]</f>
        <v>Voluntary non-profit - Church</v>
      </c>
      <c r="E3480" cm="1">
        <f t="array" ref="E3480">_xlfn.IFNA(_xlfn.XLOOKUP(1,([1]!hcahps[Facility ID] = clean[[#This Row],[Facility ID]]) * ([1]!hcahps[HCAHPS Measure ID] = "H_HSP_RATING_LINEAR_SCORE"), [1]!hcahps[HCAHPS Linear Mean Value]), "No Match")</f>
        <v>90</v>
      </c>
      <c r="F3480" cm="1">
        <f t="array" ref="F3480">_xlfn.IFNA(_xlfn.XLOOKUP(1,([1]!readmissions[Facility ID] = clean[[#This Row],[Facility ID]]) * ([1]!readmissions[Measure ID] = "Hybrid_HWR"), [1]!readmissions[Score]), "No Match")</f>
        <v>15.3</v>
      </c>
    </row>
    <row r="3481" spans="1:6" x14ac:dyDescent="0.2">
      <c r="A3481">
        <f>[1]!hospitalinfo[[#This Row],[Facility ID]]</f>
        <v>330250</v>
      </c>
      <c r="B3481" t="str">
        <f>[1]!hospitalinfo[[#This Row],[State]]</f>
        <v>NY</v>
      </c>
      <c r="C3481" t="str">
        <f>[1]!hospitalinfo[[#This Row],[Hospital Type]]</f>
        <v>Acute Care Hospitals</v>
      </c>
      <c r="D3481" t="str">
        <f>[1]!hospitalinfo[[#This Row],[Hospital Ownership]]</f>
        <v>Voluntary non-profit - Private</v>
      </c>
      <c r="E3481" cm="1">
        <f t="array" ref="E3481">_xlfn.IFNA(_xlfn.XLOOKUP(1,([1]!hcahps[Facility ID] = clean[[#This Row],[Facility ID]]) * ([1]!hcahps[HCAHPS Measure ID] = "H_HSP_RATING_LINEAR_SCORE"), [1]!hcahps[HCAHPS Linear Mean Value]), "No Match")</f>
        <v>85</v>
      </c>
      <c r="F3481" cm="1">
        <f t="array" ref="F3481">_xlfn.IFNA(_xlfn.XLOOKUP(1,([1]!readmissions[Facility ID] = clean[[#This Row],[Facility ID]]) * ([1]!readmissions[Measure ID] = "Hybrid_HWR"), [1]!readmissions[Score]), "No Match")</f>
        <v>16.399999999999999</v>
      </c>
    </row>
    <row r="3482" spans="1:6" x14ac:dyDescent="0.2">
      <c r="A3482">
        <f>[1]!hospitalinfo[[#This Row],[Facility ID]]</f>
        <v>330259</v>
      </c>
      <c r="B3482" t="str">
        <f>[1]!hospitalinfo[[#This Row],[State]]</f>
        <v>NY</v>
      </c>
      <c r="C3482" t="str">
        <f>[1]!hospitalinfo[[#This Row],[Hospital Type]]</f>
        <v>Acute Care Hospitals</v>
      </c>
      <c r="D3482" t="str">
        <f>[1]!hospitalinfo[[#This Row],[Hospital Ownership]]</f>
        <v>Voluntary non-profit - Church</v>
      </c>
      <c r="E3482" cm="1">
        <f t="array" ref="E3482">_xlfn.IFNA(_xlfn.XLOOKUP(1,([1]!hcahps[Facility ID] = clean[[#This Row],[Facility ID]]) * ([1]!hcahps[HCAHPS Measure ID] = "H_HSP_RATING_LINEAR_SCORE"), [1]!hcahps[HCAHPS Linear Mean Value]), "No Match")</f>
        <v>88</v>
      </c>
      <c r="F3482" cm="1">
        <f t="array" ref="F3482">_xlfn.IFNA(_xlfn.XLOOKUP(1,([1]!readmissions[Facility ID] = clean[[#This Row],[Facility ID]]) * ([1]!readmissions[Measure ID] = "Hybrid_HWR"), [1]!readmissions[Score]), "No Match")</f>
        <v>13.7</v>
      </c>
    </row>
    <row r="3483" spans="1:6" x14ac:dyDescent="0.2">
      <c r="A3483">
        <f>[1]!hospitalinfo[[#This Row],[Facility ID]]</f>
        <v>330261</v>
      </c>
      <c r="B3483" t="str">
        <f>[1]!hospitalinfo[[#This Row],[State]]</f>
        <v>NY</v>
      </c>
      <c r="C3483" t="str">
        <f>[1]!hospitalinfo[[#This Row],[Hospital Type]]</f>
        <v>Acute Care Hospitals</v>
      </c>
      <c r="D3483" t="str">
        <f>[1]!hospitalinfo[[#This Row],[Hospital Ownership]]</f>
        <v>Voluntary non-profit - Private</v>
      </c>
      <c r="E3483" cm="1">
        <f t="array" ref="E3483">_xlfn.IFNA(_xlfn.XLOOKUP(1,([1]!hcahps[Facility ID] = clean[[#This Row],[Facility ID]]) * ([1]!hcahps[HCAHPS Measure ID] = "H_HSP_RATING_LINEAR_SCORE"), [1]!hcahps[HCAHPS Linear Mean Value]), "No Match")</f>
        <v>88</v>
      </c>
      <c r="F3483" cm="1">
        <f t="array" ref="F3483">_xlfn.IFNA(_xlfn.XLOOKUP(1,([1]!readmissions[Facility ID] = clean[[#This Row],[Facility ID]]) * ([1]!readmissions[Measure ID] = "Hybrid_HWR"), [1]!readmissions[Score]), "No Match")</f>
        <v>13.8</v>
      </c>
    </row>
    <row r="3484" spans="1:6" x14ac:dyDescent="0.2">
      <c r="A3484">
        <f>[1]!hospitalinfo[[#This Row],[Facility ID]]</f>
        <v>330264</v>
      </c>
      <c r="B3484" t="str">
        <f>[1]!hospitalinfo[[#This Row],[State]]</f>
        <v>NY</v>
      </c>
      <c r="C3484" t="str">
        <f>[1]!hospitalinfo[[#This Row],[Hospital Type]]</f>
        <v>Acute Care Hospitals</v>
      </c>
      <c r="D3484" t="str">
        <f>[1]!hospitalinfo[[#This Row],[Hospital Ownership]]</f>
        <v>Voluntary non-profit - Private</v>
      </c>
      <c r="E3484" cm="1">
        <f t="array" ref="E3484">_xlfn.IFNA(_xlfn.XLOOKUP(1,([1]!hcahps[Facility ID] = clean[[#This Row],[Facility ID]]) * ([1]!hcahps[HCAHPS Measure ID] = "H_HSP_RATING_LINEAR_SCORE"), [1]!hcahps[HCAHPS Linear Mean Value]), "No Match")</f>
        <v>85</v>
      </c>
      <c r="F3484" cm="1">
        <f t="array" ref="F3484">_xlfn.IFNA(_xlfn.XLOOKUP(1,([1]!readmissions[Facility ID] = clean[[#This Row],[Facility ID]]) * ([1]!readmissions[Measure ID] = "Hybrid_HWR"), [1]!readmissions[Score]), "No Match")</f>
        <v>15.1</v>
      </c>
    </row>
    <row r="3485" spans="1:6" x14ac:dyDescent="0.2">
      <c r="A3485">
        <f>[1]!hospitalinfo[[#This Row],[Facility ID]]</f>
        <v>330265</v>
      </c>
      <c r="B3485" t="str">
        <f>[1]!hospitalinfo[[#This Row],[State]]</f>
        <v>NY</v>
      </c>
      <c r="C3485" t="str">
        <f>[1]!hospitalinfo[[#This Row],[Hospital Type]]</f>
        <v>Acute Care Hospitals</v>
      </c>
      <c r="D3485" t="str">
        <f>[1]!hospitalinfo[[#This Row],[Hospital Ownership]]</f>
        <v>Voluntary non-profit - Private</v>
      </c>
      <c r="E3485" cm="1">
        <f t="array" ref="E3485">_xlfn.IFNA(_xlfn.XLOOKUP(1,([1]!hcahps[Facility ID] = clean[[#This Row],[Facility ID]]) * ([1]!hcahps[HCAHPS Measure ID] = "H_HSP_RATING_LINEAR_SCORE"), [1]!hcahps[HCAHPS Linear Mean Value]), "No Match")</f>
        <v>88</v>
      </c>
      <c r="F3485" cm="1">
        <f t="array" ref="F3485">_xlfn.IFNA(_xlfn.XLOOKUP(1,([1]!readmissions[Facility ID] = clean[[#This Row],[Facility ID]]) * ([1]!readmissions[Measure ID] = "Hybrid_HWR"), [1]!readmissions[Score]), "No Match")</f>
        <v>16.100000000000001</v>
      </c>
    </row>
    <row r="3486" spans="1:6" x14ac:dyDescent="0.2">
      <c r="A3486">
        <f>[1]!hospitalinfo[[#This Row],[Facility ID]]</f>
        <v>330267</v>
      </c>
      <c r="B3486" t="str">
        <f>[1]!hospitalinfo[[#This Row],[State]]</f>
        <v>NY</v>
      </c>
      <c r="C3486" t="str">
        <f>[1]!hospitalinfo[[#This Row],[Hospital Type]]</f>
        <v>Acute Care Hospitals</v>
      </c>
      <c r="D3486" t="str">
        <f>[1]!hospitalinfo[[#This Row],[Hospital Ownership]]</f>
        <v>Voluntary non-profit - Private</v>
      </c>
      <c r="E3486" cm="1">
        <f t="array" ref="E3486">_xlfn.IFNA(_xlfn.XLOOKUP(1,([1]!hcahps[Facility ID] = clean[[#This Row],[Facility ID]]) * ([1]!hcahps[HCAHPS Measure ID] = "H_HSP_RATING_LINEAR_SCORE"), [1]!hcahps[HCAHPS Linear Mean Value]), "No Match")</f>
        <v>89</v>
      </c>
      <c r="F3486" cm="1">
        <f t="array" ref="F3486">_xlfn.IFNA(_xlfn.XLOOKUP(1,([1]!readmissions[Facility ID] = clean[[#This Row],[Facility ID]]) * ([1]!readmissions[Measure ID] = "Hybrid_HWR"), [1]!readmissions[Score]), "No Match")</f>
        <v>14.2</v>
      </c>
    </row>
    <row r="3487" spans="1:6" x14ac:dyDescent="0.2">
      <c r="A3487">
        <f>[1]!hospitalinfo[[#This Row],[Facility ID]]</f>
        <v>330270</v>
      </c>
      <c r="B3487" t="str">
        <f>[1]!hospitalinfo[[#This Row],[State]]</f>
        <v>NY</v>
      </c>
      <c r="C3487" t="str">
        <f>[1]!hospitalinfo[[#This Row],[Hospital Type]]</f>
        <v>Acute Care Hospitals</v>
      </c>
      <c r="D3487" t="str">
        <f>[1]!hospitalinfo[[#This Row],[Hospital Ownership]]</f>
        <v>Voluntary non-profit - Private</v>
      </c>
      <c r="E3487" cm="1">
        <f t="array" ref="E3487">_xlfn.IFNA(_xlfn.XLOOKUP(1,([1]!hcahps[Facility ID] = clean[[#This Row],[Facility ID]]) * ([1]!hcahps[HCAHPS Measure ID] = "H_HSP_RATING_LINEAR_SCORE"), [1]!hcahps[HCAHPS Linear Mean Value]), "No Match")</f>
        <v>93</v>
      </c>
      <c r="F3487" cm="1">
        <f t="array" ref="F3487">_xlfn.IFNA(_xlfn.XLOOKUP(1,([1]!readmissions[Facility ID] = clean[[#This Row],[Facility ID]]) * ([1]!readmissions[Measure ID] = "Hybrid_HWR"), [1]!readmissions[Score]), "No Match")</f>
        <v>11.9</v>
      </c>
    </row>
    <row r="3488" spans="1:6" x14ac:dyDescent="0.2">
      <c r="A3488">
        <f>[1]!hospitalinfo[[#This Row],[Facility ID]]</f>
        <v>330273</v>
      </c>
      <c r="B3488" t="str">
        <f>[1]!hospitalinfo[[#This Row],[State]]</f>
        <v>NY</v>
      </c>
      <c r="C3488" t="str">
        <f>[1]!hospitalinfo[[#This Row],[Hospital Type]]</f>
        <v>Acute Care Hospitals</v>
      </c>
      <c r="D3488" t="str">
        <f>[1]!hospitalinfo[[#This Row],[Hospital Ownership]]</f>
        <v>Voluntary non-profit - Private</v>
      </c>
      <c r="E3488" cm="1">
        <f t="array" ref="E3488">_xlfn.IFNA(_xlfn.XLOOKUP(1,([1]!hcahps[Facility ID] = clean[[#This Row],[Facility ID]]) * ([1]!hcahps[HCAHPS Measure ID] = "H_HSP_RATING_LINEAR_SCORE"), [1]!hcahps[HCAHPS Linear Mean Value]), "No Match")</f>
        <v>90</v>
      </c>
      <c r="F3488" cm="1">
        <f t="array" ref="F3488">_xlfn.IFNA(_xlfn.XLOOKUP(1,([1]!readmissions[Facility ID] = clean[[#This Row],[Facility ID]]) * ([1]!readmissions[Measure ID] = "Hybrid_HWR"), [1]!readmissions[Score]), "No Match")</f>
        <v>14.4</v>
      </c>
    </row>
    <row r="3489" spans="1:6" x14ac:dyDescent="0.2">
      <c r="A3489">
        <f>[1]!hospitalinfo[[#This Row],[Facility ID]]</f>
        <v>330276</v>
      </c>
      <c r="B3489" t="str">
        <f>[1]!hospitalinfo[[#This Row],[State]]</f>
        <v>NY</v>
      </c>
      <c r="C3489" t="str">
        <f>[1]!hospitalinfo[[#This Row],[Hospital Type]]</f>
        <v>Acute Care Hospitals</v>
      </c>
      <c r="D3489" t="str">
        <f>[1]!hospitalinfo[[#This Row],[Hospital Ownership]]</f>
        <v>Voluntary non-profit - Private</v>
      </c>
      <c r="E3489" cm="1">
        <f t="array" ref="E3489">_xlfn.IFNA(_xlfn.XLOOKUP(1,([1]!hcahps[Facility ID] = clean[[#This Row],[Facility ID]]) * ([1]!hcahps[HCAHPS Measure ID] = "H_HSP_RATING_LINEAR_SCORE"), [1]!hcahps[HCAHPS Linear Mean Value]), "No Match")</f>
        <v>86</v>
      </c>
      <c r="F3489" cm="1">
        <f t="array" ref="F3489">_xlfn.IFNA(_xlfn.XLOOKUP(1,([1]!readmissions[Facility ID] = clean[[#This Row],[Facility ID]]) * ([1]!readmissions[Measure ID] = "Hybrid_HWR"), [1]!readmissions[Score]), "No Match")</f>
        <v>15</v>
      </c>
    </row>
    <row r="3490" spans="1:6" x14ac:dyDescent="0.2">
      <c r="A3490">
        <f>[1]!hospitalinfo[[#This Row],[Facility ID]]</f>
        <v>330277</v>
      </c>
      <c r="B3490" t="str">
        <f>[1]!hospitalinfo[[#This Row],[State]]</f>
        <v>NY</v>
      </c>
      <c r="C3490" t="str">
        <f>[1]!hospitalinfo[[#This Row],[Hospital Type]]</f>
        <v>Acute Care Hospitals</v>
      </c>
      <c r="D3490" t="str">
        <f>[1]!hospitalinfo[[#This Row],[Hospital Ownership]]</f>
        <v>Voluntary non-profit - Private</v>
      </c>
      <c r="E3490" cm="1">
        <f t="array" ref="E3490">_xlfn.IFNA(_xlfn.XLOOKUP(1,([1]!hcahps[Facility ID] = clean[[#This Row],[Facility ID]]) * ([1]!hcahps[HCAHPS Measure ID] = "H_HSP_RATING_LINEAR_SCORE"), [1]!hcahps[HCAHPS Linear Mean Value]), "No Match")</f>
        <v>87</v>
      </c>
      <c r="F3490" cm="1">
        <f t="array" ref="F3490">_xlfn.IFNA(_xlfn.XLOOKUP(1,([1]!readmissions[Facility ID] = clean[[#This Row],[Facility ID]]) * ([1]!readmissions[Measure ID] = "Hybrid_HWR"), [1]!readmissions[Score]), "No Match")</f>
        <v>14.5</v>
      </c>
    </row>
    <row r="3491" spans="1:6" x14ac:dyDescent="0.2">
      <c r="A3491">
        <f>[1]!hospitalinfo[[#This Row],[Facility ID]]</f>
        <v>330279</v>
      </c>
      <c r="B3491" t="str">
        <f>[1]!hospitalinfo[[#This Row],[State]]</f>
        <v>NY</v>
      </c>
      <c r="C3491" t="str">
        <f>[1]!hospitalinfo[[#This Row],[Hospital Type]]</f>
        <v>Acute Care Hospitals</v>
      </c>
      <c r="D3491" t="str">
        <f>[1]!hospitalinfo[[#This Row],[Hospital Ownership]]</f>
        <v>Voluntary non-profit - Private</v>
      </c>
      <c r="E3491" cm="1">
        <f t="array" ref="E3491">_xlfn.IFNA(_xlfn.XLOOKUP(1,([1]!hcahps[Facility ID] = clean[[#This Row],[Facility ID]]) * ([1]!hcahps[HCAHPS Measure ID] = "H_HSP_RATING_LINEAR_SCORE"), [1]!hcahps[HCAHPS Linear Mean Value]), "No Match")</f>
        <v>86</v>
      </c>
      <c r="F3491" cm="1">
        <f t="array" ref="F3491">_xlfn.IFNA(_xlfn.XLOOKUP(1,([1]!readmissions[Facility ID] = clean[[#This Row],[Facility ID]]) * ([1]!readmissions[Measure ID] = "Hybrid_HWR"), [1]!readmissions[Score]), "No Match")</f>
        <v>14.8</v>
      </c>
    </row>
    <row r="3492" spans="1:6" x14ac:dyDescent="0.2">
      <c r="A3492">
        <f>[1]!hospitalinfo[[#This Row],[Facility ID]]</f>
        <v>330285</v>
      </c>
      <c r="B3492" t="str">
        <f>[1]!hospitalinfo[[#This Row],[State]]</f>
        <v>NY</v>
      </c>
      <c r="C3492" t="str">
        <f>[1]!hospitalinfo[[#This Row],[Hospital Type]]</f>
        <v>Acute Care Hospitals</v>
      </c>
      <c r="D3492" t="str">
        <f>[1]!hospitalinfo[[#This Row],[Hospital Ownership]]</f>
        <v>Voluntary non-profit - Private</v>
      </c>
      <c r="E3492" cm="1">
        <f t="array" ref="E3492">_xlfn.IFNA(_xlfn.XLOOKUP(1,([1]!hcahps[Facility ID] = clean[[#This Row],[Facility ID]]) * ([1]!hcahps[HCAHPS Measure ID] = "H_HSP_RATING_LINEAR_SCORE"), [1]!hcahps[HCAHPS Linear Mean Value]), "No Match")</f>
        <v>86</v>
      </c>
      <c r="F3492" cm="1">
        <f t="array" ref="F3492">_xlfn.IFNA(_xlfn.XLOOKUP(1,([1]!readmissions[Facility ID] = clean[[#This Row],[Facility ID]]) * ([1]!readmissions[Measure ID] = "Hybrid_HWR"), [1]!readmissions[Score]), "No Match")</f>
        <v>15</v>
      </c>
    </row>
    <row r="3493" spans="1:6" x14ac:dyDescent="0.2">
      <c r="A3493">
        <f>[1]!hospitalinfo[[#This Row],[Facility ID]]</f>
        <v>330286</v>
      </c>
      <c r="B3493" t="str">
        <f>[1]!hospitalinfo[[#This Row],[State]]</f>
        <v>NY</v>
      </c>
      <c r="C3493" t="str">
        <f>[1]!hospitalinfo[[#This Row],[Hospital Type]]</f>
        <v>Acute Care Hospitals</v>
      </c>
      <c r="D3493" t="str">
        <f>[1]!hospitalinfo[[#This Row],[Hospital Ownership]]</f>
        <v>Voluntary non-profit - Private</v>
      </c>
      <c r="E3493" cm="1">
        <f t="array" ref="E3493">_xlfn.IFNA(_xlfn.XLOOKUP(1,([1]!hcahps[Facility ID] = clean[[#This Row],[Facility ID]]) * ([1]!hcahps[HCAHPS Measure ID] = "H_HSP_RATING_LINEAR_SCORE"), [1]!hcahps[HCAHPS Linear Mean Value]), "No Match")</f>
        <v>84</v>
      </c>
      <c r="F3493" cm="1">
        <f t="array" ref="F3493">_xlfn.IFNA(_xlfn.XLOOKUP(1,([1]!readmissions[Facility ID] = clean[[#This Row],[Facility ID]]) * ([1]!readmissions[Measure ID] = "Hybrid_HWR"), [1]!readmissions[Score]), "No Match")</f>
        <v>14.9</v>
      </c>
    </row>
    <row r="3494" spans="1:6" x14ac:dyDescent="0.2">
      <c r="A3494">
        <f>[1]!hospitalinfo[[#This Row],[Facility ID]]</f>
        <v>330304</v>
      </c>
      <c r="B3494" t="str">
        <f>[1]!hospitalinfo[[#This Row],[State]]</f>
        <v>NY</v>
      </c>
      <c r="C3494" t="str">
        <f>[1]!hospitalinfo[[#This Row],[Hospital Type]]</f>
        <v>Acute Care Hospitals</v>
      </c>
      <c r="D3494" t="str">
        <f>[1]!hospitalinfo[[#This Row],[Hospital Ownership]]</f>
        <v>Voluntary non-profit - Private</v>
      </c>
      <c r="E3494" cm="1">
        <f t="array" ref="E3494">_xlfn.IFNA(_xlfn.XLOOKUP(1,([1]!hcahps[Facility ID] = clean[[#This Row],[Facility ID]]) * ([1]!hcahps[HCAHPS Measure ID] = "H_HSP_RATING_LINEAR_SCORE"), [1]!hcahps[HCAHPS Linear Mean Value]), "No Match")</f>
        <v>88</v>
      </c>
      <c r="F3494" cm="1">
        <f t="array" ref="F3494">_xlfn.IFNA(_xlfn.XLOOKUP(1,([1]!readmissions[Facility ID] = clean[[#This Row],[Facility ID]]) * ([1]!readmissions[Measure ID] = "Hybrid_HWR"), [1]!readmissions[Score]), "No Match")</f>
        <v>14.3</v>
      </c>
    </row>
    <row r="3495" spans="1:6" x14ac:dyDescent="0.2">
      <c r="A3495">
        <f>[1]!hospitalinfo[[#This Row],[Facility ID]]</f>
        <v>330307</v>
      </c>
      <c r="B3495" t="str">
        <f>[1]!hospitalinfo[[#This Row],[State]]</f>
        <v>NY</v>
      </c>
      <c r="C3495" t="str">
        <f>[1]!hospitalinfo[[#This Row],[Hospital Type]]</f>
        <v>Acute Care Hospitals</v>
      </c>
      <c r="D3495" t="str">
        <f>[1]!hospitalinfo[[#This Row],[Hospital Ownership]]</f>
        <v>Voluntary non-profit - Private</v>
      </c>
      <c r="E3495" cm="1">
        <f t="array" ref="E3495">_xlfn.IFNA(_xlfn.XLOOKUP(1,([1]!hcahps[Facility ID] = clean[[#This Row],[Facility ID]]) * ([1]!hcahps[HCAHPS Measure ID] = "H_HSP_RATING_LINEAR_SCORE"), [1]!hcahps[HCAHPS Linear Mean Value]), "No Match")</f>
        <v>87</v>
      </c>
      <c r="F3495" cm="1">
        <f t="array" ref="F3495">_xlfn.IFNA(_xlfn.XLOOKUP(1,([1]!readmissions[Facility ID] = clean[[#This Row],[Facility ID]]) * ([1]!readmissions[Measure ID] = "Hybrid_HWR"), [1]!readmissions[Score]), "No Match")</f>
        <v>14.2</v>
      </c>
    </row>
    <row r="3496" spans="1:6" x14ac:dyDescent="0.2">
      <c r="A3496">
        <f>[1]!hospitalinfo[[#This Row],[Facility ID]]</f>
        <v>330331</v>
      </c>
      <c r="B3496" t="str">
        <f>[1]!hospitalinfo[[#This Row],[State]]</f>
        <v>NY</v>
      </c>
      <c r="C3496" t="str">
        <f>[1]!hospitalinfo[[#This Row],[Hospital Type]]</f>
        <v>Acute Care Hospitals</v>
      </c>
      <c r="D3496" t="str">
        <f>[1]!hospitalinfo[[#This Row],[Hospital Ownership]]</f>
        <v>Voluntary non-profit - Private</v>
      </c>
      <c r="E3496" cm="1">
        <f t="array" ref="E3496">_xlfn.IFNA(_xlfn.XLOOKUP(1,([1]!hcahps[Facility ID] = clean[[#This Row],[Facility ID]]) * ([1]!hcahps[HCAHPS Measure ID] = "H_HSP_RATING_LINEAR_SCORE"), [1]!hcahps[HCAHPS Linear Mean Value]), "No Match")</f>
        <v>86</v>
      </c>
      <c r="F3496" cm="1">
        <f t="array" ref="F3496">_xlfn.IFNA(_xlfn.XLOOKUP(1,([1]!readmissions[Facility ID] = clean[[#This Row],[Facility ID]]) * ([1]!readmissions[Measure ID] = "Hybrid_HWR"), [1]!readmissions[Score]), "No Match")</f>
        <v>14.8</v>
      </c>
    </row>
    <row r="3497" spans="1:6" x14ac:dyDescent="0.2">
      <c r="A3497">
        <f>[1]!hospitalinfo[[#This Row],[Facility ID]]</f>
        <v>330332</v>
      </c>
      <c r="B3497" t="str">
        <f>[1]!hospitalinfo[[#This Row],[State]]</f>
        <v>NY</v>
      </c>
      <c r="C3497" t="str">
        <f>[1]!hospitalinfo[[#This Row],[Hospital Type]]</f>
        <v>Acute Care Hospitals</v>
      </c>
      <c r="D3497" t="str">
        <f>[1]!hospitalinfo[[#This Row],[Hospital Ownership]]</f>
        <v>Voluntary non-profit - Private</v>
      </c>
      <c r="E3497" cm="1">
        <f t="array" ref="E3497">_xlfn.IFNA(_xlfn.XLOOKUP(1,([1]!hcahps[Facility ID] = clean[[#This Row],[Facility ID]]) * ([1]!hcahps[HCAHPS Measure ID] = "H_HSP_RATING_LINEAR_SCORE"), [1]!hcahps[HCAHPS Linear Mean Value]), "No Match")</f>
        <v>86</v>
      </c>
      <c r="F3497" cm="1">
        <f t="array" ref="F3497">_xlfn.IFNA(_xlfn.XLOOKUP(1,([1]!readmissions[Facility ID] = clean[[#This Row],[Facility ID]]) * ([1]!readmissions[Measure ID] = "Hybrid_HWR"), [1]!readmissions[Score]), "No Match")</f>
        <v>14.2</v>
      </c>
    </row>
    <row r="3498" spans="1:6" x14ac:dyDescent="0.2">
      <c r="A3498">
        <f>[1]!hospitalinfo[[#This Row],[Facility ID]]</f>
        <v>330350</v>
      </c>
      <c r="B3498" t="str">
        <f>[1]!hospitalinfo[[#This Row],[State]]</f>
        <v>NY</v>
      </c>
      <c r="C3498" t="str">
        <f>[1]!hospitalinfo[[#This Row],[Hospital Type]]</f>
        <v>Acute Care Hospitals</v>
      </c>
      <c r="D3498" t="str">
        <f>[1]!hospitalinfo[[#This Row],[Hospital Ownership]]</f>
        <v>Government - State</v>
      </c>
      <c r="E3498" cm="1">
        <f t="array" ref="E3498">_xlfn.IFNA(_xlfn.XLOOKUP(1,([1]!hcahps[Facility ID] = clean[[#This Row],[Facility ID]]) * ([1]!hcahps[HCAHPS Measure ID] = "H_HSP_RATING_LINEAR_SCORE"), [1]!hcahps[HCAHPS Linear Mean Value]), "No Match")</f>
        <v>82</v>
      </c>
      <c r="F3498" cm="1">
        <f t="array" ref="F3498">_xlfn.IFNA(_xlfn.XLOOKUP(1,([1]!readmissions[Facility ID] = clean[[#This Row],[Facility ID]]) * ([1]!readmissions[Measure ID] = "Hybrid_HWR"), [1]!readmissions[Score]), "No Match")</f>
        <v>15.9</v>
      </c>
    </row>
    <row r="3499" spans="1:6" x14ac:dyDescent="0.2">
      <c r="A3499">
        <f>[1]!hospitalinfo[[#This Row],[Facility ID]]</f>
        <v>330386</v>
      </c>
      <c r="B3499" t="str">
        <f>[1]!hospitalinfo[[#This Row],[State]]</f>
        <v>NY</v>
      </c>
      <c r="C3499" t="str">
        <f>[1]!hospitalinfo[[#This Row],[Hospital Type]]</f>
        <v>Acute Care Hospitals</v>
      </c>
      <c r="D3499" t="str">
        <f>[1]!hospitalinfo[[#This Row],[Hospital Ownership]]</f>
        <v>Voluntary non-profit - Private</v>
      </c>
      <c r="E3499" cm="1">
        <f t="array" ref="E3499">_xlfn.IFNA(_xlfn.XLOOKUP(1,([1]!hcahps[Facility ID] = clean[[#This Row],[Facility ID]]) * ([1]!hcahps[HCAHPS Measure ID] = "H_HSP_RATING_LINEAR_SCORE"), [1]!hcahps[HCAHPS Linear Mean Value]), "No Match")</f>
        <v>82</v>
      </c>
      <c r="F3499" cm="1">
        <f t="array" ref="F3499">_xlfn.IFNA(_xlfn.XLOOKUP(1,([1]!readmissions[Facility ID] = clean[[#This Row],[Facility ID]]) * ([1]!readmissions[Measure ID] = "Hybrid_HWR"), [1]!readmissions[Score]), "No Match")</f>
        <v>15.7</v>
      </c>
    </row>
    <row r="3500" spans="1:6" x14ac:dyDescent="0.2">
      <c r="A3500">
        <f>[1]!hospitalinfo[[#This Row],[Facility ID]]</f>
        <v>330393</v>
      </c>
      <c r="B3500" t="str">
        <f>[1]!hospitalinfo[[#This Row],[State]]</f>
        <v>NY</v>
      </c>
      <c r="C3500" t="str">
        <f>[1]!hospitalinfo[[#This Row],[Hospital Type]]</f>
        <v>Acute Care Hospitals</v>
      </c>
      <c r="D3500" t="str">
        <f>[1]!hospitalinfo[[#This Row],[Hospital Ownership]]</f>
        <v>Government - State</v>
      </c>
      <c r="E3500" cm="1">
        <f t="array" ref="E3500">_xlfn.IFNA(_xlfn.XLOOKUP(1,([1]!hcahps[Facility ID] = clean[[#This Row],[Facility ID]]) * ([1]!hcahps[HCAHPS Measure ID] = "H_HSP_RATING_LINEAR_SCORE"), [1]!hcahps[HCAHPS Linear Mean Value]), "No Match")</f>
        <v>87</v>
      </c>
      <c r="F3500" cm="1">
        <f t="array" ref="F3500">_xlfn.IFNA(_xlfn.XLOOKUP(1,([1]!readmissions[Facility ID] = clean[[#This Row],[Facility ID]]) * ([1]!readmissions[Measure ID] = "Hybrid_HWR"), [1]!readmissions[Score]), "No Match")</f>
        <v>14.7</v>
      </c>
    </row>
    <row r="3501" spans="1:6" x14ac:dyDescent="0.2">
      <c r="A3501">
        <f>[1]!hospitalinfo[[#This Row],[Facility ID]]</f>
        <v>330394</v>
      </c>
      <c r="B3501" t="str">
        <f>[1]!hospitalinfo[[#This Row],[State]]</f>
        <v>NY</v>
      </c>
      <c r="C3501" t="str">
        <f>[1]!hospitalinfo[[#This Row],[Hospital Type]]</f>
        <v>Acute Care Hospitals</v>
      </c>
      <c r="D3501" t="str">
        <f>[1]!hospitalinfo[[#This Row],[Hospital Ownership]]</f>
        <v>Voluntary non-profit - Private</v>
      </c>
      <c r="E3501" cm="1">
        <f t="array" ref="E3501">_xlfn.IFNA(_xlfn.XLOOKUP(1,([1]!hcahps[Facility ID] = clean[[#This Row],[Facility ID]]) * ([1]!hcahps[HCAHPS Measure ID] = "H_HSP_RATING_LINEAR_SCORE"), [1]!hcahps[HCAHPS Linear Mean Value]), "No Match")</f>
        <v>86</v>
      </c>
      <c r="F3501" cm="1">
        <f t="array" ref="F3501">_xlfn.IFNA(_xlfn.XLOOKUP(1,([1]!readmissions[Facility ID] = clean[[#This Row],[Facility ID]]) * ([1]!readmissions[Measure ID] = "Hybrid_HWR"), [1]!readmissions[Score]), "No Match")</f>
        <v>15.1</v>
      </c>
    </row>
    <row r="3502" spans="1:6" x14ac:dyDescent="0.2">
      <c r="A3502">
        <f>[1]!hospitalinfo[[#This Row],[Facility ID]]</f>
        <v>330395</v>
      </c>
      <c r="B3502" t="str">
        <f>[1]!hospitalinfo[[#This Row],[State]]</f>
        <v>NY</v>
      </c>
      <c r="C3502" t="str">
        <f>[1]!hospitalinfo[[#This Row],[Hospital Type]]</f>
        <v>Acute Care Hospitals</v>
      </c>
      <c r="D3502" t="str">
        <f>[1]!hospitalinfo[[#This Row],[Hospital Ownership]]</f>
        <v>Voluntary non-profit - Private</v>
      </c>
      <c r="E3502" cm="1">
        <f t="array" ref="E3502">_xlfn.IFNA(_xlfn.XLOOKUP(1,([1]!hcahps[Facility ID] = clean[[#This Row],[Facility ID]]) * ([1]!hcahps[HCAHPS Measure ID] = "H_HSP_RATING_LINEAR_SCORE"), [1]!hcahps[HCAHPS Linear Mean Value]), "No Match")</f>
        <v>80</v>
      </c>
      <c r="F3502" cm="1">
        <f t="array" ref="F3502">_xlfn.IFNA(_xlfn.XLOOKUP(1,([1]!readmissions[Facility ID] = clean[[#This Row],[Facility ID]]) * ([1]!readmissions[Measure ID] = "Hybrid_HWR"), [1]!readmissions[Score]), "No Match")</f>
        <v>18.2</v>
      </c>
    </row>
    <row r="3503" spans="1:6" x14ac:dyDescent="0.2">
      <c r="A3503">
        <f>[1]!hospitalinfo[[#This Row],[Facility ID]]</f>
        <v>330396</v>
      </c>
      <c r="B3503" t="str">
        <f>[1]!hospitalinfo[[#This Row],[State]]</f>
        <v>NY</v>
      </c>
      <c r="C3503" t="str">
        <f>[1]!hospitalinfo[[#This Row],[Hospital Type]]</f>
        <v>Acute Care Hospitals</v>
      </c>
      <c r="D3503" t="str">
        <f>[1]!hospitalinfo[[#This Row],[Hospital Ownership]]</f>
        <v>Government - Local</v>
      </c>
      <c r="E3503" cm="1">
        <f t="array" ref="E3503">_xlfn.IFNA(_xlfn.XLOOKUP(1,([1]!hcahps[Facility ID] = clean[[#This Row],[Facility ID]]) * ([1]!hcahps[HCAHPS Measure ID] = "H_HSP_RATING_LINEAR_SCORE"), [1]!hcahps[HCAHPS Linear Mean Value]), "No Match")</f>
        <v>83</v>
      </c>
      <c r="F3503" cm="1">
        <f t="array" ref="F3503">_xlfn.IFNA(_xlfn.XLOOKUP(1,([1]!readmissions[Facility ID] = clean[[#This Row],[Facility ID]]) * ([1]!readmissions[Measure ID] = "Hybrid_HWR"), [1]!readmissions[Score]), "No Match")</f>
        <v>14.5</v>
      </c>
    </row>
    <row r="3504" spans="1:6" x14ac:dyDescent="0.2">
      <c r="A3504">
        <f>[1]!hospitalinfo[[#This Row],[Facility ID]]</f>
        <v>330399</v>
      </c>
      <c r="B3504" t="str">
        <f>[1]!hospitalinfo[[#This Row],[State]]</f>
        <v>NY</v>
      </c>
      <c r="C3504" t="str">
        <f>[1]!hospitalinfo[[#This Row],[Hospital Type]]</f>
        <v>Acute Care Hospitals</v>
      </c>
      <c r="D3504" t="str">
        <f>[1]!hospitalinfo[[#This Row],[Hospital Ownership]]</f>
        <v>Voluntary non-profit - Private</v>
      </c>
      <c r="E3504" cm="1">
        <f t="array" ref="E3504">_xlfn.IFNA(_xlfn.XLOOKUP(1,([1]!hcahps[Facility ID] = clean[[#This Row],[Facility ID]]) * ([1]!hcahps[HCAHPS Measure ID] = "H_HSP_RATING_LINEAR_SCORE"), [1]!hcahps[HCAHPS Linear Mean Value]), "No Match")</f>
        <v>81</v>
      </c>
      <c r="F3504" cm="1">
        <f t="array" ref="F3504">_xlfn.IFNA(_xlfn.XLOOKUP(1,([1]!readmissions[Facility ID] = clean[[#This Row],[Facility ID]]) * ([1]!readmissions[Measure ID] = "Hybrid_HWR"), [1]!readmissions[Score]), "No Match")</f>
        <v>15.1</v>
      </c>
    </row>
    <row r="3505" spans="1:6" x14ac:dyDescent="0.2">
      <c r="A3505">
        <f>[1]!hospitalinfo[[#This Row],[Facility ID]]</f>
        <v>330401</v>
      </c>
      <c r="B3505" t="str">
        <f>[1]!hospitalinfo[[#This Row],[State]]</f>
        <v>NY</v>
      </c>
      <c r="C3505" t="str">
        <f>[1]!hospitalinfo[[#This Row],[Hospital Type]]</f>
        <v>Acute Care Hospitals</v>
      </c>
      <c r="D3505" t="str">
        <f>[1]!hospitalinfo[[#This Row],[Hospital Ownership]]</f>
        <v>Voluntary non-profit - Church</v>
      </c>
      <c r="E3505" cm="1">
        <f t="array" ref="E3505">_xlfn.IFNA(_xlfn.XLOOKUP(1,([1]!hcahps[Facility ID] = clean[[#This Row],[Facility ID]]) * ([1]!hcahps[HCAHPS Measure ID] = "H_HSP_RATING_LINEAR_SCORE"), [1]!hcahps[HCAHPS Linear Mean Value]), "No Match")</f>
        <v>86</v>
      </c>
      <c r="F3505" cm="1">
        <f t="array" ref="F3505">_xlfn.IFNA(_xlfn.XLOOKUP(1,([1]!readmissions[Facility ID] = clean[[#This Row],[Facility ID]]) * ([1]!readmissions[Measure ID] = "Hybrid_HWR"), [1]!readmissions[Score]), "No Match")</f>
        <v>15.1</v>
      </c>
    </row>
    <row r="3506" spans="1:6" x14ac:dyDescent="0.2">
      <c r="A3506">
        <f>[1]!hospitalinfo[[#This Row],[Facility ID]]</f>
        <v>330405</v>
      </c>
      <c r="B3506" t="str">
        <f>[1]!hospitalinfo[[#This Row],[State]]</f>
        <v>NY</v>
      </c>
      <c r="C3506" t="str">
        <f>[1]!hospitalinfo[[#This Row],[Hospital Type]]</f>
        <v>Acute Care Hospitals</v>
      </c>
      <c r="D3506" t="str">
        <f>[1]!hospitalinfo[[#This Row],[Hospital Ownership]]</f>
        <v>Government - State</v>
      </c>
      <c r="E3506" t="str" cm="1">
        <f t="array" ref="E3506">_xlfn.IFNA(_xlfn.XLOOKUP(1,([1]!hcahps[Facility ID] = clean[[#This Row],[Facility ID]]) * ([1]!hcahps[HCAHPS Measure ID] = "H_HSP_RATING_LINEAR_SCORE"), [1]!hcahps[HCAHPS Linear Mean Value]), "No Match")</f>
        <v>Not Available</v>
      </c>
      <c r="F3506" t="str" cm="1">
        <f t="array" ref="F3506">_xlfn.IFNA(_xlfn.XLOOKUP(1,([1]!readmissions[Facility ID] = clean[[#This Row],[Facility ID]]) * ([1]!readmissions[Measure ID] = "Hybrid_HWR"), [1]!readmissions[Score]), "No Match")</f>
        <v>Not Available</v>
      </c>
    </row>
    <row r="3507" spans="1:6" x14ac:dyDescent="0.2">
      <c r="A3507">
        <f>[1]!hospitalinfo[[#This Row],[Facility ID]]</f>
        <v>330406</v>
      </c>
      <c r="B3507" t="str">
        <f>[1]!hospitalinfo[[#This Row],[State]]</f>
        <v>NY</v>
      </c>
      <c r="C3507" t="str">
        <f>[1]!hospitalinfo[[#This Row],[Hospital Type]]</f>
        <v>Acute Care Hospitals</v>
      </c>
      <c r="D3507" t="str">
        <f>[1]!hospitalinfo[[#This Row],[Hospital Ownership]]</f>
        <v>Voluntary non-profit - Private</v>
      </c>
      <c r="E3507" t="str" cm="1">
        <f t="array" ref="E3507">_xlfn.IFNA(_xlfn.XLOOKUP(1,([1]!hcahps[Facility ID] = clean[[#This Row],[Facility ID]]) * ([1]!hcahps[HCAHPS Measure ID] = "H_HSP_RATING_LINEAR_SCORE"), [1]!hcahps[HCAHPS Linear Mean Value]), "No Match")</f>
        <v>Not Available</v>
      </c>
      <c r="F3507" cm="1">
        <f t="array" ref="F3507">_xlfn.IFNA(_xlfn.XLOOKUP(1,([1]!readmissions[Facility ID] = clean[[#This Row],[Facility ID]]) * ([1]!readmissions[Measure ID] = "Hybrid_HWR"), [1]!readmissions[Score]), "No Match")</f>
        <v>13.1</v>
      </c>
    </row>
    <row r="3508" spans="1:6" x14ac:dyDescent="0.2">
      <c r="A3508">
        <f>[1]!hospitalinfo[[#This Row],[Facility ID]]</f>
        <v>330411</v>
      </c>
      <c r="B3508" t="str">
        <f>[1]!hospitalinfo[[#This Row],[State]]</f>
        <v>NY</v>
      </c>
      <c r="C3508" t="str">
        <f>[1]!hospitalinfo[[#This Row],[Hospital Type]]</f>
        <v>Acute Care Hospitals</v>
      </c>
      <c r="D3508" t="str">
        <f>[1]!hospitalinfo[[#This Row],[Hospital Ownership]]</f>
        <v>Voluntary non-profit - Private</v>
      </c>
      <c r="E3508" t="str" cm="1">
        <f t="array" ref="E3508">_xlfn.IFNA(_xlfn.XLOOKUP(1,([1]!hcahps[Facility ID] = clean[[#This Row],[Facility ID]]) * ([1]!hcahps[HCAHPS Measure ID] = "H_HSP_RATING_LINEAR_SCORE"), [1]!hcahps[HCAHPS Linear Mean Value]), "No Match")</f>
        <v>Not Available</v>
      </c>
      <c r="F3508" t="str" cm="1">
        <f t="array" ref="F3508">_xlfn.IFNA(_xlfn.XLOOKUP(1,([1]!readmissions[Facility ID] = clean[[#This Row],[Facility ID]]) * ([1]!readmissions[Measure ID] = "Hybrid_HWR"), [1]!readmissions[Score]), "No Match")</f>
        <v>Not Available</v>
      </c>
    </row>
    <row r="3509" spans="1:6" x14ac:dyDescent="0.2">
      <c r="A3509">
        <f>[1]!hospitalinfo[[#This Row],[Facility ID]]</f>
        <v>330799</v>
      </c>
      <c r="B3509" t="str">
        <f>[1]!hospitalinfo[[#This Row],[State]]</f>
        <v>NY</v>
      </c>
      <c r="C3509" t="str">
        <f>[1]!hospitalinfo[[#This Row],[Hospital Type]]</f>
        <v>Rural Emergency Hospital</v>
      </c>
      <c r="D3509" t="str">
        <f>[1]!hospitalinfo[[#This Row],[Hospital Ownership]]</f>
        <v>Voluntary non-profit - Other</v>
      </c>
      <c r="E3509" t="str" cm="1">
        <f t="array" ref="E3509">_xlfn.IFNA(_xlfn.XLOOKUP(1,([1]!hcahps[Facility ID] = clean[[#This Row],[Facility ID]]) * ([1]!hcahps[HCAHPS Measure ID] = "H_HSP_RATING_LINEAR_SCORE"), [1]!hcahps[HCAHPS Linear Mean Value]), "No Match")</f>
        <v>Not Available</v>
      </c>
      <c r="F3509" t="str" cm="1">
        <f t="array" ref="F3509">_xlfn.IFNA(_xlfn.XLOOKUP(1,([1]!readmissions[Facility ID] = clean[[#This Row],[Facility ID]]) * ([1]!readmissions[Measure ID] = "Hybrid_HWR"), [1]!readmissions[Score]), "No Match")</f>
        <v>Not Available</v>
      </c>
    </row>
    <row r="3510" spans="1:6" x14ac:dyDescent="0.2">
      <c r="A3510">
        <f>[1]!hospitalinfo[[#This Row],[Facility ID]]</f>
        <v>330800</v>
      </c>
      <c r="B3510" t="str">
        <f>[1]!hospitalinfo[[#This Row],[State]]</f>
        <v>NY</v>
      </c>
      <c r="C3510" t="str">
        <f>[1]!hospitalinfo[[#This Row],[Hospital Type]]</f>
        <v>Rural Emergency Hospital</v>
      </c>
      <c r="D3510" t="str">
        <f>[1]!hospitalinfo[[#This Row],[Hospital Ownership]]</f>
        <v>Voluntary non-profit - Private</v>
      </c>
      <c r="E3510" t="str" cm="1">
        <f t="array" ref="E3510">_xlfn.IFNA(_xlfn.XLOOKUP(1,([1]!hcahps[Facility ID] = clean[[#This Row],[Facility ID]]) * ([1]!hcahps[HCAHPS Measure ID] = "H_HSP_RATING_LINEAR_SCORE"), [1]!hcahps[HCAHPS Linear Mean Value]), "No Match")</f>
        <v>Not Available</v>
      </c>
      <c r="F3510" t="str" cm="1">
        <f t="array" ref="F3510">_xlfn.IFNA(_xlfn.XLOOKUP(1,([1]!readmissions[Facility ID] = clean[[#This Row],[Facility ID]]) * ([1]!readmissions[Measure ID] = "Hybrid_HWR"), [1]!readmissions[Score]), "No Match")</f>
        <v>Not Available</v>
      </c>
    </row>
    <row r="3511" spans="1:6" x14ac:dyDescent="0.2">
      <c r="A3511">
        <f>[1]!hospitalinfo[[#This Row],[Facility ID]]</f>
        <v>331301</v>
      </c>
      <c r="B3511" t="str">
        <f>[1]!hospitalinfo[[#This Row],[State]]</f>
        <v>NY</v>
      </c>
      <c r="C3511" t="str">
        <f>[1]!hospitalinfo[[#This Row],[Hospital Type]]</f>
        <v>Critical Access Hospitals</v>
      </c>
      <c r="D3511" t="str">
        <f>[1]!hospitalinfo[[#This Row],[Hospital Ownership]]</f>
        <v>Voluntary non-profit - Private</v>
      </c>
      <c r="E3511" t="str" cm="1">
        <f t="array" ref="E3511">_xlfn.IFNA(_xlfn.XLOOKUP(1,([1]!hcahps[Facility ID] = clean[[#This Row],[Facility ID]]) * ([1]!hcahps[HCAHPS Measure ID] = "H_HSP_RATING_LINEAR_SCORE"), [1]!hcahps[HCAHPS Linear Mean Value]), "No Match")</f>
        <v>Not Available</v>
      </c>
      <c r="F3511" t="str" cm="1">
        <f t="array" ref="F3511">_xlfn.IFNA(_xlfn.XLOOKUP(1,([1]!readmissions[Facility ID] = clean[[#This Row],[Facility ID]]) * ([1]!readmissions[Measure ID] = "Hybrid_HWR"), [1]!readmissions[Score]), "No Match")</f>
        <v>Not Available</v>
      </c>
    </row>
    <row r="3512" spans="1:6" x14ac:dyDescent="0.2">
      <c r="A3512">
        <f>[1]!hospitalinfo[[#This Row],[Facility ID]]</f>
        <v>331302</v>
      </c>
      <c r="B3512" t="str">
        <f>[1]!hospitalinfo[[#This Row],[State]]</f>
        <v>NY</v>
      </c>
      <c r="C3512" t="str">
        <f>[1]!hospitalinfo[[#This Row],[Hospital Type]]</f>
        <v>Critical Access Hospitals</v>
      </c>
      <c r="D3512" t="str">
        <f>[1]!hospitalinfo[[#This Row],[Hospital Ownership]]</f>
        <v>Voluntary non-profit - Private</v>
      </c>
      <c r="E3512" t="str" cm="1">
        <f t="array" ref="E3512">_xlfn.IFNA(_xlfn.XLOOKUP(1,([1]!hcahps[Facility ID] = clean[[#This Row],[Facility ID]]) * ([1]!hcahps[HCAHPS Measure ID] = "H_HSP_RATING_LINEAR_SCORE"), [1]!hcahps[HCAHPS Linear Mean Value]), "No Match")</f>
        <v>Not Available</v>
      </c>
      <c r="F3512" cm="1">
        <f t="array" ref="F3512">_xlfn.IFNA(_xlfn.XLOOKUP(1,([1]!readmissions[Facility ID] = clean[[#This Row],[Facility ID]]) * ([1]!readmissions[Measure ID] = "Hybrid_HWR"), [1]!readmissions[Score]), "No Match")</f>
        <v>15.3</v>
      </c>
    </row>
    <row r="3513" spans="1:6" x14ac:dyDescent="0.2">
      <c r="A3513">
        <f>[1]!hospitalinfo[[#This Row],[Facility ID]]</f>
        <v>331303</v>
      </c>
      <c r="B3513" t="str">
        <f>[1]!hospitalinfo[[#This Row],[State]]</f>
        <v>NY</v>
      </c>
      <c r="C3513" t="str">
        <f>[1]!hospitalinfo[[#This Row],[Hospital Type]]</f>
        <v>Critical Access Hospitals</v>
      </c>
      <c r="D3513" t="str">
        <f>[1]!hospitalinfo[[#This Row],[Hospital Ownership]]</f>
        <v>Voluntary non-profit - Private</v>
      </c>
      <c r="E3513" t="str" cm="1">
        <f t="array" ref="E3513">_xlfn.IFNA(_xlfn.XLOOKUP(1,([1]!hcahps[Facility ID] = clean[[#This Row],[Facility ID]]) * ([1]!hcahps[HCAHPS Measure ID] = "H_HSP_RATING_LINEAR_SCORE"), [1]!hcahps[HCAHPS Linear Mean Value]), "No Match")</f>
        <v>Not Available</v>
      </c>
      <c r="F3513" t="str" cm="1">
        <f t="array" ref="F3513">_xlfn.IFNA(_xlfn.XLOOKUP(1,([1]!readmissions[Facility ID] = clean[[#This Row],[Facility ID]]) * ([1]!readmissions[Measure ID] = "Hybrid_HWR"), [1]!readmissions[Score]), "No Match")</f>
        <v>Not Available</v>
      </c>
    </row>
    <row r="3514" spans="1:6" x14ac:dyDescent="0.2">
      <c r="A3514">
        <f>[1]!hospitalinfo[[#This Row],[Facility ID]]</f>
        <v>331304</v>
      </c>
      <c r="B3514" t="str">
        <f>[1]!hospitalinfo[[#This Row],[State]]</f>
        <v>NY</v>
      </c>
      <c r="C3514" t="str">
        <f>[1]!hospitalinfo[[#This Row],[Hospital Type]]</f>
        <v>Critical Access Hospitals</v>
      </c>
      <c r="D3514" t="str">
        <f>[1]!hospitalinfo[[#This Row],[Hospital Ownership]]</f>
        <v>Voluntary non-profit - Private</v>
      </c>
      <c r="E3514" t="str" cm="1">
        <f t="array" ref="E3514">_xlfn.IFNA(_xlfn.XLOOKUP(1,([1]!hcahps[Facility ID] = clean[[#This Row],[Facility ID]]) * ([1]!hcahps[HCAHPS Measure ID] = "H_HSP_RATING_LINEAR_SCORE"), [1]!hcahps[HCAHPS Linear Mean Value]), "No Match")</f>
        <v>Not Available</v>
      </c>
      <c r="F3514" cm="1">
        <f t="array" ref="F3514">_xlfn.IFNA(_xlfn.XLOOKUP(1,([1]!readmissions[Facility ID] = clean[[#This Row],[Facility ID]]) * ([1]!readmissions[Measure ID] = "Hybrid_HWR"), [1]!readmissions[Score]), "No Match")</f>
        <v>14.9</v>
      </c>
    </row>
    <row r="3515" spans="1:6" x14ac:dyDescent="0.2">
      <c r="A3515">
        <f>[1]!hospitalinfo[[#This Row],[Facility ID]]</f>
        <v>331305</v>
      </c>
      <c r="B3515" t="str">
        <f>[1]!hospitalinfo[[#This Row],[State]]</f>
        <v>NY</v>
      </c>
      <c r="C3515" t="str">
        <f>[1]!hospitalinfo[[#This Row],[Hospital Type]]</f>
        <v>Critical Access Hospitals</v>
      </c>
      <c r="D3515" t="str">
        <f>[1]!hospitalinfo[[#This Row],[Hospital Ownership]]</f>
        <v>Voluntary non-profit - Private</v>
      </c>
      <c r="E3515" t="str" cm="1">
        <f t="array" ref="E3515">_xlfn.IFNA(_xlfn.XLOOKUP(1,([1]!hcahps[Facility ID] = clean[[#This Row],[Facility ID]]) * ([1]!hcahps[HCAHPS Measure ID] = "H_HSP_RATING_LINEAR_SCORE"), [1]!hcahps[HCAHPS Linear Mean Value]), "No Match")</f>
        <v>Not Available</v>
      </c>
      <c r="F3515" cm="1">
        <f t="array" ref="F3515">_xlfn.IFNA(_xlfn.XLOOKUP(1,([1]!readmissions[Facility ID] = clean[[#This Row],[Facility ID]]) * ([1]!readmissions[Measure ID] = "Hybrid_HWR"), [1]!readmissions[Score]), "No Match")</f>
        <v>14.7</v>
      </c>
    </row>
    <row r="3516" spans="1:6" x14ac:dyDescent="0.2">
      <c r="A3516">
        <f>[1]!hospitalinfo[[#This Row],[Facility ID]]</f>
        <v>331309</v>
      </c>
      <c r="B3516" t="str">
        <f>[1]!hospitalinfo[[#This Row],[State]]</f>
        <v>NY</v>
      </c>
      <c r="C3516" t="str">
        <f>[1]!hospitalinfo[[#This Row],[Hospital Type]]</f>
        <v>Critical Access Hospitals</v>
      </c>
      <c r="D3516" t="str">
        <f>[1]!hospitalinfo[[#This Row],[Hospital Ownership]]</f>
        <v>Voluntary non-profit - Private</v>
      </c>
      <c r="E3516" t="str" cm="1">
        <f t="array" ref="E3516">_xlfn.IFNA(_xlfn.XLOOKUP(1,([1]!hcahps[Facility ID] = clean[[#This Row],[Facility ID]]) * ([1]!hcahps[HCAHPS Measure ID] = "H_HSP_RATING_LINEAR_SCORE"), [1]!hcahps[HCAHPS Linear Mean Value]), "No Match")</f>
        <v>Not Available</v>
      </c>
      <c r="F3516" cm="1">
        <f t="array" ref="F3516">_xlfn.IFNA(_xlfn.XLOOKUP(1,([1]!readmissions[Facility ID] = clean[[#This Row],[Facility ID]]) * ([1]!readmissions[Measure ID] = "Hybrid_HWR"), [1]!readmissions[Score]), "No Match")</f>
        <v>14.8</v>
      </c>
    </row>
    <row r="3517" spans="1:6" x14ac:dyDescent="0.2">
      <c r="A3517">
        <f>[1]!hospitalinfo[[#This Row],[Facility ID]]</f>
        <v>331310</v>
      </c>
      <c r="B3517" t="str">
        <f>[1]!hospitalinfo[[#This Row],[State]]</f>
        <v>NY</v>
      </c>
      <c r="C3517" t="str">
        <f>[1]!hospitalinfo[[#This Row],[Hospital Type]]</f>
        <v>Critical Access Hospitals</v>
      </c>
      <c r="D3517" t="str">
        <f>[1]!hospitalinfo[[#This Row],[Hospital Ownership]]</f>
        <v>Voluntary non-profit - Private</v>
      </c>
      <c r="E3517" t="str" cm="1">
        <f t="array" ref="E3517">_xlfn.IFNA(_xlfn.XLOOKUP(1,([1]!hcahps[Facility ID] = clean[[#This Row],[Facility ID]]) * ([1]!hcahps[HCAHPS Measure ID] = "H_HSP_RATING_LINEAR_SCORE"), [1]!hcahps[HCAHPS Linear Mean Value]), "No Match")</f>
        <v>Not Available</v>
      </c>
      <c r="F3517" cm="1">
        <f t="array" ref="F3517">_xlfn.IFNA(_xlfn.XLOOKUP(1,([1]!readmissions[Facility ID] = clean[[#This Row],[Facility ID]]) * ([1]!readmissions[Measure ID] = "Hybrid_HWR"), [1]!readmissions[Score]), "No Match")</f>
        <v>15</v>
      </c>
    </row>
    <row r="3518" spans="1:6" x14ac:dyDescent="0.2">
      <c r="A3518">
        <f>[1]!hospitalinfo[[#This Row],[Facility ID]]</f>
        <v>331311</v>
      </c>
      <c r="B3518" t="str">
        <f>[1]!hospitalinfo[[#This Row],[State]]</f>
        <v>NY</v>
      </c>
      <c r="C3518" t="str">
        <f>[1]!hospitalinfo[[#This Row],[Hospital Type]]</f>
        <v>Critical Access Hospitals</v>
      </c>
      <c r="D3518" t="str">
        <f>[1]!hospitalinfo[[#This Row],[Hospital Ownership]]</f>
        <v>Voluntary non-profit - Private</v>
      </c>
      <c r="E3518" cm="1">
        <f t="array" ref="E3518">_xlfn.IFNA(_xlfn.XLOOKUP(1,([1]!hcahps[Facility ID] = clean[[#This Row],[Facility ID]]) * ([1]!hcahps[HCAHPS Measure ID] = "H_HSP_RATING_LINEAR_SCORE"), [1]!hcahps[HCAHPS Linear Mean Value]), "No Match")</f>
        <v>93</v>
      </c>
      <c r="F3518" cm="1">
        <f t="array" ref="F3518">_xlfn.IFNA(_xlfn.XLOOKUP(1,([1]!readmissions[Facility ID] = clean[[#This Row],[Facility ID]]) * ([1]!readmissions[Measure ID] = "Hybrid_HWR"), [1]!readmissions[Score]), "No Match")</f>
        <v>15.7</v>
      </c>
    </row>
    <row r="3519" spans="1:6" x14ac:dyDescent="0.2">
      <c r="A3519">
        <f>[1]!hospitalinfo[[#This Row],[Facility ID]]</f>
        <v>331312</v>
      </c>
      <c r="B3519" t="str">
        <f>[1]!hospitalinfo[[#This Row],[State]]</f>
        <v>NY</v>
      </c>
      <c r="C3519" t="str">
        <f>[1]!hospitalinfo[[#This Row],[Hospital Type]]</f>
        <v>Critical Access Hospitals</v>
      </c>
      <c r="D3519" t="str">
        <f>[1]!hospitalinfo[[#This Row],[Hospital Ownership]]</f>
        <v>Voluntary non-profit - Private</v>
      </c>
      <c r="E3519" cm="1">
        <f t="array" ref="E3519">_xlfn.IFNA(_xlfn.XLOOKUP(1,([1]!hcahps[Facility ID] = clean[[#This Row],[Facility ID]]) * ([1]!hcahps[HCAHPS Measure ID] = "H_HSP_RATING_LINEAR_SCORE"), [1]!hcahps[HCAHPS Linear Mean Value]), "No Match")</f>
        <v>93</v>
      </c>
      <c r="F3519" cm="1">
        <f t="array" ref="F3519">_xlfn.IFNA(_xlfn.XLOOKUP(1,([1]!readmissions[Facility ID] = clean[[#This Row],[Facility ID]]) * ([1]!readmissions[Measure ID] = "Hybrid_HWR"), [1]!readmissions[Score]), "No Match")</f>
        <v>15</v>
      </c>
    </row>
    <row r="3520" spans="1:6" x14ac:dyDescent="0.2">
      <c r="A3520">
        <f>[1]!hospitalinfo[[#This Row],[Facility ID]]</f>
        <v>331313</v>
      </c>
      <c r="B3520" t="str">
        <f>[1]!hospitalinfo[[#This Row],[State]]</f>
        <v>NY</v>
      </c>
      <c r="C3520" t="str">
        <f>[1]!hospitalinfo[[#This Row],[Hospital Type]]</f>
        <v>Critical Access Hospitals</v>
      </c>
      <c r="D3520" t="str">
        <f>[1]!hospitalinfo[[#This Row],[Hospital Ownership]]</f>
        <v>Voluntary non-profit - Private</v>
      </c>
      <c r="E3520" t="str" cm="1">
        <f t="array" ref="E3520">_xlfn.IFNA(_xlfn.XLOOKUP(1,([1]!hcahps[Facility ID] = clean[[#This Row],[Facility ID]]) * ([1]!hcahps[HCAHPS Measure ID] = "H_HSP_RATING_LINEAR_SCORE"), [1]!hcahps[HCAHPS Linear Mean Value]), "No Match")</f>
        <v>Not Available</v>
      </c>
      <c r="F3520" cm="1">
        <f t="array" ref="F3520">_xlfn.IFNA(_xlfn.XLOOKUP(1,([1]!readmissions[Facility ID] = clean[[#This Row],[Facility ID]]) * ([1]!readmissions[Measure ID] = "Hybrid_HWR"), [1]!readmissions[Score]), "No Match")</f>
        <v>15.7</v>
      </c>
    </row>
    <row r="3521" spans="1:6" x14ac:dyDescent="0.2">
      <c r="A3521">
        <f>[1]!hospitalinfo[[#This Row],[Facility ID]]</f>
        <v>331314</v>
      </c>
      <c r="B3521" t="str">
        <f>[1]!hospitalinfo[[#This Row],[State]]</f>
        <v>NY</v>
      </c>
      <c r="C3521" t="str">
        <f>[1]!hospitalinfo[[#This Row],[Hospital Type]]</f>
        <v>Critical Access Hospitals</v>
      </c>
      <c r="D3521" t="str">
        <f>[1]!hospitalinfo[[#This Row],[Hospital Ownership]]</f>
        <v>Voluntary non-profit - Private</v>
      </c>
      <c r="E3521" t="str" cm="1">
        <f t="array" ref="E3521">_xlfn.IFNA(_xlfn.XLOOKUP(1,([1]!hcahps[Facility ID] = clean[[#This Row],[Facility ID]]) * ([1]!hcahps[HCAHPS Measure ID] = "H_HSP_RATING_LINEAR_SCORE"), [1]!hcahps[HCAHPS Linear Mean Value]), "No Match")</f>
        <v>Not Available</v>
      </c>
      <c r="F3521" cm="1">
        <f t="array" ref="F3521">_xlfn.IFNA(_xlfn.XLOOKUP(1,([1]!readmissions[Facility ID] = clean[[#This Row],[Facility ID]]) * ([1]!readmissions[Measure ID] = "Hybrid_HWR"), [1]!readmissions[Score]), "No Match")</f>
        <v>15</v>
      </c>
    </row>
    <row r="3522" spans="1:6" x14ac:dyDescent="0.2">
      <c r="A3522">
        <f>[1]!hospitalinfo[[#This Row],[Facility ID]]</f>
        <v>331315</v>
      </c>
      <c r="B3522" t="str">
        <f>[1]!hospitalinfo[[#This Row],[State]]</f>
        <v>NY</v>
      </c>
      <c r="C3522" t="str">
        <f>[1]!hospitalinfo[[#This Row],[Hospital Type]]</f>
        <v>Critical Access Hospitals</v>
      </c>
      <c r="D3522" t="str">
        <f>[1]!hospitalinfo[[#This Row],[Hospital Ownership]]</f>
        <v>Voluntary non-profit - Private</v>
      </c>
      <c r="E3522" t="str" cm="1">
        <f t="array" ref="E3522">_xlfn.IFNA(_xlfn.XLOOKUP(1,([1]!hcahps[Facility ID] = clean[[#This Row],[Facility ID]]) * ([1]!hcahps[HCAHPS Measure ID] = "H_HSP_RATING_LINEAR_SCORE"), [1]!hcahps[HCAHPS Linear Mean Value]), "No Match")</f>
        <v>Not Available</v>
      </c>
      <c r="F3522" cm="1">
        <f t="array" ref="F3522">_xlfn.IFNA(_xlfn.XLOOKUP(1,([1]!readmissions[Facility ID] = clean[[#This Row],[Facility ID]]) * ([1]!readmissions[Measure ID] = "Hybrid_HWR"), [1]!readmissions[Score]), "No Match")</f>
        <v>14.8</v>
      </c>
    </row>
    <row r="3523" spans="1:6" x14ac:dyDescent="0.2">
      <c r="A3523">
        <f>[1]!hospitalinfo[[#This Row],[Facility ID]]</f>
        <v>331316</v>
      </c>
      <c r="B3523" t="str">
        <f>[1]!hospitalinfo[[#This Row],[State]]</f>
        <v>NY</v>
      </c>
      <c r="C3523" t="str">
        <f>[1]!hospitalinfo[[#This Row],[Hospital Type]]</f>
        <v>Critical Access Hospitals</v>
      </c>
      <c r="D3523" t="str">
        <f>[1]!hospitalinfo[[#This Row],[Hospital Ownership]]</f>
        <v>Voluntary non-profit - Private</v>
      </c>
      <c r="E3523" cm="1">
        <f t="array" ref="E3523">_xlfn.IFNA(_xlfn.XLOOKUP(1,([1]!hcahps[Facility ID] = clean[[#This Row],[Facility ID]]) * ([1]!hcahps[HCAHPS Measure ID] = "H_HSP_RATING_LINEAR_SCORE"), [1]!hcahps[HCAHPS Linear Mean Value]), "No Match")</f>
        <v>92</v>
      </c>
      <c r="F3523" cm="1">
        <f t="array" ref="F3523">_xlfn.IFNA(_xlfn.XLOOKUP(1,([1]!readmissions[Facility ID] = clean[[#This Row],[Facility ID]]) * ([1]!readmissions[Measure ID] = "Hybrid_HWR"), [1]!readmissions[Score]), "No Match")</f>
        <v>15.3</v>
      </c>
    </row>
    <row r="3524" spans="1:6" x14ac:dyDescent="0.2">
      <c r="A3524">
        <f>[1]!hospitalinfo[[#This Row],[Facility ID]]</f>
        <v>331317</v>
      </c>
      <c r="B3524" t="str">
        <f>[1]!hospitalinfo[[#This Row],[State]]</f>
        <v>NY</v>
      </c>
      <c r="C3524" t="str">
        <f>[1]!hospitalinfo[[#This Row],[Hospital Type]]</f>
        <v>Critical Access Hospitals</v>
      </c>
      <c r="D3524" t="str">
        <f>[1]!hospitalinfo[[#This Row],[Hospital Ownership]]</f>
        <v>Government - Local</v>
      </c>
      <c r="E3524" t="str" cm="1">
        <f t="array" ref="E3524">_xlfn.IFNA(_xlfn.XLOOKUP(1,([1]!hcahps[Facility ID] = clean[[#This Row],[Facility ID]]) * ([1]!hcahps[HCAHPS Measure ID] = "H_HSP_RATING_LINEAR_SCORE"), [1]!hcahps[HCAHPS Linear Mean Value]), "No Match")</f>
        <v>Not Available</v>
      </c>
      <c r="F3524" t="str" cm="1">
        <f t="array" ref="F3524">_xlfn.IFNA(_xlfn.XLOOKUP(1,([1]!readmissions[Facility ID] = clean[[#This Row],[Facility ID]]) * ([1]!readmissions[Measure ID] = "Hybrid_HWR"), [1]!readmissions[Score]), "No Match")</f>
        <v>Not Available</v>
      </c>
    </row>
    <row r="3525" spans="1:6" x14ac:dyDescent="0.2">
      <c r="A3525">
        <f>[1]!hospitalinfo[[#This Row],[Facility ID]]</f>
        <v>331318</v>
      </c>
      <c r="B3525" t="str">
        <f>[1]!hospitalinfo[[#This Row],[State]]</f>
        <v>NY</v>
      </c>
      <c r="C3525" t="str">
        <f>[1]!hospitalinfo[[#This Row],[Hospital Type]]</f>
        <v>Critical Access Hospitals</v>
      </c>
      <c r="D3525" t="str">
        <f>[1]!hospitalinfo[[#This Row],[Hospital Ownership]]</f>
        <v>Voluntary non-profit - Private</v>
      </c>
      <c r="E3525" t="str" cm="1">
        <f t="array" ref="E3525">_xlfn.IFNA(_xlfn.XLOOKUP(1,([1]!hcahps[Facility ID] = clean[[#This Row],[Facility ID]]) * ([1]!hcahps[HCAHPS Measure ID] = "H_HSP_RATING_LINEAR_SCORE"), [1]!hcahps[HCAHPS Linear Mean Value]), "No Match")</f>
        <v>Not Available</v>
      </c>
      <c r="F3525" t="str" cm="1">
        <f t="array" ref="F3525">_xlfn.IFNA(_xlfn.XLOOKUP(1,([1]!readmissions[Facility ID] = clean[[#This Row],[Facility ID]]) * ([1]!readmissions[Measure ID] = "Hybrid_HWR"), [1]!readmissions[Score]), "No Match")</f>
        <v>Not Available</v>
      </c>
    </row>
    <row r="3526" spans="1:6" x14ac:dyDescent="0.2">
      <c r="A3526">
        <f>[1]!hospitalinfo[[#This Row],[Facility ID]]</f>
        <v>331319</v>
      </c>
      <c r="B3526" t="str">
        <f>[1]!hospitalinfo[[#This Row],[State]]</f>
        <v>NY</v>
      </c>
      <c r="C3526" t="str">
        <f>[1]!hospitalinfo[[#This Row],[Hospital Type]]</f>
        <v>Critical Access Hospitals</v>
      </c>
      <c r="D3526" t="str">
        <f>[1]!hospitalinfo[[#This Row],[Hospital Ownership]]</f>
        <v>Voluntary non-profit - Private</v>
      </c>
      <c r="E3526" t="str" cm="1">
        <f t="array" ref="E3526">_xlfn.IFNA(_xlfn.XLOOKUP(1,([1]!hcahps[Facility ID] = clean[[#This Row],[Facility ID]]) * ([1]!hcahps[HCAHPS Measure ID] = "H_HSP_RATING_LINEAR_SCORE"), [1]!hcahps[HCAHPS Linear Mean Value]), "No Match")</f>
        <v>Not Available</v>
      </c>
      <c r="F3526" t="str" cm="1">
        <f t="array" ref="F3526">_xlfn.IFNA(_xlfn.XLOOKUP(1,([1]!readmissions[Facility ID] = clean[[#This Row],[Facility ID]]) * ([1]!readmissions[Measure ID] = "Hybrid_HWR"), [1]!readmissions[Score]), "No Match")</f>
        <v>Not Available</v>
      </c>
    </row>
    <row r="3527" spans="1:6" x14ac:dyDescent="0.2">
      <c r="A3527">
        <f>[1]!hospitalinfo[[#This Row],[Facility ID]]</f>
        <v>331320</v>
      </c>
      <c r="B3527" t="str">
        <f>[1]!hospitalinfo[[#This Row],[State]]</f>
        <v>NY</v>
      </c>
      <c r="C3527" t="str">
        <f>[1]!hospitalinfo[[#This Row],[Hospital Type]]</f>
        <v>Critical Access Hospitals</v>
      </c>
      <c r="D3527" t="str">
        <f>[1]!hospitalinfo[[#This Row],[Hospital Ownership]]</f>
        <v>Voluntary non-profit - Private</v>
      </c>
      <c r="E3527" cm="1">
        <f t="array" ref="E3527">_xlfn.IFNA(_xlfn.XLOOKUP(1,([1]!hcahps[Facility ID] = clean[[#This Row],[Facility ID]]) * ([1]!hcahps[HCAHPS Measure ID] = "H_HSP_RATING_LINEAR_SCORE"), [1]!hcahps[HCAHPS Linear Mean Value]), "No Match")</f>
        <v>92</v>
      </c>
      <c r="F3527" cm="1">
        <f t="array" ref="F3527">_xlfn.IFNA(_xlfn.XLOOKUP(1,([1]!readmissions[Facility ID] = clean[[#This Row],[Facility ID]]) * ([1]!readmissions[Measure ID] = "Hybrid_HWR"), [1]!readmissions[Score]), "No Match")</f>
        <v>14.6</v>
      </c>
    </row>
    <row r="3528" spans="1:6" x14ac:dyDescent="0.2">
      <c r="A3528">
        <f>[1]!hospitalinfo[[#This Row],[Facility ID]]</f>
        <v>331321</v>
      </c>
      <c r="B3528" t="str">
        <f>[1]!hospitalinfo[[#This Row],[State]]</f>
        <v>NY</v>
      </c>
      <c r="C3528" t="str">
        <f>[1]!hospitalinfo[[#This Row],[Hospital Type]]</f>
        <v>Critical Access Hospitals</v>
      </c>
      <c r="D3528" t="str">
        <f>[1]!hospitalinfo[[#This Row],[Hospital Ownership]]</f>
        <v>Voluntary non-profit - Private</v>
      </c>
      <c r="E3528" cm="1">
        <f t="array" ref="E3528">_xlfn.IFNA(_xlfn.XLOOKUP(1,([1]!hcahps[Facility ID] = clean[[#This Row],[Facility ID]]) * ([1]!hcahps[HCAHPS Measure ID] = "H_HSP_RATING_LINEAR_SCORE"), [1]!hcahps[HCAHPS Linear Mean Value]), "No Match")</f>
        <v>87</v>
      </c>
      <c r="F3528" cm="1">
        <f t="array" ref="F3528">_xlfn.IFNA(_xlfn.XLOOKUP(1,([1]!readmissions[Facility ID] = clean[[#This Row],[Facility ID]]) * ([1]!readmissions[Measure ID] = "Hybrid_HWR"), [1]!readmissions[Score]), "No Match")</f>
        <v>14.4</v>
      </c>
    </row>
    <row r="3529" spans="1:6" x14ac:dyDescent="0.2">
      <c r="A3529">
        <f>[1]!hospitalinfo[[#This Row],[Facility ID]]</f>
        <v>331322</v>
      </c>
      <c r="B3529" t="str">
        <f>[1]!hospitalinfo[[#This Row],[State]]</f>
        <v>NY</v>
      </c>
      <c r="C3529" t="str">
        <f>[1]!hospitalinfo[[#This Row],[Hospital Type]]</f>
        <v>Critical Access Hospitals</v>
      </c>
      <c r="D3529" t="str">
        <f>[1]!hospitalinfo[[#This Row],[Hospital Ownership]]</f>
        <v>Voluntary non-profit - Private</v>
      </c>
      <c r="E3529" t="str" cm="1">
        <f t="array" ref="E3529">_xlfn.IFNA(_xlfn.XLOOKUP(1,([1]!hcahps[Facility ID] = clean[[#This Row],[Facility ID]]) * ([1]!hcahps[HCAHPS Measure ID] = "H_HSP_RATING_LINEAR_SCORE"), [1]!hcahps[HCAHPS Linear Mean Value]), "No Match")</f>
        <v>Not Available</v>
      </c>
      <c r="F3529" cm="1">
        <f t="array" ref="F3529">_xlfn.IFNA(_xlfn.XLOOKUP(1,([1]!readmissions[Facility ID] = clean[[#This Row],[Facility ID]]) * ([1]!readmissions[Measure ID] = "Hybrid_HWR"), [1]!readmissions[Score]), "No Match")</f>
        <v>14.6</v>
      </c>
    </row>
    <row r="3530" spans="1:6" x14ac:dyDescent="0.2">
      <c r="A3530">
        <f>[1]!hospitalinfo[[#This Row],[Facility ID]]</f>
        <v>331323</v>
      </c>
      <c r="B3530" t="str">
        <f>[1]!hospitalinfo[[#This Row],[State]]</f>
        <v>NY</v>
      </c>
      <c r="C3530" t="str">
        <f>[1]!hospitalinfo[[#This Row],[Hospital Type]]</f>
        <v>Critical Access Hospitals</v>
      </c>
      <c r="D3530" t="str">
        <f>[1]!hospitalinfo[[#This Row],[Hospital Ownership]]</f>
        <v>Government - Local</v>
      </c>
      <c r="E3530" t="str" cm="1">
        <f t="array" ref="E3530">_xlfn.IFNA(_xlfn.XLOOKUP(1,([1]!hcahps[Facility ID] = clean[[#This Row],[Facility ID]]) * ([1]!hcahps[HCAHPS Measure ID] = "H_HSP_RATING_LINEAR_SCORE"), [1]!hcahps[HCAHPS Linear Mean Value]), "No Match")</f>
        <v>Not Available</v>
      </c>
      <c r="F3530" t="str" cm="1">
        <f t="array" ref="F3530">_xlfn.IFNA(_xlfn.XLOOKUP(1,([1]!readmissions[Facility ID] = clean[[#This Row],[Facility ID]]) * ([1]!readmissions[Measure ID] = "Hybrid_HWR"), [1]!readmissions[Score]), "No Match")</f>
        <v>Not Available</v>
      </c>
    </row>
    <row r="3531" spans="1:6" x14ac:dyDescent="0.2">
      <c r="A3531">
        <f>[1]!hospitalinfo[[#This Row],[Facility ID]]</f>
        <v>333301</v>
      </c>
      <c r="B3531" t="str">
        <f>[1]!hospitalinfo[[#This Row],[State]]</f>
        <v>NY</v>
      </c>
      <c r="C3531" t="str">
        <f>[1]!hospitalinfo[[#This Row],[Hospital Type]]</f>
        <v>Childrens</v>
      </c>
      <c r="D3531" t="str">
        <f>[1]!hospitalinfo[[#This Row],[Hospital Ownership]]</f>
        <v>Voluntary non-profit - Private</v>
      </c>
      <c r="E3531" t="str" cm="1">
        <f t="array" ref="E3531">_xlfn.IFNA(_xlfn.XLOOKUP(1,([1]!hcahps[Facility ID] = clean[[#This Row],[Facility ID]]) * ([1]!hcahps[HCAHPS Measure ID] = "H_HSP_RATING_LINEAR_SCORE"), [1]!hcahps[HCAHPS Linear Mean Value]), "No Match")</f>
        <v>Not Available</v>
      </c>
      <c r="F3531" t="str" cm="1">
        <f t="array" ref="F3531">_xlfn.IFNA(_xlfn.XLOOKUP(1,([1]!readmissions[Facility ID] = clean[[#This Row],[Facility ID]]) * ([1]!readmissions[Measure ID] = "Hybrid_HWR"), [1]!readmissions[Score]), "No Match")</f>
        <v>Not Available</v>
      </c>
    </row>
    <row r="3532" spans="1:6" x14ac:dyDescent="0.2">
      <c r="A3532">
        <f>[1]!hospitalinfo[[#This Row],[Facility ID]]</f>
        <v>334001</v>
      </c>
      <c r="B3532" t="str">
        <f>[1]!hospitalinfo[[#This Row],[State]]</f>
        <v>NY</v>
      </c>
      <c r="C3532" t="str">
        <f>[1]!hospitalinfo[[#This Row],[Hospital Type]]</f>
        <v>Psychiatric</v>
      </c>
      <c r="D3532" t="str">
        <f>[1]!hospitalinfo[[#This Row],[Hospital Ownership]]</f>
        <v>Government - State</v>
      </c>
      <c r="E3532" t="str" cm="1">
        <f t="array" ref="E3532">_xlfn.IFNA(_xlfn.XLOOKUP(1,([1]!hcahps[Facility ID] = clean[[#This Row],[Facility ID]]) * ([1]!hcahps[HCAHPS Measure ID] = "H_HSP_RATING_LINEAR_SCORE"), [1]!hcahps[HCAHPS Linear Mean Value]), "No Match")</f>
        <v>No Match</v>
      </c>
      <c r="F3532" t="str" cm="1">
        <f t="array" ref="F3532">_xlfn.IFNA(_xlfn.XLOOKUP(1,([1]!readmissions[Facility ID] = clean[[#This Row],[Facility ID]]) * ([1]!readmissions[Measure ID] = "Hybrid_HWR"), [1]!readmissions[Score]), "No Match")</f>
        <v>No Match</v>
      </c>
    </row>
    <row r="3533" spans="1:6" x14ac:dyDescent="0.2">
      <c r="A3533">
        <f>[1]!hospitalinfo[[#This Row],[Facility ID]]</f>
        <v>334002</v>
      </c>
      <c r="B3533" t="str">
        <f>[1]!hospitalinfo[[#This Row],[State]]</f>
        <v>NY</v>
      </c>
      <c r="C3533" t="str">
        <f>[1]!hospitalinfo[[#This Row],[Hospital Type]]</f>
        <v>Psychiatric</v>
      </c>
      <c r="D3533" t="str">
        <f>[1]!hospitalinfo[[#This Row],[Hospital Ownership]]</f>
        <v>Proprietary</v>
      </c>
      <c r="E3533" t="str" cm="1">
        <f t="array" ref="E3533">_xlfn.IFNA(_xlfn.XLOOKUP(1,([1]!hcahps[Facility ID] = clean[[#This Row],[Facility ID]]) * ([1]!hcahps[HCAHPS Measure ID] = "H_HSP_RATING_LINEAR_SCORE"), [1]!hcahps[HCAHPS Linear Mean Value]), "No Match")</f>
        <v>No Match</v>
      </c>
      <c r="F3533" t="str" cm="1">
        <f t="array" ref="F3533">_xlfn.IFNA(_xlfn.XLOOKUP(1,([1]!readmissions[Facility ID] = clean[[#This Row],[Facility ID]]) * ([1]!readmissions[Measure ID] = "Hybrid_HWR"), [1]!readmissions[Score]), "No Match")</f>
        <v>No Match</v>
      </c>
    </row>
    <row r="3534" spans="1:6" x14ac:dyDescent="0.2">
      <c r="A3534">
        <f>[1]!hospitalinfo[[#This Row],[Facility ID]]</f>
        <v>334003</v>
      </c>
      <c r="B3534" t="str">
        <f>[1]!hospitalinfo[[#This Row],[State]]</f>
        <v>NY</v>
      </c>
      <c r="C3534" t="str">
        <f>[1]!hospitalinfo[[#This Row],[Hospital Type]]</f>
        <v>Psychiatric</v>
      </c>
      <c r="D3534" t="str">
        <f>[1]!hospitalinfo[[#This Row],[Hospital Ownership]]</f>
        <v>Government - State</v>
      </c>
      <c r="E3534" t="str" cm="1">
        <f t="array" ref="E3534">_xlfn.IFNA(_xlfn.XLOOKUP(1,([1]!hcahps[Facility ID] = clean[[#This Row],[Facility ID]]) * ([1]!hcahps[HCAHPS Measure ID] = "H_HSP_RATING_LINEAR_SCORE"), [1]!hcahps[HCAHPS Linear Mean Value]), "No Match")</f>
        <v>No Match</v>
      </c>
      <c r="F3534" t="str" cm="1">
        <f t="array" ref="F3534">_xlfn.IFNA(_xlfn.XLOOKUP(1,([1]!readmissions[Facility ID] = clean[[#This Row],[Facility ID]]) * ([1]!readmissions[Measure ID] = "Hybrid_HWR"), [1]!readmissions[Score]), "No Match")</f>
        <v>No Match</v>
      </c>
    </row>
    <row r="3535" spans="1:6" x14ac:dyDescent="0.2">
      <c r="A3535">
        <f>[1]!hospitalinfo[[#This Row],[Facility ID]]</f>
        <v>334004</v>
      </c>
      <c r="B3535" t="str">
        <f>[1]!hospitalinfo[[#This Row],[State]]</f>
        <v>NY</v>
      </c>
      <c r="C3535" t="str">
        <f>[1]!hospitalinfo[[#This Row],[Hospital Type]]</f>
        <v>Psychiatric</v>
      </c>
      <c r="D3535" t="str">
        <f>[1]!hospitalinfo[[#This Row],[Hospital Ownership]]</f>
        <v>Government - State</v>
      </c>
      <c r="E3535" t="str" cm="1">
        <f t="array" ref="E3535">_xlfn.IFNA(_xlfn.XLOOKUP(1,([1]!hcahps[Facility ID] = clean[[#This Row],[Facility ID]]) * ([1]!hcahps[HCAHPS Measure ID] = "H_HSP_RATING_LINEAR_SCORE"), [1]!hcahps[HCAHPS Linear Mean Value]), "No Match")</f>
        <v>No Match</v>
      </c>
      <c r="F3535" t="str" cm="1">
        <f t="array" ref="F3535">_xlfn.IFNA(_xlfn.XLOOKUP(1,([1]!readmissions[Facility ID] = clean[[#This Row],[Facility ID]]) * ([1]!readmissions[Measure ID] = "Hybrid_HWR"), [1]!readmissions[Score]), "No Match")</f>
        <v>No Match</v>
      </c>
    </row>
    <row r="3536" spans="1:6" x14ac:dyDescent="0.2">
      <c r="A3536">
        <f>[1]!hospitalinfo[[#This Row],[Facility ID]]</f>
        <v>334009</v>
      </c>
      <c r="B3536" t="str">
        <f>[1]!hospitalinfo[[#This Row],[State]]</f>
        <v>NY</v>
      </c>
      <c r="C3536" t="str">
        <f>[1]!hospitalinfo[[#This Row],[Hospital Type]]</f>
        <v>Psychiatric</v>
      </c>
      <c r="D3536" t="str">
        <f>[1]!hospitalinfo[[#This Row],[Hospital Ownership]]</f>
        <v>Government - State</v>
      </c>
      <c r="E3536" t="str" cm="1">
        <f t="array" ref="E3536">_xlfn.IFNA(_xlfn.XLOOKUP(1,([1]!hcahps[Facility ID] = clean[[#This Row],[Facility ID]]) * ([1]!hcahps[HCAHPS Measure ID] = "H_HSP_RATING_LINEAR_SCORE"), [1]!hcahps[HCAHPS Linear Mean Value]), "No Match")</f>
        <v>No Match</v>
      </c>
      <c r="F3536" t="str" cm="1">
        <f t="array" ref="F3536">_xlfn.IFNA(_xlfn.XLOOKUP(1,([1]!readmissions[Facility ID] = clean[[#This Row],[Facility ID]]) * ([1]!readmissions[Measure ID] = "Hybrid_HWR"), [1]!readmissions[Score]), "No Match")</f>
        <v>No Match</v>
      </c>
    </row>
    <row r="3537" spans="1:6" x14ac:dyDescent="0.2">
      <c r="A3537">
        <f>[1]!hospitalinfo[[#This Row],[Facility ID]]</f>
        <v>334012</v>
      </c>
      <c r="B3537" t="str">
        <f>[1]!hospitalinfo[[#This Row],[State]]</f>
        <v>NY</v>
      </c>
      <c r="C3537" t="str">
        <f>[1]!hospitalinfo[[#This Row],[Hospital Type]]</f>
        <v>Psychiatric</v>
      </c>
      <c r="D3537" t="str">
        <f>[1]!hospitalinfo[[#This Row],[Hospital Ownership]]</f>
        <v>Government - State</v>
      </c>
      <c r="E3537" t="str" cm="1">
        <f t="array" ref="E3537">_xlfn.IFNA(_xlfn.XLOOKUP(1,([1]!hcahps[Facility ID] = clean[[#This Row],[Facility ID]]) * ([1]!hcahps[HCAHPS Measure ID] = "H_HSP_RATING_LINEAR_SCORE"), [1]!hcahps[HCAHPS Linear Mean Value]), "No Match")</f>
        <v>No Match</v>
      </c>
      <c r="F3537" t="str" cm="1">
        <f t="array" ref="F3537">_xlfn.IFNA(_xlfn.XLOOKUP(1,([1]!readmissions[Facility ID] = clean[[#This Row],[Facility ID]]) * ([1]!readmissions[Measure ID] = "Hybrid_HWR"), [1]!readmissions[Score]), "No Match")</f>
        <v>No Match</v>
      </c>
    </row>
    <row r="3538" spans="1:6" x14ac:dyDescent="0.2">
      <c r="A3538">
        <f>[1]!hospitalinfo[[#This Row],[Facility ID]]</f>
        <v>334013</v>
      </c>
      <c r="B3538" t="str">
        <f>[1]!hospitalinfo[[#This Row],[State]]</f>
        <v>NY</v>
      </c>
      <c r="C3538" t="str">
        <f>[1]!hospitalinfo[[#This Row],[Hospital Type]]</f>
        <v>Psychiatric</v>
      </c>
      <c r="D3538" t="str">
        <f>[1]!hospitalinfo[[#This Row],[Hospital Ownership]]</f>
        <v>Government - State</v>
      </c>
      <c r="E3538" t="str" cm="1">
        <f t="array" ref="E3538">_xlfn.IFNA(_xlfn.XLOOKUP(1,([1]!hcahps[Facility ID] = clean[[#This Row],[Facility ID]]) * ([1]!hcahps[HCAHPS Measure ID] = "H_HSP_RATING_LINEAR_SCORE"), [1]!hcahps[HCAHPS Linear Mean Value]), "No Match")</f>
        <v>No Match</v>
      </c>
      <c r="F3538" t="str" cm="1">
        <f t="array" ref="F3538">_xlfn.IFNA(_xlfn.XLOOKUP(1,([1]!readmissions[Facility ID] = clean[[#This Row],[Facility ID]]) * ([1]!readmissions[Measure ID] = "Hybrid_HWR"), [1]!readmissions[Score]), "No Match")</f>
        <v>No Match</v>
      </c>
    </row>
    <row r="3539" spans="1:6" x14ac:dyDescent="0.2">
      <c r="A3539">
        <f>[1]!hospitalinfo[[#This Row],[Facility ID]]</f>
        <v>334015</v>
      </c>
      <c r="B3539" t="str">
        <f>[1]!hospitalinfo[[#This Row],[State]]</f>
        <v>NY</v>
      </c>
      <c r="C3539" t="str">
        <f>[1]!hospitalinfo[[#This Row],[Hospital Type]]</f>
        <v>Psychiatric</v>
      </c>
      <c r="D3539" t="str">
        <f>[1]!hospitalinfo[[#This Row],[Hospital Ownership]]</f>
        <v>Government - State</v>
      </c>
      <c r="E3539" t="str" cm="1">
        <f t="array" ref="E3539">_xlfn.IFNA(_xlfn.XLOOKUP(1,([1]!hcahps[Facility ID] = clean[[#This Row],[Facility ID]]) * ([1]!hcahps[HCAHPS Measure ID] = "H_HSP_RATING_LINEAR_SCORE"), [1]!hcahps[HCAHPS Linear Mean Value]), "No Match")</f>
        <v>No Match</v>
      </c>
      <c r="F3539" t="str" cm="1">
        <f t="array" ref="F3539">_xlfn.IFNA(_xlfn.XLOOKUP(1,([1]!readmissions[Facility ID] = clean[[#This Row],[Facility ID]]) * ([1]!readmissions[Measure ID] = "Hybrid_HWR"), [1]!readmissions[Score]), "No Match")</f>
        <v>No Match</v>
      </c>
    </row>
    <row r="3540" spans="1:6" x14ac:dyDescent="0.2">
      <c r="A3540">
        <f>[1]!hospitalinfo[[#This Row],[Facility ID]]</f>
        <v>334020</v>
      </c>
      <c r="B3540" t="str">
        <f>[1]!hospitalinfo[[#This Row],[State]]</f>
        <v>NY</v>
      </c>
      <c r="C3540" t="str">
        <f>[1]!hospitalinfo[[#This Row],[Hospital Type]]</f>
        <v>Psychiatric</v>
      </c>
      <c r="D3540" t="str">
        <f>[1]!hospitalinfo[[#This Row],[Hospital Ownership]]</f>
        <v>Government - State</v>
      </c>
      <c r="E3540" t="str" cm="1">
        <f t="array" ref="E3540">_xlfn.IFNA(_xlfn.XLOOKUP(1,([1]!hcahps[Facility ID] = clean[[#This Row],[Facility ID]]) * ([1]!hcahps[HCAHPS Measure ID] = "H_HSP_RATING_LINEAR_SCORE"), [1]!hcahps[HCAHPS Linear Mean Value]), "No Match")</f>
        <v>No Match</v>
      </c>
      <c r="F3540" t="str" cm="1">
        <f t="array" ref="F3540">_xlfn.IFNA(_xlfn.XLOOKUP(1,([1]!readmissions[Facility ID] = clean[[#This Row],[Facility ID]]) * ([1]!readmissions[Measure ID] = "Hybrid_HWR"), [1]!readmissions[Score]), "No Match")</f>
        <v>No Match</v>
      </c>
    </row>
    <row r="3541" spans="1:6" x14ac:dyDescent="0.2">
      <c r="A3541">
        <f>[1]!hospitalinfo[[#This Row],[Facility ID]]</f>
        <v>334021</v>
      </c>
      <c r="B3541" t="str">
        <f>[1]!hospitalinfo[[#This Row],[State]]</f>
        <v>NY</v>
      </c>
      <c r="C3541" t="str">
        <f>[1]!hospitalinfo[[#This Row],[Hospital Type]]</f>
        <v>Psychiatric</v>
      </c>
      <c r="D3541" t="str">
        <f>[1]!hospitalinfo[[#This Row],[Hospital Ownership]]</f>
        <v>Government - State</v>
      </c>
      <c r="E3541" t="str" cm="1">
        <f t="array" ref="E3541">_xlfn.IFNA(_xlfn.XLOOKUP(1,([1]!hcahps[Facility ID] = clean[[#This Row],[Facility ID]]) * ([1]!hcahps[HCAHPS Measure ID] = "H_HSP_RATING_LINEAR_SCORE"), [1]!hcahps[HCAHPS Linear Mean Value]), "No Match")</f>
        <v>No Match</v>
      </c>
      <c r="F3541" t="str" cm="1">
        <f t="array" ref="F3541">_xlfn.IFNA(_xlfn.XLOOKUP(1,([1]!readmissions[Facility ID] = clean[[#This Row],[Facility ID]]) * ([1]!readmissions[Measure ID] = "Hybrid_HWR"), [1]!readmissions[Score]), "No Match")</f>
        <v>No Match</v>
      </c>
    </row>
    <row r="3542" spans="1:6" x14ac:dyDescent="0.2">
      <c r="A3542">
        <f>[1]!hospitalinfo[[#This Row],[Facility ID]]</f>
        <v>334022</v>
      </c>
      <c r="B3542" t="str">
        <f>[1]!hospitalinfo[[#This Row],[State]]</f>
        <v>NY</v>
      </c>
      <c r="C3542" t="str">
        <f>[1]!hospitalinfo[[#This Row],[Hospital Type]]</f>
        <v>Psychiatric</v>
      </c>
      <c r="D3542" t="str">
        <f>[1]!hospitalinfo[[#This Row],[Hospital Ownership]]</f>
        <v>Proprietary</v>
      </c>
      <c r="E3542" t="str" cm="1">
        <f t="array" ref="E3542">_xlfn.IFNA(_xlfn.XLOOKUP(1,([1]!hcahps[Facility ID] = clean[[#This Row],[Facility ID]]) * ([1]!hcahps[HCAHPS Measure ID] = "H_HSP_RATING_LINEAR_SCORE"), [1]!hcahps[HCAHPS Linear Mean Value]), "No Match")</f>
        <v>No Match</v>
      </c>
      <c r="F3542" t="str" cm="1">
        <f t="array" ref="F3542">_xlfn.IFNA(_xlfn.XLOOKUP(1,([1]!readmissions[Facility ID] = clean[[#This Row],[Facility ID]]) * ([1]!readmissions[Measure ID] = "Hybrid_HWR"), [1]!readmissions[Score]), "No Match")</f>
        <v>No Match</v>
      </c>
    </row>
    <row r="3543" spans="1:6" x14ac:dyDescent="0.2">
      <c r="A3543">
        <f>[1]!hospitalinfo[[#This Row],[Facility ID]]</f>
        <v>334026</v>
      </c>
      <c r="B3543" t="str">
        <f>[1]!hospitalinfo[[#This Row],[State]]</f>
        <v>NY</v>
      </c>
      <c r="C3543" t="str">
        <f>[1]!hospitalinfo[[#This Row],[Hospital Type]]</f>
        <v>Psychiatric</v>
      </c>
      <c r="D3543" t="str">
        <f>[1]!hospitalinfo[[#This Row],[Hospital Ownership]]</f>
        <v>Proprietary</v>
      </c>
      <c r="E3543" t="str" cm="1">
        <f t="array" ref="E3543">_xlfn.IFNA(_xlfn.XLOOKUP(1,([1]!hcahps[Facility ID] = clean[[#This Row],[Facility ID]]) * ([1]!hcahps[HCAHPS Measure ID] = "H_HSP_RATING_LINEAR_SCORE"), [1]!hcahps[HCAHPS Linear Mean Value]), "No Match")</f>
        <v>No Match</v>
      </c>
      <c r="F3543" t="str" cm="1">
        <f t="array" ref="F3543">_xlfn.IFNA(_xlfn.XLOOKUP(1,([1]!readmissions[Facility ID] = clean[[#This Row],[Facility ID]]) * ([1]!readmissions[Measure ID] = "Hybrid_HWR"), [1]!readmissions[Score]), "No Match")</f>
        <v>No Match</v>
      </c>
    </row>
    <row r="3544" spans="1:6" x14ac:dyDescent="0.2">
      <c r="A3544">
        <f>[1]!hospitalinfo[[#This Row],[Facility ID]]</f>
        <v>334027</v>
      </c>
      <c r="B3544" t="str">
        <f>[1]!hospitalinfo[[#This Row],[State]]</f>
        <v>NY</v>
      </c>
      <c r="C3544" t="str">
        <f>[1]!hospitalinfo[[#This Row],[Hospital Type]]</f>
        <v>Psychiatric</v>
      </c>
      <c r="D3544" t="str">
        <f>[1]!hospitalinfo[[#This Row],[Hospital Ownership]]</f>
        <v>Voluntary non-profit - Private</v>
      </c>
      <c r="E3544" t="str" cm="1">
        <f t="array" ref="E3544">_xlfn.IFNA(_xlfn.XLOOKUP(1,([1]!hcahps[Facility ID] = clean[[#This Row],[Facility ID]]) * ([1]!hcahps[HCAHPS Measure ID] = "H_HSP_RATING_LINEAR_SCORE"), [1]!hcahps[HCAHPS Linear Mean Value]), "No Match")</f>
        <v>No Match</v>
      </c>
      <c r="F3544" t="str" cm="1">
        <f t="array" ref="F3544">_xlfn.IFNA(_xlfn.XLOOKUP(1,([1]!readmissions[Facility ID] = clean[[#This Row],[Facility ID]]) * ([1]!readmissions[Measure ID] = "Hybrid_HWR"), [1]!readmissions[Score]), "No Match")</f>
        <v>No Match</v>
      </c>
    </row>
    <row r="3545" spans="1:6" x14ac:dyDescent="0.2">
      <c r="A3545">
        <f>[1]!hospitalinfo[[#This Row],[Facility ID]]</f>
        <v>334043</v>
      </c>
      <c r="B3545" t="str">
        <f>[1]!hospitalinfo[[#This Row],[State]]</f>
        <v>NY</v>
      </c>
      <c r="C3545" t="str">
        <f>[1]!hospitalinfo[[#This Row],[Hospital Type]]</f>
        <v>Psychiatric</v>
      </c>
      <c r="D3545" t="str">
        <f>[1]!hospitalinfo[[#This Row],[Hospital Ownership]]</f>
        <v>Government - State</v>
      </c>
      <c r="E3545" t="str" cm="1">
        <f t="array" ref="E3545">_xlfn.IFNA(_xlfn.XLOOKUP(1,([1]!hcahps[Facility ID] = clean[[#This Row],[Facility ID]]) * ([1]!hcahps[HCAHPS Measure ID] = "H_HSP_RATING_LINEAR_SCORE"), [1]!hcahps[HCAHPS Linear Mean Value]), "No Match")</f>
        <v>No Match</v>
      </c>
      <c r="F3545" t="str" cm="1">
        <f t="array" ref="F3545">_xlfn.IFNA(_xlfn.XLOOKUP(1,([1]!readmissions[Facility ID] = clean[[#This Row],[Facility ID]]) * ([1]!readmissions[Measure ID] = "Hybrid_HWR"), [1]!readmissions[Score]), "No Match")</f>
        <v>No Match</v>
      </c>
    </row>
    <row r="3546" spans="1:6" x14ac:dyDescent="0.2">
      <c r="A3546">
        <f>[1]!hospitalinfo[[#This Row],[Facility ID]]</f>
        <v>334045</v>
      </c>
      <c r="B3546" t="str">
        <f>[1]!hospitalinfo[[#This Row],[State]]</f>
        <v>NY</v>
      </c>
      <c r="C3546" t="str">
        <f>[1]!hospitalinfo[[#This Row],[Hospital Type]]</f>
        <v>Psychiatric</v>
      </c>
      <c r="D3546" t="str">
        <f>[1]!hospitalinfo[[#This Row],[Hospital Ownership]]</f>
        <v>Government - State</v>
      </c>
      <c r="E3546" t="str" cm="1">
        <f t="array" ref="E3546">_xlfn.IFNA(_xlfn.XLOOKUP(1,([1]!hcahps[Facility ID] = clean[[#This Row],[Facility ID]]) * ([1]!hcahps[HCAHPS Measure ID] = "H_HSP_RATING_LINEAR_SCORE"), [1]!hcahps[HCAHPS Linear Mean Value]), "No Match")</f>
        <v>No Match</v>
      </c>
      <c r="F3546" t="str" cm="1">
        <f t="array" ref="F3546">_xlfn.IFNA(_xlfn.XLOOKUP(1,([1]!readmissions[Facility ID] = clean[[#This Row],[Facility ID]]) * ([1]!readmissions[Measure ID] = "Hybrid_HWR"), [1]!readmissions[Score]), "No Match")</f>
        <v>No Match</v>
      </c>
    </row>
    <row r="3547" spans="1:6" x14ac:dyDescent="0.2">
      <c r="A3547">
        <f>[1]!hospitalinfo[[#This Row],[Facility ID]]</f>
        <v>334046</v>
      </c>
      <c r="B3547" t="str">
        <f>[1]!hospitalinfo[[#This Row],[State]]</f>
        <v>NY</v>
      </c>
      <c r="C3547" t="str">
        <f>[1]!hospitalinfo[[#This Row],[Hospital Type]]</f>
        <v>Psychiatric</v>
      </c>
      <c r="D3547" t="str">
        <f>[1]!hospitalinfo[[#This Row],[Hospital Ownership]]</f>
        <v>Government - State</v>
      </c>
      <c r="E3547" t="str" cm="1">
        <f t="array" ref="E3547">_xlfn.IFNA(_xlfn.XLOOKUP(1,([1]!hcahps[Facility ID] = clean[[#This Row],[Facility ID]]) * ([1]!hcahps[HCAHPS Measure ID] = "H_HSP_RATING_LINEAR_SCORE"), [1]!hcahps[HCAHPS Linear Mean Value]), "No Match")</f>
        <v>No Match</v>
      </c>
      <c r="F3547" t="str" cm="1">
        <f t="array" ref="F3547">_xlfn.IFNA(_xlfn.XLOOKUP(1,([1]!readmissions[Facility ID] = clean[[#This Row],[Facility ID]]) * ([1]!readmissions[Measure ID] = "Hybrid_HWR"), [1]!readmissions[Score]), "No Match")</f>
        <v>No Match</v>
      </c>
    </row>
    <row r="3548" spans="1:6" x14ac:dyDescent="0.2">
      <c r="A3548">
        <f>[1]!hospitalinfo[[#This Row],[Facility ID]]</f>
        <v>334048</v>
      </c>
      <c r="B3548" t="str">
        <f>[1]!hospitalinfo[[#This Row],[State]]</f>
        <v>NY</v>
      </c>
      <c r="C3548" t="str">
        <f>[1]!hospitalinfo[[#This Row],[Hospital Type]]</f>
        <v>Psychiatric</v>
      </c>
      <c r="D3548" t="str">
        <f>[1]!hospitalinfo[[#This Row],[Hospital Ownership]]</f>
        <v>Voluntary non-profit - Private</v>
      </c>
      <c r="E3548" t="str" cm="1">
        <f t="array" ref="E3548">_xlfn.IFNA(_xlfn.XLOOKUP(1,([1]!hcahps[Facility ID] = clean[[#This Row],[Facility ID]]) * ([1]!hcahps[HCAHPS Measure ID] = "H_HSP_RATING_LINEAR_SCORE"), [1]!hcahps[HCAHPS Linear Mean Value]), "No Match")</f>
        <v>No Match</v>
      </c>
      <c r="F3548" t="str" cm="1">
        <f t="array" ref="F3548">_xlfn.IFNA(_xlfn.XLOOKUP(1,([1]!readmissions[Facility ID] = clean[[#This Row],[Facility ID]]) * ([1]!readmissions[Measure ID] = "Hybrid_HWR"), [1]!readmissions[Score]), "No Match")</f>
        <v>No Match</v>
      </c>
    </row>
    <row r="3549" spans="1:6" x14ac:dyDescent="0.2">
      <c r="A3549">
        <f>[1]!hospitalinfo[[#This Row],[Facility ID]]</f>
        <v>334049</v>
      </c>
      <c r="B3549" t="str">
        <f>[1]!hospitalinfo[[#This Row],[State]]</f>
        <v>NY</v>
      </c>
      <c r="C3549" t="str">
        <f>[1]!hospitalinfo[[#This Row],[Hospital Type]]</f>
        <v>Psychiatric</v>
      </c>
      <c r="D3549" t="str">
        <f>[1]!hospitalinfo[[#This Row],[Hospital Ownership]]</f>
        <v>Proprietary</v>
      </c>
      <c r="E3549" t="str" cm="1">
        <f t="array" ref="E3549">_xlfn.IFNA(_xlfn.XLOOKUP(1,([1]!hcahps[Facility ID] = clean[[#This Row],[Facility ID]]) * ([1]!hcahps[HCAHPS Measure ID] = "H_HSP_RATING_LINEAR_SCORE"), [1]!hcahps[HCAHPS Linear Mean Value]), "No Match")</f>
        <v>No Match</v>
      </c>
      <c r="F3549" t="str" cm="1">
        <f t="array" ref="F3549">_xlfn.IFNA(_xlfn.XLOOKUP(1,([1]!readmissions[Facility ID] = clean[[#This Row],[Facility ID]]) * ([1]!readmissions[Measure ID] = "Hybrid_HWR"), [1]!readmissions[Score]), "No Match")</f>
        <v>No Match</v>
      </c>
    </row>
    <row r="3550" spans="1:6" x14ac:dyDescent="0.2">
      <c r="A3550">
        <f>[1]!hospitalinfo[[#This Row],[Facility ID]]</f>
        <v>334052</v>
      </c>
      <c r="B3550" t="str">
        <f>[1]!hospitalinfo[[#This Row],[State]]</f>
        <v>NY</v>
      </c>
      <c r="C3550" t="str">
        <f>[1]!hospitalinfo[[#This Row],[Hospital Type]]</f>
        <v>Psychiatric</v>
      </c>
      <c r="D3550" t="str">
        <f>[1]!hospitalinfo[[#This Row],[Hospital Ownership]]</f>
        <v>Government - State</v>
      </c>
      <c r="E3550" t="str" cm="1">
        <f t="array" ref="E3550">_xlfn.IFNA(_xlfn.XLOOKUP(1,([1]!hcahps[Facility ID] = clean[[#This Row],[Facility ID]]) * ([1]!hcahps[HCAHPS Measure ID] = "H_HSP_RATING_LINEAR_SCORE"), [1]!hcahps[HCAHPS Linear Mean Value]), "No Match")</f>
        <v>No Match</v>
      </c>
      <c r="F3550" t="str" cm="1">
        <f t="array" ref="F3550">_xlfn.IFNA(_xlfn.XLOOKUP(1,([1]!readmissions[Facility ID] = clean[[#This Row],[Facility ID]]) * ([1]!readmissions[Measure ID] = "Hybrid_HWR"), [1]!readmissions[Score]), "No Match")</f>
        <v>No Match</v>
      </c>
    </row>
    <row r="3551" spans="1:6" x14ac:dyDescent="0.2">
      <c r="A3551">
        <f>[1]!hospitalinfo[[#This Row],[Facility ID]]</f>
        <v>334053</v>
      </c>
      <c r="B3551" t="str">
        <f>[1]!hospitalinfo[[#This Row],[State]]</f>
        <v>NY</v>
      </c>
      <c r="C3551" t="str">
        <f>[1]!hospitalinfo[[#This Row],[Hospital Type]]</f>
        <v>Psychiatric</v>
      </c>
      <c r="D3551" t="str">
        <f>[1]!hospitalinfo[[#This Row],[Hospital Ownership]]</f>
        <v>Government - State</v>
      </c>
      <c r="E3551" t="str" cm="1">
        <f t="array" ref="E3551">_xlfn.IFNA(_xlfn.XLOOKUP(1,([1]!hcahps[Facility ID] = clean[[#This Row],[Facility ID]]) * ([1]!hcahps[HCAHPS Measure ID] = "H_HSP_RATING_LINEAR_SCORE"), [1]!hcahps[HCAHPS Linear Mean Value]), "No Match")</f>
        <v>No Match</v>
      </c>
      <c r="F3551" t="str" cm="1">
        <f t="array" ref="F3551">_xlfn.IFNA(_xlfn.XLOOKUP(1,([1]!readmissions[Facility ID] = clean[[#This Row],[Facility ID]]) * ([1]!readmissions[Measure ID] = "Hybrid_HWR"), [1]!readmissions[Score]), "No Match")</f>
        <v>No Match</v>
      </c>
    </row>
    <row r="3552" spans="1:6" x14ac:dyDescent="0.2">
      <c r="A3552">
        <f>[1]!hospitalinfo[[#This Row],[Facility ID]]</f>
        <v>334054</v>
      </c>
      <c r="B3552" t="str">
        <f>[1]!hospitalinfo[[#This Row],[State]]</f>
        <v>NY</v>
      </c>
      <c r="C3552" t="str">
        <f>[1]!hospitalinfo[[#This Row],[Hospital Type]]</f>
        <v>Psychiatric</v>
      </c>
      <c r="D3552" t="str">
        <f>[1]!hospitalinfo[[#This Row],[Hospital Ownership]]</f>
        <v>Government - State</v>
      </c>
      <c r="E3552" t="str" cm="1">
        <f t="array" ref="E3552">_xlfn.IFNA(_xlfn.XLOOKUP(1,([1]!hcahps[Facility ID] = clean[[#This Row],[Facility ID]]) * ([1]!hcahps[HCAHPS Measure ID] = "H_HSP_RATING_LINEAR_SCORE"), [1]!hcahps[HCAHPS Linear Mean Value]), "No Match")</f>
        <v>No Match</v>
      </c>
      <c r="F3552" t="str" cm="1">
        <f t="array" ref="F3552">_xlfn.IFNA(_xlfn.XLOOKUP(1,([1]!readmissions[Facility ID] = clean[[#This Row],[Facility ID]]) * ([1]!readmissions[Measure ID] = "Hybrid_HWR"), [1]!readmissions[Score]), "No Match")</f>
        <v>No Match</v>
      </c>
    </row>
    <row r="3553" spans="1:6" x14ac:dyDescent="0.2">
      <c r="A3553">
        <f>[1]!hospitalinfo[[#This Row],[Facility ID]]</f>
        <v>334060</v>
      </c>
      <c r="B3553" t="str">
        <f>[1]!hospitalinfo[[#This Row],[State]]</f>
        <v>NY</v>
      </c>
      <c r="C3553" t="str">
        <f>[1]!hospitalinfo[[#This Row],[Hospital Type]]</f>
        <v>Psychiatric</v>
      </c>
      <c r="D3553" t="str">
        <f>[1]!hospitalinfo[[#This Row],[Hospital Ownership]]</f>
        <v>Government - State</v>
      </c>
      <c r="E3553" t="str" cm="1">
        <f t="array" ref="E3553">_xlfn.IFNA(_xlfn.XLOOKUP(1,([1]!hcahps[Facility ID] = clean[[#This Row],[Facility ID]]) * ([1]!hcahps[HCAHPS Measure ID] = "H_HSP_RATING_LINEAR_SCORE"), [1]!hcahps[HCAHPS Linear Mean Value]), "No Match")</f>
        <v>No Match</v>
      </c>
      <c r="F3553" t="str" cm="1">
        <f t="array" ref="F3553">_xlfn.IFNA(_xlfn.XLOOKUP(1,([1]!readmissions[Facility ID] = clean[[#This Row],[Facility ID]]) * ([1]!readmissions[Measure ID] = "Hybrid_HWR"), [1]!readmissions[Score]), "No Match")</f>
        <v>No Match</v>
      </c>
    </row>
    <row r="3554" spans="1:6" x14ac:dyDescent="0.2">
      <c r="A3554">
        <f>[1]!hospitalinfo[[#This Row],[Facility ID]]</f>
        <v>334061</v>
      </c>
      <c r="B3554" t="str">
        <f>[1]!hospitalinfo[[#This Row],[State]]</f>
        <v>NY</v>
      </c>
      <c r="C3554" t="str">
        <f>[1]!hospitalinfo[[#This Row],[Hospital Type]]</f>
        <v>Psychiatric</v>
      </c>
      <c r="D3554" t="str">
        <f>[1]!hospitalinfo[[#This Row],[Hospital Ownership]]</f>
        <v>Government - State</v>
      </c>
      <c r="E3554" t="str" cm="1">
        <f t="array" ref="E3554">_xlfn.IFNA(_xlfn.XLOOKUP(1,([1]!hcahps[Facility ID] = clean[[#This Row],[Facility ID]]) * ([1]!hcahps[HCAHPS Measure ID] = "H_HSP_RATING_LINEAR_SCORE"), [1]!hcahps[HCAHPS Linear Mean Value]), "No Match")</f>
        <v>No Match</v>
      </c>
      <c r="F3554" t="str" cm="1">
        <f t="array" ref="F3554">_xlfn.IFNA(_xlfn.XLOOKUP(1,([1]!readmissions[Facility ID] = clean[[#This Row],[Facility ID]]) * ([1]!readmissions[Measure ID] = "Hybrid_HWR"), [1]!readmissions[Score]), "No Match")</f>
        <v>No Match</v>
      </c>
    </row>
    <row r="3555" spans="1:6" x14ac:dyDescent="0.2">
      <c r="A3555">
        <f>[1]!hospitalinfo[[#This Row],[Facility ID]]</f>
        <v>334063</v>
      </c>
      <c r="B3555" t="str">
        <f>[1]!hospitalinfo[[#This Row],[State]]</f>
        <v>NY</v>
      </c>
      <c r="C3555" t="str">
        <f>[1]!hospitalinfo[[#This Row],[Hospital Type]]</f>
        <v>Psychiatric</v>
      </c>
      <c r="D3555" t="str">
        <f>[1]!hospitalinfo[[#This Row],[Hospital Ownership]]</f>
        <v>Government - State</v>
      </c>
      <c r="E3555" t="str" cm="1">
        <f t="array" ref="E3555">_xlfn.IFNA(_xlfn.XLOOKUP(1,([1]!hcahps[Facility ID] = clean[[#This Row],[Facility ID]]) * ([1]!hcahps[HCAHPS Measure ID] = "H_HSP_RATING_LINEAR_SCORE"), [1]!hcahps[HCAHPS Linear Mean Value]), "No Match")</f>
        <v>No Match</v>
      </c>
      <c r="F3555" t="str" cm="1">
        <f t="array" ref="F3555">_xlfn.IFNA(_xlfn.XLOOKUP(1,([1]!readmissions[Facility ID] = clean[[#This Row],[Facility ID]]) * ([1]!readmissions[Measure ID] = "Hybrid_HWR"), [1]!readmissions[Score]), "No Match")</f>
        <v>No Match</v>
      </c>
    </row>
    <row r="3556" spans="1:6" x14ac:dyDescent="0.2">
      <c r="A3556">
        <f>[1]!hospitalinfo[[#This Row],[Facility ID]]</f>
        <v>334064</v>
      </c>
      <c r="B3556" t="str">
        <f>[1]!hospitalinfo[[#This Row],[State]]</f>
        <v>NY</v>
      </c>
      <c r="C3556" t="str">
        <f>[1]!hospitalinfo[[#This Row],[Hospital Type]]</f>
        <v>Psychiatric</v>
      </c>
      <c r="D3556" t="str">
        <f>[1]!hospitalinfo[[#This Row],[Hospital Ownership]]</f>
        <v>Government - State</v>
      </c>
      <c r="E3556" t="str" cm="1">
        <f t="array" ref="E3556">_xlfn.IFNA(_xlfn.XLOOKUP(1,([1]!hcahps[Facility ID] = clean[[#This Row],[Facility ID]]) * ([1]!hcahps[HCAHPS Measure ID] = "H_HSP_RATING_LINEAR_SCORE"), [1]!hcahps[HCAHPS Linear Mean Value]), "No Match")</f>
        <v>No Match</v>
      </c>
      <c r="F3556" t="str" cm="1">
        <f t="array" ref="F3556">_xlfn.IFNA(_xlfn.XLOOKUP(1,([1]!readmissions[Facility ID] = clean[[#This Row],[Facility ID]]) * ([1]!readmissions[Measure ID] = "Hybrid_HWR"), [1]!readmissions[Score]), "No Match")</f>
        <v>No Match</v>
      </c>
    </row>
    <row r="3557" spans="1:6" x14ac:dyDescent="0.2">
      <c r="A3557">
        <f>[1]!hospitalinfo[[#This Row],[Facility ID]]</f>
        <v>334065</v>
      </c>
      <c r="B3557" t="str">
        <f>[1]!hospitalinfo[[#This Row],[State]]</f>
        <v>NY</v>
      </c>
      <c r="C3557" t="str">
        <f>[1]!hospitalinfo[[#This Row],[Hospital Type]]</f>
        <v>Psychiatric</v>
      </c>
      <c r="D3557" t="str">
        <f>[1]!hospitalinfo[[#This Row],[Hospital Ownership]]</f>
        <v>Government - State</v>
      </c>
      <c r="E3557" t="str" cm="1">
        <f t="array" ref="E3557">_xlfn.IFNA(_xlfn.XLOOKUP(1,([1]!hcahps[Facility ID] = clean[[#This Row],[Facility ID]]) * ([1]!hcahps[HCAHPS Measure ID] = "H_HSP_RATING_LINEAR_SCORE"), [1]!hcahps[HCAHPS Linear Mean Value]), "No Match")</f>
        <v>No Match</v>
      </c>
      <c r="F3557" t="str" cm="1">
        <f t="array" ref="F3557">_xlfn.IFNA(_xlfn.XLOOKUP(1,([1]!readmissions[Facility ID] = clean[[#This Row],[Facility ID]]) * ([1]!readmissions[Measure ID] = "Hybrid_HWR"), [1]!readmissions[Score]), "No Match")</f>
        <v>No Match</v>
      </c>
    </row>
    <row r="3558" spans="1:6" x14ac:dyDescent="0.2">
      <c r="A3558">
        <f>[1]!hospitalinfo[[#This Row],[Facility ID]]</f>
        <v>334066</v>
      </c>
      <c r="B3558" t="str">
        <f>[1]!hospitalinfo[[#This Row],[State]]</f>
        <v>NY</v>
      </c>
      <c r="C3558" t="str">
        <f>[1]!hospitalinfo[[#This Row],[Hospital Type]]</f>
        <v>Psychiatric</v>
      </c>
      <c r="D3558" t="str">
        <f>[1]!hospitalinfo[[#This Row],[Hospital Ownership]]</f>
        <v>Government - State</v>
      </c>
      <c r="E3558" t="str" cm="1">
        <f t="array" ref="E3558">_xlfn.IFNA(_xlfn.XLOOKUP(1,([1]!hcahps[Facility ID] = clean[[#This Row],[Facility ID]]) * ([1]!hcahps[HCAHPS Measure ID] = "H_HSP_RATING_LINEAR_SCORE"), [1]!hcahps[HCAHPS Linear Mean Value]), "No Match")</f>
        <v>No Match</v>
      </c>
      <c r="F3558" t="str" cm="1">
        <f t="array" ref="F3558">_xlfn.IFNA(_xlfn.XLOOKUP(1,([1]!readmissions[Facility ID] = clean[[#This Row],[Facility ID]]) * ([1]!readmissions[Measure ID] = "Hybrid_HWR"), [1]!readmissions[Score]), "No Match")</f>
        <v>No Match</v>
      </c>
    </row>
    <row r="3559" spans="1:6" x14ac:dyDescent="0.2">
      <c r="A3559">
        <f>[1]!hospitalinfo[[#This Row],[Facility ID]]</f>
        <v>334067</v>
      </c>
      <c r="B3559" t="str">
        <f>[1]!hospitalinfo[[#This Row],[State]]</f>
        <v>NY</v>
      </c>
      <c r="C3559" t="str">
        <f>[1]!hospitalinfo[[#This Row],[Hospital Type]]</f>
        <v>Psychiatric</v>
      </c>
      <c r="D3559" t="str">
        <f>[1]!hospitalinfo[[#This Row],[Hospital Ownership]]</f>
        <v>Government - State</v>
      </c>
      <c r="E3559" t="str" cm="1">
        <f t="array" ref="E3559">_xlfn.IFNA(_xlfn.XLOOKUP(1,([1]!hcahps[Facility ID] = clean[[#This Row],[Facility ID]]) * ([1]!hcahps[HCAHPS Measure ID] = "H_HSP_RATING_LINEAR_SCORE"), [1]!hcahps[HCAHPS Linear Mean Value]), "No Match")</f>
        <v>No Match</v>
      </c>
      <c r="F3559" t="str" cm="1">
        <f t="array" ref="F3559">_xlfn.IFNA(_xlfn.XLOOKUP(1,([1]!readmissions[Facility ID] = clean[[#This Row],[Facility ID]]) * ([1]!readmissions[Measure ID] = "Hybrid_HWR"), [1]!readmissions[Score]), "No Match")</f>
        <v>No Match</v>
      </c>
    </row>
    <row r="3560" spans="1:6" x14ac:dyDescent="0.2">
      <c r="A3560">
        <f>[1]!hospitalinfo[[#This Row],[Facility ID]]</f>
        <v>334068</v>
      </c>
      <c r="B3560" t="str">
        <f>[1]!hospitalinfo[[#This Row],[State]]</f>
        <v>NY</v>
      </c>
      <c r="C3560" t="str">
        <f>[1]!hospitalinfo[[#This Row],[Hospital Type]]</f>
        <v>Psychiatric</v>
      </c>
      <c r="D3560" t="str">
        <f>[1]!hospitalinfo[[#This Row],[Hospital Ownership]]</f>
        <v>Voluntary non-profit - Private</v>
      </c>
      <c r="E3560" t="str" cm="1">
        <f t="array" ref="E3560">_xlfn.IFNA(_xlfn.XLOOKUP(1,([1]!hcahps[Facility ID] = clean[[#This Row],[Facility ID]]) * ([1]!hcahps[HCAHPS Measure ID] = "H_HSP_RATING_LINEAR_SCORE"), [1]!hcahps[HCAHPS Linear Mean Value]), "No Match")</f>
        <v>No Match</v>
      </c>
      <c r="F3560" t="str" cm="1">
        <f t="array" ref="F3560">_xlfn.IFNA(_xlfn.XLOOKUP(1,([1]!readmissions[Facility ID] = clean[[#This Row],[Facility ID]]) * ([1]!readmissions[Measure ID] = "Hybrid_HWR"), [1]!readmissions[Score]), "No Match")</f>
        <v>No Match</v>
      </c>
    </row>
    <row r="3561" spans="1:6" x14ac:dyDescent="0.2">
      <c r="A3561" t="str">
        <f>[1]!hospitalinfo[[#This Row],[Facility ID]]</f>
        <v>33009F</v>
      </c>
      <c r="B3561" t="str">
        <f>[1]!hospitalinfo[[#This Row],[State]]</f>
        <v>NY</v>
      </c>
      <c r="C3561" t="str">
        <f>[1]!hospitalinfo[[#This Row],[Hospital Type]]</f>
        <v>Acute Care - Veterans Administration</v>
      </c>
      <c r="D3561" t="str">
        <f>[1]!hospitalinfo[[#This Row],[Hospital Ownership]]</f>
        <v>Veterans Health Administration</v>
      </c>
      <c r="E3561" cm="1">
        <f t="array" ref="E3561">_xlfn.IFNA(_xlfn.XLOOKUP(1,([1]!hcahps[Facility ID] = clean[[#This Row],[Facility ID]]) * ([1]!hcahps[HCAHPS Measure ID] = "H_HSP_RATING_LINEAR_SCORE"), [1]!hcahps[HCAHPS Linear Mean Value]), "No Match")</f>
        <v>89</v>
      </c>
      <c r="F3561" cm="1">
        <f t="array" ref="F3561">_xlfn.IFNA(_xlfn.XLOOKUP(1,([1]!readmissions[Facility ID] = clean[[#This Row],[Facility ID]]) * ([1]!readmissions[Measure ID] = "Hybrid_HWR"), [1]!readmissions[Score]), "No Match")</f>
        <v>16.2</v>
      </c>
    </row>
    <row r="3562" spans="1:6" x14ac:dyDescent="0.2">
      <c r="A3562" t="str">
        <f>[1]!hospitalinfo[[#This Row],[Facility ID]]</f>
        <v>33011F</v>
      </c>
      <c r="B3562" t="str">
        <f>[1]!hospitalinfo[[#This Row],[State]]</f>
        <v>NY</v>
      </c>
      <c r="C3562" t="str">
        <f>[1]!hospitalinfo[[#This Row],[Hospital Type]]</f>
        <v>Acute Care - Veterans Administration</v>
      </c>
      <c r="D3562" t="str">
        <f>[1]!hospitalinfo[[#This Row],[Hospital Ownership]]</f>
        <v>Veterans Health Administration</v>
      </c>
      <c r="E3562" t="str" cm="1">
        <f t="array" ref="E3562">_xlfn.IFNA(_xlfn.XLOOKUP(1,([1]!hcahps[Facility ID] = clean[[#This Row],[Facility ID]]) * ([1]!hcahps[HCAHPS Measure ID] = "H_HSP_RATING_LINEAR_SCORE"), [1]!hcahps[HCAHPS Linear Mean Value]), "No Match")</f>
        <v>Not Available</v>
      </c>
      <c r="F3562" cm="1">
        <f t="array" ref="F3562">_xlfn.IFNA(_xlfn.XLOOKUP(1,([1]!readmissions[Facility ID] = clean[[#This Row],[Facility ID]]) * ([1]!readmissions[Measure ID] = "Hybrid_HWR"), [1]!readmissions[Score]), "No Match")</f>
        <v>14.9</v>
      </c>
    </row>
    <row r="3563" spans="1:6" x14ac:dyDescent="0.2">
      <c r="A3563" t="str">
        <f>[1]!hospitalinfo[[#This Row],[Facility ID]]</f>
        <v>33012F</v>
      </c>
      <c r="B3563" t="str">
        <f>[1]!hospitalinfo[[#This Row],[State]]</f>
        <v>NY</v>
      </c>
      <c r="C3563" t="str">
        <f>[1]!hospitalinfo[[#This Row],[Hospital Type]]</f>
        <v>Acute Care - Veterans Administration</v>
      </c>
      <c r="D3563" t="str">
        <f>[1]!hospitalinfo[[#This Row],[Hospital Ownership]]</f>
        <v>Veterans Health Administration</v>
      </c>
      <c r="E3563" cm="1">
        <f t="array" ref="E3563">_xlfn.IFNA(_xlfn.XLOOKUP(1,([1]!hcahps[Facility ID] = clean[[#This Row],[Facility ID]]) * ([1]!hcahps[HCAHPS Measure ID] = "H_HSP_RATING_LINEAR_SCORE"), [1]!hcahps[HCAHPS Linear Mean Value]), "No Match")</f>
        <v>88</v>
      </c>
      <c r="F3563" cm="1">
        <f t="array" ref="F3563">_xlfn.IFNA(_xlfn.XLOOKUP(1,([1]!readmissions[Facility ID] = clean[[#This Row],[Facility ID]]) * ([1]!readmissions[Measure ID] = "Hybrid_HWR"), [1]!readmissions[Score]), "No Match")</f>
        <v>14.5</v>
      </c>
    </row>
    <row r="3564" spans="1:6" x14ac:dyDescent="0.2">
      <c r="A3564" t="str">
        <f>[1]!hospitalinfo[[#This Row],[Facility ID]]</f>
        <v>33015F</v>
      </c>
      <c r="B3564" t="str">
        <f>[1]!hospitalinfo[[#This Row],[State]]</f>
        <v>NY</v>
      </c>
      <c r="C3564" t="str">
        <f>[1]!hospitalinfo[[#This Row],[Hospital Type]]</f>
        <v>Acute Care - Veterans Administration</v>
      </c>
      <c r="D3564" t="str">
        <f>[1]!hospitalinfo[[#This Row],[Hospital Ownership]]</f>
        <v>Veterans Health Administration</v>
      </c>
      <c r="E3564" t="str" cm="1">
        <f t="array" ref="E3564">_xlfn.IFNA(_xlfn.XLOOKUP(1,([1]!hcahps[Facility ID] = clean[[#This Row],[Facility ID]]) * ([1]!hcahps[HCAHPS Measure ID] = "H_HSP_RATING_LINEAR_SCORE"), [1]!hcahps[HCAHPS Linear Mean Value]), "No Match")</f>
        <v>Not Available</v>
      </c>
      <c r="F3564" cm="1">
        <f t="array" ref="F3564">_xlfn.IFNA(_xlfn.XLOOKUP(1,([1]!readmissions[Facility ID] = clean[[#This Row],[Facility ID]]) * ([1]!readmissions[Measure ID] = "Hybrid_HWR"), [1]!readmissions[Score]), "No Match")</f>
        <v>14.5</v>
      </c>
    </row>
    <row r="3565" spans="1:6" x14ac:dyDescent="0.2">
      <c r="A3565" t="str">
        <f>[1]!hospitalinfo[[#This Row],[Facility ID]]</f>
        <v>33016F</v>
      </c>
      <c r="B3565" t="str">
        <f>[1]!hospitalinfo[[#This Row],[State]]</f>
        <v>NY</v>
      </c>
      <c r="C3565" t="str">
        <f>[1]!hospitalinfo[[#This Row],[Hospital Type]]</f>
        <v>Acute Care - Veterans Administration</v>
      </c>
      <c r="D3565" t="str">
        <f>[1]!hospitalinfo[[#This Row],[Hospital Ownership]]</f>
        <v>Veterans Health Administration</v>
      </c>
      <c r="E3565" cm="1">
        <f t="array" ref="E3565">_xlfn.IFNA(_xlfn.XLOOKUP(1,([1]!hcahps[Facility ID] = clean[[#This Row],[Facility ID]]) * ([1]!hcahps[HCAHPS Measure ID] = "H_HSP_RATING_LINEAR_SCORE"), [1]!hcahps[HCAHPS Linear Mean Value]), "No Match")</f>
        <v>87</v>
      </c>
      <c r="F3565" cm="1">
        <f t="array" ref="F3565">_xlfn.IFNA(_xlfn.XLOOKUP(1,([1]!readmissions[Facility ID] = clean[[#This Row],[Facility ID]]) * ([1]!readmissions[Measure ID] = "Hybrid_HWR"), [1]!readmissions[Score]), "No Match")</f>
        <v>14.7</v>
      </c>
    </row>
    <row r="3566" spans="1:6" x14ac:dyDescent="0.2">
      <c r="A3566" t="str">
        <f>[1]!hospitalinfo[[#This Row],[Facility ID]]</f>
        <v>33017F</v>
      </c>
      <c r="B3566" t="str">
        <f>[1]!hospitalinfo[[#This Row],[State]]</f>
        <v>NY</v>
      </c>
      <c r="C3566" t="str">
        <f>[1]!hospitalinfo[[#This Row],[Hospital Type]]</f>
        <v>Acute Care - Veterans Administration</v>
      </c>
      <c r="D3566" t="str">
        <f>[1]!hospitalinfo[[#This Row],[Hospital Ownership]]</f>
        <v>Veterans Health Administration</v>
      </c>
      <c r="E3566" cm="1">
        <f t="array" ref="E3566">_xlfn.IFNA(_xlfn.XLOOKUP(1,([1]!hcahps[Facility ID] = clean[[#This Row],[Facility ID]]) * ([1]!hcahps[HCAHPS Measure ID] = "H_HSP_RATING_LINEAR_SCORE"), [1]!hcahps[HCAHPS Linear Mean Value]), "No Match")</f>
        <v>86</v>
      </c>
      <c r="F3566" cm="1">
        <f t="array" ref="F3566">_xlfn.IFNA(_xlfn.XLOOKUP(1,([1]!readmissions[Facility ID] = clean[[#This Row],[Facility ID]]) * ([1]!readmissions[Measure ID] = "Hybrid_HWR"), [1]!readmissions[Score]), "No Match")</f>
        <v>15.5</v>
      </c>
    </row>
    <row r="3567" spans="1:6" x14ac:dyDescent="0.2">
      <c r="A3567" t="str">
        <f>[1]!hospitalinfo[[#This Row],[Facility ID]]</f>
        <v>33019F</v>
      </c>
      <c r="B3567" t="str">
        <f>[1]!hospitalinfo[[#This Row],[State]]</f>
        <v>NY</v>
      </c>
      <c r="C3567" t="str">
        <f>[1]!hospitalinfo[[#This Row],[Hospital Type]]</f>
        <v>Acute Care - Veterans Administration</v>
      </c>
      <c r="D3567" t="str">
        <f>[1]!hospitalinfo[[#This Row],[Hospital Ownership]]</f>
        <v>Veterans Health Administration</v>
      </c>
      <c r="E3567" cm="1">
        <f t="array" ref="E3567">_xlfn.IFNA(_xlfn.XLOOKUP(1,([1]!hcahps[Facility ID] = clean[[#This Row],[Facility ID]]) * ([1]!hcahps[HCAHPS Measure ID] = "H_HSP_RATING_LINEAR_SCORE"), [1]!hcahps[HCAHPS Linear Mean Value]), "No Match")</f>
        <v>90</v>
      </c>
      <c r="F3567" cm="1">
        <f t="array" ref="F3567">_xlfn.IFNA(_xlfn.XLOOKUP(1,([1]!readmissions[Facility ID] = clean[[#This Row],[Facility ID]]) * ([1]!readmissions[Measure ID] = "Hybrid_HWR"), [1]!readmissions[Score]), "No Match")</f>
        <v>14.4</v>
      </c>
    </row>
    <row r="3568" spans="1:6" x14ac:dyDescent="0.2">
      <c r="A3568" t="str">
        <f>[1]!hospitalinfo[[#This Row],[Facility ID]]</f>
        <v>33020F</v>
      </c>
      <c r="B3568" t="str">
        <f>[1]!hospitalinfo[[#This Row],[State]]</f>
        <v>NY</v>
      </c>
      <c r="C3568" t="str">
        <f>[1]!hospitalinfo[[#This Row],[Hospital Type]]</f>
        <v>Acute Care - Veterans Administration</v>
      </c>
      <c r="D3568" t="str">
        <f>[1]!hospitalinfo[[#This Row],[Hospital Ownership]]</f>
        <v>Veterans Health Administration</v>
      </c>
      <c r="E3568" t="str" cm="1">
        <f t="array" ref="E3568">_xlfn.IFNA(_xlfn.XLOOKUP(1,([1]!hcahps[Facility ID] = clean[[#This Row],[Facility ID]]) * ([1]!hcahps[HCAHPS Measure ID] = "H_HSP_RATING_LINEAR_SCORE"), [1]!hcahps[HCAHPS Linear Mean Value]), "No Match")</f>
        <v>Not Available</v>
      </c>
      <c r="F3568" cm="1">
        <f t="array" ref="F3568">_xlfn.IFNA(_xlfn.XLOOKUP(1,([1]!readmissions[Facility ID] = clean[[#This Row],[Facility ID]]) * ([1]!readmissions[Measure ID] = "Hybrid_HWR"), [1]!readmissions[Score]), "No Match")</f>
        <v>15.6</v>
      </c>
    </row>
    <row r="3569" spans="1:6" x14ac:dyDescent="0.2">
      <c r="A3569" t="str">
        <f>[1]!hospitalinfo[[#This Row],[Facility ID]]</f>
        <v>33024F</v>
      </c>
      <c r="B3569" t="str">
        <f>[1]!hospitalinfo[[#This Row],[State]]</f>
        <v>NY</v>
      </c>
      <c r="C3569" t="str">
        <f>[1]!hospitalinfo[[#This Row],[Hospital Type]]</f>
        <v>Acute Care - Veterans Administration</v>
      </c>
      <c r="D3569" t="str">
        <f>[1]!hospitalinfo[[#This Row],[Hospital Ownership]]</f>
        <v>Veterans Health Administration</v>
      </c>
      <c r="E3569" cm="1">
        <f t="array" ref="E3569">_xlfn.IFNA(_xlfn.XLOOKUP(1,([1]!hcahps[Facility ID] = clean[[#This Row],[Facility ID]]) * ([1]!hcahps[HCAHPS Measure ID] = "H_HSP_RATING_LINEAR_SCORE"), [1]!hcahps[HCAHPS Linear Mean Value]), "No Match")</f>
        <v>92</v>
      </c>
      <c r="F3569" cm="1">
        <f t="array" ref="F3569">_xlfn.IFNA(_xlfn.XLOOKUP(1,([1]!readmissions[Facility ID] = clean[[#This Row],[Facility ID]]) * ([1]!readmissions[Measure ID] = "Hybrid_HWR"), [1]!readmissions[Score]), "No Match")</f>
        <v>15.5</v>
      </c>
    </row>
    <row r="3570" spans="1:6" x14ac:dyDescent="0.2">
      <c r="A3570" t="str">
        <f>[1]!hospitalinfo[[#This Row],[Facility ID]]</f>
        <v>33025F</v>
      </c>
      <c r="B3570" t="str">
        <f>[1]!hospitalinfo[[#This Row],[State]]</f>
        <v>NY</v>
      </c>
      <c r="C3570" t="str">
        <f>[1]!hospitalinfo[[#This Row],[Hospital Type]]</f>
        <v>Acute Care - Department of Defense</v>
      </c>
      <c r="D3570" t="str">
        <f>[1]!hospitalinfo[[#This Row],[Hospital Ownership]]</f>
        <v>Department of Defense</v>
      </c>
      <c r="E3570" t="str" cm="1">
        <f t="array" ref="E3570">_xlfn.IFNA(_xlfn.XLOOKUP(1,([1]!hcahps[Facility ID] = clean[[#This Row],[Facility ID]]) * ([1]!hcahps[HCAHPS Measure ID] = "H_HSP_RATING_LINEAR_SCORE"), [1]!hcahps[HCAHPS Linear Mean Value]), "No Match")</f>
        <v>Not Available</v>
      </c>
      <c r="F3570" t="str" cm="1">
        <f t="array" ref="F3570">_xlfn.IFNA(_xlfn.XLOOKUP(1,([1]!readmissions[Facility ID] = clean[[#This Row],[Facility ID]]) * ([1]!readmissions[Measure ID] = "Hybrid_HWR"), [1]!readmissions[Score]), "No Match")</f>
        <v>Not Available</v>
      </c>
    </row>
    <row r="3571" spans="1:6" x14ac:dyDescent="0.2">
      <c r="A3571">
        <f>[1]!hospitalinfo[[#This Row],[Facility ID]]</f>
        <v>360001</v>
      </c>
      <c r="B3571" t="str">
        <f>[1]!hospitalinfo[[#This Row],[State]]</f>
        <v>OH</v>
      </c>
      <c r="C3571" t="str">
        <f>[1]!hospitalinfo[[#This Row],[Hospital Type]]</f>
        <v>Acute Care Hospitals</v>
      </c>
      <c r="D3571" t="str">
        <f>[1]!hospitalinfo[[#This Row],[Hospital Ownership]]</f>
        <v>Voluntary non-profit - Private</v>
      </c>
      <c r="E3571" cm="1">
        <f t="array" ref="E3571">_xlfn.IFNA(_xlfn.XLOOKUP(1,([1]!hcahps[Facility ID] = clean[[#This Row],[Facility ID]]) * ([1]!hcahps[HCAHPS Measure ID] = "H_HSP_RATING_LINEAR_SCORE"), [1]!hcahps[HCAHPS Linear Mean Value]), "No Match")</f>
        <v>88</v>
      </c>
      <c r="F3571" cm="1">
        <f t="array" ref="F3571">_xlfn.IFNA(_xlfn.XLOOKUP(1,([1]!readmissions[Facility ID] = clean[[#This Row],[Facility ID]]) * ([1]!readmissions[Measure ID] = "Hybrid_HWR"), [1]!readmissions[Score]), "No Match")</f>
        <v>14.4</v>
      </c>
    </row>
    <row r="3572" spans="1:6" x14ac:dyDescent="0.2">
      <c r="A3572">
        <f>[1]!hospitalinfo[[#This Row],[Facility ID]]</f>
        <v>360002</v>
      </c>
      <c r="B3572" t="str">
        <f>[1]!hospitalinfo[[#This Row],[State]]</f>
        <v>OH</v>
      </c>
      <c r="C3572" t="str">
        <f>[1]!hospitalinfo[[#This Row],[Hospital Type]]</f>
        <v>Acute Care Hospitals</v>
      </c>
      <c r="D3572" t="str">
        <f>[1]!hospitalinfo[[#This Row],[Hospital Ownership]]</f>
        <v>Voluntary non-profit - Other</v>
      </c>
      <c r="E3572" cm="1">
        <f t="array" ref="E3572">_xlfn.IFNA(_xlfn.XLOOKUP(1,([1]!hcahps[Facility ID] = clean[[#This Row],[Facility ID]]) * ([1]!hcahps[HCAHPS Measure ID] = "H_HSP_RATING_LINEAR_SCORE"), [1]!hcahps[HCAHPS Linear Mean Value]), "No Match")</f>
        <v>91</v>
      </c>
      <c r="F3572" cm="1">
        <f t="array" ref="F3572">_xlfn.IFNA(_xlfn.XLOOKUP(1,([1]!readmissions[Facility ID] = clean[[#This Row],[Facility ID]]) * ([1]!readmissions[Measure ID] = "Hybrid_HWR"), [1]!readmissions[Score]), "No Match")</f>
        <v>14.4</v>
      </c>
    </row>
    <row r="3573" spans="1:6" x14ac:dyDescent="0.2">
      <c r="A3573">
        <f>[1]!hospitalinfo[[#This Row],[Facility ID]]</f>
        <v>360003</v>
      </c>
      <c r="B3573" t="str">
        <f>[1]!hospitalinfo[[#This Row],[State]]</f>
        <v>OH</v>
      </c>
      <c r="C3573" t="str">
        <f>[1]!hospitalinfo[[#This Row],[Hospital Type]]</f>
        <v>Acute Care Hospitals</v>
      </c>
      <c r="D3573" t="str">
        <f>[1]!hospitalinfo[[#This Row],[Hospital Ownership]]</f>
        <v>Voluntary non-profit - Private</v>
      </c>
      <c r="E3573" cm="1">
        <f t="array" ref="E3573">_xlfn.IFNA(_xlfn.XLOOKUP(1,([1]!hcahps[Facility ID] = clean[[#This Row],[Facility ID]]) * ([1]!hcahps[HCAHPS Measure ID] = "H_HSP_RATING_LINEAR_SCORE"), [1]!hcahps[HCAHPS Linear Mean Value]), "No Match")</f>
        <v>86</v>
      </c>
      <c r="F3573" cm="1">
        <f t="array" ref="F3573">_xlfn.IFNA(_xlfn.XLOOKUP(1,([1]!readmissions[Facility ID] = clean[[#This Row],[Facility ID]]) * ([1]!readmissions[Measure ID] = "Hybrid_HWR"), [1]!readmissions[Score]), "No Match")</f>
        <v>15.9</v>
      </c>
    </row>
    <row r="3574" spans="1:6" x14ac:dyDescent="0.2">
      <c r="A3574">
        <f>[1]!hospitalinfo[[#This Row],[Facility ID]]</f>
        <v>360006</v>
      </c>
      <c r="B3574" t="str">
        <f>[1]!hospitalinfo[[#This Row],[State]]</f>
        <v>OH</v>
      </c>
      <c r="C3574" t="str">
        <f>[1]!hospitalinfo[[#This Row],[Hospital Type]]</f>
        <v>Acute Care Hospitals</v>
      </c>
      <c r="D3574" t="str">
        <f>[1]!hospitalinfo[[#This Row],[Hospital Ownership]]</f>
        <v>Voluntary non-profit - Private</v>
      </c>
      <c r="E3574" cm="1">
        <f t="array" ref="E3574">_xlfn.IFNA(_xlfn.XLOOKUP(1,([1]!hcahps[Facility ID] = clean[[#This Row],[Facility ID]]) * ([1]!hcahps[HCAHPS Measure ID] = "H_HSP_RATING_LINEAR_SCORE"), [1]!hcahps[HCAHPS Linear Mean Value]), "No Match")</f>
        <v>90</v>
      </c>
      <c r="F3574" cm="1">
        <f t="array" ref="F3574">_xlfn.IFNA(_xlfn.XLOOKUP(1,([1]!readmissions[Facility ID] = clean[[#This Row],[Facility ID]]) * ([1]!readmissions[Measure ID] = "Hybrid_HWR"), [1]!readmissions[Score]), "No Match")</f>
        <v>14.3</v>
      </c>
    </row>
    <row r="3575" spans="1:6" x14ac:dyDescent="0.2">
      <c r="A3575">
        <f>[1]!hospitalinfo[[#This Row],[Facility ID]]</f>
        <v>360008</v>
      </c>
      <c r="B3575" t="str">
        <f>[1]!hospitalinfo[[#This Row],[State]]</f>
        <v>OH</v>
      </c>
      <c r="C3575" t="str">
        <f>[1]!hospitalinfo[[#This Row],[Hospital Type]]</f>
        <v>Acute Care Hospitals</v>
      </c>
      <c r="D3575" t="str">
        <f>[1]!hospitalinfo[[#This Row],[Hospital Ownership]]</f>
        <v>Voluntary non-profit - Other</v>
      </c>
      <c r="E3575" cm="1">
        <f t="array" ref="E3575">_xlfn.IFNA(_xlfn.XLOOKUP(1,([1]!hcahps[Facility ID] = clean[[#This Row],[Facility ID]]) * ([1]!hcahps[HCAHPS Measure ID] = "H_HSP_RATING_LINEAR_SCORE"), [1]!hcahps[HCAHPS Linear Mean Value]), "No Match")</f>
        <v>89</v>
      </c>
      <c r="F3575" cm="1">
        <f t="array" ref="F3575">_xlfn.IFNA(_xlfn.XLOOKUP(1,([1]!readmissions[Facility ID] = clean[[#This Row],[Facility ID]]) * ([1]!readmissions[Measure ID] = "Hybrid_HWR"), [1]!readmissions[Score]), "No Match")</f>
        <v>15.3</v>
      </c>
    </row>
    <row r="3576" spans="1:6" x14ac:dyDescent="0.2">
      <c r="A3576">
        <f>[1]!hospitalinfo[[#This Row],[Facility ID]]</f>
        <v>360009</v>
      </c>
      <c r="B3576" t="str">
        <f>[1]!hospitalinfo[[#This Row],[State]]</f>
        <v>OH</v>
      </c>
      <c r="C3576" t="str">
        <f>[1]!hospitalinfo[[#This Row],[Hospital Type]]</f>
        <v>Acute Care Hospitals</v>
      </c>
      <c r="D3576" t="str">
        <f>[1]!hospitalinfo[[#This Row],[Hospital Ownership]]</f>
        <v>Voluntary non-profit - Other</v>
      </c>
      <c r="E3576" cm="1">
        <f t="array" ref="E3576">_xlfn.IFNA(_xlfn.XLOOKUP(1,([1]!hcahps[Facility ID] = clean[[#This Row],[Facility ID]]) * ([1]!hcahps[HCAHPS Measure ID] = "H_HSP_RATING_LINEAR_SCORE"), [1]!hcahps[HCAHPS Linear Mean Value]), "No Match")</f>
        <v>87</v>
      </c>
      <c r="F3576" cm="1">
        <f t="array" ref="F3576">_xlfn.IFNA(_xlfn.XLOOKUP(1,([1]!readmissions[Facility ID] = clean[[#This Row],[Facility ID]]) * ([1]!readmissions[Measure ID] = "Hybrid_HWR"), [1]!readmissions[Score]), "No Match")</f>
        <v>16.100000000000001</v>
      </c>
    </row>
    <row r="3577" spans="1:6" x14ac:dyDescent="0.2">
      <c r="A3577">
        <f>[1]!hospitalinfo[[#This Row],[Facility ID]]</f>
        <v>360010</v>
      </c>
      <c r="B3577" t="str">
        <f>[1]!hospitalinfo[[#This Row],[State]]</f>
        <v>OH</v>
      </c>
      <c r="C3577" t="str">
        <f>[1]!hospitalinfo[[#This Row],[Hospital Type]]</f>
        <v>Acute Care Hospitals</v>
      </c>
      <c r="D3577" t="str">
        <f>[1]!hospitalinfo[[#This Row],[Hospital Ownership]]</f>
        <v>Voluntary non-profit - Other</v>
      </c>
      <c r="E3577" cm="1">
        <f t="array" ref="E3577">_xlfn.IFNA(_xlfn.XLOOKUP(1,([1]!hcahps[Facility ID] = clean[[#This Row],[Facility ID]]) * ([1]!hcahps[HCAHPS Measure ID] = "H_HSP_RATING_LINEAR_SCORE"), [1]!hcahps[HCAHPS Linear Mean Value]), "No Match")</f>
        <v>86</v>
      </c>
      <c r="F3577" cm="1">
        <f t="array" ref="F3577">_xlfn.IFNA(_xlfn.XLOOKUP(1,([1]!readmissions[Facility ID] = clean[[#This Row],[Facility ID]]) * ([1]!readmissions[Measure ID] = "Hybrid_HWR"), [1]!readmissions[Score]), "No Match")</f>
        <v>14.5</v>
      </c>
    </row>
    <row r="3578" spans="1:6" x14ac:dyDescent="0.2">
      <c r="A3578">
        <f>[1]!hospitalinfo[[#This Row],[Facility ID]]</f>
        <v>360011</v>
      </c>
      <c r="B3578" t="str">
        <f>[1]!hospitalinfo[[#This Row],[State]]</f>
        <v>OH</v>
      </c>
      <c r="C3578" t="str">
        <f>[1]!hospitalinfo[[#This Row],[Hospital Type]]</f>
        <v>Acute Care Hospitals</v>
      </c>
      <c r="D3578" t="str">
        <f>[1]!hospitalinfo[[#This Row],[Hospital Ownership]]</f>
        <v>Voluntary non-profit - Private</v>
      </c>
      <c r="E3578" cm="1">
        <f t="array" ref="E3578">_xlfn.IFNA(_xlfn.XLOOKUP(1,([1]!hcahps[Facility ID] = clean[[#This Row],[Facility ID]]) * ([1]!hcahps[HCAHPS Measure ID] = "H_HSP_RATING_LINEAR_SCORE"), [1]!hcahps[HCAHPS Linear Mean Value]), "No Match")</f>
        <v>86</v>
      </c>
      <c r="F3578" cm="1">
        <f t="array" ref="F3578">_xlfn.IFNA(_xlfn.XLOOKUP(1,([1]!readmissions[Facility ID] = clean[[#This Row],[Facility ID]]) * ([1]!readmissions[Measure ID] = "Hybrid_HWR"), [1]!readmissions[Score]), "No Match")</f>
        <v>16.399999999999999</v>
      </c>
    </row>
    <row r="3579" spans="1:6" x14ac:dyDescent="0.2">
      <c r="A3579">
        <f>[1]!hospitalinfo[[#This Row],[Facility ID]]</f>
        <v>360012</v>
      </c>
      <c r="B3579" t="str">
        <f>[1]!hospitalinfo[[#This Row],[State]]</f>
        <v>OH</v>
      </c>
      <c r="C3579" t="str">
        <f>[1]!hospitalinfo[[#This Row],[Hospital Type]]</f>
        <v>Acute Care Hospitals</v>
      </c>
      <c r="D3579" t="str">
        <f>[1]!hospitalinfo[[#This Row],[Hospital Ownership]]</f>
        <v>Voluntary non-profit - Private</v>
      </c>
      <c r="E3579" cm="1">
        <f t="array" ref="E3579">_xlfn.IFNA(_xlfn.XLOOKUP(1,([1]!hcahps[Facility ID] = clean[[#This Row],[Facility ID]]) * ([1]!hcahps[HCAHPS Measure ID] = "H_HSP_RATING_LINEAR_SCORE"), [1]!hcahps[HCAHPS Linear Mean Value]), "No Match")</f>
        <v>86</v>
      </c>
      <c r="F3579" cm="1">
        <f t="array" ref="F3579">_xlfn.IFNA(_xlfn.XLOOKUP(1,([1]!readmissions[Facility ID] = clean[[#This Row],[Facility ID]]) * ([1]!readmissions[Measure ID] = "Hybrid_HWR"), [1]!readmissions[Score]), "No Match")</f>
        <v>15.1</v>
      </c>
    </row>
    <row r="3580" spans="1:6" x14ac:dyDescent="0.2">
      <c r="A3580">
        <f>[1]!hospitalinfo[[#This Row],[Facility ID]]</f>
        <v>360013</v>
      </c>
      <c r="B3580" t="str">
        <f>[1]!hospitalinfo[[#This Row],[State]]</f>
        <v>OH</v>
      </c>
      <c r="C3580" t="str">
        <f>[1]!hospitalinfo[[#This Row],[Hospital Type]]</f>
        <v>Acute Care Hospitals</v>
      </c>
      <c r="D3580" t="str">
        <f>[1]!hospitalinfo[[#This Row],[Hospital Ownership]]</f>
        <v>Voluntary non-profit - Private</v>
      </c>
      <c r="E3580" cm="1">
        <f t="array" ref="E3580">_xlfn.IFNA(_xlfn.XLOOKUP(1,([1]!hcahps[Facility ID] = clean[[#This Row],[Facility ID]]) * ([1]!hcahps[HCAHPS Measure ID] = "H_HSP_RATING_LINEAR_SCORE"), [1]!hcahps[HCAHPS Linear Mean Value]), "No Match")</f>
        <v>85</v>
      </c>
      <c r="F3580" cm="1">
        <f t="array" ref="F3580">_xlfn.IFNA(_xlfn.XLOOKUP(1,([1]!readmissions[Facility ID] = clean[[#This Row],[Facility ID]]) * ([1]!readmissions[Measure ID] = "Hybrid_HWR"), [1]!readmissions[Score]), "No Match")</f>
        <v>15</v>
      </c>
    </row>
    <row r="3581" spans="1:6" x14ac:dyDescent="0.2">
      <c r="A3581">
        <f>[1]!hospitalinfo[[#This Row],[Facility ID]]</f>
        <v>360014</v>
      </c>
      <c r="B3581" t="str">
        <f>[1]!hospitalinfo[[#This Row],[State]]</f>
        <v>OH</v>
      </c>
      <c r="C3581" t="str">
        <f>[1]!hospitalinfo[[#This Row],[Hospital Type]]</f>
        <v>Acute Care Hospitals</v>
      </c>
      <c r="D3581" t="str">
        <f>[1]!hospitalinfo[[#This Row],[Hospital Ownership]]</f>
        <v>Voluntary non-profit - Other</v>
      </c>
      <c r="E3581" cm="1">
        <f t="array" ref="E3581">_xlfn.IFNA(_xlfn.XLOOKUP(1,([1]!hcahps[Facility ID] = clean[[#This Row],[Facility ID]]) * ([1]!hcahps[HCAHPS Measure ID] = "H_HSP_RATING_LINEAR_SCORE"), [1]!hcahps[HCAHPS Linear Mean Value]), "No Match")</f>
        <v>89</v>
      </c>
      <c r="F3581" cm="1">
        <f t="array" ref="F3581">_xlfn.IFNA(_xlfn.XLOOKUP(1,([1]!readmissions[Facility ID] = clean[[#This Row],[Facility ID]]) * ([1]!readmissions[Measure ID] = "Hybrid_HWR"), [1]!readmissions[Score]), "No Match")</f>
        <v>15.4</v>
      </c>
    </row>
    <row r="3582" spans="1:6" x14ac:dyDescent="0.2">
      <c r="A3582">
        <f>[1]!hospitalinfo[[#This Row],[Facility ID]]</f>
        <v>360016</v>
      </c>
      <c r="B3582" t="str">
        <f>[1]!hospitalinfo[[#This Row],[State]]</f>
        <v>OH</v>
      </c>
      <c r="C3582" t="str">
        <f>[1]!hospitalinfo[[#This Row],[Hospital Type]]</f>
        <v>Acute Care Hospitals</v>
      </c>
      <c r="D3582" t="str">
        <f>[1]!hospitalinfo[[#This Row],[Hospital Ownership]]</f>
        <v>Voluntary non-profit - Private</v>
      </c>
      <c r="E3582" cm="1">
        <f t="array" ref="E3582">_xlfn.IFNA(_xlfn.XLOOKUP(1,([1]!hcahps[Facility ID] = clean[[#This Row],[Facility ID]]) * ([1]!hcahps[HCAHPS Measure ID] = "H_HSP_RATING_LINEAR_SCORE"), [1]!hcahps[HCAHPS Linear Mean Value]), "No Match")</f>
        <v>88</v>
      </c>
      <c r="F3582" cm="1">
        <f t="array" ref="F3582">_xlfn.IFNA(_xlfn.XLOOKUP(1,([1]!readmissions[Facility ID] = clean[[#This Row],[Facility ID]]) * ([1]!readmissions[Measure ID] = "Hybrid_HWR"), [1]!readmissions[Score]), "No Match")</f>
        <v>15.6</v>
      </c>
    </row>
    <row r="3583" spans="1:6" x14ac:dyDescent="0.2">
      <c r="A3583">
        <f>[1]!hospitalinfo[[#This Row],[Facility ID]]</f>
        <v>360017</v>
      </c>
      <c r="B3583" t="str">
        <f>[1]!hospitalinfo[[#This Row],[State]]</f>
        <v>OH</v>
      </c>
      <c r="C3583" t="str">
        <f>[1]!hospitalinfo[[#This Row],[Hospital Type]]</f>
        <v>Acute Care Hospitals</v>
      </c>
      <c r="D3583" t="str">
        <f>[1]!hospitalinfo[[#This Row],[Hospital Ownership]]</f>
        <v>Voluntary non-profit - Church</v>
      </c>
      <c r="E3583" cm="1">
        <f t="array" ref="E3583">_xlfn.IFNA(_xlfn.XLOOKUP(1,([1]!hcahps[Facility ID] = clean[[#This Row],[Facility ID]]) * ([1]!hcahps[HCAHPS Measure ID] = "H_HSP_RATING_LINEAR_SCORE"), [1]!hcahps[HCAHPS Linear Mean Value]), "No Match")</f>
        <v>86</v>
      </c>
      <c r="F3583" cm="1">
        <f t="array" ref="F3583">_xlfn.IFNA(_xlfn.XLOOKUP(1,([1]!readmissions[Facility ID] = clean[[#This Row],[Facility ID]]) * ([1]!readmissions[Measure ID] = "Hybrid_HWR"), [1]!readmissions[Score]), "No Match")</f>
        <v>15.7</v>
      </c>
    </row>
    <row r="3584" spans="1:6" x14ac:dyDescent="0.2">
      <c r="A3584">
        <f>[1]!hospitalinfo[[#This Row],[Facility ID]]</f>
        <v>360020</v>
      </c>
      <c r="B3584" t="str">
        <f>[1]!hospitalinfo[[#This Row],[State]]</f>
        <v>OH</v>
      </c>
      <c r="C3584" t="str">
        <f>[1]!hospitalinfo[[#This Row],[Hospital Type]]</f>
        <v>Acute Care Hospitals</v>
      </c>
      <c r="D3584" t="str">
        <f>[1]!hospitalinfo[[#This Row],[Hospital Ownership]]</f>
        <v>Voluntary non-profit - Private</v>
      </c>
      <c r="E3584" cm="1">
        <f t="array" ref="E3584">_xlfn.IFNA(_xlfn.XLOOKUP(1,([1]!hcahps[Facility ID] = clean[[#This Row],[Facility ID]]) * ([1]!hcahps[HCAHPS Measure ID] = "H_HSP_RATING_LINEAR_SCORE"), [1]!hcahps[HCAHPS Linear Mean Value]), "No Match")</f>
        <v>88</v>
      </c>
      <c r="F3584" cm="1">
        <f t="array" ref="F3584">_xlfn.IFNA(_xlfn.XLOOKUP(1,([1]!readmissions[Facility ID] = clean[[#This Row],[Facility ID]]) * ([1]!readmissions[Measure ID] = "Hybrid_HWR"), [1]!readmissions[Score]), "No Match")</f>
        <v>15.1</v>
      </c>
    </row>
    <row r="3585" spans="1:6" x14ac:dyDescent="0.2">
      <c r="A3585">
        <f>[1]!hospitalinfo[[#This Row],[Facility ID]]</f>
        <v>360025</v>
      </c>
      <c r="B3585" t="str">
        <f>[1]!hospitalinfo[[#This Row],[State]]</f>
        <v>OH</v>
      </c>
      <c r="C3585" t="str">
        <f>[1]!hospitalinfo[[#This Row],[Hospital Type]]</f>
        <v>Acute Care Hospitals</v>
      </c>
      <c r="D3585" t="str">
        <f>[1]!hospitalinfo[[#This Row],[Hospital Ownership]]</f>
        <v>Voluntary non-profit - Private</v>
      </c>
      <c r="E3585" cm="1">
        <f t="array" ref="E3585">_xlfn.IFNA(_xlfn.XLOOKUP(1,([1]!hcahps[Facility ID] = clean[[#This Row],[Facility ID]]) * ([1]!hcahps[HCAHPS Measure ID] = "H_HSP_RATING_LINEAR_SCORE"), [1]!hcahps[HCAHPS Linear Mean Value]), "No Match")</f>
        <v>88</v>
      </c>
      <c r="F3585" cm="1">
        <f t="array" ref="F3585">_xlfn.IFNA(_xlfn.XLOOKUP(1,([1]!readmissions[Facility ID] = clean[[#This Row],[Facility ID]]) * ([1]!readmissions[Measure ID] = "Hybrid_HWR"), [1]!readmissions[Score]), "No Match")</f>
        <v>15</v>
      </c>
    </row>
    <row r="3586" spans="1:6" x14ac:dyDescent="0.2">
      <c r="A3586">
        <f>[1]!hospitalinfo[[#This Row],[Facility ID]]</f>
        <v>360026</v>
      </c>
      <c r="B3586" t="str">
        <f>[1]!hospitalinfo[[#This Row],[State]]</f>
        <v>OH</v>
      </c>
      <c r="C3586" t="str">
        <f>[1]!hospitalinfo[[#This Row],[Hospital Type]]</f>
        <v>Acute Care Hospitals</v>
      </c>
      <c r="D3586" t="str">
        <f>[1]!hospitalinfo[[#This Row],[Hospital Ownership]]</f>
        <v>Voluntary non-profit - Private</v>
      </c>
      <c r="E3586" t="str" cm="1">
        <f t="array" ref="E3586">_xlfn.IFNA(_xlfn.XLOOKUP(1,([1]!hcahps[Facility ID] = clean[[#This Row],[Facility ID]]) * ([1]!hcahps[HCAHPS Measure ID] = "H_HSP_RATING_LINEAR_SCORE"), [1]!hcahps[HCAHPS Linear Mean Value]), "No Match")</f>
        <v>Not Available</v>
      </c>
      <c r="F3586" cm="1">
        <f t="array" ref="F3586">_xlfn.IFNA(_xlfn.XLOOKUP(1,([1]!readmissions[Facility ID] = clean[[#This Row],[Facility ID]]) * ([1]!readmissions[Measure ID] = "Hybrid_HWR"), [1]!readmissions[Score]), "No Match")</f>
        <v>15.6</v>
      </c>
    </row>
    <row r="3587" spans="1:6" x14ac:dyDescent="0.2">
      <c r="A3587">
        <f>[1]!hospitalinfo[[#This Row],[Facility ID]]</f>
        <v>360027</v>
      </c>
      <c r="B3587" t="str">
        <f>[1]!hospitalinfo[[#This Row],[State]]</f>
        <v>OH</v>
      </c>
      <c r="C3587" t="str">
        <f>[1]!hospitalinfo[[#This Row],[Hospital Type]]</f>
        <v>Acute Care Hospitals</v>
      </c>
      <c r="D3587" t="str">
        <f>[1]!hospitalinfo[[#This Row],[Hospital Ownership]]</f>
        <v>Voluntary non-profit - Private</v>
      </c>
      <c r="E3587" cm="1">
        <f t="array" ref="E3587">_xlfn.IFNA(_xlfn.XLOOKUP(1,([1]!hcahps[Facility ID] = clean[[#This Row],[Facility ID]]) * ([1]!hcahps[HCAHPS Measure ID] = "H_HSP_RATING_LINEAR_SCORE"), [1]!hcahps[HCAHPS Linear Mean Value]), "No Match")</f>
        <v>86</v>
      </c>
      <c r="F3587" cm="1">
        <f t="array" ref="F3587">_xlfn.IFNA(_xlfn.XLOOKUP(1,([1]!readmissions[Facility ID] = clean[[#This Row],[Facility ID]]) * ([1]!readmissions[Measure ID] = "Hybrid_HWR"), [1]!readmissions[Score]), "No Match")</f>
        <v>15.2</v>
      </c>
    </row>
    <row r="3588" spans="1:6" x14ac:dyDescent="0.2">
      <c r="A3588">
        <f>[1]!hospitalinfo[[#This Row],[Facility ID]]</f>
        <v>360029</v>
      </c>
      <c r="B3588" t="str">
        <f>[1]!hospitalinfo[[#This Row],[State]]</f>
        <v>OH</v>
      </c>
      <c r="C3588" t="str">
        <f>[1]!hospitalinfo[[#This Row],[Hospital Type]]</f>
        <v>Acute Care Hospitals</v>
      </c>
      <c r="D3588" t="str">
        <f>[1]!hospitalinfo[[#This Row],[Hospital Ownership]]</f>
        <v>Voluntary non-profit - Private</v>
      </c>
      <c r="E3588" cm="1">
        <f t="array" ref="E3588">_xlfn.IFNA(_xlfn.XLOOKUP(1,([1]!hcahps[Facility ID] = clean[[#This Row],[Facility ID]]) * ([1]!hcahps[HCAHPS Measure ID] = "H_HSP_RATING_LINEAR_SCORE"), [1]!hcahps[HCAHPS Linear Mean Value]), "No Match")</f>
        <v>91</v>
      </c>
      <c r="F3588" cm="1">
        <f t="array" ref="F3588">_xlfn.IFNA(_xlfn.XLOOKUP(1,([1]!readmissions[Facility ID] = clean[[#This Row],[Facility ID]]) * ([1]!readmissions[Measure ID] = "Hybrid_HWR"), [1]!readmissions[Score]), "No Match")</f>
        <v>14.5</v>
      </c>
    </row>
    <row r="3589" spans="1:6" x14ac:dyDescent="0.2">
      <c r="A3589">
        <f>[1]!hospitalinfo[[#This Row],[Facility ID]]</f>
        <v>360032</v>
      </c>
      <c r="B3589" t="str">
        <f>[1]!hospitalinfo[[#This Row],[State]]</f>
        <v>OH</v>
      </c>
      <c r="C3589" t="str">
        <f>[1]!hospitalinfo[[#This Row],[Hospital Type]]</f>
        <v>Acute Care Hospitals</v>
      </c>
      <c r="D3589" t="str">
        <f>[1]!hospitalinfo[[#This Row],[Hospital Ownership]]</f>
        <v>Voluntary non-profit - Private</v>
      </c>
      <c r="E3589" cm="1">
        <f t="array" ref="E3589">_xlfn.IFNA(_xlfn.XLOOKUP(1,([1]!hcahps[Facility ID] = clean[[#This Row],[Facility ID]]) * ([1]!hcahps[HCAHPS Measure ID] = "H_HSP_RATING_LINEAR_SCORE"), [1]!hcahps[HCAHPS Linear Mean Value]), "No Match")</f>
        <v>89</v>
      </c>
      <c r="F3589" cm="1">
        <f t="array" ref="F3589">_xlfn.IFNA(_xlfn.XLOOKUP(1,([1]!readmissions[Facility ID] = clean[[#This Row],[Facility ID]]) * ([1]!readmissions[Measure ID] = "Hybrid_HWR"), [1]!readmissions[Score]), "No Match")</f>
        <v>14.6</v>
      </c>
    </row>
    <row r="3590" spans="1:6" x14ac:dyDescent="0.2">
      <c r="A3590">
        <f>[1]!hospitalinfo[[#This Row],[Facility ID]]</f>
        <v>360035</v>
      </c>
      <c r="B3590" t="str">
        <f>[1]!hospitalinfo[[#This Row],[State]]</f>
        <v>OH</v>
      </c>
      <c r="C3590" t="str">
        <f>[1]!hospitalinfo[[#This Row],[Hospital Type]]</f>
        <v>Acute Care Hospitals</v>
      </c>
      <c r="D3590" t="str">
        <f>[1]!hospitalinfo[[#This Row],[Hospital Ownership]]</f>
        <v>Voluntary non-profit - Private</v>
      </c>
      <c r="E3590" cm="1">
        <f t="array" ref="E3590">_xlfn.IFNA(_xlfn.XLOOKUP(1,([1]!hcahps[Facility ID] = clean[[#This Row],[Facility ID]]) * ([1]!hcahps[HCAHPS Measure ID] = "H_HSP_RATING_LINEAR_SCORE"), [1]!hcahps[HCAHPS Linear Mean Value]), "No Match")</f>
        <v>86</v>
      </c>
      <c r="F3590" cm="1">
        <f t="array" ref="F3590">_xlfn.IFNA(_xlfn.XLOOKUP(1,([1]!readmissions[Facility ID] = clean[[#This Row],[Facility ID]]) * ([1]!readmissions[Measure ID] = "Hybrid_HWR"), [1]!readmissions[Score]), "No Match")</f>
        <v>15.4</v>
      </c>
    </row>
    <row r="3591" spans="1:6" x14ac:dyDescent="0.2">
      <c r="A3591">
        <f>[1]!hospitalinfo[[#This Row],[Facility ID]]</f>
        <v>360036</v>
      </c>
      <c r="B3591" t="str">
        <f>[1]!hospitalinfo[[#This Row],[State]]</f>
        <v>OH</v>
      </c>
      <c r="C3591" t="str">
        <f>[1]!hospitalinfo[[#This Row],[Hospital Type]]</f>
        <v>Acute Care Hospitals</v>
      </c>
      <c r="D3591" t="str">
        <f>[1]!hospitalinfo[[#This Row],[Hospital Ownership]]</f>
        <v>Government - Local</v>
      </c>
      <c r="E3591" cm="1">
        <f t="array" ref="E3591">_xlfn.IFNA(_xlfn.XLOOKUP(1,([1]!hcahps[Facility ID] = clean[[#This Row],[Facility ID]]) * ([1]!hcahps[HCAHPS Measure ID] = "H_HSP_RATING_LINEAR_SCORE"), [1]!hcahps[HCAHPS Linear Mean Value]), "No Match")</f>
        <v>91</v>
      </c>
      <c r="F3591" cm="1">
        <f t="array" ref="F3591">_xlfn.IFNA(_xlfn.XLOOKUP(1,([1]!readmissions[Facility ID] = clean[[#This Row],[Facility ID]]) * ([1]!readmissions[Measure ID] = "Hybrid_HWR"), [1]!readmissions[Score]), "No Match")</f>
        <v>15.2</v>
      </c>
    </row>
    <row r="3592" spans="1:6" x14ac:dyDescent="0.2">
      <c r="A3592">
        <f>[1]!hospitalinfo[[#This Row],[Facility ID]]</f>
        <v>360039</v>
      </c>
      <c r="B3592" t="str">
        <f>[1]!hospitalinfo[[#This Row],[State]]</f>
        <v>OH</v>
      </c>
      <c r="C3592" t="str">
        <f>[1]!hospitalinfo[[#This Row],[Hospital Type]]</f>
        <v>Acute Care Hospitals</v>
      </c>
      <c r="D3592" t="str">
        <f>[1]!hospitalinfo[[#This Row],[Hospital Ownership]]</f>
        <v>Voluntary non-profit - Private</v>
      </c>
      <c r="E3592" cm="1">
        <f t="array" ref="E3592">_xlfn.IFNA(_xlfn.XLOOKUP(1,([1]!hcahps[Facility ID] = clean[[#This Row],[Facility ID]]) * ([1]!hcahps[HCAHPS Measure ID] = "H_HSP_RATING_LINEAR_SCORE"), [1]!hcahps[HCAHPS Linear Mean Value]), "No Match")</f>
        <v>91</v>
      </c>
      <c r="F3592" cm="1">
        <f t="array" ref="F3592">_xlfn.IFNA(_xlfn.XLOOKUP(1,([1]!readmissions[Facility ID] = clean[[#This Row],[Facility ID]]) * ([1]!readmissions[Measure ID] = "Hybrid_HWR"), [1]!readmissions[Score]), "No Match")</f>
        <v>14.2</v>
      </c>
    </row>
    <row r="3593" spans="1:6" x14ac:dyDescent="0.2">
      <c r="A3593">
        <f>[1]!hospitalinfo[[#This Row],[Facility ID]]</f>
        <v>360040</v>
      </c>
      <c r="B3593" t="str">
        <f>[1]!hospitalinfo[[#This Row],[State]]</f>
        <v>OH</v>
      </c>
      <c r="C3593" t="str">
        <f>[1]!hospitalinfo[[#This Row],[Hospital Type]]</f>
        <v>Acute Care Hospitals</v>
      </c>
      <c r="D3593" t="str">
        <f>[1]!hospitalinfo[[#This Row],[Hospital Ownership]]</f>
        <v>Voluntary non-profit - Other</v>
      </c>
      <c r="E3593" cm="1">
        <f t="array" ref="E3593">_xlfn.IFNA(_xlfn.XLOOKUP(1,([1]!hcahps[Facility ID] = clean[[#This Row],[Facility ID]]) * ([1]!hcahps[HCAHPS Measure ID] = "H_HSP_RATING_LINEAR_SCORE"), [1]!hcahps[HCAHPS Linear Mean Value]), "No Match")</f>
        <v>87</v>
      </c>
      <c r="F3593" cm="1">
        <f t="array" ref="F3593">_xlfn.IFNA(_xlfn.XLOOKUP(1,([1]!readmissions[Facility ID] = clean[[#This Row],[Facility ID]]) * ([1]!readmissions[Measure ID] = "Hybrid_HWR"), [1]!readmissions[Score]), "No Match")</f>
        <v>14.2</v>
      </c>
    </row>
    <row r="3594" spans="1:6" x14ac:dyDescent="0.2">
      <c r="A3594">
        <f>[1]!hospitalinfo[[#This Row],[Facility ID]]</f>
        <v>360041</v>
      </c>
      <c r="B3594" t="str">
        <f>[1]!hospitalinfo[[#This Row],[State]]</f>
        <v>OH</v>
      </c>
      <c r="C3594" t="str">
        <f>[1]!hospitalinfo[[#This Row],[Hospital Type]]</f>
        <v>Acute Care Hospitals</v>
      </c>
      <c r="D3594" t="str">
        <f>[1]!hospitalinfo[[#This Row],[Hospital Ownership]]</f>
        <v>Voluntary non-profit - Private</v>
      </c>
      <c r="E3594" cm="1">
        <f t="array" ref="E3594">_xlfn.IFNA(_xlfn.XLOOKUP(1,([1]!hcahps[Facility ID] = clean[[#This Row],[Facility ID]]) * ([1]!hcahps[HCAHPS Measure ID] = "H_HSP_RATING_LINEAR_SCORE"), [1]!hcahps[HCAHPS Linear Mean Value]), "No Match")</f>
        <v>88</v>
      </c>
      <c r="F3594" cm="1">
        <f t="array" ref="F3594">_xlfn.IFNA(_xlfn.XLOOKUP(1,([1]!readmissions[Facility ID] = clean[[#This Row],[Facility ID]]) * ([1]!readmissions[Measure ID] = "Hybrid_HWR"), [1]!readmissions[Score]), "No Match")</f>
        <v>15.8</v>
      </c>
    </row>
    <row r="3595" spans="1:6" x14ac:dyDescent="0.2">
      <c r="A3595">
        <f>[1]!hospitalinfo[[#This Row],[Facility ID]]</f>
        <v>360046</v>
      </c>
      <c r="B3595" t="str">
        <f>[1]!hospitalinfo[[#This Row],[State]]</f>
        <v>OH</v>
      </c>
      <c r="C3595" t="str">
        <f>[1]!hospitalinfo[[#This Row],[Hospital Type]]</f>
        <v>Acute Care Hospitals</v>
      </c>
      <c r="D3595" t="str">
        <f>[1]!hospitalinfo[[#This Row],[Hospital Ownership]]</f>
        <v>Voluntary non-profit - Private</v>
      </c>
      <c r="E3595" cm="1">
        <f t="array" ref="E3595">_xlfn.IFNA(_xlfn.XLOOKUP(1,([1]!hcahps[Facility ID] = clean[[#This Row],[Facility ID]]) * ([1]!hcahps[HCAHPS Measure ID] = "H_HSP_RATING_LINEAR_SCORE"), [1]!hcahps[HCAHPS Linear Mean Value]), "No Match")</f>
        <v>90</v>
      </c>
      <c r="F3595" cm="1">
        <f t="array" ref="F3595">_xlfn.IFNA(_xlfn.XLOOKUP(1,([1]!readmissions[Facility ID] = clean[[#This Row],[Facility ID]]) * ([1]!readmissions[Measure ID] = "Hybrid_HWR"), [1]!readmissions[Score]), "No Match")</f>
        <v>15.5</v>
      </c>
    </row>
    <row r="3596" spans="1:6" x14ac:dyDescent="0.2">
      <c r="A3596">
        <f>[1]!hospitalinfo[[#This Row],[Facility ID]]</f>
        <v>360048</v>
      </c>
      <c r="B3596" t="str">
        <f>[1]!hospitalinfo[[#This Row],[State]]</f>
        <v>OH</v>
      </c>
      <c r="C3596" t="str">
        <f>[1]!hospitalinfo[[#This Row],[Hospital Type]]</f>
        <v>Acute Care Hospitals</v>
      </c>
      <c r="D3596" t="str">
        <f>[1]!hospitalinfo[[#This Row],[Hospital Ownership]]</f>
        <v>Government - State</v>
      </c>
      <c r="E3596" cm="1">
        <f t="array" ref="E3596">_xlfn.IFNA(_xlfn.XLOOKUP(1,([1]!hcahps[Facility ID] = clean[[#This Row],[Facility ID]]) * ([1]!hcahps[HCAHPS Measure ID] = "H_HSP_RATING_LINEAR_SCORE"), [1]!hcahps[HCAHPS Linear Mean Value]), "No Match")</f>
        <v>87</v>
      </c>
      <c r="F3596" cm="1">
        <f t="array" ref="F3596">_xlfn.IFNA(_xlfn.XLOOKUP(1,([1]!readmissions[Facility ID] = clean[[#This Row],[Facility ID]]) * ([1]!readmissions[Measure ID] = "Hybrid_HWR"), [1]!readmissions[Score]), "No Match")</f>
        <v>15.4</v>
      </c>
    </row>
    <row r="3597" spans="1:6" x14ac:dyDescent="0.2">
      <c r="A3597">
        <f>[1]!hospitalinfo[[#This Row],[Facility ID]]</f>
        <v>360051</v>
      </c>
      <c r="B3597" t="str">
        <f>[1]!hospitalinfo[[#This Row],[State]]</f>
        <v>OH</v>
      </c>
      <c r="C3597" t="str">
        <f>[1]!hospitalinfo[[#This Row],[Hospital Type]]</f>
        <v>Acute Care Hospitals</v>
      </c>
      <c r="D3597" t="str">
        <f>[1]!hospitalinfo[[#This Row],[Hospital Ownership]]</f>
        <v>Voluntary non-profit - Private</v>
      </c>
      <c r="E3597" cm="1">
        <f t="array" ref="E3597">_xlfn.IFNA(_xlfn.XLOOKUP(1,([1]!hcahps[Facility ID] = clean[[#This Row],[Facility ID]]) * ([1]!hcahps[HCAHPS Measure ID] = "H_HSP_RATING_LINEAR_SCORE"), [1]!hcahps[HCAHPS Linear Mean Value]), "No Match")</f>
        <v>84</v>
      </c>
      <c r="F3597" cm="1">
        <f t="array" ref="F3597">_xlfn.IFNA(_xlfn.XLOOKUP(1,([1]!readmissions[Facility ID] = clean[[#This Row],[Facility ID]]) * ([1]!readmissions[Measure ID] = "Hybrid_HWR"), [1]!readmissions[Score]), "No Match")</f>
        <v>16</v>
      </c>
    </row>
    <row r="3598" spans="1:6" x14ac:dyDescent="0.2">
      <c r="A3598">
        <f>[1]!hospitalinfo[[#This Row],[Facility ID]]</f>
        <v>360054</v>
      </c>
      <c r="B3598" t="str">
        <f>[1]!hospitalinfo[[#This Row],[State]]</f>
        <v>OH</v>
      </c>
      <c r="C3598" t="str">
        <f>[1]!hospitalinfo[[#This Row],[Hospital Type]]</f>
        <v>Acute Care Hospitals</v>
      </c>
      <c r="D3598" t="str">
        <f>[1]!hospitalinfo[[#This Row],[Hospital Ownership]]</f>
        <v>Voluntary non-profit - Private</v>
      </c>
      <c r="E3598" cm="1">
        <f t="array" ref="E3598">_xlfn.IFNA(_xlfn.XLOOKUP(1,([1]!hcahps[Facility ID] = clean[[#This Row],[Facility ID]]) * ([1]!hcahps[HCAHPS Measure ID] = "H_HSP_RATING_LINEAR_SCORE"), [1]!hcahps[HCAHPS Linear Mean Value]), "No Match")</f>
        <v>88</v>
      </c>
      <c r="F3598" cm="1">
        <f t="array" ref="F3598">_xlfn.IFNA(_xlfn.XLOOKUP(1,([1]!readmissions[Facility ID] = clean[[#This Row],[Facility ID]]) * ([1]!readmissions[Measure ID] = "Hybrid_HWR"), [1]!readmissions[Score]), "No Match")</f>
        <v>14.9</v>
      </c>
    </row>
    <row r="3599" spans="1:6" x14ac:dyDescent="0.2">
      <c r="A3599">
        <f>[1]!hospitalinfo[[#This Row],[Facility ID]]</f>
        <v>360055</v>
      </c>
      <c r="B3599" t="str">
        <f>[1]!hospitalinfo[[#This Row],[State]]</f>
        <v>OH</v>
      </c>
      <c r="C3599" t="str">
        <f>[1]!hospitalinfo[[#This Row],[Hospital Type]]</f>
        <v>Acute Care Hospitals</v>
      </c>
      <c r="D3599" t="str">
        <f>[1]!hospitalinfo[[#This Row],[Hospital Ownership]]</f>
        <v>Proprietary</v>
      </c>
      <c r="E3599" t="str" cm="1">
        <f t="array" ref="E3599">_xlfn.IFNA(_xlfn.XLOOKUP(1,([1]!hcahps[Facility ID] = clean[[#This Row],[Facility ID]]) * ([1]!hcahps[HCAHPS Measure ID] = "H_HSP_RATING_LINEAR_SCORE"), [1]!hcahps[HCAHPS Linear Mean Value]), "No Match")</f>
        <v>Not Available</v>
      </c>
      <c r="F3599" cm="1">
        <f t="array" ref="F3599">_xlfn.IFNA(_xlfn.XLOOKUP(1,([1]!readmissions[Facility ID] = clean[[#This Row],[Facility ID]]) * ([1]!readmissions[Measure ID] = "Hybrid_HWR"), [1]!readmissions[Score]), "No Match")</f>
        <v>15.7</v>
      </c>
    </row>
    <row r="3600" spans="1:6" x14ac:dyDescent="0.2">
      <c r="A3600">
        <f>[1]!hospitalinfo[[#This Row],[Facility ID]]</f>
        <v>360056</v>
      </c>
      <c r="B3600" t="str">
        <f>[1]!hospitalinfo[[#This Row],[State]]</f>
        <v>OH</v>
      </c>
      <c r="C3600" t="str">
        <f>[1]!hospitalinfo[[#This Row],[Hospital Type]]</f>
        <v>Acute Care Hospitals</v>
      </c>
      <c r="D3600" t="str">
        <f>[1]!hospitalinfo[[#This Row],[Hospital Ownership]]</f>
        <v>Voluntary non-profit - Private</v>
      </c>
      <c r="E3600" cm="1">
        <f t="array" ref="E3600">_xlfn.IFNA(_xlfn.XLOOKUP(1,([1]!hcahps[Facility ID] = clean[[#This Row],[Facility ID]]) * ([1]!hcahps[HCAHPS Measure ID] = "H_HSP_RATING_LINEAR_SCORE"), [1]!hcahps[HCAHPS Linear Mean Value]), "No Match")</f>
        <v>87</v>
      </c>
      <c r="F3600" cm="1">
        <f t="array" ref="F3600">_xlfn.IFNA(_xlfn.XLOOKUP(1,([1]!readmissions[Facility ID] = clean[[#This Row],[Facility ID]]) * ([1]!readmissions[Measure ID] = "Hybrid_HWR"), [1]!readmissions[Score]), "No Match")</f>
        <v>14.6</v>
      </c>
    </row>
    <row r="3601" spans="1:6" x14ac:dyDescent="0.2">
      <c r="A3601">
        <f>[1]!hospitalinfo[[#This Row],[Facility ID]]</f>
        <v>360058</v>
      </c>
      <c r="B3601" t="str">
        <f>[1]!hospitalinfo[[#This Row],[State]]</f>
        <v>OH</v>
      </c>
      <c r="C3601" t="str">
        <f>[1]!hospitalinfo[[#This Row],[Hospital Type]]</f>
        <v>Acute Care Hospitals</v>
      </c>
      <c r="D3601" t="str">
        <f>[1]!hospitalinfo[[#This Row],[Hospital Ownership]]</f>
        <v>Government - Hospital District or Authority</v>
      </c>
      <c r="E3601" cm="1">
        <f t="array" ref="E3601">_xlfn.IFNA(_xlfn.XLOOKUP(1,([1]!hcahps[Facility ID] = clean[[#This Row],[Facility ID]]) * ([1]!hcahps[HCAHPS Measure ID] = "H_HSP_RATING_LINEAR_SCORE"), [1]!hcahps[HCAHPS Linear Mean Value]), "No Match")</f>
        <v>92</v>
      </c>
      <c r="F3601" cm="1">
        <f t="array" ref="F3601">_xlfn.IFNA(_xlfn.XLOOKUP(1,([1]!readmissions[Facility ID] = clean[[#This Row],[Facility ID]]) * ([1]!readmissions[Measure ID] = "Hybrid_HWR"), [1]!readmissions[Score]), "No Match")</f>
        <v>15.5</v>
      </c>
    </row>
    <row r="3602" spans="1:6" x14ac:dyDescent="0.2">
      <c r="A3602">
        <f>[1]!hospitalinfo[[#This Row],[Facility ID]]</f>
        <v>360059</v>
      </c>
      <c r="B3602" t="str">
        <f>[1]!hospitalinfo[[#This Row],[State]]</f>
        <v>OH</v>
      </c>
      <c r="C3602" t="str">
        <f>[1]!hospitalinfo[[#This Row],[Hospital Type]]</f>
        <v>Acute Care Hospitals</v>
      </c>
      <c r="D3602" t="str">
        <f>[1]!hospitalinfo[[#This Row],[Hospital Ownership]]</f>
        <v>Voluntary non-profit - Other</v>
      </c>
      <c r="E3602" cm="1">
        <f t="array" ref="E3602">_xlfn.IFNA(_xlfn.XLOOKUP(1,([1]!hcahps[Facility ID] = clean[[#This Row],[Facility ID]]) * ([1]!hcahps[HCAHPS Measure ID] = "H_HSP_RATING_LINEAR_SCORE"), [1]!hcahps[HCAHPS Linear Mean Value]), "No Match")</f>
        <v>89</v>
      </c>
      <c r="F3602" cm="1">
        <f t="array" ref="F3602">_xlfn.IFNA(_xlfn.XLOOKUP(1,([1]!readmissions[Facility ID] = clean[[#This Row],[Facility ID]]) * ([1]!readmissions[Measure ID] = "Hybrid_HWR"), [1]!readmissions[Score]), "No Match")</f>
        <v>15.6</v>
      </c>
    </row>
    <row r="3603" spans="1:6" x14ac:dyDescent="0.2">
      <c r="A3603">
        <f>[1]!hospitalinfo[[#This Row],[Facility ID]]</f>
        <v>360064</v>
      </c>
      <c r="B3603" t="str">
        <f>[1]!hospitalinfo[[#This Row],[State]]</f>
        <v>OH</v>
      </c>
      <c r="C3603" t="str">
        <f>[1]!hospitalinfo[[#This Row],[Hospital Type]]</f>
        <v>Acute Care Hospitals</v>
      </c>
      <c r="D3603" t="str">
        <f>[1]!hospitalinfo[[#This Row],[Hospital Ownership]]</f>
        <v>Voluntary non-profit - Church</v>
      </c>
      <c r="E3603" cm="1">
        <f t="array" ref="E3603">_xlfn.IFNA(_xlfn.XLOOKUP(1,([1]!hcahps[Facility ID] = clean[[#This Row],[Facility ID]]) * ([1]!hcahps[HCAHPS Measure ID] = "H_HSP_RATING_LINEAR_SCORE"), [1]!hcahps[HCAHPS Linear Mean Value]), "No Match")</f>
        <v>82</v>
      </c>
      <c r="F3603" cm="1">
        <f t="array" ref="F3603">_xlfn.IFNA(_xlfn.XLOOKUP(1,([1]!readmissions[Facility ID] = clean[[#This Row],[Facility ID]]) * ([1]!readmissions[Measure ID] = "Hybrid_HWR"), [1]!readmissions[Score]), "No Match")</f>
        <v>15.4</v>
      </c>
    </row>
    <row r="3604" spans="1:6" x14ac:dyDescent="0.2">
      <c r="A3604">
        <f>[1]!hospitalinfo[[#This Row],[Facility ID]]</f>
        <v>360065</v>
      </c>
      <c r="B3604" t="str">
        <f>[1]!hospitalinfo[[#This Row],[State]]</f>
        <v>OH</v>
      </c>
      <c r="C3604" t="str">
        <f>[1]!hospitalinfo[[#This Row],[Hospital Type]]</f>
        <v>Acute Care Hospitals</v>
      </c>
      <c r="D3604" t="str">
        <f>[1]!hospitalinfo[[#This Row],[Hospital Ownership]]</f>
        <v>Voluntary non-profit - Private</v>
      </c>
      <c r="E3604" cm="1">
        <f t="array" ref="E3604">_xlfn.IFNA(_xlfn.XLOOKUP(1,([1]!hcahps[Facility ID] = clean[[#This Row],[Facility ID]]) * ([1]!hcahps[HCAHPS Measure ID] = "H_HSP_RATING_LINEAR_SCORE"), [1]!hcahps[HCAHPS Linear Mean Value]), "No Match")</f>
        <v>87</v>
      </c>
      <c r="F3604" cm="1">
        <f t="array" ref="F3604">_xlfn.IFNA(_xlfn.XLOOKUP(1,([1]!readmissions[Facility ID] = clean[[#This Row],[Facility ID]]) * ([1]!readmissions[Measure ID] = "Hybrid_HWR"), [1]!readmissions[Score]), "No Match")</f>
        <v>15.6</v>
      </c>
    </row>
    <row r="3605" spans="1:6" x14ac:dyDescent="0.2">
      <c r="A3605">
        <f>[1]!hospitalinfo[[#This Row],[Facility ID]]</f>
        <v>360066</v>
      </c>
      <c r="B3605" t="str">
        <f>[1]!hospitalinfo[[#This Row],[State]]</f>
        <v>OH</v>
      </c>
      <c r="C3605" t="str">
        <f>[1]!hospitalinfo[[#This Row],[Hospital Type]]</f>
        <v>Acute Care Hospitals</v>
      </c>
      <c r="D3605" t="str">
        <f>[1]!hospitalinfo[[#This Row],[Hospital Ownership]]</f>
        <v>Voluntary non-profit - Private</v>
      </c>
      <c r="E3605" cm="1">
        <f t="array" ref="E3605">_xlfn.IFNA(_xlfn.XLOOKUP(1,([1]!hcahps[Facility ID] = clean[[#This Row],[Facility ID]]) * ([1]!hcahps[HCAHPS Measure ID] = "H_HSP_RATING_LINEAR_SCORE"), [1]!hcahps[HCAHPS Linear Mean Value]), "No Match")</f>
        <v>88</v>
      </c>
      <c r="F3605" cm="1">
        <f t="array" ref="F3605">_xlfn.IFNA(_xlfn.XLOOKUP(1,([1]!readmissions[Facility ID] = clean[[#This Row],[Facility ID]]) * ([1]!readmissions[Measure ID] = "Hybrid_HWR"), [1]!readmissions[Score]), "No Match")</f>
        <v>13.7</v>
      </c>
    </row>
    <row r="3606" spans="1:6" x14ac:dyDescent="0.2">
      <c r="A3606">
        <f>[1]!hospitalinfo[[#This Row],[Facility ID]]</f>
        <v>360068</v>
      </c>
      <c r="B3606" t="str">
        <f>[1]!hospitalinfo[[#This Row],[State]]</f>
        <v>OH</v>
      </c>
      <c r="C3606" t="str">
        <f>[1]!hospitalinfo[[#This Row],[Hospital Type]]</f>
        <v>Acute Care Hospitals</v>
      </c>
      <c r="D3606" t="str">
        <f>[1]!hospitalinfo[[#This Row],[Hospital Ownership]]</f>
        <v>Voluntary non-profit - Private</v>
      </c>
      <c r="E3606" cm="1">
        <f t="array" ref="E3606">_xlfn.IFNA(_xlfn.XLOOKUP(1,([1]!hcahps[Facility ID] = clean[[#This Row],[Facility ID]]) * ([1]!hcahps[HCAHPS Measure ID] = "H_HSP_RATING_LINEAR_SCORE"), [1]!hcahps[HCAHPS Linear Mean Value]), "No Match")</f>
        <v>87</v>
      </c>
      <c r="F3606" cm="1">
        <f t="array" ref="F3606">_xlfn.IFNA(_xlfn.XLOOKUP(1,([1]!readmissions[Facility ID] = clean[[#This Row],[Facility ID]]) * ([1]!readmissions[Measure ID] = "Hybrid_HWR"), [1]!readmissions[Score]), "No Match")</f>
        <v>14.7</v>
      </c>
    </row>
    <row r="3607" spans="1:6" x14ac:dyDescent="0.2">
      <c r="A3607">
        <f>[1]!hospitalinfo[[#This Row],[Facility ID]]</f>
        <v>360070</v>
      </c>
      <c r="B3607" t="str">
        <f>[1]!hospitalinfo[[#This Row],[State]]</f>
        <v>OH</v>
      </c>
      <c r="C3607" t="str">
        <f>[1]!hospitalinfo[[#This Row],[Hospital Type]]</f>
        <v>Acute Care Hospitals</v>
      </c>
      <c r="D3607" t="str">
        <f>[1]!hospitalinfo[[#This Row],[Hospital Ownership]]</f>
        <v>Voluntary non-profit - Private</v>
      </c>
      <c r="E3607" cm="1">
        <f t="array" ref="E3607">_xlfn.IFNA(_xlfn.XLOOKUP(1,([1]!hcahps[Facility ID] = clean[[#This Row],[Facility ID]]) * ([1]!hcahps[HCAHPS Measure ID] = "H_HSP_RATING_LINEAR_SCORE"), [1]!hcahps[HCAHPS Linear Mean Value]), "No Match")</f>
        <v>85</v>
      </c>
      <c r="F3607" cm="1">
        <f t="array" ref="F3607">_xlfn.IFNA(_xlfn.XLOOKUP(1,([1]!readmissions[Facility ID] = clean[[#This Row],[Facility ID]]) * ([1]!readmissions[Measure ID] = "Hybrid_HWR"), [1]!readmissions[Score]), "No Match")</f>
        <v>15.4</v>
      </c>
    </row>
    <row r="3608" spans="1:6" x14ac:dyDescent="0.2">
      <c r="A3608">
        <f>[1]!hospitalinfo[[#This Row],[Facility ID]]</f>
        <v>360071</v>
      </c>
      <c r="B3608" t="str">
        <f>[1]!hospitalinfo[[#This Row],[State]]</f>
        <v>OH</v>
      </c>
      <c r="C3608" t="str">
        <f>[1]!hospitalinfo[[#This Row],[Hospital Type]]</f>
        <v>Acute Care Hospitals</v>
      </c>
      <c r="D3608" t="str">
        <f>[1]!hospitalinfo[[#This Row],[Hospital Ownership]]</f>
        <v>Voluntary non-profit - Private</v>
      </c>
      <c r="E3608" cm="1">
        <f t="array" ref="E3608">_xlfn.IFNA(_xlfn.XLOOKUP(1,([1]!hcahps[Facility ID] = clean[[#This Row],[Facility ID]]) * ([1]!hcahps[HCAHPS Measure ID] = "H_HSP_RATING_LINEAR_SCORE"), [1]!hcahps[HCAHPS Linear Mean Value]), "No Match")</f>
        <v>90</v>
      </c>
      <c r="F3608" cm="1">
        <f t="array" ref="F3608">_xlfn.IFNA(_xlfn.XLOOKUP(1,([1]!readmissions[Facility ID] = clean[[#This Row],[Facility ID]]) * ([1]!readmissions[Measure ID] = "Hybrid_HWR"), [1]!readmissions[Score]), "No Match")</f>
        <v>14.5</v>
      </c>
    </row>
    <row r="3609" spans="1:6" x14ac:dyDescent="0.2">
      <c r="A3609">
        <f>[1]!hospitalinfo[[#This Row],[Facility ID]]</f>
        <v>360072</v>
      </c>
      <c r="B3609" t="str">
        <f>[1]!hospitalinfo[[#This Row],[State]]</f>
        <v>OH</v>
      </c>
      <c r="C3609" t="str">
        <f>[1]!hospitalinfo[[#This Row],[Hospital Type]]</f>
        <v>Acute Care Hospitals</v>
      </c>
      <c r="D3609" t="str">
        <f>[1]!hospitalinfo[[#This Row],[Hospital Ownership]]</f>
        <v>Voluntary non-profit - Other</v>
      </c>
      <c r="E3609" cm="1">
        <f t="array" ref="E3609">_xlfn.IFNA(_xlfn.XLOOKUP(1,([1]!hcahps[Facility ID] = clean[[#This Row],[Facility ID]]) * ([1]!hcahps[HCAHPS Measure ID] = "H_HSP_RATING_LINEAR_SCORE"), [1]!hcahps[HCAHPS Linear Mean Value]), "No Match")</f>
        <v>88</v>
      </c>
      <c r="F3609" cm="1">
        <f t="array" ref="F3609">_xlfn.IFNA(_xlfn.XLOOKUP(1,([1]!readmissions[Facility ID] = clean[[#This Row],[Facility ID]]) * ([1]!readmissions[Measure ID] = "Hybrid_HWR"), [1]!readmissions[Score]), "No Match")</f>
        <v>15.3</v>
      </c>
    </row>
    <row r="3610" spans="1:6" x14ac:dyDescent="0.2">
      <c r="A3610">
        <f>[1]!hospitalinfo[[#This Row],[Facility ID]]</f>
        <v>360075</v>
      </c>
      <c r="B3610" t="str">
        <f>[1]!hospitalinfo[[#This Row],[State]]</f>
        <v>OH</v>
      </c>
      <c r="C3610" t="str">
        <f>[1]!hospitalinfo[[#This Row],[Hospital Type]]</f>
        <v>Acute Care Hospitals</v>
      </c>
      <c r="D3610" t="str">
        <f>[1]!hospitalinfo[[#This Row],[Hospital Ownership]]</f>
        <v>Proprietary</v>
      </c>
      <c r="E3610" cm="1">
        <f t="array" ref="E3610">_xlfn.IFNA(_xlfn.XLOOKUP(1,([1]!hcahps[Facility ID] = clean[[#This Row],[Facility ID]]) * ([1]!hcahps[HCAHPS Measure ID] = "H_HSP_RATING_LINEAR_SCORE"), [1]!hcahps[HCAHPS Linear Mean Value]), "No Match")</f>
        <v>91</v>
      </c>
      <c r="F3610" cm="1">
        <f t="array" ref="F3610">_xlfn.IFNA(_xlfn.XLOOKUP(1,([1]!readmissions[Facility ID] = clean[[#This Row],[Facility ID]]) * ([1]!readmissions[Measure ID] = "Hybrid_HWR"), [1]!readmissions[Score]), "No Match")</f>
        <v>14.4</v>
      </c>
    </row>
    <row r="3611" spans="1:6" x14ac:dyDescent="0.2">
      <c r="A3611">
        <f>[1]!hospitalinfo[[#This Row],[Facility ID]]</f>
        <v>360076</v>
      </c>
      <c r="B3611" t="str">
        <f>[1]!hospitalinfo[[#This Row],[State]]</f>
        <v>OH</v>
      </c>
      <c r="C3611" t="str">
        <f>[1]!hospitalinfo[[#This Row],[Hospital Type]]</f>
        <v>Acute Care Hospitals</v>
      </c>
      <c r="D3611" t="str">
        <f>[1]!hospitalinfo[[#This Row],[Hospital Ownership]]</f>
        <v>Voluntary non-profit - Private</v>
      </c>
      <c r="E3611" cm="1">
        <f t="array" ref="E3611">_xlfn.IFNA(_xlfn.XLOOKUP(1,([1]!hcahps[Facility ID] = clean[[#This Row],[Facility ID]]) * ([1]!hcahps[HCAHPS Measure ID] = "H_HSP_RATING_LINEAR_SCORE"), [1]!hcahps[HCAHPS Linear Mean Value]), "No Match")</f>
        <v>85</v>
      </c>
      <c r="F3611" cm="1">
        <f t="array" ref="F3611">_xlfn.IFNA(_xlfn.XLOOKUP(1,([1]!readmissions[Facility ID] = clean[[#This Row],[Facility ID]]) * ([1]!readmissions[Measure ID] = "Hybrid_HWR"), [1]!readmissions[Score]), "No Match")</f>
        <v>15.5</v>
      </c>
    </row>
    <row r="3612" spans="1:6" x14ac:dyDescent="0.2">
      <c r="A3612">
        <f>[1]!hospitalinfo[[#This Row],[Facility ID]]</f>
        <v>360077</v>
      </c>
      <c r="B3612" t="str">
        <f>[1]!hospitalinfo[[#This Row],[State]]</f>
        <v>OH</v>
      </c>
      <c r="C3612" t="str">
        <f>[1]!hospitalinfo[[#This Row],[Hospital Type]]</f>
        <v>Acute Care Hospitals</v>
      </c>
      <c r="D3612" t="str">
        <f>[1]!hospitalinfo[[#This Row],[Hospital Ownership]]</f>
        <v>Voluntary non-profit - Private</v>
      </c>
      <c r="E3612" cm="1">
        <f t="array" ref="E3612">_xlfn.IFNA(_xlfn.XLOOKUP(1,([1]!hcahps[Facility ID] = clean[[#This Row],[Facility ID]]) * ([1]!hcahps[HCAHPS Measure ID] = "H_HSP_RATING_LINEAR_SCORE"), [1]!hcahps[HCAHPS Linear Mean Value]), "No Match")</f>
        <v>89</v>
      </c>
      <c r="F3612" cm="1">
        <f t="array" ref="F3612">_xlfn.IFNA(_xlfn.XLOOKUP(1,([1]!readmissions[Facility ID] = clean[[#This Row],[Facility ID]]) * ([1]!readmissions[Measure ID] = "Hybrid_HWR"), [1]!readmissions[Score]), "No Match")</f>
        <v>14.6</v>
      </c>
    </row>
    <row r="3613" spans="1:6" x14ac:dyDescent="0.2">
      <c r="A3613">
        <f>[1]!hospitalinfo[[#This Row],[Facility ID]]</f>
        <v>360078</v>
      </c>
      <c r="B3613" t="str">
        <f>[1]!hospitalinfo[[#This Row],[State]]</f>
        <v>OH</v>
      </c>
      <c r="C3613" t="str">
        <f>[1]!hospitalinfo[[#This Row],[Hospital Type]]</f>
        <v>Acute Care Hospitals</v>
      </c>
      <c r="D3613" t="str">
        <f>[1]!hospitalinfo[[#This Row],[Hospital Ownership]]</f>
        <v>Voluntary non-profit - Private</v>
      </c>
      <c r="E3613" cm="1">
        <f t="array" ref="E3613">_xlfn.IFNA(_xlfn.XLOOKUP(1,([1]!hcahps[Facility ID] = clean[[#This Row],[Facility ID]]) * ([1]!hcahps[HCAHPS Measure ID] = "H_HSP_RATING_LINEAR_SCORE"), [1]!hcahps[HCAHPS Linear Mean Value]), "No Match")</f>
        <v>88</v>
      </c>
      <c r="F3613" cm="1">
        <f t="array" ref="F3613">_xlfn.IFNA(_xlfn.XLOOKUP(1,([1]!readmissions[Facility ID] = clean[[#This Row],[Facility ID]]) * ([1]!readmissions[Measure ID] = "Hybrid_HWR"), [1]!readmissions[Score]), "No Match")</f>
        <v>15.5</v>
      </c>
    </row>
    <row r="3614" spans="1:6" x14ac:dyDescent="0.2">
      <c r="A3614">
        <f>[1]!hospitalinfo[[#This Row],[Facility ID]]</f>
        <v>360079</v>
      </c>
      <c r="B3614" t="str">
        <f>[1]!hospitalinfo[[#This Row],[State]]</f>
        <v>OH</v>
      </c>
      <c r="C3614" t="str">
        <f>[1]!hospitalinfo[[#This Row],[Hospital Type]]</f>
        <v>Acute Care Hospitals</v>
      </c>
      <c r="D3614" t="str">
        <f>[1]!hospitalinfo[[#This Row],[Hospital Ownership]]</f>
        <v>Voluntary non-profit - Church</v>
      </c>
      <c r="E3614" cm="1">
        <f t="array" ref="E3614">_xlfn.IFNA(_xlfn.XLOOKUP(1,([1]!hcahps[Facility ID] = clean[[#This Row],[Facility ID]]) * ([1]!hcahps[HCAHPS Measure ID] = "H_HSP_RATING_LINEAR_SCORE"), [1]!hcahps[HCAHPS Linear Mean Value]), "No Match")</f>
        <v>90</v>
      </c>
      <c r="F3614" cm="1">
        <f t="array" ref="F3614">_xlfn.IFNA(_xlfn.XLOOKUP(1,([1]!readmissions[Facility ID] = clean[[#This Row],[Facility ID]]) * ([1]!readmissions[Measure ID] = "Hybrid_HWR"), [1]!readmissions[Score]), "No Match")</f>
        <v>15.2</v>
      </c>
    </row>
    <row r="3615" spans="1:6" x14ac:dyDescent="0.2">
      <c r="A3615">
        <f>[1]!hospitalinfo[[#This Row],[Facility ID]]</f>
        <v>360080</v>
      </c>
      <c r="B3615" t="str">
        <f>[1]!hospitalinfo[[#This Row],[State]]</f>
        <v>OH</v>
      </c>
      <c r="C3615" t="str">
        <f>[1]!hospitalinfo[[#This Row],[Hospital Type]]</f>
        <v>Acute Care Hospitals</v>
      </c>
      <c r="D3615" t="str">
        <f>[1]!hospitalinfo[[#This Row],[Hospital Ownership]]</f>
        <v>Voluntary non-profit - Other</v>
      </c>
      <c r="E3615" t="str" cm="1">
        <f t="array" ref="E3615">_xlfn.IFNA(_xlfn.XLOOKUP(1,([1]!hcahps[Facility ID] = clean[[#This Row],[Facility ID]]) * ([1]!hcahps[HCAHPS Measure ID] = "H_HSP_RATING_LINEAR_SCORE"), [1]!hcahps[HCAHPS Linear Mean Value]), "No Match")</f>
        <v>Not Available</v>
      </c>
      <c r="F3615" cm="1">
        <f t="array" ref="F3615">_xlfn.IFNA(_xlfn.XLOOKUP(1,([1]!readmissions[Facility ID] = clean[[#This Row],[Facility ID]]) * ([1]!readmissions[Measure ID] = "Hybrid_HWR"), [1]!readmissions[Score]), "No Match")</f>
        <v>15.7</v>
      </c>
    </row>
    <row r="3616" spans="1:6" x14ac:dyDescent="0.2">
      <c r="A3616">
        <f>[1]!hospitalinfo[[#This Row],[Facility ID]]</f>
        <v>360082</v>
      </c>
      <c r="B3616" t="str">
        <f>[1]!hospitalinfo[[#This Row],[State]]</f>
        <v>OH</v>
      </c>
      <c r="C3616" t="str">
        <f>[1]!hospitalinfo[[#This Row],[Hospital Type]]</f>
        <v>Acute Care Hospitals</v>
      </c>
      <c r="D3616" t="str">
        <f>[1]!hospitalinfo[[#This Row],[Hospital Ownership]]</f>
        <v>Voluntary non-profit - Other</v>
      </c>
      <c r="E3616" cm="1">
        <f t="array" ref="E3616">_xlfn.IFNA(_xlfn.XLOOKUP(1,([1]!hcahps[Facility ID] = clean[[#This Row],[Facility ID]]) * ([1]!hcahps[HCAHPS Measure ID] = "H_HSP_RATING_LINEAR_SCORE"), [1]!hcahps[HCAHPS Linear Mean Value]), "No Match")</f>
        <v>86</v>
      </c>
      <c r="F3616" cm="1">
        <f t="array" ref="F3616">_xlfn.IFNA(_xlfn.XLOOKUP(1,([1]!readmissions[Facility ID] = clean[[#This Row],[Facility ID]]) * ([1]!readmissions[Measure ID] = "Hybrid_HWR"), [1]!readmissions[Score]), "No Match")</f>
        <v>15</v>
      </c>
    </row>
    <row r="3617" spans="1:6" x14ac:dyDescent="0.2">
      <c r="A3617">
        <f>[1]!hospitalinfo[[#This Row],[Facility ID]]</f>
        <v>360084</v>
      </c>
      <c r="B3617" t="str">
        <f>[1]!hospitalinfo[[#This Row],[State]]</f>
        <v>OH</v>
      </c>
      <c r="C3617" t="str">
        <f>[1]!hospitalinfo[[#This Row],[Hospital Type]]</f>
        <v>Acute Care Hospitals</v>
      </c>
      <c r="D3617" t="str">
        <f>[1]!hospitalinfo[[#This Row],[Hospital Ownership]]</f>
        <v>Voluntary non-profit - Other</v>
      </c>
      <c r="E3617" cm="1">
        <f t="array" ref="E3617">_xlfn.IFNA(_xlfn.XLOOKUP(1,([1]!hcahps[Facility ID] = clean[[#This Row],[Facility ID]]) * ([1]!hcahps[HCAHPS Measure ID] = "H_HSP_RATING_LINEAR_SCORE"), [1]!hcahps[HCAHPS Linear Mean Value]), "No Match")</f>
        <v>87</v>
      </c>
      <c r="F3617" cm="1">
        <f t="array" ref="F3617">_xlfn.IFNA(_xlfn.XLOOKUP(1,([1]!readmissions[Facility ID] = clean[[#This Row],[Facility ID]]) * ([1]!readmissions[Measure ID] = "Hybrid_HWR"), [1]!readmissions[Score]), "No Match")</f>
        <v>13.9</v>
      </c>
    </row>
    <row r="3618" spans="1:6" x14ac:dyDescent="0.2">
      <c r="A3618">
        <f>[1]!hospitalinfo[[#This Row],[Facility ID]]</f>
        <v>360085</v>
      </c>
      <c r="B3618" t="str">
        <f>[1]!hospitalinfo[[#This Row],[State]]</f>
        <v>OH</v>
      </c>
      <c r="C3618" t="str">
        <f>[1]!hospitalinfo[[#This Row],[Hospital Type]]</f>
        <v>Acute Care Hospitals</v>
      </c>
      <c r="D3618" t="str">
        <f>[1]!hospitalinfo[[#This Row],[Hospital Ownership]]</f>
        <v>Government - State</v>
      </c>
      <c r="E3618" cm="1">
        <f t="array" ref="E3618">_xlfn.IFNA(_xlfn.XLOOKUP(1,([1]!hcahps[Facility ID] = clean[[#This Row],[Facility ID]]) * ([1]!hcahps[HCAHPS Measure ID] = "H_HSP_RATING_LINEAR_SCORE"), [1]!hcahps[HCAHPS Linear Mean Value]), "No Match")</f>
        <v>88</v>
      </c>
      <c r="F3618" cm="1">
        <f t="array" ref="F3618">_xlfn.IFNA(_xlfn.XLOOKUP(1,([1]!readmissions[Facility ID] = clean[[#This Row],[Facility ID]]) * ([1]!readmissions[Measure ID] = "Hybrid_HWR"), [1]!readmissions[Score]), "No Match")</f>
        <v>14.6</v>
      </c>
    </row>
    <row r="3619" spans="1:6" x14ac:dyDescent="0.2">
      <c r="A3619">
        <f>[1]!hospitalinfo[[#This Row],[Facility ID]]</f>
        <v>360086</v>
      </c>
      <c r="B3619" t="str">
        <f>[1]!hospitalinfo[[#This Row],[State]]</f>
        <v>OH</v>
      </c>
      <c r="C3619" t="str">
        <f>[1]!hospitalinfo[[#This Row],[Hospital Type]]</f>
        <v>Acute Care Hospitals</v>
      </c>
      <c r="D3619" t="str">
        <f>[1]!hospitalinfo[[#This Row],[Hospital Ownership]]</f>
        <v>Voluntary non-profit - Private</v>
      </c>
      <c r="E3619" cm="1">
        <f t="array" ref="E3619">_xlfn.IFNA(_xlfn.XLOOKUP(1,([1]!hcahps[Facility ID] = clean[[#This Row],[Facility ID]]) * ([1]!hcahps[HCAHPS Measure ID] = "H_HSP_RATING_LINEAR_SCORE"), [1]!hcahps[HCAHPS Linear Mean Value]), "No Match")</f>
        <v>85</v>
      </c>
      <c r="F3619" cm="1">
        <f t="array" ref="F3619">_xlfn.IFNA(_xlfn.XLOOKUP(1,([1]!readmissions[Facility ID] = clean[[#This Row],[Facility ID]]) * ([1]!readmissions[Measure ID] = "Hybrid_HWR"), [1]!readmissions[Score]), "No Match")</f>
        <v>14.7</v>
      </c>
    </row>
    <row r="3620" spans="1:6" x14ac:dyDescent="0.2">
      <c r="A3620">
        <f>[1]!hospitalinfo[[#This Row],[Facility ID]]</f>
        <v>360087</v>
      </c>
      <c r="B3620" t="str">
        <f>[1]!hospitalinfo[[#This Row],[State]]</f>
        <v>OH</v>
      </c>
      <c r="C3620" t="str">
        <f>[1]!hospitalinfo[[#This Row],[Hospital Type]]</f>
        <v>Acute Care Hospitals</v>
      </c>
      <c r="D3620" t="str">
        <f>[1]!hospitalinfo[[#This Row],[Hospital Ownership]]</f>
        <v>Voluntary non-profit - Private</v>
      </c>
      <c r="E3620" cm="1">
        <f t="array" ref="E3620">_xlfn.IFNA(_xlfn.XLOOKUP(1,([1]!hcahps[Facility ID] = clean[[#This Row],[Facility ID]]) * ([1]!hcahps[HCAHPS Measure ID] = "H_HSP_RATING_LINEAR_SCORE"), [1]!hcahps[HCAHPS Linear Mean Value]), "No Match")</f>
        <v>84</v>
      </c>
      <c r="F3620" cm="1">
        <f t="array" ref="F3620">_xlfn.IFNA(_xlfn.XLOOKUP(1,([1]!readmissions[Facility ID] = clean[[#This Row],[Facility ID]]) * ([1]!readmissions[Measure ID] = "Hybrid_HWR"), [1]!readmissions[Score]), "No Match")</f>
        <v>15.1</v>
      </c>
    </row>
    <row r="3621" spans="1:6" x14ac:dyDescent="0.2">
      <c r="A3621">
        <f>[1]!hospitalinfo[[#This Row],[Facility ID]]</f>
        <v>360089</v>
      </c>
      <c r="B3621" t="str">
        <f>[1]!hospitalinfo[[#This Row],[State]]</f>
        <v>OH</v>
      </c>
      <c r="C3621" t="str">
        <f>[1]!hospitalinfo[[#This Row],[Hospital Type]]</f>
        <v>Acute Care Hospitals</v>
      </c>
      <c r="D3621" t="str">
        <f>[1]!hospitalinfo[[#This Row],[Hospital Ownership]]</f>
        <v>Voluntary non-profit - Church</v>
      </c>
      <c r="E3621" cm="1">
        <f t="array" ref="E3621">_xlfn.IFNA(_xlfn.XLOOKUP(1,([1]!hcahps[Facility ID] = clean[[#This Row],[Facility ID]]) * ([1]!hcahps[HCAHPS Measure ID] = "H_HSP_RATING_LINEAR_SCORE"), [1]!hcahps[HCAHPS Linear Mean Value]), "No Match")</f>
        <v>91</v>
      </c>
      <c r="F3621" cm="1">
        <f t="array" ref="F3621">_xlfn.IFNA(_xlfn.XLOOKUP(1,([1]!readmissions[Facility ID] = clean[[#This Row],[Facility ID]]) * ([1]!readmissions[Measure ID] = "Hybrid_HWR"), [1]!readmissions[Score]), "No Match")</f>
        <v>15.2</v>
      </c>
    </row>
    <row r="3622" spans="1:6" x14ac:dyDescent="0.2">
      <c r="A3622">
        <f>[1]!hospitalinfo[[#This Row],[Facility ID]]</f>
        <v>360091</v>
      </c>
      <c r="B3622" t="str">
        <f>[1]!hospitalinfo[[#This Row],[State]]</f>
        <v>OH</v>
      </c>
      <c r="C3622" t="str">
        <f>[1]!hospitalinfo[[#This Row],[Hospital Type]]</f>
        <v>Acute Care Hospitals</v>
      </c>
      <c r="D3622" t="str">
        <f>[1]!hospitalinfo[[#This Row],[Hospital Ownership]]</f>
        <v>Voluntary non-profit - Private</v>
      </c>
      <c r="E3622" cm="1">
        <f t="array" ref="E3622">_xlfn.IFNA(_xlfn.XLOOKUP(1,([1]!hcahps[Facility ID] = clean[[#This Row],[Facility ID]]) * ([1]!hcahps[HCAHPS Measure ID] = "H_HSP_RATING_LINEAR_SCORE"), [1]!hcahps[HCAHPS Linear Mean Value]), "No Match")</f>
        <v>86</v>
      </c>
      <c r="F3622" cm="1">
        <f t="array" ref="F3622">_xlfn.IFNA(_xlfn.XLOOKUP(1,([1]!readmissions[Facility ID] = clean[[#This Row],[Facility ID]]) * ([1]!readmissions[Measure ID] = "Hybrid_HWR"), [1]!readmissions[Score]), "No Match")</f>
        <v>15</v>
      </c>
    </row>
    <row r="3623" spans="1:6" x14ac:dyDescent="0.2">
      <c r="A3623">
        <f>[1]!hospitalinfo[[#This Row],[Facility ID]]</f>
        <v>360092</v>
      </c>
      <c r="B3623" t="str">
        <f>[1]!hospitalinfo[[#This Row],[State]]</f>
        <v>OH</v>
      </c>
      <c r="C3623" t="str">
        <f>[1]!hospitalinfo[[#This Row],[Hospital Type]]</f>
        <v>Acute Care Hospitals</v>
      </c>
      <c r="D3623" t="str">
        <f>[1]!hospitalinfo[[#This Row],[Hospital Ownership]]</f>
        <v>Government - Local</v>
      </c>
      <c r="E3623" cm="1">
        <f t="array" ref="E3623">_xlfn.IFNA(_xlfn.XLOOKUP(1,([1]!hcahps[Facility ID] = clean[[#This Row],[Facility ID]]) * ([1]!hcahps[HCAHPS Measure ID] = "H_HSP_RATING_LINEAR_SCORE"), [1]!hcahps[HCAHPS Linear Mean Value]), "No Match")</f>
        <v>93</v>
      </c>
      <c r="F3623" cm="1">
        <f t="array" ref="F3623">_xlfn.IFNA(_xlfn.XLOOKUP(1,([1]!readmissions[Facility ID] = clean[[#This Row],[Facility ID]]) * ([1]!readmissions[Measure ID] = "Hybrid_HWR"), [1]!readmissions[Score]), "No Match")</f>
        <v>14.9</v>
      </c>
    </row>
    <row r="3624" spans="1:6" x14ac:dyDescent="0.2">
      <c r="A3624">
        <f>[1]!hospitalinfo[[#This Row],[Facility ID]]</f>
        <v>360095</v>
      </c>
      <c r="B3624" t="str">
        <f>[1]!hospitalinfo[[#This Row],[State]]</f>
        <v>OH</v>
      </c>
      <c r="C3624" t="str">
        <f>[1]!hospitalinfo[[#This Row],[Hospital Type]]</f>
        <v>Acute Care Hospitals</v>
      </c>
      <c r="D3624" t="str">
        <f>[1]!hospitalinfo[[#This Row],[Hospital Ownership]]</f>
        <v>Voluntary non-profit - Other</v>
      </c>
      <c r="E3624" cm="1">
        <f t="array" ref="E3624">_xlfn.IFNA(_xlfn.XLOOKUP(1,([1]!hcahps[Facility ID] = clean[[#This Row],[Facility ID]]) * ([1]!hcahps[HCAHPS Measure ID] = "H_HSP_RATING_LINEAR_SCORE"), [1]!hcahps[HCAHPS Linear Mean Value]), "No Match")</f>
        <v>90</v>
      </c>
      <c r="F3624" cm="1">
        <f t="array" ref="F3624">_xlfn.IFNA(_xlfn.XLOOKUP(1,([1]!readmissions[Facility ID] = clean[[#This Row],[Facility ID]]) * ([1]!readmissions[Measure ID] = "Hybrid_HWR"), [1]!readmissions[Score]), "No Match")</f>
        <v>14.4</v>
      </c>
    </row>
    <row r="3625" spans="1:6" x14ac:dyDescent="0.2">
      <c r="A3625">
        <f>[1]!hospitalinfo[[#This Row],[Facility ID]]</f>
        <v>360096</v>
      </c>
      <c r="B3625" t="str">
        <f>[1]!hospitalinfo[[#This Row],[State]]</f>
        <v>OH</v>
      </c>
      <c r="C3625" t="str">
        <f>[1]!hospitalinfo[[#This Row],[Hospital Type]]</f>
        <v>Acute Care Hospitals</v>
      </c>
      <c r="D3625" t="str">
        <f>[1]!hospitalinfo[[#This Row],[Hospital Ownership]]</f>
        <v>Voluntary non-profit - Private</v>
      </c>
      <c r="E3625" cm="1">
        <f t="array" ref="E3625">_xlfn.IFNA(_xlfn.XLOOKUP(1,([1]!hcahps[Facility ID] = clean[[#This Row],[Facility ID]]) * ([1]!hcahps[HCAHPS Measure ID] = "H_HSP_RATING_LINEAR_SCORE"), [1]!hcahps[HCAHPS Linear Mean Value]), "No Match")</f>
        <v>87</v>
      </c>
      <c r="F3625" cm="1">
        <f t="array" ref="F3625">_xlfn.IFNA(_xlfn.XLOOKUP(1,([1]!readmissions[Facility ID] = clean[[#This Row],[Facility ID]]) * ([1]!readmissions[Measure ID] = "Hybrid_HWR"), [1]!readmissions[Score]), "No Match")</f>
        <v>15.7</v>
      </c>
    </row>
    <row r="3626" spans="1:6" x14ac:dyDescent="0.2">
      <c r="A3626">
        <f>[1]!hospitalinfo[[#This Row],[Facility ID]]</f>
        <v>360098</v>
      </c>
      <c r="B3626" t="str">
        <f>[1]!hospitalinfo[[#This Row],[State]]</f>
        <v>OH</v>
      </c>
      <c r="C3626" t="str">
        <f>[1]!hospitalinfo[[#This Row],[Hospital Type]]</f>
        <v>Acute Care Hospitals</v>
      </c>
      <c r="D3626" t="str">
        <f>[1]!hospitalinfo[[#This Row],[Hospital Ownership]]</f>
        <v>Voluntary non-profit - Private</v>
      </c>
      <c r="E3626" cm="1">
        <f t="array" ref="E3626">_xlfn.IFNA(_xlfn.XLOOKUP(1,([1]!hcahps[Facility ID] = clean[[#This Row],[Facility ID]]) * ([1]!hcahps[HCAHPS Measure ID] = "H_HSP_RATING_LINEAR_SCORE"), [1]!hcahps[HCAHPS Linear Mean Value]), "No Match")</f>
        <v>87</v>
      </c>
      <c r="F3626" cm="1">
        <f t="array" ref="F3626">_xlfn.IFNA(_xlfn.XLOOKUP(1,([1]!readmissions[Facility ID] = clean[[#This Row],[Facility ID]]) * ([1]!readmissions[Measure ID] = "Hybrid_HWR"), [1]!readmissions[Score]), "No Match")</f>
        <v>16.5</v>
      </c>
    </row>
    <row r="3627" spans="1:6" x14ac:dyDescent="0.2">
      <c r="A3627">
        <f>[1]!hospitalinfo[[#This Row],[Facility ID]]</f>
        <v>360107</v>
      </c>
      <c r="B3627" t="str">
        <f>[1]!hospitalinfo[[#This Row],[State]]</f>
        <v>OH</v>
      </c>
      <c r="C3627" t="str">
        <f>[1]!hospitalinfo[[#This Row],[Hospital Type]]</f>
        <v>Acute Care Hospitals</v>
      </c>
      <c r="D3627" t="str">
        <f>[1]!hospitalinfo[[#This Row],[Hospital Ownership]]</f>
        <v>Voluntary non-profit - Other</v>
      </c>
      <c r="E3627" cm="1">
        <f t="array" ref="E3627">_xlfn.IFNA(_xlfn.XLOOKUP(1,([1]!hcahps[Facility ID] = clean[[#This Row],[Facility ID]]) * ([1]!hcahps[HCAHPS Measure ID] = "H_HSP_RATING_LINEAR_SCORE"), [1]!hcahps[HCAHPS Linear Mean Value]), "No Match")</f>
        <v>91</v>
      </c>
      <c r="F3627" cm="1">
        <f t="array" ref="F3627">_xlfn.IFNA(_xlfn.XLOOKUP(1,([1]!readmissions[Facility ID] = clean[[#This Row],[Facility ID]]) * ([1]!readmissions[Measure ID] = "Hybrid_HWR"), [1]!readmissions[Score]), "No Match")</f>
        <v>14.3</v>
      </c>
    </row>
    <row r="3628" spans="1:6" x14ac:dyDescent="0.2">
      <c r="A3628">
        <f>[1]!hospitalinfo[[#This Row],[Facility ID]]</f>
        <v>360109</v>
      </c>
      <c r="B3628" t="str">
        <f>[1]!hospitalinfo[[#This Row],[State]]</f>
        <v>OH</v>
      </c>
      <c r="C3628" t="str">
        <f>[1]!hospitalinfo[[#This Row],[Hospital Type]]</f>
        <v>Acute Care Hospitals</v>
      </c>
      <c r="D3628" t="str">
        <f>[1]!hospitalinfo[[#This Row],[Hospital Ownership]]</f>
        <v>Voluntary non-profit - Private</v>
      </c>
      <c r="E3628" cm="1">
        <f t="array" ref="E3628">_xlfn.IFNA(_xlfn.XLOOKUP(1,([1]!hcahps[Facility ID] = clean[[#This Row],[Facility ID]]) * ([1]!hcahps[HCAHPS Measure ID] = "H_HSP_RATING_LINEAR_SCORE"), [1]!hcahps[HCAHPS Linear Mean Value]), "No Match")</f>
        <v>89</v>
      </c>
      <c r="F3628" cm="1">
        <f t="array" ref="F3628">_xlfn.IFNA(_xlfn.XLOOKUP(1,([1]!readmissions[Facility ID] = clean[[#This Row],[Facility ID]]) * ([1]!readmissions[Measure ID] = "Hybrid_HWR"), [1]!readmissions[Score]), "No Match")</f>
        <v>15</v>
      </c>
    </row>
    <row r="3629" spans="1:6" x14ac:dyDescent="0.2">
      <c r="A3629">
        <f>[1]!hospitalinfo[[#This Row],[Facility ID]]</f>
        <v>360112</v>
      </c>
      <c r="B3629" t="str">
        <f>[1]!hospitalinfo[[#This Row],[State]]</f>
        <v>OH</v>
      </c>
      <c r="C3629" t="str">
        <f>[1]!hospitalinfo[[#This Row],[Hospital Type]]</f>
        <v>Acute Care Hospitals</v>
      </c>
      <c r="D3629" t="str">
        <f>[1]!hospitalinfo[[#This Row],[Hospital Ownership]]</f>
        <v>Voluntary non-profit - Church</v>
      </c>
      <c r="E3629" cm="1">
        <f t="array" ref="E3629">_xlfn.IFNA(_xlfn.XLOOKUP(1,([1]!hcahps[Facility ID] = clean[[#This Row],[Facility ID]]) * ([1]!hcahps[HCAHPS Measure ID] = "H_HSP_RATING_LINEAR_SCORE"), [1]!hcahps[HCAHPS Linear Mean Value]), "No Match")</f>
        <v>88</v>
      </c>
      <c r="F3629" cm="1">
        <f t="array" ref="F3629">_xlfn.IFNA(_xlfn.XLOOKUP(1,([1]!readmissions[Facility ID] = clean[[#This Row],[Facility ID]]) * ([1]!readmissions[Measure ID] = "Hybrid_HWR"), [1]!readmissions[Score]), "No Match")</f>
        <v>15</v>
      </c>
    </row>
    <row r="3630" spans="1:6" x14ac:dyDescent="0.2">
      <c r="A3630">
        <f>[1]!hospitalinfo[[#This Row],[Facility ID]]</f>
        <v>360118</v>
      </c>
      <c r="B3630" t="str">
        <f>[1]!hospitalinfo[[#This Row],[State]]</f>
        <v>OH</v>
      </c>
      <c r="C3630" t="str">
        <f>[1]!hospitalinfo[[#This Row],[Hospital Type]]</f>
        <v>Acute Care Hospitals</v>
      </c>
      <c r="D3630" t="str">
        <f>[1]!hospitalinfo[[#This Row],[Hospital Ownership]]</f>
        <v>Voluntary non-profit - Private</v>
      </c>
      <c r="E3630" cm="1">
        <f t="array" ref="E3630">_xlfn.IFNA(_xlfn.XLOOKUP(1,([1]!hcahps[Facility ID] = clean[[#This Row],[Facility ID]]) * ([1]!hcahps[HCAHPS Measure ID] = "H_HSP_RATING_LINEAR_SCORE"), [1]!hcahps[HCAHPS Linear Mean Value]), "No Match")</f>
        <v>88</v>
      </c>
      <c r="F3630" cm="1">
        <f t="array" ref="F3630">_xlfn.IFNA(_xlfn.XLOOKUP(1,([1]!readmissions[Facility ID] = clean[[#This Row],[Facility ID]]) * ([1]!readmissions[Measure ID] = "Hybrid_HWR"), [1]!readmissions[Score]), "No Match")</f>
        <v>15.2</v>
      </c>
    </row>
    <row r="3631" spans="1:6" x14ac:dyDescent="0.2">
      <c r="A3631">
        <f>[1]!hospitalinfo[[#This Row],[Facility ID]]</f>
        <v>360121</v>
      </c>
      <c r="B3631" t="str">
        <f>[1]!hospitalinfo[[#This Row],[State]]</f>
        <v>OH</v>
      </c>
      <c r="C3631" t="str">
        <f>[1]!hospitalinfo[[#This Row],[Hospital Type]]</f>
        <v>Acute Care Hospitals</v>
      </c>
      <c r="D3631" t="str">
        <f>[1]!hospitalinfo[[#This Row],[Hospital Ownership]]</f>
        <v>Voluntary non-profit - Other</v>
      </c>
      <c r="E3631" cm="1">
        <f t="array" ref="E3631">_xlfn.IFNA(_xlfn.XLOOKUP(1,([1]!hcahps[Facility ID] = clean[[#This Row],[Facility ID]]) * ([1]!hcahps[HCAHPS Measure ID] = "H_HSP_RATING_LINEAR_SCORE"), [1]!hcahps[HCAHPS Linear Mean Value]), "No Match")</f>
        <v>91</v>
      </c>
      <c r="F3631" cm="1">
        <f t="array" ref="F3631">_xlfn.IFNA(_xlfn.XLOOKUP(1,([1]!readmissions[Facility ID] = clean[[#This Row],[Facility ID]]) * ([1]!readmissions[Measure ID] = "Hybrid_HWR"), [1]!readmissions[Score]), "No Match")</f>
        <v>14.4</v>
      </c>
    </row>
    <row r="3632" spans="1:6" x14ac:dyDescent="0.2">
      <c r="A3632">
        <f>[1]!hospitalinfo[[#This Row],[Facility ID]]</f>
        <v>360123</v>
      </c>
      <c r="B3632" t="str">
        <f>[1]!hospitalinfo[[#This Row],[State]]</f>
        <v>OH</v>
      </c>
      <c r="C3632" t="str">
        <f>[1]!hospitalinfo[[#This Row],[Hospital Type]]</f>
        <v>Acute Care Hospitals</v>
      </c>
      <c r="D3632" t="str">
        <f>[1]!hospitalinfo[[#This Row],[Hospital Ownership]]</f>
        <v>Voluntary non-profit - Private</v>
      </c>
      <c r="E3632" cm="1">
        <f t="array" ref="E3632">_xlfn.IFNA(_xlfn.XLOOKUP(1,([1]!hcahps[Facility ID] = clean[[#This Row],[Facility ID]]) * ([1]!hcahps[HCAHPS Measure ID] = "H_HSP_RATING_LINEAR_SCORE"), [1]!hcahps[HCAHPS Linear Mean Value]), "No Match")</f>
        <v>89</v>
      </c>
      <c r="F3632" cm="1">
        <f t="array" ref="F3632">_xlfn.IFNA(_xlfn.XLOOKUP(1,([1]!readmissions[Facility ID] = clean[[#This Row],[Facility ID]]) * ([1]!readmissions[Measure ID] = "Hybrid_HWR"), [1]!readmissions[Score]), "No Match")</f>
        <v>14.9</v>
      </c>
    </row>
    <row r="3633" spans="1:6" x14ac:dyDescent="0.2">
      <c r="A3633">
        <f>[1]!hospitalinfo[[#This Row],[Facility ID]]</f>
        <v>360125</v>
      </c>
      <c r="B3633" t="str">
        <f>[1]!hospitalinfo[[#This Row],[State]]</f>
        <v>OH</v>
      </c>
      <c r="C3633" t="str">
        <f>[1]!hospitalinfo[[#This Row],[Hospital Type]]</f>
        <v>Acute Care Hospitals</v>
      </c>
      <c r="D3633" t="str">
        <f>[1]!hospitalinfo[[#This Row],[Hospital Ownership]]</f>
        <v>Voluntary non-profit - Private</v>
      </c>
      <c r="E3633" cm="1">
        <f t="array" ref="E3633">_xlfn.IFNA(_xlfn.XLOOKUP(1,([1]!hcahps[Facility ID] = clean[[#This Row],[Facility ID]]) * ([1]!hcahps[HCAHPS Measure ID] = "H_HSP_RATING_LINEAR_SCORE"), [1]!hcahps[HCAHPS Linear Mean Value]), "No Match")</f>
        <v>89</v>
      </c>
      <c r="F3633" cm="1">
        <f t="array" ref="F3633">_xlfn.IFNA(_xlfn.XLOOKUP(1,([1]!readmissions[Facility ID] = clean[[#This Row],[Facility ID]]) * ([1]!readmissions[Measure ID] = "Hybrid_HWR"), [1]!readmissions[Score]), "No Match")</f>
        <v>16.8</v>
      </c>
    </row>
    <row r="3634" spans="1:6" x14ac:dyDescent="0.2">
      <c r="A3634">
        <f>[1]!hospitalinfo[[#This Row],[Facility ID]]</f>
        <v>360131</v>
      </c>
      <c r="B3634" t="str">
        <f>[1]!hospitalinfo[[#This Row],[State]]</f>
        <v>OH</v>
      </c>
      <c r="C3634" t="str">
        <f>[1]!hospitalinfo[[#This Row],[Hospital Type]]</f>
        <v>Acute Care Hospitals</v>
      </c>
      <c r="D3634" t="str">
        <f>[1]!hospitalinfo[[#This Row],[Hospital Ownership]]</f>
        <v>Voluntary non-profit - Private</v>
      </c>
      <c r="E3634" cm="1">
        <f t="array" ref="E3634">_xlfn.IFNA(_xlfn.XLOOKUP(1,([1]!hcahps[Facility ID] = clean[[#This Row],[Facility ID]]) * ([1]!hcahps[HCAHPS Measure ID] = "H_HSP_RATING_LINEAR_SCORE"), [1]!hcahps[HCAHPS Linear Mean Value]), "No Match")</f>
        <v>89</v>
      </c>
      <c r="F3634" cm="1">
        <f t="array" ref="F3634">_xlfn.IFNA(_xlfn.XLOOKUP(1,([1]!readmissions[Facility ID] = clean[[#This Row],[Facility ID]]) * ([1]!readmissions[Measure ID] = "Hybrid_HWR"), [1]!readmissions[Score]), "No Match")</f>
        <v>15</v>
      </c>
    </row>
    <row r="3635" spans="1:6" x14ac:dyDescent="0.2">
      <c r="A3635">
        <f>[1]!hospitalinfo[[#This Row],[Facility ID]]</f>
        <v>360132</v>
      </c>
      <c r="B3635" t="str">
        <f>[1]!hospitalinfo[[#This Row],[State]]</f>
        <v>OH</v>
      </c>
      <c r="C3635" t="str">
        <f>[1]!hospitalinfo[[#This Row],[Hospital Type]]</f>
        <v>Acute Care Hospitals</v>
      </c>
      <c r="D3635" t="str">
        <f>[1]!hospitalinfo[[#This Row],[Hospital Ownership]]</f>
        <v>Voluntary non-profit - Private</v>
      </c>
      <c r="E3635" cm="1">
        <f t="array" ref="E3635">_xlfn.IFNA(_xlfn.XLOOKUP(1,([1]!hcahps[Facility ID] = clean[[#This Row],[Facility ID]]) * ([1]!hcahps[HCAHPS Measure ID] = "H_HSP_RATING_LINEAR_SCORE"), [1]!hcahps[HCAHPS Linear Mean Value]), "No Match")</f>
        <v>86</v>
      </c>
      <c r="F3635" cm="1">
        <f t="array" ref="F3635">_xlfn.IFNA(_xlfn.XLOOKUP(1,([1]!readmissions[Facility ID] = clean[[#This Row],[Facility ID]]) * ([1]!readmissions[Measure ID] = "Hybrid_HWR"), [1]!readmissions[Score]), "No Match")</f>
        <v>15.2</v>
      </c>
    </row>
    <row r="3636" spans="1:6" x14ac:dyDescent="0.2">
      <c r="A3636">
        <f>[1]!hospitalinfo[[#This Row],[Facility ID]]</f>
        <v>360133</v>
      </c>
      <c r="B3636" t="str">
        <f>[1]!hospitalinfo[[#This Row],[State]]</f>
        <v>OH</v>
      </c>
      <c r="C3636" t="str">
        <f>[1]!hospitalinfo[[#This Row],[Hospital Type]]</f>
        <v>Acute Care Hospitals</v>
      </c>
      <c r="D3636" t="str">
        <f>[1]!hospitalinfo[[#This Row],[Hospital Ownership]]</f>
        <v>Voluntary non-profit - Other</v>
      </c>
      <c r="E3636" cm="1">
        <f t="array" ref="E3636">_xlfn.IFNA(_xlfn.XLOOKUP(1,([1]!hcahps[Facility ID] = clean[[#This Row],[Facility ID]]) * ([1]!hcahps[HCAHPS Measure ID] = "H_HSP_RATING_LINEAR_SCORE"), [1]!hcahps[HCAHPS Linear Mean Value]), "No Match")</f>
        <v>87</v>
      </c>
      <c r="F3636" cm="1">
        <f t="array" ref="F3636">_xlfn.IFNA(_xlfn.XLOOKUP(1,([1]!readmissions[Facility ID] = clean[[#This Row],[Facility ID]]) * ([1]!readmissions[Measure ID] = "Hybrid_HWR"), [1]!readmissions[Score]), "No Match")</f>
        <v>15.1</v>
      </c>
    </row>
    <row r="3637" spans="1:6" x14ac:dyDescent="0.2">
      <c r="A3637">
        <f>[1]!hospitalinfo[[#This Row],[Facility ID]]</f>
        <v>360134</v>
      </c>
      <c r="B3637" t="str">
        <f>[1]!hospitalinfo[[#This Row],[State]]</f>
        <v>OH</v>
      </c>
      <c r="C3637" t="str">
        <f>[1]!hospitalinfo[[#This Row],[Hospital Type]]</f>
        <v>Acute Care Hospitals</v>
      </c>
      <c r="D3637" t="str">
        <f>[1]!hospitalinfo[[#This Row],[Hospital Ownership]]</f>
        <v>Voluntary non-profit - Private</v>
      </c>
      <c r="E3637" cm="1">
        <f t="array" ref="E3637">_xlfn.IFNA(_xlfn.XLOOKUP(1,([1]!hcahps[Facility ID] = clean[[#This Row],[Facility ID]]) * ([1]!hcahps[HCAHPS Measure ID] = "H_HSP_RATING_LINEAR_SCORE"), [1]!hcahps[HCAHPS Linear Mean Value]), "No Match")</f>
        <v>89</v>
      </c>
      <c r="F3637" cm="1">
        <f t="array" ref="F3637">_xlfn.IFNA(_xlfn.XLOOKUP(1,([1]!readmissions[Facility ID] = clean[[#This Row],[Facility ID]]) * ([1]!readmissions[Measure ID] = "Hybrid_HWR"), [1]!readmissions[Score]), "No Match")</f>
        <v>14.3</v>
      </c>
    </row>
    <row r="3638" spans="1:6" x14ac:dyDescent="0.2">
      <c r="A3638">
        <f>[1]!hospitalinfo[[#This Row],[Facility ID]]</f>
        <v>360137</v>
      </c>
      <c r="B3638" t="str">
        <f>[1]!hospitalinfo[[#This Row],[State]]</f>
        <v>OH</v>
      </c>
      <c r="C3638" t="str">
        <f>[1]!hospitalinfo[[#This Row],[Hospital Type]]</f>
        <v>Acute Care Hospitals</v>
      </c>
      <c r="D3638" t="str">
        <f>[1]!hospitalinfo[[#This Row],[Hospital Ownership]]</f>
        <v>Voluntary non-profit - Private</v>
      </c>
      <c r="E3638" cm="1">
        <f t="array" ref="E3638">_xlfn.IFNA(_xlfn.XLOOKUP(1,([1]!hcahps[Facility ID] = clean[[#This Row],[Facility ID]]) * ([1]!hcahps[HCAHPS Measure ID] = "H_HSP_RATING_LINEAR_SCORE"), [1]!hcahps[HCAHPS Linear Mean Value]), "No Match")</f>
        <v>87</v>
      </c>
      <c r="F3638" cm="1">
        <f t="array" ref="F3638">_xlfn.IFNA(_xlfn.XLOOKUP(1,([1]!readmissions[Facility ID] = clean[[#This Row],[Facility ID]]) * ([1]!readmissions[Measure ID] = "Hybrid_HWR"), [1]!readmissions[Score]), "No Match")</f>
        <v>16.399999999999999</v>
      </c>
    </row>
    <row r="3639" spans="1:6" x14ac:dyDescent="0.2">
      <c r="A3639">
        <f>[1]!hospitalinfo[[#This Row],[Facility ID]]</f>
        <v>360143</v>
      </c>
      <c r="B3639" t="str">
        <f>[1]!hospitalinfo[[#This Row],[State]]</f>
        <v>OH</v>
      </c>
      <c r="C3639" t="str">
        <f>[1]!hospitalinfo[[#This Row],[Hospital Type]]</f>
        <v>Acute Care Hospitals</v>
      </c>
      <c r="D3639" t="str">
        <f>[1]!hospitalinfo[[#This Row],[Hospital Ownership]]</f>
        <v>Voluntary non-profit - Private</v>
      </c>
      <c r="E3639" cm="1">
        <f t="array" ref="E3639">_xlfn.IFNA(_xlfn.XLOOKUP(1,([1]!hcahps[Facility ID] = clean[[#This Row],[Facility ID]]) * ([1]!hcahps[HCAHPS Measure ID] = "H_HSP_RATING_LINEAR_SCORE"), [1]!hcahps[HCAHPS Linear Mean Value]), "No Match")</f>
        <v>87</v>
      </c>
      <c r="F3639" cm="1">
        <f t="array" ref="F3639">_xlfn.IFNA(_xlfn.XLOOKUP(1,([1]!readmissions[Facility ID] = clean[[#This Row],[Facility ID]]) * ([1]!readmissions[Measure ID] = "Hybrid_HWR"), [1]!readmissions[Score]), "No Match")</f>
        <v>15.3</v>
      </c>
    </row>
    <row r="3640" spans="1:6" x14ac:dyDescent="0.2">
      <c r="A3640">
        <f>[1]!hospitalinfo[[#This Row],[Facility ID]]</f>
        <v>360144</v>
      </c>
      <c r="B3640" t="str">
        <f>[1]!hospitalinfo[[#This Row],[State]]</f>
        <v>OH</v>
      </c>
      <c r="C3640" t="str">
        <f>[1]!hospitalinfo[[#This Row],[Hospital Type]]</f>
        <v>Acute Care Hospitals</v>
      </c>
      <c r="D3640" t="str">
        <f>[1]!hospitalinfo[[#This Row],[Hospital Ownership]]</f>
        <v>Voluntary non-profit - Other</v>
      </c>
      <c r="E3640" cm="1">
        <f t="array" ref="E3640">_xlfn.IFNA(_xlfn.XLOOKUP(1,([1]!hcahps[Facility ID] = clean[[#This Row],[Facility ID]]) * ([1]!hcahps[HCAHPS Measure ID] = "H_HSP_RATING_LINEAR_SCORE"), [1]!hcahps[HCAHPS Linear Mean Value]), "No Match")</f>
        <v>88</v>
      </c>
      <c r="F3640" cm="1">
        <f t="array" ref="F3640">_xlfn.IFNA(_xlfn.XLOOKUP(1,([1]!readmissions[Facility ID] = clean[[#This Row],[Facility ID]]) * ([1]!readmissions[Measure ID] = "Hybrid_HWR"), [1]!readmissions[Score]), "No Match")</f>
        <v>14.9</v>
      </c>
    </row>
    <row r="3641" spans="1:6" x14ac:dyDescent="0.2">
      <c r="A3641">
        <f>[1]!hospitalinfo[[#This Row],[Facility ID]]</f>
        <v>360145</v>
      </c>
      <c r="B3641" t="str">
        <f>[1]!hospitalinfo[[#This Row],[State]]</f>
        <v>OH</v>
      </c>
      <c r="C3641" t="str">
        <f>[1]!hospitalinfo[[#This Row],[Hospital Type]]</f>
        <v>Acute Care Hospitals</v>
      </c>
      <c r="D3641" t="str">
        <f>[1]!hospitalinfo[[#This Row],[Hospital Ownership]]</f>
        <v>Voluntary non-profit - Private</v>
      </c>
      <c r="E3641" cm="1">
        <f t="array" ref="E3641">_xlfn.IFNA(_xlfn.XLOOKUP(1,([1]!hcahps[Facility ID] = clean[[#This Row],[Facility ID]]) * ([1]!hcahps[HCAHPS Measure ID] = "H_HSP_RATING_LINEAR_SCORE"), [1]!hcahps[HCAHPS Linear Mean Value]), "No Match")</f>
        <v>88</v>
      </c>
      <c r="F3641" cm="1">
        <f t="array" ref="F3641">_xlfn.IFNA(_xlfn.XLOOKUP(1,([1]!readmissions[Facility ID] = clean[[#This Row],[Facility ID]]) * ([1]!readmissions[Measure ID] = "Hybrid_HWR"), [1]!readmissions[Score]), "No Match")</f>
        <v>15.7</v>
      </c>
    </row>
    <row r="3642" spans="1:6" x14ac:dyDescent="0.2">
      <c r="A3642">
        <f>[1]!hospitalinfo[[#This Row],[Facility ID]]</f>
        <v>360147</v>
      </c>
      <c r="B3642" t="str">
        <f>[1]!hospitalinfo[[#This Row],[State]]</f>
        <v>OH</v>
      </c>
      <c r="C3642" t="str">
        <f>[1]!hospitalinfo[[#This Row],[Hospital Type]]</f>
        <v>Acute Care Hospitals</v>
      </c>
      <c r="D3642" t="str">
        <f>[1]!hospitalinfo[[#This Row],[Hospital Ownership]]</f>
        <v>Voluntary non-profit - Other</v>
      </c>
      <c r="E3642" cm="1">
        <f t="array" ref="E3642">_xlfn.IFNA(_xlfn.XLOOKUP(1,([1]!hcahps[Facility ID] = clean[[#This Row],[Facility ID]]) * ([1]!hcahps[HCAHPS Measure ID] = "H_HSP_RATING_LINEAR_SCORE"), [1]!hcahps[HCAHPS Linear Mean Value]), "No Match")</f>
        <v>89</v>
      </c>
      <c r="F3642" cm="1">
        <f t="array" ref="F3642">_xlfn.IFNA(_xlfn.XLOOKUP(1,([1]!readmissions[Facility ID] = clean[[#This Row],[Facility ID]]) * ([1]!readmissions[Measure ID] = "Hybrid_HWR"), [1]!readmissions[Score]), "No Match")</f>
        <v>15.9</v>
      </c>
    </row>
    <row r="3643" spans="1:6" x14ac:dyDescent="0.2">
      <c r="A3643">
        <f>[1]!hospitalinfo[[#This Row],[Facility ID]]</f>
        <v>360148</v>
      </c>
      <c r="B3643" t="str">
        <f>[1]!hospitalinfo[[#This Row],[State]]</f>
        <v>OH</v>
      </c>
      <c r="C3643" t="str">
        <f>[1]!hospitalinfo[[#This Row],[Hospital Type]]</f>
        <v>Acute Care Hospitals</v>
      </c>
      <c r="D3643" t="str">
        <f>[1]!hospitalinfo[[#This Row],[Hospital Ownership]]</f>
        <v>Voluntary non-profit - Private</v>
      </c>
      <c r="E3643" cm="1">
        <f t="array" ref="E3643">_xlfn.IFNA(_xlfn.XLOOKUP(1,([1]!hcahps[Facility ID] = clean[[#This Row],[Facility ID]]) * ([1]!hcahps[HCAHPS Measure ID] = "H_HSP_RATING_LINEAR_SCORE"), [1]!hcahps[HCAHPS Linear Mean Value]), "No Match")</f>
        <v>89</v>
      </c>
      <c r="F3643" cm="1">
        <f t="array" ref="F3643">_xlfn.IFNA(_xlfn.XLOOKUP(1,([1]!readmissions[Facility ID] = clean[[#This Row],[Facility ID]]) * ([1]!readmissions[Measure ID] = "Hybrid_HWR"), [1]!readmissions[Score]), "No Match")</f>
        <v>14.5</v>
      </c>
    </row>
    <row r="3644" spans="1:6" x14ac:dyDescent="0.2">
      <c r="A3644">
        <f>[1]!hospitalinfo[[#This Row],[Facility ID]]</f>
        <v>360150</v>
      </c>
      <c r="B3644" t="str">
        <f>[1]!hospitalinfo[[#This Row],[State]]</f>
        <v>OH</v>
      </c>
      <c r="C3644" t="str">
        <f>[1]!hospitalinfo[[#This Row],[Hospital Type]]</f>
        <v>Acute Care Hospitals</v>
      </c>
      <c r="D3644" t="str">
        <f>[1]!hospitalinfo[[#This Row],[Hospital Ownership]]</f>
        <v>Voluntary non-profit - Other</v>
      </c>
      <c r="E3644" cm="1">
        <f t="array" ref="E3644">_xlfn.IFNA(_xlfn.XLOOKUP(1,([1]!hcahps[Facility ID] = clean[[#This Row],[Facility ID]]) * ([1]!hcahps[HCAHPS Measure ID] = "H_HSP_RATING_LINEAR_SCORE"), [1]!hcahps[HCAHPS Linear Mean Value]), "No Match")</f>
        <v>89</v>
      </c>
      <c r="F3644" cm="1">
        <f t="array" ref="F3644">_xlfn.IFNA(_xlfn.XLOOKUP(1,([1]!readmissions[Facility ID] = clean[[#This Row],[Facility ID]]) * ([1]!readmissions[Measure ID] = "Hybrid_HWR"), [1]!readmissions[Score]), "No Match")</f>
        <v>14.6</v>
      </c>
    </row>
    <row r="3645" spans="1:6" x14ac:dyDescent="0.2">
      <c r="A3645">
        <f>[1]!hospitalinfo[[#This Row],[Facility ID]]</f>
        <v>360152</v>
      </c>
      <c r="B3645" t="str">
        <f>[1]!hospitalinfo[[#This Row],[State]]</f>
        <v>OH</v>
      </c>
      <c r="C3645" t="str">
        <f>[1]!hospitalinfo[[#This Row],[Hospital Type]]</f>
        <v>Acute Care Hospitals</v>
      </c>
      <c r="D3645" t="str">
        <f>[1]!hospitalinfo[[#This Row],[Hospital Ownership]]</f>
        <v>Voluntary non-profit - Church</v>
      </c>
      <c r="E3645" cm="1">
        <f t="array" ref="E3645">_xlfn.IFNA(_xlfn.XLOOKUP(1,([1]!hcahps[Facility ID] = clean[[#This Row],[Facility ID]]) * ([1]!hcahps[HCAHPS Measure ID] = "H_HSP_RATING_LINEAR_SCORE"), [1]!hcahps[HCAHPS Linear Mean Value]), "No Match")</f>
        <v>87</v>
      </c>
      <c r="F3645" cm="1">
        <f t="array" ref="F3645">_xlfn.IFNA(_xlfn.XLOOKUP(1,([1]!readmissions[Facility ID] = clean[[#This Row],[Facility ID]]) * ([1]!readmissions[Measure ID] = "Hybrid_HWR"), [1]!readmissions[Score]), "No Match")</f>
        <v>15.1</v>
      </c>
    </row>
    <row r="3646" spans="1:6" x14ac:dyDescent="0.2">
      <c r="A3646">
        <f>[1]!hospitalinfo[[#This Row],[Facility ID]]</f>
        <v>360155</v>
      </c>
      <c r="B3646" t="str">
        <f>[1]!hospitalinfo[[#This Row],[State]]</f>
        <v>OH</v>
      </c>
      <c r="C3646" t="str">
        <f>[1]!hospitalinfo[[#This Row],[Hospital Type]]</f>
        <v>Acute Care Hospitals</v>
      </c>
      <c r="D3646" t="str">
        <f>[1]!hospitalinfo[[#This Row],[Hospital Ownership]]</f>
        <v>Voluntary non-profit - Private</v>
      </c>
      <c r="E3646" cm="1">
        <f t="array" ref="E3646">_xlfn.IFNA(_xlfn.XLOOKUP(1,([1]!hcahps[Facility ID] = clean[[#This Row],[Facility ID]]) * ([1]!hcahps[HCAHPS Measure ID] = "H_HSP_RATING_LINEAR_SCORE"), [1]!hcahps[HCAHPS Linear Mean Value]), "No Match")</f>
        <v>89</v>
      </c>
      <c r="F3646" cm="1">
        <f t="array" ref="F3646">_xlfn.IFNA(_xlfn.XLOOKUP(1,([1]!readmissions[Facility ID] = clean[[#This Row],[Facility ID]]) * ([1]!readmissions[Measure ID] = "Hybrid_HWR"), [1]!readmissions[Score]), "No Match")</f>
        <v>15.2</v>
      </c>
    </row>
    <row r="3647" spans="1:6" x14ac:dyDescent="0.2">
      <c r="A3647">
        <f>[1]!hospitalinfo[[#This Row],[Facility ID]]</f>
        <v>360156</v>
      </c>
      <c r="B3647" t="str">
        <f>[1]!hospitalinfo[[#This Row],[State]]</f>
        <v>OH</v>
      </c>
      <c r="C3647" t="str">
        <f>[1]!hospitalinfo[[#This Row],[Hospital Type]]</f>
        <v>Acute Care Hospitals</v>
      </c>
      <c r="D3647" t="str">
        <f>[1]!hospitalinfo[[#This Row],[Hospital Ownership]]</f>
        <v>Voluntary non-profit - Other</v>
      </c>
      <c r="E3647" cm="1">
        <f t="array" ref="E3647">_xlfn.IFNA(_xlfn.XLOOKUP(1,([1]!hcahps[Facility ID] = clean[[#This Row],[Facility ID]]) * ([1]!hcahps[HCAHPS Measure ID] = "H_HSP_RATING_LINEAR_SCORE"), [1]!hcahps[HCAHPS Linear Mean Value]), "No Match")</f>
        <v>87</v>
      </c>
      <c r="F3647" cm="1">
        <f t="array" ref="F3647">_xlfn.IFNA(_xlfn.XLOOKUP(1,([1]!readmissions[Facility ID] = clean[[#This Row],[Facility ID]]) * ([1]!readmissions[Measure ID] = "Hybrid_HWR"), [1]!readmissions[Score]), "No Match")</f>
        <v>15.6</v>
      </c>
    </row>
    <row r="3648" spans="1:6" x14ac:dyDescent="0.2">
      <c r="A3648">
        <f>[1]!hospitalinfo[[#This Row],[Facility ID]]</f>
        <v>360159</v>
      </c>
      <c r="B3648" t="str">
        <f>[1]!hospitalinfo[[#This Row],[State]]</f>
        <v>OH</v>
      </c>
      <c r="C3648" t="str">
        <f>[1]!hospitalinfo[[#This Row],[Hospital Type]]</f>
        <v>Acute Care Hospitals</v>
      </c>
      <c r="D3648" t="str">
        <f>[1]!hospitalinfo[[#This Row],[Hospital Ownership]]</f>
        <v>Voluntary non-profit - Private</v>
      </c>
      <c r="E3648" cm="1">
        <f t="array" ref="E3648">_xlfn.IFNA(_xlfn.XLOOKUP(1,([1]!hcahps[Facility ID] = clean[[#This Row],[Facility ID]]) * ([1]!hcahps[HCAHPS Measure ID] = "H_HSP_RATING_LINEAR_SCORE"), [1]!hcahps[HCAHPS Linear Mean Value]), "No Match")</f>
        <v>83</v>
      </c>
      <c r="F3648" cm="1">
        <f t="array" ref="F3648">_xlfn.IFNA(_xlfn.XLOOKUP(1,([1]!readmissions[Facility ID] = clean[[#This Row],[Facility ID]]) * ([1]!readmissions[Measure ID] = "Hybrid_HWR"), [1]!readmissions[Score]), "No Match")</f>
        <v>14.7</v>
      </c>
    </row>
    <row r="3649" spans="1:6" x14ac:dyDescent="0.2">
      <c r="A3649">
        <f>[1]!hospitalinfo[[#This Row],[Facility ID]]</f>
        <v>360161</v>
      </c>
      <c r="B3649" t="str">
        <f>[1]!hospitalinfo[[#This Row],[State]]</f>
        <v>OH</v>
      </c>
      <c r="C3649" t="str">
        <f>[1]!hospitalinfo[[#This Row],[Hospital Type]]</f>
        <v>Acute Care Hospitals</v>
      </c>
      <c r="D3649" t="str">
        <f>[1]!hospitalinfo[[#This Row],[Hospital Ownership]]</f>
        <v>Voluntary non-profit - Private</v>
      </c>
      <c r="E3649" cm="1">
        <f t="array" ref="E3649">_xlfn.IFNA(_xlfn.XLOOKUP(1,([1]!hcahps[Facility ID] = clean[[#This Row],[Facility ID]]) * ([1]!hcahps[HCAHPS Measure ID] = "H_HSP_RATING_LINEAR_SCORE"), [1]!hcahps[HCAHPS Linear Mean Value]), "No Match")</f>
        <v>84</v>
      </c>
      <c r="F3649" cm="1">
        <f t="array" ref="F3649">_xlfn.IFNA(_xlfn.XLOOKUP(1,([1]!readmissions[Facility ID] = clean[[#This Row],[Facility ID]]) * ([1]!readmissions[Measure ID] = "Hybrid_HWR"), [1]!readmissions[Score]), "No Match")</f>
        <v>14.7</v>
      </c>
    </row>
    <row r="3650" spans="1:6" x14ac:dyDescent="0.2">
      <c r="A3650">
        <f>[1]!hospitalinfo[[#This Row],[Facility ID]]</f>
        <v>360163</v>
      </c>
      <c r="B3650" t="str">
        <f>[1]!hospitalinfo[[#This Row],[State]]</f>
        <v>OH</v>
      </c>
      <c r="C3650" t="str">
        <f>[1]!hospitalinfo[[#This Row],[Hospital Type]]</f>
        <v>Acute Care Hospitals</v>
      </c>
      <c r="D3650" t="str">
        <f>[1]!hospitalinfo[[#This Row],[Hospital Ownership]]</f>
        <v>Voluntary non-profit - Private</v>
      </c>
      <c r="E3650" cm="1">
        <f t="array" ref="E3650">_xlfn.IFNA(_xlfn.XLOOKUP(1,([1]!hcahps[Facility ID] = clean[[#This Row],[Facility ID]]) * ([1]!hcahps[HCAHPS Measure ID] = "H_HSP_RATING_LINEAR_SCORE"), [1]!hcahps[HCAHPS Linear Mean Value]), "No Match")</f>
        <v>91</v>
      </c>
      <c r="F3650" cm="1">
        <f t="array" ref="F3650">_xlfn.IFNA(_xlfn.XLOOKUP(1,([1]!readmissions[Facility ID] = clean[[#This Row],[Facility ID]]) * ([1]!readmissions[Measure ID] = "Hybrid_HWR"), [1]!readmissions[Score]), "No Match")</f>
        <v>14</v>
      </c>
    </row>
    <row r="3651" spans="1:6" x14ac:dyDescent="0.2">
      <c r="A3651">
        <f>[1]!hospitalinfo[[#This Row],[Facility ID]]</f>
        <v>360170</v>
      </c>
      <c r="B3651" t="str">
        <f>[1]!hospitalinfo[[#This Row],[State]]</f>
        <v>OH</v>
      </c>
      <c r="C3651" t="str">
        <f>[1]!hospitalinfo[[#This Row],[Hospital Type]]</f>
        <v>Acute Care Hospitals</v>
      </c>
      <c r="D3651" t="str">
        <f>[1]!hospitalinfo[[#This Row],[Hospital Ownership]]</f>
        <v>Government - Local</v>
      </c>
      <c r="E3651" cm="1">
        <f t="array" ref="E3651">_xlfn.IFNA(_xlfn.XLOOKUP(1,([1]!hcahps[Facility ID] = clean[[#This Row],[Facility ID]]) * ([1]!hcahps[HCAHPS Measure ID] = "H_HSP_RATING_LINEAR_SCORE"), [1]!hcahps[HCAHPS Linear Mean Value]), "No Match")</f>
        <v>91</v>
      </c>
      <c r="F3651" cm="1">
        <f t="array" ref="F3651">_xlfn.IFNA(_xlfn.XLOOKUP(1,([1]!readmissions[Facility ID] = clean[[#This Row],[Facility ID]]) * ([1]!readmissions[Measure ID] = "Hybrid_HWR"), [1]!readmissions[Score]), "No Match")</f>
        <v>15</v>
      </c>
    </row>
    <row r="3652" spans="1:6" x14ac:dyDescent="0.2">
      <c r="A3652">
        <f>[1]!hospitalinfo[[#This Row],[Facility ID]]</f>
        <v>360172</v>
      </c>
      <c r="B3652" t="str">
        <f>[1]!hospitalinfo[[#This Row],[State]]</f>
        <v>OH</v>
      </c>
      <c r="C3652" t="str">
        <f>[1]!hospitalinfo[[#This Row],[Hospital Type]]</f>
        <v>Acute Care Hospitals</v>
      </c>
      <c r="D3652" t="str">
        <f>[1]!hospitalinfo[[#This Row],[Hospital Ownership]]</f>
        <v>Voluntary non-profit - Private</v>
      </c>
      <c r="E3652" cm="1">
        <f t="array" ref="E3652">_xlfn.IFNA(_xlfn.XLOOKUP(1,([1]!hcahps[Facility ID] = clean[[#This Row],[Facility ID]]) * ([1]!hcahps[HCAHPS Measure ID] = "H_HSP_RATING_LINEAR_SCORE"), [1]!hcahps[HCAHPS Linear Mean Value]), "No Match")</f>
        <v>85</v>
      </c>
      <c r="F3652" cm="1">
        <f t="array" ref="F3652">_xlfn.IFNA(_xlfn.XLOOKUP(1,([1]!readmissions[Facility ID] = clean[[#This Row],[Facility ID]]) * ([1]!readmissions[Measure ID] = "Hybrid_HWR"), [1]!readmissions[Score]), "No Match")</f>
        <v>15.3</v>
      </c>
    </row>
    <row r="3653" spans="1:6" x14ac:dyDescent="0.2">
      <c r="A3653">
        <f>[1]!hospitalinfo[[#This Row],[Facility ID]]</f>
        <v>360174</v>
      </c>
      <c r="B3653" t="str">
        <f>[1]!hospitalinfo[[#This Row],[State]]</f>
        <v>OH</v>
      </c>
      <c r="C3653" t="str">
        <f>[1]!hospitalinfo[[#This Row],[Hospital Type]]</f>
        <v>Acute Care Hospitals</v>
      </c>
      <c r="D3653" t="str">
        <f>[1]!hospitalinfo[[#This Row],[Hospital Ownership]]</f>
        <v>Voluntary non-profit - Private</v>
      </c>
      <c r="E3653" cm="1">
        <f t="array" ref="E3653">_xlfn.IFNA(_xlfn.XLOOKUP(1,([1]!hcahps[Facility ID] = clean[[#This Row],[Facility ID]]) * ([1]!hcahps[HCAHPS Measure ID] = "H_HSP_RATING_LINEAR_SCORE"), [1]!hcahps[HCAHPS Linear Mean Value]), "No Match")</f>
        <v>87</v>
      </c>
      <c r="F3653" cm="1">
        <f t="array" ref="F3653">_xlfn.IFNA(_xlfn.XLOOKUP(1,([1]!readmissions[Facility ID] = clean[[#This Row],[Facility ID]]) * ([1]!readmissions[Measure ID] = "Hybrid_HWR"), [1]!readmissions[Score]), "No Match")</f>
        <v>16</v>
      </c>
    </row>
    <row r="3654" spans="1:6" x14ac:dyDescent="0.2">
      <c r="A3654">
        <f>[1]!hospitalinfo[[#This Row],[Facility ID]]</f>
        <v>360175</v>
      </c>
      <c r="B3654" t="str">
        <f>[1]!hospitalinfo[[#This Row],[State]]</f>
        <v>OH</v>
      </c>
      <c r="C3654" t="str">
        <f>[1]!hospitalinfo[[#This Row],[Hospital Type]]</f>
        <v>Acute Care Hospitals</v>
      </c>
      <c r="D3654" t="str">
        <f>[1]!hospitalinfo[[#This Row],[Hospital Ownership]]</f>
        <v>Government - Local</v>
      </c>
      <c r="E3654" cm="1">
        <f t="array" ref="E3654">_xlfn.IFNA(_xlfn.XLOOKUP(1,([1]!hcahps[Facility ID] = clean[[#This Row],[Facility ID]]) * ([1]!hcahps[HCAHPS Measure ID] = "H_HSP_RATING_LINEAR_SCORE"), [1]!hcahps[HCAHPS Linear Mean Value]), "No Match")</f>
        <v>85</v>
      </c>
      <c r="F3654" cm="1">
        <f t="array" ref="F3654">_xlfn.IFNA(_xlfn.XLOOKUP(1,([1]!readmissions[Facility ID] = clean[[#This Row],[Facility ID]]) * ([1]!readmissions[Measure ID] = "Hybrid_HWR"), [1]!readmissions[Score]), "No Match")</f>
        <v>15</v>
      </c>
    </row>
    <row r="3655" spans="1:6" x14ac:dyDescent="0.2">
      <c r="A3655">
        <f>[1]!hospitalinfo[[#This Row],[Facility ID]]</f>
        <v>360179</v>
      </c>
      <c r="B3655" t="str">
        <f>[1]!hospitalinfo[[#This Row],[State]]</f>
        <v>OH</v>
      </c>
      <c r="C3655" t="str">
        <f>[1]!hospitalinfo[[#This Row],[Hospital Type]]</f>
        <v>Acute Care Hospitals</v>
      </c>
      <c r="D3655" t="str">
        <f>[1]!hospitalinfo[[#This Row],[Hospital Ownership]]</f>
        <v>Voluntary non-profit - Church</v>
      </c>
      <c r="E3655" cm="1">
        <f t="array" ref="E3655">_xlfn.IFNA(_xlfn.XLOOKUP(1,([1]!hcahps[Facility ID] = clean[[#This Row],[Facility ID]]) * ([1]!hcahps[HCAHPS Measure ID] = "H_HSP_RATING_LINEAR_SCORE"), [1]!hcahps[HCAHPS Linear Mean Value]), "No Match")</f>
        <v>88</v>
      </c>
      <c r="F3655" cm="1">
        <f t="array" ref="F3655">_xlfn.IFNA(_xlfn.XLOOKUP(1,([1]!readmissions[Facility ID] = clean[[#This Row],[Facility ID]]) * ([1]!readmissions[Measure ID] = "Hybrid_HWR"), [1]!readmissions[Score]), "No Match")</f>
        <v>15.5</v>
      </c>
    </row>
    <row r="3656" spans="1:6" x14ac:dyDescent="0.2">
      <c r="A3656">
        <f>[1]!hospitalinfo[[#This Row],[Facility ID]]</f>
        <v>360180</v>
      </c>
      <c r="B3656" t="str">
        <f>[1]!hospitalinfo[[#This Row],[State]]</f>
        <v>OH</v>
      </c>
      <c r="C3656" t="str">
        <f>[1]!hospitalinfo[[#This Row],[Hospital Type]]</f>
        <v>Acute Care Hospitals</v>
      </c>
      <c r="D3656" t="str">
        <f>[1]!hospitalinfo[[#This Row],[Hospital Ownership]]</f>
        <v>Voluntary non-profit - Private</v>
      </c>
      <c r="E3656" cm="1">
        <f t="array" ref="E3656">_xlfn.IFNA(_xlfn.XLOOKUP(1,([1]!hcahps[Facility ID] = clean[[#This Row],[Facility ID]]) * ([1]!hcahps[HCAHPS Measure ID] = "H_HSP_RATING_LINEAR_SCORE"), [1]!hcahps[HCAHPS Linear Mean Value]), "No Match")</f>
        <v>90</v>
      </c>
      <c r="F3656" cm="1">
        <f t="array" ref="F3656">_xlfn.IFNA(_xlfn.XLOOKUP(1,([1]!readmissions[Facility ID] = clean[[#This Row],[Facility ID]]) * ([1]!readmissions[Measure ID] = "Hybrid_HWR"), [1]!readmissions[Score]), "No Match")</f>
        <v>15</v>
      </c>
    </row>
    <row r="3657" spans="1:6" x14ac:dyDescent="0.2">
      <c r="A3657">
        <f>[1]!hospitalinfo[[#This Row],[Facility ID]]</f>
        <v>360185</v>
      </c>
      <c r="B3657" t="str">
        <f>[1]!hospitalinfo[[#This Row],[State]]</f>
        <v>OH</v>
      </c>
      <c r="C3657" t="str">
        <f>[1]!hospitalinfo[[#This Row],[Hospital Type]]</f>
        <v>Acute Care Hospitals</v>
      </c>
      <c r="D3657" t="str">
        <f>[1]!hospitalinfo[[#This Row],[Hospital Ownership]]</f>
        <v>Voluntary non-profit - Private</v>
      </c>
      <c r="E3657" cm="1">
        <f t="array" ref="E3657">_xlfn.IFNA(_xlfn.XLOOKUP(1,([1]!hcahps[Facility ID] = clean[[#This Row],[Facility ID]]) * ([1]!hcahps[HCAHPS Measure ID] = "H_HSP_RATING_LINEAR_SCORE"), [1]!hcahps[HCAHPS Linear Mean Value]), "No Match")</f>
        <v>86</v>
      </c>
      <c r="F3657" cm="1">
        <f t="array" ref="F3657">_xlfn.IFNA(_xlfn.XLOOKUP(1,([1]!readmissions[Facility ID] = clean[[#This Row],[Facility ID]]) * ([1]!readmissions[Measure ID] = "Hybrid_HWR"), [1]!readmissions[Score]), "No Match")</f>
        <v>14.4</v>
      </c>
    </row>
    <row r="3658" spans="1:6" x14ac:dyDescent="0.2">
      <c r="A3658">
        <f>[1]!hospitalinfo[[#This Row],[Facility ID]]</f>
        <v>360189</v>
      </c>
      <c r="B3658" t="str">
        <f>[1]!hospitalinfo[[#This Row],[State]]</f>
        <v>OH</v>
      </c>
      <c r="C3658" t="str">
        <f>[1]!hospitalinfo[[#This Row],[Hospital Type]]</f>
        <v>Acute Care Hospitals</v>
      </c>
      <c r="D3658" t="str">
        <f>[1]!hospitalinfo[[#This Row],[Hospital Ownership]]</f>
        <v>Voluntary non-profit - Private</v>
      </c>
      <c r="E3658" cm="1">
        <f t="array" ref="E3658">_xlfn.IFNA(_xlfn.XLOOKUP(1,([1]!hcahps[Facility ID] = clean[[#This Row],[Facility ID]]) * ([1]!hcahps[HCAHPS Measure ID] = "H_HSP_RATING_LINEAR_SCORE"), [1]!hcahps[HCAHPS Linear Mean Value]), "No Match")</f>
        <v>91</v>
      </c>
      <c r="F3658" cm="1">
        <f t="array" ref="F3658">_xlfn.IFNA(_xlfn.XLOOKUP(1,([1]!readmissions[Facility ID] = clean[[#This Row],[Facility ID]]) * ([1]!readmissions[Measure ID] = "Hybrid_HWR"), [1]!readmissions[Score]), "No Match")</f>
        <v>15</v>
      </c>
    </row>
    <row r="3659" spans="1:6" x14ac:dyDescent="0.2">
      <c r="A3659">
        <f>[1]!hospitalinfo[[#This Row],[Facility ID]]</f>
        <v>360197</v>
      </c>
      <c r="B3659" t="str">
        <f>[1]!hospitalinfo[[#This Row],[State]]</f>
        <v>OH</v>
      </c>
      <c r="C3659" t="str">
        <f>[1]!hospitalinfo[[#This Row],[Hospital Type]]</f>
        <v>Acute Care Hospitals</v>
      </c>
      <c r="D3659" t="str">
        <f>[1]!hospitalinfo[[#This Row],[Hospital Ownership]]</f>
        <v>Voluntary non-profit - Private</v>
      </c>
      <c r="E3659" cm="1">
        <f t="array" ref="E3659">_xlfn.IFNA(_xlfn.XLOOKUP(1,([1]!hcahps[Facility ID] = clean[[#This Row],[Facility ID]]) * ([1]!hcahps[HCAHPS Measure ID] = "H_HSP_RATING_LINEAR_SCORE"), [1]!hcahps[HCAHPS Linear Mean Value]), "No Match")</f>
        <v>91</v>
      </c>
      <c r="F3659" cm="1">
        <f t="array" ref="F3659">_xlfn.IFNA(_xlfn.XLOOKUP(1,([1]!readmissions[Facility ID] = clean[[#This Row],[Facility ID]]) * ([1]!readmissions[Measure ID] = "Hybrid_HWR"), [1]!readmissions[Score]), "No Match")</f>
        <v>14.2</v>
      </c>
    </row>
    <row r="3660" spans="1:6" x14ac:dyDescent="0.2">
      <c r="A3660">
        <f>[1]!hospitalinfo[[#This Row],[Facility ID]]</f>
        <v>360203</v>
      </c>
      <c r="B3660" t="str">
        <f>[1]!hospitalinfo[[#This Row],[State]]</f>
        <v>OH</v>
      </c>
      <c r="C3660" t="str">
        <f>[1]!hospitalinfo[[#This Row],[Hospital Type]]</f>
        <v>Acute Care Hospitals</v>
      </c>
      <c r="D3660" t="str">
        <f>[1]!hospitalinfo[[#This Row],[Hospital Ownership]]</f>
        <v>Voluntary non-profit - Private</v>
      </c>
      <c r="E3660" cm="1">
        <f t="array" ref="E3660">_xlfn.IFNA(_xlfn.XLOOKUP(1,([1]!hcahps[Facility ID] = clean[[#This Row],[Facility ID]]) * ([1]!hcahps[HCAHPS Measure ID] = "H_HSP_RATING_LINEAR_SCORE"), [1]!hcahps[HCAHPS Linear Mean Value]), "No Match")</f>
        <v>85</v>
      </c>
      <c r="F3660" cm="1">
        <f t="array" ref="F3660">_xlfn.IFNA(_xlfn.XLOOKUP(1,([1]!readmissions[Facility ID] = clean[[#This Row],[Facility ID]]) * ([1]!readmissions[Measure ID] = "Hybrid_HWR"), [1]!readmissions[Score]), "No Match")</f>
        <v>15</v>
      </c>
    </row>
    <row r="3661" spans="1:6" x14ac:dyDescent="0.2">
      <c r="A3661">
        <f>[1]!hospitalinfo[[#This Row],[Facility ID]]</f>
        <v>360210</v>
      </c>
      <c r="B3661" t="str">
        <f>[1]!hospitalinfo[[#This Row],[State]]</f>
        <v>OH</v>
      </c>
      <c r="C3661" t="str">
        <f>[1]!hospitalinfo[[#This Row],[Hospital Type]]</f>
        <v>Acute Care Hospitals</v>
      </c>
      <c r="D3661" t="str">
        <f>[1]!hospitalinfo[[#This Row],[Hospital Ownership]]</f>
        <v>Voluntary non-profit - Private</v>
      </c>
      <c r="E3661" cm="1">
        <f t="array" ref="E3661">_xlfn.IFNA(_xlfn.XLOOKUP(1,([1]!hcahps[Facility ID] = clean[[#This Row],[Facility ID]]) * ([1]!hcahps[HCAHPS Measure ID] = "H_HSP_RATING_LINEAR_SCORE"), [1]!hcahps[HCAHPS Linear Mean Value]), "No Match")</f>
        <v>90</v>
      </c>
      <c r="F3661" cm="1">
        <f t="array" ref="F3661">_xlfn.IFNA(_xlfn.XLOOKUP(1,([1]!readmissions[Facility ID] = clean[[#This Row],[Facility ID]]) * ([1]!readmissions[Measure ID] = "Hybrid_HWR"), [1]!readmissions[Score]), "No Match")</f>
        <v>15.2</v>
      </c>
    </row>
    <row r="3662" spans="1:6" x14ac:dyDescent="0.2">
      <c r="A3662">
        <f>[1]!hospitalinfo[[#This Row],[Facility ID]]</f>
        <v>360211</v>
      </c>
      <c r="B3662" t="str">
        <f>[1]!hospitalinfo[[#This Row],[State]]</f>
        <v>OH</v>
      </c>
      <c r="C3662" t="str">
        <f>[1]!hospitalinfo[[#This Row],[Hospital Type]]</f>
        <v>Acute Care Hospitals</v>
      </c>
      <c r="D3662" t="str">
        <f>[1]!hospitalinfo[[#This Row],[Hospital Ownership]]</f>
        <v>Voluntary non-profit - Other</v>
      </c>
      <c r="E3662" cm="1">
        <f t="array" ref="E3662">_xlfn.IFNA(_xlfn.XLOOKUP(1,([1]!hcahps[Facility ID] = clean[[#This Row],[Facility ID]]) * ([1]!hcahps[HCAHPS Measure ID] = "H_HSP_RATING_LINEAR_SCORE"), [1]!hcahps[HCAHPS Linear Mean Value]), "No Match")</f>
        <v>85</v>
      </c>
      <c r="F3662" cm="1">
        <f t="array" ref="F3662">_xlfn.IFNA(_xlfn.XLOOKUP(1,([1]!readmissions[Facility ID] = clean[[#This Row],[Facility ID]]) * ([1]!readmissions[Measure ID] = "Hybrid_HWR"), [1]!readmissions[Score]), "No Match")</f>
        <v>15.7</v>
      </c>
    </row>
    <row r="3663" spans="1:6" x14ac:dyDescent="0.2">
      <c r="A3663">
        <f>[1]!hospitalinfo[[#This Row],[Facility ID]]</f>
        <v>360218</v>
      </c>
      <c r="B3663" t="str">
        <f>[1]!hospitalinfo[[#This Row],[State]]</f>
        <v>OH</v>
      </c>
      <c r="C3663" t="str">
        <f>[1]!hospitalinfo[[#This Row],[Hospital Type]]</f>
        <v>Acute Care Hospitals</v>
      </c>
      <c r="D3663" t="str">
        <f>[1]!hospitalinfo[[#This Row],[Hospital Ownership]]</f>
        <v>Voluntary non-profit - Private</v>
      </c>
      <c r="E3663" cm="1">
        <f t="array" ref="E3663">_xlfn.IFNA(_xlfn.XLOOKUP(1,([1]!hcahps[Facility ID] = clean[[#This Row],[Facility ID]]) * ([1]!hcahps[HCAHPS Measure ID] = "H_HSP_RATING_LINEAR_SCORE"), [1]!hcahps[HCAHPS Linear Mean Value]), "No Match")</f>
        <v>88</v>
      </c>
      <c r="F3663" cm="1">
        <f t="array" ref="F3663">_xlfn.IFNA(_xlfn.XLOOKUP(1,([1]!readmissions[Facility ID] = clean[[#This Row],[Facility ID]]) * ([1]!readmissions[Measure ID] = "Hybrid_HWR"), [1]!readmissions[Score]), "No Match")</f>
        <v>16.100000000000001</v>
      </c>
    </row>
    <row r="3664" spans="1:6" x14ac:dyDescent="0.2">
      <c r="A3664">
        <f>[1]!hospitalinfo[[#This Row],[Facility ID]]</f>
        <v>360230</v>
      </c>
      <c r="B3664" t="str">
        <f>[1]!hospitalinfo[[#This Row],[State]]</f>
        <v>OH</v>
      </c>
      <c r="C3664" t="str">
        <f>[1]!hospitalinfo[[#This Row],[Hospital Type]]</f>
        <v>Acute Care Hospitals</v>
      </c>
      <c r="D3664" t="str">
        <f>[1]!hospitalinfo[[#This Row],[Hospital Ownership]]</f>
        <v>Voluntary non-profit - Private</v>
      </c>
      <c r="E3664" cm="1">
        <f t="array" ref="E3664">_xlfn.IFNA(_xlfn.XLOOKUP(1,([1]!hcahps[Facility ID] = clean[[#This Row],[Facility ID]]) * ([1]!hcahps[HCAHPS Measure ID] = "H_HSP_RATING_LINEAR_SCORE"), [1]!hcahps[HCAHPS Linear Mean Value]), "No Match")</f>
        <v>87</v>
      </c>
      <c r="F3664" cm="1">
        <f t="array" ref="F3664">_xlfn.IFNA(_xlfn.XLOOKUP(1,([1]!readmissions[Facility ID] = clean[[#This Row],[Facility ID]]) * ([1]!readmissions[Measure ID] = "Hybrid_HWR"), [1]!readmissions[Score]), "No Match")</f>
        <v>15.2</v>
      </c>
    </row>
    <row r="3665" spans="1:6" x14ac:dyDescent="0.2">
      <c r="A3665">
        <f>[1]!hospitalinfo[[#This Row],[Facility ID]]</f>
        <v>360234</v>
      </c>
      <c r="B3665" t="str">
        <f>[1]!hospitalinfo[[#This Row],[State]]</f>
        <v>OH</v>
      </c>
      <c r="C3665" t="str">
        <f>[1]!hospitalinfo[[#This Row],[Hospital Type]]</f>
        <v>Acute Care Hospitals</v>
      </c>
      <c r="D3665" t="str">
        <f>[1]!hospitalinfo[[#This Row],[Hospital Ownership]]</f>
        <v>Voluntary non-profit - Private</v>
      </c>
      <c r="E3665" cm="1">
        <f t="array" ref="E3665">_xlfn.IFNA(_xlfn.XLOOKUP(1,([1]!hcahps[Facility ID] = clean[[#This Row],[Facility ID]]) * ([1]!hcahps[HCAHPS Measure ID] = "H_HSP_RATING_LINEAR_SCORE"), [1]!hcahps[HCAHPS Linear Mean Value]), "No Match")</f>
        <v>88</v>
      </c>
      <c r="F3665" cm="1">
        <f t="array" ref="F3665">_xlfn.IFNA(_xlfn.XLOOKUP(1,([1]!readmissions[Facility ID] = clean[[#This Row],[Facility ID]]) * ([1]!readmissions[Measure ID] = "Hybrid_HWR"), [1]!readmissions[Score]), "No Match")</f>
        <v>15.1</v>
      </c>
    </row>
    <row r="3666" spans="1:6" x14ac:dyDescent="0.2">
      <c r="A3666">
        <f>[1]!hospitalinfo[[#This Row],[Facility ID]]</f>
        <v>360236</v>
      </c>
      <c r="B3666" t="str">
        <f>[1]!hospitalinfo[[#This Row],[State]]</f>
        <v>OH</v>
      </c>
      <c r="C3666" t="str">
        <f>[1]!hospitalinfo[[#This Row],[Hospital Type]]</f>
        <v>Acute Care Hospitals</v>
      </c>
      <c r="D3666" t="str">
        <f>[1]!hospitalinfo[[#This Row],[Hospital Ownership]]</f>
        <v>Voluntary non-profit - Church</v>
      </c>
      <c r="E3666" cm="1">
        <f t="array" ref="E3666">_xlfn.IFNA(_xlfn.XLOOKUP(1,([1]!hcahps[Facility ID] = clean[[#This Row],[Facility ID]]) * ([1]!hcahps[HCAHPS Measure ID] = "H_HSP_RATING_LINEAR_SCORE"), [1]!hcahps[HCAHPS Linear Mean Value]), "No Match")</f>
        <v>87</v>
      </c>
      <c r="F3666" cm="1">
        <f t="array" ref="F3666">_xlfn.IFNA(_xlfn.XLOOKUP(1,([1]!readmissions[Facility ID] = clean[[#This Row],[Facility ID]]) * ([1]!readmissions[Measure ID] = "Hybrid_HWR"), [1]!readmissions[Score]), "No Match")</f>
        <v>14.5</v>
      </c>
    </row>
    <row r="3667" spans="1:6" x14ac:dyDescent="0.2">
      <c r="A3667">
        <f>[1]!hospitalinfo[[#This Row],[Facility ID]]</f>
        <v>360239</v>
      </c>
      <c r="B3667" t="str">
        <f>[1]!hospitalinfo[[#This Row],[State]]</f>
        <v>OH</v>
      </c>
      <c r="C3667" t="str">
        <f>[1]!hospitalinfo[[#This Row],[Hospital Type]]</f>
        <v>Acute Care Hospitals</v>
      </c>
      <c r="D3667" t="str">
        <f>[1]!hospitalinfo[[#This Row],[Hospital Ownership]]</f>
        <v>Voluntary non-profit - Church</v>
      </c>
      <c r="E3667" cm="1">
        <f t="array" ref="E3667">_xlfn.IFNA(_xlfn.XLOOKUP(1,([1]!hcahps[Facility ID] = clean[[#This Row],[Facility ID]]) * ([1]!hcahps[HCAHPS Measure ID] = "H_HSP_RATING_LINEAR_SCORE"), [1]!hcahps[HCAHPS Linear Mean Value]), "No Match")</f>
        <v>90</v>
      </c>
      <c r="F3667" cm="1">
        <f t="array" ref="F3667">_xlfn.IFNA(_xlfn.XLOOKUP(1,([1]!readmissions[Facility ID] = clean[[#This Row],[Facility ID]]) * ([1]!readmissions[Measure ID] = "Hybrid_HWR"), [1]!readmissions[Score]), "No Match")</f>
        <v>14.8</v>
      </c>
    </row>
    <row r="3668" spans="1:6" x14ac:dyDescent="0.2">
      <c r="A3668">
        <f>[1]!hospitalinfo[[#This Row],[Facility ID]]</f>
        <v>360245</v>
      </c>
      <c r="B3668" t="str">
        <f>[1]!hospitalinfo[[#This Row],[State]]</f>
        <v>OH</v>
      </c>
      <c r="C3668" t="str">
        <f>[1]!hospitalinfo[[#This Row],[Hospital Type]]</f>
        <v>Acute Care Hospitals</v>
      </c>
      <c r="D3668" t="str">
        <f>[1]!hospitalinfo[[#This Row],[Hospital Ownership]]</f>
        <v>Proprietary</v>
      </c>
      <c r="E3668" t="str" cm="1">
        <f t="array" ref="E3668">_xlfn.IFNA(_xlfn.XLOOKUP(1,([1]!hcahps[Facility ID] = clean[[#This Row],[Facility ID]]) * ([1]!hcahps[HCAHPS Measure ID] = "H_HSP_RATING_LINEAR_SCORE"), [1]!hcahps[HCAHPS Linear Mean Value]), "No Match")</f>
        <v>Not Available</v>
      </c>
      <c r="F3668" cm="1">
        <f t="array" ref="F3668">_xlfn.IFNA(_xlfn.XLOOKUP(1,([1]!readmissions[Facility ID] = clean[[#This Row],[Facility ID]]) * ([1]!readmissions[Measure ID] = "Hybrid_HWR"), [1]!readmissions[Score]), "No Match")</f>
        <v>14.1</v>
      </c>
    </row>
    <row r="3669" spans="1:6" x14ac:dyDescent="0.2">
      <c r="A3669">
        <f>[1]!hospitalinfo[[#This Row],[Facility ID]]</f>
        <v>360259</v>
      </c>
      <c r="B3669" t="str">
        <f>[1]!hospitalinfo[[#This Row],[State]]</f>
        <v>OH</v>
      </c>
      <c r="C3669" t="str">
        <f>[1]!hospitalinfo[[#This Row],[Hospital Type]]</f>
        <v>Acute Care Hospitals</v>
      </c>
      <c r="D3669" t="str">
        <f>[1]!hospitalinfo[[#This Row],[Hospital Ownership]]</f>
        <v>Voluntary non-profit - Other</v>
      </c>
      <c r="E3669" cm="1">
        <f t="array" ref="E3669">_xlfn.IFNA(_xlfn.XLOOKUP(1,([1]!hcahps[Facility ID] = clean[[#This Row],[Facility ID]]) * ([1]!hcahps[HCAHPS Measure ID] = "H_HSP_RATING_LINEAR_SCORE"), [1]!hcahps[HCAHPS Linear Mean Value]), "No Match")</f>
        <v>90</v>
      </c>
      <c r="F3669" cm="1">
        <f t="array" ref="F3669">_xlfn.IFNA(_xlfn.XLOOKUP(1,([1]!readmissions[Facility ID] = clean[[#This Row],[Facility ID]]) * ([1]!readmissions[Measure ID] = "Hybrid_HWR"), [1]!readmissions[Score]), "No Match")</f>
        <v>15.8</v>
      </c>
    </row>
    <row r="3670" spans="1:6" x14ac:dyDescent="0.2">
      <c r="A3670">
        <f>[1]!hospitalinfo[[#This Row],[Facility ID]]</f>
        <v>360263</v>
      </c>
      <c r="B3670" t="str">
        <f>[1]!hospitalinfo[[#This Row],[State]]</f>
        <v>OH</v>
      </c>
      <c r="C3670" t="str">
        <f>[1]!hospitalinfo[[#This Row],[Hospital Type]]</f>
        <v>Acute Care Hospitals</v>
      </c>
      <c r="D3670" t="str">
        <f>[1]!hospitalinfo[[#This Row],[Hospital Ownership]]</f>
        <v>Proprietary</v>
      </c>
      <c r="E3670" cm="1">
        <f t="array" ref="E3670">_xlfn.IFNA(_xlfn.XLOOKUP(1,([1]!hcahps[Facility ID] = clean[[#This Row],[Facility ID]]) * ([1]!hcahps[HCAHPS Measure ID] = "H_HSP_RATING_LINEAR_SCORE"), [1]!hcahps[HCAHPS Linear Mean Value]), "No Match")</f>
        <v>91</v>
      </c>
      <c r="F3670" cm="1">
        <f t="array" ref="F3670">_xlfn.IFNA(_xlfn.XLOOKUP(1,([1]!readmissions[Facility ID] = clean[[#This Row],[Facility ID]]) * ([1]!readmissions[Measure ID] = "Hybrid_HWR"), [1]!readmissions[Score]), "No Match")</f>
        <v>14.8</v>
      </c>
    </row>
    <row r="3671" spans="1:6" x14ac:dyDescent="0.2">
      <c r="A3671">
        <f>[1]!hospitalinfo[[#This Row],[Facility ID]]</f>
        <v>360266</v>
      </c>
      <c r="B3671" t="str">
        <f>[1]!hospitalinfo[[#This Row],[State]]</f>
        <v>OH</v>
      </c>
      <c r="C3671" t="str">
        <f>[1]!hospitalinfo[[#This Row],[Hospital Type]]</f>
        <v>Acute Care Hospitals</v>
      </c>
      <c r="D3671" t="str">
        <f>[1]!hospitalinfo[[#This Row],[Hospital Ownership]]</f>
        <v>Proprietary</v>
      </c>
      <c r="E3671" cm="1">
        <f t="array" ref="E3671">_xlfn.IFNA(_xlfn.XLOOKUP(1,([1]!hcahps[Facility ID] = clean[[#This Row],[Facility ID]]) * ([1]!hcahps[HCAHPS Measure ID] = "H_HSP_RATING_LINEAR_SCORE"), [1]!hcahps[HCAHPS Linear Mean Value]), "No Match")</f>
        <v>90</v>
      </c>
      <c r="F3671" cm="1">
        <f t="array" ref="F3671">_xlfn.IFNA(_xlfn.XLOOKUP(1,([1]!readmissions[Facility ID] = clean[[#This Row],[Facility ID]]) * ([1]!readmissions[Measure ID] = "Hybrid_HWR"), [1]!readmissions[Score]), "No Match")</f>
        <v>13.7</v>
      </c>
    </row>
    <row r="3672" spans="1:6" x14ac:dyDescent="0.2">
      <c r="A3672">
        <f>[1]!hospitalinfo[[#This Row],[Facility ID]]</f>
        <v>360270</v>
      </c>
      <c r="B3672" t="str">
        <f>[1]!hospitalinfo[[#This Row],[State]]</f>
        <v>OH</v>
      </c>
      <c r="C3672" t="str">
        <f>[1]!hospitalinfo[[#This Row],[Hospital Type]]</f>
        <v>Acute Care Hospitals</v>
      </c>
      <c r="D3672" t="str">
        <f>[1]!hospitalinfo[[#This Row],[Hospital Ownership]]</f>
        <v>Proprietary</v>
      </c>
      <c r="E3672" cm="1">
        <f t="array" ref="E3672">_xlfn.IFNA(_xlfn.XLOOKUP(1,([1]!hcahps[Facility ID] = clean[[#This Row],[Facility ID]]) * ([1]!hcahps[HCAHPS Measure ID] = "H_HSP_RATING_LINEAR_SCORE"), [1]!hcahps[HCAHPS Linear Mean Value]), "No Match")</f>
        <v>93</v>
      </c>
      <c r="F3672" cm="1">
        <f t="array" ref="F3672">_xlfn.IFNA(_xlfn.XLOOKUP(1,([1]!readmissions[Facility ID] = clean[[#This Row],[Facility ID]]) * ([1]!readmissions[Measure ID] = "Hybrid_HWR"), [1]!readmissions[Score]), "No Match")</f>
        <v>14.6</v>
      </c>
    </row>
    <row r="3673" spans="1:6" x14ac:dyDescent="0.2">
      <c r="A3673">
        <f>[1]!hospitalinfo[[#This Row],[Facility ID]]</f>
        <v>360276</v>
      </c>
      <c r="B3673" t="str">
        <f>[1]!hospitalinfo[[#This Row],[State]]</f>
        <v>OH</v>
      </c>
      <c r="C3673" t="str">
        <f>[1]!hospitalinfo[[#This Row],[Hospital Type]]</f>
        <v>Acute Care Hospitals</v>
      </c>
      <c r="D3673" t="str">
        <f>[1]!hospitalinfo[[#This Row],[Hospital Ownership]]</f>
        <v>Voluntary non-profit - Church</v>
      </c>
      <c r="E3673" cm="1">
        <f t="array" ref="E3673">_xlfn.IFNA(_xlfn.XLOOKUP(1,([1]!hcahps[Facility ID] = clean[[#This Row],[Facility ID]]) * ([1]!hcahps[HCAHPS Measure ID] = "H_HSP_RATING_LINEAR_SCORE"), [1]!hcahps[HCAHPS Linear Mean Value]), "No Match")</f>
        <v>88</v>
      </c>
      <c r="F3673" cm="1">
        <f t="array" ref="F3673">_xlfn.IFNA(_xlfn.XLOOKUP(1,([1]!readmissions[Facility ID] = clean[[#This Row],[Facility ID]]) * ([1]!readmissions[Measure ID] = "Hybrid_HWR"), [1]!readmissions[Score]), "No Match")</f>
        <v>16.600000000000001</v>
      </c>
    </row>
    <row r="3674" spans="1:6" x14ac:dyDescent="0.2">
      <c r="A3674">
        <f>[1]!hospitalinfo[[#This Row],[Facility ID]]</f>
        <v>360348</v>
      </c>
      <c r="B3674" t="str">
        <f>[1]!hospitalinfo[[#This Row],[State]]</f>
        <v>OH</v>
      </c>
      <c r="C3674" t="str">
        <f>[1]!hospitalinfo[[#This Row],[Hospital Type]]</f>
        <v>Acute Care Hospitals</v>
      </c>
      <c r="D3674" t="str">
        <f>[1]!hospitalinfo[[#This Row],[Hospital Ownership]]</f>
        <v>Voluntary non-profit - Private</v>
      </c>
      <c r="E3674" cm="1">
        <f t="array" ref="E3674">_xlfn.IFNA(_xlfn.XLOOKUP(1,([1]!hcahps[Facility ID] = clean[[#This Row],[Facility ID]]) * ([1]!hcahps[HCAHPS Measure ID] = "H_HSP_RATING_LINEAR_SCORE"), [1]!hcahps[HCAHPS Linear Mean Value]), "No Match")</f>
        <v>91</v>
      </c>
      <c r="F3674" cm="1">
        <f t="array" ref="F3674">_xlfn.IFNA(_xlfn.XLOOKUP(1,([1]!readmissions[Facility ID] = clean[[#This Row],[Facility ID]]) * ([1]!readmissions[Measure ID] = "Hybrid_HWR"), [1]!readmissions[Score]), "No Match")</f>
        <v>14.9</v>
      </c>
    </row>
    <row r="3675" spans="1:6" x14ac:dyDescent="0.2">
      <c r="A3675">
        <f>[1]!hospitalinfo[[#This Row],[Facility ID]]</f>
        <v>360351</v>
      </c>
      <c r="B3675" t="str">
        <f>[1]!hospitalinfo[[#This Row],[State]]</f>
        <v>OH</v>
      </c>
      <c r="C3675" t="str">
        <f>[1]!hospitalinfo[[#This Row],[Hospital Type]]</f>
        <v>Acute Care Hospitals</v>
      </c>
      <c r="D3675" t="str">
        <f>[1]!hospitalinfo[[#This Row],[Hospital Ownership]]</f>
        <v>Proprietary</v>
      </c>
      <c r="E3675" cm="1">
        <f t="array" ref="E3675">_xlfn.IFNA(_xlfn.XLOOKUP(1,([1]!hcahps[Facility ID] = clean[[#This Row],[Facility ID]]) * ([1]!hcahps[HCAHPS Measure ID] = "H_HSP_RATING_LINEAR_SCORE"), [1]!hcahps[HCAHPS Linear Mean Value]), "No Match")</f>
        <v>94</v>
      </c>
      <c r="F3675" cm="1">
        <f t="array" ref="F3675">_xlfn.IFNA(_xlfn.XLOOKUP(1,([1]!readmissions[Facility ID] = clean[[#This Row],[Facility ID]]) * ([1]!readmissions[Measure ID] = "Hybrid_HWR"), [1]!readmissions[Score]), "No Match")</f>
        <v>14.3</v>
      </c>
    </row>
    <row r="3676" spans="1:6" x14ac:dyDescent="0.2">
      <c r="A3676">
        <f>[1]!hospitalinfo[[#This Row],[Facility ID]]</f>
        <v>360352</v>
      </c>
      <c r="B3676" t="str">
        <f>[1]!hospitalinfo[[#This Row],[State]]</f>
        <v>OH</v>
      </c>
      <c r="C3676" t="str">
        <f>[1]!hospitalinfo[[#This Row],[Hospital Type]]</f>
        <v>Acute Care Hospitals</v>
      </c>
      <c r="D3676" t="str">
        <f>[1]!hospitalinfo[[#This Row],[Hospital Ownership]]</f>
        <v>Proprietary</v>
      </c>
      <c r="E3676" cm="1">
        <f t="array" ref="E3676">_xlfn.IFNA(_xlfn.XLOOKUP(1,([1]!hcahps[Facility ID] = clean[[#This Row],[Facility ID]]) * ([1]!hcahps[HCAHPS Measure ID] = "H_HSP_RATING_LINEAR_SCORE"), [1]!hcahps[HCAHPS Linear Mean Value]), "No Match")</f>
        <v>96</v>
      </c>
      <c r="F3676" cm="1">
        <f t="array" ref="F3676">_xlfn.IFNA(_xlfn.XLOOKUP(1,([1]!readmissions[Facility ID] = clean[[#This Row],[Facility ID]]) * ([1]!readmissions[Measure ID] = "Hybrid_HWR"), [1]!readmissions[Score]), "No Match")</f>
        <v>14.9</v>
      </c>
    </row>
    <row r="3677" spans="1:6" x14ac:dyDescent="0.2">
      <c r="A3677">
        <f>[1]!hospitalinfo[[#This Row],[Facility ID]]</f>
        <v>360354</v>
      </c>
      <c r="B3677" t="str">
        <f>[1]!hospitalinfo[[#This Row],[State]]</f>
        <v>OH</v>
      </c>
      <c r="C3677" t="str">
        <f>[1]!hospitalinfo[[#This Row],[Hospital Type]]</f>
        <v>Acute Care Hospitals</v>
      </c>
      <c r="D3677" t="str">
        <f>[1]!hospitalinfo[[#This Row],[Hospital Ownership]]</f>
        <v>Voluntary non-profit - Private</v>
      </c>
      <c r="E3677" cm="1">
        <f t="array" ref="E3677">_xlfn.IFNA(_xlfn.XLOOKUP(1,([1]!hcahps[Facility ID] = clean[[#This Row],[Facility ID]]) * ([1]!hcahps[HCAHPS Measure ID] = "H_HSP_RATING_LINEAR_SCORE"), [1]!hcahps[HCAHPS Linear Mean Value]), "No Match")</f>
        <v>87</v>
      </c>
      <c r="F3677" cm="1">
        <f t="array" ref="F3677">_xlfn.IFNA(_xlfn.XLOOKUP(1,([1]!readmissions[Facility ID] = clean[[#This Row],[Facility ID]]) * ([1]!readmissions[Measure ID] = "Hybrid_HWR"), [1]!readmissions[Score]), "No Match")</f>
        <v>15.4</v>
      </c>
    </row>
    <row r="3678" spans="1:6" x14ac:dyDescent="0.2">
      <c r="A3678">
        <f>[1]!hospitalinfo[[#This Row],[Facility ID]]</f>
        <v>360355</v>
      </c>
      <c r="B3678" t="str">
        <f>[1]!hospitalinfo[[#This Row],[State]]</f>
        <v>OH</v>
      </c>
      <c r="C3678" t="str">
        <f>[1]!hospitalinfo[[#This Row],[Hospital Type]]</f>
        <v>Acute Care Hospitals</v>
      </c>
      <c r="D3678" t="str">
        <f>[1]!hospitalinfo[[#This Row],[Hospital Ownership]]</f>
        <v>Voluntary non-profit - Private</v>
      </c>
      <c r="E3678" t="str" cm="1">
        <f t="array" ref="E3678">_xlfn.IFNA(_xlfn.XLOOKUP(1,([1]!hcahps[Facility ID] = clean[[#This Row],[Facility ID]]) * ([1]!hcahps[HCAHPS Measure ID] = "H_HSP_RATING_LINEAR_SCORE"), [1]!hcahps[HCAHPS Linear Mean Value]), "No Match")</f>
        <v>Not Available</v>
      </c>
      <c r="F3678" cm="1">
        <f t="array" ref="F3678">_xlfn.IFNA(_xlfn.XLOOKUP(1,([1]!readmissions[Facility ID] = clean[[#This Row],[Facility ID]]) * ([1]!readmissions[Measure ID] = "Hybrid_HWR"), [1]!readmissions[Score]), "No Match")</f>
        <v>14.5</v>
      </c>
    </row>
    <row r="3679" spans="1:6" x14ac:dyDescent="0.2">
      <c r="A3679">
        <f>[1]!hospitalinfo[[#This Row],[Facility ID]]</f>
        <v>360358</v>
      </c>
      <c r="B3679" t="str">
        <f>[1]!hospitalinfo[[#This Row],[State]]</f>
        <v>OH</v>
      </c>
      <c r="C3679" t="str">
        <f>[1]!hospitalinfo[[#This Row],[Hospital Type]]</f>
        <v>Acute Care Hospitals</v>
      </c>
      <c r="D3679" t="str">
        <f>[1]!hospitalinfo[[#This Row],[Hospital Ownership]]</f>
        <v>Voluntary non-profit - Private</v>
      </c>
      <c r="E3679" t="str" cm="1">
        <f t="array" ref="E3679">_xlfn.IFNA(_xlfn.XLOOKUP(1,([1]!hcahps[Facility ID] = clean[[#This Row],[Facility ID]]) * ([1]!hcahps[HCAHPS Measure ID] = "H_HSP_RATING_LINEAR_SCORE"), [1]!hcahps[HCAHPS Linear Mean Value]), "No Match")</f>
        <v>Not Available</v>
      </c>
      <c r="F3679" t="str" cm="1">
        <f t="array" ref="F3679">_xlfn.IFNA(_xlfn.XLOOKUP(1,([1]!readmissions[Facility ID] = clean[[#This Row],[Facility ID]]) * ([1]!readmissions[Measure ID] = "Hybrid_HWR"), [1]!readmissions[Score]), "No Match")</f>
        <v>Not Available</v>
      </c>
    </row>
    <row r="3680" spans="1:6" x14ac:dyDescent="0.2">
      <c r="A3680">
        <f>[1]!hospitalinfo[[#This Row],[Facility ID]]</f>
        <v>360359</v>
      </c>
      <c r="B3680" t="str">
        <f>[1]!hospitalinfo[[#This Row],[State]]</f>
        <v>OH</v>
      </c>
      <c r="C3680" t="str">
        <f>[1]!hospitalinfo[[#This Row],[Hospital Type]]</f>
        <v>Acute Care Hospitals</v>
      </c>
      <c r="D3680" t="str">
        <f>[1]!hospitalinfo[[#This Row],[Hospital Ownership]]</f>
        <v>Voluntary non-profit - Private</v>
      </c>
      <c r="E3680" cm="1">
        <f t="array" ref="E3680">_xlfn.IFNA(_xlfn.XLOOKUP(1,([1]!hcahps[Facility ID] = clean[[#This Row],[Facility ID]]) * ([1]!hcahps[HCAHPS Measure ID] = "H_HSP_RATING_LINEAR_SCORE"), [1]!hcahps[HCAHPS Linear Mean Value]), "No Match")</f>
        <v>87</v>
      </c>
      <c r="F3680" cm="1">
        <f t="array" ref="F3680">_xlfn.IFNA(_xlfn.XLOOKUP(1,([1]!readmissions[Facility ID] = clean[[#This Row],[Facility ID]]) * ([1]!readmissions[Measure ID] = "Hybrid_HWR"), [1]!readmissions[Score]), "No Match")</f>
        <v>15.6</v>
      </c>
    </row>
    <row r="3681" spans="1:6" x14ac:dyDescent="0.2">
      <c r="A3681">
        <f>[1]!hospitalinfo[[#This Row],[Facility ID]]</f>
        <v>360360</v>
      </c>
      <c r="B3681" t="str">
        <f>[1]!hospitalinfo[[#This Row],[State]]</f>
        <v>OH</v>
      </c>
      <c r="C3681" t="str">
        <f>[1]!hospitalinfo[[#This Row],[Hospital Type]]</f>
        <v>Acute Care Hospitals</v>
      </c>
      <c r="D3681" t="str">
        <f>[1]!hospitalinfo[[#This Row],[Hospital Ownership]]</f>
        <v>Voluntary non-profit - Private</v>
      </c>
      <c r="E3681" cm="1">
        <f t="array" ref="E3681">_xlfn.IFNA(_xlfn.XLOOKUP(1,([1]!hcahps[Facility ID] = clean[[#This Row],[Facility ID]]) * ([1]!hcahps[HCAHPS Measure ID] = "H_HSP_RATING_LINEAR_SCORE"), [1]!hcahps[HCAHPS Linear Mean Value]), "No Match")</f>
        <v>89</v>
      </c>
      <c r="F3681" cm="1">
        <f t="array" ref="F3681">_xlfn.IFNA(_xlfn.XLOOKUP(1,([1]!readmissions[Facility ID] = clean[[#This Row],[Facility ID]]) * ([1]!readmissions[Measure ID] = "Hybrid_HWR"), [1]!readmissions[Score]), "No Match")</f>
        <v>15.5</v>
      </c>
    </row>
    <row r="3682" spans="1:6" x14ac:dyDescent="0.2">
      <c r="A3682">
        <f>[1]!hospitalinfo[[#This Row],[Facility ID]]</f>
        <v>360361</v>
      </c>
      <c r="B3682" t="str">
        <f>[1]!hospitalinfo[[#This Row],[State]]</f>
        <v>OH</v>
      </c>
      <c r="C3682" t="str">
        <f>[1]!hospitalinfo[[#This Row],[Hospital Type]]</f>
        <v>Acute Care Hospitals</v>
      </c>
      <c r="D3682" t="str">
        <f>[1]!hospitalinfo[[#This Row],[Hospital Ownership]]</f>
        <v>Voluntary non-profit - Private</v>
      </c>
      <c r="E3682" t="str" cm="1">
        <f t="array" ref="E3682">_xlfn.IFNA(_xlfn.XLOOKUP(1,([1]!hcahps[Facility ID] = clean[[#This Row],[Facility ID]]) * ([1]!hcahps[HCAHPS Measure ID] = "H_HSP_RATING_LINEAR_SCORE"), [1]!hcahps[HCAHPS Linear Mean Value]), "No Match")</f>
        <v>Not Available</v>
      </c>
      <c r="F3682" t="str" cm="1">
        <f t="array" ref="F3682">_xlfn.IFNA(_xlfn.XLOOKUP(1,([1]!readmissions[Facility ID] = clean[[#This Row],[Facility ID]]) * ([1]!readmissions[Measure ID] = "Hybrid_HWR"), [1]!readmissions[Score]), "No Match")</f>
        <v>Not Available</v>
      </c>
    </row>
    <row r="3683" spans="1:6" x14ac:dyDescent="0.2">
      <c r="A3683">
        <f>[1]!hospitalinfo[[#This Row],[Facility ID]]</f>
        <v>360364</v>
      </c>
      <c r="B3683" t="str">
        <f>[1]!hospitalinfo[[#This Row],[State]]</f>
        <v>OH</v>
      </c>
      <c r="C3683" t="str">
        <f>[1]!hospitalinfo[[#This Row],[Hospital Type]]</f>
        <v>Acute Care Hospitals</v>
      </c>
      <c r="D3683" t="str">
        <f>[1]!hospitalinfo[[#This Row],[Hospital Ownership]]</f>
        <v>Voluntary non-profit - Private</v>
      </c>
      <c r="E3683" cm="1">
        <f t="array" ref="E3683">_xlfn.IFNA(_xlfn.XLOOKUP(1,([1]!hcahps[Facility ID] = clean[[#This Row],[Facility ID]]) * ([1]!hcahps[HCAHPS Measure ID] = "H_HSP_RATING_LINEAR_SCORE"), [1]!hcahps[HCAHPS Linear Mean Value]), "No Match")</f>
        <v>92</v>
      </c>
      <c r="F3683" cm="1">
        <f t="array" ref="F3683">_xlfn.IFNA(_xlfn.XLOOKUP(1,([1]!readmissions[Facility ID] = clean[[#This Row],[Facility ID]]) * ([1]!readmissions[Measure ID] = "Hybrid_HWR"), [1]!readmissions[Score]), "No Match")</f>
        <v>15.2</v>
      </c>
    </row>
    <row r="3684" spans="1:6" x14ac:dyDescent="0.2">
      <c r="A3684">
        <f>[1]!hospitalinfo[[#This Row],[Facility ID]]</f>
        <v>360365</v>
      </c>
      <c r="B3684" t="str">
        <f>[1]!hospitalinfo[[#This Row],[State]]</f>
        <v>OH</v>
      </c>
      <c r="C3684" t="str">
        <f>[1]!hospitalinfo[[#This Row],[Hospital Type]]</f>
        <v>Acute Care Hospitals</v>
      </c>
      <c r="D3684" t="str">
        <f>[1]!hospitalinfo[[#This Row],[Hospital Ownership]]</f>
        <v>Voluntary non-profit - Private</v>
      </c>
      <c r="E3684" cm="1">
        <f t="array" ref="E3684">_xlfn.IFNA(_xlfn.XLOOKUP(1,([1]!hcahps[Facility ID] = clean[[#This Row],[Facility ID]]) * ([1]!hcahps[HCAHPS Measure ID] = "H_HSP_RATING_LINEAR_SCORE"), [1]!hcahps[HCAHPS Linear Mean Value]), "No Match")</f>
        <v>91</v>
      </c>
      <c r="F3684" cm="1">
        <f t="array" ref="F3684">_xlfn.IFNA(_xlfn.XLOOKUP(1,([1]!readmissions[Facility ID] = clean[[#This Row],[Facility ID]]) * ([1]!readmissions[Measure ID] = "Hybrid_HWR"), [1]!readmissions[Score]), "No Match")</f>
        <v>14.8</v>
      </c>
    </row>
    <row r="3685" spans="1:6" x14ac:dyDescent="0.2">
      <c r="A3685">
        <f>[1]!hospitalinfo[[#This Row],[Facility ID]]</f>
        <v>360367</v>
      </c>
      <c r="B3685" t="str">
        <f>[1]!hospitalinfo[[#This Row],[State]]</f>
        <v>OH</v>
      </c>
      <c r="C3685" t="str">
        <f>[1]!hospitalinfo[[#This Row],[Hospital Type]]</f>
        <v>Acute Care Hospitals</v>
      </c>
      <c r="D3685" t="str">
        <f>[1]!hospitalinfo[[#This Row],[Hospital Ownership]]</f>
        <v>Proprietary</v>
      </c>
      <c r="E3685" t="str" cm="1">
        <f t="array" ref="E3685">_xlfn.IFNA(_xlfn.XLOOKUP(1,([1]!hcahps[Facility ID] = clean[[#This Row],[Facility ID]]) * ([1]!hcahps[HCAHPS Measure ID] = "H_HSP_RATING_LINEAR_SCORE"), [1]!hcahps[HCAHPS Linear Mean Value]), "No Match")</f>
        <v>Not Available</v>
      </c>
      <c r="F3685" cm="1">
        <f t="array" ref="F3685">_xlfn.IFNA(_xlfn.XLOOKUP(1,([1]!readmissions[Facility ID] = clean[[#This Row],[Facility ID]]) * ([1]!readmissions[Measure ID] = "Hybrid_HWR"), [1]!readmissions[Score]), "No Match")</f>
        <v>15.2</v>
      </c>
    </row>
    <row r="3686" spans="1:6" x14ac:dyDescent="0.2">
      <c r="A3686">
        <f>[1]!hospitalinfo[[#This Row],[Facility ID]]</f>
        <v>360368</v>
      </c>
      <c r="B3686" t="str">
        <f>[1]!hospitalinfo[[#This Row],[State]]</f>
        <v>OH</v>
      </c>
      <c r="C3686" t="str">
        <f>[1]!hospitalinfo[[#This Row],[Hospital Type]]</f>
        <v>Acute Care Hospitals</v>
      </c>
      <c r="D3686" t="str">
        <f>[1]!hospitalinfo[[#This Row],[Hospital Ownership]]</f>
        <v>Voluntary non-profit - Private</v>
      </c>
      <c r="E3686" cm="1">
        <f t="array" ref="E3686">_xlfn.IFNA(_xlfn.XLOOKUP(1,([1]!hcahps[Facility ID] = clean[[#This Row],[Facility ID]]) * ([1]!hcahps[HCAHPS Measure ID] = "H_HSP_RATING_LINEAR_SCORE"), [1]!hcahps[HCAHPS Linear Mean Value]), "No Match")</f>
        <v>94</v>
      </c>
      <c r="F3686" cm="1">
        <f t="array" ref="F3686">_xlfn.IFNA(_xlfn.XLOOKUP(1,([1]!readmissions[Facility ID] = clean[[#This Row],[Facility ID]]) * ([1]!readmissions[Measure ID] = "Hybrid_HWR"), [1]!readmissions[Score]), "No Match")</f>
        <v>15.1</v>
      </c>
    </row>
    <row r="3687" spans="1:6" x14ac:dyDescent="0.2">
      <c r="A3687">
        <f>[1]!hospitalinfo[[#This Row],[Facility ID]]</f>
        <v>360374</v>
      </c>
      <c r="B3687" t="str">
        <f>[1]!hospitalinfo[[#This Row],[State]]</f>
        <v>OH</v>
      </c>
      <c r="C3687" t="str">
        <f>[1]!hospitalinfo[[#This Row],[Hospital Type]]</f>
        <v>Acute Care Hospitals</v>
      </c>
      <c r="D3687" t="str">
        <f>[1]!hospitalinfo[[#This Row],[Hospital Ownership]]</f>
        <v>Voluntary non-profit - Private</v>
      </c>
      <c r="E3687" cm="1">
        <f t="array" ref="E3687">_xlfn.IFNA(_xlfn.XLOOKUP(1,([1]!hcahps[Facility ID] = clean[[#This Row],[Facility ID]]) * ([1]!hcahps[HCAHPS Measure ID] = "H_HSP_RATING_LINEAR_SCORE"), [1]!hcahps[HCAHPS Linear Mean Value]), "No Match")</f>
        <v>89</v>
      </c>
      <c r="F3687" cm="1">
        <f t="array" ref="F3687">_xlfn.IFNA(_xlfn.XLOOKUP(1,([1]!readmissions[Facility ID] = clean[[#This Row],[Facility ID]]) * ([1]!readmissions[Measure ID] = "Hybrid_HWR"), [1]!readmissions[Score]), "No Match")</f>
        <v>15.6</v>
      </c>
    </row>
    <row r="3688" spans="1:6" x14ac:dyDescent="0.2">
      <c r="A3688">
        <f>[1]!hospitalinfo[[#This Row],[Facility ID]]</f>
        <v>360375</v>
      </c>
      <c r="B3688" t="str">
        <f>[1]!hospitalinfo[[#This Row],[State]]</f>
        <v>OH</v>
      </c>
      <c r="C3688" t="str">
        <f>[1]!hospitalinfo[[#This Row],[Hospital Type]]</f>
        <v>Acute Care Hospitals</v>
      </c>
      <c r="D3688" t="str">
        <f>[1]!hospitalinfo[[#This Row],[Hospital Ownership]]</f>
        <v>Voluntary non-profit - Church</v>
      </c>
      <c r="E3688" t="str" cm="1">
        <f t="array" ref="E3688">_xlfn.IFNA(_xlfn.XLOOKUP(1,([1]!hcahps[Facility ID] = clean[[#This Row],[Facility ID]]) * ([1]!hcahps[HCAHPS Measure ID] = "H_HSP_RATING_LINEAR_SCORE"), [1]!hcahps[HCAHPS Linear Mean Value]), "No Match")</f>
        <v>Not Available</v>
      </c>
      <c r="F3688" t="str" cm="1">
        <f t="array" ref="F3688">_xlfn.IFNA(_xlfn.XLOOKUP(1,([1]!readmissions[Facility ID] = clean[[#This Row],[Facility ID]]) * ([1]!readmissions[Measure ID] = "Hybrid_HWR"), [1]!readmissions[Score]), "No Match")</f>
        <v>Not Available</v>
      </c>
    </row>
    <row r="3689" spans="1:6" x14ac:dyDescent="0.2">
      <c r="A3689">
        <f>[1]!hospitalinfo[[#This Row],[Facility ID]]</f>
        <v>361300</v>
      </c>
      <c r="B3689" t="str">
        <f>[1]!hospitalinfo[[#This Row],[State]]</f>
        <v>OH</v>
      </c>
      <c r="C3689" t="str">
        <f>[1]!hospitalinfo[[#This Row],[Hospital Type]]</f>
        <v>Critical Access Hospitals</v>
      </c>
      <c r="D3689" t="str">
        <f>[1]!hospitalinfo[[#This Row],[Hospital Ownership]]</f>
        <v>Government - Local</v>
      </c>
      <c r="E3689" t="str" cm="1">
        <f t="array" ref="E3689">_xlfn.IFNA(_xlfn.XLOOKUP(1,([1]!hcahps[Facility ID] = clean[[#This Row],[Facility ID]]) * ([1]!hcahps[HCAHPS Measure ID] = "H_HSP_RATING_LINEAR_SCORE"), [1]!hcahps[HCAHPS Linear Mean Value]), "No Match")</f>
        <v>Not Available</v>
      </c>
      <c r="F3689" cm="1">
        <f t="array" ref="F3689">_xlfn.IFNA(_xlfn.XLOOKUP(1,([1]!readmissions[Facility ID] = clean[[#This Row],[Facility ID]]) * ([1]!readmissions[Measure ID] = "Hybrid_HWR"), [1]!readmissions[Score]), "No Match")</f>
        <v>15.2</v>
      </c>
    </row>
    <row r="3690" spans="1:6" x14ac:dyDescent="0.2">
      <c r="A3690">
        <f>[1]!hospitalinfo[[#This Row],[Facility ID]]</f>
        <v>361302</v>
      </c>
      <c r="B3690" t="str">
        <f>[1]!hospitalinfo[[#This Row],[State]]</f>
        <v>OH</v>
      </c>
      <c r="C3690" t="str">
        <f>[1]!hospitalinfo[[#This Row],[Hospital Type]]</f>
        <v>Critical Access Hospitals</v>
      </c>
      <c r="D3690" t="str">
        <f>[1]!hospitalinfo[[#This Row],[Hospital Ownership]]</f>
        <v>Voluntary non-profit - Church</v>
      </c>
      <c r="E3690" t="str" cm="1">
        <f t="array" ref="E3690">_xlfn.IFNA(_xlfn.XLOOKUP(1,([1]!hcahps[Facility ID] = clean[[#This Row],[Facility ID]]) * ([1]!hcahps[HCAHPS Measure ID] = "H_HSP_RATING_LINEAR_SCORE"), [1]!hcahps[HCAHPS Linear Mean Value]), "No Match")</f>
        <v>Not Available</v>
      </c>
      <c r="F3690" cm="1">
        <f t="array" ref="F3690">_xlfn.IFNA(_xlfn.XLOOKUP(1,([1]!readmissions[Facility ID] = clean[[#This Row],[Facility ID]]) * ([1]!readmissions[Measure ID] = "Hybrid_HWR"), [1]!readmissions[Score]), "No Match")</f>
        <v>15</v>
      </c>
    </row>
    <row r="3691" spans="1:6" x14ac:dyDescent="0.2">
      <c r="A3691">
        <f>[1]!hospitalinfo[[#This Row],[Facility ID]]</f>
        <v>361303</v>
      </c>
      <c r="B3691" t="str">
        <f>[1]!hospitalinfo[[#This Row],[State]]</f>
        <v>OH</v>
      </c>
      <c r="C3691" t="str">
        <f>[1]!hospitalinfo[[#This Row],[Hospital Type]]</f>
        <v>Critical Access Hospitals</v>
      </c>
      <c r="D3691" t="str">
        <f>[1]!hospitalinfo[[#This Row],[Hospital Ownership]]</f>
        <v>Voluntary non-profit - Private</v>
      </c>
      <c r="E3691" cm="1">
        <f t="array" ref="E3691">_xlfn.IFNA(_xlfn.XLOOKUP(1,([1]!hcahps[Facility ID] = clean[[#This Row],[Facility ID]]) * ([1]!hcahps[HCAHPS Measure ID] = "H_HSP_RATING_LINEAR_SCORE"), [1]!hcahps[HCAHPS Linear Mean Value]), "No Match")</f>
        <v>91</v>
      </c>
      <c r="F3691" t="str" cm="1">
        <f t="array" ref="F3691">_xlfn.IFNA(_xlfn.XLOOKUP(1,([1]!readmissions[Facility ID] = clean[[#This Row],[Facility ID]]) * ([1]!readmissions[Measure ID] = "Hybrid_HWR"), [1]!readmissions[Score]), "No Match")</f>
        <v>Not Available</v>
      </c>
    </row>
    <row r="3692" spans="1:6" x14ac:dyDescent="0.2">
      <c r="A3692">
        <f>[1]!hospitalinfo[[#This Row],[Facility ID]]</f>
        <v>361304</v>
      </c>
      <c r="B3692" t="str">
        <f>[1]!hospitalinfo[[#This Row],[State]]</f>
        <v>OH</v>
      </c>
      <c r="C3692" t="str">
        <f>[1]!hospitalinfo[[#This Row],[Hospital Type]]</f>
        <v>Critical Access Hospitals</v>
      </c>
      <c r="D3692" t="str">
        <f>[1]!hospitalinfo[[#This Row],[Hospital Ownership]]</f>
        <v>Voluntary non-profit - Private</v>
      </c>
      <c r="E3692" t="str" cm="1">
        <f t="array" ref="E3692">_xlfn.IFNA(_xlfn.XLOOKUP(1,([1]!hcahps[Facility ID] = clean[[#This Row],[Facility ID]]) * ([1]!hcahps[HCAHPS Measure ID] = "H_HSP_RATING_LINEAR_SCORE"), [1]!hcahps[HCAHPS Linear Mean Value]), "No Match")</f>
        <v>Not Available</v>
      </c>
      <c r="F3692" cm="1">
        <f t="array" ref="F3692">_xlfn.IFNA(_xlfn.XLOOKUP(1,([1]!readmissions[Facility ID] = clean[[#This Row],[Facility ID]]) * ([1]!readmissions[Measure ID] = "Hybrid_HWR"), [1]!readmissions[Score]), "No Match")</f>
        <v>15.2</v>
      </c>
    </row>
    <row r="3693" spans="1:6" x14ac:dyDescent="0.2">
      <c r="A3693">
        <f>[1]!hospitalinfo[[#This Row],[Facility ID]]</f>
        <v>361306</v>
      </c>
      <c r="B3693" t="str">
        <f>[1]!hospitalinfo[[#This Row],[State]]</f>
        <v>OH</v>
      </c>
      <c r="C3693" t="str">
        <f>[1]!hospitalinfo[[#This Row],[Hospital Type]]</f>
        <v>Critical Access Hospitals</v>
      </c>
      <c r="D3693" t="str">
        <f>[1]!hospitalinfo[[#This Row],[Hospital Ownership]]</f>
        <v>Voluntary non-profit - Private</v>
      </c>
      <c r="E3693" cm="1">
        <f t="array" ref="E3693">_xlfn.IFNA(_xlfn.XLOOKUP(1,([1]!hcahps[Facility ID] = clean[[#This Row],[Facility ID]]) * ([1]!hcahps[HCAHPS Measure ID] = "H_HSP_RATING_LINEAR_SCORE"), [1]!hcahps[HCAHPS Linear Mean Value]), "No Match")</f>
        <v>95</v>
      </c>
      <c r="F3693" cm="1">
        <f t="array" ref="F3693">_xlfn.IFNA(_xlfn.XLOOKUP(1,([1]!readmissions[Facility ID] = clean[[#This Row],[Facility ID]]) * ([1]!readmissions[Measure ID] = "Hybrid_HWR"), [1]!readmissions[Score]), "No Match")</f>
        <v>15.2</v>
      </c>
    </row>
    <row r="3694" spans="1:6" x14ac:dyDescent="0.2">
      <c r="A3694">
        <f>[1]!hospitalinfo[[#This Row],[Facility ID]]</f>
        <v>361307</v>
      </c>
      <c r="B3694" t="str">
        <f>[1]!hospitalinfo[[#This Row],[State]]</f>
        <v>OH</v>
      </c>
      <c r="C3694" t="str">
        <f>[1]!hospitalinfo[[#This Row],[Hospital Type]]</f>
        <v>Critical Access Hospitals</v>
      </c>
      <c r="D3694" t="str">
        <f>[1]!hospitalinfo[[#This Row],[Hospital Ownership]]</f>
        <v>Voluntary non-profit - Private</v>
      </c>
      <c r="E3694" cm="1">
        <f t="array" ref="E3694">_xlfn.IFNA(_xlfn.XLOOKUP(1,([1]!hcahps[Facility ID] = clean[[#This Row],[Facility ID]]) * ([1]!hcahps[HCAHPS Measure ID] = "H_HSP_RATING_LINEAR_SCORE"), [1]!hcahps[HCAHPS Linear Mean Value]), "No Match")</f>
        <v>93</v>
      </c>
      <c r="F3694" cm="1">
        <f t="array" ref="F3694">_xlfn.IFNA(_xlfn.XLOOKUP(1,([1]!readmissions[Facility ID] = clean[[#This Row],[Facility ID]]) * ([1]!readmissions[Measure ID] = "Hybrid_HWR"), [1]!readmissions[Score]), "No Match")</f>
        <v>15.3</v>
      </c>
    </row>
    <row r="3695" spans="1:6" x14ac:dyDescent="0.2">
      <c r="A3695">
        <f>[1]!hospitalinfo[[#This Row],[Facility ID]]</f>
        <v>361308</v>
      </c>
      <c r="B3695" t="str">
        <f>[1]!hospitalinfo[[#This Row],[State]]</f>
        <v>OH</v>
      </c>
      <c r="C3695" t="str">
        <f>[1]!hospitalinfo[[#This Row],[Hospital Type]]</f>
        <v>Critical Access Hospitals</v>
      </c>
      <c r="D3695" t="str">
        <f>[1]!hospitalinfo[[#This Row],[Hospital Ownership]]</f>
        <v>Voluntary non-profit - Other</v>
      </c>
      <c r="E3695" cm="1">
        <f t="array" ref="E3695">_xlfn.IFNA(_xlfn.XLOOKUP(1,([1]!hcahps[Facility ID] = clean[[#This Row],[Facility ID]]) * ([1]!hcahps[HCAHPS Measure ID] = "H_HSP_RATING_LINEAR_SCORE"), [1]!hcahps[HCAHPS Linear Mean Value]), "No Match")</f>
        <v>93</v>
      </c>
      <c r="F3695" cm="1">
        <f t="array" ref="F3695">_xlfn.IFNA(_xlfn.XLOOKUP(1,([1]!readmissions[Facility ID] = clean[[#This Row],[Facility ID]]) * ([1]!readmissions[Measure ID] = "Hybrid_HWR"), [1]!readmissions[Score]), "No Match")</f>
        <v>15.2</v>
      </c>
    </row>
    <row r="3696" spans="1:6" x14ac:dyDescent="0.2">
      <c r="A3696">
        <f>[1]!hospitalinfo[[#This Row],[Facility ID]]</f>
        <v>361309</v>
      </c>
      <c r="B3696" t="str">
        <f>[1]!hospitalinfo[[#This Row],[State]]</f>
        <v>OH</v>
      </c>
      <c r="C3696" t="str">
        <f>[1]!hospitalinfo[[#This Row],[Hospital Type]]</f>
        <v>Critical Access Hospitals</v>
      </c>
      <c r="D3696" t="str">
        <f>[1]!hospitalinfo[[#This Row],[Hospital Ownership]]</f>
        <v>Voluntary non-profit - Private</v>
      </c>
      <c r="E3696" t="str" cm="1">
        <f t="array" ref="E3696">_xlfn.IFNA(_xlfn.XLOOKUP(1,([1]!hcahps[Facility ID] = clean[[#This Row],[Facility ID]]) * ([1]!hcahps[HCAHPS Measure ID] = "H_HSP_RATING_LINEAR_SCORE"), [1]!hcahps[HCAHPS Linear Mean Value]), "No Match")</f>
        <v>Not Available</v>
      </c>
      <c r="F3696" cm="1">
        <f t="array" ref="F3696">_xlfn.IFNA(_xlfn.XLOOKUP(1,([1]!readmissions[Facility ID] = clean[[#This Row],[Facility ID]]) * ([1]!readmissions[Measure ID] = "Hybrid_HWR"), [1]!readmissions[Score]), "No Match")</f>
        <v>15.1</v>
      </c>
    </row>
    <row r="3697" spans="1:6" x14ac:dyDescent="0.2">
      <c r="A3697">
        <f>[1]!hospitalinfo[[#This Row],[Facility ID]]</f>
        <v>361310</v>
      </c>
      <c r="B3697" t="str">
        <f>[1]!hospitalinfo[[#This Row],[State]]</f>
        <v>OH</v>
      </c>
      <c r="C3697" t="str">
        <f>[1]!hospitalinfo[[#This Row],[Hospital Type]]</f>
        <v>Critical Access Hospitals</v>
      </c>
      <c r="D3697" t="str">
        <f>[1]!hospitalinfo[[#This Row],[Hospital Ownership]]</f>
        <v>Voluntary non-profit - Private</v>
      </c>
      <c r="E3697" t="str" cm="1">
        <f t="array" ref="E3697">_xlfn.IFNA(_xlfn.XLOOKUP(1,([1]!hcahps[Facility ID] = clean[[#This Row],[Facility ID]]) * ([1]!hcahps[HCAHPS Measure ID] = "H_HSP_RATING_LINEAR_SCORE"), [1]!hcahps[HCAHPS Linear Mean Value]), "No Match")</f>
        <v>Not Available</v>
      </c>
      <c r="F3697" cm="1">
        <f t="array" ref="F3697">_xlfn.IFNA(_xlfn.XLOOKUP(1,([1]!readmissions[Facility ID] = clean[[#This Row],[Facility ID]]) * ([1]!readmissions[Measure ID] = "Hybrid_HWR"), [1]!readmissions[Score]), "No Match")</f>
        <v>14.2</v>
      </c>
    </row>
    <row r="3698" spans="1:6" x14ac:dyDescent="0.2">
      <c r="A3698">
        <f>[1]!hospitalinfo[[#This Row],[Facility ID]]</f>
        <v>361311</v>
      </c>
      <c r="B3698" t="str">
        <f>[1]!hospitalinfo[[#This Row],[State]]</f>
        <v>OH</v>
      </c>
      <c r="C3698" t="str">
        <f>[1]!hospitalinfo[[#This Row],[Hospital Type]]</f>
        <v>Critical Access Hospitals</v>
      </c>
      <c r="D3698" t="str">
        <f>[1]!hospitalinfo[[#This Row],[Hospital Ownership]]</f>
        <v>Voluntary non-profit - Private</v>
      </c>
      <c r="E3698" t="str" cm="1">
        <f t="array" ref="E3698">_xlfn.IFNA(_xlfn.XLOOKUP(1,([1]!hcahps[Facility ID] = clean[[#This Row],[Facility ID]]) * ([1]!hcahps[HCAHPS Measure ID] = "H_HSP_RATING_LINEAR_SCORE"), [1]!hcahps[HCAHPS Linear Mean Value]), "No Match")</f>
        <v>Not Available</v>
      </c>
      <c r="F3698" cm="1">
        <f t="array" ref="F3698">_xlfn.IFNA(_xlfn.XLOOKUP(1,([1]!readmissions[Facility ID] = clean[[#This Row],[Facility ID]]) * ([1]!readmissions[Measure ID] = "Hybrid_HWR"), [1]!readmissions[Score]), "No Match")</f>
        <v>15.2</v>
      </c>
    </row>
    <row r="3699" spans="1:6" x14ac:dyDescent="0.2">
      <c r="A3699">
        <f>[1]!hospitalinfo[[#This Row],[Facility ID]]</f>
        <v>361312</v>
      </c>
      <c r="B3699" t="str">
        <f>[1]!hospitalinfo[[#This Row],[State]]</f>
        <v>OH</v>
      </c>
      <c r="C3699" t="str">
        <f>[1]!hospitalinfo[[#This Row],[Hospital Type]]</f>
        <v>Critical Access Hospitals</v>
      </c>
      <c r="D3699" t="str">
        <f>[1]!hospitalinfo[[#This Row],[Hospital Ownership]]</f>
        <v>Voluntary non-profit - Private</v>
      </c>
      <c r="E3699" t="str" cm="1">
        <f t="array" ref="E3699">_xlfn.IFNA(_xlfn.XLOOKUP(1,([1]!hcahps[Facility ID] = clean[[#This Row],[Facility ID]]) * ([1]!hcahps[HCAHPS Measure ID] = "H_HSP_RATING_LINEAR_SCORE"), [1]!hcahps[HCAHPS Linear Mean Value]), "No Match")</f>
        <v>Not Available</v>
      </c>
      <c r="F3699" cm="1">
        <f t="array" ref="F3699">_xlfn.IFNA(_xlfn.XLOOKUP(1,([1]!readmissions[Facility ID] = clean[[#This Row],[Facility ID]]) * ([1]!readmissions[Measure ID] = "Hybrid_HWR"), [1]!readmissions[Score]), "No Match")</f>
        <v>14.7</v>
      </c>
    </row>
    <row r="3700" spans="1:6" x14ac:dyDescent="0.2">
      <c r="A3700">
        <f>[1]!hospitalinfo[[#This Row],[Facility ID]]</f>
        <v>361313</v>
      </c>
      <c r="B3700" t="str">
        <f>[1]!hospitalinfo[[#This Row],[State]]</f>
        <v>OH</v>
      </c>
      <c r="C3700" t="str">
        <f>[1]!hospitalinfo[[#This Row],[Hospital Type]]</f>
        <v>Critical Access Hospitals</v>
      </c>
      <c r="D3700" t="str">
        <f>[1]!hospitalinfo[[#This Row],[Hospital Ownership]]</f>
        <v>Government - Local</v>
      </c>
      <c r="E3700" t="str" cm="1">
        <f t="array" ref="E3700">_xlfn.IFNA(_xlfn.XLOOKUP(1,([1]!hcahps[Facility ID] = clean[[#This Row],[Facility ID]]) * ([1]!hcahps[HCAHPS Measure ID] = "H_HSP_RATING_LINEAR_SCORE"), [1]!hcahps[HCAHPS Linear Mean Value]), "No Match")</f>
        <v>Not Available</v>
      </c>
      <c r="F3700" cm="1">
        <f t="array" ref="F3700">_xlfn.IFNA(_xlfn.XLOOKUP(1,([1]!readmissions[Facility ID] = clean[[#This Row],[Facility ID]]) * ([1]!readmissions[Measure ID] = "Hybrid_HWR"), [1]!readmissions[Score]), "No Match")</f>
        <v>15.4</v>
      </c>
    </row>
    <row r="3701" spans="1:6" x14ac:dyDescent="0.2">
      <c r="A3701">
        <f>[1]!hospitalinfo[[#This Row],[Facility ID]]</f>
        <v>361314</v>
      </c>
      <c r="B3701" t="str">
        <f>[1]!hospitalinfo[[#This Row],[State]]</f>
        <v>OH</v>
      </c>
      <c r="C3701" t="str">
        <f>[1]!hospitalinfo[[#This Row],[Hospital Type]]</f>
        <v>Critical Access Hospitals</v>
      </c>
      <c r="D3701" t="str">
        <f>[1]!hospitalinfo[[#This Row],[Hospital Ownership]]</f>
        <v>Voluntary non-profit - Private</v>
      </c>
      <c r="E3701" cm="1">
        <f t="array" ref="E3701">_xlfn.IFNA(_xlfn.XLOOKUP(1,([1]!hcahps[Facility ID] = clean[[#This Row],[Facility ID]]) * ([1]!hcahps[HCAHPS Measure ID] = "H_HSP_RATING_LINEAR_SCORE"), [1]!hcahps[HCAHPS Linear Mean Value]), "No Match")</f>
        <v>92</v>
      </c>
      <c r="F3701" cm="1">
        <f t="array" ref="F3701">_xlfn.IFNA(_xlfn.XLOOKUP(1,([1]!readmissions[Facility ID] = clean[[#This Row],[Facility ID]]) * ([1]!readmissions[Measure ID] = "Hybrid_HWR"), [1]!readmissions[Score]), "No Match")</f>
        <v>15.7</v>
      </c>
    </row>
    <row r="3702" spans="1:6" x14ac:dyDescent="0.2">
      <c r="A3702">
        <f>[1]!hospitalinfo[[#This Row],[Facility ID]]</f>
        <v>361315</v>
      </c>
      <c r="B3702" t="str">
        <f>[1]!hospitalinfo[[#This Row],[State]]</f>
        <v>OH</v>
      </c>
      <c r="C3702" t="str">
        <f>[1]!hospitalinfo[[#This Row],[Hospital Type]]</f>
        <v>Critical Access Hospitals</v>
      </c>
      <c r="D3702" t="str">
        <f>[1]!hospitalinfo[[#This Row],[Hospital Ownership]]</f>
        <v>Voluntary non-profit - Private</v>
      </c>
      <c r="E3702" t="str" cm="1">
        <f t="array" ref="E3702">_xlfn.IFNA(_xlfn.XLOOKUP(1,([1]!hcahps[Facility ID] = clean[[#This Row],[Facility ID]]) * ([1]!hcahps[HCAHPS Measure ID] = "H_HSP_RATING_LINEAR_SCORE"), [1]!hcahps[HCAHPS Linear Mean Value]), "No Match")</f>
        <v>Not Available</v>
      </c>
      <c r="F3702" cm="1">
        <f t="array" ref="F3702">_xlfn.IFNA(_xlfn.XLOOKUP(1,([1]!readmissions[Facility ID] = clean[[#This Row],[Facility ID]]) * ([1]!readmissions[Measure ID] = "Hybrid_HWR"), [1]!readmissions[Score]), "No Match")</f>
        <v>15</v>
      </c>
    </row>
    <row r="3703" spans="1:6" x14ac:dyDescent="0.2">
      <c r="A3703">
        <f>[1]!hospitalinfo[[#This Row],[Facility ID]]</f>
        <v>361316</v>
      </c>
      <c r="B3703" t="str">
        <f>[1]!hospitalinfo[[#This Row],[State]]</f>
        <v>OH</v>
      </c>
      <c r="C3703" t="str">
        <f>[1]!hospitalinfo[[#This Row],[Hospital Type]]</f>
        <v>Critical Access Hospitals</v>
      </c>
      <c r="D3703" t="str">
        <f>[1]!hospitalinfo[[#This Row],[Hospital Ownership]]</f>
        <v>Voluntary non-profit - Other</v>
      </c>
      <c r="E3703" t="str" cm="1">
        <f t="array" ref="E3703">_xlfn.IFNA(_xlfn.XLOOKUP(1,([1]!hcahps[Facility ID] = clean[[#This Row],[Facility ID]]) * ([1]!hcahps[HCAHPS Measure ID] = "H_HSP_RATING_LINEAR_SCORE"), [1]!hcahps[HCAHPS Linear Mean Value]), "No Match")</f>
        <v>Not Available</v>
      </c>
      <c r="F3703" cm="1">
        <f t="array" ref="F3703">_xlfn.IFNA(_xlfn.XLOOKUP(1,([1]!readmissions[Facility ID] = clean[[#This Row],[Facility ID]]) * ([1]!readmissions[Measure ID] = "Hybrid_HWR"), [1]!readmissions[Score]), "No Match")</f>
        <v>14.9</v>
      </c>
    </row>
    <row r="3704" spans="1:6" x14ac:dyDescent="0.2">
      <c r="A3704">
        <f>[1]!hospitalinfo[[#This Row],[Facility ID]]</f>
        <v>361318</v>
      </c>
      <c r="B3704" t="str">
        <f>[1]!hospitalinfo[[#This Row],[State]]</f>
        <v>OH</v>
      </c>
      <c r="C3704" t="str">
        <f>[1]!hospitalinfo[[#This Row],[Hospital Type]]</f>
        <v>Critical Access Hospitals</v>
      </c>
      <c r="D3704" t="str">
        <f>[1]!hospitalinfo[[#This Row],[Hospital Ownership]]</f>
        <v>Voluntary non-profit - Private</v>
      </c>
      <c r="E3704" cm="1">
        <f t="array" ref="E3704">_xlfn.IFNA(_xlfn.XLOOKUP(1,([1]!hcahps[Facility ID] = clean[[#This Row],[Facility ID]]) * ([1]!hcahps[HCAHPS Measure ID] = "H_HSP_RATING_LINEAR_SCORE"), [1]!hcahps[HCAHPS Linear Mean Value]), "No Match")</f>
        <v>90</v>
      </c>
      <c r="F3704" cm="1">
        <f t="array" ref="F3704">_xlfn.IFNA(_xlfn.XLOOKUP(1,([1]!readmissions[Facility ID] = clean[[#This Row],[Facility ID]]) * ([1]!readmissions[Measure ID] = "Hybrid_HWR"), [1]!readmissions[Score]), "No Match")</f>
        <v>14.4</v>
      </c>
    </row>
    <row r="3705" spans="1:6" x14ac:dyDescent="0.2">
      <c r="A3705">
        <f>[1]!hospitalinfo[[#This Row],[Facility ID]]</f>
        <v>361319</v>
      </c>
      <c r="B3705" t="str">
        <f>[1]!hospitalinfo[[#This Row],[State]]</f>
        <v>OH</v>
      </c>
      <c r="C3705" t="str">
        <f>[1]!hospitalinfo[[#This Row],[Hospital Type]]</f>
        <v>Critical Access Hospitals</v>
      </c>
      <c r="D3705" t="str">
        <f>[1]!hospitalinfo[[#This Row],[Hospital Ownership]]</f>
        <v>Voluntary non-profit - Private</v>
      </c>
      <c r="E3705" cm="1">
        <f t="array" ref="E3705">_xlfn.IFNA(_xlfn.XLOOKUP(1,([1]!hcahps[Facility ID] = clean[[#This Row],[Facility ID]]) * ([1]!hcahps[HCAHPS Measure ID] = "H_HSP_RATING_LINEAR_SCORE"), [1]!hcahps[HCAHPS Linear Mean Value]), "No Match")</f>
        <v>90</v>
      </c>
      <c r="F3705" cm="1">
        <f t="array" ref="F3705">_xlfn.IFNA(_xlfn.XLOOKUP(1,([1]!readmissions[Facility ID] = clean[[#This Row],[Facility ID]]) * ([1]!readmissions[Measure ID] = "Hybrid_HWR"), [1]!readmissions[Score]), "No Match")</f>
        <v>13.4</v>
      </c>
    </row>
    <row r="3706" spans="1:6" x14ac:dyDescent="0.2">
      <c r="A3706">
        <f>[1]!hospitalinfo[[#This Row],[Facility ID]]</f>
        <v>361320</v>
      </c>
      <c r="B3706" t="str">
        <f>[1]!hospitalinfo[[#This Row],[State]]</f>
        <v>OH</v>
      </c>
      <c r="C3706" t="str">
        <f>[1]!hospitalinfo[[#This Row],[Hospital Type]]</f>
        <v>Critical Access Hospitals</v>
      </c>
      <c r="D3706" t="str">
        <f>[1]!hospitalinfo[[#This Row],[Hospital Ownership]]</f>
        <v>Voluntary non-profit - Private</v>
      </c>
      <c r="E3706" t="str" cm="1">
        <f t="array" ref="E3706">_xlfn.IFNA(_xlfn.XLOOKUP(1,([1]!hcahps[Facility ID] = clean[[#This Row],[Facility ID]]) * ([1]!hcahps[HCAHPS Measure ID] = "H_HSP_RATING_LINEAR_SCORE"), [1]!hcahps[HCAHPS Linear Mean Value]), "No Match")</f>
        <v>Not Available</v>
      </c>
      <c r="F3706" cm="1">
        <f t="array" ref="F3706">_xlfn.IFNA(_xlfn.XLOOKUP(1,([1]!readmissions[Facility ID] = clean[[#This Row],[Facility ID]]) * ([1]!readmissions[Measure ID] = "Hybrid_HWR"), [1]!readmissions[Score]), "No Match")</f>
        <v>15</v>
      </c>
    </row>
    <row r="3707" spans="1:6" x14ac:dyDescent="0.2">
      <c r="A3707">
        <f>[1]!hospitalinfo[[#This Row],[Facility ID]]</f>
        <v>361321</v>
      </c>
      <c r="B3707" t="str">
        <f>[1]!hospitalinfo[[#This Row],[State]]</f>
        <v>OH</v>
      </c>
      <c r="C3707" t="str">
        <f>[1]!hospitalinfo[[#This Row],[Hospital Type]]</f>
        <v>Critical Access Hospitals</v>
      </c>
      <c r="D3707" t="str">
        <f>[1]!hospitalinfo[[#This Row],[Hospital Ownership]]</f>
        <v>Voluntary non-profit - Private</v>
      </c>
      <c r="E3707" t="str" cm="1">
        <f t="array" ref="E3707">_xlfn.IFNA(_xlfn.XLOOKUP(1,([1]!hcahps[Facility ID] = clean[[#This Row],[Facility ID]]) * ([1]!hcahps[HCAHPS Measure ID] = "H_HSP_RATING_LINEAR_SCORE"), [1]!hcahps[HCAHPS Linear Mean Value]), "No Match")</f>
        <v>Not Available</v>
      </c>
      <c r="F3707" cm="1">
        <f t="array" ref="F3707">_xlfn.IFNA(_xlfn.XLOOKUP(1,([1]!readmissions[Facility ID] = clean[[#This Row],[Facility ID]]) * ([1]!readmissions[Measure ID] = "Hybrid_HWR"), [1]!readmissions[Score]), "No Match")</f>
        <v>15</v>
      </c>
    </row>
    <row r="3708" spans="1:6" x14ac:dyDescent="0.2">
      <c r="A3708">
        <f>[1]!hospitalinfo[[#This Row],[Facility ID]]</f>
        <v>361322</v>
      </c>
      <c r="B3708" t="str">
        <f>[1]!hospitalinfo[[#This Row],[State]]</f>
        <v>OH</v>
      </c>
      <c r="C3708" t="str">
        <f>[1]!hospitalinfo[[#This Row],[Hospital Type]]</f>
        <v>Critical Access Hospitals</v>
      </c>
      <c r="D3708" t="str">
        <f>[1]!hospitalinfo[[#This Row],[Hospital Ownership]]</f>
        <v>Voluntary non-profit - Private</v>
      </c>
      <c r="E3708" t="str" cm="1">
        <f t="array" ref="E3708">_xlfn.IFNA(_xlfn.XLOOKUP(1,([1]!hcahps[Facility ID] = clean[[#This Row],[Facility ID]]) * ([1]!hcahps[HCAHPS Measure ID] = "H_HSP_RATING_LINEAR_SCORE"), [1]!hcahps[HCAHPS Linear Mean Value]), "No Match")</f>
        <v>Not Available</v>
      </c>
      <c r="F3708" t="str" cm="1">
        <f t="array" ref="F3708">_xlfn.IFNA(_xlfn.XLOOKUP(1,([1]!readmissions[Facility ID] = clean[[#This Row],[Facility ID]]) * ([1]!readmissions[Measure ID] = "Hybrid_HWR"), [1]!readmissions[Score]), "No Match")</f>
        <v>Not Available</v>
      </c>
    </row>
    <row r="3709" spans="1:6" x14ac:dyDescent="0.2">
      <c r="A3709">
        <f>[1]!hospitalinfo[[#This Row],[Facility ID]]</f>
        <v>361323</v>
      </c>
      <c r="B3709" t="str">
        <f>[1]!hospitalinfo[[#This Row],[State]]</f>
        <v>OH</v>
      </c>
      <c r="C3709" t="str">
        <f>[1]!hospitalinfo[[#This Row],[Hospital Type]]</f>
        <v>Critical Access Hospitals</v>
      </c>
      <c r="D3709" t="str">
        <f>[1]!hospitalinfo[[#This Row],[Hospital Ownership]]</f>
        <v>Voluntary non-profit - Private</v>
      </c>
      <c r="E3709" cm="1">
        <f t="array" ref="E3709">_xlfn.IFNA(_xlfn.XLOOKUP(1,([1]!hcahps[Facility ID] = clean[[#This Row],[Facility ID]]) * ([1]!hcahps[HCAHPS Measure ID] = "H_HSP_RATING_LINEAR_SCORE"), [1]!hcahps[HCAHPS Linear Mean Value]), "No Match")</f>
        <v>90</v>
      </c>
      <c r="F3709" cm="1">
        <f t="array" ref="F3709">_xlfn.IFNA(_xlfn.XLOOKUP(1,([1]!readmissions[Facility ID] = clean[[#This Row],[Facility ID]]) * ([1]!readmissions[Measure ID] = "Hybrid_HWR"), [1]!readmissions[Score]), "No Match")</f>
        <v>14.8</v>
      </c>
    </row>
    <row r="3710" spans="1:6" x14ac:dyDescent="0.2">
      <c r="A3710">
        <f>[1]!hospitalinfo[[#This Row],[Facility ID]]</f>
        <v>361324</v>
      </c>
      <c r="B3710" t="str">
        <f>[1]!hospitalinfo[[#This Row],[State]]</f>
        <v>OH</v>
      </c>
      <c r="C3710" t="str">
        <f>[1]!hospitalinfo[[#This Row],[Hospital Type]]</f>
        <v>Critical Access Hospitals</v>
      </c>
      <c r="D3710" t="str">
        <f>[1]!hospitalinfo[[#This Row],[Hospital Ownership]]</f>
        <v>Voluntary non-profit - Private</v>
      </c>
      <c r="E3710" t="str" cm="1">
        <f t="array" ref="E3710">_xlfn.IFNA(_xlfn.XLOOKUP(1,([1]!hcahps[Facility ID] = clean[[#This Row],[Facility ID]]) * ([1]!hcahps[HCAHPS Measure ID] = "H_HSP_RATING_LINEAR_SCORE"), [1]!hcahps[HCAHPS Linear Mean Value]), "No Match")</f>
        <v>Not Available</v>
      </c>
      <c r="F3710" cm="1">
        <f t="array" ref="F3710">_xlfn.IFNA(_xlfn.XLOOKUP(1,([1]!readmissions[Facility ID] = clean[[#This Row],[Facility ID]]) * ([1]!readmissions[Measure ID] = "Hybrid_HWR"), [1]!readmissions[Score]), "No Match")</f>
        <v>15.7</v>
      </c>
    </row>
    <row r="3711" spans="1:6" x14ac:dyDescent="0.2">
      <c r="A3711">
        <f>[1]!hospitalinfo[[#This Row],[Facility ID]]</f>
        <v>361325</v>
      </c>
      <c r="B3711" t="str">
        <f>[1]!hospitalinfo[[#This Row],[State]]</f>
        <v>OH</v>
      </c>
      <c r="C3711" t="str">
        <f>[1]!hospitalinfo[[#This Row],[Hospital Type]]</f>
        <v>Critical Access Hospitals</v>
      </c>
      <c r="D3711" t="str">
        <f>[1]!hospitalinfo[[#This Row],[Hospital Ownership]]</f>
        <v>Voluntary non-profit - Church</v>
      </c>
      <c r="E3711" cm="1">
        <f t="array" ref="E3711">_xlfn.IFNA(_xlfn.XLOOKUP(1,([1]!hcahps[Facility ID] = clean[[#This Row],[Facility ID]]) * ([1]!hcahps[HCAHPS Measure ID] = "H_HSP_RATING_LINEAR_SCORE"), [1]!hcahps[HCAHPS Linear Mean Value]), "No Match")</f>
        <v>89</v>
      </c>
      <c r="F3711" cm="1">
        <f t="array" ref="F3711">_xlfn.IFNA(_xlfn.XLOOKUP(1,([1]!readmissions[Facility ID] = clean[[#This Row],[Facility ID]]) * ([1]!readmissions[Measure ID] = "Hybrid_HWR"), [1]!readmissions[Score]), "No Match")</f>
        <v>14.7</v>
      </c>
    </row>
    <row r="3712" spans="1:6" x14ac:dyDescent="0.2">
      <c r="A3712">
        <f>[1]!hospitalinfo[[#This Row],[Facility ID]]</f>
        <v>361326</v>
      </c>
      <c r="B3712" t="str">
        <f>[1]!hospitalinfo[[#This Row],[State]]</f>
        <v>OH</v>
      </c>
      <c r="C3712" t="str">
        <f>[1]!hospitalinfo[[#This Row],[Hospital Type]]</f>
        <v>Critical Access Hospitals</v>
      </c>
      <c r="D3712" t="str">
        <f>[1]!hospitalinfo[[#This Row],[Hospital Ownership]]</f>
        <v>Government - Local</v>
      </c>
      <c r="E3712" t="str" cm="1">
        <f t="array" ref="E3712">_xlfn.IFNA(_xlfn.XLOOKUP(1,([1]!hcahps[Facility ID] = clean[[#This Row],[Facility ID]]) * ([1]!hcahps[HCAHPS Measure ID] = "H_HSP_RATING_LINEAR_SCORE"), [1]!hcahps[HCAHPS Linear Mean Value]), "No Match")</f>
        <v>Not Available</v>
      </c>
      <c r="F3712" cm="1">
        <f t="array" ref="F3712">_xlfn.IFNA(_xlfn.XLOOKUP(1,([1]!readmissions[Facility ID] = clean[[#This Row],[Facility ID]]) * ([1]!readmissions[Measure ID] = "Hybrid_HWR"), [1]!readmissions[Score]), "No Match")</f>
        <v>14.9</v>
      </c>
    </row>
    <row r="3713" spans="1:6" x14ac:dyDescent="0.2">
      <c r="A3713">
        <f>[1]!hospitalinfo[[#This Row],[Facility ID]]</f>
        <v>361327</v>
      </c>
      <c r="B3713" t="str">
        <f>[1]!hospitalinfo[[#This Row],[State]]</f>
        <v>OH</v>
      </c>
      <c r="C3713" t="str">
        <f>[1]!hospitalinfo[[#This Row],[Hospital Type]]</f>
        <v>Critical Access Hospitals</v>
      </c>
      <c r="D3713" t="str">
        <f>[1]!hospitalinfo[[#This Row],[Hospital Ownership]]</f>
        <v>Voluntary non-profit - Private</v>
      </c>
      <c r="E3713" t="str" cm="1">
        <f t="array" ref="E3713">_xlfn.IFNA(_xlfn.XLOOKUP(1,([1]!hcahps[Facility ID] = clean[[#This Row],[Facility ID]]) * ([1]!hcahps[HCAHPS Measure ID] = "H_HSP_RATING_LINEAR_SCORE"), [1]!hcahps[HCAHPS Linear Mean Value]), "No Match")</f>
        <v>Not Available</v>
      </c>
      <c r="F3713" t="str" cm="1">
        <f t="array" ref="F3713">_xlfn.IFNA(_xlfn.XLOOKUP(1,([1]!readmissions[Facility ID] = clean[[#This Row],[Facility ID]]) * ([1]!readmissions[Measure ID] = "Hybrid_HWR"), [1]!readmissions[Score]), "No Match")</f>
        <v>Not Available</v>
      </c>
    </row>
    <row r="3714" spans="1:6" x14ac:dyDescent="0.2">
      <c r="A3714">
        <f>[1]!hospitalinfo[[#This Row],[Facility ID]]</f>
        <v>361328</v>
      </c>
      <c r="B3714" t="str">
        <f>[1]!hospitalinfo[[#This Row],[State]]</f>
        <v>OH</v>
      </c>
      <c r="C3714" t="str">
        <f>[1]!hospitalinfo[[#This Row],[Hospital Type]]</f>
        <v>Critical Access Hospitals</v>
      </c>
      <c r="D3714" t="str">
        <f>[1]!hospitalinfo[[#This Row],[Hospital Ownership]]</f>
        <v>Voluntary non-profit - Private</v>
      </c>
      <c r="E3714" cm="1">
        <f t="array" ref="E3714">_xlfn.IFNA(_xlfn.XLOOKUP(1,([1]!hcahps[Facility ID] = clean[[#This Row],[Facility ID]]) * ([1]!hcahps[HCAHPS Measure ID] = "H_HSP_RATING_LINEAR_SCORE"), [1]!hcahps[HCAHPS Linear Mean Value]), "No Match")</f>
        <v>93</v>
      </c>
      <c r="F3714" cm="1">
        <f t="array" ref="F3714">_xlfn.IFNA(_xlfn.XLOOKUP(1,([1]!readmissions[Facility ID] = clean[[#This Row],[Facility ID]]) * ([1]!readmissions[Measure ID] = "Hybrid_HWR"), [1]!readmissions[Score]), "No Match")</f>
        <v>14.7</v>
      </c>
    </row>
    <row r="3715" spans="1:6" x14ac:dyDescent="0.2">
      <c r="A3715">
        <f>[1]!hospitalinfo[[#This Row],[Facility ID]]</f>
        <v>361329</v>
      </c>
      <c r="B3715" t="str">
        <f>[1]!hospitalinfo[[#This Row],[State]]</f>
        <v>OH</v>
      </c>
      <c r="C3715" t="str">
        <f>[1]!hospitalinfo[[#This Row],[Hospital Type]]</f>
        <v>Critical Access Hospitals</v>
      </c>
      <c r="D3715" t="str">
        <f>[1]!hospitalinfo[[#This Row],[Hospital Ownership]]</f>
        <v>Government - Hospital District or Authority</v>
      </c>
      <c r="E3715" cm="1">
        <f t="array" ref="E3715">_xlfn.IFNA(_xlfn.XLOOKUP(1,([1]!hcahps[Facility ID] = clean[[#This Row],[Facility ID]]) * ([1]!hcahps[HCAHPS Measure ID] = "H_HSP_RATING_LINEAR_SCORE"), [1]!hcahps[HCAHPS Linear Mean Value]), "No Match")</f>
        <v>91</v>
      </c>
      <c r="F3715" cm="1">
        <f t="array" ref="F3715">_xlfn.IFNA(_xlfn.XLOOKUP(1,([1]!readmissions[Facility ID] = clean[[#This Row],[Facility ID]]) * ([1]!readmissions[Measure ID] = "Hybrid_HWR"), [1]!readmissions[Score]), "No Match")</f>
        <v>14.8</v>
      </c>
    </row>
    <row r="3716" spans="1:6" x14ac:dyDescent="0.2">
      <c r="A3716">
        <f>[1]!hospitalinfo[[#This Row],[Facility ID]]</f>
        <v>361330</v>
      </c>
      <c r="B3716" t="str">
        <f>[1]!hospitalinfo[[#This Row],[State]]</f>
        <v>OH</v>
      </c>
      <c r="C3716" t="str">
        <f>[1]!hospitalinfo[[#This Row],[Hospital Type]]</f>
        <v>Critical Access Hospitals</v>
      </c>
      <c r="D3716" t="str">
        <f>[1]!hospitalinfo[[#This Row],[Hospital Ownership]]</f>
        <v>Voluntary non-profit - Other</v>
      </c>
      <c r="E3716" t="str" cm="1">
        <f t="array" ref="E3716">_xlfn.IFNA(_xlfn.XLOOKUP(1,([1]!hcahps[Facility ID] = clean[[#This Row],[Facility ID]]) * ([1]!hcahps[HCAHPS Measure ID] = "H_HSP_RATING_LINEAR_SCORE"), [1]!hcahps[HCAHPS Linear Mean Value]), "No Match")</f>
        <v>Not Available</v>
      </c>
      <c r="F3716" cm="1">
        <f t="array" ref="F3716">_xlfn.IFNA(_xlfn.XLOOKUP(1,([1]!readmissions[Facility ID] = clean[[#This Row],[Facility ID]]) * ([1]!readmissions[Measure ID] = "Hybrid_HWR"), [1]!readmissions[Score]), "No Match")</f>
        <v>15.3</v>
      </c>
    </row>
    <row r="3717" spans="1:6" x14ac:dyDescent="0.2">
      <c r="A3717">
        <f>[1]!hospitalinfo[[#This Row],[Facility ID]]</f>
        <v>361331</v>
      </c>
      <c r="B3717" t="str">
        <f>[1]!hospitalinfo[[#This Row],[State]]</f>
        <v>OH</v>
      </c>
      <c r="C3717" t="str">
        <f>[1]!hospitalinfo[[#This Row],[Hospital Type]]</f>
        <v>Critical Access Hospitals</v>
      </c>
      <c r="D3717" t="str">
        <f>[1]!hospitalinfo[[#This Row],[Hospital Ownership]]</f>
        <v>Government - Local</v>
      </c>
      <c r="E3717" cm="1">
        <f t="array" ref="E3717">_xlfn.IFNA(_xlfn.XLOOKUP(1,([1]!hcahps[Facility ID] = clean[[#This Row],[Facility ID]]) * ([1]!hcahps[HCAHPS Measure ID] = "H_HSP_RATING_LINEAR_SCORE"), [1]!hcahps[HCAHPS Linear Mean Value]), "No Match")</f>
        <v>86</v>
      </c>
      <c r="F3717" cm="1">
        <f t="array" ref="F3717">_xlfn.IFNA(_xlfn.XLOOKUP(1,([1]!readmissions[Facility ID] = clean[[#This Row],[Facility ID]]) * ([1]!readmissions[Measure ID] = "Hybrid_HWR"), [1]!readmissions[Score]), "No Match")</f>
        <v>14.8</v>
      </c>
    </row>
    <row r="3718" spans="1:6" x14ac:dyDescent="0.2">
      <c r="A3718">
        <f>[1]!hospitalinfo[[#This Row],[Facility ID]]</f>
        <v>361332</v>
      </c>
      <c r="B3718" t="str">
        <f>[1]!hospitalinfo[[#This Row],[State]]</f>
        <v>OH</v>
      </c>
      <c r="C3718" t="str">
        <f>[1]!hospitalinfo[[#This Row],[Hospital Type]]</f>
        <v>Critical Access Hospitals</v>
      </c>
      <c r="D3718" t="str">
        <f>[1]!hospitalinfo[[#This Row],[Hospital Ownership]]</f>
        <v>Government - Hospital District or Authority</v>
      </c>
      <c r="E3718" cm="1">
        <f t="array" ref="E3718">_xlfn.IFNA(_xlfn.XLOOKUP(1,([1]!hcahps[Facility ID] = clean[[#This Row],[Facility ID]]) * ([1]!hcahps[HCAHPS Measure ID] = "H_HSP_RATING_LINEAR_SCORE"), [1]!hcahps[HCAHPS Linear Mean Value]), "No Match")</f>
        <v>91</v>
      </c>
      <c r="F3718" cm="1">
        <f t="array" ref="F3718">_xlfn.IFNA(_xlfn.XLOOKUP(1,([1]!readmissions[Facility ID] = clean[[#This Row],[Facility ID]]) * ([1]!readmissions[Measure ID] = "Hybrid_HWR"), [1]!readmissions[Score]), "No Match")</f>
        <v>15</v>
      </c>
    </row>
    <row r="3719" spans="1:6" x14ac:dyDescent="0.2">
      <c r="A3719">
        <f>[1]!hospitalinfo[[#This Row],[Facility ID]]</f>
        <v>361333</v>
      </c>
      <c r="B3719" t="str">
        <f>[1]!hospitalinfo[[#This Row],[State]]</f>
        <v>OH</v>
      </c>
      <c r="C3719" t="str">
        <f>[1]!hospitalinfo[[#This Row],[Hospital Type]]</f>
        <v>Critical Access Hospitals</v>
      </c>
      <c r="D3719" t="str">
        <f>[1]!hospitalinfo[[#This Row],[Hospital Ownership]]</f>
        <v>Voluntary non-profit - Private</v>
      </c>
      <c r="E3719" cm="1">
        <f t="array" ref="E3719">_xlfn.IFNA(_xlfn.XLOOKUP(1,([1]!hcahps[Facility ID] = clean[[#This Row],[Facility ID]]) * ([1]!hcahps[HCAHPS Measure ID] = "H_HSP_RATING_LINEAR_SCORE"), [1]!hcahps[HCAHPS Linear Mean Value]), "No Match")</f>
        <v>90</v>
      </c>
      <c r="F3719" cm="1">
        <f t="array" ref="F3719">_xlfn.IFNA(_xlfn.XLOOKUP(1,([1]!readmissions[Facility ID] = clean[[#This Row],[Facility ID]]) * ([1]!readmissions[Measure ID] = "Hybrid_HWR"), [1]!readmissions[Score]), "No Match")</f>
        <v>15.3</v>
      </c>
    </row>
    <row r="3720" spans="1:6" x14ac:dyDescent="0.2">
      <c r="A3720">
        <f>[1]!hospitalinfo[[#This Row],[Facility ID]]</f>
        <v>361334</v>
      </c>
      <c r="B3720" t="str">
        <f>[1]!hospitalinfo[[#This Row],[State]]</f>
        <v>OH</v>
      </c>
      <c r="C3720" t="str">
        <f>[1]!hospitalinfo[[#This Row],[Hospital Type]]</f>
        <v>Critical Access Hospitals</v>
      </c>
      <c r="D3720" t="str">
        <f>[1]!hospitalinfo[[#This Row],[Hospital Ownership]]</f>
        <v>Voluntary non-profit - Private</v>
      </c>
      <c r="E3720" t="str" cm="1">
        <f t="array" ref="E3720">_xlfn.IFNA(_xlfn.XLOOKUP(1,([1]!hcahps[Facility ID] = clean[[#This Row],[Facility ID]]) * ([1]!hcahps[HCAHPS Measure ID] = "H_HSP_RATING_LINEAR_SCORE"), [1]!hcahps[HCAHPS Linear Mean Value]), "No Match")</f>
        <v>Not Available</v>
      </c>
      <c r="F3720" cm="1">
        <f t="array" ref="F3720">_xlfn.IFNA(_xlfn.XLOOKUP(1,([1]!readmissions[Facility ID] = clean[[#This Row],[Facility ID]]) * ([1]!readmissions[Measure ID] = "Hybrid_HWR"), [1]!readmissions[Score]), "No Match")</f>
        <v>15.2</v>
      </c>
    </row>
    <row r="3721" spans="1:6" x14ac:dyDescent="0.2">
      <c r="A3721">
        <f>[1]!hospitalinfo[[#This Row],[Facility ID]]</f>
        <v>361335</v>
      </c>
      <c r="B3721" t="str">
        <f>[1]!hospitalinfo[[#This Row],[State]]</f>
        <v>OH</v>
      </c>
      <c r="C3721" t="str">
        <f>[1]!hospitalinfo[[#This Row],[Hospital Type]]</f>
        <v>Critical Access Hospitals</v>
      </c>
      <c r="D3721" t="str">
        <f>[1]!hospitalinfo[[#This Row],[Hospital Ownership]]</f>
        <v>Voluntary non-profit - Private</v>
      </c>
      <c r="E3721" cm="1">
        <f t="array" ref="E3721">_xlfn.IFNA(_xlfn.XLOOKUP(1,([1]!hcahps[Facility ID] = clean[[#This Row],[Facility ID]]) * ([1]!hcahps[HCAHPS Measure ID] = "H_HSP_RATING_LINEAR_SCORE"), [1]!hcahps[HCAHPS Linear Mean Value]), "No Match")</f>
        <v>88</v>
      </c>
      <c r="F3721" cm="1">
        <f t="array" ref="F3721">_xlfn.IFNA(_xlfn.XLOOKUP(1,([1]!readmissions[Facility ID] = clean[[#This Row],[Facility ID]]) * ([1]!readmissions[Measure ID] = "Hybrid_HWR"), [1]!readmissions[Score]), "No Match")</f>
        <v>14.2</v>
      </c>
    </row>
    <row r="3722" spans="1:6" x14ac:dyDescent="0.2">
      <c r="A3722">
        <f>[1]!hospitalinfo[[#This Row],[Facility ID]]</f>
        <v>363300</v>
      </c>
      <c r="B3722" t="str">
        <f>[1]!hospitalinfo[[#This Row],[State]]</f>
        <v>OH</v>
      </c>
      <c r="C3722" t="str">
        <f>[1]!hospitalinfo[[#This Row],[Hospital Type]]</f>
        <v>Childrens</v>
      </c>
      <c r="D3722" t="str">
        <f>[1]!hospitalinfo[[#This Row],[Hospital Ownership]]</f>
        <v>Voluntary non-profit - Private</v>
      </c>
      <c r="E3722" t="str" cm="1">
        <f t="array" ref="E3722">_xlfn.IFNA(_xlfn.XLOOKUP(1,([1]!hcahps[Facility ID] = clean[[#This Row],[Facility ID]]) * ([1]!hcahps[HCAHPS Measure ID] = "H_HSP_RATING_LINEAR_SCORE"), [1]!hcahps[HCAHPS Linear Mean Value]), "No Match")</f>
        <v>Not Available</v>
      </c>
      <c r="F3722" t="str" cm="1">
        <f t="array" ref="F3722">_xlfn.IFNA(_xlfn.XLOOKUP(1,([1]!readmissions[Facility ID] = clean[[#This Row],[Facility ID]]) * ([1]!readmissions[Measure ID] = "Hybrid_HWR"), [1]!readmissions[Score]), "No Match")</f>
        <v>Not Available</v>
      </c>
    </row>
    <row r="3723" spans="1:6" x14ac:dyDescent="0.2">
      <c r="A3723">
        <f>[1]!hospitalinfo[[#This Row],[Facility ID]]</f>
        <v>363302</v>
      </c>
      <c r="B3723" t="str">
        <f>[1]!hospitalinfo[[#This Row],[State]]</f>
        <v>OH</v>
      </c>
      <c r="C3723" t="str">
        <f>[1]!hospitalinfo[[#This Row],[Hospital Type]]</f>
        <v>Childrens</v>
      </c>
      <c r="D3723" t="str">
        <f>[1]!hospitalinfo[[#This Row],[Hospital Ownership]]</f>
        <v>Voluntary non-profit - Other</v>
      </c>
      <c r="E3723" t="str" cm="1">
        <f t="array" ref="E3723">_xlfn.IFNA(_xlfn.XLOOKUP(1,([1]!hcahps[Facility ID] = clean[[#This Row],[Facility ID]]) * ([1]!hcahps[HCAHPS Measure ID] = "H_HSP_RATING_LINEAR_SCORE"), [1]!hcahps[HCAHPS Linear Mean Value]), "No Match")</f>
        <v>Not Available</v>
      </c>
      <c r="F3723" t="str" cm="1">
        <f t="array" ref="F3723">_xlfn.IFNA(_xlfn.XLOOKUP(1,([1]!readmissions[Facility ID] = clean[[#This Row],[Facility ID]]) * ([1]!readmissions[Measure ID] = "Hybrid_HWR"), [1]!readmissions[Score]), "No Match")</f>
        <v>Not Available</v>
      </c>
    </row>
    <row r="3724" spans="1:6" x14ac:dyDescent="0.2">
      <c r="A3724">
        <f>[1]!hospitalinfo[[#This Row],[Facility ID]]</f>
        <v>363303</v>
      </c>
      <c r="B3724" t="str">
        <f>[1]!hospitalinfo[[#This Row],[State]]</f>
        <v>OH</v>
      </c>
      <c r="C3724" t="str">
        <f>[1]!hospitalinfo[[#This Row],[Hospital Type]]</f>
        <v>Childrens</v>
      </c>
      <c r="D3724" t="str">
        <f>[1]!hospitalinfo[[#This Row],[Hospital Ownership]]</f>
        <v>Voluntary non-profit - Private</v>
      </c>
      <c r="E3724" t="str" cm="1">
        <f t="array" ref="E3724">_xlfn.IFNA(_xlfn.XLOOKUP(1,([1]!hcahps[Facility ID] = clean[[#This Row],[Facility ID]]) * ([1]!hcahps[HCAHPS Measure ID] = "H_HSP_RATING_LINEAR_SCORE"), [1]!hcahps[HCAHPS Linear Mean Value]), "No Match")</f>
        <v>Not Available</v>
      </c>
      <c r="F3724" t="str" cm="1">
        <f t="array" ref="F3724">_xlfn.IFNA(_xlfn.XLOOKUP(1,([1]!readmissions[Facility ID] = clean[[#This Row],[Facility ID]]) * ([1]!readmissions[Measure ID] = "Hybrid_HWR"), [1]!readmissions[Score]), "No Match")</f>
        <v>Not Available</v>
      </c>
    </row>
    <row r="3725" spans="1:6" x14ac:dyDescent="0.2">
      <c r="A3725">
        <f>[1]!hospitalinfo[[#This Row],[Facility ID]]</f>
        <v>363304</v>
      </c>
      <c r="B3725" t="str">
        <f>[1]!hospitalinfo[[#This Row],[State]]</f>
        <v>OH</v>
      </c>
      <c r="C3725" t="str">
        <f>[1]!hospitalinfo[[#This Row],[Hospital Type]]</f>
        <v>Childrens</v>
      </c>
      <c r="D3725" t="str">
        <f>[1]!hospitalinfo[[#This Row],[Hospital Ownership]]</f>
        <v>Voluntary non-profit - Private</v>
      </c>
      <c r="E3725" t="str" cm="1">
        <f t="array" ref="E3725">_xlfn.IFNA(_xlfn.XLOOKUP(1,([1]!hcahps[Facility ID] = clean[[#This Row],[Facility ID]]) * ([1]!hcahps[HCAHPS Measure ID] = "H_HSP_RATING_LINEAR_SCORE"), [1]!hcahps[HCAHPS Linear Mean Value]), "No Match")</f>
        <v>Not Available</v>
      </c>
      <c r="F3725" t="str" cm="1">
        <f t="array" ref="F3725">_xlfn.IFNA(_xlfn.XLOOKUP(1,([1]!readmissions[Facility ID] = clean[[#This Row],[Facility ID]]) * ([1]!readmissions[Measure ID] = "Hybrid_HWR"), [1]!readmissions[Score]), "No Match")</f>
        <v>Not Available</v>
      </c>
    </row>
    <row r="3726" spans="1:6" x14ac:dyDescent="0.2">
      <c r="A3726">
        <f>[1]!hospitalinfo[[#This Row],[Facility ID]]</f>
        <v>363305</v>
      </c>
      <c r="B3726" t="str">
        <f>[1]!hospitalinfo[[#This Row],[State]]</f>
        <v>OH</v>
      </c>
      <c r="C3726" t="str">
        <f>[1]!hospitalinfo[[#This Row],[Hospital Type]]</f>
        <v>Childrens</v>
      </c>
      <c r="D3726" t="str">
        <f>[1]!hospitalinfo[[#This Row],[Hospital Ownership]]</f>
        <v>Voluntary non-profit - Private</v>
      </c>
      <c r="E3726" t="str" cm="1">
        <f t="array" ref="E3726">_xlfn.IFNA(_xlfn.XLOOKUP(1,([1]!hcahps[Facility ID] = clean[[#This Row],[Facility ID]]) * ([1]!hcahps[HCAHPS Measure ID] = "H_HSP_RATING_LINEAR_SCORE"), [1]!hcahps[HCAHPS Linear Mean Value]), "No Match")</f>
        <v>Not Available</v>
      </c>
      <c r="F3726" t="str" cm="1">
        <f t="array" ref="F3726">_xlfn.IFNA(_xlfn.XLOOKUP(1,([1]!readmissions[Facility ID] = clean[[#This Row],[Facility ID]]) * ([1]!readmissions[Measure ID] = "Hybrid_HWR"), [1]!readmissions[Score]), "No Match")</f>
        <v>Not Available</v>
      </c>
    </row>
    <row r="3727" spans="1:6" x14ac:dyDescent="0.2">
      <c r="A3727">
        <f>[1]!hospitalinfo[[#This Row],[Facility ID]]</f>
        <v>363306</v>
      </c>
      <c r="B3727" t="str">
        <f>[1]!hospitalinfo[[#This Row],[State]]</f>
        <v>OH</v>
      </c>
      <c r="C3727" t="str">
        <f>[1]!hospitalinfo[[#This Row],[Hospital Type]]</f>
        <v>Childrens</v>
      </c>
      <c r="D3727" t="str">
        <f>[1]!hospitalinfo[[#This Row],[Hospital Ownership]]</f>
        <v>Voluntary non-profit - Private</v>
      </c>
      <c r="E3727" t="str" cm="1">
        <f t="array" ref="E3727">_xlfn.IFNA(_xlfn.XLOOKUP(1,([1]!hcahps[Facility ID] = clean[[#This Row],[Facility ID]]) * ([1]!hcahps[HCAHPS Measure ID] = "H_HSP_RATING_LINEAR_SCORE"), [1]!hcahps[HCAHPS Linear Mean Value]), "No Match")</f>
        <v>Not Available</v>
      </c>
      <c r="F3727" t="str" cm="1">
        <f t="array" ref="F3727">_xlfn.IFNA(_xlfn.XLOOKUP(1,([1]!readmissions[Facility ID] = clean[[#This Row],[Facility ID]]) * ([1]!readmissions[Measure ID] = "Hybrid_HWR"), [1]!readmissions[Score]), "No Match")</f>
        <v>Not Available</v>
      </c>
    </row>
    <row r="3728" spans="1:6" x14ac:dyDescent="0.2">
      <c r="A3728">
        <f>[1]!hospitalinfo[[#This Row],[Facility ID]]</f>
        <v>363308</v>
      </c>
      <c r="B3728" t="str">
        <f>[1]!hospitalinfo[[#This Row],[State]]</f>
        <v>OH</v>
      </c>
      <c r="C3728" t="str">
        <f>[1]!hospitalinfo[[#This Row],[Hospital Type]]</f>
        <v>Childrens</v>
      </c>
      <c r="D3728" t="str">
        <f>[1]!hospitalinfo[[#This Row],[Hospital Ownership]]</f>
        <v>Voluntary non-profit - Private</v>
      </c>
      <c r="E3728" t="str" cm="1">
        <f t="array" ref="E3728">_xlfn.IFNA(_xlfn.XLOOKUP(1,([1]!hcahps[Facility ID] = clean[[#This Row],[Facility ID]]) * ([1]!hcahps[HCAHPS Measure ID] = "H_HSP_RATING_LINEAR_SCORE"), [1]!hcahps[HCAHPS Linear Mean Value]), "No Match")</f>
        <v>Not Available</v>
      </c>
      <c r="F3728" t="str" cm="1">
        <f t="array" ref="F3728">_xlfn.IFNA(_xlfn.XLOOKUP(1,([1]!readmissions[Facility ID] = clean[[#This Row],[Facility ID]]) * ([1]!readmissions[Measure ID] = "Hybrid_HWR"), [1]!readmissions[Score]), "No Match")</f>
        <v>Not Available</v>
      </c>
    </row>
    <row r="3729" spans="1:6" x14ac:dyDescent="0.2">
      <c r="A3729">
        <f>[1]!hospitalinfo[[#This Row],[Facility ID]]</f>
        <v>363309</v>
      </c>
      <c r="B3729" t="str">
        <f>[1]!hospitalinfo[[#This Row],[State]]</f>
        <v>OH</v>
      </c>
      <c r="C3729" t="str">
        <f>[1]!hospitalinfo[[#This Row],[Hospital Type]]</f>
        <v>Childrens</v>
      </c>
      <c r="D3729" t="str">
        <f>[1]!hospitalinfo[[#This Row],[Hospital Ownership]]</f>
        <v>Voluntary non-profit - Private</v>
      </c>
      <c r="E3729" t="str" cm="1">
        <f t="array" ref="E3729">_xlfn.IFNA(_xlfn.XLOOKUP(1,([1]!hcahps[Facility ID] = clean[[#This Row],[Facility ID]]) * ([1]!hcahps[HCAHPS Measure ID] = "H_HSP_RATING_LINEAR_SCORE"), [1]!hcahps[HCAHPS Linear Mean Value]), "No Match")</f>
        <v>Not Available</v>
      </c>
      <c r="F3729" t="str" cm="1">
        <f t="array" ref="F3729">_xlfn.IFNA(_xlfn.XLOOKUP(1,([1]!readmissions[Facility ID] = clean[[#This Row],[Facility ID]]) * ([1]!readmissions[Measure ID] = "Hybrid_HWR"), [1]!readmissions[Score]), "No Match")</f>
        <v>Not Available</v>
      </c>
    </row>
    <row r="3730" spans="1:6" x14ac:dyDescent="0.2">
      <c r="A3730">
        <f>[1]!hospitalinfo[[#This Row],[Facility ID]]</f>
        <v>364007</v>
      </c>
      <c r="B3730" t="str">
        <f>[1]!hospitalinfo[[#This Row],[State]]</f>
        <v>OH</v>
      </c>
      <c r="C3730" t="str">
        <f>[1]!hospitalinfo[[#This Row],[Hospital Type]]</f>
        <v>Psychiatric</v>
      </c>
      <c r="D3730" t="str">
        <f>[1]!hospitalinfo[[#This Row],[Hospital Ownership]]</f>
        <v>Government - Local</v>
      </c>
      <c r="E3730" t="str" cm="1">
        <f t="array" ref="E3730">_xlfn.IFNA(_xlfn.XLOOKUP(1,([1]!hcahps[Facility ID] = clean[[#This Row],[Facility ID]]) * ([1]!hcahps[HCAHPS Measure ID] = "H_HSP_RATING_LINEAR_SCORE"), [1]!hcahps[HCAHPS Linear Mean Value]), "No Match")</f>
        <v>No Match</v>
      </c>
      <c r="F3730" t="str" cm="1">
        <f t="array" ref="F3730">_xlfn.IFNA(_xlfn.XLOOKUP(1,([1]!readmissions[Facility ID] = clean[[#This Row],[Facility ID]]) * ([1]!readmissions[Measure ID] = "Hybrid_HWR"), [1]!readmissions[Score]), "No Match")</f>
        <v>No Match</v>
      </c>
    </row>
    <row r="3731" spans="1:6" x14ac:dyDescent="0.2">
      <c r="A3731">
        <f>[1]!hospitalinfo[[#This Row],[Facility ID]]</f>
        <v>364011</v>
      </c>
      <c r="B3731" t="str">
        <f>[1]!hospitalinfo[[#This Row],[State]]</f>
        <v>OH</v>
      </c>
      <c r="C3731" t="str">
        <f>[1]!hospitalinfo[[#This Row],[Hospital Type]]</f>
        <v>Psychiatric</v>
      </c>
      <c r="D3731" t="str">
        <f>[1]!hospitalinfo[[#This Row],[Hospital Ownership]]</f>
        <v>Government - State</v>
      </c>
      <c r="E3731" t="str" cm="1">
        <f t="array" ref="E3731">_xlfn.IFNA(_xlfn.XLOOKUP(1,([1]!hcahps[Facility ID] = clean[[#This Row],[Facility ID]]) * ([1]!hcahps[HCAHPS Measure ID] = "H_HSP_RATING_LINEAR_SCORE"), [1]!hcahps[HCAHPS Linear Mean Value]), "No Match")</f>
        <v>No Match</v>
      </c>
      <c r="F3731" t="str" cm="1">
        <f t="array" ref="F3731">_xlfn.IFNA(_xlfn.XLOOKUP(1,([1]!readmissions[Facility ID] = clean[[#This Row],[Facility ID]]) * ([1]!readmissions[Measure ID] = "Hybrid_HWR"), [1]!readmissions[Score]), "No Match")</f>
        <v>No Match</v>
      </c>
    </row>
    <row r="3732" spans="1:6" x14ac:dyDescent="0.2">
      <c r="A3732">
        <f>[1]!hospitalinfo[[#This Row],[Facility ID]]</f>
        <v>364014</v>
      </c>
      <c r="B3732" t="str">
        <f>[1]!hospitalinfo[[#This Row],[State]]</f>
        <v>OH</v>
      </c>
      <c r="C3732" t="str">
        <f>[1]!hospitalinfo[[#This Row],[Hospital Type]]</f>
        <v>Psychiatric</v>
      </c>
      <c r="D3732" t="str">
        <f>[1]!hospitalinfo[[#This Row],[Hospital Ownership]]</f>
        <v>Government - State</v>
      </c>
      <c r="E3732" t="str" cm="1">
        <f t="array" ref="E3732">_xlfn.IFNA(_xlfn.XLOOKUP(1,([1]!hcahps[Facility ID] = clean[[#This Row],[Facility ID]]) * ([1]!hcahps[HCAHPS Measure ID] = "H_HSP_RATING_LINEAR_SCORE"), [1]!hcahps[HCAHPS Linear Mean Value]), "No Match")</f>
        <v>No Match</v>
      </c>
      <c r="F3732" t="str" cm="1">
        <f t="array" ref="F3732">_xlfn.IFNA(_xlfn.XLOOKUP(1,([1]!readmissions[Facility ID] = clean[[#This Row],[Facility ID]]) * ([1]!readmissions[Measure ID] = "Hybrid_HWR"), [1]!readmissions[Score]), "No Match")</f>
        <v>No Match</v>
      </c>
    </row>
    <row r="3733" spans="1:6" x14ac:dyDescent="0.2">
      <c r="A3733">
        <f>[1]!hospitalinfo[[#This Row],[Facility ID]]</f>
        <v>364015</v>
      </c>
      <c r="B3733" t="str">
        <f>[1]!hospitalinfo[[#This Row],[State]]</f>
        <v>OH</v>
      </c>
      <c r="C3733" t="str">
        <f>[1]!hospitalinfo[[#This Row],[Hospital Type]]</f>
        <v>Psychiatric</v>
      </c>
      <c r="D3733" t="str">
        <f>[1]!hospitalinfo[[#This Row],[Hospital Ownership]]</f>
        <v>Proprietary</v>
      </c>
      <c r="E3733" t="str" cm="1">
        <f t="array" ref="E3733">_xlfn.IFNA(_xlfn.XLOOKUP(1,([1]!hcahps[Facility ID] = clean[[#This Row],[Facility ID]]) * ([1]!hcahps[HCAHPS Measure ID] = "H_HSP_RATING_LINEAR_SCORE"), [1]!hcahps[HCAHPS Linear Mean Value]), "No Match")</f>
        <v>No Match</v>
      </c>
      <c r="F3733" t="str" cm="1">
        <f t="array" ref="F3733">_xlfn.IFNA(_xlfn.XLOOKUP(1,([1]!readmissions[Facility ID] = clean[[#This Row],[Facility ID]]) * ([1]!readmissions[Measure ID] = "Hybrid_HWR"), [1]!readmissions[Score]), "No Match")</f>
        <v>No Match</v>
      </c>
    </row>
    <row r="3734" spans="1:6" x14ac:dyDescent="0.2">
      <c r="A3734">
        <f>[1]!hospitalinfo[[#This Row],[Facility ID]]</f>
        <v>364029</v>
      </c>
      <c r="B3734" t="str">
        <f>[1]!hospitalinfo[[#This Row],[State]]</f>
        <v>OH</v>
      </c>
      <c r="C3734" t="str">
        <f>[1]!hospitalinfo[[#This Row],[Hospital Type]]</f>
        <v>Psychiatric</v>
      </c>
      <c r="D3734" t="str">
        <f>[1]!hospitalinfo[[#This Row],[Hospital Ownership]]</f>
        <v>Proprietary</v>
      </c>
      <c r="E3734" t="str" cm="1">
        <f t="array" ref="E3734">_xlfn.IFNA(_xlfn.XLOOKUP(1,([1]!hcahps[Facility ID] = clean[[#This Row],[Facility ID]]) * ([1]!hcahps[HCAHPS Measure ID] = "H_HSP_RATING_LINEAR_SCORE"), [1]!hcahps[HCAHPS Linear Mean Value]), "No Match")</f>
        <v>No Match</v>
      </c>
      <c r="F3734" t="str" cm="1">
        <f t="array" ref="F3734">_xlfn.IFNA(_xlfn.XLOOKUP(1,([1]!readmissions[Facility ID] = clean[[#This Row],[Facility ID]]) * ([1]!readmissions[Measure ID] = "Hybrid_HWR"), [1]!readmissions[Score]), "No Match")</f>
        <v>No Match</v>
      </c>
    </row>
    <row r="3735" spans="1:6" x14ac:dyDescent="0.2">
      <c r="A3735">
        <f>[1]!hospitalinfo[[#This Row],[Facility ID]]</f>
        <v>364031</v>
      </c>
      <c r="B3735" t="str">
        <f>[1]!hospitalinfo[[#This Row],[State]]</f>
        <v>OH</v>
      </c>
      <c r="C3735" t="str">
        <f>[1]!hospitalinfo[[#This Row],[Hospital Type]]</f>
        <v>Psychiatric</v>
      </c>
      <c r="D3735" t="str">
        <f>[1]!hospitalinfo[[#This Row],[Hospital Ownership]]</f>
        <v>Government - State</v>
      </c>
      <c r="E3735" t="str" cm="1">
        <f t="array" ref="E3735">_xlfn.IFNA(_xlfn.XLOOKUP(1,([1]!hcahps[Facility ID] = clean[[#This Row],[Facility ID]]) * ([1]!hcahps[HCAHPS Measure ID] = "H_HSP_RATING_LINEAR_SCORE"), [1]!hcahps[HCAHPS Linear Mean Value]), "No Match")</f>
        <v>No Match</v>
      </c>
      <c r="F3735" t="str" cm="1">
        <f t="array" ref="F3735">_xlfn.IFNA(_xlfn.XLOOKUP(1,([1]!readmissions[Facility ID] = clean[[#This Row],[Facility ID]]) * ([1]!readmissions[Measure ID] = "Hybrid_HWR"), [1]!readmissions[Score]), "No Match")</f>
        <v>No Match</v>
      </c>
    </row>
    <row r="3736" spans="1:6" x14ac:dyDescent="0.2">
      <c r="A3736">
        <f>[1]!hospitalinfo[[#This Row],[Facility ID]]</f>
        <v>364035</v>
      </c>
      <c r="B3736" t="str">
        <f>[1]!hospitalinfo[[#This Row],[State]]</f>
        <v>OH</v>
      </c>
      <c r="C3736" t="str">
        <f>[1]!hospitalinfo[[#This Row],[Hospital Type]]</f>
        <v>Psychiatric</v>
      </c>
      <c r="D3736" t="str">
        <f>[1]!hospitalinfo[[#This Row],[Hospital Ownership]]</f>
        <v>Government - State</v>
      </c>
      <c r="E3736" t="str" cm="1">
        <f t="array" ref="E3736">_xlfn.IFNA(_xlfn.XLOOKUP(1,([1]!hcahps[Facility ID] = clean[[#This Row],[Facility ID]]) * ([1]!hcahps[HCAHPS Measure ID] = "H_HSP_RATING_LINEAR_SCORE"), [1]!hcahps[HCAHPS Linear Mean Value]), "No Match")</f>
        <v>No Match</v>
      </c>
      <c r="F3736" t="str" cm="1">
        <f t="array" ref="F3736">_xlfn.IFNA(_xlfn.XLOOKUP(1,([1]!readmissions[Facility ID] = clean[[#This Row],[Facility ID]]) * ([1]!readmissions[Measure ID] = "Hybrid_HWR"), [1]!readmissions[Score]), "No Match")</f>
        <v>No Match</v>
      </c>
    </row>
    <row r="3737" spans="1:6" x14ac:dyDescent="0.2">
      <c r="A3737">
        <f>[1]!hospitalinfo[[#This Row],[Facility ID]]</f>
        <v>364036</v>
      </c>
      <c r="B3737" t="str">
        <f>[1]!hospitalinfo[[#This Row],[State]]</f>
        <v>OH</v>
      </c>
      <c r="C3737" t="str">
        <f>[1]!hospitalinfo[[#This Row],[Hospital Type]]</f>
        <v>Psychiatric</v>
      </c>
      <c r="D3737" t="str">
        <f>[1]!hospitalinfo[[#This Row],[Hospital Ownership]]</f>
        <v>Proprietary</v>
      </c>
      <c r="E3737" t="str" cm="1">
        <f t="array" ref="E3737">_xlfn.IFNA(_xlfn.XLOOKUP(1,([1]!hcahps[Facility ID] = clean[[#This Row],[Facility ID]]) * ([1]!hcahps[HCAHPS Measure ID] = "H_HSP_RATING_LINEAR_SCORE"), [1]!hcahps[HCAHPS Linear Mean Value]), "No Match")</f>
        <v>No Match</v>
      </c>
      <c r="F3737" t="str" cm="1">
        <f t="array" ref="F3737">_xlfn.IFNA(_xlfn.XLOOKUP(1,([1]!readmissions[Facility ID] = clean[[#This Row],[Facility ID]]) * ([1]!readmissions[Measure ID] = "Hybrid_HWR"), [1]!readmissions[Score]), "No Match")</f>
        <v>No Match</v>
      </c>
    </row>
    <row r="3738" spans="1:6" x14ac:dyDescent="0.2">
      <c r="A3738">
        <f>[1]!hospitalinfo[[#This Row],[Facility ID]]</f>
        <v>364038</v>
      </c>
      <c r="B3738" t="str">
        <f>[1]!hospitalinfo[[#This Row],[State]]</f>
        <v>OH</v>
      </c>
      <c r="C3738" t="str">
        <f>[1]!hospitalinfo[[#This Row],[Hospital Type]]</f>
        <v>Psychiatric</v>
      </c>
      <c r="D3738" t="str">
        <f>[1]!hospitalinfo[[#This Row],[Hospital Ownership]]</f>
        <v>Proprietary</v>
      </c>
      <c r="E3738" t="str" cm="1">
        <f t="array" ref="E3738">_xlfn.IFNA(_xlfn.XLOOKUP(1,([1]!hcahps[Facility ID] = clean[[#This Row],[Facility ID]]) * ([1]!hcahps[HCAHPS Measure ID] = "H_HSP_RATING_LINEAR_SCORE"), [1]!hcahps[HCAHPS Linear Mean Value]), "No Match")</f>
        <v>No Match</v>
      </c>
      <c r="F3738" t="str" cm="1">
        <f t="array" ref="F3738">_xlfn.IFNA(_xlfn.XLOOKUP(1,([1]!readmissions[Facility ID] = clean[[#This Row],[Facility ID]]) * ([1]!readmissions[Measure ID] = "Hybrid_HWR"), [1]!readmissions[Score]), "No Match")</f>
        <v>No Match</v>
      </c>
    </row>
    <row r="3739" spans="1:6" x14ac:dyDescent="0.2">
      <c r="A3739">
        <f>[1]!hospitalinfo[[#This Row],[Facility ID]]</f>
        <v>364040</v>
      </c>
      <c r="B3739" t="str">
        <f>[1]!hospitalinfo[[#This Row],[State]]</f>
        <v>OH</v>
      </c>
      <c r="C3739" t="str">
        <f>[1]!hospitalinfo[[#This Row],[Hospital Type]]</f>
        <v>Psychiatric</v>
      </c>
      <c r="D3739" t="str">
        <f>[1]!hospitalinfo[[#This Row],[Hospital Ownership]]</f>
        <v>Proprietary</v>
      </c>
      <c r="E3739" t="str" cm="1">
        <f t="array" ref="E3739">_xlfn.IFNA(_xlfn.XLOOKUP(1,([1]!hcahps[Facility ID] = clean[[#This Row],[Facility ID]]) * ([1]!hcahps[HCAHPS Measure ID] = "H_HSP_RATING_LINEAR_SCORE"), [1]!hcahps[HCAHPS Linear Mean Value]), "No Match")</f>
        <v>No Match</v>
      </c>
      <c r="F3739" t="str" cm="1">
        <f t="array" ref="F3739">_xlfn.IFNA(_xlfn.XLOOKUP(1,([1]!readmissions[Facility ID] = clean[[#This Row],[Facility ID]]) * ([1]!readmissions[Measure ID] = "Hybrid_HWR"), [1]!readmissions[Score]), "No Match")</f>
        <v>No Match</v>
      </c>
    </row>
    <row r="3740" spans="1:6" x14ac:dyDescent="0.2">
      <c r="A3740">
        <f>[1]!hospitalinfo[[#This Row],[Facility ID]]</f>
        <v>364041</v>
      </c>
      <c r="B3740" t="str">
        <f>[1]!hospitalinfo[[#This Row],[State]]</f>
        <v>OH</v>
      </c>
      <c r="C3740" t="str">
        <f>[1]!hospitalinfo[[#This Row],[Hospital Type]]</f>
        <v>Psychiatric</v>
      </c>
      <c r="D3740" t="str">
        <f>[1]!hospitalinfo[[#This Row],[Hospital Ownership]]</f>
        <v>Proprietary</v>
      </c>
      <c r="E3740" t="str" cm="1">
        <f t="array" ref="E3740">_xlfn.IFNA(_xlfn.XLOOKUP(1,([1]!hcahps[Facility ID] = clean[[#This Row],[Facility ID]]) * ([1]!hcahps[HCAHPS Measure ID] = "H_HSP_RATING_LINEAR_SCORE"), [1]!hcahps[HCAHPS Linear Mean Value]), "No Match")</f>
        <v>No Match</v>
      </c>
      <c r="F3740" t="str" cm="1">
        <f t="array" ref="F3740">_xlfn.IFNA(_xlfn.XLOOKUP(1,([1]!readmissions[Facility ID] = clean[[#This Row],[Facility ID]]) * ([1]!readmissions[Measure ID] = "Hybrid_HWR"), [1]!readmissions[Score]), "No Match")</f>
        <v>No Match</v>
      </c>
    </row>
    <row r="3741" spans="1:6" x14ac:dyDescent="0.2">
      <c r="A3741">
        <f>[1]!hospitalinfo[[#This Row],[Facility ID]]</f>
        <v>364044</v>
      </c>
      <c r="B3741" t="str">
        <f>[1]!hospitalinfo[[#This Row],[State]]</f>
        <v>OH</v>
      </c>
      <c r="C3741" t="str">
        <f>[1]!hospitalinfo[[#This Row],[Hospital Type]]</f>
        <v>Psychiatric</v>
      </c>
      <c r="D3741" t="str">
        <f>[1]!hospitalinfo[[#This Row],[Hospital Ownership]]</f>
        <v>Voluntary non-profit - Private</v>
      </c>
      <c r="E3741" t="str" cm="1">
        <f t="array" ref="E3741">_xlfn.IFNA(_xlfn.XLOOKUP(1,([1]!hcahps[Facility ID] = clean[[#This Row],[Facility ID]]) * ([1]!hcahps[HCAHPS Measure ID] = "H_HSP_RATING_LINEAR_SCORE"), [1]!hcahps[HCAHPS Linear Mean Value]), "No Match")</f>
        <v>No Match</v>
      </c>
      <c r="F3741" t="str" cm="1">
        <f t="array" ref="F3741">_xlfn.IFNA(_xlfn.XLOOKUP(1,([1]!readmissions[Facility ID] = clean[[#This Row],[Facility ID]]) * ([1]!readmissions[Measure ID] = "Hybrid_HWR"), [1]!readmissions[Score]), "No Match")</f>
        <v>No Match</v>
      </c>
    </row>
    <row r="3742" spans="1:6" x14ac:dyDescent="0.2">
      <c r="A3742">
        <f>[1]!hospitalinfo[[#This Row],[Facility ID]]</f>
        <v>364047</v>
      </c>
      <c r="B3742" t="str">
        <f>[1]!hospitalinfo[[#This Row],[State]]</f>
        <v>OH</v>
      </c>
      <c r="C3742" t="str">
        <f>[1]!hospitalinfo[[#This Row],[Hospital Type]]</f>
        <v>Psychiatric</v>
      </c>
      <c r="D3742" t="str">
        <f>[1]!hospitalinfo[[#This Row],[Hospital Ownership]]</f>
        <v>Proprietary</v>
      </c>
      <c r="E3742" t="str" cm="1">
        <f t="array" ref="E3742">_xlfn.IFNA(_xlfn.XLOOKUP(1,([1]!hcahps[Facility ID] = clean[[#This Row],[Facility ID]]) * ([1]!hcahps[HCAHPS Measure ID] = "H_HSP_RATING_LINEAR_SCORE"), [1]!hcahps[HCAHPS Linear Mean Value]), "No Match")</f>
        <v>No Match</v>
      </c>
      <c r="F3742" t="str" cm="1">
        <f t="array" ref="F3742">_xlfn.IFNA(_xlfn.XLOOKUP(1,([1]!readmissions[Facility ID] = clean[[#This Row],[Facility ID]]) * ([1]!readmissions[Measure ID] = "Hybrid_HWR"), [1]!readmissions[Score]), "No Match")</f>
        <v>No Match</v>
      </c>
    </row>
    <row r="3743" spans="1:6" x14ac:dyDescent="0.2">
      <c r="A3743">
        <f>[1]!hospitalinfo[[#This Row],[Facility ID]]</f>
        <v>364048</v>
      </c>
      <c r="B3743" t="str">
        <f>[1]!hospitalinfo[[#This Row],[State]]</f>
        <v>OH</v>
      </c>
      <c r="C3743" t="str">
        <f>[1]!hospitalinfo[[#This Row],[Hospital Type]]</f>
        <v>Psychiatric</v>
      </c>
      <c r="D3743" t="str">
        <f>[1]!hospitalinfo[[#This Row],[Hospital Ownership]]</f>
        <v>Proprietary</v>
      </c>
      <c r="E3743" t="str" cm="1">
        <f t="array" ref="E3743">_xlfn.IFNA(_xlfn.XLOOKUP(1,([1]!hcahps[Facility ID] = clean[[#This Row],[Facility ID]]) * ([1]!hcahps[HCAHPS Measure ID] = "H_HSP_RATING_LINEAR_SCORE"), [1]!hcahps[HCAHPS Linear Mean Value]), "No Match")</f>
        <v>No Match</v>
      </c>
      <c r="F3743" t="str" cm="1">
        <f t="array" ref="F3743">_xlfn.IFNA(_xlfn.XLOOKUP(1,([1]!readmissions[Facility ID] = clean[[#This Row],[Facility ID]]) * ([1]!readmissions[Measure ID] = "Hybrid_HWR"), [1]!readmissions[Score]), "No Match")</f>
        <v>No Match</v>
      </c>
    </row>
    <row r="3744" spans="1:6" x14ac:dyDescent="0.2">
      <c r="A3744">
        <f>[1]!hospitalinfo[[#This Row],[Facility ID]]</f>
        <v>364049</v>
      </c>
      <c r="B3744" t="str">
        <f>[1]!hospitalinfo[[#This Row],[State]]</f>
        <v>OH</v>
      </c>
      <c r="C3744" t="str">
        <f>[1]!hospitalinfo[[#This Row],[Hospital Type]]</f>
        <v>Psychiatric</v>
      </c>
      <c r="D3744" t="str">
        <f>[1]!hospitalinfo[[#This Row],[Hospital Ownership]]</f>
        <v>Proprietary</v>
      </c>
      <c r="E3744" t="str" cm="1">
        <f t="array" ref="E3744">_xlfn.IFNA(_xlfn.XLOOKUP(1,([1]!hcahps[Facility ID] = clean[[#This Row],[Facility ID]]) * ([1]!hcahps[HCAHPS Measure ID] = "H_HSP_RATING_LINEAR_SCORE"), [1]!hcahps[HCAHPS Linear Mean Value]), "No Match")</f>
        <v>No Match</v>
      </c>
      <c r="F3744" t="str" cm="1">
        <f t="array" ref="F3744">_xlfn.IFNA(_xlfn.XLOOKUP(1,([1]!readmissions[Facility ID] = clean[[#This Row],[Facility ID]]) * ([1]!readmissions[Measure ID] = "Hybrid_HWR"), [1]!readmissions[Score]), "No Match")</f>
        <v>No Match</v>
      </c>
    </row>
    <row r="3745" spans="1:6" x14ac:dyDescent="0.2">
      <c r="A3745">
        <f>[1]!hospitalinfo[[#This Row],[Facility ID]]</f>
        <v>364050</v>
      </c>
      <c r="B3745" t="str">
        <f>[1]!hospitalinfo[[#This Row],[State]]</f>
        <v>OH</v>
      </c>
      <c r="C3745" t="str">
        <f>[1]!hospitalinfo[[#This Row],[Hospital Type]]</f>
        <v>Psychiatric</v>
      </c>
      <c r="D3745" t="str">
        <f>[1]!hospitalinfo[[#This Row],[Hospital Ownership]]</f>
        <v>Voluntary non-profit - Private</v>
      </c>
      <c r="E3745" t="str" cm="1">
        <f t="array" ref="E3745">_xlfn.IFNA(_xlfn.XLOOKUP(1,([1]!hcahps[Facility ID] = clean[[#This Row],[Facility ID]]) * ([1]!hcahps[HCAHPS Measure ID] = "H_HSP_RATING_LINEAR_SCORE"), [1]!hcahps[HCAHPS Linear Mean Value]), "No Match")</f>
        <v>No Match</v>
      </c>
      <c r="F3745" t="str" cm="1">
        <f t="array" ref="F3745">_xlfn.IFNA(_xlfn.XLOOKUP(1,([1]!readmissions[Facility ID] = clean[[#This Row],[Facility ID]]) * ([1]!readmissions[Measure ID] = "Hybrid_HWR"), [1]!readmissions[Score]), "No Match")</f>
        <v>No Match</v>
      </c>
    </row>
    <row r="3746" spans="1:6" x14ac:dyDescent="0.2">
      <c r="A3746">
        <f>[1]!hospitalinfo[[#This Row],[Facility ID]]</f>
        <v>364051</v>
      </c>
      <c r="B3746" t="str">
        <f>[1]!hospitalinfo[[#This Row],[State]]</f>
        <v>OH</v>
      </c>
      <c r="C3746" t="str">
        <f>[1]!hospitalinfo[[#This Row],[Hospital Type]]</f>
        <v>Psychiatric</v>
      </c>
      <c r="D3746" t="str">
        <f>[1]!hospitalinfo[[#This Row],[Hospital Ownership]]</f>
        <v>Proprietary</v>
      </c>
      <c r="E3746" t="str" cm="1">
        <f t="array" ref="E3746">_xlfn.IFNA(_xlfn.XLOOKUP(1,([1]!hcahps[Facility ID] = clean[[#This Row],[Facility ID]]) * ([1]!hcahps[HCAHPS Measure ID] = "H_HSP_RATING_LINEAR_SCORE"), [1]!hcahps[HCAHPS Linear Mean Value]), "No Match")</f>
        <v>No Match</v>
      </c>
      <c r="F3746" t="str" cm="1">
        <f t="array" ref="F3746">_xlfn.IFNA(_xlfn.XLOOKUP(1,([1]!readmissions[Facility ID] = clean[[#This Row],[Facility ID]]) * ([1]!readmissions[Measure ID] = "Hybrid_HWR"), [1]!readmissions[Score]), "No Match")</f>
        <v>No Match</v>
      </c>
    </row>
    <row r="3747" spans="1:6" x14ac:dyDescent="0.2">
      <c r="A3747">
        <f>[1]!hospitalinfo[[#This Row],[Facility ID]]</f>
        <v>364052</v>
      </c>
      <c r="B3747" t="str">
        <f>[1]!hospitalinfo[[#This Row],[State]]</f>
        <v>OH</v>
      </c>
      <c r="C3747" t="str">
        <f>[1]!hospitalinfo[[#This Row],[Hospital Type]]</f>
        <v>Psychiatric</v>
      </c>
      <c r="D3747" t="str">
        <f>[1]!hospitalinfo[[#This Row],[Hospital Ownership]]</f>
        <v>Proprietary</v>
      </c>
      <c r="E3747" t="str" cm="1">
        <f t="array" ref="E3747">_xlfn.IFNA(_xlfn.XLOOKUP(1,([1]!hcahps[Facility ID] = clean[[#This Row],[Facility ID]]) * ([1]!hcahps[HCAHPS Measure ID] = "H_HSP_RATING_LINEAR_SCORE"), [1]!hcahps[HCAHPS Linear Mean Value]), "No Match")</f>
        <v>No Match</v>
      </c>
      <c r="F3747" t="str" cm="1">
        <f t="array" ref="F3747">_xlfn.IFNA(_xlfn.XLOOKUP(1,([1]!readmissions[Facility ID] = clean[[#This Row],[Facility ID]]) * ([1]!readmissions[Measure ID] = "Hybrid_HWR"), [1]!readmissions[Score]), "No Match")</f>
        <v>No Match</v>
      </c>
    </row>
    <row r="3748" spans="1:6" x14ac:dyDescent="0.2">
      <c r="A3748">
        <f>[1]!hospitalinfo[[#This Row],[Facility ID]]</f>
        <v>364053</v>
      </c>
      <c r="B3748" t="str">
        <f>[1]!hospitalinfo[[#This Row],[State]]</f>
        <v>OH</v>
      </c>
      <c r="C3748" t="str">
        <f>[1]!hospitalinfo[[#This Row],[Hospital Type]]</f>
        <v>Psychiatric</v>
      </c>
      <c r="D3748" t="str">
        <f>[1]!hospitalinfo[[#This Row],[Hospital Ownership]]</f>
        <v>Proprietary</v>
      </c>
      <c r="E3748" t="str" cm="1">
        <f t="array" ref="E3748">_xlfn.IFNA(_xlfn.XLOOKUP(1,([1]!hcahps[Facility ID] = clean[[#This Row],[Facility ID]]) * ([1]!hcahps[HCAHPS Measure ID] = "H_HSP_RATING_LINEAR_SCORE"), [1]!hcahps[HCAHPS Linear Mean Value]), "No Match")</f>
        <v>No Match</v>
      </c>
      <c r="F3748" t="str" cm="1">
        <f t="array" ref="F3748">_xlfn.IFNA(_xlfn.XLOOKUP(1,([1]!readmissions[Facility ID] = clean[[#This Row],[Facility ID]]) * ([1]!readmissions[Measure ID] = "Hybrid_HWR"), [1]!readmissions[Score]), "No Match")</f>
        <v>No Match</v>
      </c>
    </row>
    <row r="3749" spans="1:6" x14ac:dyDescent="0.2">
      <c r="A3749">
        <f>[1]!hospitalinfo[[#This Row],[Facility ID]]</f>
        <v>364054</v>
      </c>
      <c r="B3749" t="str">
        <f>[1]!hospitalinfo[[#This Row],[State]]</f>
        <v>OH</v>
      </c>
      <c r="C3749" t="str">
        <f>[1]!hospitalinfo[[#This Row],[Hospital Type]]</f>
        <v>Psychiatric</v>
      </c>
      <c r="D3749" t="str">
        <f>[1]!hospitalinfo[[#This Row],[Hospital Ownership]]</f>
        <v>Proprietary</v>
      </c>
      <c r="E3749" t="str" cm="1">
        <f t="array" ref="E3749">_xlfn.IFNA(_xlfn.XLOOKUP(1,([1]!hcahps[Facility ID] = clean[[#This Row],[Facility ID]]) * ([1]!hcahps[HCAHPS Measure ID] = "H_HSP_RATING_LINEAR_SCORE"), [1]!hcahps[HCAHPS Linear Mean Value]), "No Match")</f>
        <v>No Match</v>
      </c>
      <c r="F3749" t="str" cm="1">
        <f t="array" ref="F3749">_xlfn.IFNA(_xlfn.XLOOKUP(1,([1]!readmissions[Facility ID] = clean[[#This Row],[Facility ID]]) * ([1]!readmissions[Measure ID] = "Hybrid_HWR"), [1]!readmissions[Score]), "No Match")</f>
        <v>No Match</v>
      </c>
    </row>
    <row r="3750" spans="1:6" x14ac:dyDescent="0.2">
      <c r="A3750">
        <f>[1]!hospitalinfo[[#This Row],[Facility ID]]</f>
        <v>364055</v>
      </c>
      <c r="B3750" t="str">
        <f>[1]!hospitalinfo[[#This Row],[State]]</f>
        <v>OH</v>
      </c>
      <c r="C3750" t="str">
        <f>[1]!hospitalinfo[[#This Row],[Hospital Type]]</f>
        <v>Psychiatric</v>
      </c>
      <c r="D3750" t="str">
        <f>[1]!hospitalinfo[[#This Row],[Hospital Ownership]]</f>
        <v>Voluntary non-profit - Private</v>
      </c>
      <c r="E3750" t="str" cm="1">
        <f t="array" ref="E3750">_xlfn.IFNA(_xlfn.XLOOKUP(1,([1]!hcahps[Facility ID] = clean[[#This Row],[Facility ID]]) * ([1]!hcahps[HCAHPS Measure ID] = "H_HSP_RATING_LINEAR_SCORE"), [1]!hcahps[HCAHPS Linear Mean Value]), "No Match")</f>
        <v>No Match</v>
      </c>
      <c r="F3750" t="str" cm="1">
        <f t="array" ref="F3750">_xlfn.IFNA(_xlfn.XLOOKUP(1,([1]!readmissions[Facility ID] = clean[[#This Row],[Facility ID]]) * ([1]!readmissions[Measure ID] = "Hybrid_HWR"), [1]!readmissions[Score]), "No Match")</f>
        <v>No Match</v>
      </c>
    </row>
    <row r="3751" spans="1:6" x14ac:dyDescent="0.2">
      <c r="A3751">
        <f>[1]!hospitalinfo[[#This Row],[Facility ID]]</f>
        <v>364056</v>
      </c>
      <c r="B3751" t="str">
        <f>[1]!hospitalinfo[[#This Row],[State]]</f>
        <v>OH</v>
      </c>
      <c r="C3751" t="str">
        <f>[1]!hospitalinfo[[#This Row],[Hospital Type]]</f>
        <v>Psychiatric</v>
      </c>
      <c r="D3751" t="str">
        <f>[1]!hospitalinfo[[#This Row],[Hospital Ownership]]</f>
        <v>Voluntary non-profit - Private</v>
      </c>
      <c r="E3751" t="str" cm="1">
        <f t="array" ref="E3751">_xlfn.IFNA(_xlfn.XLOOKUP(1,([1]!hcahps[Facility ID] = clean[[#This Row],[Facility ID]]) * ([1]!hcahps[HCAHPS Measure ID] = "H_HSP_RATING_LINEAR_SCORE"), [1]!hcahps[HCAHPS Linear Mean Value]), "No Match")</f>
        <v>No Match</v>
      </c>
      <c r="F3751" t="str" cm="1">
        <f t="array" ref="F3751">_xlfn.IFNA(_xlfn.XLOOKUP(1,([1]!readmissions[Facility ID] = clean[[#This Row],[Facility ID]]) * ([1]!readmissions[Measure ID] = "Hybrid_HWR"), [1]!readmissions[Score]), "No Match")</f>
        <v>No Match</v>
      </c>
    </row>
    <row r="3752" spans="1:6" x14ac:dyDescent="0.2">
      <c r="A3752">
        <f>[1]!hospitalinfo[[#This Row],[Facility ID]]</f>
        <v>364057</v>
      </c>
      <c r="B3752" t="str">
        <f>[1]!hospitalinfo[[#This Row],[State]]</f>
        <v>OH</v>
      </c>
      <c r="C3752" t="str">
        <f>[1]!hospitalinfo[[#This Row],[Hospital Type]]</f>
        <v>Psychiatric</v>
      </c>
      <c r="D3752" t="str">
        <f>[1]!hospitalinfo[[#This Row],[Hospital Ownership]]</f>
        <v>Proprietary</v>
      </c>
      <c r="E3752" t="str" cm="1">
        <f t="array" ref="E3752">_xlfn.IFNA(_xlfn.XLOOKUP(1,([1]!hcahps[Facility ID] = clean[[#This Row],[Facility ID]]) * ([1]!hcahps[HCAHPS Measure ID] = "H_HSP_RATING_LINEAR_SCORE"), [1]!hcahps[HCAHPS Linear Mean Value]), "No Match")</f>
        <v>No Match</v>
      </c>
      <c r="F3752" t="str" cm="1">
        <f t="array" ref="F3752">_xlfn.IFNA(_xlfn.XLOOKUP(1,([1]!readmissions[Facility ID] = clean[[#This Row],[Facility ID]]) * ([1]!readmissions[Measure ID] = "Hybrid_HWR"), [1]!readmissions[Score]), "No Match")</f>
        <v>No Match</v>
      </c>
    </row>
    <row r="3753" spans="1:6" x14ac:dyDescent="0.2">
      <c r="A3753">
        <f>[1]!hospitalinfo[[#This Row],[Facility ID]]</f>
        <v>364058</v>
      </c>
      <c r="B3753" t="str">
        <f>[1]!hospitalinfo[[#This Row],[State]]</f>
        <v>OH</v>
      </c>
      <c r="C3753" t="str">
        <f>[1]!hospitalinfo[[#This Row],[Hospital Type]]</f>
        <v>Psychiatric</v>
      </c>
      <c r="D3753" t="str">
        <f>[1]!hospitalinfo[[#This Row],[Hospital Ownership]]</f>
        <v>Voluntary non-profit - Private</v>
      </c>
      <c r="E3753" t="str" cm="1">
        <f t="array" ref="E3753">_xlfn.IFNA(_xlfn.XLOOKUP(1,([1]!hcahps[Facility ID] = clean[[#This Row],[Facility ID]]) * ([1]!hcahps[HCAHPS Measure ID] = "H_HSP_RATING_LINEAR_SCORE"), [1]!hcahps[HCAHPS Linear Mean Value]), "No Match")</f>
        <v>No Match</v>
      </c>
      <c r="F3753" t="str" cm="1">
        <f t="array" ref="F3753">_xlfn.IFNA(_xlfn.XLOOKUP(1,([1]!readmissions[Facility ID] = clean[[#This Row],[Facility ID]]) * ([1]!readmissions[Measure ID] = "Hybrid_HWR"), [1]!readmissions[Score]), "No Match")</f>
        <v>No Match</v>
      </c>
    </row>
    <row r="3754" spans="1:6" x14ac:dyDescent="0.2">
      <c r="A3754">
        <f>[1]!hospitalinfo[[#This Row],[Facility ID]]</f>
        <v>364059</v>
      </c>
      <c r="B3754" t="str">
        <f>[1]!hospitalinfo[[#This Row],[State]]</f>
        <v>OH</v>
      </c>
      <c r="C3754" t="str">
        <f>[1]!hospitalinfo[[#This Row],[Hospital Type]]</f>
        <v>Psychiatric</v>
      </c>
      <c r="D3754" t="str">
        <f>[1]!hospitalinfo[[#This Row],[Hospital Ownership]]</f>
        <v>Proprietary</v>
      </c>
      <c r="E3754" t="str" cm="1">
        <f t="array" ref="E3754">_xlfn.IFNA(_xlfn.XLOOKUP(1,([1]!hcahps[Facility ID] = clean[[#This Row],[Facility ID]]) * ([1]!hcahps[HCAHPS Measure ID] = "H_HSP_RATING_LINEAR_SCORE"), [1]!hcahps[HCAHPS Linear Mean Value]), "No Match")</f>
        <v>No Match</v>
      </c>
      <c r="F3754" t="str" cm="1">
        <f t="array" ref="F3754">_xlfn.IFNA(_xlfn.XLOOKUP(1,([1]!readmissions[Facility ID] = clean[[#This Row],[Facility ID]]) * ([1]!readmissions[Measure ID] = "Hybrid_HWR"), [1]!readmissions[Score]), "No Match")</f>
        <v>No Match</v>
      </c>
    </row>
    <row r="3755" spans="1:6" x14ac:dyDescent="0.2">
      <c r="A3755">
        <f>[1]!hospitalinfo[[#This Row],[Facility ID]]</f>
        <v>364060</v>
      </c>
      <c r="B3755" t="str">
        <f>[1]!hospitalinfo[[#This Row],[State]]</f>
        <v>OH</v>
      </c>
      <c r="C3755" t="str">
        <f>[1]!hospitalinfo[[#This Row],[Hospital Type]]</f>
        <v>Psychiatric</v>
      </c>
      <c r="D3755" t="str">
        <f>[1]!hospitalinfo[[#This Row],[Hospital Ownership]]</f>
        <v>Proprietary</v>
      </c>
      <c r="E3755" t="str" cm="1">
        <f t="array" ref="E3755">_xlfn.IFNA(_xlfn.XLOOKUP(1,([1]!hcahps[Facility ID] = clean[[#This Row],[Facility ID]]) * ([1]!hcahps[HCAHPS Measure ID] = "H_HSP_RATING_LINEAR_SCORE"), [1]!hcahps[HCAHPS Linear Mean Value]), "No Match")</f>
        <v>No Match</v>
      </c>
      <c r="F3755" t="str" cm="1">
        <f t="array" ref="F3755">_xlfn.IFNA(_xlfn.XLOOKUP(1,([1]!readmissions[Facility ID] = clean[[#This Row],[Facility ID]]) * ([1]!readmissions[Measure ID] = "Hybrid_HWR"), [1]!readmissions[Score]), "No Match")</f>
        <v>No Match</v>
      </c>
    </row>
    <row r="3756" spans="1:6" x14ac:dyDescent="0.2">
      <c r="A3756">
        <f>[1]!hospitalinfo[[#This Row],[Facility ID]]</f>
        <v>364061</v>
      </c>
      <c r="B3756" t="str">
        <f>[1]!hospitalinfo[[#This Row],[State]]</f>
        <v>OH</v>
      </c>
      <c r="C3756" t="str">
        <f>[1]!hospitalinfo[[#This Row],[Hospital Type]]</f>
        <v>Psychiatric</v>
      </c>
      <c r="D3756" t="str">
        <f>[1]!hospitalinfo[[#This Row],[Hospital Ownership]]</f>
        <v>Proprietary</v>
      </c>
      <c r="E3756" t="str" cm="1">
        <f t="array" ref="E3756">_xlfn.IFNA(_xlfn.XLOOKUP(1,([1]!hcahps[Facility ID] = clean[[#This Row],[Facility ID]]) * ([1]!hcahps[HCAHPS Measure ID] = "H_HSP_RATING_LINEAR_SCORE"), [1]!hcahps[HCAHPS Linear Mean Value]), "No Match")</f>
        <v>No Match</v>
      </c>
      <c r="F3756" t="str" cm="1">
        <f t="array" ref="F3756">_xlfn.IFNA(_xlfn.XLOOKUP(1,([1]!readmissions[Facility ID] = clean[[#This Row],[Facility ID]]) * ([1]!readmissions[Measure ID] = "Hybrid_HWR"), [1]!readmissions[Score]), "No Match")</f>
        <v>No Match</v>
      </c>
    </row>
    <row r="3757" spans="1:6" x14ac:dyDescent="0.2">
      <c r="A3757">
        <f>[1]!hospitalinfo[[#This Row],[Facility ID]]</f>
        <v>364062</v>
      </c>
      <c r="B3757" t="str">
        <f>[1]!hospitalinfo[[#This Row],[State]]</f>
        <v>OH</v>
      </c>
      <c r="C3757" t="str">
        <f>[1]!hospitalinfo[[#This Row],[Hospital Type]]</f>
        <v>Psychiatric</v>
      </c>
      <c r="D3757" t="str">
        <f>[1]!hospitalinfo[[#This Row],[Hospital Ownership]]</f>
        <v>Proprietary</v>
      </c>
      <c r="E3757" t="str" cm="1">
        <f t="array" ref="E3757">_xlfn.IFNA(_xlfn.XLOOKUP(1,([1]!hcahps[Facility ID] = clean[[#This Row],[Facility ID]]) * ([1]!hcahps[HCAHPS Measure ID] = "H_HSP_RATING_LINEAR_SCORE"), [1]!hcahps[HCAHPS Linear Mean Value]), "No Match")</f>
        <v>No Match</v>
      </c>
      <c r="F3757" t="str" cm="1">
        <f t="array" ref="F3757">_xlfn.IFNA(_xlfn.XLOOKUP(1,([1]!readmissions[Facility ID] = clean[[#This Row],[Facility ID]]) * ([1]!readmissions[Measure ID] = "Hybrid_HWR"), [1]!readmissions[Score]), "No Match")</f>
        <v>No Match</v>
      </c>
    </row>
    <row r="3758" spans="1:6" x14ac:dyDescent="0.2">
      <c r="A3758">
        <f>[1]!hospitalinfo[[#This Row],[Facility ID]]</f>
        <v>364063</v>
      </c>
      <c r="B3758" t="str">
        <f>[1]!hospitalinfo[[#This Row],[State]]</f>
        <v>OH</v>
      </c>
      <c r="C3758" t="str">
        <f>[1]!hospitalinfo[[#This Row],[Hospital Type]]</f>
        <v>Psychiatric</v>
      </c>
      <c r="D3758" t="str">
        <f>[1]!hospitalinfo[[#This Row],[Hospital Ownership]]</f>
        <v>Proprietary</v>
      </c>
      <c r="E3758" t="str" cm="1">
        <f t="array" ref="E3758">_xlfn.IFNA(_xlfn.XLOOKUP(1,([1]!hcahps[Facility ID] = clean[[#This Row],[Facility ID]]) * ([1]!hcahps[HCAHPS Measure ID] = "H_HSP_RATING_LINEAR_SCORE"), [1]!hcahps[HCAHPS Linear Mean Value]), "No Match")</f>
        <v>No Match</v>
      </c>
      <c r="F3758" t="str" cm="1">
        <f t="array" ref="F3758">_xlfn.IFNA(_xlfn.XLOOKUP(1,([1]!readmissions[Facility ID] = clean[[#This Row],[Facility ID]]) * ([1]!readmissions[Measure ID] = "Hybrid_HWR"), [1]!readmissions[Score]), "No Match")</f>
        <v>No Match</v>
      </c>
    </row>
    <row r="3759" spans="1:6" x14ac:dyDescent="0.2">
      <c r="A3759">
        <f>[1]!hospitalinfo[[#This Row],[Facility ID]]</f>
        <v>364064</v>
      </c>
      <c r="B3759" t="str">
        <f>[1]!hospitalinfo[[#This Row],[State]]</f>
        <v>OH</v>
      </c>
      <c r="C3759" t="str">
        <f>[1]!hospitalinfo[[#This Row],[Hospital Type]]</f>
        <v>Psychiatric</v>
      </c>
      <c r="D3759" t="str">
        <f>[1]!hospitalinfo[[#This Row],[Hospital Ownership]]</f>
        <v>Proprietary</v>
      </c>
      <c r="E3759" t="str" cm="1">
        <f t="array" ref="E3759">_xlfn.IFNA(_xlfn.XLOOKUP(1,([1]!hcahps[Facility ID] = clean[[#This Row],[Facility ID]]) * ([1]!hcahps[HCAHPS Measure ID] = "H_HSP_RATING_LINEAR_SCORE"), [1]!hcahps[HCAHPS Linear Mean Value]), "No Match")</f>
        <v>No Match</v>
      </c>
      <c r="F3759" t="str" cm="1">
        <f t="array" ref="F3759">_xlfn.IFNA(_xlfn.XLOOKUP(1,([1]!readmissions[Facility ID] = clean[[#This Row],[Facility ID]]) * ([1]!readmissions[Measure ID] = "Hybrid_HWR"), [1]!readmissions[Score]), "No Match")</f>
        <v>No Match</v>
      </c>
    </row>
    <row r="3760" spans="1:6" x14ac:dyDescent="0.2">
      <c r="A3760">
        <f>[1]!hospitalinfo[[#This Row],[Facility ID]]</f>
        <v>364065</v>
      </c>
      <c r="B3760" t="str">
        <f>[1]!hospitalinfo[[#This Row],[State]]</f>
        <v>OH</v>
      </c>
      <c r="C3760" t="str">
        <f>[1]!hospitalinfo[[#This Row],[Hospital Type]]</f>
        <v>Psychiatric</v>
      </c>
      <c r="D3760" t="str">
        <f>[1]!hospitalinfo[[#This Row],[Hospital Ownership]]</f>
        <v>Proprietary</v>
      </c>
      <c r="E3760" t="str" cm="1">
        <f t="array" ref="E3760">_xlfn.IFNA(_xlfn.XLOOKUP(1,([1]!hcahps[Facility ID] = clean[[#This Row],[Facility ID]]) * ([1]!hcahps[HCAHPS Measure ID] = "H_HSP_RATING_LINEAR_SCORE"), [1]!hcahps[HCAHPS Linear Mean Value]), "No Match")</f>
        <v>No Match</v>
      </c>
      <c r="F3760" t="str" cm="1">
        <f t="array" ref="F3760">_xlfn.IFNA(_xlfn.XLOOKUP(1,([1]!readmissions[Facility ID] = clean[[#This Row],[Facility ID]]) * ([1]!readmissions[Measure ID] = "Hybrid_HWR"), [1]!readmissions[Score]), "No Match")</f>
        <v>No Match</v>
      </c>
    </row>
    <row r="3761" spans="1:6" x14ac:dyDescent="0.2">
      <c r="A3761">
        <f>[1]!hospitalinfo[[#This Row],[Facility ID]]</f>
        <v>364066</v>
      </c>
      <c r="B3761" t="str">
        <f>[1]!hospitalinfo[[#This Row],[State]]</f>
        <v>OH</v>
      </c>
      <c r="C3761" t="str">
        <f>[1]!hospitalinfo[[#This Row],[Hospital Type]]</f>
        <v>Psychiatric</v>
      </c>
      <c r="D3761" t="str">
        <f>[1]!hospitalinfo[[#This Row],[Hospital Ownership]]</f>
        <v>Proprietary</v>
      </c>
      <c r="E3761" t="str" cm="1">
        <f t="array" ref="E3761">_xlfn.IFNA(_xlfn.XLOOKUP(1,([1]!hcahps[Facility ID] = clean[[#This Row],[Facility ID]]) * ([1]!hcahps[HCAHPS Measure ID] = "H_HSP_RATING_LINEAR_SCORE"), [1]!hcahps[HCAHPS Linear Mean Value]), "No Match")</f>
        <v>No Match</v>
      </c>
      <c r="F3761" t="str" cm="1">
        <f t="array" ref="F3761">_xlfn.IFNA(_xlfn.XLOOKUP(1,([1]!readmissions[Facility ID] = clean[[#This Row],[Facility ID]]) * ([1]!readmissions[Measure ID] = "Hybrid_HWR"), [1]!readmissions[Score]), "No Match")</f>
        <v>No Match</v>
      </c>
    </row>
    <row r="3762" spans="1:6" x14ac:dyDescent="0.2">
      <c r="A3762" t="str">
        <f>[1]!hospitalinfo[[#This Row],[Facility ID]]</f>
        <v>36001F</v>
      </c>
      <c r="B3762" t="str">
        <f>[1]!hospitalinfo[[#This Row],[State]]</f>
        <v>OH</v>
      </c>
      <c r="C3762" t="str">
        <f>[1]!hospitalinfo[[#This Row],[Hospital Type]]</f>
        <v>Acute Care - Veterans Administration</v>
      </c>
      <c r="D3762" t="str">
        <f>[1]!hospitalinfo[[#This Row],[Hospital Ownership]]</f>
        <v>Veterans Health Administration</v>
      </c>
      <c r="E3762" cm="1">
        <f t="array" ref="E3762">_xlfn.IFNA(_xlfn.XLOOKUP(1,([1]!hcahps[Facility ID] = clean[[#This Row],[Facility ID]]) * ([1]!hcahps[HCAHPS Measure ID] = "H_HSP_RATING_LINEAR_SCORE"), [1]!hcahps[HCAHPS Linear Mean Value]), "No Match")</f>
        <v>90</v>
      </c>
      <c r="F3762" cm="1">
        <f t="array" ref="F3762">_xlfn.IFNA(_xlfn.XLOOKUP(1,([1]!readmissions[Facility ID] = clean[[#This Row],[Facility ID]]) * ([1]!readmissions[Measure ID] = "Hybrid_HWR"), [1]!readmissions[Score]), "No Match")</f>
        <v>15.3</v>
      </c>
    </row>
    <row r="3763" spans="1:6" x14ac:dyDescent="0.2">
      <c r="A3763" t="str">
        <f>[1]!hospitalinfo[[#This Row],[Facility ID]]</f>
        <v>36003F</v>
      </c>
      <c r="B3763" t="str">
        <f>[1]!hospitalinfo[[#This Row],[State]]</f>
        <v>OH</v>
      </c>
      <c r="C3763" t="str">
        <f>[1]!hospitalinfo[[#This Row],[Hospital Type]]</f>
        <v>Acute Care - Veterans Administration</v>
      </c>
      <c r="D3763" t="str">
        <f>[1]!hospitalinfo[[#This Row],[Hospital Ownership]]</f>
        <v>Veterans Health Administration</v>
      </c>
      <c r="E3763" cm="1">
        <f t="array" ref="E3763">_xlfn.IFNA(_xlfn.XLOOKUP(1,([1]!hcahps[Facility ID] = clean[[#This Row],[Facility ID]]) * ([1]!hcahps[HCAHPS Measure ID] = "H_HSP_RATING_LINEAR_SCORE"), [1]!hcahps[HCAHPS Linear Mean Value]), "No Match")</f>
        <v>89</v>
      </c>
      <c r="F3763" cm="1">
        <f t="array" ref="F3763">_xlfn.IFNA(_xlfn.XLOOKUP(1,([1]!readmissions[Facility ID] = clean[[#This Row],[Facility ID]]) * ([1]!readmissions[Measure ID] = "Hybrid_HWR"), [1]!readmissions[Score]), "No Match")</f>
        <v>15</v>
      </c>
    </row>
    <row r="3764" spans="1:6" x14ac:dyDescent="0.2">
      <c r="A3764" t="str">
        <f>[1]!hospitalinfo[[#This Row],[Facility ID]]</f>
        <v>36006F</v>
      </c>
      <c r="B3764" t="str">
        <f>[1]!hospitalinfo[[#This Row],[State]]</f>
        <v>OH</v>
      </c>
      <c r="C3764" t="str">
        <f>[1]!hospitalinfo[[#This Row],[Hospital Type]]</f>
        <v>Acute Care - Department of Defense</v>
      </c>
      <c r="D3764" t="str">
        <f>[1]!hospitalinfo[[#This Row],[Hospital Ownership]]</f>
        <v>Department of Defense</v>
      </c>
      <c r="E3764" cm="1">
        <f t="array" ref="E3764">_xlfn.IFNA(_xlfn.XLOOKUP(1,([1]!hcahps[Facility ID] = clean[[#This Row],[Facility ID]]) * ([1]!hcahps[HCAHPS Measure ID] = "H_HSP_RATING_LINEAR_SCORE"), [1]!hcahps[HCAHPS Linear Mean Value]), "No Match")</f>
        <v>95</v>
      </c>
      <c r="F3764" t="str" cm="1">
        <f t="array" ref="F3764">_xlfn.IFNA(_xlfn.XLOOKUP(1,([1]!readmissions[Facility ID] = clean[[#This Row],[Facility ID]]) * ([1]!readmissions[Measure ID] = "Hybrid_HWR"), [1]!readmissions[Score]), "No Match")</f>
        <v>Not Available</v>
      </c>
    </row>
    <row r="3765" spans="1:6" x14ac:dyDescent="0.2">
      <c r="A3765" t="str">
        <f>[1]!hospitalinfo[[#This Row],[Facility ID]]</f>
        <v>36007F</v>
      </c>
      <c r="B3765" t="str">
        <f>[1]!hospitalinfo[[#This Row],[State]]</f>
        <v>OH</v>
      </c>
      <c r="C3765" t="str">
        <f>[1]!hospitalinfo[[#This Row],[Hospital Type]]</f>
        <v>Acute Care - Veterans Administration</v>
      </c>
      <c r="D3765" t="str">
        <f>[1]!hospitalinfo[[#This Row],[Hospital Ownership]]</f>
        <v>Veterans Health Administration</v>
      </c>
      <c r="E3765" cm="1">
        <f t="array" ref="E3765">_xlfn.IFNA(_xlfn.XLOOKUP(1,([1]!hcahps[Facility ID] = clean[[#This Row],[Facility ID]]) * ([1]!hcahps[HCAHPS Measure ID] = "H_HSP_RATING_LINEAR_SCORE"), [1]!hcahps[HCAHPS Linear Mean Value]), "No Match")</f>
        <v>91</v>
      </c>
      <c r="F3765" cm="1">
        <f t="array" ref="F3765">_xlfn.IFNA(_xlfn.XLOOKUP(1,([1]!readmissions[Facility ID] = clean[[#This Row],[Facility ID]]) * ([1]!readmissions[Measure ID] = "Hybrid_HWR"), [1]!readmissions[Score]), "No Match")</f>
        <v>14.9</v>
      </c>
    </row>
    <row r="3766" spans="1:6" x14ac:dyDescent="0.2">
      <c r="A3766" t="str">
        <f>[1]!hospitalinfo[[#This Row],[Facility ID]]</f>
        <v>36008F</v>
      </c>
      <c r="B3766" t="str">
        <f>[1]!hospitalinfo[[#This Row],[State]]</f>
        <v>OH</v>
      </c>
      <c r="C3766" t="str">
        <f>[1]!hospitalinfo[[#This Row],[Hospital Type]]</f>
        <v>Acute Care - Veterans Administration</v>
      </c>
      <c r="D3766" t="str">
        <f>[1]!hospitalinfo[[#This Row],[Hospital Ownership]]</f>
        <v>Veterans Health Administration</v>
      </c>
      <c r="E3766" t="str" cm="1">
        <f t="array" ref="E3766">_xlfn.IFNA(_xlfn.XLOOKUP(1,([1]!hcahps[Facility ID] = clean[[#This Row],[Facility ID]]) * ([1]!hcahps[HCAHPS Measure ID] = "H_HSP_RATING_LINEAR_SCORE"), [1]!hcahps[HCAHPS Linear Mean Value]), "No Match")</f>
        <v>Not Available</v>
      </c>
      <c r="F3766" t="str" cm="1">
        <f t="array" ref="F3766">_xlfn.IFNA(_xlfn.XLOOKUP(1,([1]!readmissions[Facility ID] = clean[[#This Row],[Facility ID]]) * ([1]!readmissions[Measure ID] = "Hybrid_HWR"), [1]!readmissions[Score]), "No Match")</f>
        <v>Not Available</v>
      </c>
    </row>
    <row r="3767" spans="1:6" x14ac:dyDescent="0.2">
      <c r="A3767">
        <f>[1]!hospitalinfo[[#This Row],[Facility ID]]</f>
        <v>370001</v>
      </c>
      <c r="B3767" t="str">
        <f>[1]!hospitalinfo[[#This Row],[State]]</f>
        <v>OK</v>
      </c>
      <c r="C3767" t="str">
        <f>[1]!hospitalinfo[[#This Row],[Hospital Type]]</f>
        <v>Acute Care Hospitals</v>
      </c>
      <c r="D3767" t="str">
        <f>[1]!hospitalinfo[[#This Row],[Hospital Ownership]]</f>
        <v>Proprietary</v>
      </c>
      <c r="E3767" cm="1">
        <f t="array" ref="E3767">_xlfn.IFNA(_xlfn.XLOOKUP(1,([1]!hcahps[Facility ID] = clean[[#This Row],[Facility ID]]) * ([1]!hcahps[HCAHPS Measure ID] = "H_HSP_RATING_LINEAR_SCORE"), [1]!hcahps[HCAHPS Linear Mean Value]), "No Match")</f>
        <v>86</v>
      </c>
      <c r="F3767" cm="1">
        <f t="array" ref="F3767">_xlfn.IFNA(_xlfn.XLOOKUP(1,([1]!readmissions[Facility ID] = clean[[#This Row],[Facility ID]]) * ([1]!readmissions[Measure ID] = "Hybrid_HWR"), [1]!readmissions[Score]), "No Match")</f>
        <v>14.2</v>
      </c>
    </row>
    <row r="3768" spans="1:6" x14ac:dyDescent="0.2">
      <c r="A3768">
        <f>[1]!hospitalinfo[[#This Row],[Facility ID]]</f>
        <v>370002</v>
      </c>
      <c r="B3768" t="str">
        <f>[1]!hospitalinfo[[#This Row],[State]]</f>
        <v>OK</v>
      </c>
      <c r="C3768" t="str">
        <f>[1]!hospitalinfo[[#This Row],[Hospital Type]]</f>
        <v>Acute Care Hospitals</v>
      </c>
      <c r="D3768" t="str">
        <f>[1]!hospitalinfo[[#This Row],[Hospital Ownership]]</f>
        <v>Proprietary</v>
      </c>
      <c r="E3768" cm="1">
        <f t="array" ref="E3768">_xlfn.IFNA(_xlfn.XLOOKUP(1,([1]!hcahps[Facility ID] = clean[[#This Row],[Facility ID]]) * ([1]!hcahps[HCAHPS Measure ID] = "H_HSP_RATING_LINEAR_SCORE"), [1]!hcahps[HCAHPS Linear Mean Value]), "No Match")</f>
        <v>86</v>
      </c>
      <c r="F3768" cm="1">
        <f t="array" ref="F3768">_xlfn.IFNA(_xlfn.XLOOKUP(1,([1]!readmissions[Facility ID] = clean[[#This Row],[Facility ID]]) * ([1]!readmissions[Measure ID] = "Hybrid_HWR"), [1]!readmissions[Score]), "No Match")</f>
        <v>15.7</v>
      </c>
    </row>
    <row r="3769" spans="1:6" x14ac:dyDescent="0.2">
      <c r="A3769">
        <f>[1]!hospitalinfo[[#This Row],[Facility ID]]</f>
        <v>370004</v>
      </c>
      <c r="B3769" t="str">
        <f>[1]!hospitalinfo[[#This Row],[State]]</f>
        <v>OK</v>
      </c>
      <c r="C3769" t="str">
        <f>[1]!hospitalinfo[[#This Row],[Hospital Type]]</f>
        <v>Acute Care Hospitals</v>
      </c>
      <c r="D3769" t="str">
        <f>[1]!hospitalinfo[[#This Row],[Hospital Ownership]]</f>
        <v>Voluntary non-profit - Other</v>
      </c>
      <c r="E3769" cm="1">
        <f t="array" ref="E3769">_xlfn.IFNA(_xlfn.XLOOKUP(1,([1]!hcahps[Facility ID] = clean[[#This Row],[Facility ID]]) * ([1]!hcahps[HCAHPS Measure ID] = "H_HSP_RATING_LINEAR_SCORE"), [1]!hcahps[HCAHPS Linear Mean Value]), "No Match")</f>
        <v>93</v>
      </c>
      <c r="F3769" cm="1">
        <f t="array" ref="F3769">_xlfn.IFNA(_xlfn.XLOOKUP(1,([1]!readmissions[Facility ID] = clean[[#This Row],[Facility ID]]) * ([1]!readmissions[Measure ID] = "Hybrid_HWR"), [1]!readmissions[Score]), "No Match")</f>
        <v>14.8</v>
      </c>
    </row>
    <row r="3770" spans="1:6" x14ac:dyDescent="0.2">
      <c r="A3770">
        <f>[1]!hospitalinfo[[#This Row],[Facility ID]]</f>
        <v>370006</v>
      </c>
      <c r="B3770" t="str">
        <f>[1]!hospitalinfo[[#This Row],[State]]</f>
        <v>OK</v>
      </c>
      <c r="C3770" t="str">
        <f>[1]!hospitalinfo[[#This Row],[Hospital Type]]</f>
        <v>Acute Care Hospitals</v>
      </c>
      <c r="D3770" t="str">
        <f>[1]!hospitalinfo[[#This Row],[Hospital Ownership]]</f>
        <v>Voluntary non-profit - Other</v>
      </c>
      <c r="E3770" cm="1">
        <f t="array" ref="E3770">_xlfn.IFNA(_xlfn.XLOOKUP(1,([1]!hcahps[Facility ID] = clean[[#This Row],[Facility ID]]) * ([1]!hcahps[HCAHPS Measure ID] = "H_HSP_RATING_LINEAR_SCORE"), [1]!hcahps[HCAHPS Linear Mean Value]), "No Match")</f>
        <v>85</v>
      </c>
      <c r="F3770" cm="1">
        <f t="array" ref="F3770">_xlfn.IFNA(_xlfn.XLOOKUP(1,([1]!readmissions[Facility ID] = clean[[#This Row],[Facility ID]]) * ([1]!readmissions[Measure ID] = "Hybrid_HWR"), [1]!readmissions[Score]), "No Match")</f>
        <v>14.4</v>
      </c>
    </row>
    <row r="3771" spans="1:6" x14ac:dyDescent="0.2">
      <c r="A3771">
        <f>[1]!hospitalinfo[[#This Row],[Facility ID]]</f>
        <v>370008</v>
      </c>
      <c r="B3771" t="str">
        <f>[1]!hospitalinfo[[#This Row],[State]]</f>
        <v>OK</v>
      </c>
      <c r="C3771" t="str">
        <f>[1]!hospitalinfo[[#This Row],[Hospital Type]]</f>
        <v>Acute Care Hospitals</v>
      </c>
      <c r="D3771" t="str">
        <f>[1]!hospitalinfo[[#This Row],[Hospital Ownership]]</f>
        <v>Government - Hospital District or Authority</v>
      </c>
      <c r="E3771" cm="1">
        <f t="array" ref="E3771">_xlfn.IFNA(_xlfn.XLOOKUP(1,([1]!hcahps[Facility ID] = clean[[#This Row],[Facility ID]]) * ([1]!hcahps[HCAHPS Measure ID] = "H_HSP_RATING_LINEAR_SCORE"), [1]!hcahps[HCAHPS Linear Mean Value]), "No Match")</f>
        <v>86</v>
      </c>
      <c r="F3771" cm="1">
        <f t="array" ref="F3771">_xlfn.IFNA(_xlfn.XLOOKUP(1,([1]!readmissions[Facility ID] = clean[[#This Row],[Facility ID]]) * ([1]!readmissions[Measure ID] = "Hybrid_HWR"), [1]!readmissions[Score]), "No Match")</f>
        <v>15.7</v>
      </c>
    </row>
    <row r="3772" spans="1:6" x14ac:dyDescent="0.2">
      <c r="A3772">
        <f>[1]!hospitalinfo[[#This Row],[Facility ID]]</f>
        <v>370013</v>
      </c>
      <c r="B3772" t="str">
        <f>[1]!hospitalinfo[[#This Row],[State]]</f>
        <v>OK</v>
      </c>
      <c r="C3772" t="str">
        <f>[1]!hospitalinfo[[#This Row],[Hospital Type]]</f>
        <v>Acute Care Hospitals</v>
      </c>
      <c r="D3772" t="str">
        <f>[1]!hospitalinfo[[#This Row],[Hospital Ownership]]</f>
        <v>Voluntary non-profit - Church</v>
      </c>
      <c r="E3772" cm="1">
        <f t="array" ref="E3772">_xlfn.IFNA(_xlfn.XLOOKUP(1,([1]!hcahps[Facility ID] = clean[[#This Row],[Facility ID]]) * ([1]!hcahps[HCAHPS Measure ID] = "H_HSP_RATING_LINEAR_SCORE"), [1]!hcahps[HCAHPS Linear Mean Value]), "No Match")</f>
        <v>90</v>
      </c>
      <c r="F3772" cm="1">
        <f t="array" ref="F3772">_xlfn.IFNA(_xlfn.XLOOKUP(1,([1]!readmissions[Facility ID] = clean[[#This Row],[Facility ID]]) * ([1]!readmissions[Measure ID] = "Hybrid_HWR"), [1]!readmissions[Score]), "No Match")</f>
        <v>14.2</v>
      </c>
    </row>
    <row r="3773" spans="1:6" x14ac:dyDescent="0.2">
      <c r="A3773">
        <f>[1]!hospitalinfo[[#This Row],[Facility ID]]</f>
        <v>370014</v>
      </c>
      <c r="B3773" t="str">
        <f>[1]!hospitalinfo[[#This Row],[State]]</f>
        <v>OK</v>
      </c>
      <c r="C3773" t="str">
        <f>[1]!hospitalinfo[[#This Row],[Hospital Type]]</f>
        <v>Acute Care Hospitals</v>
      </c>
      <c r="D3773" t="str">
        <f>[1]!hospitalinfo[[#This Row],[Hospital Ownership]]</f>
        <v>Proprietary</v>
      </c>
      <c r="E3773" cm="1">
        <f t="array" ref="E3773">_xlfn.IFNA(_xlfn.XLOOKUP(1,([1]!hcahps[Facility ID] = clean[[#This Row],[Facility ID]]) * ([1]!hcahps[HCAHPS Measure ID] = "H_HSP_RATING_LINEAR_SCORE"), [1]!hcahps[HCAHPS Linear Mean Value]), "No Match")</f>
        <v>83</v>
      </c>
      <c r="F3773" cm="1">
        <f t="array" ref="F3773">_xlfn.IFNA(_xlfn.XLOOKUP(1,([1]!readmissions[Facility ID] = clean[[#This Row],[Facility ID]]) * ([1]!readmissions[Measure ID] = "Hybrid_HWR"), [1]!readmissions[Score]), "No Match")</f>
        <v>17.899999999999999</v>
      </c>
    </row>
    <row r="3774" spans="1:6" x14ac:dyDescent="0.2">
      <c r="A3774">
        <f>[1]!hospitalinfo[[#This Row],[Facility ID]]</f>
        <v>370015</v>
      </c>
      <c r="B3774" t="str">
        <f>[1]!hospitalinfo[[#This Row],[State]]</f>
        <v>OK</v>
      </c>
      <c r="C3774" t="str">
        <f>[1]!hospitalinfo[[#This Row],[Hospital Type]]</f>
        <v>Acute Care Hospitals</v>
      </c>
      <c r="D3774" t="str">
        <f>[1]!hospitalinfo[[#This Row],[Hospital Ownership]]</f>
        <v>Proprietary</v>
      </c>
      <c r="E3774" t="str" cm="1">
        <f t="array" ref="E3774">_xlfn.IFNA(_xlfn.XLOOKUP(1,([1]!hcahps[Facility ID] = clean[[#This Row],[Facility ID]]) * ([1]!hcahps[HCAHPS Measure ID] = "H_HSP_RATING_LINEAR_SCORE"), [1]!hcahps[HCAHPS Linear Mean Value]), "No Match")</f>
        <v>Not Available</v>
      </c>
      <c r="F3774" cm="1">
        <f t="array" ref="F3774">_xlfn.IFNA(_xlfn.XLOOKUP(1,([1]!readmissions[Facility ID] = clean[[#This Row],[Facility ID]]) * ([1]!readmissions[Measure ID] = "Hybrid_HWR"), [1]!readmissions[Score]), "No Match")</f>
        <v>14.6</v>
      </c>
    </row>
    <row r="3775" spans="1:6" x14ac:dyDescent="0.2">
      <c r="A3775">
        <f>[1]!hospitalinfo[[#This Row],[Facility ID]]</f>
        <v>370016</v>
      </c>
      <c r="B3775" t="str">
        <f>[1]!hospitalinfo[[#This Row],[State]]</f>
        <v>OK</v>
      </c>
      <c r="C3775" t="str">
        <f>[1]!hospitalinfo[[#This Row],[Hospital Type]]</f>
        <v>Acute Care Hospitals</v>
      </c>
      <c r="D3775" t="str">
        <f>[1]!hospitalinfo[[#This Row],[Hospital Ownership]]</f>
        <v>Voluntary non-profit - Private</v>
      </c>
      <c r="E3775" cm="1">
        <f t="array" ref="E3775">_xlfn.IFNA(_xlfn.XLOOKUP(1,([1]!hcahps[Facility ID] = clean[[#This Row],[Facility ID]]) * ([1]!hcahps[HCAHPS Measure ID] = "H_HSP_RATING_LINEAR_SCORE"), [1]!hcahps[HCAHPS Linear Mean Value]), "No Match")</f>
        <v>88</v>
      </c>
      <c r="F3775" cm="1">
        <f t="array" ref="F3775">_xlfn.IFNA(_xlfn.XLOOKUP(1,([1]!readmissions[Facility ID] = clean[[#This Row],[Facility ID]]) * ([1]!readmissions[Measure ID] = "Hybrid_HWR"), [1]!readmissions[Score]), "No Match")</f>
        <v>14</v>
      </c>
    </row>
    <row r="3776" spans="1:6" x14ac:dyDescent="0.2">
      <c r="A3776">
        <f>[1]!hospitalinfo[[#This Row],[Facility ID]]</f>
        <v>370018</v>
      </c>
      <c r="B3776" t="str">
        <f>[1]!hospitalinfo[[#This Row],[State]]</f>
        <v>OK</v>
      </c>
      <c r="C3776" t="str">
        <f>[1]!hospitalinfo[[#This Row],[Hospital Type]]</f>
        <v>Acute Care Hospitals</v>
      </c>
      <c r="D3776" t="str">
        <f>[1]!hospitalinfo[[#This Row],[Hospital Ownership]]</f>
        <v>Voluntary non-profit - Private</v>
      </c>
      <c r="E3776" cm="1">
        <f t="array" ref="E3776">_xlfn.IFNA(_xlfn.XLOOKUP(1,([1]!hcahps[Facility ID] = clean[[#This Row],[Facility ID]]) * ([1]!hcahps[HCAHPS Measure ID] = "H_HSP_RATING_LINEAR_SCORE"), [1]!hcahps[HCAHPS Linear Mean Value]), "No Match")</f>
        <v>89</v>
      </c>
      <c r="F3776" cm="1">
        <f t="array" ref="F3776">_xlfn.IFNA(_xlfn.XLOOKUP(1,([1]!readmissions[Facility ID] = clean[[#This Row],[Facility ID]]) * ([1]!readmissions[Measure ID] = "Hybrid_HWR"), [1]!readmissions[Score]), "No Match")</f>
        <v>14.3</v>
      </c>
    </row>
    <row r="3777" spans="1:6" x14ac:dyDescent="0.2">
      <c r="A3777">
        <f>[1]!hospitalinfo[[#This Row],[Facility ID]]</f>
        <v>370019</v>
      </c>
      <c r="B3777" t="str">
        <f>[1]!hospitalinfo[[#This Row],[State]]</f>
        <v>OK</v>
      </c>
      <c r="C3777" t="str">
        <f>[1]!hospitalinfo[[#This Row],[Hospital Type]]</f>
        <v>Acute Care Hospitals</v>
      </c>
      <c r="D3777" t="str">
        <f>[1]!hospitalinfo[[#This Row],[Hospital Ownership]]</f>
        <v>Voluntary non-profit - Private</v>
      </c>
      <c r="E3777" cm="1">
        <f t="array" ref="E3777">_xlfn.IFNA(_xlfn.XLOOKUP(1,([1]!hcahps[Facility ID] = clean[[#This Row],[Facility ID]]) * ([1]!hcahps[HCAHPS Measure ID] = "H_HSP_RATING_LINEAR_SCORE"), [1]!hcahps[HCAHPS Linear Mean Value]), "No Match")</f>
        <v>88</v>
      </c>
      <c r="F3777" cm="1">
        <f t="array" ref="F3777">_xlfn.IFNA(_xlfn.XLOOKUP(1,([1]!readmissions[Facility ID] = clean[[#This Row],[Facility ID]]) * ([1]!readmissions[Measure ID] = "Hybrid_HWR"), [1]!readmissions[Score]), "No Match")</f>
        <v>15</v>
      </c>
    </row>
    <row r="3778" spans="1:6" x14ac:dyDescent="0.2">
      <c r="A3778">
        <f>[1]!hospitalinfo[[#This Row],[Facility ID]]</f>
        <v>370020</v>
      </c>
      <c r="B3778" t="str">
        <f>[1]!hospitalinfo[[#This Row],[State]]</f>
        <v>OK</v>
      </c>
      <c r="C3778" t="str">
        <f>[1]!hospitalinfo[[#This Row],[Hospital Type]]</f>
        <v>Acute Care Hospitals</v>
      </c>
      <c r="D3778" t="str">
        <f>[1]!hospitalinfo[[#This Row],[Hospital Ownership]]</f>
        <v>Voluntary non-profit - Private</v>
      </c>
      <c r="E3778" cm="1">
        <f t="array" ref="E3778">_xlfn.IFNA(_xlfn.XLOOKUP(1,([1]!hcahps[Facility ID] = clean[[#This Row],[Facility ID]]) * ([1]!hcahps[HCAHPS Measure ID] = "H_HSP_RATING_LINEAR_SCORE"), [1]!hcahps[HCAHPS Linear Mean Value]), "No Match")</f>
        <v>89</v>
      </c>
      <c r="F3778" cm="1">
        <f t="array" ref="F3778">_xlfn.IFNA(_xlfn.XLOOKUP(1,([1]!readmissions[Facility ID] = clean[[#This Row],[Facility ID]]) * ([1]!readmissions[Measure ID] = "Hybrid_HWR"), [1]!readmissions[Score]), "No Match")</f>
        <v>15.6</v>
      </c>
    </row>
    <row r="3779" spans="1:6" x14ac:dyDescent="0.2">
      <c r="A3779">
        <f>[1]!hospitalinfo[[#This Row],[Facility ID]]</f>
        <v>370022</v>
      </c>
      <c r="B3779" t="str">
        <f>[1]!hospitalinfo[[#This Row],[State]]</f>
        <v>OK</v>
      </c>
      <c r="C3779" t="str">
        <f>[1]!hospitalinfo[[#This Row],[Hospital Type]]</f>
        <v>Acute Care Hospitals</v>
      </c>
      <c r="D3779" t="str">
        <f>[1]!hospitalinfo[[#This Row],[Hospital Ownership]]</f>
        <v>Voluntary non-profit - Other</v>
      </c>
      <c r="E3779" cm="1">
        <f t="array" ref="E3779">_xlfn.IFNA(_xlfn.XLOOKUP(1,([1]!hcahps[Facility ID] = clean[[#This Row],[Facility ID]]) * ([1]!hcahps[HCAHPS Measure ID] = "H_HSP_RATING_LINEAR_SCORE"), [1]!hcahps[HCAHPS Linear Mean Value]), "No Match")</f>
        <v>90</v>
      </c>
      <c r="F3779" cm="1">
        <f t="array" ref="F3779">_xlfn.IFNA(_xlfn.XLOOKUP(1,([1]!readmissions[Facility ID] = clean[[#This Row],[Facility ID]]) * ([1]!readmissions[Measure ID] = "Hybrid_HWR"), [1]!readmissions[Score]), "No Match")</f>
        <v>14.7</v>
      </c>
    </row>
    <row r="3780" spans="1:6" x14ac:dyDescent="0.2">
      <c r="A3780">
        <f>[1]!hospitalinfo[[#This Row],[Facility ID]]</f>
        <v>370023</v>
      </c>
      <c r="B3780" t="str">
        <f>[1]!hospitalinfo[[#This Row],[State]]</f>
        <v>OK</v>
      </c>
      <c r="C3780" t="str">
        <f>[1]!hospitalinfo[[#This Row],[Hospital Type]]</f>
        <v>Acute Care Hospitals</v>
      </c>
      <c r="D3780" t="str">
        <f>[1]!hospitalinfo[[#This Row],[Hospital Ownership]]</f>
        <v>Voluntary non-profit - Private</v>
      </c>
      <c r="E3780" cm="1">
        <f t="array" ref="E3780">_xlfn.IFNA(_xlfn.XLOOKUP(1,([1]!hcahps[Facility ID] = clean[[#This Row],[Facility ID]]) * ([1]!hcahps[HCAHPS Measure ID] = "H_HSP_RATING_LINEAR_SCORE"), [1]!hcahps[HCAHPS Linear Mean Value]), "No Match")</f>
        <v>88</v>
      </c>
      <c r="F3780" cm="1">
        <f t="array" ref="F3780">_xlfn.IFNA(_xlfn.XLOOKUP(1,([1]!readmissions[Facility ID] = clean[[#This Row],[Facility ID]]) * ([1]!readmissions[Measure ID] = "Hybrid_HWR"), [1]!readmissions[Score]), "No Match")</f>
        <v>15.3</v>
      </c>
    </row>
    <row r="3781" spans="1:6" x14ac:dyDescent="0.2">
      <c r="A3781">
        <f>[1]!hospitalinfo[[#This Row],[Facility ID]]</f>
        <v>370025</v>
      </c>
      <c r="B3781" t="str">
        <f>[1]!hospitalinfo[[#This Row],[State]]</f>
        <v>OK</v>
      </c>
      <c r="C3781" t="str">
        <f>[1]!hospitalinfo[[#This Row],[Hospital Type]]</f>
        <v>Acute Care Hospitals</v>
      </c>
      <c r="D3781" t="str">
        <f>[1]!hospitalinfo[[#This Row],[Hospital Ownership]]</f>
        <v>Voluntary non-profit - Private</v>
      </c>
      <c r="E3781" cm="1">
        <f t="array" ref="E3781">_xlfn.IFNA(_xlfn.XLOOKUP(1,([1]!hcahps[Facility ID] = clean[[#This Row],[Facility ID]]) * ([1]!hcahps[HCAHPS Measure ID] = "H_HSP_RATING_LINEAR_SCORE"), [1]!hcahps[HCAHPS Linear Mean Value]), "No Match")</f>
        <v>89</v>
      </c>
      <c r="F3781" cm="1">
        <f t="array" ref="F3781">_xlfn.IFNA(_xlfn.XLOOKUP(1,([1]!readmissions[Facility ID] = clean[[#This Row],[Facility ID]]) * ([1]!readmissions[Measure ID] = "Hybrid_HWR"), [1]!readmissions[Score]), "No Match")</f>
        <v>14.7</v>
      </c>
    </row>
    <row r="3782" spans="1:6" x14ac:dyDescent="0.2">
      <c r="A3782">
        <f>[1]!hospitalinfo[[#This Row],[Facility ID]]</f>
        <v>370026</v>
      </c>
      <c r="B3782" t="str">
        <f>[1]!hospitalinfo[[#This Row],[State]]</f>
        <v>OK</v>
      </c>
      <c r="C3782" t="str">
        <f>[1]!hospitalinfo[[#This Row],[Hospital Type]]</f>
        <v>Acute Care Hospitals</v>
      </c>
      <c r="D3782" t="str">
        <f>[1]!hospitalinfo[[#This Row],[Hospital Ownership]]</f>
        <v>Proprietary</v>
      </c>
      <c r="E3782" cm="1">
        <f t="array" ref="E3782">_xlfn.IFNA(_xlfn.XLOOKUP(1,([1]!hcahps[Facility ID] = clean[[#This Row],[Facility ID]]) * ([1]!hcahps[HCAHPS Measure ID] = "H_HSP_RATING_LINEAR_SCORE"), [1]!hcahps[HCAHPS Linear Mean Value]), "No Match")</f>
        <v>89</v>
      </c>
      <c r="F3782" cm="1">
        <f t="array" ref="F3782">_xlfn.IFNA(_xlfn.XLOOKUP(1,([1]!readmissions[Facility ID] = clean[[#This Row],[Facility ID]]) * ([1]!readmissions[Measure ID] = "Hybrid_HWR"), [1]!readmissions[Score]), "No Match")</f>
        <v>14.4</v>
      </c>
    </row>
    <row r="3783" spans="1:6" x14ac:dyDescent="0.2">
      <c r="A3783">
        <f>[1]!hospitalinfo[[#This Row],[Facility ID]]</f>
        <v>370028</v>
      </c>
      <c r="B3783" t="str">
        <f>[1]!hospitalinfo[[#This Row],[State]]</f>
        <v>OK</v>
      </c>
      <c r="C3783" t="str">
        <f>[1]!hospitalinfo[[#This Row],[Hospital Type]]</f>
        <v>Acute Care Hospitals</v>
      </c>
      <c r="D3783" t="str">
        <f>[1]!hospitalinfo[[#This Row],[Hospital Ownership]]</f>
        <v>Voluntary non-profit - Private</v>
      </c>
      <c r="E3783" cm="1">
        <f t="array" ref="E3783">_xlfn.IFNA(_xlfn.XLOOKUP(1,([1]!hcahps[Facility ID] = clean[[#This Row],[Facility ID]]) * ([1]!hcahps[HCAHPS Measure ID] = "H_HSP_RATING_LINEAR_SCORE"), [1]!hcahps[HCAHPS Linear Mean Value]), "No Match")</f>
        <v>87</v>
      </c>
      <c r="F3783" cm="1">
        <f t="array" ref="F3783">_xlfn.IFNA(_xlfn.XLOOKUP(1,([1]!readmissions[Facility ID] = clean[[#This Row],[Facility ID]]) * ([1]!readmissions[Measure ID] = "Hybrid_HWR"), [1]!readmissions[Score]), "No Match")</f>
        <v>14.3</v>
      </c>
    </row>
    <row r="3784" spans="1:6" x14ac:dyDescent="0.2">
      <c r="A3784">
        <f>[1]!hospitalinfo[[#This Row],[Facility ID]]</f>
        <v>370034</v>
      </c>
      <c r="B3784" t="str">
        <f>[1]!hospitalinfo[[#This Row],[State]]</f>
        <v>OK</v>
      </c>
      <c r="C3784" t="str">
        <f>[1]!hospitalinfo[[#This Row],[Hospital Type]]</f>
        <v>Acute Care Hospitals</v>
      </c>
      <c r="D3784" t="str">
        <f>[1]!hospitalinfo[[#This Row],[Hospital Ownership]]</f>
        <v>Government - Hospital District or Authority</v>
      </c>
      <c r="E3784" cm="1">
        <f t="array" ref="E3784">_xlfn.IFNA(_xlfn.XLOOKUP(1,([1]!hcahps[Facility ID] = clean[[#This Row],[Facility ID]]) * ([1]!hcahps[HCAHPS Measure ID] = "H_HSP_RATING_LINEAR_SCORE"), [1]!hcahps[HCAHPS Linear Mean Value]), "No Match")</f>
        <v>83</v>
      </c>
      <c r="F3784" cm="1">
        <f t="array" ref="F3784">_xlfn.IFNA(_xlfn.XLOOKUP(1,([1]!readmissions[Facility ID] = clean[[#This Row],[Facility ID]]) * ([1]!readmissions[Measure ID] = "Hybrid_HWR"), [1]!readmissions[Score]), "No Match")</f>
        <v>15</v>
      </c>
    </row>
    <row r="3785" spans="1:6" x14ac:dyDescent="0.2">
      <c r="A3785">
        <f>[1]!hospitalinfo[[#This Row],[Facility ID]]</f>
        <v>370037</v>
      </c>
      <c r="B3785" t="str">
        <f>[1]!hospitalinfo[[#This Row],[State]]</f>
        <v>OK</v>
      </c>
      <c r="C3785" t="str">
        <f>[1]!hospitalinfo[[#This Row],[Hospital Type]]</f>
        <v>Acute Care Hospitals</v>
      </c>
      <c r="D3785" t="str">
        <f>[1]!hospitalinfo[[#This Row],[Hospital Ownership]]</f>
        <v>Voluntary non-profit - Church</v>
      </c>
      <c r="E3785" cm="1">
        <f t="array" ref="E3785">_xlfn.IFNA(_xlfn.XLOOKUP(1,([1]!hcahps[Facility ID] = clean[[#This Row],[Facility ID]]) * ([1]!hcahps[HCAHPS Measure ID] = "H_HSP_RATING_LINEAR_SCORE"), [1]!hcahps[HCAHPS Linear Mean Value]), "No Match")</f>
        <v>89</v>
      </c>
      <c r="F3785" cm="1">
        <f t="array" ref="F3785">_xlfn.IFNA(_xlfn.XLOOKUP(1,([1]!readmissions[Facility ID] = clean[[#This Row],[Facility ID]]) * ([1]!readmissions[Measure ID] = "Hybrid_HWR"), [1]!readmissions[Score]), "No Match")</f>
        <v>14.3</v>
      </c>
    </row>
    <row r="3786" spans="1:6" x14ac:dyDescent="0.2">
      <c r="A3786">
        <f>[1]!hospitalinfo[[#This Row],[Facility ID]]</f>
        <v>370039</v>
      </c>
      <c r="B3786" t="str">
        <f>[1]!hospitalinfo[[#This Row],[State]]</f>
        <v>OK</v>
      </c>
      <c r="C3786" t="str">
        <f>[1]!hospitalinfo[[#This Row],[Hospital Type]]</f>
        <v>Acute Care Hospitals</v>
      </c>
      <c r="D3786" t="str">
        <f>[1]!hospitalinfo[[#This Row],[Hospital Ownership]]</f>
        <v>Proprietary</v>
      </c>
      <c r="E3786" cm="1">
        <f t="array" ref="E3786">_xlfn.IFNA(_xlfn.XLOOKUP(1,([1]!hcahps[Facility ID] = clean[[#This Row],[Facility ID]]) * ([1]!hcahps[HCAHPS Measure ID] = "H_HSP_RATING_LINEAR_SCORE"), [1]!hcahps[HCAHPS Linear Mean Value]), "No Match")</f>
        <v>87</v>
      </c>
      <c r="F3786" cm="1">
        <f t="array" ref="F3786">_xlfn.IFNA(_xlfn.XLOOKUP(1,([1]!readmissions[Facility ID] = clean[[#This Row],[Facility ID]]) * ([1]!readmissions[Measure ID] = "Hybrid_HWR"), [1]!readmissions[Score]), "No Match")</f>
        <v>14.5</v>
      </c>
    </row>
    <row r="3787" spans="1:6" x14ac:dyDescent="0.2">
      <c r="A3787">
        <f>[1]!hospitalinfo[[#This Row],[Facility ID]]</f>
        <v>370047</v>
      </c>
      <c r="B3787" t="str">
        <f>[1]!hospitalinfo[[#This Row],[State]]</f>
        <v>OK</v>
      </c>
      <c r="C3787" t="str">
        <f>[1]!hospitalinfo[[#This Row],[Hospital Type]]</f>
        <v>Acute Care Hospitals</v>
      </c>
      <c r="D3787" t="str">
        <f>[1]!hospitalinfo[[#This Row],[Hospital Ownership]]</f>
        <v>Voluntary non-profit - Church</v>
      </c>
      <c r="E3787" cm="1">
        <f t="array" ref="E3787">_xlfn.IFNA(_xlfn.XLOOKUP(1,([1]!hcahps[Facility ID] = clean[[#This Row],[Facility ID]]) * ([1]!hcahps[HCAHPS Measure ID] = "H_HSP_RATING_LINEAR_SCORE"), [1]!hcahps[HCAHPS Linear Mean Value]), "No Match")</f>
        <v>89</v>
      </c>
      <c r="F3787" cm="1">
        <f t="array" ref="F3787">_xlfn.IFNA(_xlfn.XLOOKUP(1,([1]!readmissions[Facility ID] = clean[[#This Row],[Facility ID]]) * ([1]!readmissions[Measure ID] = "Hybrid_HWR"), [1]!readmissions[Score]), "No Match")</f>
        <v>14.6</v>
      </c>
    </row>
    <row r="3788" spans="1:6" x14ac:dyDescent="0.2">
      <c r="A3788">
        <f>[1]!hospitalinfo[[#This Row],[Facility ID]]</f>
        <v>370049</v>
      </c>
      <c r="B3788" t="str">
        <f>[1]!hospitalinfo[[#This Row],[State]]</f>
        <v>OK</v>
      </c>
      <c r="C3788" t="str">
        <f>[1]!hospitalinfo[[#This Row],[Hospital Type]]</f>
        <v>Acute Care Hospitals</v>
      </c>
      <c r="D3788" t="str">
        <f>[1]!hospitalinfo[[#This Row],[Hospital Ownership]]</f>
        <v>Government - Hospital District or Authority</v>
      </c>
      <c r="E3788" cm="1">
        <f t="array" ref="E3788">_xlfn.IFNA(_xlfn.XLOOKUP(1,([1]!hcahps[Facility ID] = clean[[#This Row],[Facility ID]]) * ([1]!hcahps[HCAHPS Measure ID] = "H_HSP_RATING_LINEAR_SCORE"), [1]!hcahps[HCAHPS Linear Mean Value]), "No Match")</f>
        <v>90</v>
      </c>
      <c r="F3788" cm="1">
        <f t="array" ref="F3788">_xlfn.IFNA(_xlfn.XLOOKUP(1,([1]!readmissions[Facility ID] = clean[[#This Row],[Facility ID]]) * ([1]!readmissions[Measure ID] = "Hybrid_HWR"), [1]!readmissions[Score]), "No Match")</f>
        <v>14.8</v>
      </c>
    </row>
    <row r="3789" spans="1:6" x14ac:dyDescent="0.2">
      <c r="A3789">
        <f>[1]!hospitalinfo[[#This Row],[Facility ID]]</f>
        <v>370054</v>
      </c>
      <c r="B3789" t="str">
        <f>[1]!hospitalinfo[[#This Row],[State]]</f>
        <v>OK</v>
      </c>
      <c r="C3789" t="str">
        <f>[1]!hospitalinfo[[#This Row],[Hospital Type]]</f>
        <v>Acute Care Hospitals</v>
      </c>
      <c r="D3789" t="str">
        <f>[1]!hospitalinfo[[#This Row],[Hospital Ownership]]</f>
        <v>Government - Hospital District or Authority</v>
      </c>
      <c r="E3789" cm="1">
        <f t="array" ref="E3789">_xlfn.IFNA(_xlfn.XLOOKUP(1,([1]!hcahps[Facility ID] = clean[[#This Row],[Facility ID]]) * ([1]!hcahps[HCAHPS Measure ID] = "H_HSP_RATING_LINEAR_SCORE"), [1]!hcahps[HCAHPS Linear Mean Value]), "No Match")</f>
        <v>87</v>
      </c>
      <c r="F3789" cm="1">
        <f t="array" ref="F3789">_xlfn.IFNA(_xlfn.XLOOKUP(1,([1]!readmissions[Facility ID] = clean[[#This Row],[Facility ID]]) * ([1]!readmissions[Measure ID] = "Hybrid_HWR"), [1]!readmissions[Score]), "No Match")</f>
        <v>15.4</v>
      </c>
    </row>
    <row r="3790" spans="1:6" x14ac:dyDescent="0.2">
      <c r="A3790">
        <f>[1]!hospitalinfo[[#This Row],[Facility ID]]</f>
        <v>370056</v>
      </c>
      <c r="B3790" t="str">
        <f>[1]!hospitalinfo[[#This Row],[State]]</f>
        <v>OK</v>
      </c>
      <c r="C3790" t="str">
        <f>[1]!hospitalinfo[[#This Row],[Hospital Type]]</f>
        <v>Acute Care Hospitals</v>
      </c>
      <c r="D3790" t="str">
        <f>[1]!hospitalinfo[[#This Row],[Hospital Ownership]]</f>
        <v>Government - Hospital District or Authority</v>
      </c>
      <c r="E3790" cm="1">
        <f t="array" ref="E3790">_xlfn.IFNA(_xlfn.XLOOKUP(1,([1]!hcahps[Facility ID] = clean[[#This Row],[Facility ID]]) * ([1]!hcahps[HCAHPS Measure ID] = "H_HSP_RATING_LINEAR_SCORE"), [1]!hcahps[HCAHPS Linear Mean Value]), "No Match")</f>
        <v>83</v>
      </c>
      <c r="F3790" cm="1">
        <f t="array" ref="F3790">_xlfn.IFNA(_xlfn.XLOOKUP(1,([1]!readmissions[Facility ID] = clean[[#This Row],[Facility ID]]) * ([1]!readmissions[Measure ID] = "Hybrid_HWR"), [1]!readmissions[Score]), "No Match")</f>
        <v>16.5</v>
      </c>
    </row>
    <row r="3791" spans="1:6" x14ac:dyDescent="0.2">
      <c r="A3791">
        <f>[1]!hospitalinfo[[#This Row],[Facility ID]]</f>
        <v>370057</v>
      </c>
      <c r="B3791" t="str">
        <f>[1]!hospitalinfo[[#This Row],[State]]</f>
        <v>OK</v>
      </c>
      <c r="C3791" t="str">
        <f>[1]!hospitalinfo[[#This Row],[Hospital Type]]</f>
        <v>Acute Care Hospitals</v>
      </c>
      <c r="D3791" t="str">
        <f>[1]!hospitalinfo[[#This Row],[Hospital Ownership]]</f>
        <v>Tribal</v>
      </c>
      <c r="E3791" t="str" cm="1">
        <f t="array" ref="E3791">_xlfn.IFNA(_xlfn.XLOOKUP(1,([1]!hcahps[Facility ID] = clean[[#This Row],[Facility ID]]) * ([1]!hcahps[HCAHPS Measure ID] = "H_HSP_RATING_LINEAR_SCORE"), [1]!hcahps[HCAHPS Linear Mean Value]), "No Match")</f>
        <v>Not Available</v>
      </c>
      <c r="F3791" cm="1">
        <f t="array" ref="F3791">_xlfn.IFNA(_xlfn.XLOOKUP(1,([1]!readmissions[Facility ID] = clean[[#This Row],[Facility ID]]) * ([1]!readmissions[Measure ID] = "Hybrid_HWR"), [1]!readmissions[Score]), "No Match")</f>
        <v>14.6</v>
      </c>
    </row>
    <row r="3792" spans="1:6" x14ac:dyDescent="0.2">
      <c r="A3792">
        <f>[1]!hospitalinfo[[#This Row],[Facility ID]]</f>
        <v>370078</v>
      </c>
      <c r="B3792" t="str">
        <f>[1]!hospitalinfo[[#This Row],[State]]</f>
        <v>OK</v>
      </c>
      <c r="C3792" t="str">
        <f>[1]!hospitalinfo[[#This Row],[Hospital Type]]</f>
        <v>Acute Care Hospitals</v>
      </c>
      <c r="D3792" t="str">
        <f>[1]!hospitalinfo[[#This Row],[Hospital Ownership]]</f>
        <v>Government - Hospital District or Authority</v>
      </c>
      <c r="E3792" cm="1">
        <f t="array" ref="E3792">_xlfn.IFNA(_xlfn.XLOOKUP(1,([1]!hcahps[Facility ID] = clean[[#This Row],[Facility ID]]) * ([1]!hcahps[HCAHPS Measure ID] = "H_HSP_RATING_LINEAR_SCORE"), [1]!hcahps[HCAHPS Linear Mean Value]), "No Match")</f>
        <v>88</v>
      </c>
      <c r="F3792" cm="1">
        <f t="array" ref="F3792">_xlfn.IFNA(_xlfn.XLOOKUP(1,([1]!readmissions[Facility ID] = clean[[#This Row],[Facility ID]]) * ([1]!readmissions[Measure ID] = "Hybrid_HWR"), [1]!readmissions[Score]), "No Match")</f>
        <v>16.2</v>
      </c>
    </row>
    <row r="3793" spans="1:6" x14ac:dyDescent="0.2">
      <c r="A3793">
        <f>[1]!hospitalinfo[[#This Row],[Facility ID]]</f>
        <v>370083</v>
      </c>
      <c r="B3793" t="str">
        <f>[1]!hospitalinfo[[#This Row],[State]]</f>
        <v>OK</v>
      </c>
      <c r="C3793" t="str">
        <f>[1]!hospitalinfo[[#This Row],[Hospital Type]]</f>
        <v>Acute Care Hospitals</v>
      </c>
      <c r="D3793" t="str">
        <f>[1]!hospitalinfo[[#This Row],[Hospital Ownership]]</f>
        <v>Government - Hospital District or Authority</v>
      </c>
      <c r="E3793" t="str" cm="1">
        <f t="array" ref="E3793">_xlfn.IFNA(_xlfn.XLOOKUP(1,([1]!hcahps[Facility ID] = clean[[#This Row],[Facility ID]]) * ([1]!hcahps[HCAHPS Measure ID] = "H_HSP_RATING_LINEAR_SCORE"), [1]!hcahps[HCAHPS Linear Mean Value]), "No Match")</f>
        <v>Not Available</v>
      </c>
      <c r="F3793" cm="1">
        <f t="array" ref="F3793">_xlfn.IFNA(_xlfn.XLOOKUP(1,([1]!readmissions[Facility ID] = clean[[#This Row],[Facility ID]]) * ([1]!readmissions[Measure ID] = "Hybrid_HWR"), [1]!readmissions[Score]), "No Match")</f>
        <v>15</v>
      </c>
    </row>
    <row r="3794" spans="1:6" x14ac:dyDescent="0.2">
      <c r="A3794">
        <f>[1]!hospitalinfo[[#This Row],[Facility ID]]</f>
        <v>370089</v>
      </c>
      <c r="B3794" t="str">
        <f>[1]!hospitalinfo[[#This Row],[State]]</f>
        <v>OK</v>
      </c>
      <c r="C3794" t="str">
        <f>[1]!hospitalinfo[[#This Row],[Hospital Type]]</f>
        <v>Acute Care Hospitals</v>
      </c>
      <c r="D3794" t="str">
        <f>[1]!hospitalinfo[[#This Row],[Hospital Ownership]]</f>
        <v>Government - Hospital District or Authority</v>
      </c>
      <c r="E3794" cm="1">
        <f t="array" ref="E3794">_xlfn.IFNA(_xlfn.XLOOKUP(1,([1]!hcahps[Facility ID] = clean[[#This Row],[Facility ID]]) * ([1]!hcahps[HCAHPS Measure ID] = "H_HSP_RATING_LINEAR_SCORE"), [1]!hcahps[HCAHPS Linear Mean Value]), "No Match")</f>
        <v>86</v>
      </c>
      <c r="F3794" cm="1">
        <f t="array" ref="F3794">_xlfn.IFNA(_xlfn.XLOOKUP(1,([1]!readmissions[Facility ID] = clean[[#This Row],[Facility ID]]) * ([1]!readmissions[Measure ID] = "Hybrid_HWR"), [1]!readmissions[Score]), "No Match")</f>
        <v>15</v>
      </c>
    </row>
    <row r="3795" spans="1:6" x14ac:dyDescent="0.2">
      <c r="A3795">
        <f>[1]!hospitalinfo[[#This Row],[Facility ID]]</f>
        <v>370091</v>
      </c>
      <c r="B3795" t="str">
        <f>[1]!hospitalinfo[[#This Row],[State]]</f>
        <v>OK</v>
      </c>
      <c r="C3795" t="str">
        <f>[1]!hospitalinfo[[#This Row],[Hospital Type]]</f>
        <v>Acute Care Hospitals</v>
      </c>
      <c r="D3795" t="str">
        <f>[1]!hospitalinfo[[#This Row],[Hospital Ownership]]</f>
        <v>Voluntary non-profit - Private</v>
      </c>
      <c r="E3795" cm="1">
        <f t="array" ref="E3795">_xlfn.IFNA(_xlfn.XLOOKUP(1,([1]!hcahps[Facility ID] = clean[[#This Row],[Facility ID]]) * ([1]!hcahps[HCAHPS Measure ID] = "H_HSP_RATING_LINEAR_SCORE"), [1]!hcahps[HCAHPS Linear Mean Value]), "No Match")</f>
        <v>91</v>
      </c>
      <c r="F3795" cm="1">
        <f t="array" ref="F3795">_xlfn.IFNA(_xlfn.XLOOKUP(1,([1]!readmissions[Facility ID] = clean[[#This Row],[Facility ID]]) * ([1]!readmissions[Measure ID] = "Hybrid_HWR"), [1]!readmissions[Score]), "No Match")</f>
        <v>14.2</v>
      </c>
    </row>
    <row r="3796" spans="1:6" x14ac:dyDescent="0.2">
      <c r="A3796">
        <f>[1]!hospitalinfo[[#This Row],[Facility ID]]</f>
        <v>370093</v>
      </c>
      <c r="B3796" t="str">
        <f>[1]!hospitalinfo[[#This Row],[State]]</f>
        <v>OK</v>
      </c>
      <c r="C3796" t="str">
        <f>[1]!hospitalinfo[[#This Row],[Hospital Type]]</f>
        <v>Acute Care Hospitals</v>
      </c>
      <c r="D3796" t="str">
        <f>[1]!hospitalinfo[[#This Row],[Hospital Ownership]]</f>
        <v>Voluntary non-profit - Private</v>
      </c>
      <c r="E3796" cm="1">
        <f t="array" ref="E3796">_xlfn.IFNA(_xlfn.XLOOKUP(1,([1]!hcahps[Facility ID] = clean[[#This Row],[Facility ID]]) * ([1]!hcahps[HCAHPS Measure ID] = "H_HSP_RATING_LINEAR_SCORE"), [1]!hcahps[HCAHPS Linear Mean Value]), "No Match")</f>
        <v>83</v>
      </c>
      <c r="F3796" cm="1">
        <f t="array" ref="F3796">_xlfn.IFNA(_xlfn.XLOOKUP(1,([1]!readmissions[Facility ID] = clean[[#This Row],[Facility ID]]) * ([1]!readmissions[Measure ID] = "Hybrid_HWR"), [1]!readmissions[Score]), "No Match")</f>
        <v>16.3</v>
      </c>
    </row>
    <row r="3797" spans="1:6" x14ac:dyDescent="0.2">
      <c r="A3797">
        <f>[1]!hospitalinfo[[#This Row],[Facility ID]]</f>
        <v>370094</v>
      </c>
      <c r="B3797" t="str">
        <f>[1]!hospitalinfo[[#This Row],[State]]</f>
        <v>OK</v>
      </c>
      <c r="C3797" t="str">
        <f>[1]!hospitalinfo[[#This Row],[Hospital Type]]</f>
        <v>Acute Care Hospitals</v>
      </c>
      <c r="D3797" t="str">
        <f>[1]!hospitalinfo[[#This Row],[Hospital Ownership]]</f>
        <v>Voluntary non-profit - Private</v>
      </c>
      <c r="E3797" cm="1">
        <f t="array" ref="E3797">_xlfn.IFNA(_xlfn.XLOOKUP(1,([1]!hcahps[Facility ID] = clean[[#This Row],[Facility ID]]) * ([1]!hcahps[HCAHPS Measure ID] = "H_HSP_RATING_LINEAR_SCORE"), [1]!hcahps[HCAHPS Linear Mean Value]), "No Match")</f>
        <v>85</v>
      </c>
      <c r="F3797" cm="1">
        <f t="array" ref="F3797">_xlfn.IFNA(_xlfn.XLOOKUP(1,([1]!readmissions[Facility ID] = clean[[#This Row],[Facility ID]]) * ([1]!readmissions[Measure ID] = "Hybrid_HWR"), [1]!readmissions[Score]), "No Match")</f>
        <v>15.4</v>
      </c>
    </row>
    <row r="3798" spans="1:6" x14ac:dyDescent="0.2">
      <c r="A3798">
        <f>[1]!hospitalinfo[[#This Row],[Facility ID]]</f>
        <v>370097</v>
      </c>
      <c r="B3798" t="str">
        <f>[1]!hospitalinfo[[#This Row],[State]]</f>
        <v>OK</v>
      </c>
      <c r="C3798" t="str">
        <f>[1]!hospitalinfo[[#This Row],[Hospital Type]]</f>
        <v>Acute Care Hospitals</v>
      </c>
      <c r="D3798" t="str">
        <f>[1]!hospitalinfo[[#This Row],[Hospital Ownership]]</f>
        <v>Proprietary</v>
      </c>
      <c r="E3798" cm="1">
        <f t="array" ref="E3798">_xlfn.IFNA(_xlfn.XLOOKUP(1,([1]!hcahps[Facility ID] = clean[[#This Row],[Facility ID]]) * ([1]!hcahps[HCAHPS Measure ID] = "H_HSP_RATING_LINEAR_SCORE"), [1]!hcahps[HCAHPS Linear Mean Value]), "No Match")</f>
        <v>85</v>
      </c>
      <c r="F3798" cm="1">
        <f t="array" ref="F3798">_xlfn.IFNA(_xlfn.XLOOKUP(1,([1]!readmissions[Facility ID] = clean[[#This Row],[Facility ID]]) * ([1]!readmissions[Measure ID] = "Hybrid_HWR"), [1]!readmissions[Score]), "No Match")</f>
        <v>15.3</v>
      </c>
    </row>
    <row r="3799" spans="1:6" x14ac:dyDescent="0.2">
      <c r="A3799">
        <f>[1]!hospitalinfo[[#This Row],[Facility ID]]</f>
        <v>370099</v>
      </c>
      <c r="B3799" t="str">
        <f>[1]!hospitalinfo[[#This Row],[State]]</f>
        <v>OK</v>
      </c>
      <c r="C3799" t="str">
        <f>[1]!hospitalinfo[[#This Row],[Hospital Type]]</f>
        <v>Acute Care Hospitals</v>
      </c>
      <c r="D3799" t="str">
        <f>[1]!hospitalinfo[[#This Row],[Hospital Ownership]]</f>
        <v>Proprietary</v>
      </c>
      <c r="E3799" t="str" cm="1">
        <f t="array" ref="E3799">_xlfn.IFNA(_xlfn.XLOOKUP(1,([1]!hcahps[Facility ID] = clean[[#This Row],[Facility ID]]) * ([1]!hcahps[HCAHPS Measure ID] = "H_HSP_RATING_LINEAR_SCORE"), [1]!hcahps[HCAHPS Linear Mean Value]), "No Match")</f>
        <v>Not Available</v>
      </c>
      <c r="F3799" cm="1">
        <f t="array" ref="F3799">_xlfn.IFNA(_xlfn.XLOOKUP(1,([1]!readmissions[Facility ID] = clean[[#This Row],[Facility ID]]) * ([1]!readmissions[Measure ID] = "Hybrid_HWR"), [1]!readmissions[Score]), "No Match")</f>
        <v>15</v>
      </c>
    </row>
    <row r="3800" spans="1:6" x14ac:dyDescent="0.2">
      <c r="A3800">
        <f>[1]!hospitalinfo[[#This Row],[Facility ID]]</f>
        <v>370100</v>
      </c>
      <c r="B3800" t="str">
        <f>[1]!hospitalinfo[[#This Row],[State]]</f>
        <v>OK</v>
      </c>
      <c r="C3800" t="str">
        <f>[1]!hospitalinfo[[#This Row],[Hospital Type]]</f>
        <v>Acute Care Hospitals</v>
      </c>
      <c r="D3800" t="str">
        <f>[1]!hospitalinfo[[#This Row],[Hospital Ownership]]</f>
        <v>Voluntary non-profit - Other</v>
      </c>
      <c r="E3800" t="str" cm="1">
        <f t="array" ref="E3800">_xlfn.IFNA(_xlfn.XLOOKUP(1,([1]!hcahps[Facility ID] = clean[[#This Row],[Facility ID]]) * ([1]!hcahps[HCAHPS Measure ID] = "H_HSP_RATING_LINEAR_SCORE"), [1]!hcahps[HCAHPS Linear Mean Value]), "No Match")</f>
        <v>Not Available</v>
      </c>
      <c r="F3800" cm="1">
        <f t="array" ref="F3800">_xlfn.IFNA(_xlfn.XLOOKUP(1,([1]!readmissions[Facility ID] = clean[[#This Row],[Facility ID]]) * ([1]!readmissions[Measure ID] = "Hybrid_HWR"), [1]!readmissions[Score]), "No Match")</f>
        <v>15.2</v>
      </c>
    </row>
    <row r="3801" spans="1:6" x14ac:dyDescent="0.2">
      <c r="A3801">
        <f>[1]!hospitalinfo[[#This Row],[Facility ID]]</f>
        <v>370106</v>
      </c>
      <c r="B3801" t="str">
        <f>[1]!hospitalinfo[[#This Row],[State]]</f>
        <v>OK</v>
      </c>
      <c r="C3801" t="str">
        <f>[1]!hospitalinfo[[#This Row],[Hospital Type]]</f>
        <v>Acute Care Hospitals</v>
      </c>
      <c r="D3801" t="str">
        <f>[1]!hospitalinfo[[#This Row],[Hospital Ownership]]</f>
        <v>Voluntary non-profit - Private</v>
      </c>
      <c r="E3801" cm="1">
        <f t="array" ref="E3801">_xlfn.IFNA(_xlfn.XLOOKUP(1,([1]!hcahps[Facility ID] = clean[[#This Row],[Facility ID]]) * ([1]!hcahps[HCAHPS Measure ID] = "H_HSP_RATING_LINEAR_SCORE"), [1]!hcahps[HCAHPS Linear Mean Value]), "No Match")</f>
        <v>86</v>
      </c>
      <c r="F3801" cm="1">
        <f t="array" ref="F3801">_xlfn.IFNA(_xlfn.XLOOKUP(1,([1]!readmissions[Facility ID] = clean[[#This Row],[Facility ID]]) * ([1]!readmissions[Measure ID] = "Hybrid_HWR"), [1]!readmissions[Score]), "No Match")</f>
        <v>15.1</v>
      </c>
    </row>
    <row r="3802" spans="1:6" x14ac:dyDescent="0.2">
      <c r="A3802">
        <f>[1]!hospitalinfo[[#This Row],[Facility ID]]</f>
        <v>370112</v>
      </c>
      <c r="B3802" t="str">
        <f>[1]!hospitalinfo[[#This Row],[State]]</f>
        <v>OK</v>
      </c>
      <c r="C3802" t="str">
        <f>[1]!hospitalinfo[[#This Row],[Hospital Type]]</f>
        <v>Acute Care Hospitals</v>
      </c>
      <c r="D3802" t="str">
        <f>[1]!hospitalinfo[[#This Row],[Hospital Ownership]]</f>
        <v>Government - Local</v>
      </c>
      <c r="E3802" t="str" cm="1">
        <f t="array" ref="E3802">_xlfn.IFNA(_xlfn.XLOOKUP(1,([1]!hcahps[Facility ID] = clean[[#This Row],[Facility ID]]) * ([1]!hcahps[HCAHPS Measure ID] = "H_HSP_RATING_LINEAR_SCORE"), [1]!hcahps[HCAHPS Linear Mean Value]), "No Match")</f>
        <v>Not Available</v>
      </c>
      <c r="F3802" cm="1">
        <f t="array" ref="F3802">_xlfn.IFNA(_xlfn.XLOOKUP(1,([1]!readmissions[Facility ID] = clean[[#This Row],[Facility ID]]) * ([1]!readmissions[Measure ID] = "Hybrid_HWR"), [1]!readmissions[Score]), "No Match")</f>
        <v>15.2</v>
      </c>
    </row>
    <row r="3803" spans="1:6" x14ac:dyDescent="0.2">
      <c r="A3803">
        <f>[1]!hospitalinfo[[#This Row],[Facility ID]]</f>
        <v>370113</v>
      </c>
      <c r="B3803" t="str">
        <f>[1]!hospitalinfo[[#This Row],[State]]</f>
        <v>OK</v>
      </c>
      <c r="C3803" t="str">
        <f>[1]!hospitalinfo[[#This Row],[Hospital Type]]</f>
        <v>Acute Care Hospitals</v>
      </c>
      <c r="D3803" t="str">
        <f>[1]!hospitalinfo[[#This Row],[Hospital Ownership]]</f>
        <v>Voluntary non-profit - Private</v>
      </c>
      <c r="E3803" cm="1">
        <f t="array" ref="E3803">_xlfn.IFNA(_xlfn.XLOOKUP(1,([1]!hcahps[Facility ID] = clean[[#This Row],[Facility ID]]) * ([1]!hcahps[HCAHPS Measure ID] = "H_HSP_RATING_LINEAR_SCORE"), [1]!hcahps[HCAHPS Linear Mean Value]), "No Match")</f>
        <v>89</v>
      </c>
      <c r="F3803" cm="1">
        <f t="array" ref="F3803">_xlfn.IFNA(_xlfn.XLOOKUP(1,([1]!readmissions[Facility ID] = clean[[#This Row],[Facility ID]]) * ([1]!readmissions[Measure ID] = "Hybrid_HWR"), [1]!readmissions[Score]), "No Match")</f>
        <v>14.6</v>
      </c>
    </row>
    <row r="3804" spans="1:6" x14ac:dyDescent="0.2">
      <c r="A3804">
        <f>[1]!hospitalinfo[[#This Row],[Facility ID]]</f>
        <v>370114</v>
      </c>
      <c r="B3804" t="str">
        <f>[1]!hospitalinfo[[#This Row],[State]]</f>
        <v>OK</v>
      </c>
      <c r="C3804" t="str">
        <f>[1]!hospitalinfo[[#This Row],[Hospital Type]]</f>
        <v>Acute Care Hospitals</v>
      </c>
      <c r="D3804" t="str">
        <f>[1]!hospitalinfo[[#This Row],[Hospital Ownership]]</f>
        <v>Voluntary non-profit - Private</v>
      </c>
      <c r="E3804" cm="1">
        <f t="array" ref="E3804">_xlfn.IFNA(_xlfn.XLOOKUP(1,([1]!hcahps[Facility ID] = clean[[#This Row],[Facility ID]]) * ([1]!hcahps[HCAHPS Measure ID] = "H_HSP_RATING_LINEAR_SCORE"), [1]!hcahps[HCAHPS Linear Mean Value]), "No Match")</f>
        <v>83</v>
      </c>
      <c r="F3804" cm="1">
        <f t="array" ref="F3804">_xlfn.IFNA(_xlfn.XLOOKUP(1,([1]!readmissions[Facility ID] = clean[[#This Row],[Facility ID]]) * ([1]!readmissions[Measure ID] = "Hybrid_HWR"), [1]!readmissions[Score]), "No Match")</f>
        <v>13.8</v>
      </c>
    </row>
    <row r="3805" spans="1:6" x14ac:dyDescent="0.2">
      <c r="A3805">
        <f>[1]!hospitalinfo[[#This Row],[Facility ID]]</f>
        <v>370149</v>
      </c>
      <c r="B3805" t="str">
        <f>[1]!hospitalinfo[[#This Row],[State]]</f>
        <v>OK</v>
      </c>
      <c r="C3805" t="str">
        <f>[1]!hospitalinfo[[#This Row],[Hospital Type]]</f>
        <v>Acute Care Hospitals</v>
      </c>
      <c r="D3805" t="str">
        <f>[1]!hospitalinfo[[#This Row],[Hospital Ownership]]</f>
        <v>Voluntary non-profit - Private</v>
      </c>
      <c r="E3805" cm="1">
        <f t="array" ref="E3805">_xlfn.IFNA(_xlfn.XLOOKUP(1,([1]!hcahps[Facility ID] = clean[[#This Row],[Facility ID]]) * ([1]!hcahps[HCAHPS Measure ID] = "H_HSP_RATING_LINEAR_SCORE"), [1]!hcahps[HCAHPS Linear Mean Value]), "No Match")</f>
        <v>90</v>
      </c>
      <c r="F3805" cm="1">
        <f t="array" ref="F3805">_xlfn.IFNA(_xlfn.XLOOKUP(1,([1]!readmissions[Facility ID] = clean[[#This Row],[Facility ID]]) * ([1]!readmissions[Measure ID] = "Hybrid_HWR"), [1]!readmissions[Score]), "No Match")</f>
        <v>13.7</v>
      </c>
    </row>
    <row r="3806" spans="1:6" x14ac:dyDescent="0.2">
      <c r="A3806">
        <f>[1]!hospitalinfo[[#This Row],[Facility ID]]</f>
        <v>370158</v>
      </c>
      <c r="B3806" t="str">
        <f>[1]!hospitalinfo[[#This Row],[State]]</f>
        <v>OK</v>
      </c>
      <c r="C3806" t="str">
        <f>[1]!hospitalinfo[[#This Row],[Hospital Type]]</f>
        <v>Acute Care Hospitals</v>
      </c>
      <c r="D3806" t="str">
        <f>[1]!hospitalinfo[[#This Row],[Hospital Ownership]]</f>
        <v>Government - Local</v>
      </c>
      <c r="E3806" t="str" cm="1">
        <f t="array" ref="E3806">_xlfn.IFNA(_xlfn.XLOOKUP(1,([1]!hcahps[Facility ID] = clean[[#This Row],[Facility ID]]) * ([1]!hcahps[HCAHPS Measure ID] = "H_HSP_RATING_LINEAR_SCORE"), [1]!hcahps[HCAHPS Linear Mean Value]), "No Match")</f>
        <v>Not Available</v>
      </c>
      <c r="F3806" cm="1">
        <f t="array" ref="F3806">_xlfn.IFNA(_xlfn.XLOOKUP(1,([1]!readmissions[Facility ID] = clean[[#This Row],[Facility ID]]) * ([1]!readmissions[Measure ID] = "Hybrid_HWR"), [1]!readmissions[Score]), "No Match")</f>
        <v>14.9</v>
      </c>
    </row>
    <row r="3807" spans="1:6" x14ac:dyDescent="0.2">
      <c r="A3807">
        <f>[1]!hospitalinfo[[#This Row],[Facility ID]]</f>
        <v>370166</v>
      </c>
      <c r="B3807" t="str">
        <f>[1]!hospitalinfo[[#This Row],[State]]</f>
        <v>OK</v>
      </c>
      <c r="C3807" t="str">
        <f>[1]!hospitalinfo[[#This Row],[Hospital Type]]</f>
        <v>Acute Care Hospitals</v>
      </c>
      <c r="D3807" t="str">
        <f>[1]!hospitalinfo[[#This Row],[Hospital Ownership]]</f>
        <v>Government - Hospital District or Authority</v>
      </c>
      <c r="E3807" t="str" cm="1">
        <f t="array" ref="E3807">_xlfn.IFNA(_xlfn.XLOOKUP(1,([1]!hcahps[Facility ID] = clean[[#This Row],[Facility ID]]) * ([1]!hcahps[HCAHPS Measure ID] = "H_HSP_RATING_LINEAR_SCORE"), [1]!hcahps[HCAHPS Linear Mean Value]), "No Match")</f>
        <v>Not Available</v>
      </c>
      <c r="F3807" cm="1">
        <f t="array" ref="F3807">_xlfn.IFNA(_xlfn.XLOOKUP(1,([1]!readmissions[Facility ID] = clean[[#This Row],[Facility ID]]) * ([1]!readmissions[Measure ID] = "Hybrid_HWR"), [1]!readmissions[Score]), "No Match")</f>
        <v>15</v>
      </c>
    </row>
    <row r="3808" spans="1:6" x14ac:dyDescent="0.2">
      <c r="A3808">
        <f>[1]!hospitalinfo[[#This Row],[Facility ID]]</f>
        <v>370170</v>
      </c>
      <c r="B3808" t="str">
        <f>[1]!hospitalinfo[[#This Row],[State]]</f>
        <v>OK</v>
      </c>
      <c r="C3808" t="str">
        <f>[1]!hospitalinfo[[#This Row],[Hospital Type]]</f>
        <v>Acute Care Hospitals</v>
      </c>
      <c r="D3808" t="str">
        <f>[1]!hospitalinfo[[#This Row],[Hospital Ownership]]</f>
        <v>Tribal</v>
      </c>
      <c r="E3808" t="str" cm="1">
        <f t="array" ref="E3808">_xlfn.IFNA(_xlfn.XLOOKUP(1,([1]!hcahps[Facility ID] = clean[[#This Row],[Facility ID]]) * ([1]!hcahps[HCAHPS Measure ID] = "H_HSP_RATING_LINEAR_SCORE"), [1]!hcahps[HCAHPS Linear Mean Value]), "No Match")</f>
        <v>Not Available</v>
      </c>
      <c r="F3808" cm="1">
        <f t="array" ref="F3808">_xlfn.IFNA(_xlfn.XLOOKUP(1,([1]!readmissions[Facility ID] = clean[[#This Row],[Facility ID]]) * ([1]!readmissions[Measure ID] = "Hybrid_HWR"), [1]!readmissions[Score]), "No Match")</f>
        <v>14.6</v>
      </c>
    </row>
    <row r="3809" spans="1:6" x14ac:dyDescent="0.2">
      <c r="A3809">
        <f>[1]!hospitalinfo[[#This Row],[Facility ID]]</f>
        <v>370171</v>
      </c>
      <c r="B3809" t="str">
        <f>[1]!hospitalinfo[[#This Row],[State]]</f>
        <v>OK</v>
      </c>
      <c r="C3809" t="str">
        <f>[1]!hospitalinfo[[#This Row],[Hospital Type]]</f>
        <v>Acute Care Hospitals</v>
      </c>
      <c r="D3809" t="str">
        <f>[1]!hospitalinfo[[#This Row],[Hospital Ownership]]</f>
        <v>Voluntary non-profit - Other</v>
      </c>
      <c r="E3809" cm="1">
        <f t="array" ref="E3809">_xlfn.IFNA(_xlfn.XLOOKUP(1,([1]!hcahps[Facility ID] = clean[[#This Row],[Facility ID]]) * ([1]!hcahps[HCAHPS Measure ID] = "H_HSP_RATING_LINEAR_SCORE"), [1]!hcahps[HCAHPS Linear Mean Value]), "No Match")</f>
        <v>88</v>
      </c>
      <c r="F3809" cm="1">
        <f t="array" ref="F3809">_xlfn.IFNA(_xlfn.XLOOKUP(1,([1]!readmissions[Facility ID] = clean[[#This Row],[Facility ID]]) * ([1]!readmissions[Measure ID] = "Hybrid_HWR"), [1]!readmissions[Score]), "No Match")</f>
        <v>14.8</v>
      </c>
    </row>
    <row r="3810" spans="1:6" x14ac:dyDescent="0.2">
      <c r="A3810">
        <f>[1]!hospitalinfo[[#This Row],[Facility ID]]</f>
        <v>370172</v>
      </c>
      <c r="B3810" t="str">
        <f>[1]!hospitalinfo[[#This Row],[State]]</f>
        <v>OK</v>
      </c>
      <c r="C3810" t="str">
        <f>[1]!hospitalinfo[[#This Row],[Hospital Type]]</f>
        <v>Acute Care Hospitals</v>
      </c>
      <c r="D3810" t="str">
        <f>[1]!hospitalinfo[[#This Row],[Hospital Ownership]]</f>
        <v>Tribal</v>
      </c>
      <c r="E3810" t="str" cm="1">
        <f t="array" ref="E3810">_xlfn.IFNA(_xlfn.XLOOKUP(1,([1]!hcahps[Facility ID] = clean[[#This Row],[Facility ID]]) * ([1]!hcahps[HCAHPS Measure ID] = "H_HSP_RATING_LINEAR_SCORE"), [1]!hcahps[HCAHPS Linear Mean Value]), "No Match")</f>
        <v>Not Available</v>
      </c>
      <c r="F3810" cm="1">
        <f t="array" ref="F3810">_xlfn.IFNA(_xlfn.XLOOKUP(1,([1]!readmissions[Facility ID] = clean[[#This Row],[Facility ID]]) * ([1]!readmissions[Measure ID] = "Hybrid_HWR"), [1]!readmissions[Score]), "No Match")</f>
        <v>14.5</v>
      </c>
    </row>
    <row r="3811" spans="1:6" x14ac:dyDescent="0.2">
      <c r="A3811">
        <f>[1]!hospitalinfo[[#This Row],[Facility ID]]</f>
        <v>370173</v>
      </c>
      <c r="B3811" t="str">
        <f>[1]!hospitalinfo[[#This Row],[State]]</f>
        <v>OK</v>
      </c>
      <c r="C3811" t="str">
        <f>[1]!hospitalinfo[[#This Row],[Hospital Type]]</f>
        <v>Acute Care Hospitals</v>
      </c>
      <c r="D3811" t="str">
        <f>[1]!hospitalinfo[[#This Row],[Hospital Ownership]]</f>
        <v>Government - Federal</v>
      </c>
      <c r="E3811" t="str" cm="1">
        <f t="array" ref="E3811">_xlfn.IFNA(_xlfn.XLOOKUP(1,([1]!hcahps[Facility ID] = clean[[#This Row],[Facility ID]]) * ([1]!hcahps[HCAHPS Measure ID] = "H_HSP_RATING_LINEAR_SCORE"), [1]!hcahps[HCAHPS Linear Mean Value]), "No Match")</f>
        <v>Not Available</v>
      </c>
      <c r="F3811" cm="1">
        <f t="array" ref="F3811">_xlfn.IFNA(_xlfn.XLOOKUP(1,([1]!readmissions[Facility ID] = clean[[#This Row],[Facility ID]]) * ([1]!readmissions[Measure ID] = "Hybrid_HWR"), [1]!readmissions[Score]), "No Match")</f>
        <v>14.7</v>
      </c>
    </row>
    <row r="3812" spans="1:6" x14ac:dyDescent="0.2">
      <c r="A3812">
        <f>[1]!hospitalinfo[[#This Row],[Facility ID]]</f>
        <v>370178</v>
      </c>
      <c r="B3812" t="str">
        <f>[1]!hospitalinfo[[#This Row],[State]]</f>
        <v>OK</v>
      </c>
      <c r="C3812" t="str">
        <f>[1]!hospitalinfo[[#This Row],[Hospital Type]]</f>
        <v>Acute Care Hospitals</v>
      </c>
      <c r="D3812" t="str">
        <f>[1]!hospitalinfo[[#This Row],[Hospital Ownership]]</f>
        <v>Voluntary non-profit - Private</v>
      </c>
      <c r="E3812" t="str" cm="1">
        <f t="array" ref="E3812">_xlfn.IFNA(_xlfn.XLOOKUP(1,([1]!hcahps[Facility ID] = clean[[#This Row],[Facility ID]]) * ([1]!hcahps[HCAHPS Measure ID] = "H_HSP_RATING_LINEAR_SCORE"), [1]!hcahps[HCAHPS Linear Mean Value]), "No Match")</f>
        <v>Not Available</v>
      </c>
      <c r="F3812" cm="1">
        <f t="array" ref="F3812">_xlfn.IFNA(_xlfn.XLOOKUP(1,([1]!readmissions[Facility ID] = clean[[#This Row],[Facility ID]]) * ([1]!readmissions[Measure ID] = "Hybrid_HWR"), [1]!readmissions[Score]), "No Match")</f>
        <v>14.8</v>
      </c>
    </row>
    <row r="3813" spans="1:6" x14ac:dyDescent="0.2">
      <c r="A3813">
        <f>[1]!hospitalinfo[[#This Row],[Facility ID]]</f>
        <v>370180</v>
      </c>
      <c r="B3813" t="str">
        <f>[1]!hospitalinfo[[#This Row],[State]]</f>
        <v>OK</v>
      </c>
      <c r="C3813" t="str">
        <f>[1]!hospitalinfo[[#This Row],[Hospital Type]]</f>
        <v>Acute Care Hospitals</v>
      </c>
      <c r="D3813" t="str">
        <f>[1]!hospitalinfo[[#This Row],[Hospital Ownership]]</f>
        <v>Voluntary non-profit - Other</v>
      </c>
      <c r="E3813" cm="1">
        <f t="array" ref="E3813">_xlfn.IFNA(_xlfn.XLOOKUP(1,([1]!hcahps[Facility ID] = clean[[#This Row],[Facility ID]]) * ([1]!hcahps[HCAHPS Measure ID] = "H_HSP_RATING_LINEAR_SCORE"), [1]!hcahps[HCAHPS Linear Mean Value]), "No Match")</f>
        <v>95</v>
      </c>
      <c r="F3813" cm="1">
        <f t="array" ref="F3813">_xlfn.IFNA(_xlfn.XLOOKUP(1,([1]!readmissions[Facility ID] = clean[[#This Row],[Facility ID]]) * ([1]!readmissions[Measure ID] = "Hybrid_HWR"), [1]!readmissions[Score]), "No Match")</f>
        <v>14.2</v>
      </c>
    </row>
    <row r="3814" spans="1:6" x14ac:dyDescent="0.2">
      <c r="A3814">
        <f>[1]!hospitalinfo[[#This Row],[Facility ID]]</f>
        <v>370183</v>
      </c>
      <c r="B3814" t="str">
        <f>[1]!hospitalinfo[[#This Row],[State]]</f>
        <v>OK</v>
      </c>
      <c r="C3814" t="str">
        <f>[1]!hospitalinfo[[#This Row],[Hospital Type]]</f>
        <v>Acute Care Hospitals</v>
      </c>
      <c r="D3814" t="str">
        <f>[1]!hospitalinfo[[#This Row],[Hospital Ownership]]</f>
        <v>Proprietary</v>
      </c>
      <c r="E3814" t="str" cm="1">
        <f t="array" ref="E3814">_xlfn.IFNA(_xlfn.XLOOKUP(1,([1]!hcahps[Facility ID] = clean[[#This Row],[Facility ID]]) * ([1]!hcahps[HCAHPS Measure ID] = "H_HSP_RATING_LINEAR_SCORE"), [1]!hcahps[HCAHPS Linear Mean Value]), "No Match")</f>
        <v>Not Available</v>
      </c>
      <c r="F3814" cm="1">
        <f t="array" ref="F3814">_xlfn.IFNA(_xlfn.XLOOKUP(1,([1]!readmissions[Facility ID] = clean[[#This Row],[Facility ID]]) * ([1]!readmissions[Measure ID] = "Hybrid_HWR"), [1]!readmissions[Score]), "No Match")</f>
        <v>14.7</v>
      </c>
    </row>
    <row r="3815" spans="1:6" x14ac:dyDescent="0.2">
      <c r="A3815">
        <f>[1]!hospitalinfo[[#This Row],[Facility ID]]</f>
        <v>370192</v>
      </c>
      <c r="B3815" t="str">
        <f>[1]!hospitalinfo[[#This Row],[State]]</f>
        <v>OK</v>
      </c>
      <c r="C3815" t="str">
        <f>[1]!hospitalinfo[[#This Row],[Hospital Type]]</f>
        <v>Acute Care Hospitals</v>
      </c>
      <c r="D3815" t="str">
        <f>[1]!hospitalinfo[[#This Row],[Hospital Ownership]]</f>
        <v>Physician</v>
      </c>
      <c r="E3815" t="str" cm="1">
        <f t="array" ref="E3815">_xlfn.IFNA(_xlfn.XLOOKUP(1,([1]!hcahps[Facility ID] = clean[[#This Row],[Facility ID]]) * ([1]!hcahps[HCAHPS Measure ID] = "H_HSP_RATING_LINEAR_SCORE"), [1]!hcahps[HCAHPS Linear Mean Value]), "No Match")</f>
        <v>Not Available</v>
      </c>
      <c r="F3815" cm="1">
        <f t="array" ref="F3815">_xlfn.IFNA(_xlfn.XLOOKUP(1,([1]!readmissions[Facility ID] = clean[[#This Row],[Facility ID]]) * ([1]!readmissions[Measure ID] = "Hybrid_HWR"), [1]!readmissions[Score]), "No Match")</f>
        <v>14.6</v>
      </c>
    </row>
    <row r="3816" spans="1:6" x14ac:dyDescent="0.2">
      <c r="A3816">
        <f>[1]!hospitalinfo[[#This Row],[Facility ID]]</f>
        <v>370199</v>
      </c>
      <c r="B3816" t="str">
        <f>[1]!hospitalinfo[[#This Row],[State]]</f>
        <v>OK</v>
      </c>
      <c r="C3816" t="str">
        <f>[1]!hospitalinfo[[#This Row],[Hospital Type]]</f>
        <v>Acute Care Hospitals</v>
      </c>
      <c r="D3816" t="str">
        <f>[1]!hospitalinfo[[#This Row],[Hospital Ownership]]</f>
        <v>Voluntary non-profit - Private</v>
      </c>
      <c r="E3816" cm="1">
        <f t="array" ref="E3816">_xlfn.IFNA(_xlfn.XLOOKUP(1,([1]!hcahps[Facility ID] = clean[[#This Row],[Facility ID]]) * ([1]!hcahps[HCAHPS Measure ID] = "H_HSP_RATING_LINEAR_SCORE"), [1]!hcahps[HCAHPS Linear Mean Value]), "No Match")</f>
        <v>91</v>
      </c>
      <c r="F3816" t="str" cm="1">
        <f t="array" ref="F3816">_xlfn.IFNA(_xlfn.XLOOKUP(1,([1]!readmissions[Facility ID] = clean[[#This Row],[Facility ID]]) * ([1]!readmissions[Measure ID] = "Hybrid_HWR"), [1]!readmissions[Score]), "No Match")</f>
        <v>Not Available</v>
      </c>
    </row>
    <row r="3817" spans="1:6" x14ac:dyDescent="0.2">
      <c r="A3817">
        <f>[1]!hospitalinfo[[#This Row],[Facility ID]]</f>
        <v>370201</v>
      </c>
      <c r="B3817" t="str">
        <f>[1]!hospitalinfo[[#This Row],[State]]</f>
        <v>OK</v>
      </c>
      <c r="C3817" t="str">
        <f>[1]!hospitalinfo[[#This Row],[Hospital Type]]</f>
        <v>Acute Care Hospitals</v>
      </c>
      <c r="D3817" t="str">
        <f>[1]!hospitalinfo[[#This Row],[Hospital Ownership]]</f>
        <v>Physician</v>
      </c>
      <c r="E3817" t="str" cm="1">
        <f t="array" ref="E3817">_xlfn.IFNA(_xlfn.XLOOKUP(1,([1]!hcahps[Facility ID] = clean[[#This Row],[Facility ID]]) * ([1]!hcahps[HCAHPS Measure ID] = "H_HSP_RATING_LINEAR_SCORE"), [1]!hcahps[HCAHPS Linear Mean Value]), "No Match")</f>
        <v>Not Available</v>
      </c>
      <c r="F3817" cm="1">
        <f t="array" ref="F3817">_xlfn.IFNA(_xlfn.XLOOKUP(1,([1]!readmissions[Facility ID] = clean[[#This Row],[Facility ID]]) * ([1]!readmissions[Measure ID] = "Hybrid_HWR"), [1]!readmissions[Score]), "No Match")</f>
        <v>14.4</v>
      </c>
    </row>
    <row r="3818" spans="1:6" x14ac:dyDescent="0.2">
      <c r="A3818">
        <f>[1]!hospitalinfo[[#This Row],[Facility ID]]</f>
        <v>370202</v>
      </c>
      <c r="B3818" t="str">
        <f>[1]!hospitalinfo[[#This Row],[State]]</f>
        <v>OK</v>
      </c>
      <c r="C3818" t="str">
        <f>[1]!hospitalinfo[[#This Row],[Hospital Type]]</f>
        <v>Acute Care Hospitals</v>
      </c>
      <c r="D3818" t="str">
        <f>[1]!hospitalinfo[[#This Row],[Hospital Ownership]]</f>
        <v>Proprietary</v>
      </c>
      <c r="E3818" cm="1">
        <f t="array" ref="E3818">_xlfn.IFNA(_xlfn.XLOOKUP(1,([1]!hcahps[Facility ID] = clean[[#This Row],[Facility ID]]) * ([1]!hcahps[HCAHPS Measure ID] = "H_HSP_RATING_LINEAR_SCORE"), [1]!hcahps[HCAHPS Linear Mean Value]), "No Match")</f>
        <v>87</v>
      </c>
      <c r="F3818" cm="1">
        <f t="array" ref="F3818">_xlfn.IFNA(_xlfn.XLOOKUP(1,([1]!readmissions[Facility ID] = clean[[#This Row],[Facility ID]]) * ([1]!readmissions[Measure ID] = "Hybrid_HWR"), [1]!readmissions[Score]), "No Match")</f>
        <v>13</v>
      </c>
    </row>
    <row r="3819" spans="1:6" x14ac:dyDescent="0.2">
      <c r="A3819">
        <f>[1]!hospitalinfo[[#This Row],[Facility ID]]</f>
        <v>370203</v>
      </c>
      <c r="B3819" t="str">
        <f>[1]!hospitalinfo[[#This Row],[State]]</f>
        <v>OK</v>
      </c>
      <c r="C3819" t="str">
        <f>[1]!hospitalinfo[[#This Row],[Hospital Type]]</f>
        <v>Acute Care Hospitals</v>
      </c>
      <c r="D3819" t="str">
        <f>[1]!hospitalinfo[[#This Row],[Hospital Ownership]]</f>
        <v>Physician</v>
      </c>
      <c r="E3819" cm="1">
        <f t="array" ref="E3819">_xlfn.IFNA(_xlfn.XLOOKUP(1,([1]!hcahps[Facility ID] = clean[[#This Row],[Facility ID]]) * ([1]!hcahps[HCAHPS Measure ID] = "H_HSP_RATING_LINEAR_SCORE"), [1]!hcahps[HCAHPS Linear Mean Value]), "No Match")</f>
        <v>90</v>
      </c>
      <c r="F3819" cm="1">
        <f t="array" ref="F3819">_xlfn.IFNA(_xlfn.XLOOKUP(1,([1]!readmissions[Facility ID] = clean[[#This Row],[Facility ID]]) * ([1]!readmissions[Measure ID] = "Hybrid_HWR"), [1]!readmissions[Score]), "No Match")</f>
        <v>14.3</v>
      </c>
    </row>
    <row r="3820" spans="1:6" x14ac:dyDescent="0.2">
      <c r="A3820">
        <f>[1]!hospitalinfo[[#This Row],[Facility ID]]</f>
        <v>370206</v>
      </c>
      <c r="B3820" t="str">
        <f>[1]!hospitalinfo[[#This Row],[State]]</f>
        <v>OK</v>
      </c>
      <c r="C3820" t="str">
        <f>[1]!hospitalinfo[[#This Row],[Hospital Type]]</f>
        <v>Acute Care Hospitals</v>
      </c>
      <c r="D3820" t="str">
        <f>[1]!hospitalinfo[[#This Row],[Hospital Ownership]]</f>
        <v>Physician</v>
      </c>
      <c r="E3820" cm="1">
        <f t="array" ref="E3820">_xlfn.IFNA(_xlfn.XLOOKUP(1,([1]!hcahps[Facility ID] = clean[[#This Row],[Facility ID]]) * ([1]!hcahps[HCAHPS Measure ID] = "H_HSP_RATING_LINEAR_SCORE"), [1]!hcahps[HCAHPS Linear Mean Value]), "No Match")</f>
        <v>91</v>
      </c>
      <c r="F3820" cm="1">
        <f t="array" ref="F3820">_xlfn.IFNA(_xlfn.XLOOKUP(1,([1]!readmissions[Facility ID] = clean[[#This Row],[Facility ID]]) * ([1]!readmissions[Measure ID] = "Hybrid_HWR"), [1]!readmissions[Score]), "No Match")</f>
        <v>13.1</v>
      </c>
    </row>
    <row r="3821" spans="1:6" x14ac:dyDescent="0.2">
      <c r="A3821">
        <f>[1]!hospitalinfo[[#This Row],[Facility ID]]</f>
        <v>370210</v>
      </c>
      <c r="B3821" t="str">
        <f>[1]!hospitalinfo[[#This Row],[State]]</f>
        <v>OK</v>
      </c>
      <c r="C3821" t="str">
        <f>[1]!hospitalinfo[[#This Row],[Hospital Type]]</f>
        <v>Acute Care Hospitals</v>
      </c>
      <c r="D3821" t="str">
        <f>[1]!hospitalinfo[[#This Row],[Hospital Ownership]]</f>
        <v>Physician</v>
      </c>
      <c r="E3821" cm="1">
        <f t="array" ref="E3821">_xlfn.IFNA(_xlfn.XLOOKUP(1,([1]!hcahps[Facility ID] = clean[[#This Row],[Facility ID]]) * ([1]!hcahps[HCAHPS Measure ID] = "H_HSP_RATING_LINEAR_SCORE"), [1]!hcahps[HCAHPS Linear Mean Value]), "No Match")</f>
        <v>91</v>
      </c>
      <c r="F3821" cm="1">
        <f t="array" ref="F3821">_xlfn.IFNA(_xlfn.XLOOKUP(1,([1]!readmissions[Facility ID] = clean[[#This Row],[Facility ID]]) * ([1]!readmissions[Measure ID] = "Hybrid_HWR"), [1]!readmissions[Score]), "No Match")</f>
        <v>13.4</v>
      </c>
    </row>
    <row r="3822" spans="1:6" x14ac:dyDescent="0.2">
      <c r="A3822">
        <f>[1]!hospitalinfo[[#This Row],[Facility ID]]</f>
        <v>370211</v>
      </c>
      <c r="B3822" t="str">
        <f>[1]!hospitalinfo[[#This Row],[State]]</f>
        <v>OK</v>
      </c>
      <c r="C3822" t="str">
        <f>[1]!hospitalinfo[[#This Row],[Hospital Type]]</f>
        <v>Acute Care Hospitals</v>
      </c>
      <c r="D3822" t="str">
        <f>[1]!hospitalinfo[[#This Row],[Hospital Ownership]]</f>
        <v>Voluntary non-profit - Private</v>
      </c>
      <c r="E3822" cm="1">
        <f t="array" ref="E3822">_xlfn.IFNA(_xlfn.XLOOKUP(1,([1]!hcahps[Facility ID] = clean[[#This Row],[Facility ID]]) * ([1]!hcahps[HCAHPS Measure ID] = "H_HSP_RATING_LINEAR_SCORE"), [1]!hcahps[HCAHPS Linear Mean Value]), "No Match")</f>
        <v>89</v>
      </c>
      <c r="F3822" cm="1">
        <f t="array" ref="F3822">_xlfn.IFNA(_xlfn.XLOOKUP(1,([1]!readmissions[Facility ID] = clean[[#This Row],[Facility ID]]) * ([1]!readmissions[Measure ID] = "Hybrid_HWR"), [1]!readmissions[Score]), "No Match")</f>
        <v>14.7</v>
      </c>
    </row>
    <row r="3823" spans="1:6" x14ac:dyDescent="0.2">
      <c r="A3823">
        <f>[1]!hospitalinfo[[#This Row],[Facility ID]]</f>
        <v>370212</v>
      </c>
      <c r="B3823" t="str">
        <f>[1]!hospitalinfo[[#This Row],[State]]</f>
        <v>OK</v>
      </c>
      <c r="C3823" t="str">
        <f>[1]!hospitalinfo[[#This Row],[Hospital Type]]</f>
        <v>Acute Care Hospitals</v>
      </c>
      <c r="D3823" t="str">
        <f>[1]!hospitalinfo[[#This Row],[Hospital Ownership]]</f>
        <v>Physician</v>
      </c>
      <c r="E3823" t="str" cm="1">
        <f t="array" ref="E3823">_xlfn.IFNA(_xlfn.XLOOKUP(1,([1]!hcahps[Facility ID] = clean[[#This Row],[Facility ID]]) * ([1]!hcahps[HCAHPS Measure ID] = "H_HSP_RATING_LINEAR_SCORE"), [1]!hcahps[HCAHPS Linear Mean Value]), "No Match")</f>
        <v>Not Available</v>
      </c>
      <c r="F3823" cm="1">
        <f t="array" ref="F3823">_xlfn.IFNA(_xlfn.XLOOKUP(1,([1]!readmissions[Facility ID] = clean[[#This Row],[Facility ID]]) * ([1]!readmissions[Measure ID] = "Hybrid_HWR"), [1]!readmissions[Score]), "No Match")</f>
        <v>15.3</v>
      </c>
    </row>
    <row r="3824" spans="1:6" x14ac:dyDescent="0.2">
      <c r="A3824">
        <f>[1]!hospitalinfo[[#This Row],[Facility ID]]</f>
        <v>370214</v>
      </c>
      <c r="B3824" t="str">
        <f>[1]!hospitalinfo[[#This Row],[State]]</f>
        <v>OK</v>
      </c>
      <c r="C3824" t="str">
        <f>[1]!hospitalinfo[[#This Row],[Hospital Type]]</f>
        <v>Acute Care Hospitals</v>
      </c>
      <c r="D3824" t="str">
        <f>[1]!hospitalinfo[[#This Row],[Hospital Ownership]]</f>
        <v>Government - Hospital District or Authority</v>
      </c>
      <c r="E3824" t="str" cm="1">
        <f t="array" ref="E3824">_xlfn.IFNA(_xlfn.XLOOKUP(1,([1]!hcahps[Facility ID] = clean[[#This Row],[Facility ID]]) * ([1]!hcahps[HCAHPS Measure ID] = "H_HSP_RATING_LINEAR_SCORE"), [1]!hcahps[HCAHPS Linear Mean Value]), "No Match")</f>
        <v>Not Available</v>
      </c>
      <c r="F3824" t="str" cm="1">
        <f t="array" ref="F3824">_xlfn.IFNA(_xlfn.XLOOKUP(1,([1]!readmissions[Facility ID] = clean[[#This Row],[Facility ID]]) * ([1]!readmissions[Measure ID] = "Hybrid_HWR"), [1]!readmissions[Score]), "No Match")</f>
        <v>Not Available</v>
      </c>
    </row>
    <row r="3825" spans="1:6" x14ac:dyDescent="0.2">
      <c r="A3825">
        <f>[1]!hospitalinfo[[#This Row],[Facility ID]]</f>
        <v>370215</v>
      </c>
      <c r="B3825" t="str">
        <f>[1]!hospitalinfo[[#This Row],[State]]</f>
        <v>OK</v>
      </c>
      <c r="C3825" t="str">
        <f>[1]!hospitalinfo[[#This Row],[Hospital Type]]</f>
        <v>Acute Care Hospitals</v>
      </c>
      <c r="D3825" t="str">
        <f>[1]!hospitalinfo[[#This Row],[Hospital Ownership]]</f>
        <v>Physician</v>
      </c>
      <c r="E3825" cm="1">
        <f t="array" ref="E3825">_xlfn.IFNA(_xlfn.XLOOKUP(1,([1]!hcahps[Facility ID] = clean[[#This Row],[Facility ID]]) * ([1]!hcahps[HCAHPS Measure ID] = "H_HSP_RATING_LINEAR_SCORE"), [1]!hcahps[HCAHPS Linear Mean Value]), "No Match")</f>
        <v>95</v>
      </c>
      <c r="F3825" cm="1">
        <f t="array" ref="F3825">_xlfn.IFNA(_xlfn.XLOOKUP(1,([1]!readmissions[Facility ID] = clean[[#This Row],[Facility ID]]) * ([1]!readmissions[Measure ID] = "Hybrid_HWR"), [1]!readmissions[Score]), "No Match")</f>
        <v>15.8</v>
      </c>
    </row>
    <row r="3826" spans="1:6" x14ac:dyDescent="0.2">
      <c r="A3826">
        <f>[1]!hospitalinfo[[#This Row],[Facility ID]]</f>
        <v>370216</v>
      </c>
      <c r="B3826" t="str">
        <f>[1]!hospitalinfo[[#This Row],[State]]</f>
        <v>OK</v>
      </c>
      <c r="C3826" t="str">
        <f>[1]!hospitalinfo[[#This Row],[Hospital Type]]</f>
        <v>Acute Care Hospitals</v>
      </c>
      <c r="D3826" t="str">
        <f>[1]!hospitalinfo[[#This Row],[Hospital Ownership]]</f>
        <v>Proprietary</v>
      </c>
      <c r="E3826" cm="1">
        <f t="array" ref="E3826">_xlfn.IFNA(_xlfn.XLOOKUP(1,([1]!hcahps[Facility ID] = clean[[#This Row],[Facility ID]]) * ([1]!hcahps[HCAHPS Measure ID] = "H_HSP_RATING_LINEAR_SCORE"), [1]!hcahps[HCAHPS Linear Mean Value]), "No Match")</f>
        <v>96</v>
      </c>
      <c r="F3826" cm="1">
        <f t="array" ref="F3826">_xlfn.IFNA(_xlfn.XLOOKUP(1,([1]!readmissions[Facility ID] = clean[[#This Row],[Facility ID]]) * ([1]!readmissions[Measure ID] = "Hybrid_HWR"), [1]!readmissions[Score]), "No Match")</f>
        <v>15.3</v>
      </c>
    </row>
    <row r="3827" spans="1:6" x14ac:dyDescent="0.2">
      <c r="A3827">
        <f>[1]!hospitalinfo[[#This Row],[Facility ID]]</f>
        <v>370218</v>
      </c>
      <c r="B3827" t="str">
        <f>[1]!hospitalinfo[[#This Row],[State]]</f>
        <v>OK</v>
      </c>
      <c r="C3827" t="str">
        <f>[1]!hospitalinfo[[#This Row],[Hospital Type]]</f>
        <v>Acute Care Hospitals</v>
      </c>
      <c r="D3827" t="str">
        <f>[1]!hospitalinfo[[#This Row],[Hospital Ownership]]</f>
        <v>Voluntary non-profit - Private</v>
      </c>
      <c r="E3827" cm="1">
        <f t="array" ref="E3827">_xlfn.IFNA(_xlfn.XLOOKUP(1,([1]!hcahps[Facility ID] = clean[[#This Row],[Facility ID]]) * ([1]!hcahps[HCAHPS Measure ID] = "H_HSP_RATING_LINEAR_SCORE"), [1]!hcahps[HCAHPS Linear Mean Value]), "No Match")</f>
        <v>91</v>
      </c>
      <c r="F3827" cm="1">
        <f t="array" ref="F3827">_xlfn.IFNA(_xlfn.XLOOKUP(1,([1]!readmissions[Facility ID] = clean[[#This Row],[Facility ID]]) * ([1]!readmissions[Measure ID] = "Hybrid_HWR"), [1]!readmissions[Score]), "No Match")</f>
        <v>13.8</v>
      </c>
    </row>
    <row r="3828" spans="1:6" x14ac:dyDescent="0.2">
      <c r="A3828">
        <f>[1]!hospitalinfo[[#This Row],[Facility ID]]</f>
        <v>370220</v>
      </c>
      <c r="B3828" t="str">
        <f>[1]!hospitalinfo[[#This Row],[State]]</f>
        <v>OK</v>
      </c>
      <c r="C3828" t="str">
        <f>[1]!hospitalinfo[[#This Row],[Hospital Type]]</f>
        <v>Acute Care Hospitals</v>
      </c>
      <c r="D3828" t="str">
        <f>[1]!hospitalinfo[[#This Row],[Hospital Ownership]]</f>
        <v>Proprietary</v>
      </c>
      <c r="E3828" t="str" cm="1">
        <f t="array" ref="E3828">_xlfn.IFNA(_xlfn.XLOOKUP(1,([1]!hcahps[Facility ID] = clean[[#This Row],[Facility ID]]) * ([1]!hcahps[HCAHPS Measure ID] = "H_HSP_RATING_LINEAR_SCORE"), [1]!hcahps[HCAHPS Linear Mean Value]), "No Match")</f>
        <v>Not Available</v>
      </c>
      <c r="F3828" cm="1">
        <f t="array" ref="F3828">_xlfn.IFNA(_xlfn.XLOOKUP(1,([1]!readmissions[Facility ID] = clean[[#This Row],[Facility ID]]) * ([1]!readmissions[Measure ID] = "Hybrid_HWR"), [1]!readmissions[Score]), "No Match")</f>
        <v>14.8</v>
      </c>
    </row>
    <row r="3829" spans="1:6" x14ac:dyDescent="0.2">
      <c r="A3829">
        <f>[1]!hospitalinfo[[#This Row],[Facility ID]]</f>
        <v>370222</v>
      </c>
      <c r="B3829" t="str">
        <f>[1]!hospitalinfo[[#This Row],[State]]</f>
        <v>OK</v>
      </c>
      <c r="C3829" t="str">
        <f>[1]!hospitalinfo[[#This Row],[Hospital Type]]</f>
        <v>Acute Care Hospitals</v>
      </c>
      <c r="D3829" t="str">
        <f>[1]!hospitalinfo[[#This Row],[Hospital Ownership]]</f>
        <v>Physician</v>
      </c>
      <c r="E3829" cm="1">
        <f t="array" ref="E3829">_xlfn.IFNA(_xlfn.XLOOKUP(1,([1]!hcahps[Facility ID] = clean[[#This Row],[Facility ID]]) * ([1]!hcahps[HCAHPS Measure ID] = "H_HSP_RATING_LINEAR_SCORE"), [1]!hcahps[HCAHPS Linear Mean Value]), "No Match")</f>
        <v>93</v>
      </c>
      <c r="F3829" cm="1">
        <f t="array" ref="F3829">_xlfn.IFNA(_xlfn.XLOOKUP(1,([1]!readmissions[Facility ID] = clean[[#This Row],[Facility ID]]) * ([1]!readmissions[Measure ID] = "Hybrid_HWR"), [1]!readmissions[Score]), "No Match")</f>
        <v>14.9</v>
      </c>
    </row>
    <row r="3830" spans="1:6" x14ac:dyDescent="0.2">
      <c r="A3830">
        <f>[1]!hospitalinfo[[#This Row],[Facility ID]]</f>
        <v>370225</v>
      </c>
      <c r="B3830" t="str">
        <f>[1]!hospitalinfo[[#This Row],[State]]</f>
        <v>OK</v>
      </c>
      <c r="C3830" t="str">
        <f>[1]!hospitalinfo[[#This Row],[Hospital Type]]</f>
        <v>Acute Care Hospitals</v>
      </c>
      <c r="D3830" t="str">
        <f>[1]!hospitalinfo[[#This Row],[Hospital Ownership]]</f>
        <v>Physician</v>
      </c>
      <c r="E3830" cm="1">
        <f t="array" ref="E3830">_xlfn.IFNA(_xlfn.XLOOKUP(1,([1]!hcahps[Facility ID] = clean[[#This Row],[Facility ID]]) * ([1]!hcahps[HCAHPS Measure ID] = "H_HSP_RATING_LINEAR_SCORE"), [1]!hcahps[HCAHPS Linear Mean Value]), "No Match")</f>
        <v>95</v>
      </c>
      <c r="F3830" cm="1">
        <f t="array" ref="F3830">_xlfn.IFNA(_xlfn.XLOOKUP(1,([1]!readmissions[Facility ID] = clean[[#This Row],[Facility ID]]) * ([1]!readmissions[Measure ID] = "Hybrid_HWR"), [1]!readmissions[Score]), "No Match")</f>
        <v>14.7</v>
      </c>
    </row>
    <row r="3831" spans="1:6" x14ac:dyDescent="0.2">
      <c r="A3831">
        <f>[1]!hospitalinfo[[#This Row],[Facility ID]]</f>
        <v>370227</v>
      </c>
      <c r="B3831" t="str">
        <f>[1]!hospitalinfo[[#This Row],[State]]</f>
        <v>OK</v>
      </c>
      <c r="C3831" t="str">
        <f>[1]!hospitalinfo[[#This Row],[Hospital Type]]</f>
        <v>Acute Care Hospitals</v>
      </c>
      <c r="D3831" t="str">
        <f>[1]!hospitalinfo[[#This Row],[Hospital Ownership]]</f>
        <v>Voluntary non-profit - Private</v>
      </c>
      <c r="E3831" cm="1">
        <f t="array" ref="E3831">_xlfn.IFNA(_xlfn.XLOOKUP(1,([1]!hcahps[Facility ID] = clean[[#This Row],[Facility ID]]) * ([1]!hcahps[HCAHPS Measure ID] = "H_HSP_RATING_LINEAR_SCORE"), [1]!hcahps[HCAHPS Linear Mean Value]), "No Match")</f>
        <v>91</v>
      </c>
      <c r="F3831" cm="1">
        <f t="array" ref="F3831">_xlfn.IFNA(_xlfn.XLOOKUP(1,([1]!readmissions[Facility ID] = clean[[#This Row],[Facility ID]]) * ([1]!readmissions[Measure ID] = "Hybrid_HWR"), [1]!readmissions[Score]), "No Match")</f>
        <v>14.4</v>
      </c>
    </row>
    <row r="3832" spans="1:6" x14ac:dyDescent="0.2">
      <c r="A3832">
        <f>[1]!hospitalinfo[[#This Row],[Facility ID]]</f>
        <v>370228</v>
      </c>
      <c r="B3832" t="str">
        <f>[1]!hospitalinfo[[#This Row],[State]]</f>
        <v>OK</v>
      </c>
      <c r="C3832" t="str">
        <f>[1]!hospitalinfo[[#This Row],[Hospital Type]]</f>
        <v>Acute Care Hospitals</v>
      </c>
      <c r="D3832" t="str">
        <f>[1]!hospitalinfo[[#This Row],[Hospital Ownership]]</f>
        <v>Proprietary</v>
      </c>
      <c r="E3832" cm="1">
        <f t="array" ref="E3832">_xlfn.IFNA(_xlfn.XLOOKUP(1,([1]!hcahps[Facility ID] = clean[[#This Row],[Facility ID]]) * ([1]!hcahps[HCAHPS Measure ID] = "H_HSP_RATING_LINEAR_SCORE"), [1]!hcahps[HCAHPS Linear Mean Value]), "No Match")</f>
        <v>94</v>
      </c>
      <c r="F3832" cm="1">
        <f t="array" ref="F3832">_xlfn.IFNA(_xlfn.XLOOKUP(1,([1]!readmissions[Facility ID] = clean[[#This Row],[Facility ID]]) * ([1]!readmissions[Measure ID] = "Hybrid_HWR"), [1]!readmissions[Score]), "No Match")</f>
        <v>14.4</v>
      </c>
    </row>
    <row r="3833" spans="1:6" x14ac:dyDescent="0.2">
      <c r="A3833">
        <f>[1]!hospitalinfo[[#This Row],[Facility ID]]</f>
        <v>370234</v>
      </c>
      <c r="B3833" t="str">
        <f>[1]!hospitalinfo[[#This Row],[State]]</f>
        <v>OK</v>
      </c>
      <c r="C3833" t="str">
        <f>[1]!hospitalinfo[[#This Row],[Hospital Type]]</f>
        <v>Acute Care Hospitals</v>
      </c>
      <c r="D3833" t="str">
        <f>[1]!hospitalinfo[[#This Row],[Hospital Ownership]]</f>
        <v>Physician</v>
      </c>
      <c r="E3833" cm="1">
        <f t="array" ref="E3833">_xlfn.IFNA(_xlfn.XLOOKUP(1,([1]!hcahps[Facility ID] = clean[[#This Row],[Facility ID]]) * ([1]!hcahps[HCAHPS Measure ID] = "H_HSP_RATING_LINEAR_SCORE"), [1]!hcahps[HCAHPS Linear Mean Value]), "No Match")</f>
        <v>96</v>
      </c>
      <c r="F3833" cm="1">
        <f t="array" ref="F3833">_xlfn.IFNA(_xlfn.XLOOKUP(1,([1]!readmissions[Facility ID] = clean[[#This Row],[Facility ID]]) * ([1]!readmissions[Measure ID] = "Hybrid_HWR"), [1]!readmissions[Score]), "No Match")</f>
        <v>14.2</v>
      </c>
    </row>
    <row r="3834" spans="1:6" x14ac:dyDescent="0.2">
      <c r="A3834">
        <f>[1]!hospitalinfo[[#This Row],[Facility ID]]</f>
        <v>370235</v>
      </c>
      <c r="B3834" t="str">
        <f>[1]!hospitalinfo[[#This Row],[State]]</f>
        <v>OK</v>
      </c>
      <c r="C3834" t="str">
        <f>[1]!hospitalinfo[[#This Row],[Hospital Type]]</f>
        <v>Acute Care Hospitals</v>
      </c>
      <c r="D3834" t="str">
        <f>[1]!hospitalinfo[[#This Row],[Hospital Ownership]]</f>
        <v>Voluntary non-profit - Private</v>
      </c>
      <c r="E3834" cm="1">
        <f t="array" ref="E3834">_xlfn.IFNA(_xlfn.XLOOKUP(1,([1]!hcahps[Facility ID] = clean[[#This Row],[Facility ID]]) * ([1]!hcahps[HCAHPS Measure ID] = "H_HSP_RATING_LINEAR_SCORE"), [1]!hcahps[HCAHPS Linear Mean Value]), "No Match")</f>
        <v>90</v>
      </c>
      <c r="F3834" cm="1">
        <f t="array" ref="F3834">_xlfn.IFNA(_xlfn.XLOOKUP(1,([1]!readmissions[Facility ID] = clean[[#This Row],[Facility ID]]) * ([1]!readmissions[Measure ID] = "Hybrid_HWR"), [1]!readmissions[Score]), "No Match")</f>
        <v>15.3</v>
      </c>
    </row>
    <row r="3835" spans="1:6" x14ac:dyDescent="0.2">
      <c r="A3835">
        <f>[1]!hospitalinfo[[#This Row],[Facility ID]]</f>
        <v>370236</v>
      </c>
      <c r="B3835" t="str">
        <f>[1]!hospitalinfo[[#This Row],[State]]</f>
        <v>OK</v>
      </c>
      <c r="C3835" t="str">
        <f>[1]!hospitalinfo[[#This Row],[Hospital Type]]</f>
        <v>Acute Care Hospitals</v>
      </c>
      <c r="D3835" t="str">
        <f>[1]!hospitalinfo[[#This Row],[Hospital Ownership]]</f>
        <v>Voluntary non-profit - Private</v>
      </c>
      <c r="E3835" cm="1">
        <f t="array" ref="E3835">_xlfn.IFNA(_xlfn.XLOOKUP(1,([1]!hcahps[Facility ID] = clean[[#This Row],[Facility ID]]) * ([1]!hcahps[HCAHPS Measure ID] = "H_HSP_RATING_LINEAR_SCORE"), [1]!hcahps[HCAHPS Linear Mean Value]), "No Match")</f>
        <v>91</v>
      </c>
      <c r="F3835" cm="1">
        <f t="array" ref="F3835">_xlfn.IFNA(_xlfn.XLOOKUP(1,([1]!readmissions[Facility ID] = clean[[#This Row],[Facility ID]]) * ([1]!readmissions[Measure ID] = "Hybrid_HWR"), [1]!readmissions[Score]), "No Match")</f>
        <v>15</v>
      </c>
    </row>
    <row r="3836" spans="1:6" x14ac:dyDescent="0.2">
      <c r="A3836">
        <f>[1]!hospitalinfo[[#This Row],[Facility ID]]</f>
        <v>370237</v>
      </c>
      <c r="B3836" t="str">
        <f>[1]!hospitalinfo[[#This Row],[State]]</f>
        <v>OK</v>
      </c>
      <c r="C3836" t="str">
        <f>[1]!hospitalinfo[[#This Row],[Hospital Type]]</f>
        <v>Acute Care Hospitals</v>
      </c>
      <c r="D3836" t="str">
        <f>[1]!hospitalinfo[[#This Row],[Hospital Ownership]]</f>
        <v>Voluntary non-profit - Private</v>
      </c>
      <c r="E3836" cm="1">
        <f t="array" ref="E3836">_xlfn.IFNA(_xlfn.XLOOKUP(1,([1]!hcahps[Facility ID] = clean[[#This Row],[Facility ID]]) * ([1]!hcahps[HCAHPS Measure ID] = "H_HSP_RATING_LINEAR_SCORE"), [1]!hcahps[HCAHPS Linear Mean Value]), "No Match")</f>
        <v>91</v>
      </c>
      <c r="F3836" cm="1">
        <f t="array" ref="F3836">_xlfn.IFNA(_xlfn.XLOOKUP(1,([1]!readmissions[Facility ID] = clean[[#This Row],[Facility ID]]) * ([1]!readmissions[Measure ID] = "Hybrid_HWR"), [1]!readmissions[Score]), "No Match")</f>
        <v>15.4</v>
      </c>
    </row>
    <row r="3837" spans="1:6" x14ac:dyDescent="0.2">
      <c r="A3837">
        <f>[1]!hospitalinfo[[#This Row],[Facility ID]]</f>
        <v>370240</v>
      </c>
      <c r="B3837" t="str">
        <f>[1]!hospitalinfo[[#This Row],[State]]</f>
        <v>OK</v>
      </c>
      <c r="C3837" t="str">
        <f>[1]!hospitalinfo[[#This Row],[Hospital Type]]</f>
        <v>Acute Care Hospitals</v>
      </c>
      <c r="D3837" t="str">
        <f>[1]!hospitalinfo[[#This Row],[Hospital Ownership]]</f>
        <v>Proprietary</v>
      </c>
      <c r="E3837" t="str" cm="1">
        <f t="array" ref="E3837">_xlfn.IFNA(_xlfn.XLOOKUP(1,([1]!hcahps[Facility ID] = clean[[#This Row],[Facility ID]]) * ([1]!hcahps[HCAHPS Measure ID] = "H_HSP_RATING_LINEAR_SCORE"), [1]!hcahps[HCAHPS Linear Mean Value]), "No Match")</f>
        <v>Not Available</v>
      </c>
      <c r="F3837" cm="1">
        <f t="array" ref="F3837">_xlfn.IFNA(_xlfn.XLOOKUP(1,([1]!readmissions[Facility ID] = clean[[#This Row],[Facility ID]]) * ([1]!readmissions[Measure ID] = "Hybrid_HWR"), [1]!readmissions[Score]), "No Match")</f>
        <v>14.9</v>
      </c>
    </row>
    <row r="3838" spans="1:6" x14ac:dyDescent="0.2">
      <c r="A3838">
        <f>[1]!hospitalinfo[[#This Row],[Facility ID]]</f>
        <v>370243</v>
      </c>
      <c r="B3838" t="str">
        <f>[1]!hospitalinfo[[#This Row],[State]]</f>
        <v>OK</v>
      </c>
      <c r="C3838" t="str">
        <f>[1]!hospitalinfo[[#This Row],[Hospital Type]]</f>
        <v>Acute Care Hospitals</v>
      </c>
      <c r="D3838" t="str">
        <f>[1]!hospitalinfo[[#This Row],[Hospital Ownership]]</f>
        <v>Proprietary</v>
      </c>
      <c r="E3838" t="str" cm="1">
        <f t="array" ref="E3838">_xlfn.IFNA(_xlfn.XLOOKUP(1,([1]!hcahps[Facility ID] = clean[[#This Row],[Facility ID]]) * ([1]!hcahps[HCAHPS Measure ID] = "H_HSP_RATING_LINEAR_SCORE"), [1]!hcahps[HCAHPS Linear Mean Value]), "No Match")</f>
        <v>Not Available</v>
      </c>
      <c r="F3838" cm="1">
        <f t="array" ref="F3838">_xlfn.IFNA(_xlfn.XLOOKUP(1,([1]!readmissions[Facility ID] = clean[[#This Row],[Facility ID]]) * ([1]!readmissions[Measure ID] = "Hybrid_HWR"), [1]!readmissions[Score]), "No Match")</f>
        <v>15</v>
      </c>
    </row>
    <row r="3839" spans="1:6" x14ac:dyDescent="0.2">
      <c r="A3839">
        <f>[1]!hospitalinfo[[#This Row],[Facility ID]]</f>
        <v>370244</v>
      </c>
      <c r="B3839" t="str">
        <f>[1]!hospitalinfo[[#This Row],[State]]</f>
        <v>OK</v>
      </c>
      <c r="C3839" t="str">
        <f>[1]!hospitalinfo[[#This Row],[Hospital Type]]</f>
        <v>Acute Care Hospitals</v>
      </c>
      <c r="D3839" t="str">
        <f>[1]!hospitalinfo[[#This Row],[Hospital Ownership]]</f>
        <v>Tribal</v>
      </c>
      <c r="E3839" t="str" cm="1">
        <f t="array" ref="E3839">_xlfn.IFNA(_xlfn.XLOOKUP(1,([1]!hcahps[Facility ID] = clean[[#This Row],[Facility ID]]) * ([1]!hcahps[HCAHPS Measure ID] = "H_HSP_RATING_LINEAR_SCORE"), [1]!hcahps[HCAHPS Linear Mean Value]), "No Match")</f>
        <v>Not Available</v>
      </c>
      <c r="F3839" cm="1">
        <f t="array" ref="F3839">_xlfn.IFNA(_xlfn.XLOOKUP(1,([1]!readmissions[Facility ID] = clean[[#This Row],[Facility ID]]) * ([1]!readmissions[Measure ID] = "Hybrid_HWR"), [1]!readmissions[Score]), "No Match")</f>
        <v>14.9</v>
      </c>
    </row>
    <row r="3840" spans="1:6" x14ac:dyDescent="0.2">
      <c r="A3840">
        <f>[1]!hospitalinfo[[#This Row],[Facility ID]]</f>
        <v>370245</v>
      </c>
      <c r="B3840" t="str">
        <f>[1]!hospitalinfo[[#This Row],[State]]</f>
        <v>OK</v>
      </c>
      <c r="C3840" t="str">
        <f>[1]!hospitalinfo[[#This Row],[Hospital Type]]</f>
        <v>Acute Care Hospitals</v>
      </c>
      <c r="D3840" t="str">
        <f>[1]!hospitalinfo[[#This Row],[Hospital Ownership]]</f>
        <v>Government - Local</v>
      </c>
      <c r="E3840" t="str" cm="1">
        <f t="array" ref="E3840">_xlfn.IFNA(_xlfn.XLOOKUP(1,([1]!hcahps[Facility ID] = clean[[#This Row],[Facility ID]]) * ([1]!hcahps[HCAHPS Measure ID] = "H_HSP_RATING_LINEAR_SCORE"), [1]!hcahps[HCAHPS Linear Mean Value]), "No Match")</f>
        <v>Not Available</v>
      </c>
      <c r="F3840" cm="1">
        <f t="array" ref="F3840">_xlfn.IFNA(_xlfn.XLOOKUP(1,([1]!readmissions[Facility ID] = clean[[#This Row],[Facility ID]]) * ([1]!readmissions[Measure ID] = "Hybrid_HWR"), [1]!readmissions[Score]), "No Match")</f>
        <v>15.5</v>
      </c>
    </row>
    <row r="3841" spans="1:6" x14ac:dyDescent="0.2">
      <c r="A3841">
        <f>[1]!hospitalinfo[[#This Row],[Facility ID]]</f>
        <v>370246</v>
      </c>
      <c r="B3841" t="str">
        <f>[1]!hospitalinfo[[#This Row],[State]]</f>
        <v>OK</v>
      </c>
      <c r="C3841" t="str">
        <f>[1]!hospitalinfo[[#This Row],[Hospital Type]]</f>
        <v>Acute Care Hospitals</v>
      </c>
      <c r="D3841" t="str">
        <f>[1]!hospitalinfo[[#This Row],[Hospital Ownership]]</f>
        <v>Proprietary</v>
      </c>
      <c r="E3841" t="str" cm="1">
        <f t="array" ref="E3841">_xlfn.IFNA(_xlfn.XLOOKUP(1,([1]!hcahps[Facility ID] = clean[[#This Row],[Facility ID]]) * ([1]!hcahps[HCAHPS Measure ID] = "H_HSP_RATING_LINEAR_SCORE"), [1]!hcahps[HCAHPS Linear Mean Value]), "No Match")</f>
        <v>Not Available</v>
      </c>
      <c r="F3841" t="str" cm="1">
        <f t="array" ref="F3841">_xlfn.IFNA(_xlfn.XLOOKUP(1,([1]!readmissions[Facility ID] = clean[[#This Row],[Facility ID]]) * ([1]!readmissions[Measure ID] = "Hybrid_HWR"), [1]!readmissions[Score]), "No Match")</f>
        <v>Not Available</v>
      </c>
    </row>
    <row r="3842" spans="1:6" x14ac:dyDescent="0.2">
      <c r="A3842">
        <f>[1]!hospitalinfo[[#This Row],[Facility ID]]</f>
        <v>370247</v>
      </c>
      <c r="B3842" t="str">
        <f>[1]!hospitalinfo[[#This Row],[State]]</f>
        <v>OK</v>
      </c>
      <c r="C3842" t="str">
        <f>[1]!hospitalinfo[[#This Row],[Hospital Type]]</f>
        <v>Acute Care Hospitals</v>
      </c>
      <c r="D3842" t="str">
        <f>[1]!hospitalinfo[[#This Row],[Hospital Ownership]]</f>
        <v>Proprietary</v>
      </c>
      <c r="E3842" t="str" cm="1">
        <f t="array" ref="E3842">_xlfn.IFNA(_xlfn.XLOOKUP(1,([1]!hcahps[Facility ID] = clean[[#This Row],[Facility ID]]) * ([1]!hcahps[HCAHPS Measure ID] = "H_HSP_RATING_LINEAR_SCORE"), [1]!hcahps[HCAHPS Linear Mean Value]), "No Match")</f>
        <v>Not Available</v>
      </c>
      <c r="F3842" t="str" cm="1">
        <f t="array" ref="F3842">_xlfn.IFNA(_xlfn.XLOOKUP(1,([1]!readmissions[Facility ID] = clean[[#This Row],[Facility ID]]) * ([1]!readmissions[Measure ID] = "Hybrid_HWR"), [1]!readmissions[Score]), "No Match")</f>
        <v>Not Available</v>
      </c>
    </row>
    <row r="3843" spans="1:6" x14ac:dyDescent="0.2">
      <c r="A3843">
        <f>[1]!hospitalinfo[[#This Row],[Facility ID]]</f>
        <v>370779</v>
      </c>
      <c r="B3843" t="str">
        <f>[1]!hospitalinfo[[#This Row],[State]]</f>
        <v>OK</v>
      </c>
      <c r="C3843" t="str">
        <f>[1]!hospitalinfo[[#This Row],[Hospital Type]]</f>
        <v>Rural Emergency Hospital</v>
      </c>
      <c r="D3843" t="str">
        <f>[1]!hospitalinfo[[#This Row],[Hospital Ownership]]</f>
        <v>Government - Hospital District or Authority</v>
      </c>
      <c r="E3843" t="str" cm="1">
        <f t="array" ref="E3843">_xlfn.IFNA(_xlfn.XLOOKUP(1,([1]!hcahps[Facility ID] = clean[[#This Row],[Facility ID]]) * ([1]!hcahps[HCAHPS Measure ID] = "H_HSP_RATING_LINEAR_SCORE"), [1]!hcahps[HCAHPS Linear Mean Value]), "No Match")</f>
        <v>Not Available</v>
      </c>
      <c r="F3843" t="str" cm="1">
        <f t="array" ref="F3843">_xlfn.IFNA(_xlfn.XLOOKUP(1,([1]!readmissions[Facility ID] = clean[[#This Row],[Facility ID]]) * ([1]!readmissions[Measure ID] = "Hybrid_HWR"), [1]!readmissions[Score]), "No Match")</f>
        <v>Not Available</v>
      </c>
    </row>
    <row r="3844" spans="1:6" x14ac:dyDescent="0.2">
      <c r="A3844">
        <f>[1]!hospitalinfo[[#This Row],[Facility ID]]</f>
        <v>370780</v>
      </c>
      <c r="B3844" t="str">
        <f>[1]!hospitalinfo[[#This Row],[State]]</f>
        <v>OK</v>
      </c>
      <c r="C3844" t="str">
        <f>[1]!hospitalinfo[[#This Row],[Hospital Type]]</f>
        <v>Rural Emergency Hospital</v>
      </c>
      <c r="D3844" t="str">
        <f>[1]!hospitalinfo[[#This Row],[Hospital Ownership]]</f>
        <v>Government - Hospital District or Authority</v>
      </c>
      <c r="E3844" t="str" cm="1">
        <f t="array" ref="E3844">_xlfn.IFNA(_xlfn.XLOOKUP(1,([1]!hcahps[Facility ID] = clean[[#This Row],[Facility ID]]) * ([1]!hcahps[HCAHPS Measure ID] = "H_HSP_RATING_LINEAR_SCORE"), [1]!hcahps[HCAHPS Linear Mean Value]), "No Match")</f>
        <v>Not Available</v>
      </c>
      <c r="F3844" t="str" cm="1">
        <f t="array" ref="F3844">_xlfn.IFNA(_xlfn.XLOOKUP(1,([1]!readmissions[Facility ID] = clean[[#This Row],[Facility ID]]) * ([1]!readmissions[Measure ID] = "Hybrid_HWR"), [1]!readmissions[Score]), "No Match")</f>
        <v>Not Available</v>
      </c>
    </row>
    <row r="3845" spans="1:6" x14ac:dyDescent="0.2">
      <c r="A3845">
        <f>[1]!hospitalinfo[[#This Row],[Facility ID]]</f>
        <v>370781</v>
      </c>
      <c r="B3845" t="str">
        <f>[1]!hospitalinfo[[#This Row],[State]]</f>
        <v>OK</v>
      </c>
      <c r="C3845" t="str">
        <f>[1]!hospitalinfo[[#This Row],[Hospital Type]]</f>
        <v>Rural Emergency Hospital</v>
      </c>
      <c r="D3845" t="str">
        <f>[1]!hospitalinfo[[#This Row],[Hospital Ownership]]</f>
        <v>Government - Local</v>
      </c>
      <c r="E3845" t="str" cm="1">
        <f t="array" ref="E3845">_xlfn.IFNA(_xlfn.XLOOKUP(1,([1]!hcahps[Facility ID] = clean[[#This Row],[Facility ID]]) * ([1]!hcahps[HCAHPS Measure ID] = "H_HSP_RATING_LINEAR_SCORE"), [1]!hcahps[HCAHPS Linear Mean Value]), "No Match")</f>
        <v>Not Available</v>
      </c>
      <c r="F3845" t="str" cm="1">
        <f t="array" ref="F3845">_xlfn.IFNA(_xlfn.XLOOKUP(1,([1]!readmissions[Facility ID] = clean[[#This Row],[Facility ID]]) * ([1]!readmissions[Measure ID] = "Hybrid_HWR"), [1]!readmissions[Score]), "No Match")</f>
        <v>Not Available</v>
      </c>
    </row>
    <row r="3846" spans="1:6" x14ac:dyDescent="0.2">
      <c r="A3846">
        <f>[1]!hospitalinfo[[#This Row],[Facility ID]]</f>
        <v>370783</v>
      </c>
      <c r="B3846" t="str">
        <f>[1]!hospitalinfo[[#This Row],[State]]</f>
        <v>OK</v>
      </c>
      <c r="C3846" t="str">
        <f>[1]!hospitalinfo[[#This Row],[Hospital Type]]</f>
        <v>Rural Emergency Hospital</v>
      </c>
      <c r="D3846" t="str">
        <f>[1]!hospitalinfo[[#This Row],[Hospital Ownership]]</f>
        <v>Government - Hospital District or Authority</v>
      </c>
      <c r="E3846" t="str" cm="1">
        <f t="array" ref="E3846">_xlfn.IFNA(_xlfn.XLOOKUP(1,([1]!hcahps[Facility ID] = clean[[#This Row],[Facility ID]]) * ([1]!hcahps[HCAHPS Measure ID] = "H_HSP_RATING_LINEAR_SCORE"), [1]!hcahps[HCAHPS Linear Mean Value]), "No Match")</f>
        <v>Not Available</v>
      </c>
      <c r="F3846" t="str" cm="1">
        <f t="array" ref="F3846">_xlfn.IFNA(_xlfn.XLOOKUP(1,([1]!readmissions[Facility ID] = clean[[#This Row],[Facility ID]]) * ([1]!readmissions[Measure ID] = "Hybrid_HWR"), [1]!readmissions[Score]), "No Match")</f>
        <v>Not Available</v>
      </c>
    </row>
    <row r="3847" spans="1:6" x14ac:dyDescent="0.2">
      <c r="A3847">
        <f>[1]!hospitalinfo[[#This Row],[Facility ID]]</f>
        <v>371300</v>
      </c>
      <c r="B3847" t="str">
        <f>[1]!hospitalinfo[[#This Row],[State]]</f>
        <v>OK</v>
      </c>
      <c r="C3847" t="str">
        <f>[1]!hospitalinfo[[#This Row],[Hospital Type]]</f>
        <v>Critical Access Hospitals</v>
      </c>
      <c r="D3847" t="str">
        <f>[1]!hospitalinfo[[#This Row],[Hospital Ownership]]</f>
        <v>Government - Local</v>
      </c>
      <c r="E3847" t="str" cm="1">
        <f t="array" ref="E3847">_xlfn.IFNA(_xlfn.XLOOKUP(1,([1]!hcahps[Facility ID] = clean[[#This Row],[Facility ID]]) * ([1]!hcahps[HCAHPS Measure ID] = "H_HSP_RATING_LINEAR_SCORE"), [1]!hcahps[HCAHPS Linear Mean Value]), "No Match")</f>
        <v>Not Available</v>
      </c>
      <c r="F3847" cm="1">
        <f t="array" ref="F3847">_xlfn.IFNA(_xlfn.XLOOKUP(1,([1]!readmissions[Facility ID] = clean[[#This Row],[Facility ID]]) * ([1]!readmissions[Measure ID] = "Hybrid_HWR"), [1]!readmissions[Score]), "No Match")</f>
        <v>14.4</v>
      </c>
    </row>
    <row r="3848" spans="1:6" x14ac:dyDescent="0.2">
      <c r="A3848">
        <f>[1]!hospitalinfo[[#This Row],[Facility ID]]</f>
        <v>371301</v>
      </c>
      <c r="B3848" t="str">
        <f>[1]!hospitalinfo[[#This Row],[State]]</f>
        <v>OK</v>
      </c>
      <c r="C3848" t="str">
        <f>[1]!hospitalinfo[[#This Row],[Hospital Type]]</f>
        <v>Critical Access Hospitals</v>
      </c>
      <c r="D3848" t="str">
        <f>[1]!hospitalinfo[[#This Row],[Hospital Ownership]]</f>
        <v>Government - Local</v>
      </c>
      <c r="E3848" t="str" cm="1">
        <f t="array" ref="E3848">_xlfn.IFNA(_xlfn.XLOOKUP(1,([1]!hcahps[Facility ID] = clean[[#This Row],[Facility ID]]) * ([1]!hcahps[HCAHPS Measure ID] = "H_HSP_RATING_LINEAR_SCORE"), [1]!hcahps[HCAHPS Linear Mean Value]), "No Match")</f>
        <v>Not Available</v>
      </c>
      <c r="F3848" t="str" cm="1">
        <f t="array" ref="F3848">_xlfn.IFNA(_xlfn.XLOOKUP(1,([1]!readmissions[Facility ID] = clean[[#This Row],[Facility ID]]) * ([1]!readmissions[Measure ID] = "Hybrid_HWR"), [1]!readmissions[Score]), "No Match")</f>
        <v>Not Available</v>
      </c>
    </row>
    <row r="3849" spans="1:6" x14ac:dyDescent="0.2">
      <c r="A3849">
        <f>[1]!hospitalinfo[[#This Row],[Facility ID]]</f>
        <v>371302</v>
      </c>
      <c r="B3849" t="str">
        <f>[1]!hospitalinfo[[#This Row],[State]]</f>
        <v>OK</v>
      </c>
      <c r="C3849" t="str">
        <f>[1]!hospitalinfo[[#This Row],[Hospital Type]]</f>
        <v>Critical Access Hospitals</v>
      </c>
      <c r="D3849" t="str">
        <f>[1]!hospitalinfo[[#This Row],[Hospital Ownership]]</f>
        <v>Proprietary</v>
      </c>
      <c r="E3849" t="str" cm="1">
        <f t="array" ref="E3849">_xlfn.IFNA(_xlfn.XLOOKUP(1,([1]!hcahps[Facility ID] = clean[[#This Row],[Facility ID]]) * ([1]!hcahps[HCAHPS Measure ID] = "H_HSP_RATING_LINEAR_SCORE"), [1]!hcahps[HCAHPS Linear Mean Value]), "No Match")</f>
        <v>Not Available</v>
      </c>
      <c r="F3849" t="str" cm="1">
        <f t="array" ref="F3849">_xlfn.IFNA(_xlfn.XLOOKUP(1,([1]!readmissions[Facility ID] = clean[[#This Row],[Facility ID]]) * ([1]!readmissions[Measure ID] = "Hybrid_HWR"), [1]!readmissions[Score]), "No Match")</f>
        <v>Not Available</v>
      </c>
    </row>
    <row r="3850" spans="1:6" x14ac:dyDescent="0.2">
      <c r="A3850">
        <f>[1]!hospitalinfo[[#This Row],[Facility ID]]</f>
        <v>371303</v>
      </c>
      <c r="B3850" t="str">
        <f>[1]!hospitalinfo[[#This Row],[State]]</f>
        <v>OK</v>
      </c>
      <c r="C3850" t="str">
        <f>[1]!hospitalinfo[[#This Row],[Hospital Type]]</f>
        <v>Critical Access Hospitals</v>
      </c>
      <c r="D3850" t="str">
        <f>[1]!hospitalinfo[[#This Row],[Hospital Ownership]]</f>
        <v>Voluntary non-profit - Private</v>
      </c>
      <c r="E3850" t="str" cm="1">
        <f t="array" ref="E3850">_xlfn.IFNA(_xlfn.XLOOKUP(1,([1]!hcahps[Facility ID] = clean[[#This Row],[Facility ID]]) * ([1]!hcahps[HCAHPS Measure ID] = "H_HSP_RATING_LINEAR_SCORE"), [1]!hcahps[HCAHPS Linear Mean Value]), "No Match")</f>
        <v>Not Available</v>
      </c>
      <c r="F3850" cm="1">
        <f t="array" ref="F3850">_xlfn.IFNA(_xlfn.XLOOKUP(1,([1]!readmissions[Facility ID] = clean[[#This Row],[Facility ID]]) * ([1]!readmissions[Measure ID] = "Hybrid_HWR"), [1]!readmissions[Score]), "No Match")</f>
        <v>14.4</v>
      </c>
    </row>
    <row r="3851" spans="1:6" x14ac:dyDescent="0.2">
      <c r="A3851">
        <f>[1]!hospitalinfo[[#This Row],[Facility ID]]</f>
        <v>371304</v>
      </c>
      <c r="B3851" t="str">
        <f>[1]!hospitalinfo[[#This Row],[State]]</f>
        <v>OK</v>
      </c>
      <c r="C3851" t="str">
        <f>[1]!hospitalinfo[[#This Row],[Hospital Type]]</f>
        <v>Critical Access Hospitals</v>
      </c>
      <c r="D3851" t="str">
        <f>[1]!hospitalinfo[[#This Row],[Hospital Ownership]]</f>
        <v>Voluntary non-profit - Church</v>
      </c>
      <c r="E3851" t="str" cm="1">
        <f t="array" ref="E3851">_xlfn.IFNA(_xlfn.XLOOKUP(1,([1]!hcahps[Facility ID] = clean[[#This Row],[Facility ID]]) * ([1]!hcahps[HCAHPS Measure ID] = "H_HSP_RATING_LINEAR_SCORE"), [1]!hcahps[HCAHPS Linear Mean Value]), "No Match")</f>
        <v>Not Available</v>
      </c>
      <c r="F3851" t="str" cm="1">
        <f t="array" ref="F3851">_xlfn.IFNA(_xlfn.XLOOKUP(1,([1]!readmissions[Facility ID] = clean[[#This Row],[Facility ID]]) * ([1]!readmissions[Measure ID] = "Hybrid_HWR"), [1]!readmissions[Score]), "No Match")</f>
        <v>Not Available</v>
      </c>
    </row>
    <row r="3852" spans="1:6" x14ac:dyDescent="0.2">
      <c r="A3852">
        <f>[1]!hospitalinfo[[#This Row],[Facility ID]]</f>
        <v>371305</v>
      </c>
      <c r="B3852" t="str">
        <f>[1]!hospitalinfo[[#This Row],[State]]</f>
        <v>OK</v>
      </c>
      <c r="C3852" t="str">
        <f>[1]!hospitalinfo[[#This Row],[Hospital Type]]</f>
        <v>Critical Access Hospitals</v>
      </c>
      <c r="D3852" t="str">
        <f>[1]!hospitalinfo[[#This Row],[Hospital Ownership]]</f>
        <v>Voluntary non-profit - Private</v>
      </c>
      <c r="E3852" t="str" cm="1">
        <f t="array" ref="E3852">_xlfn.IFNA(_xlfn.XLOOKUP(1,([1]!hcahps[Facility ID] = clean[[#This Row],[Facility ID]]) * ([1]!hcahps[HCAHPS Measure ID] = "H_HSP_RATING_LINEAR_SCORE"), [1]!hcahps[HCAHPS Linear Mean Value]), "No Match")</f>
        <v>Not Available</v>
      </c>
      <c r="F3852" cm="1">
        <f t="array" ref="F3852">_xlfn.IFNA(_xlfn.XLOOKUP(1,([1]!readmissions[Facility ID] = clean[[#This Row],[Facility ID]]) * ([1]!readmissions[Measure ID] = "Hybrid_HWR"), [1]!readmissions[Score]), "No Match")</f>
        <v>15.3</v>
      </c>
    </row>
    <row r="3853" spans="1:6" x14ac:dyDescent="0.2">
      <c r="A3853">
        <f>[1]!hospitalinfo[[#This Row],[Facility ID]]</f>
        <v>371306</v>
      </c>
      <c r="B3853" t="str">
        <f>[1]!hospitalinfo[[#This Row],[State]]</f>
        <v>OK</v>
      </c>
      <c r="C3853" t="str">
        <f>[1]!hospitalinfo[[#This Row],[Hospital Type]]</f>
        <v>Critical Access Hospitals</v>
      </c>
      <c r="D3853" t="str">
        <f>[1]!hospitalinfo[[#This Row],[Hospital Ownership]]</f>
        <v>Government - Local</v>
      </c>
      <c r="E3853" t="str" cm="1">
        <f t="array" ref="E3853">_xlfn.IFNA(_xlfn.XLOOKUP(1,([1]!hcahps[Facility ID] = clean[[#This Row],[Facility ID]]) * ([1]!hcahps[HCAHPS Measure ID] = "H_HSP_RATING_LINEAR_SCORE"), [1]!hcahps[HCAHPS Linear Mean Value]), "No Match")</f>
        <v>Not Available</v>
      </c>
      <c r="F3853" cm="1">
        <f t="array" ref="F3853">_xlfn.IFNA(_xlfn.XLOOKUP(1,([1]!readmissions[Facility ID] = clean[[#This Row],[Facility ID]]) * ([1]!readmissions[Measure ID] = "Hybrid_HWR"), [1]!readmissions[Score]), "No Match")</f>
        <v>14.8</v>
      </c>
    </row>
    <row r="3854" spans="1:6" x14ac:dyDescent="0.2">
      <c r="A3854">
        <f>[1]!hospitalinfo[[#This Row],[Facility ID]]</f>
        <v>371307</v>
      </c>
      <c r="B3854" t="str">
        <f>[1]!hospitalinfo[[#This Row],[State]]</f>
        <v>OK</v>
      </c>
      <c r="C3854" t="str">
        <f>[1]!hospitalinfo[[#This Row],[Hospital Type]]</f>
        <v>Critical Access Hospitals</v>
      </c>
      <c r="D3854" t="str">
        <f>[1]!hospitalinfo[[#This Row],[Hospital Ownership]]</f>
        <v>Government - Hospital District or Authority</v>
      </c>
      <c r="E3854" t="str" cm="1">
        <f t="array" ref="E3854">_xlfn.IFNA(_xlfn.XLOOKUP(1,([1]!hcahps[Facility ID] = clean[[#This Row],[Facility ID]]) * ([1]!hcahps[HCAHPS Measure ID] = "H_HSP_RATING_LINEAR_SCORE"), [1]!hcahps[HCAHPS Linear Mean Value]), "No Match")</f>
        <v>Not Available</v>
      </c>
      <c r="F3854" cm="1">
        <f t="array" ref="F3854">_xlfn.IFNA(_xlfn.XLOOKUP(1,([1]!readmissions[Facility ID] = clean[[#This Row],[Facility ID]]) * ([1]!readmissions[Measure ID] = "Hybrid_HWR"), [1]!readmissions[Score]), "No Match")</f>
        <v>14.8</v>
      </c>
    </row>
    <row r="3855" spans="1:6" x14ac:dyDescent="0.2">
      <c r="A3855">
        <f>[1]!hospitalinfo[[#This Row],[Facility ID]]</f>
        <v>371309</v>
      </c>
      <c r="B3855" t="str">
        <f>[1]!hospitalinfo[[#This Row],[State]]</f>
        <v>OK</v>
      </c>
      <c r="C3855" t="str">
        <f>[1]!hospitalinfo[[#This Row],[Hospital Type]]</f>
        <v>Critical Access Hospitals</v>
      </c>
      <c r="D3855" t="str">
        <f>[1]!hospitalinfo[[#This Row],[Hospital Ownership]]</f>
        <v>Voluntary non-profit - Private</v>
      </c>
      <c r="E3855" t="str" cm="1">
        <f t="array" ref="E3855">_xlfn.IFNA(_xlfn.XLOOKUP(1,([1]!hcahps[Facility ID] = clean[[#This Row],[Facility ID]]) * ([1]!hcahps[HCAHPS Measure ID] = "H_HSP_RATING_LINEAR_SCORE"), [1]!hcahps[HCAHPS Linear Mean Value]), "No Match")</f>
        <v>Not Available</v>
      </c>
      <c r="F3855" cm="1">
        <f t="array" ref="F3855">_xlfn.IFNA(_xlfn.XLOOKUP(1,([1]!readmissions[Facility ID] = clean[[#This Row],[Facility ID]]) * ([1]!readmissions[Measure ID] = "Hybrid_HWR"), [1]!readmissions[Score]), "No Match")</f>
        <v>15.1</v>
      </c>
    </row>
    <row r="3856" spans="1:6" x14ac:dyDescent="0.2">
      <c r="A3856">
        <f>[1]!hospitalinfo[[#This Row],[Facility ID]]</f>
        <v>371310</v>
      </c>
      <c r="B3856" t="str">
        <f>[1]!hospitalinfo[[#This Row],[State]]</f>
        <v>OK</v>
      </c>
      <c r="C3856" t="str">
        <f>[1]!hospitalinfo[[#This Row],[Hospital Type]]</f>
        <v>Critical Access Hospitals</v>
      </c>
      <c r="D3856" t="str">
        <f>[1]!hospitalinfo[[#This Row],[Hospital Ownership]]</f>
        <v>Voluntary non-profit - Private</v>
      </c>
      <c r="E3856" t="str" cm="1">
        <f t="array" ref="E3856">_xlfn.IFNA(_xlfn.XLOOKUP(1,([1]!hcahps[Facility ID] = clean[[#This Row],[Facility ID]]) * ([1]!hcahps[HCAHPS Measure ID] = "H_HSP_RATING_LINEAR_SCORE"), [1]!hcahps[HCAHPS Linear Mean Value]), "No Match")</f>
        <v>Not Available</v>
      </c>
      <c r="F3856" cm="1">
        <f t="array" ref="F3856">_xlfn.IFNA(_xlfn.XLOOKUP(1,([1]!readmissions[Facility ID] = clean[[#This Row],[Facility ID]]) * ([1]!readmissions[Measure ID] = "Hybrid_HWR"), [1]!readmissions[Score]), "No Match")</f>
        <v>14.8</v>
      </c>
    </row>
    <row r="3857" spans="1:6" x14ac:dyDescent="0.2">
      <c r="A3857">
        <f>[1]!hospitalinfo[[#This Row],[Facility ID]]</f>
        <v>371311</v>
      </c>
      <c r="B3857" t="str">
        <f>[1]!hospitalinfo[[#This Row],[State]]</f>
        <v>OK</v>
      </c>
      <c r="C3857" t="str">
        <f>[1]!hospitalinfo[[#This Row],[Hospital Type]]</f>
        <v>Critical Access Hospitals</v>
      </c>
      <c r="D3857" t="str">
        <f>[1]!hospitalinfo[[#This Row],[Hospital Ownership]]</f>
        <v>Voluntary non-profit - Private</v>
      </c>
      <c r="E3857" t="str" cm="1">
        <f t="array" ref="E3857">_xlfn.IFNA(_xlfn.XLOOKUP(1,([1]!hcahps[Facility ID] = clean[[#This Row],[Facility ID]]) * ([1]!hcahps[HCAHPS Measure ID] = "H_HSP_RATING_LINEAR_SCORE"), [1]!hcahps[HCAHPS Linear Mean Value]), "No Match")</f>
        <v>Not Available</v>
      </c>
      <c r="F3857" t="str" cm="1">
        <f t="array" ref="F3857">_xlfn.IFNA(_xlfn.XLOOKUP(1,([1]!readmissions[Facility ID] = clean[[#This Row],[Facility ID]]) * ([1]!readmissions[Measure ID] = "Hybrid_HWR"), [1]!readmissions[Score]), "No Match")</f>
        <v>Not Available</v>
      </c>
    </row>
    <row r="3858" spans="1:6" x14ac:dyDescent="0.2">
      <c r="A3858">
        <f>[1]!hospitalinfo[[#This Row],[Facility ID]]</f>
        <v>371312</v>
      </c>
      <c r="B3858" t="str">
        <f>[1]!hospitalinfo[[#This Row],[State]]</f>
        <v>OK</v>
      </c>
      <c r="C3858" t="str">
        <f>[1]!hospitalinfo[[#This Row],[Hospital Type]]</f>
        <v>Critical Access Hospitals</v>
      </c>
      <c r="D3858" t="str">
        <f>[1]!hospitalinfo[[#This Row],[Hospital Ownership]]</f>
        <v>Voluntary non-profit - Private</v>
      </c>
      <c r="E3858" t="str" cm="1">
        <f t="array" ref="E3858">_xlfn.IFNA(_xlfn.XLOOKUP(1,([1]!hcahps[Facility ID] = clean[[#This Row],[Facility ID]]) * ([1]!hcahps[HCAHPS Measure ID] = "H_HSP_RATING_LINEAR_SCORE"), [1]!hcahps[HCAHPS Linear Mean Value]), "No Match")</f>
        <v>Not Available</v>
      </c>
      <c r="F3858" cm="1">
        <f t="array" ref="F3858">_xlfn.IFNA(_xlfn.XLOOKUP(1,([1]!readmissions[Facility ID] = clean[[#This Row],[Facility ID]]) * ([1]!readmissions[Measure ID] = "Hybrid_HWR"), [1]!readmissions[Score]), "No Match")</f>
        <v>14.5</v>
      </c>
    </row>
    <row r="3859" spans="1:6" x14ac:dyDescent="0.2">
      <c r="A3859">
        <f>[1]!hospitalinfo[[#This Row],[Facility ID]]</f>
        <v>371313</v>
      </c>
      <c r="B3859" t="str">
        <f>[1]!hospitalinfo[[#This Row],[State]]</f>
        <v>OK</v>
      </c>
      <c r="C3859" t="str">
        <f>[1]!hospitalinfo[[#This Row],[Hospital Type]]</f>
        <v>Critical Access Hospitals</v>
      </c>
      <c r="D3859" t="str">
        <f>[1]!hospitalinfo[[#This Row],[Hospital Ownership]]</f>
        <v>Voluntary non-profit - Private</v>
      </c>
      <c r="E3859" t="str" cm="1">
        <f t="array" ref="E3859">_xlfn.IFNA(_xlfn.XLOOKUP(1,([1]!hcahps[Facility ID] = clean[[#This Row],[Facility ID]]) * ([1]!hcahps[HCAHPS Measure ID] = "H_HSP_RATING_LINEAR_SCORE"), [1]!hcahps[HCAHPS Linear Mean Value]), "No Match")</f>
        <v>Not Available</v>
      </c>
      <c r="F3859" cm="1">
        <f t="array" ref="F3859">_xlfn.IFNA(_xlfn.XLOOKUP(1,([1]!readmissions[Facility ID] = clean[[#This Row],[Facility ID]]) * ([1]!readmissions[Measure ID] = "Hybrid_HWR"), [1]!readmissions[Score]), "No Match")</f>
        <v>14.3</v>
      </c>
    </row>
    <row r="3860" spans="1:6" x14ac:dyDescent="0.2">
      <c r="A3860">
        <f>[1]!hospitalinfo[[#This Row],[Facility ID]]</f>
        <v>371314</v>
      </c>
      <c r="B3860" t="str">
        <f>[1]!hospitalinfo[[#This Row],[State]]</f>
        <v>OK</v>
      </c>
      <c r="C3860" t="str">
        <f>[1]!hospitalinfo[[#This Row],[Hospital Type]]</f>
        <v>Critical Access Hospitals</v>
      </c>
      <c r="D3860" t="str">
        <f>[1]!hospitalinfo[[#This Row],[Hospital Ownership]]</f>
        <v>Proprietary</v>
      </c>
      <c r="E3860" t="str" cm="1">
        <f t="array" ref="E3860">_xlfn.IFNA(_xlfn.XLOOKUP(1,([1]!hcahps[Facility ID] = clean[[#This Row],[Facility ID]]) * ([1]!hcahps[HCAHPS Measure ID] = "H_HSP_RATING_LINEAR_SCORE"), [1]!hcahps[HCAHPS Linear Mean Value]), "No Match")</f>
        <v>Not Available</v>
      </c>
      <c r="F3860" cm="1">
        <f t="array" ref="F3860">_xlfn.IFNA(_xlfn.XLOOKUP(1,([1]!readmissions[Facility ID] = clean[[#This Row],[Facility ID]]) * ([1]!readmissions[Measure ID] = "Hybrid_HWR"), [1]!readmissions[Score]), "No Match")</f>
        <v>14.8</v>
      </c>
    </row>
    <row r="3861" spans="1:6" x14ac:dyDescent="0.2">
      <c r="A3861">
        <f>[1]!hospitalinfo[[#This Row],[Facility ID]]</f>
        <v>371316</v>
      </c>
      <c r="B3861" t="str">
        <f>[1]!hospitalinfo[[#This Row],[State]]</f>
        <v>OK</v>
      </c>
      <c r="C3861" t="str">
        <f>[1]!hospitalinfo[[#This Row],[Hospital Type]]</f>
        <v>Critical Access Hospitals</v>
      </c>
      <c r="D3861" t="str">
        <f>[1]!hospitalinfo[[#This Row],[Hospital Ownership]]</f>
        <v>Proprietary</v>
      </c>
      <c r="E3861" t="str" cm="1">
        <f t="array" ref="E3861">_xlfn.IFNA(_xlfn.XLOOKUP(1,([1]!hcahps[Facility ID] = clean[[#This Row],[Facility ID]]) * ([1]!hcahps[HCAHPS Measure ID] = "H_HSP_RATING_LINEAR_SCORE"), [1]!hcahps[HCAHPS Linear Mean Value]), "No Match")</f>
        <v>Not Available</v>
      </c>
      <c r="F3861" t="str" cm="1">
        <f t="array" ref="F3861">_xlfn.IFNA(_xlfn.XLOOKUP(1,([1]!readmissions[Facility ID] = clean[[#This Row],[Facility ID]]) * ([1]!readmissions[Measure ID] = "Hybrid_HWR"), [1]!readmissions[Score]), "No Match")</f>
        <v>Not Available</v>
      </c>
    </row>
    <row r="3862" spans="1:6" x14ac:dyDescent="0.2">
      <c r="A3862">
        <f>[1]!hospitalinfo[[#This Row],[Facility ID]]</f>
        <v>371317</v>
      </c>
      <c r="B3862" t="str">
        <f>[1]!hospitalinfo[[#This Row],[State]]</f>
        <v>OK</v>
      </c>
      <c r="C3862" t="str">
        <f>[1]!hospitalinfo[[#This Row],[Hospital Type]]</f>
        <v>Critical Access Hospitals</v>
      </c>
      <c r="D3862" t="str">
        <f>[1]!hospitalinfo[[#This Row],[Hospital Ownership]]</f>
        <v>Voluntary non-profit - Private</v>
      </c>
      <c r="E3862" t="str" cm="1">
        <f t="array" ref="E3862">_xlfn.IFNA(_xlfn.XLOOKUP(1,([1]!hcahps[Facility ID] = clean[[#This Row],[Facility ID]]) * ([1]!hcahps[HCAHPS Measure ID] = "H_HSP_RATING_LINEAR_SCORE"), [1]!hcahps[HCAHPS Linear Mean Value]), "No Match")</f>
        <v>Not Available</v>
      </c>
      <c r="F3862" cm="1">
        <f t="array" ref="F3862">_xlfn.IFNA(_xlfn.XLOOKUP(1,([1]!readmissions[Facility ID] = clean[[#This Row],[Facility ID]]) * ([1]!readmissions[Measure ID] = "Hybrid_HWR"), [1]!readmissions[Score]), "No Match")</f>
        <v>15.4</v>
      </c>
    </row>
    <row r="3863" spans="1:6" x14ac:dyDescent="0.2">
      <c r="A3863">
        <f>[1]!hospitalinfo[[#This Row],[Facility ID]]</f>
        <v>371318</v>
      </c>
      <c r="B3863" t="str">
        <f>[1]!hospitalinfo[[#This Row],[State]]</f>
        <v>OK</v>
      </c>
      <c r="C3863" t="str">
        <f>[1]!hospitalinfo[[#This Row],[Hospital Type]]</f>
        <v>Critical Access Hospitals</v>
      </c>
      <c r="D3863" t="str">
        <f>[1]!hospitalinfo[[#This Row],[Hospital Ownership]]</f>
        <v>Proprietary</v>
      </c>
      <c r="E3863" t="str" cm="1">
        <f t="array" ref="E3863">_xlfn.IFNA(_xlfn.XLOOKUP(1,([1]!hcahps[Facility ID] = clean[[#This Row],[Facility ID]]) * ([1]!hcahps[HCAHPS Measure ID] = "H_HSP_RATING_LINEAR_SCORE"), [1]!hcahps[HCAHPS Linear Mean Value]), "No Match")</f>
        <v>Not Available</v>
      </c>
      <c r="F3863" t="str" cm="1">
        <f t="array" ref="F3863">_xlfn.IFNA(_xlfn.XLOOKUP(1,([1]!readmissions[Facility ID] = clean[[#This Row],[Facility ID]]) * ([1]!readmissions[Measure ID] = "Hybrid_HWR"), [1]!readmissions[Score]), "No Match")</f>
        <v>Not Available</v>
      </c>
    </row>
    <row r="3864" spans="1:6" x14ac:dyDescent="0.2">
      <c r="A3864">
        <f>[1]!hospitalinfo[[#This Row],[Facility ID]]</f>
        <v>371319</v>
      </c>
      <c r="B3864" t="str">
        <f>[1]!hospitalinfo[[#This Row],[State]]</f>
        <v>OK</v>
      </c>
      <c r="C3864" t="str">
        <f>[1]!hospitalinfo[[#This Row],[Hospital Type]]</f>
        <v>Critical Access Hospitals</v>
      </c>
      <c r="D3864" t="str">
        <f>[1]!hospitalinfo[[#This Row],[Hospital Ownership]]</f>
        <v>Voluntary non-profit - Private</v>
      </c>
      <c r="E3864" t="str" cm="1">
        <f t="array" ref="E3864">_xlfn.IFNA(_xlfn.XLOOKUP(1,([1]!hcahps[Facility ID] = clean[[#This Row],[Facility ID]]) * ([1]!hcahps[HCAHPS Measure ID] = "H_HSP_RATING_LINEAR_SCORE"), [1]!hcahps[HCAHPS Linear Mean Value]), "No Match")</f>
        <v>Not Available</v>
      </c>
      <c r="F3864" cm="1">
        <f t="array" ref="F3864">_xlfn.IFNA(_xlfn.XLOOKUP(1,([1]!readmissions[Facility ID] = clean[[#This Row],[Facility ID]]) * ([1]!readmissions[Measure ID] = "Hybrid_HWR"), [1]!readmissions[Score]), "No Match")</f>
        <v>14.9</v>
      </c>
    </row>
    <row r="3865" spans="1:6" x14ac:dyDescent="0.2">
      <c r="A3865">
        <f>[1]!hospitalinfo[[#This Row],[Facility ID]]</f>
        <v>371320</v>
      </c>
      <c r="B3865" t="str">
        <f>[1]!hospitalinfo[[#This Row],[State]]</f>
        <v>OK</v>
      </c>
      <c r="C3865" t="str">
        <f>[1]!hospitalinfo[[#This Row],[Hospital Type]]</f>
        <v>Critical Access Hospitals</v>
      </c>
      <c r="D3865" t="str">
        <f>[1]!hospitalinfo[[#This Row],[Hospital Ownership]]</f>
        <v>Government - Hospital District or Authority</v>
      </c>
      <c r="E3865" t="str" cm="1">
        <f t="array" ref="E3865">_xlfn.IFNA(_xlfn.XLOOKUP(1,([1]!hcahps[Facility ID] = clean[[#This Row],[Facility ID]]) * ([1]!hcahps[HCAHPS Measure ID] = "H_HSP_RATING_LINEAR_SCORE"), [1]!hcahps[HCAHPS Linear Mean Value]), "No Match")</f>
        <v>Not Available</v>
      </c>
      <c r="F3865" t="str" cm="1">
        <f t="array" ref="F3865">_xlfn.IFNA(_xlfn.XLOOKUP(1,([1]!readmissions[Facility ID] = clean[[#This Row],[Facility ID]]) * ([1]!readmissions[Measure ID] = "Hybrid_HWR"), [1]!readmissions[Score]), "No Match")</f>
        <v>Not Available</v>
      </c>
    </row>
    <row r="3866" spans="1:6" x14ac:dyDescent="0.2">
      <c r="A3866">
        <f>[1]!hospitalinfo[[#This Row],[Facility ID]]</f>
        <v>371321</v>
      </c>
      <c r="B3866" t="str">
        <f>[1]!hospitalinfo[[#This Row],[State]]</f>
        <v>OK</v>
      </c>
      <c r="C3866" t="str">
        <f>[1]!hospitalinfo[[#This Row],[Hospital Type]]</f>
        <v>Critical Access Hospitals</v>
      </c>
      <c r="D3866" t="str">
        <f>[1]!hospitalinfo[[#This Row],[Hospital Ownership]]</f>
        <v>Government - Hospital District or Authority</v>
      </c>
      <c r="E3866" t="str" cm="1">
        <f t="array" ref="E3866">_xlfn.IFNA(_xlfn.XLOOKUP(1,([1]!hcahps[Facility ID] = clean[[#This Row],[Facility ID]]) * ([1]!hcahps[HCAHPS Measure ID] = "H_HSP_RATING_LINEAR_SCORE"), [1]!hcahps[HCAHPS Linear Mean Value]), "No Match")</f>
        <v>Not Available</v>
      </c>
      <c r="F3866" cm="1">
        <f t="array" ref="F3866">_xlfn.IFNA(_xlfn.XLOOKUP(1,([1]!readmissions[Facility ID] = clean[[#This Row],[Facility ID]]) * ([1]!readmissions[Measure ID] = "Hybrid_HWR"), [1]!readmissions[Score]), "No Match")</f>
        <v>14.5</v>
      </c>
    </row>
    <row r="3867" spans="1:6" x14ac:dyDescent="0.2">
      <c r="A3867">
        <f>[1]!hospitalinfo[[#This Row],[Facility ID]]</f>
        <v>371322</v>
      </c>
      <c r="B3867" t="str">
        <f>[1]!hospitalinfo[[#This Row],[State]]</f>
        <v>OK</v>
      </c>
      <c r="C3867" t="str">
        <f>[1]!hospitalinfo[[#This Row],[Hospital Type]]</f>
        <v>Critical Access Hospitals</v>
      </c>
      <c r="D3867" t="str">
        <f>[1]!hospitalinfo[[#This Row],[Hospital Ownership]]</f>
        <v>Government - Hospital District or Authority</v>
      </c>
      <c r="E3867" t="str" cm="1">
        <f t="array" ref="E3867">_xlfn.IFNA(_xlfn.XLOOKUP(1,([1]!hcahps[Facility ID] = clean[[#This Row],[Facility ID]]) * ([1]!hcahps[HCAHPS Measure ID] = "H_HSP_RATING_LINEAR_SCORE"), [1]!hcahps[HCAHPS Linear Mean Value]), "No Match")</f>
        <v>Not Available</v>
      </c>
      <c r="F3867" cm="1">
        <f t="array" ref="F3867">_xlfn.IFNA(_xlfn.XLOOKUP(1,([1]!readmissions[Facility ID] = clean[[#This Row],[Facility ID]]) * ([1]!readmissions[Measure ID] = "Hybrid_HWR"), [1]!readmissions[Score]), "No Match")</f>
        <v>14.8</v>
      </c>
    </row>
    <row r="3868" spans="1:6" x14ac:dyDescent="0.2">
      <c r="A3868">
        <f>[1]!hospitalinfo[[#This Row],[Facility ID]]</f>
        <v>371323</v>
      </c>
      <c r="B3868" t="str">
        <f>[1]!hospitalinfo[[#This Row],[State]]</f>
        <v>OK</v>
      </c>
      <c r="C3868" t="str">
        <f>[1]!hospitalinfo[[#This Row],[Hospital Type]]</f>
        <v>Critical Access Hospitals</v>
      </c>
      <c r="D3868" t="str">
        <f>[1]!hospitalinfo[[#This Row],[Hospital Ownership]]</f>
        <v>Government - Hospital District or Authority</v>
      </c>
      <c r="E3868" t="str" cm="1">
        <f t="array" ref="E3868">_xlfn.IFNA(_xlfn.XLOOKUP(1,([1]!hcahps[Facility ID] = clean[[#This Row],[Facility ID]]) * ([1]!hcahps[HCAHPS Measure ID] = "H_HSP_RATING_LINEAR_SCORE"), [1]!hcahps[HCAHPS Linear Mean Value]), "No Match")</f>
        <v>Not Available</v>
      </c>
      <c r="F3868" cm="1">
        <f t="array" ref="F3868">_xlfn.IFNA(_xlfn.XLOOKUP(1,([1]!readmissions[Facility ID] = clean[[#This Row],[Facility ID]]) * ([1]!readmissions[Measure ID] = "Hybrid_HWR"), [1]!readmissions[Score]), "No Match")</f>
        <v>15</v>
      </c>
    </row>
    <row r="3869" spans="1:6" x14ac:dyDescent="0.2">
      <c r="A3869">
        <f>[1]!hospitalinfo[[#This Row],[Facility ID]]</f>
        <v>371325</v>
      </c>
      <c r="B3869" t="str">
        <f>[1]!hospitalinfo[[#This Row],[State]]</f>
        <v>OK</v>
      </c>
      <c r="C3869" t="str">
        <f>[1]!hospitalinfo[[#This Row],[Hospital Type]]</f>
        <v>Critical Access Hospitals</v>
      </c>
      <c r="D3869" t="str">
        <f>[1]!hospitalinfo[[#This Row],[Hospital Ownership]]</f>
        <v>Government - Hospital District or Authority</v>
      </c>
      <c r="E3869" t="str" cm="1">
        <f t="array" ref="E3869">_xlfn.IFNA(_xlfn.XLOOKUP(1,([1]!hcahps[Facility ID] = clean[[#This Row],[Facility ID]]) * ([1]!hcahps[HCAHPS Measure ID] = "H_HSP_RATING_LINEAR_SCORE"), [1]!hcahps[HCAHPS Linear Mean Value]), "No Match")</f>
        <v>Not Available</v>
      </c>
      <c r="F3869" cm="1">
        <f t="array" ref="F3869">_xlfn.IFNA(_xlfn.XLOOKUP(1,([1]!readmissions[Facility ID] = clean[[#This Row],[Facility ID]]) * ([1]!readmissions[Measure ID] = "Hybrid_HWR"), [1]!readmissions[Score]), "No Match")</f>
        <v>15.2</v>
      </c>
    </row>
    <row r="3870" spans="1:6" x14ac:dyDescent="0.2">
      <c r="A3870">
        <f>[1]!hospitalinfo[[#This Row],[Facility ID]]</f>
        <v>371326</v>
      </c>
      <c r="B3870" t="str">
        <f>[1]!hospitalinfo[[#This Row],[State]]</f>
        <v>OK</v>
      </c>
      <c r="C3870" t="str">
        <f>[1]!hospitalinfo[[#This Row],[Hospital Type]]</f>
        <v>Critical Access Hospitals</v>
      </c>
      <c r="D3870" t="str">
        <f>[1]!hospitalinfo[[#This Row],[Hospital Ownership]]</f>
        <v>Voluntary non-profit - Other</v>
      </c>
      <c r="E3870" t="str" cm="1">
        <f t="array" ref="E3870">_xlfn.IFNA(_xlfn.XLOOKUP(1,([1]!hcahps[Facility ID] = clean[[#This Row],[Facility ID]]) * ([1]!hcahps[HCAHPS Measure ID] = "H_HSP_RATING_LINEAR_SCORE"), [1]!hcahps[HCAHPS Linear Mean Value]), "No Match")</f>
        <v>Not Available</v>
      </c>
      <c r="F3870" t="str" cm="1">
        <f t="array" ref="F3870">_xlfn.IFNA(_xlfn.XLOOKUP(1,([1]!readmissions[Facility ID] = clean[[#This Row],[Facility ID]]) * ([1]!readmissions[Measure ID] = "Hybrid_HWR"), [1]!readmissions[Score]), "No Match")</f>
        <v>Not Available</v>
      </c>
    </row>
    <row r="3871" spans="1:6" x14ac:dyDescent="0.2">
      <c r="A3871">
        <f>[1]!hospitalinfo[[#This Row],[Facility ID]]</f>
        <v>371327</v>
      </c>
      <c r="B3871" t="str">
        <f>[1]!hospitalinfo[[#This Row],[State]]</f>
        <v>OK</v>
      </c>
      <c r="C3871" t="str">
        <f>[1]!hospitalinfo[[#This Row],[Hospital Type]]</f>
        <v>Critical Access Hospitals</v>
      </c>
      <c r="D3871" t="str">
        <f>[1]!hospitalinfo[[#This Row],[Hospital Ownership]]</f>
        <v>Government - Local</v>
      </c>
      <c r="E3871" t="str" cm="1">
        <f t="array" ref="E3871">_xlfn.IFNA(_xlfn.XLOOKUP(1,([1]!hcahps[Facility ID] = clean[[#This Row],[Facility ID]]) * ([1]!hcahps[HCAHPS Measure ID] = "H_HSP_RATING_LINEAR_SCORE"), [1]!hcahps[HCAHPS Linear Mean Value]), "No Match")</f>
        <v>Not Available</v>
      </c>
      <c r="F3871" cm="1">
        <f t="array" ref="F3871">_xlfn.IFNA(_xlfn.XLOOKUP(1,([1]!readmissions[Facility ID] = clean[[#This Row],[Facility ID]]) * ([1]!readmissions[Measure ID] = "Hybrid_HWR"), [1]!readmissions[Score]), "No Match")</f>
        <v>15.6</v>
      </c>
    </row>
    <row r="3872" spans="1:6" x14ac:dyDescent="0.2">
      <c r="A3872">
        <f>[1]!hospitalinfo[[#This Row],[Facility ID]]</f>
        <v>371328</v>
      </c>
      <c r="B3872" t="str">
        <f>[1]!hospitalinfo[[#This Row],[State]]</f>
        <v>OK</v>
      </c>
      <c r="C3872" t="str">
        <f>[1]!hospitalinfo[[#This Row],[Hospital Type]]</f>
        <v>Critical Access Hospitals</v>
      </c>
      <c r="D3872" t="str">
        <f>[1]!hospitalinfo[[#This Row],[Hospital Ownership]]</f>
        <v>Government - Local</v>
      </c>
      <c r="E3872" t="str" cm="1">
        <f t="array" ref="E3872">_xlfn.IFNA(_xlfn.XLOOKUP(1,([1]!hcahps[Facility ID] = clean[[#This Row],[Facility ID]]) * ([1]!hcahps[HCAHPS Measure ID] = "H_HSP_RATING_LINEAR_SCORE"), [1]!hcahps[HCAHPS Linear Mean Value]), "No Match")</f>
        <v>Not Available</v>
      </c>
      <c r="F3872" cm="1">
        <f t="array" ref="F3872">_xlfn.IFNA(_xlfn.XLOOKUP(1,([1]!readmissions[Facility ID] = clean[[#This Row],[Facility ID]]) * ([1]!readmissions[Measure ID] = "Hybrid_HWR"), [1]!readmissions[Score]), "No Match")</f>
        <v>14</v>
      </c>
    </row>
    <row r="3873" spans="1:6" x14ac:dyDescent="0.2">
      <c r="A3873">
        <f>[1]!hospitalinfo[[#This Row],[Facility ID]]</f>
        <v>371329</v>
      </c>
      <c r="B3873" t="str">
        <f>[1]!hospitalinfo[[#This Row],[State]]</f>
        <v>OK</v>
      </c>
      <c r="C3873" t="str">
        <f>[1]!hospitalinfo[[#This Row],[Hospital Type]]</f>
        <v>Critical Access Hospitals</v>
      </c>
      <c r="D3873" t="str">
        <f>[1]!hospitalinfo[[#This Row],[Hospital Ownership]]</f>
        <v>Government - Hospital District or Authority</v>
      </c>
      <c r="E3873" t="str" cm="1">
        <f t="array" ref="E3873">_xlfn.IFNA(_xlfn.XLOOKUP(1,([1]!hcahps[Facility ID] = clean[[#This Row],[Facility ID]]) * ([1]!hcahps[HCAHPS Measure ID] = "H_HSP_RATING_LINEAR_SCORE"), [1]!hcahps[HCAHPS Linear Mean Value]), "No Match")</f>
        <v>Not Available</v>
      </c>
      <c r="F3873" cm="1">
        <f t="array" ref="F3873">_xlfn.IFNA(_xlfn.XLOOKUP(1,([1]!readmissions[Facility ID] = clean[[#This Row],[Facility ID]]) * ([1]!readmissions[Measure ID] = "Hybrid_HWR"), [1]!readmissions[Score]), "No Match")</f>
        <v>14.9</v>
      </c>
    </row>
    <row r="3874" spans="1:6" x14ac:dyDescent="0.2">
      <c r="A3874">
        <f>[1]!hospitalinfo[[#This Row],[Facility ID]]</f>
        <v>371330</v>
      </c>
      <c r="B3874" t="str">
        <f>[1]!hospitalinfo[[#This Row],[State]]</f>
        <v>OK</v>
      </c>
      <c r="C3874" t="str">
        <f>[1]!hospitalinfo[[#This Row],[Hospital Type]]</f>
        <v>Critical Access Hospitals</v>
      </c>
      <c r="D3874" t="str">
        <f>[1]!hospitalinfo[[#This Row],[Hospital Ownership]]</f>
        <v>Government - Hospital District or Authority</v>
      </c>
      <c r="E3874" t="str" cm="1">
        <f t="array" ref="E3874">_xlfn.IFNA(_xlfn.XLOOKUP(1,([1]!hcahps[Facility ID] = clean[[#This Row],[Facility ID]]) * ([1]!hcahps[HCAHPS Measure ID] = "H_HSP_RATING_LINEAR_SCORE"), [1]!hcahps[HCAHPS Linear Mean Value]), "No Match")</f>
        <v>Not Available</v>
      </c>
      <c r="F3874" cm="1">
        <f t="array" ref="F3874">_xlfn.IFNA(_xlfn.XLOOKUP(1,([1]!readmissions[Facility ID] = clean[[#This Row],[Facility ID]]) * ([1]!readmissions[Measure ID] = "Hybrid_HWR"), [1]!readmissions[Score]), "No Match")</f>
        <v>14.8</v>
      </c>
    </row>
    <row r="3875" spans="1:6" x14ac:dyDescent="0.2">
      <c r="A3875">
        <f>[1]!hospitalinfo[[#This Row],[Facility ID]]</f>
        <v>371331</v>
      </c>
      <c r="B3875" t="str">
        <f>[1]!hospitalinfo[[#This Row],[State]]</f>
        <v>OK</v>
      </c>
      <c r="C3875" t="str">
        <f>[1]!hospitalinfo[[#This Row],[Hospital Type]]</f>
        <v>Critical Access Hospitals</v>
      </c>
      <c r="D3875" t="str">
        <f>[1]!hospitalinfo[[#This Row],[Hospital Ownership]]</f>
        <v>Government - Local</v>
      </c>
      <c r="E3875" t="str" cm="1">
        <f t="array" ref="E3875">_xlfn.IFNA(_xlfn.XLOOKUP(1,([1]!hcahps[Facility ID] = clean[[#This Row],[Facility ID]]) * ([1]!hcahps[HCAHPS Measure ID] = "H_HSP_RATING_LINEAR_SCORE"), [1]!hcahps[HCAHPS Linear Mean Value]), "No Match")</f>
        <v>Not Available</v>
      </c>
      <c r="F3875" cm="1">
        <f t="array" ref="F3875">_xlfn.IFNA(_xlfn.XLOOKUP(1,([1]!readmissions[Facility ID] = clean[[#This Row],[Facility ID]]) * ([1]!readmissions[Measure ID] = "Hybrid_HWR"), [1]!readmissions[Score]), "No Match")</f>
        <v>15.2</v>
      </c>
    </row>
    <row r="3876" spans="1:6" x14ac:dyDescent="0.2">
      <c r="A3876">
        <f>[1]!hospitalinfo[[#This Row],[Facility ID]]</f>
        <v>371332</v>
      </c>
      <c r="B3876" t="str">
        <f>[1]!hospitalinfo[[#This Row],[State]]</f>
        <v>OK</v>
      </c>
      <c r="C3876" t="str">
        <f>[1]!hospitalinfo[[#This Row],[Hospital Type]]</f>
        <v>Critical Access Hospitals</v>
      </c>
      <c r="D3876" t="str">
        <f>[1]!hospitalinfo[[#This Row],[Hospital Ownership]]</f>
        <v>Government - Hospital District or Authority</v>
      </c>
      <c r="E3876" t="str" cm="1">
        <f t="array" ref="E3876">_xlfn.IFNA(_xlfn.XLOOKUP(1,([1]!hcahps[Facility ID] = clean[[#This Row],[Facility ID]]) * ([1]!hcahps[HCAHPS Measure ID] = "H_HSP_RATING_LINEAR_SCORE"), [1]!hcahps[HCAHPS Linear Mean Value]), "No Match")</f>
        <v>Not Available</v>
      </c>
      <c r="F3876" cm="1">
        <f t="array" ref="F3876">_xlfn.IFNA(_xlfn.XLOOKUP(1,([1]!readmissions[Facility ID] = clean[[#This Row],[Facility ID]]) * ([1]!readmissions[Measure ID] = "Hybrid_HWR"), [1]!readmissions[Score]), "No Match")</f>
        <v>14.7</v>
      </c>
    </row>
    <row r="3877" spans="1:6" x14ac:dyDescent="0.2">
      <c r="A3877">
        <f>[1]!hospitalinfo[[#This Row],[Facility ID]]</f>
        <v>371333</v>
      </c>
      <c r="B3877" t="str">
        <f>[1]!hospitalinfo[[#This Row],[State]]</f>
        <v>OK</v>
      </c>
      <c r="C3877" t="str">
        <f>[1]!hospitalinfo[[#This Row],[Hospital Type]]</f>
        <v>Critical Access Hospitals</v>
      </c>
      <c r="D3877" t="str">
        <f>[1]!hospitalinfo[[#This Row],[Hospital Ownership]]</f>
        <v>Tribal</v>
      </c>
      <c r="E3877" t="str" cm="1">
        <f t="array" ref="E3877">_xlfn.IFNA(_xlfn.XLOOKUP(1,([1]!hcahps[Facility ID] = clean[[#This Row],[Facility ID]]) * ([1]!hcahps[HCAHPS Measure ID] = "H_HSP_RATING_LINEAR_SCORE"), [1]!hcahps[HCAHPS Linear Mean Value]), "No Match")</f>
        <v>Not Available</v>
      </c>
      <c r="F3877" cm="1">
        <f t="array" ref="F3877">_xlfn.IFNA(_xlfn.XLOOKUP(1,([1]!readmissions[Facility ID] = clean[[#This Row],[Facility ID]]) * ([1]!readmissions[Measure ID] = "Hybrid_HWR"), [1]!readmissions[Score]), "No Match")</f>
        <v>14.5</v>
      </c>
    </row>
    <row r="3878" spans="1:6" x14ac:dyDescent="0.2">
      <c r="A3878">
        <f>[1]!hospitalinfo[[#This Row],[Facility ID]]</f>
        <v>371334</v>
      </c>
      <c r="B3878" t="str">
        <f>[1]!hospitalinfo[[#This Row],[State]]</f>
        <v>OK</v>
      </c>
      <c r="C3878" t="str">
        <f>[1]!hospitalinfo[[#This Row],[Hospital Type]]</f>
        <v>Critical Access Hospitals</v>
      </c>
      <c r="D3878" t="str">
        <f>[1]!hospitalinfo[[#This Row],[Hospital Ownership]]</f>
        <v>Government - Hospital District or Authority</v>
      </c>
      <c r="E3878" t="str" cm="1">
        <f t="array" ref="E3878">_xlfn.IFNA(_xlfn.XLOOKUP(1,([1]!hcahps[Facility ID] = clean[[#This Row],[Facility ID]]) * ([1]!hcahps[HCAHPS Measure ID] = "H_HSP_RATING_LINEAR_SCORE"), [1]!hcahps[HCAHPS Linear Mean Value]), "No Match")</f>
        <v>Not Available</v>
      </c>
      <c r="F3878" cm="1">
        <f t="array" ref="F3878">_xlfn.IFNA(_xlfn.XLOOKUP(1,([1]!readmissions[Facility ID] = clean[[#This Row],[Facility ID]]) * ([1]!readmissions[Measure ID] = "Hybrid_HWR"), [1]!readmissions[Score]), "No Match")</f>
        <v>15.6</v>
      </c>
    </row>
    <row r="3879" spans="1:6" x14ac:dyDescent="0.2">
      <c r="A3879">
        <f>[1]!hospitalinfo[[#This Row],[Facility ID]]</f>
        <v>371335</v>
      </c>
      <c r="B3879" t="str">
        <f>[1]!hospitalinfo[[#This Row],[State]]</f>
        <v>OK</v>
      </c>
      <c r="C3879" t="str">
        <f>[1]!hospitalinfo[[#This Row],[Hospital Type]]</f>
        <v>Critical Access Hospitals</v>
      </c>
      <c r="D3879" t="str">
        <f>[1]!hospitalinfo[[#This Row],[Hospital Ownership]]</f>
        <v>Voluntary non-profit - Private</v>
      </c>
      <c r="E3879" t="str" cm="1">
        <f t="array" ref="E3879">_xlfn.IFNA(_xlfn.XLOOKUP(1,([1]!hcahps[Facility ID] = clean[[#This Row],[Facility ID]]) * ([1]!hcahps[HCAHPS Measure ID] = "H_HSP_RATING_LINEAR_SCORE"), [1]!hcahps[HCAHPS Linear Mean Value]), "No Match")</f>
        <v>Not Available</v>
      </c>
      <c r="F3879" cm="1">
        <f t="array" ref="F3879">_xlfn.IFNA(_xlfn.XLOOKUP(1,([1]!readmissions[Facility ID] = clean[[#This Row],[Facility ID]]) * ([1]!readmissions[Measure ID] = "Hybrid_HWR"), [1]!readmissions[Score]), "No Match")</f>
        <v>14.9</v>
      </c>
    </row>
    <row r="3880" spans="1:6" x14ac:dyDescent="0.2">
      <c r="A3880">
        <f>[1]!hospitalinfo[[#This Row],[Facility ID]]</f>
        <v>371336</v>
      </c>
      <c r="B3880" t="str">
        <f>[1]!hospitalinfo[[#This Row],[State]]</f>
        <v>OK</v>
      </c>
      <c r="C3880" t="str">
        <f>[1]!hospitalinfo[[#This Row],[Hospital Type]]</f>
        <v>Critical Access Hospitals</v>
      </c>
      <c r="D3880" t="str">
        <f>[1]!hospitalinfo[[#This Row],[Hospital Ownership]]</f>
        <v>Government - Hospital District or Authority</v>
      </c>
      <c r="E3880" t="str" cm="1">
        <f t="array" ref="E3880">_xlfn.IFNA(_xlfn.XLOOKUP(1,([1]!hcahps[Facility ID] = clean[[#This Row],[Facility ID]]) * ([1]!hcahps[HCAHPS Measure ID] = "H_HSP_RATING_LINEAR_SCORE"), [1]!hcahps[HCAHPS Linear Mean Value]), "No Match")</f>
        <v>Not Available</v>
      </c>
      <c r="F3880" cm="1">
        <f t="array" ref="F3880">_xlfn.IFNA(_xlfn.XLOOKUP(1,([1]!readmissions[Facility ID] = clean[[#This Row],[Facility ID]]) * ([1]!readmissions[Measure ID] = "Hybrid_HWR"), [1]!readmissions[Score]), "No Match")</f>
        <v>15</v>
      </c>
    </row>
    <row r="3881" spans="1:6" x14ac:dyDescent="0.2">
      <c r="A3881">
        <f>[1]!hospitalinfo[[#This Row],[Facility ID]]</f>
        <v>371337</v>
      </c>
      <c r="B3881" t="str">
        <f>[1]!hospitalinfo[[#This Row],[State]]</f>
        <v>OK</v>
      </c>
      <c r="C3881" t="str">
        <f>[1]!hospitalinfo[[#This Row],[Hospital Type]]</f>
        <v>Critical Access Hospitals</v>
      </c>
      <c r="D3881" t="str">
        <f>[1]!hospitalinfo[[#This Row],[Hospital Ownership]]</f>
        <v>Government - Local</v>
      </c>
      <c r="E3881" t="str" cm="1">
        <f t="array" ref="E3881">_xlfn.IFNA(_xlfn.XLOOKUP(1,([1]!hcahps[Facility ID] = clean[[#This Row],[Facility ID]]) * ([1]!hcahps[HCAHPS Measure ID] = "H_HSP_RATING_LINEAR_SCORE"), [1]!hcahps[HCAHPS Linear Mean Value]), "No Match")</f>
        <v>Not Available</v>
      </c>
      <c r="F3881" cm="1">
        <f t="array" ref="F3881">_xlfn.IFNA(_xlfn.XLOOKUP(1,([1]!readmissions[Facility ID] = clean[[#This Row],[Facility ID]]) * ([1]!readmissions[Measure ID] = "Hybrid_HWR"), [1]!readmissions[Score]), "No Match")</f>
        <v>15.7</v>
      </c>
    </row>
    <row r="3882" spans="1:6" x14ac:dyDescent="0.2">
      <c r="A3882">
        <f>[1]!hospitalinfo[[#This Row],[Facility ID]]</f>
        <v>371338</v>
      </c>
      <c r="B3882" t="str">
        <f>[1]!hospitalinfo[[#This Row],[State]]</f>
        <v>OK</v>
      </c>
      <c r="C3882" t="str">
        <f>[1]!hospitalinfo[[#This Row],[Hospital Type]]</f>
        <v>Critical Access Hospitals</v>
      </c>
      <c r="D3882" t="str">
        <f>[1]!hospitalinfo[[#This Row],[Hospital Ownership]]</f>
        <v>Voluntary non-profit - Other</v>
      </c>
      <c r="E3882" t="str" cm="1">
        <f t="array" ref="E3882">_xlfn.IFNA(_xlfn.XLOOKUP(1,([1]!hcahps[Facility ID] = clean[[#This Row],[Facility ID]]) * ([1]!hcahps[HCAHPS Measure ID] = "H_HSP_RATING_LINEAR_SCORE"), [1]!hcahps[HCAHPS Linear Mean Value]), "No Match")</f>
        <v>Not Available</v>
      </c>
      <c r="F3882" cm="1">
        <f t="array" ref="F3882">_xlfn.IFNA(_xlfn.XLOOKUP(1,([1]!readmissions[Facility ID] = clean[[#This Row],[Facility ID]]) * ([1]!readmissions[Measure ID] = "Hybrid_HWR"), [1]!readmissions[Score]), "No Match")</f>
        <v>15.2</v>
      </c>
    </row>
    <row r="3883" spans="1:6" x14ac:dyDescent="0.2">
      <c r="A3883">
        <f>[1]!hospitalinfo[[#This Row],[Facility ID]]</f>
        <v>371340</v>
      </c>
      <c r="B3883" t="str">
        <f>[1]!hospitalinfo[[#This Row],[State]]</f>
        <v>OK</v>
      </c>
      <c r="C3883" t="str">
        <f>[1]!hospitalinfo[[#This Row],[Hospital Type]]</f>
        <v>Critical Access Hospitals</v>
      </c>
      <c r="D3883" t="str">
        <f>[1]!hospitalinfo[[#This Row],[Hospital Ownership]]</f>
        <v>Government - Hospital District or Authority</v>
      </c>
      <c r="E3883" t="str" cm="1">
        <f t="array" ref="E3883">_xlfn.IFNA(_xlfn.XLOOKUP(1,([1]!hcahps[Facility ID] = clean[[#This Row],[Facility ID]]) * ([1]!hcahps[HCAHPS Measure ID] = "H_HSP_RATING_LINEAR_SCORE"), [1]!hcahps[HCAHPS Linear Mean Value]), "No Match")</f>
        <v>Not Available</v>
      </c>
      <c r="F3883" cm="1">
        <f t="array" ref="F3883">_xlfn.IFNA(_xlfn.XLOOKUP(1,([1]!readmissions[Facility ID] = clean[[#This Row],[Facility ID]]) * ([1]!readmissions[Measure ID] = "Hybrid_HWR"), [1]!readmissions[Score]), "No Match")</f>
        <v>15.5</v>
      </c>
    </row>
    <row r="3884" spans="1:6" x14ac:dyDescent="0.2">
      <c r="A3884">
        <f>[1]!hospitalinfo[[#This Row],[Facility ID]]</f>
        <v>371341</v>
      </c>
      <c r="B3884" t="str">
        <f>[1]!hospitalinfo[[#This Row],[State]]</f>
        <v>OK</v>
      </c>
      <c r="C3884" t="str">
        <f>[1]!hospitalinfo[[#This Row],[Hospital Type]]</f>
        <v>Critical Access Hospitals</v>
      </c>
      <c r="D3884" t="str">
        <f>[1]!hospitalinfo[[#This Row],[Hospital Ownership]]</f>
        <v>Government - Hospital District or Authority</v>
      </c>
      <c r="E3884" t="str" cm="1">
        <f t="array" ref="E3884">_xlfn.IFNA(_xlfn.XLOOKUP(1,([1]!hcahps[Facility ID] = clean[[#This Row],[Facility ID]]) * ([1]!hcahps[HCAHPS Measure ID] = "H_HSP_RATING_LINEAR_SCORE"), [1]!hcahps[HCAHPS Linear Mean Value]), "No Match")</f>
        <v>Not Available</v>
      </c>
      <c r="F3884" cm="1">
        <f t="array" ref="F3884">_xlfn.IFNA(_xlfn.XLOOKUP(1,([1]!readmissions[Facility ID] = clean[[#This Row],[Facility ID]]) * ([1]!readmissions[Measure ID] = "Hybrid_HWR"), [1]!readmissions[Score]), "No Match")</f>
        <v>15.2</v>
      </c>
    </row>
    <row r="3885" spans="1:6" x14ac:dyDescent="0.2">
      <c r="A3885">
        <f>[1]!hospitalinfo[[#This Row],[Facility ID]]</f>
        <v>371342</v>
      </c>
      <c r="B3885" t="str">
        <f>[1]!hospitalinfo[[#This Row],[State]]</f>
        <v>OK</v>
      </c>
      <c r="C3885" t="str">
        <f>[1]!hospitalinfo[[#This Row],[Hospital Type]]</f>
        <v>Critical Access Hospitals</v>
      </c>
      <c r="D3885" t="str">
        <f>[1]!hospitalinfo[[#This Row],[Hospital Ownership]]</f>
        <v>Voluntary non-profit - Private</v>
      </c>
      <c r="E3885" t="str" cm="1">
        <f t="array" ref="E3885">_xlfn.IFNA(_xlfn.XLOOKUP(1,([1]!hcahps[Facility ID] = clean[[#This Row],[Facility ID]]) * ([1]!hcahps[HCAHPS Measure ID] = "H_HSP_RATING_LINEAR_SCORE"), [1]!hcahps[HCAHPS Linear Mean Value]), "No Match")</f>
        <v>Not Available</v>
      </c>
      <c r="F3885" cm="1">
        <f t="array" ref="F3885">_xlfn.IFNA(_xlfn.XLOOKUP(1,([1]!readmissions[Facility ID] = clean[[#This Row],[Facility ID]]) * ([1]!readmissions[Measure ID] = "Hybrid_HWR"), [1]!readmissions[Score]), "No Match")</f>
        <v>15.5</v>
      </c>
    </row>
    <row r="3886" spans="1:6" x14ac:dyDescent="0.2">
      <c r="A3886">
        <f>[1]!hospitalinfo[[#This Row],[Facility ID]]</f>
        <v>373300</v>
      </c>
      <c r="B3886" t="str">
        <f>[1]!hospitalinfo[[#This Row],[State]]</f>
        <v>OK</v>
      </c>
      <c r="C3886" t="str">
        <f>[1]!hospitalinfo[[#This Row],[Hospital Type]]</f>
        <v>Childrens</v>
      </c>
      <c r="D3886" t="str">
        <f>[1]!hospitalinfo[[#This Row],[Hospital Ownership]]</f>
        <v>Government - State</v>
      </c>
      <c r="E3886" t="str" cm="1">
        <f t="array" ref="E3886">_xlfn.IFNA(_xlfn.XLOOKUP(1,([1]!hcahps[Facility ID] = clean[[#This Row],[Facility ID]]) * ([1]!hcahps[HCAHPS Measure ID] = "H_HSP_RATING_LINEAR_SCORE"), [1]!hcahps[HCAHPS Linear Mean Value]), "No Match")</f>
        <v>Not Available</v>
      </c>
      <c r="F3886" t="str" cm="1">
        <f t="array" ref="F3886">_xlfn.IFNA(_xlfn.XLOOKUP(1,([1]!readmissions[Facility ID] = clean[[#This Row],[Facility ID]]) * ([1]!readmissions[Measure ID] = "Hybrid_HWR"), [1]!readmissions[Score]), "No Match")</f>
        <v>Not Available</v>
      </c>
    </row>
    <row r="3887" spans="1:6" x14ac:dyDescent="0.2">
      <c r="A3887">
        <f>[1]!hospitalinfo[[#This Row],[Facility ID]]</f>
        <v>373303</v>
      </c>
      <c r="B3887" t="str">
        <f>[1]!hospitalinfo[[#This Row],[State]]</f>
        <v>OK</v>
      </c>
      <c r="C3887" t="str">
        <f>[1]!hospitalinfo[[#This Row],[Hospital Type]]</f>
        <v>Childrens</v>
      </c>
      <c r="D3887" t="str">
        <f>[1]!hospitalinfo[[#This Row],[Hospital Ownership]]</f>
        <v>Voluntary non-profit - Private</v>
      </c>
      <c r="E3887" t="str" cm="1">
        <f t="array" ref="E3887">_xlfn.IFNA(_xlfn.XLOOKUP(1,([1]!hcahps[Facility ID] = clean[[#This Row],[Facility ID]]) * ([1]!hcahps[HCAHPS Measure ID] = "H_HSP_RATING_LINEAR_SCORE"), [1]!hcahps[HCAHPS Linear Mean Value]), "No Match")</f>
        <v>Not Available</v>
      </c>
      <c r="F3887" t="str" cm="1">
        <f t="array" ref="F3887">_xlfn.IFNA(_xlfn.XLOOKUP(1,([1]!readmissions[Facility ID] = clean[[#This Row],[Facility ID]]) * ([1]!readmissions[Measure ID] = "Hybrid_HWR"), [1]!readmissions[Score]), "No Match")</f>
        <v>Not Available</v>
      </c>
    </row>
    <row r="3888" spans="1:6" x14ac:dyDescent="0.2">
      <c r="A3888">
        <f>[1]!hospitalinfo[[#This Row],[Facility ID]]</f>
        <v>374000</v>
      </c>
      <c r="B3888" t="str">
        <f>[1]!hospitalinfo[[#This Row],[State]]</f>
        <v>OK</v>
      </c>
      <c r="C3888" t="str">
        <f>[1]!hospitalinfo[[#This Row],[Hospital Type]]</f>
        <v>Psychiatric</v>
      </c>
      <c r="D3888" t="str">
        <f>[1]!hospitalinfo[[#This Row],[Hospital Ownership]]</f>
        <v>Government - State</v>
      </c>
      <c r="E3888" t="str" cm="1">
        <f t="array" ref="E3888">_xlfn.IFNA(_xlfn.XLOOKUP(1,([1]!hcahps[Facility ID] = clean[[#This Row],[Facility ID]]) * ([1]!hcahps[HCAHPS Measure ID] = "H_HSP_RATING_LINEAR_SCORE"), [1]!hcahps[HCAHPS Linear Mean Value]), "No Match")</f>
        <v>No Match</v>
      </c>
      <c r="F3888" t="str" cm="1">
        <f t="array" ref="F3888">_xlfn.IFNA(_xlfn.XLOOKUP(1,([1]!readmissions[Facility ID] = clean[[#This Row],[Facility ID]]) * ([1]!readmissions[Measure ID] = "Hybrid_HWR"), [1]!readmissions[Score]), "No Match")</f>
        <v>No Match</v>
      </c>
    </row>
    <row r="3889" spans="1:6" x14ac:dyDescent="0.2">
      <c r="A3889">
        <f>[1]!hospitalinfo[[#This Row],[Facility ID]]</f>
        <v>374001</v>
      </c>
      <c r="B3889" t="str">
        <f>[1]!hospitalinfo[[#This Row],[State]]</f>
        <v>OK</v>
      </c>
      <c r="C3889" t="str">
        <f>[1]!hospitalinfo[[#This Row],[Hospital Type]]</f>
        <v>Psychiatric</v>
      </c>
      <c r="D3889" t="str">
        <f>[1]!hospitalinfo[[#This Row],[Hospital Ownership]]</f>
        <v>Government - State</v>
      </c>
      <c r="E3889" t="str" cm="1">
        <f t="array" ref="E3889">_xlfn.IFNA(_xlfn.XLOOKUP(1,([1]!hcahps[Facility ID] = clean[[#This Row],[Facility ID]]) * ([1]!hcahps[HCAHPS Measure ID] = "H_HSP_RATING_LINEAR_SCORE"), [1]!hcahps[HCAHPS Linear Mean Value]), "No Match")</f>
        <v>No Match</v>
      </c>
      <c r="F3889" t="str" cm="1">
        <f t="array" ref="F3889">_xlfn.IFNA(_xlfn.XLOOKUP(1,([1]!readmissions[Facility ID] = clean[[#This Row],[Facility ID]]) * ([1]!readmissions[Measure ID] = "Hybrid_HWR"), [1]!readmissions[Score]), "No Match")</f>
        <v>No Match</v>
      </c>
    </row>
    <row r="3890" spans="1:6" x14ac:dyDescent="0.2">
      <c r="A3890">
        <f>[1]!hospitalinfo[[#This Row],[Facility ID]]</f>
        <v>374006</v>
      </c>
      <c r="B3890" t="str">
        <f>[1]!hospitalinfo[[#This Row],[State]]</f>
        <v>OK</v>
      </c>
      <c r="C3890" t="str">
        <f>[1]!hospitalinfo[[#This Row],[Hospital Type]]</f>
        <v>Psychiatric</v>
      </c>
      <c r="D3890" t="str">
        <f>[1]!hospitalinfo[[#This Row],[Hospital Ownership]]</f>
        <v>Government - State</v>
      </c>
      <c r="E3890" t="str" cm="1">
        <f t="array" ref="E3890">_xlfn.IFNA(_xlfn.XLOOKUP(1,([1]!hcahps[Facility ID] = clean[[#This Row],[Facility ID]]) * ([1]!hcahps[HCAHPS Measure ID] = "H_HSP_RATING_LINEAR_SCORE"), [1]!hcahps[HCAHPS Linear Mean Value]), "No Match")</f>
        <v>No Match</v>
      </c>
      <c r="F3890" t="str" cm="1">
        <f t="array" ref="F3890">_xlfn.IFNA(_xlfn.XLOOKUP(1,([1]!readmissions[Facility ID] = clean[[#This Row],[Facility ID]]) * ([1]!readmissions[Measure ID] = "Hybrid_HWR"), [1]!readmissions[Score]), "No Match")</f>
        <v>No Match</v>
      </c>
    </row>
    <row r="3891" spans="1:6" x14ac:dyDescent="0.2">
      <c r="A3891">
        <f>[1]!hospitalinfo[[#This Row],[Facility ID]]</f>
        <v>374008</v>
      </c>
      <c r="B3891" t="str">
        <f>[1]!hospitalinfo[[#This Row],[State]]</f>
        <v>OK</v>
      </c>
      <c r="C3891" t="str">
        <f>[1]!hospitalinfo[[#This Row],[Hospital Type]]</f>
        <v>Psychiatric</v>
      </c>
      <c r="D3891" t="str">
        <f>[1]!hospitalinfo[[#This Row],[Hospital Ownership]]</f>
        <v>Government - State</v>
      </c>
      <c r="E3891" t="str" cm="1">
        <f t="array" ref="E3891">_xlfn.IFNA(_xlfn.XLOOKUP(1,([1]!hcahps[Facility ID] = clean[[#This Row],[Facility ID]]) * ([1]!hcahps[HCAHPS Measure ID] = "H_HSP_RATING_LINEAR_SCORE"), [1]!hcahps[HCAHPS Linear Mean Value]), "No Match")</f>
        <v>No Match</v>
      </c>
      <c r="F3891" t="str" cm="1">
        <f t="array" ref="F3891">_xlfn.IFNA(_xlfn.XLOOKUP(1,([1]!readmissions[Facility ID] = clean[[#This Row],[Facility ID]]) * ([1]!readmissions[Measure ID] = "Hybrid_HWR"), [1]!readmissions[Score]), "No Match")</f>
        <v>No Match</v>
      </c>
    </row>
    <row r="3892" spans="1:6" x14ac:dyDescent="0.2">
      <c r="A3892">
        <f>[1]!hospitalinfo[[#This Row],[Facility ID]]</f>
        <v>374012</v>
      </c>
      <c r="B3892" t="str">
        <f>[1]!hospitalinfo[[#This Row],[State]]</f>
        <v>OK</v>
      </c>
      <c r="C3892" t="str">
        <f>[1]!hospitalinfo[[#This Row],[Hospital Type]]</f>
        <v>Psychiatric</v>
      </c>
      <c r="D3892" t="str">
        <f>[1]!hospitalinfo[[#This Row],[Hospital Ownership]]</f>
        <v>Proprietary</v>
      </c>
      <c r="E3892" t="str" cm="1">
        <f t="array" ref="E3892">_xlfn.IFNA(_xlfn.XLOOKUP(1,([1]!hcahps[Facility ID] = clean[[#This Row],[Facility ID]]) * ([1]!hcahps[HCAHPS Measure ID] = "H_HSP_RATING_LINEAR_SCORE"), [1]!hcahps[HCAHPS Linear Mean Value]), "No Match")</f>
        <v>No Match</v>
      </c>
      <c r="F3892" t="str" cm="1">
        <f t="array" ref="F3892">_xlfn.IFNA(_xlfn.XLOOKUP(1,([1]!readmissions[Facility ID] = clean[[#This Row],[Facility ID]]) * ([1]!readmissions[Measure ID] = "Hybrid_HWR"), [1]!readmissions[Score]), "No Match")</f>
        <v>No Match</v>
      </c>
    </row>
    <row r="3893" spans="1:6" x14ac:dyDescent="0.2">
      <c r="A3893">
        <f>[1]!hospitalinfo[[#This Row],[Facility ID]]</f>
        <v>374016</v>
      </c>
      <c r="B3893" t="str">
        <f>[1]!hospitalinfo[[#This Row],[State]]</f>
        <v>OK</v>
      </c>
      <c r="C3893" t="str">
        <f>[1]!hospitalinfo[[#This Row],[Hospital Type]]</f>
        <v>Psychiatric</v>
      </c>
      <c r="D3893" t="str">
        <f>[1]!hospitalinfo[[#This Row],[Hospital Ownership]]</f>
        <v>Proprietary</v>
      </c>
      <c r="E3893" t="str" cm="1">
        <f t="array" ref="E3893">_xlfn.IFNA(_xlfn.XLOOKUP(1,([1]!hcahps[Facility ID] = clean[[#This Row],[Facility ID]]) * ([1]!hcahps[HCAHPS Measure ID] = "H_HSP_RATING_LINEAR_SCORE"), [1]!hcahps[HCAHPS Linear Mean Value]), "No Match")</f>
        <v>No Match</v>
      </c>
      <c r="F3893" t="str" cm="1">
        <f t="array" ref="F3893">_xlfn.IFNA(_xlfn.XLOOKUP(1,([1]!readmissions[Facility ID] = clean[[#This Row],[Facility ID]]) * ([1]!readmissions[Measure ID] = "Hybrid_HWR"), [1]!readmissions[Score]), "No Match")</f>
        <v>No Match</v>
      </c>
    </row>
    <row r="3894" spans="1:6" x14ac:dyDescent="0.2">
      <c r="A3894">
        <f>[1]!hospitalinfo[[#This Row],[Facility ID]]</f>
        <v>374020</v>
      </c>
      <c r="B3894" t="str">
        <f>[1]!hospitalinfo[[#This Row],[State]]</f>
        <v>OK</v>
      </c>
      <c r="C3894" t="str">
        <f>[1]!hospitalinfo[[#This Row],[Hospital Type]]</f>
        <v>Psychiatric</v>
      </c>
      <c r="D3894" t="str">
        <f>[1]!hospitalinfo[[#This Row],[Hospital Ownership]]</f>
        <v>Voluntary non-profit - Private</v>
      </c>
      <c r="E3894" t="str" cm="1">
        <f t="array" ref="E3894">_xlfn.IFNA(_xlfn.XLOOKUP(1,([1]!hcahps[Facility ID] = clean[[#This Row],[Facility ID]]) * ([1]!hcahps[HCAHPS Measure ID] = "H_HSP_RATING_LINEAR_SCORE"), [1]!hcahps[HCAHPS Linear Mean Value]), "No Match")</f>
        <v>No Match</v>
      </c>
      <c r="F3894" t="str" cm="1">
        <f t="array" ref="F3894">_xlfn.IFNA(_xlfn.XLOOKUP(1,([1]!readmissions[Facility ID] = clean[[#This Row],[Facility ID]]) * ([1]!readmissions[Measure ID] = "Hybrid_HWR"), [1]!readmissions[Score]), "No Match")</f>
        <v>No Match</v>
      </c>
    </row>
    <row r="3895" spans="1:6" x14ac:dyDescent="0.2">
      <c r="A3895">
        <f>[1]!hospitalinfo[[#This Row],[Facility ID]]</f>
        <v>374021</v>
      </c>
      <c r="B3895" t="str">
        <f>[1]!hospitalinfo[[#This Row],[State]]</f>
        <v>OK</v>
      </c>
      <c r="C3895" t="str">
        <f>[1]!hospitalinfo[[#This Row],[Hospital Type]]</f>
        <v>Psychiatric</v>
      </c>
      <c r="D3895" t="str">
        <f>[1]!hospitalinfo[[#This Row],[Hospital Ownership]]</f>
        <v>Voluntary non-profit - Private</v>
      </c>
      <c r="E3895" t="str" cm="1">
        <f t="array" ref="E3895">_xlfn.IFNA(_xlfn.XLOOKUP(1,([1]!hcahps[Facility ID] = clean[[#This Row],[Facility ID]]) * ([1]!hcahps[HCAHPS Measure ID] = "H_HSP_RATING_LINEAR_SCORE"), [1]!hcahps[HCAHPS Linear Mean Value]), "No Match")</f>
        <v>No Match</v>
      </c>
      <c r="F3895" t="str" cm="1">
        <f t="array" ref="F3895">_xlfn.IFNA(_xlfn.XLOOKUP(1,([1]!readmissions[Facility ID] = clean[[#This Row],[Facility ID]]) * ([1]!readmissions[Measure ID] = "Hybrid_HWR"), [1]!readmissions[Score]), "No Match")</f>
        <v>No Match</v>
      </c>
    </row>
    <row r="3896" spans="1:6" x14ac:dyDescent="0.2">
      <c r="A3896">
        <f>[1]!hospitalinfo[[#This Row],[Facility ID]]</f>
        <v>374023</v>
      </c>
      <c r="B3896" t="str">
        <f>[1]!hospitalinfo[[#This Row],[State]]</f>
        <v>OK</v>
      </c>
      <c r="C3896" t="str">
        <f>[1]!hospitalinfo[[#This Row],[Hospital Type]]</f>
        <v>Psychiatric</v>
      </c>
      <c r="D3896" t="str">
        <f>[1]!hospitalinfo[[#This Row],[Hospital Ownership]]</f>
        <v>Proprietary</v>
      </c>
      <c r="E3896" t="str" cm="1">
        <f t="array" ref="E3896">_xlfn.IFNA(_xlfn.XLOOKUP(1,([1]!hcahps[Facility ID] = clean[[#This Row],[Facility ID]]) * ([1]!hcahps[HCAHPS Measure ID] = "H_HSP_RATING_LINEAR_SCORE"), [1]!hcahps[HCAHPS Linear Mean Value]), "No Match")</f>
        <v>No Match</v>
      </c>
      <c r="F3896" t="str" cm="1">
        <f t="array" ref="F3896">_xlfn.IFNA(_xlfn.XLOOKUP(1,([1]!readmissions[Facility ID] = clean[[#This Row],[Facility ID]]) * ([1]!readmissions[Measure ID] = "Hybrid_HWR"), [1]!readmissions[Score]), "No Match")</f>
        <v>No Match</v>
      </c>
    </row>
    <row r="3897" spans="1:6" x14ac:dyDescent="0.2">
      <c r="A3897">
        <f>[1]!hospitalinfo[[#This Row],[Facility ID]]</f>
        <v>374025</v>
      </c>
      <c r="B3897" t="str">
        <f>[1]!hospitalinfo[[#This Row],[State]]</f>
        <v>OK</v>
      </c>
      <c r="C3897" t="str">
        <f>[1]!hospitalinfo[[#This Row],[Hospital Type]]</f>
        <v>Psychiatric</v>
      </c>
      <c r="D3897" t="str">
        <f>[1]!hospitalinfo[[#This Row],[Hospital Ownership]]</f>
        <v>Proprietary</v>
      </c>
      <c r="E3897" t="str" cm="1">
        <f t="array" ref="E3897">_xlfn.IFNA(_xlfn.XLOOKUP(1,([1]!hcahps[Facility ID] = clean[[#This Row],[Facility ID]]) * ([1]!hcahps[HCAHPS Measure ID] = "H_HSP_RATING_LINEAR_SCORE"), [1]!hcahps[HCAHPS Linear Mean Value]), "No Match")</f>
        <v>No Match</v>
      </c>
      <c r="F3897" t="str" cm="1">
        <f t="array" ref="F3897">_xlfn.IFNA(_xlfn.XLOOKUP(1,([1]!readmissions[Facility ID] = clean[[#This Row],[Facility ID]]) * ([1]!readmissions[Measure ID] = "Hybrid_HWR"), [1]!readmissions[Score]), "No Match")</f>
        <v>No Match</v>
      </c>
    </row>
    <row r="3898" spans="1:6" x14ac:dyDescent="0.2">
      <c r="A3898">
        <f>[1]!hospitalinfo[[#This Row],[Facility ID]]</f>
        <v>374026</v>
      </c>
      <c r="B3898" t="str">
        <f>[1]!hospitalinfo[[#This Row],[State]]</f>
        <v>OK</v>
      </c>
      <c r="C3898" t="str">
        <f>[1]!hospitalinfo[[#This Row],[Hospital Type]]</f>
        <v>Psychiatric</v>
      </c>
      <c r="D3898" t="str">
        <f>[1]!hospitalinfo[[#This Row],[Hospital Ownership]]</f>
        <v>Government - State</v>
      </c>
      <c r="E3898" t="str" cm="1">
        <f t="array" ref="E3898">_xlfn.IFNA(_xlfn.XLOOKUP(1,([1]!hcahps[Facility ID] = clean[[#This Row],[Facility ID]]) * ([1]!hcahps[HCAHPS Measure ID] = "H_HSP_RATING_LINEAR_SCORE"), [1]!hcahps[HCAHPS Linear Mean Value]), "No Match")</f>
        <v>No Match</v>
      </c>
      <c r="F3898" t="str" cm="1">
        <f t="array" ref="F3898">_xlfn.IFNA(_xlfn.XLOOKUP(1,([1]!readmissions[Facility ID] = clean[[#This Row],[Facility ID]]) * ([1]!readmissions[Measure ID] = "Hybrid_HWR"), [1]!readmissions[Score]), "No Match")</f>
        <v>No Match</v>
      </c>
    </row>
    <row r="3899" spans="1:6" x14ac:dyDescent="0.2">
      <c r="A3899">
        <f>[1]!hospitalinfo[[#This Row],[Facility ID]]</f>
        <v>374027</v>
      </c>
      <c r="B3899" t="str">
        <f>[1]!hospitalinfo[[#This Row],[State]]</f>
        <v>OK</v>
      </c>
      <c r="C3899" t="str">
        <f>[1]!hospitalinfo[[#This Row],[Hospital Type]]</f>
        <v>Psychiatric</v>
      </c>
      <c r="D3899" t="str">
        <f>[1]!hospitalinfo[[#This Row],[Hospital Ownership]]</f>
        <v>Proprietary</v>
      </c>
      <c r="E3899" t="str" cm="1">
        <f t="array" ref="E3899">_xlfn.IFNA(_xlfn.XLOOKUP(1,([1]!hcahps[Facility ID] = clean[[#This Row],[Facility ID]]) * ([1]!hcahps[HCAHPS Measure ID] = "H_HSP_RATING_LINEAR_SCORE"), [1]!hcahps[HCAHPS Linear Mean Value]), "No Match")</f>
        <v>No Match</v>
      </c>
      <c r="F3899" t="str" cm="1">
        <f t="array" ref="F3899">_xlfn.IFNA(_xlfn.XLOOKUP(1,([1]!readmissions[Facility ID] = clean[[#This Row],[Facility ID]]) * ([1]!readmissions[Measure ID] = "Hybrid_HWR"), [1]!readmissions[Score]), "No Match")</f>
        <v>No Match</v>
      </c>
    </row>
    <row r="3900" spans="1:6" x14ac:dyDescent="0.2">
      <c r="A3900" t="str">
        <f>[1]!hospitalinfo[[#This Row],[Facility ID]]</f>
        <v>37012F</v>
      </c>
      <c r="B3900" t="str">
        <f>[1]!hospitalinfo[[#This Row],[State]]</f>
        <v>OK</v>
      </c>
      <c r="C3900" t="str">
        <f>[1]!hospitalinfo[[#This Row],[Hospital Type]]</f>
        <v>Acute Care - Veterans Administration</v>
      </c>
      <c r="D3900" t="str">
        <f>[1]!hospitalinfo[[#This Row],[Hospital Ownership]]</f>
        <v>Veterans Health Administration</v>
      </c>
      <c r="E3900" cm="1">
        <f t="array" ref="E3900">_xlfn.IFNA(_xlfn.XLOOKUP(1,([1]!hcahps[Facility ID] = clean[[#This Row],[Facility ID]]) * ([1]!hcahps[HCAHPS Measure ID] = "H_HSP_RATING_LINEAR_SCORE"), [1]!hcahps[HCAHPS Linear Mean Value]), "No Match")</f>
        <v>92</v>
      </c>
      <c r="F3900" cm="1">
        <f t="array" ref="F3900">_xlfn.IFNA(_xlfn.XLOOKUP(1,([1]!readmissions[Facility ID] = clean[[#This Row],[Facility ID]]) * ([1]!readmissions[Measure ID] = "Hybrid_HWR"), [1]!readmissions[Score]), "No Match")</f>
        <v>13.3</v>
      </c>
    </row>
    <row r="3901" spans="1:6" x14ac:dyDescent="0.2">
      <c r="A3901" t="str">
        <f>[1]!hospitalinfo[[#This Row],[Facility ID]]</f>
        <v>37014F</v>
      </c>
      <c r="B3901" t="str">
        <f>[1]!hospitalinfo[[#This Row],[State]]</f>
        <v>OK</v>
      </c>
      <c r="C3901" t="str">
        <f>[1]!hospitalinfo[[#This Row],[Hospital Type]]</f>
        <v>Acute Care - Veterans Administration</v>
      </c>
      <c r="D3901" t="str">
        <f>[1]!hospitalinfo[[#This Row],[Hospital Ownership]]</f>
        <v>Veterans Health Administration</v>
      </c>
      <c r="E3901" cm="1">
        <f t="array" ref="E3901">_xlfn.IFNA(_xlfn.XLOOKUP(1,([1]!hcahps[Facility ID] = clean[[#This Row],[Facility ID]]) * ([1]!hcahps[HCAHPS Measure ID] = "H_HSP_RATING_LINEAR_SCORE"), [1]!hcahps[HCAHPS Linear Mean Value]), "No Match")</f>
        <v>89</v>
      </c>
      <c r="F3901" cm="1">
        <f t="array" ref="F3901">_xlfn.IFNA(_xlfn.XLOOKUP(1,([1]!readmissions[Facility ID] = clean[[#This Row],[Facility ID]]) * ([1]!readmissions[Measure ID] = "Hybrid_HWR"), [1]!readmissions[Score]), "No Match")</f>
        <v>15</v>
      </c>
    </row>
    <row r="3902" spans="1:6" x14ac:dyDescent="0.2">
      <c r="A3902">
        <f>[1]!hospitalinfo[[#This Row],[Facility ID]]</f>
        <v>380001</v>
      </c>
      <c r="B3902" t="str">
        <f>[1]!hospitalinfo[[#This Row],[State]]</f>
        <v>OR</v>
      </c>
      <c r="C3902" t="str">
        <f>[1]!hospitalinfo[[#This Row],[Hospital Type]]</f>
        <v>Acute Care Hospitals</v>
      </c>
      <c r="D3902" t="str">
        <f>[1]!hospitalinfo[[#This Row],[Hospital Ownership]]</f>
        <v>Voluntary non-profit - Other</v>
      </c>
      <c r="E3902" cm="1">
        <f t="array" ref="E3902">_xlfn.IFNA(_xlfn.XLOOKUP(1,([1]!hcahps[Facility ID] = clean[[#This Row],[Facility ID]]) * ([1]!hcahps[HCAHPS Measure ID] = "H_HSP_RATING_LINEAR_SCORE"), [1]!hcahps[HCAHPS Linear Mean Value]), "No Match")</f>
        <v>86</v>
      </c>
      <c r="F3902" cm="1">
        <f t="array" ref="F3902">_xlfn.IFNA(_xlfn.XLOOKUP(1,([1]!readmissions[Facility ID] = clean[[#This Row],[Facility ID]]) * ([1]!readmissions[Measure ID] = "Hybrid_HWR"), [1]!readmissions[Score]), "No Match")</f>
        <v>13.9</v>
      </c>
    </row>
    <row r="3903" spans="1:6" x14ac:dyDescent="0.2">
      <c r="A3903">
        <f>[1]!hospitalinfo[[#This Row],[Facility ID]]</f>
        <v>380002</v>
      </c>
      <c r="B3903" t="str">
        <f>[1]!hospitalinfo[[#This Row],[State]]</f>
        <v>OR</v>
      </c>
      <c r="C3903" t="str">
        <f>[1]!hospitalinfo[[#This Row],[Hospital Type]]</f>
        <v>Acute Care Hospitals</v>
      </c>
      <c r="D3903" t="str">
        <f>[1]!hospitalinfo[[#This Row],[Hospital Ownership]]</f>
        <v>Voluntary non-profit - Other</v>
      </c>
      <c r="E3903" cm="1">
        <f t="array" ref="E3903">_xlfn.IFNA(_xlfn.XLOOKUP(1,([1]!hcahps[Facility ID] = clean[[#This Row],[Facility ID]]) * ([1]!hcahps[HCAHPS Measure ID] = "H_HSP_RATING_LINEAR_SCORE"), [1]!hcahps[HCAHPS Linear Mean Value]), "No Match")</f>
        <v>89</v>
      </c>
      <c r="F3903" cm="1">
        <f t="array" ref="F3903">_xlfn.IFNA(_xlfn.XLOOKUP(1,([1]!readmissions[Facility ID] = clean[[#This Row],[Facility ID]]) * ([1]!readmissions[Measure ID] = "Hybrid_HWR"), [1]!readmissions[Score]), "No Match")</f>
        <v>14.7</v>
      </c>
    </row>
    <row r="3904" spans="1:6" x14ac:dyDescent="0.2">
      <c r="A3904">
        <f>[1]!hospitalinfo[[#This Row],[Facility ID]]</f>
        <v>380004</v>
      </c>
      <c r="B3904" t="str">
        <f>[1]!hospitalinfo[[#This Row],[State]]</f>
        <v>OR</v>
      </c>
      <c r="C3904" t="str">
        <f>[1]!hospitalinfo[[#This Row],[Hospital Type]]</f>
        <v>Acute Care Hospitals</v>
      </c>
      <c r="D3904" t="str">
        <f>[1]!hospitalinfo[[#This Row],[Hospital Ownership]]</f>
        <v>Voluntary non-profit - Private</v>
      </c>
      <c r="E3904" cm="1">
        <f t="array" ref="E3904">_xlfn.IFNA(_xlfn.XLOOKUP(1,([1]!hcahps[Facility ID] = clean[[#This Row],[Facility ID]]) * ([1]!hcahps[HCAHPS Measure ID] = "H_HSP_RATING_LINEAR_SCORE"), [1]!hcahps[HCAHPS Linear Mean Value]), "No Match")</f>
        <v>90</v>
      </c>
      <c r="F3904" cm="1">
        <f t="array" ref="F3904">_xlfn.IFNA(_xlfn.XLOOKUP(1,([1]!readmissions[Facility ID] = clean[[#This Row],[Facility ID]]) * ([1]!readmissions[Measure ID] = "Hybrid_HWR"), [1]!readmissions[Score]), "No Match")</f>
        <v>14.5</v>
      </c>
    </row>
    <row r="3905" spans="1:6" x14ac:dyDescent="0.2">
      <c r="A3905">
        <f>[1]!hospitalinfo[[#This Row],[Facility ID]]</f>
        <v>380005</v>
      </c>
      <c r="B3905" t="str">
        <f>[1]!hospitalinfo[[#This Row],[State]]</f>
        <v>OR</v>
      </c>
      <c r="C3905" t="str">
        <f>[1]!hospitalinfo[[#This Row],[Hospital Type]]</f>
        <v>Acute Care Hospitals</v>
      </c>
      <c r="D3905" t="str">
        <f>[1]!hospitalinfo[[#This Row],[Hospital Ownership]]</f>
        <v>Government - Local</v>
      </c>
      <c r="E3905" cm="1">
        <f t="array" ref="E3905">_xlfn.IFNA(_xlfn.XLOOKUP(1,([1]!hcahps[Facility ID] = clean[[#This Row],[Facility ID]]) * ([1]!hcahps[HCAHPS Measure ID] = "H_HSP_RATING_LINEAR_SCORE"), [1]!hcahps[HCAHPS Linear Mean Value]), "No Match")</f>
        <v>91</v>
      </c>
      <c r="F3905" cm="1">
        <f t="array" ref="F3905">_xlfn.IFNA(_xlfn.XLOOKUP(1,([1]!readmissions[Facility ID] = clean[[#This Row],[Facility ID]]) * ([1]!readmissions[Measure ID] = "Hybrid_HWR"), [1]!readmissions[Score]), "No Match")</f>
        <v>14.3</v>
      </c>
    </row>
    <row r="3906" spans="1:6" x14ac:dyDescent="0.2">
      <c r="A3906">
        <f>[1]!hospitalinfo[[#This Row],[Facility ID]]</f>
        <v>380007</v>
      </c>
      <c r="B3906" t="str">
        <f>[1]!hospitalinfo[[#This Row],[State]]</f>
        <v>OR</v>
      </c>
      <c r="C3906" t="str">
        <f>[1]!hospitalinfo[[#This Row],[Hospital Type]]</f>
        <v>Acute Care Hospitals</v>
      </c>
      <c r="D3906" t="str">
        <f>[1]!hospitalinfo[[#This Row],[Hospital Ownership]]</f>
        <v>Voluntary non-profit - Private</v>
      </c>
      <c r="E3906" cm="1">
        <f t="array" ref="E3906">_xlfn.IFNA(_xlfn.XLOOKUP(1,([1]!hcahps[Facility ID] = clean[[#This Row],[Facility ID]]) * ([1]!hcahps[HCAHPS Measure ID] = "H_HSP_RATING_LINEAR_SCORE"), [1]!hcahps[HCAHPS Linear Mean Value]), "No Match")</f>
        <v>88</v>
      </c>
      <c r="F3906" cm="1">
        <f t="array" ref="F3906">_xlfn.IFNA(_xlfn.XLOOKUP(1,([1]!readmissions[Facility ID] = clean[[#This Row],[Facility ID]]) * ([1]!readmissions[Measure ID] = "Hybrid_HWR"), [1]!readmissions[Score]), "No Match")</f>
        <v>14.7</v>
      </c>
    </row>
    <row r="3907" spans="1:6" x14ac:dyDescent="0.2">
      <c r="A3907">
        <f>[1]!hospitalinfo[[#This Row],[Facility ID]]</f>
        <v>380009</v>
      </c>
      <c r="B3907" t="str">
        <f>[1]!hospitalinfo[[#This Row],[State]]</f>
        <v>OR</v>
      </c>
      <c r="C3907" t="str">
        <f>[1]!hospitalinfo[[#This Row],[Hospital Type]]</f>
        <v>Acute Care Hospitals</v>
      </c>
      <c r="D3907" t="str">
        <f>[1]!hospitalinfo[[#This Row],[Hospital Ownership]]</f>
        <v>Voluntary non-profit - Other</v>
      </c>
      <c r="E3907" cm="1">
        <f t="array" ref="E3907">_xlfn.IFNA(_xlfn.XLOOKUP(1,([1]!hcahps[Facility ID] = clean[[#This Row],[Facility ID]]) * ([1]!hcahps[HCAHPS Measure ID] = "H_HSP_RATING_LINEAR_SCORE"), [1]!hcahps[HCAHPS Linear Mean Value]), "No Match")</f>
        <v>88</v>
      </c>
      <c r="F3907" cm="1">
        <f t="array" ref="F3907">_xlfn.IFNA(_xlfn.XLOOKUP(1,([1]!readmissions[Facility ID] = clean[[#This Row],[Facility ID]]) * ([1]!readmissions[Measure ID] = "Hybrid_HWR"), [1]!readmissions[Score]), "No Match")</f>
        <v>14</v>
      </c>
    </row>
    <row r="3908" spans="1:6" x14ac:dyDescent="0.2">
      <c r="A3908">
        <f>[1]!hospitalinfo[[#This Row],[Facility ID]]</f>
        <v>380014</v>
      </c>
      <c r="B3908" t="str">
        <f>[1]!hospitalinfo[[#This Row],[State]]</f>
        <v>OR</v>
      </c>
      <c r="C3908" t="str">
        <f>[1]!hospitalinfo[[#This Row],[Hospital Type]]</f>
        <v>Acute Care Hospitals</v>
      </c>
      <c r="D3908" t="str">
        <f>[1]!hospitalinfo[[#This Row],[Hospital Ownership]]</f>
        <v>Voluntary non-profit - Private</v>
      </c>
      <c r="E3908" cm="1">
        <f t="array" ref="E3908">_xlfn.IFNA(_xlfn.XLOOKUP(1,([1]!hcahps[Facility ID] = clean[[#This Row],[Facility ID]]) * ([1]!hcahps[HCAHPS Measure ID] = "H_HSP_RATING_LINEAR_SCORE"), [1]!hcahps[HCAHPS Linear Mean Value]), "No Match")</f>
        <v>88</v>
      </c>
      <c r="F3908" cm="1">
        <f t="array" ref="F3908">_xlfn.IFNA(_xlfn.XLOOKUP(1,([1]!readmissions[Facility ID] = clean[[#This Row],[Facility ID]]) * ([1]!readmissions[Measure ID] = "Hybrid_HWR"), [1]!readmissions[Score]), "No Match")</f>
        <v>13.4</v>
      </c>
    </row>
    <row r="3909" spans="1:6" x14ac:dyDescent="0.2">
      <c r="A3909">
        <f>[1]!hospitalinfo[[#This Row],[Facility ID]]</f>
        <v>380017</v>
      </c>
      <c r="B3909" t="str">
        <f>[1]!hospitalinfo[[#This Row],[State]]</f>
        <v>OR</v>
      </c>
      <c r="C3909" t="str">
        <f>[1]!hospitalinfo[[#This Row],[Hospital Type]]</f>
        <v>Acute Care Hospitals</v>
      </c>
      <c r="D3909" t="str">
        <f>[1]!hospitalinfo[[#This Row],[Hospital Ownership]]</f>
        <v>Voluntary non-profit - Private</v>
      </c>
      <c r="E3909" cm="1">
        <f t="array" ref="E3909">_xlfn.IFNA(_xlfn.XLOOKUP(1,([1]!hcahps[Facility ID] = clean[[#This Row],[Facility ID]]) * ([1]!hcahps[HCAHPS Measure ID] = "H_HSP_RATING_LINEAR_SCORE"), [1]!hcahps[HCAHPS Linear Mean Value]), "No Match")</f>
        <v>89</v>
      </c>
      <c r="F3909" cm="1">
        <f t="array" ref="F3909">_xlfn.IFNA(_xlfn.XLOOKUP(1,([1]!readmissions[Facility ID] = clean[[#This Row],[Facility ID]]) * ([1]!readmissions[Measure ID] = "Hybrid_HWR"), [1]!readmissions[Score]), "No Match")</f>
        <v>14.1</v>
      </c>
    </row>
    <row r="3910" spans="1:6" x14ac:dyDescent="0.2">
      <c r="A3910">
        <f>[1]!hospitalinfo[[#This Row],[Facility ID]]</f>
        <v>380018</v>
      </c>
      <c r="B3910" t="str">
        <f>[1]!hospitalinfo[[#This Row],[State]]</f>
        <v>OR</v>
      </c>
      <c r="C3910" t="str">
        <f>[1]!hospitalinfo[[#This Row],[Hospital Type]]</f>
        <v>Acute Care Hospitals</v>
      </c>
      <c r="D3910" t="str">
        <f>[1]!hospitalinfo[[#This Row],[Hospital Ownership]]</f>
        <v>Voluntary non-profit - Private</v>
      </c>
      <c r="E3910" cm="1">
        <f t="array" ref="E3910">_xlfn.IFNA(_xlfn.XLOOKUP(1,([1]!hcahps[Facility ID] = clean[[#This Row],[Facility ID]]) * ([1]!hcahps[HCAHPS Measure ID] = "H_HSP_RATING_LINEAR_SCORE"), [1]!hcahps[HCAHPS Linear Mean Value]), "No Match")</f>
        <v>87</v>
      </c>
      <c r="F3910" cm="1">
        <f t="array" ref="F3910">_xlfn.IFNA(_xlfn.XLOOKUP(1,([1]!readmissions[Facility ID] = clean[[#This Row],[Facility ID]]) * ([1]!readmissions[Measure ID] = "Hybrid_HWR"), [1]!readmissions[Score]), "No Match")</f>
        <v>13.7</v>
      </c>
    </row>
    <row r="3911" spans="1:6" x14ac:dyDescent="0.2">
      <c r="A3911">
        <f>[1]!hospitalinfo[[#This Row],[Facility ID]]</f>
        <v>380020</v>
      </c>
      <c r="B3911" t="str">
        <f>[1]!hospitalinfo[[#This Row],[State]]</f>
        <v>OR</v>
      </c>
      <c r="C3911" t="str">
        <f>[1]!hospitalinfo[[#This Row],[Hospital Type]]</f>
        <v>Acute Care Hospitals</v>
      </c>
      <c r="D3911" t="str">
        <f>[1]!hospitalinfo[[#This Row],[Hospital Ownership]]</f>
        <v>Voluntary non-profit - Private</v>
      </c>
      <c r="E3911" cm="1">
        <f t="array" ref="E3911">_xlfn.IFNA(_xlfn.XLOOKUP(1,([1]!hcahps[Facility ID] = clean[[#This Row],[Facility ID]]) * ([1]!hcahps[HCAHPS Measure ID] = "H_HSP_RATING_LINEAR_SCORE"), [1]!hcahps[HCAHPS Linear Mean Value]), "No Match")</f>
        <v>90</v>
      </c>
      <c r="F3911" cm="1">
        <f t="array" ref="F3911">_xlfn.IFNA(_xlfn.XLOOKUP(1,([1]!readmissions[Facility ID] = clean[[#This Row],[Facility ID]]) * ([1]!readmissions[Measure ID] = "Hybrid_HWR"), [1]!readmissions[Score]), "No Match")</f>
        <v>13.6</v>
      </c>
    </row>
    <row r="3912" spans="1:6" x14ac:dyDescent="0.2">
      <c r="A3912">
        <f>[1]!hospitalinfo[[#This Row],[Facility ID]]</f>
        <v>380021</v>
      </c>
      <c r="B3912" t="str">
        <f>[1]!hospitalinfo[[#This Row],[State]]</f>
        <v>OR</v>
      </c>
      <c r="C3912" t="str">
        <f>[1]!hospitalinfo[[#This Row],[Hospital Type]]</f>
        <v>Acute Care Hospitals</v>
      </c>
      <c r="D3912" t="str">
        <f>[1]!hospitalinfo[[#This Row],[Hospital Ownership]]</f>
        <v>Voluntary non-profit - Private</v>
      </c>
      <c r="E3912" cm="1">
        <f t="array" ref="E3912">_xlfn.IFNA(_xlfn.XLOOKUP(1,([1]!hcahps[Facility ID] = clean[[#This Row],[Facility ID]]) * ([1]!hcahps[HCAHPS Measure ID] = "H_HSP_RATING_LINEAR_SCORE"), [1]!hcahps[HCAHPS Linear Mean Value]), "No Match")</f>
        <v>85</v>
      </c>
      <c r="F3912" cm="1">
        <f t="array" ref="F3912">_xlfn.IFNA(_xlfn.XLOOKUP(1,([1]!readmissions[Facility ID] = clean[[#This Row],[Facility ID]]) * ([1]!readmissions[Measure ID] = "Hybrid_HWR"), [1]!readmissions[Score]), "No Match")</f>
        <v>14.5</v>
      </c>
    </row>
    <row r="3913" spans="1:6" x14ac:dyDescent="0.2">
      <c r="A3913">
        <f>[1]!hospitalinfo[[#This Row],[Facility ID]]</f>
        <v>380022</v>
      </c>
      <c r="B3913" t="str">
        <f>[1]!hospitalinfo[[#This Row],[State]]</f>
        <v>OR</v>
      </c>
      <c r="C3913" t="str">
        <f>[1]!hospitalinfo[[#This Row],[Hospital Type]]</f>
        <v>Acute Care Hospitals</v>
      </c>
      <c r="D3913" t="str">
        <f>[1]!hospitalinfo[[#This Row],[Hospital Ownership]]</f>
        <v>Voluntary non-profit - Church</v>
      </c>
      <c r="E3913" cm="1">
        <f t="array" ref="E3913">_xlfn.IFNA(_xlfn.XLOOKUP(1,([1]!hcahps[Facility ID] = clean[[#This Row],[Facility ID]]) * ([1]!hcahps[HCAHPS Measure ID] = "H_HSP_RATING_LINEAR_SCORE"), [1]!hcahps[HCAHPS Linear Mean Value]), "No Match")</f>
        <v>90</v>
      </c>
      <c r="F3913" cm="1">
        <f t="array" ref="F3913">_xlfn.IFNA(_xlfn.XLOOKUP(1,([1]!readmissions[Facility ID] = clean[[#This Row],[Facility ID]]) * ([1]!readmissions[Measure ID] = "Hybrid_HWR"), [1]!readmissions[Score]), "No Match")</f>
        <v>13.4</v>
      </c>
    </row>
    <row r="3914" spans="1:6" x14ac:dyDescent="0.2">
      <c r="A3914">
        <f>[1]!hospitalinfo[[#This Row],[Facility ID]]</f>
        <v>380025</v>
      </c>
      <c r="B3914" t="str">
        <f>[1]!hospitalinfo[[#This Row],[State]]</f>
        <v>OR</v>
      </c>
      <c r="C3914" t="str">
        <f>[1]!hospitalinfo[[#This Row],[Hospital Type]]</f>
        <v>Acute Care Hospitals</v>
      </c>
      <c r="D3914" t="str">
        <f>[1]!hospitalinfo[[#This Row],[Hospital Ownership]]</f>
        <v>Voluntary non-profit - Private</v>
      </c>
      <c r="E3914" cm="1">
        <f t="array" ref="E3914">_xlfn.IFNA(_xlfn.XLOOKUP(1,([1]!hcahps[Facility ID] = clean[[#This Row],[Facility ID]]) * ([1]!hcahps[HCAHPS Measure ID] = "H_HSP_RATING_LINEAR_SCORE"), [1]!hcahps[HCAHPS Linear Mean Value]), "No Match")</f>
        <v>88</v>
      </c>
      <c r="F3914" cm="1">
        <f t="array" ref="F3914">_xlfn.IFNA(_xlfn.XLOOKUP(1,([1]!readmissions[Facility ID] = clean[[#This Row],[Facility ID]]) * ([1]!readmissions[Measure ID] = "Hybrid_HWR"), [1]!readmissions[Score]), "No Match")</f>
        <v>14.4</v>
      </c>
    </row>
    <row r="3915" spans="1:6" x14ac:dyDescent="0.2">
      <c r="A3915">
        <f>[1]!hospitalinfo[[#This Row],[Facility ID]]</f>
        <v>380027</v>
      </c>
      <c r="B3915" t="str">
        <f>[1]!hospitalinfo[[#This Row],[State]]</f>
        <v>OR</v>
      </c>
      <c r="C3915" t="str">
        <f>[1]!hospitalinfo[[#This Row],[Hospital Type]]</f>
        <v>Acute Care Hospitals</v>
      </c>
      <c r="D3915" t="str">
        <f>[1]!hospitalinfo[[#This Row],[Hospital Ownership]]</f>
        <v>Government - Hospital District or Authority</v>
      </c>
      <c r="E3915" cm="1">
        <f t="array" ref="E3915">_xlfn.IFNA(_xlfn.XLOOKUP(1,([1]!hcahps[Facility ID] = clean[[#This Row],[Facility ID]]) * ([1]!hcahps[HCAHPS Measure ID] = "H_HSP_RATING_LINEAR_SCORE"), [1]!hcahps[HCAHPS Linear Mean Value]), "No Match")</f>
        <v>86</v>
      </c>
      <c r="F3915" cm="1">
        <f t="array" ref="F3915">_xlfn.IFNA(_xlfn.XLOOKUP(1,([1]!readmissions[Facility ID] = clean[[#This Row],[Facility ID]]) * ([1]!readmissions[Measure ID] = "Hybrid_HWR"), [1]!readmissions[Score]), "No Match")</f>
        <v>14.1</v>
      </c>
    </row>
    <row r="3916" spans="1:6" x14ac:dyDescent="0.2">
      <c r="A3916">
        <f>[1]!hospitalinfo[[#This Row],[Facility ID]]</f>
        <v>380029</v>
      </c>
      <c r="B3916" t="str">
        <f>[1]!hospitalinfo[[#This Row],[State]]</f>
        <v>OR</v>
      </c>
      <c r="C3916" t="str">
        <f>[1]!hospitalinfo[[#This Row],[Hospital Type]]</f>
        <v>Acute Care Hospitals</v>
      </c>
      <c r="D3916" t="str">
        <f>[1]!hospitalinfo[[#This Row],[Hospital Ownership]]</f>
        <v>Voluntary non-profit - Private</v>
      </c>
      <c r="E3916" cm="1">
        <f t="array" ref="E3916">_xlfn.IFNA(_xlfn.XLOOKUP(1,([1]!hcahps[Facility ID] = clean[[#This Row],[Facility ID]]) * ([1]!hcahps[HCAHPS Measure ID] = "H_HSP_RATING_LINEAR_SCORE"), [1]!hcahps[HCAHPS Linear Mean Value]), "No Match")</f>
        <v>90</v>
      </c>
      <c r="F3916" cm="1">
        <f t="array" ref="F3916">_xlfn.IFNA(_xlfn.XLOOKUP(1,([1]!readmissions[Facility ID] = clean[[#This Row],[Facility ID]]) * ([1]!readmissions[Measure ID] = "Hybrid_HWR"), [1]!readmissions[Score]), "No Match")</f>
        <v>14.7</v>
      </c>
    </row>
    <row r="3917" spans="1:6" x14ac:dyDescent="0.2">
      <c r="A3917">
        <f>[1]!hospitalinfo[[#This Row],[Facility ID]]</f>
        <v>380037</v>
      </c>
      <c r="B3917" t="str">
        <f>[1]!hospitalinfo[[#This Row],[State]]</f>
        <v>OR</v>
      </c>
      <c r="C3917" t="str">
        <f>[1]!hospitalinfo[[#This Row],[Hospital Type]]</f>
        <v>Acute Care Hospitals</v>
      </c>
      <c r="D3917" t="str">
        <f>[1]!hospitalinfo[[#This Row],[Hospital Ownership]]</f>
        <v>Voluntary non-profit - Church</v>
      </c>
      <c r="E3917" cm="1">
        <f t="array" ref="E3917">_xlfn.IFNA(_xlfn.XLOOKUP(1,([1]!hcahps[Facility ID] = clean[[#This Row],[Facility ID]]) * ([1]!hcahps[HCAHPS Measure ID] = "H_HSP_RATING_LINEAR_SCORE"), [1]!hcahps[HCAHPS Linear Mean Value]), "No Match")</f>
        <v>91</v>
      </c>
      <c r="F3917" cm="1">
        <f t="array" ref="F3917">_xlfn.IFNA(_xlfn.XLOOKUP(1,([1]!readmissions[Facility ID] = clean[[#This Row],[Facility ID]]) * ([1]!readmissions[Measure ID] = "Hybrid_HWR"), [1]!readmissions[Score]), "No Match")</f>
        <v>14.6</v>
      </c>
    </row>
    <row r="3918" spans="1:6" x14ac:dyDescent="0.2">
      <c r="A3918">
        <f>[1]!hospitalinfo[[#This Row],[Facility ID]]</f>
        <v>380038</v>
      </c>
      <c r="B3918" t="str">
        <f>[1]!hospitalinfo[[#This Row],[State]]</f>
        <v>OR</v>
      </c>
      <c r="C3918" t="str">
        <f>[1]!hospitalinfo[[#This Row],[Hospital Type]]</f>
        <v>Acute Care Hospitals</v>
      </c>
      <c r="D3918" t="str">
        <f>[1]!hospitalinfo[[#This Row],[Hospital Ownership]]</f>
        <v>Voluntary non-profit - Private</v>
      </c>
      <c r="E3918" cm="1">
        <f t="array" ref="E3918">_xlfn.IFNA(_xlfn.XLOOKUP(1,([1]!hcahps[Facility ID] = clean[[#This Row],[Facility ID]]) * ([1]!hcahps[HCAHPS Measure ID] = "H_HSP_RATING_LINEAR_SCORE"), [1]!hcahps[HCAHPS Linear Mean Value]), "No Match")</f>
        <v>88</v>
      </c>
      <c r="F3918" cm="1">
        <f t="array" ref="F3918">_xlfn.IFNA(_xlfn.XLOOKUP(1,([1]!readmissions[Facility ID] = clean[[#This Row],[Facility ID]]) * ([1]!readmissions[Measure ID] = "Hybrid_HWR"), [1]!readmissions[Score]), "No Match")</f>
        <v>14.2</v>
      </c>
    </row>
    <row r="3919" spans="1:6" x14ac:dyDescent="0.2">
      <c r="A3919">
        <f>[1]!hospitalinfo[[#This Row],[Facility ID]]</f>
        <v>380047</v>
      </c>
      <c r="B3919" t="str">
        <f>[1]!hospitalinfo[[#This Row],[State]]</f>
        <v>OR</v>
      </c>
      <c r="C3919" t="str">
        <f>[1]!hospitalinfo[[#This Row],[Hospital Type]]</f>
        <v>Acute Care Hospitals</v>
      </c>
      <c r="D3919" t="str">
        <f>[1]!hospitalinfo[[#This Row],[Hospital Ownership]]</f>
        <v>Voluntary non-profit - Private</v>
      </c>
      <c r="E3919" cm="1">
        <f t="array" ref="E3919">_xlfn.IFNA(_xlfn.XLOOKUP(1,([1]!hcahps[Facility ID] = clean[[#This Row],[Facility ID]]) * ([1]!hcahps[HCAHPS Measure ID] = "H_HSP_RATING_LINEAR_SCORE"), [1]!hcahps[HCAHPS Linear Mean Value]), "No Match")</f>
        <v>90</v>
      </c>
      <c r="F3919" cm="1">
        <f t="array" ref="F3919">_xlfn.IFNA(_xlfn.XLOOKUP(1,([1]!readmissions[Facility ID] = clean[[#This Row],[Facility ID]]) * ([1]!readmissions[Measure ID] = "Hybrid_HWR"), [1]!readmissions[Score]), "No Match")</f>
        <v>13.3</v>
      </c>
    </row>
    <row r="3920" spans="1:6" x14ac:dyDescent="0.2">
      <c r="A3920">
        <f>[1]!hospitalinfo[[#This Row],[Facility ID]]</f>
        <v>380050</v>
      </c>
      <c r="B3920" t="str">
        <f>[1]!hospitalinfo[[#This Row],[State]]</f>
        <v>OR</v>
      </c>
      <c r="C3920" t="str">
        <f>[1]!hospitalinfo[[#This Row],[Hospital Type]]</f>
        <v>Acute Care Hospitals</v>
      </c>
      <c r="D3920" t="str">
        <f>[1]!hospitalinfo[[#This Row],[Hospital Ownership]]</f>
        <v>Voluntary non-profit - Private</v>
      </c>
      <c r="E3920" cm="1">
        <f t="array" ref="E3920">_xlfn.IFNA(_xlfn.XLOOKUP(1,([1]!hcahps[Facility ID] = clean[[#This Row],[Facility ID]]) * ([1]!hcahps[HCAHPS Measure ID] = "H_HSP_RATING_LINEAR_SCORE"), [1]!hcahps[HCAHPS Linear Mean Value]), "No Match")</f>
        <v>88</v>
      </c>
      <c r="F3920" cm="1">
        <f t="array" ref="F3920">_xlfn.IFNA(_xlfn.XLOOKUP(1,([1]!readmissions[Facility ID] = clean[[#This Row],[Facility ID]]) * ([1]!readmissions[Measure ID] = "Hybrid_HWR"), [1]!readmissions[Score]), "No Match")</f>
        <v>14</v>
      </c>
    </row>
    <row r="3921" spans="1:6" x14ac:dyDescent="0.2">
      <c r="A3921">
        <f>[1]!hospitalinfo[[#This Row],[Facility ID]]</f>
        <v>380051</v>
      </c>
      <c r="B3921" t="str">
        <f>[1]!hospitalinfo[[#This Row],[State]]</f>
        <v>OR</v>
      </c>
      <c r="C3921" t="str">
        <f>[1]!hospitalinfo[[#This Row],[Hospital Type]]</f>
        <v>Acute Care Hospitals</v>
      </c>
      <c r="D3921" t="str">
        <f>[1]!hospitalinfo[[#This Row],[Hospital Ownership]]</f>
        <v>Voluntary non-profit - Other</v>
      </c>
      <c r="E3921" cm="1">
        <f t="array" ref="E3921">_xlfn.IFNA(_xlfn.XLOOKUP(1,([1]!hcahps[Facility ID] = clean[[#This Row],[Facility ID]]) * ([1]!hcahps[HCAHPS Measure ID] = "H_HSP_RATING_LINEAR_SCORE"), [1]!hcahps[HCAHPS Linear Mean Value]), "No Match")</f>
        <v>88</v>
      </c>
      <c r="F3921" cm="1">
        <f t="array" ref="F3921">_xlfn.IFNA(_xlfn.XLOOKUP(1,([1]!readmissions[Facility ID] = clean[[#This Row],[Facility ID]]) * ([1]!readmissions[Measure ID] = "Hybrid_HWR"), [1]!readmissions[Score]), "No Match")</f>
        <v>14</v>
      </c>
    </row>
    <row r="3922" spans="1:6" x14ac:dyDescent="0.2">
      <c r="A3922">
        <f>[1]!hospitalinfo[[#This Row],[Facility ID]]</f>
        <v>380052</v>
      </c>
      <c r="B3922" t="str">
        <f>[1]!hospitalinfo[[#This Row],[State]]</f>
        <v>OR</v>
      </c>
      <c r="C3922" t="str">
        <f>[1]!hospitalinfo[[#This Row],[Hospital Type]]</f>
        <v>Acute Care Hospitals</v>
      </c>
      <c r="D3922" t="str">
        <f>[1]!hospitalinfo[[#This Row],[Hospital Ownership]]</f>
        <v>Voluntary non-profit - Church</v>
      </c>
      <c r="E3922" cm="1">
        <f t="array" ref="E3922">_xlfn.IFNA(_xlfn.XLOOKUP(1,([1]!hcahps[Facility ID] = clean[[#This Row],[Facility ID]]) * ([1]!hcahps[HCAHPS Measure ID] = "H_HSP_RATING_LINEAR_SCORE"), [1]!hcahps[HCAHPS Linear Mean Value]), "No Match")</f>
        <v>89</v>
      </c>
      <c r="F3922" cm="1">
        <f t="array" ref="F3922">_xlfn.IFNA(_xlfn.XLOOKUP(1,([1]!readmissions[Facility ID] = clean[[#This Row],[Facility ID]]) * ([1]!readmissions[Measure ID] = "Hybrid_HWR"), [1]!readmissions[Score]), "No Match")</f>
        <v>14.5</v>
      </c>
    </row>
    <row r="3923" spans="1:6" x14ac:dyDescent="0.2">
      <c r="A3923">
        <f>[1]!hospitalinfo[[#This Row],[Facility ID]]</f>
        <v>380056</v>
      </c>
      <c r="B3923" t="str">
        <f>[1]!hospitalinfo[[#This Row],[State]]</f>
        <v>OR</v>
      </c>
      <c r="C3923" t="str">
        <f>[1]!hospitalinfo[[#This Row],[Hospital Type]]</f>
        <v>Acute Care Hospitals</v>
      </c>
      <c r="D3923" t="str">
        <f>[1]!hospitalinfo[[#This Row],[Hospital Ownership]]</f>
        <v>Voluntary non-profit - Private</v>
      </c>
      <c r="E3923" cm="1">
        <f t="array" ref="E3923">_xlfn.IFNA(_xlfn.XLOOKUP(1,([1]!hcahps[Facility ID] = clean[[#This Row],[Facility ID]]) * ([1]!hcahps[HCAHPS Measure ID] = "H_HSP_RATING_LINEAR_SCORE"), [1]!hcahps[HCAHPS Linear Mean Value]), "No Match")</f>
        <v>91</v>
      </c>
      <c r="F3923" cm="1">
        <f t="array" ref="F3923">_xlfn.IFNA(_xlfn.XLOOKUP(1,([1]!readmissions[Facility ID] = clean[[#This Row],[Facility ID]]) * ([1]!readmissions[Measure ID] = "Hybrid_HWR"), [1]!readmissions[Score]), "No Match")</f>
        <v>14.7</v>
      </c>
    </row>
    <row r="3924" spans="1:6" x14ac:dyDescent="0.2">
      <c r="A3924">
        <f>[1]!hospitalinfo[[#This Row],[Facility ID]]</f>
        <v>380060</v>
      </c>
      <c r="B3924" t="str">
        <f>[1]!hospitalinfo[[#This Row],[State]]</f>
        <v>OR</v>
      </c>
      <c r="C3924" t="str">
        <f>[1]!hospitalinfo[[#This Row],[Hospital Type]]</f>
        <v>Acute Care Hospitals</v>
      </c>
      <c r="D3924" t="str">
        <f>[1]!hospitalinfo[[#This Row],[Hospital Ownership]]</f>
        <v>Voluntary non-profit - Church</v>
      </c>
      <c r="E3924" cm="1">
        <f t="array" ref="E3924">_xlfn.IFNA(_xlfn.XLOOKUP(1,([1]!hcahps[Facility ID] = clean[[#This Row],[Facility ID]]) * ([1]!hcahps[HCAHPS Measure ID] = "H_HSP_RATING_LINEAR_SCORE"), [1]!hcahps[HCAHPS Linear Mean Value]), "No Match")</f>
        <v>88</v>
      </c>
      <c r="F3924" cm="1">
        <f t="array" ref="F3924">_xlfn.IFNA(_xlfn.XLOOKUP(1,([1]!readmissions[Facility ID] = clean[[#This Row],[Facility ID]]) * ([1]!readmissions[Measure ID] = "Hybrid_HWR"), [1]!readmissions[Score]), "No Match")</f>
        <v>14.6</v>
      </c>
    </row>
    <row r="3925" spans="1:6" x14ac:dyDescent="0.2">
      <c r="A3925">
        <f>[1]!hospitalinfo[[#This Row],[Facility ID]]</f>
        <v>380061</v>
      </c>
      <c r="B3925" t="str">
        <f>[1]!hospitalinfo[[#This Row],[State]]</f>
        <v>OR</v>
      </c>
      <c r="C3925" t="str">
        <f>[1]!hospitalinfo[[#This Row],[Hospital Type]]</f>
        <v>Acute Care Hospitals</v>
      </c>
      <c r="D3925" t="str">
        <f>[1]!hospitalinfo[[#This Row],[Hospital Ownership]]</f>
        <v>Voluntary non-profit - Private</v>
      </c>
      <c r="E3925" cm="1">
        <f t="array" ref="E3925">_xlfn.IFNA(_xlfn.XLOOKUP(1,([1]!hcahps[Facility ID] = clean[[#This Row],[Facility ID]]) * ([1]!hcahps[HCAHPS Measure ID] = "H_HSP_RATING_LINEAR_SCORE"), [1]!hcahps[HCAHPS Linear Mean Value]), "No Match")</f>
        <v>89</v>
      </c>
      <c r="F3925" cm="1">
        <f t="array" ref="F3925">_xlfn.IFNA(_xlfn.XLOOKUP(1,([1]!readmissions[Facility ID] = clean[[#This Row],[Facility ID]]) * ([1]!readmissions[Measure ID] = "Hybrid_HWR"), [1]!readmissions[Score]), "No Match")</f>
        <v>14.1</v>
      </c>
    </row>
    <row r="3926" spans="1:6" x14ac:dyDescent="0.2">
      <c r="A3926">
        <f>[1]!hospitalinfo[[#This Row],[Facility ID]]</f>
        <v>380071</v>
      </c>
      <c r="B3926" t="str">
        <f>[1]!hospitalinfo[[#This Row],[State]]</f>
        <v>OR</v>
      </c>
      <c r="C3926" t="str">
        <f>[1]!hospitalinfo[[#This Row],[Hospital Type]]</f>
        <v>Acute Care Hospitals</v>
      </c>
      <c r="D3926" t="str">
        <f>[1]!hospitalinfo[[#This Row],[Hospital Ownership]]</f>
        <v>Voluntary non-profit - Private</v>
      </c>
      <c r="E3926" cm="1">
        <f t="array" ref="E3926">_xlfn.IFNA(_xlfn.XLOOKUP(1,([1]!hcahps[Facility ID] = clean[[#This Row],[Facility ID]]) * ([1]!hcahps[HCAHPS Measure ID] = "H_HSP_RATING_LINEAR_SCORE"), [1]!hcahps[HCAHPS Linear Mean Value]), "No Match")</f>
        <v>87</v>
      </c>
      <c r="F3926" cm="1">
        <f t="array" ref="F3926">_xlfn.IFNA(_xlfn.XLOOKUP(1,([1]!readmissions[Facility ID] = clean[[#This Row],[Facility ID]]) * ([1]!readmissions[Measure ID] = "Hybrid_HWR"), [1]!readmissions[Score]), "No Match")</f>
        <v>14.8</v>
      </c>
    </row>
    <row r="3927" spans="1:6" x14ac:dyDescent="0.2">
      <c r="A3927">
        <f>[1]!hospitalinfo[[#This Row],[Facility ID]]</f>
        <v>380075</v>
      </c>
      <c r="B3927" t="str">
        <f>[1]!hospitalinfo[[#This Row],[State]]</f>
        <v>OR</v>
      </c>
      <c r="C3927" t="str">
        <f>[1]!hospitalinfo[[#This Row],[Hospital Type]]</f>
        <v>Acute Care Hospitals</v>
      </c>
      <c r="D3927" t="str">
        <f>[1]!hospitalinfo[[#This Row],[Hospital Ownership]]</f>
        <v>Voluntary non-profit - Church</v>
      </c>
      <c r="E3927" cm="1">
        <f t="array" ref="E3927">_xlfn.IFNA(_xlfn.XLOOKUP(1,([1]!hcahps[Facility ID] = clean[[#This Row],[Facility ID]]) * ([1]!hcahps[HCAHPS Measure ID] = "H_HSP_RATING_LINEAR_SCORE"), [1]!hcahps[HCAHPS Linear Mean Value]), "No Match")</f>
        <v>89</v>
      </c>
      <c r="F3927" cm="1">
        <f t="array" ref="F3927">_xlfn.IFNA(_xlfn.XLOOKUP(1,([1]!readmissions[Facility ID] = clean[[#This Row],[Facility ID]]) * ([1]!readmissions[Measure ID] = "Hybrid_HWR"), [1]!readmissions[Score]), "No Match")</f>
        <v>14.9</v>
      </c>
    </row>
    <row r="3928" spans="1:6" x14ac:dyDescent="0.2">
      <c r="A3928">
        <f>[1]!hospitalinfo[[#This Row],[Facility ID]]</f>
        <v>380082</v>
      </c>
      <c r="B3928" t="str">
        <f>[1]!hospitalinfo[[#This Row],[State]]</f>
        <v>OR</v>
      </c>
      <c r="C3928" t="str">
        <f>[1]!hospitalinfo[[#This Row],[Hospital Type]]</f>
        <v>Acute Care Hospitals</v>
      </c>
      <c r="D3928" t="str">
        <f>[1]!hospitalinfo[[#This Row],[Hospital Ownership]]</f>
        <v>Voluntary non-profit - Church</v>
      </c>
      <c r="E3928" cm="1">
        <f t="array" ref="E3928">_xlfn.IFNA(_xlfn.XLOOKUP(1,([1]!hcahps[Facility ID] = clean[[#This Row],[Facility ID]]) * ([1]!hcahps[HCAHPS Measure ID] = "H_HSP_RATING_LINEAR_SCORE"), [1]!hcahps[HCAHPS Linear Mean Value]), "No Match")</f>
        <v>87</v>
      </c>
      <c r="F3928" cm="1">
        <f t="array" ref="F3928">_xlfn.IFNA(_xlfn.XLOOKUP(1,([1]!readmissions[Facility ID] = clean[[#This Row],[Facility ID]]) * ([1]!readmissions[Measure ID] = "Hybrid_HWR"), [1]!readmissions[Score]), "No Match")</f>
        <v>14.4</v>
      </c>
    </row>
    <row r="3929" spans="1:6" x14ac:dyDescent="0.2">
      <c r="A3929">
        <f>[1]!hospitalinfo[[#This Row],[Facility ID]]</f>
        <v>380089</v>
      </c>
      <c r="B3929" t="str">
        <f>[1]!hospitalinfo[[#This Row],[State]]</f>
        <v>OR</v>
      </c>
      <c r="C3929" t="str">
        <f>[1]!hospitalinfo[[#This Row],[Hospital Type]]</f>
        <v>Acute Care Hospitals</v>
      </c>
      <c r="D3929" t="str">
        <f>[1]!hospitalinfo[[#This Row],[Hospital Ownership]]</f>
        <v>Voluntary non-profit - Private</v>
      </c>
      <c r="E3929" cm="1">
        <f t="array" ref="E3929">_xlfn.IFNA(_xlfn.XLOOKUP(1,([1]!hcahps[Facility ID] = clean[[#This Row],[Facility ID]]) * ([1]!hcahps[HCAHPS Measure ID] = "H_HSP_RATING_LINEAR_SCORE"), [1]!hcahps[HCAHPS Linear Mean Value]), "No Match")</f>
        <v>88</v>
      </c>
      <c r="F3929" cm="1">
        <f t="array" ref="F3929">_xlfn.IFNA(_xlfn.XLOOKUP(1,([1]!readmissions[Facility ID] = clean[[#This Row],[Facility ID]]) * ([1]!readmissions[Measure ID] = "Hybrid_HWR"), [1]!readmissions[Score]), "No Match")</f>
        <v>14.7</v>
      </c>
    </row>
    <row r="3930" spans="1:6" x14ac:dyDescent="0.2">
      <c r="A3930">
        <f>[1]!hospitalinfo[[#This Row],[Facility ID]]</f>
        <v>380090</v>
      </c>
      <c r="B3930" t="str">
        <f>[1]!hospitalinfo[[#This Row],[State]]</f>
        <v>OR</v>
      </c>
      <c r="C3930" t="str">
        <f>[1]!hospitalinfo[[#This Row],[Hospital Type]]</f>
        <v>Acute Care Hospitals</v>
      </c>
      <c r="D3930" t="str">
        <f>[1]!hospitalinfo[[#This Row],[Hospital Ownership]]</f>
        <v>Government - Hospital District or Authority</v>
      </c>
      <c r="E3930" cm="1">
        <f t="array" ref="E3930">_xlfn.IFNA(_xlfn.XLOOKUP(1,([1]!hcahps[Facility ID] = clean[[#This Row],[Facility ID]]) * ([1]!hcahps[HCAHPS Measure ID] = "H_HSP_RATING_LINEAR_SCORE"), [1]!hcahps[HCAHPS Linear Mean Value]), "No Match")</f>
        <v>87</v>
      </c>
      <c r="F3930" cm="1">
        <f t="array" ref="F3930">_xlfn.IFNA(_xlfn.XLOOKUP(1,([1]!readmissions[Facility ID] = clean[[#This Row],[Facility ID]]) * ([1]!readmissions[Measure ID] = "Hybrid_HWR"), [1]!readmissions[Score]), "No Match")</f>
        <v>15.2</v>
      </c>
    </row>
    <row r="3931" spans="1:6" x14ac:dyDescent="0.2">
      <c r="A3931">
        <f>[1]!hospitalinfo[[#This Row],[Facility ID]]</f>
        <v>380091</v>
      </c>
      <c r="B3931" t="str">
        <f>[1]!hospitalinfo[[#This Row],[State]]</f>
        <v>OR</v>
      </c>
      <c r="C3931" t="str">
        <f>[1]!hospitalinfo[[#This Row],[Hospital Type]]</f>
        <v>Acute Care Hospitals</v>
      </c>
      <c r="D3931" t="str">
        <f>[1]!hospitalinfo[[#This Row],[Hospital Ownership]]</f>
        <v>Voluntary non-profit - Other</v>
      </c>
      <c r="E3931" cm="1">
        <f t="array" ref="E3931">_xlfn.IFNA(_xlfn.XLOOKUP(1,([1]!hcahps[Facility ID] = clean[[#This Row],[Facility ID]]) * ([1]!hcahps[HCAHPS Measure ID] = "H_HSP_RATING_LINEAR_SCORE"), [1]!hcahps[HCAHPS Linear Mean Value]), "No Match")</f>
        <v>87</v>
      </c>
      <c r="F3931" cm="1">
        <f t="array" ref="F3931">_xlfn.IFNA(_xlfn.XLOOKUP(1,([1]!readmissions[Facility ID] = clean[[#This Row],[Facility ID]]) * ([1]!readmissions[Measure ID] = "Hybrid_HWR"), [1]!readmissions[Score]), "No Match")</f>
        <v>14.7</v>
      </c>
    </row>
    <row r="3932" spans="1:6" x14ac:dyDescent="0.2">
      <c r="A3932">
        <f>[1]!hospitalinfo[[#This Row],[Facility ID]]</f>
        <v>380102</v>
      </c>
      <c r="B3932" t="str">
        <f>[1]!hospitalinfo[[#This Row],[State]]</f>
        <v>OR</v>
      </c>
      <c r="C3932" t="str">
        <f>[1]!hospitalinfo[[#This Row],[Hospital Type]]</f>
        <v>Acute Care Hospitals</v>
      </c>
      <c r="D3932" t="str">
        <f>[1]!hospitalinfo[[#This Row],[Hospital Ownership]]</f>
        <v>Voluntary non-profit - Private</v>
      </c>
      <c r="E3932" cm="1">
        <f t="array" ref="E3932">_xlfn.IFNA(_xlfn.XLOOKUP(1,([1]!hcahps[Facility ID] = clean[[#This Row],[Facility ID]]) * ([1]!hcahps[HCAHPS Measure ID] = "H_HSP_RATING_LINEAR_SCORE"), [1]!hcahps[HCAHPS Linear Mean Value]), "No Match")</f>
        <v>90</v>
      </c>
      <c r="F3932" cm="1">
        <f t="array" ref="F3932">_xlfn.IFNA(_xlfn.XLOOKUP(1,([1]!readmissions[Facility ID] = clean[[#This Row],[Facility ID]]) * ([1]!readmissions[Measure ID] = "Hybrid_HWR"), [1]!readmissions[Score]), "No Match")</f>
        <v>12.8</v>
      </c>
    </row>
    <row r="3933" spans="1:6" x14ac:dyDescent="0.2">
      <c r="A3933">
        <f>[1]!hospitalinfo[[#This Row],[Facility ID]]</f>
        <v>380103</v>
      </c>
      <c r="B3933" t="str">
        <f>[1]!hospitalinfo[[#This Row],[State]]</f>
        <v>OR</v>
      </c>
      <c r="C3933" t="str">
        <f>[1]!hospitalinfo[[#This Row],[Hospital Type]]</f>
        <v>Acute Care Hospitals</v>
      </c>
      <c r="D3933" t="str">
        <f>[1]!hospitalinfo[[#This Row],[Hospital Ownership]]</f>
        <v>Voluntary non-profit - Private</v>
      </c>
      <c r="E3933" cm="1">
        <f t="array" ref="E3933">_xlfn.IFNA(_xlfn.XLOOKUP(1,([1]!hcahps[Facility ID] = clean[[#This Row],[Facility ID]]) * ([1]!hcahps[HCAHPS Measure ID] = "H_HSP_RATING_LINEAR_SCORE"), [1]!hcahps[HCAHPS Linear Mean Value]), "No Match")</f>
        <v>91</v>
      </c>
      <c r="F3933" cm="1">
        <f t="array" ref="F3933">_xlfn.IFNA(_xlfn.XLOOKUP(1,([1]!readmissions[Facility ID] = clean[[#This Row],[Facility ID]]) * ([1]!readmissions[Measure ID] = "Hybrid_HWR"), [1]!readmissions[Score]), "No Match")</f>
        <v>15</v>
      </c>
    </row>
    <row r="3934" spans="1:6" x14ac:dyDescent="0.2">
      <c r="A3934">
        <f>[1]!hospitalinfo[[#This Row],[Facility ID]]</f>
        <v>381301</v>
      </c>
      <c r="B3934" t="str">
        <f>[1]!hospitalinfo[[#This Row],[State]]</f>
        <v>OR</v>
      </c>
      <c r="C3934" t="str">
        <f>[1]!hospitalinfo[[#This Row],[Hospital Type]]</f>
        <v>Critical Access Hospitals</v>
      </c>
      <c r="D3934" t="str">
        <f>[1]!hospitalinfo[[#This Row],[Hospital Ownership]]</f>
        <v>Voluntary non-profit - Church</v>
      </c>
      <c r="E3934" t="str" cm="1">
        <f t="array" ref="E3934">_xlfn.IFNA(_xlfn.XLOOKUP(1,([1]!hcahps[Facility ID] = clean[[#This Row],[Facility ID]]) * ([1]!hcahps[HCAHPS Measure ID] = "H_HSP_RATING_LINEAR_SCORE"), [1]!hcahps[HCAHPS Linear Mean Value]), "No Match")</f>
        <v>Not Available</v>
      </c>
      <c r="F3934" cm="1">
        <f t="array" ref="F3934">_xlfn.IFNA(_xlfn.XLOOKUP(1,([1]!readmissions[Facility ID] = clean[[#This Row],[Facility ID]]) * ([1]!readmissions[Measure ID] = "Hybrid_HWR"), [1]!readmissions[Score]), "No Match")</f>
        <v>14.9</v>
      </c>
    </row>
    <row r="3935" spans="1:6" x14ac:dyDescent="0.2">
      <c r="A3935">
        <f>[1]!hospitalinfo[[#This Row],[Facility ID]]</f>
        <v>381302</v>
      </c>
      <c r="B3935" t="str">
        <f>[1]!hospitalinfo[[#This Row],[State]]</f>
        <v>OR</v>
      </c>
      <c r="C3935" t="str">
        <f>[1]!hospitalinfo[[#This Row],[Hospital Type]]</f>
        <v>Critical Access Hospitals</v>
      </c>
      <c r="D3935" t="str">
        <f>[1]!hospitalinfo[[#This Row],[Hospital Ownership]]</f>
        <v>Voluntary non-profit - Private</v>
      </c>
      <c r="E3935" cm="1">
        <f t="array" ref="E3935">_xlfn.IFNA(_xlfn.XLOOKUP(1,([1]!hcahps[Facility ID] = clean[[#This Row],[Facility ID]]) * ([1]!hcahps[HCAHPS Measure ID] = "H_HSP_RATING_LINEAR_SCORE"), [1]!hcahps[HCAHPS Linear Mean Value]), "No Match")</f>
        <v>90</v>
      </c>
      <c r="F3935" cm="1">
        <f t="array" ref="F3935">_xlfn.IFNA(_xlfn.XLOOKUP(1,([1]!readmissions[Facility ID] = clean[[#This Row],[Facility ID]]) * ([1]!readmissions[Measure ID] = "Hybrid_HWR"), [1]!readmissions[Score]), "No Match")</f>
        <v>13.9</v>
      </c>
    </row>
    <row r="3936" spans="1:6" x14ac:dyDescent="0.2">
      <c r="A3936">
        <f>[1]!hospitalinfo[[#This Row],[Facility ID]]</f>
        <v>381303</v>
      </c>
      <c r="B3936" t="str">
        <f>[1]!hospitalinfo[[#This Row],[State]]</f>
        <v>OR</v>
      </c>
      <c r="C3936" t="str">
        <f>[1]!hospitalinfo[[#This Row],[Hospital Type]]</f>
        <v>Critical Access Hospitals</v>
      </c>
      <c r="D3936" t="str">
        <f>[1]!hospitalinfo[[#This Row],[Hospital Ownership]]</f>
        <v>Voluntary non-profit - Church</v>
      </c>
      <c r="E3936" cm="1">
        <f t="array" ref="E3936">_xlfn.IFNA(_xlfn.XLOOKUP(1,([1]!hcahps[Facility ID] = clean[[#This Row],[Facility ID]]) * ([1]!hcahps[HCAHPS Measure ID] = "H_HSP_RATING_LINEAR_SCORE"), [1]!hcahps[HCAHPS Linear Mean Value]), "No Match")</f>
        <v>89</v>
      </c>
      <c r="F3936" cm="1">
        <f t="array" ref="F3936">_xlfn.IFNA(_xlfn.XLOOKUP(1,([1]!readmissions[Facility ID] = clean[[#This Row],[Facility ID]]) * ([1]!readmissions[Measure ID] = "Hybrid_HWR"), [1]!readmissions[Score]), "No Match")</f>
        <v>14.7</v>
      </c>
    </row>
    <row r="3937" spans="1:6" x14ac:dyDescent="0.2">
      <c r="A3937">
        <f>[1]!hospitalinfo[[#This Row],[Facility ID]]</f>
        <v>381304</v>
      </c>
      <c r="B3937" t="str">
        <f>[1]!hospitalinfo[[#This Row],[State]]</f>
        <v>OR</v>
      </c>
      <c r="C3937" t="str">
        <f>[1]!hospitalinfo[[#This Row],[Hospital Type]]</f>
        <v>Critical Access Hospitals</v>
      </c>
      <c r="D3937" t="str">
        <f>[1]!hospitalinfo[[#This Row],[Hospital Ownership]]</f>
        <v>Government - Hospital District or Authority</v>
      </c>
      <c r="E3937" t="str" cm="1">
        <f t="array" ref="E3937">_xlfn.IFNA(_xlfn.XLOOKUP(1,([1]!hcahps[Facility ID] = clean[[#This Row],[Facility ID]]) * ([1]!hcahps[HCAHPS Measure ID] = "H_HSP_RATING_LINEAR_SCORE"), [1]!hcahps[HCAHPS Linear Mean Value]), "No Match")</f>
        <v>Not Available</v>
      </c>
      <c r="F3937" cm="1">
        <f t="array" ref="F3937">_xlfn.IFNA(_xlfn.XLOOKUP(1,([1]!readmissions[Facility ID] = clean[[#This Row],[Facility ID]]) * ([1]!readmissions[Measure ID] = "Hybrid_HWR"), [1]!readmissions[Score]), "No Match")</f>
        <v>14.7</v>
      </c>
    </row>
    <row r="3938" spans="1:6" x14ac:dyDescent="0.2">
      <c r="A3938">
        <f>[1]!hospitalinfo[[#This Row],[Facility ID]]</f>
        <v>381305</v>
      </c>
      <c r="B3938" t="str">
        <f>[1]!hospitalinfo[[#This Row],[State]]</f>
        <v>OR</v>
      </c>
      <c r="C3938" t="str">
        <f>[1]!hospitalinfo[[#This Row],[Hospital Type]]</f>
        <v>Critical Access Hospitals</v>
      </c>
      <c r="D3938" t="str">
        <f>[1]!hospitalinfo[[#This Row],[Hospital Ownership]]</f>
        <v>Government - Hospital District or Authority</v>
      </c>
      <c r="E3938" t="str" cm="1">
        <f t="array" ref="E3938">_xlfn.IFNA(_xlfn.XLOOKUP(1,([1]!hcahps[Facility ID] = clean[[#This Row],[Facility ID]]) * ([1]!hcahps[HCAHPS Measure ID] = "H_HSP_RATING_LINEAR_SCORE"), [1]!hcahps[HCAHPS Linear Mean Value]), "No Match")</f>
        <v>Not Available</v>
      </c>
      <c r="F3938" cm="1">
        <f t="array" ref="F3938">_xlfn.IFNA(_xlfn.XLOOKUP(1,([1]!readmissions[Facility ID] = clean[[#This Row],[Facility ID]]) * ([1]!readmissions[Measure ID] = "Hybrid_HWR"), [1]!readmissions[Score]), "No Match")</f>
        <v>14.8</v>
      </c>
    </row>
    <row r="3939" spans="1:6" x14ac:dyDescent="0.2">
      <c r="A3939">
        <f>[1]!hospitalinfo[[#This Row],[Facility ID]]</f>
        <v>381306</v>
      </c>
      <c r="B3939" t="str">
        <f>[1]!hospitalinfo[[#This Row],[State]]</f>
        <v>OR</v>
      </c>
      <c r="C3939" t="str">
        <f>[1]!hospitalinfo[[#This Row],[Hospital Type]]</f>
        <v>Critical Access Hospitals</v>
      </c>
      <c r="D3939" t="str">
        <f>[1]!hospitalinfo[[#This Row],[Hospital Ownership]]</f>
        <v>Government - Hospital District or Authority</v>
      </c>
      <c r="E3939" t="str" cm="1">
        <f t="array" ref="E3939">_xlfn.IFNA(_xlfn.XLOOKUP(1,([1]!hcahps[Facility ID] = clean[[#This Row],[Facility ID]]) * ([1]!hcahps[HCAHPS Measure ID] = "H_HSP_RATING_LINEAR_SCORE"), [1]!hcahps[HCAHPS Linear Mean Value]), "No Match")</f>
        <v>Not Available</v>
      </c>
      <c r="F3939" cm="1">
        <f t="array" ref="F3939">_xlfn.IFNA(_xlfn.XLOOKUP(1,([1]!readmissions[Facility ID] = clean[[#This Row],[Facility ID]]) * ([1]!readmissions[Measure ID] = "Hybrid_HWR"), [1]!readmissions[Score]), "No Match")</f>
        <v>14.5</v>
      </c>
    </row>
    <row r="3940" spans="1:6" x14ac:dyDescent="0.2">
      <c r="A3940">
        <f>[1]!hospitalinfo[[#This Row],[Facility ID]]</f>
        <v>381307</v>
      </c>
      <c r="B3940" t="str">
        <f>[1]!hospitalinfo[[#This Row],[State]]</f>
        <v>OR</v>
      </c>
      <c r="C3940" t="str">
        <f>[1]!hospitalinfo[[#This Row],[Hospital Type]]</f>
        <v>Critical Access Hospitals</v>
      </c>
      <c r="D3940" t="str">
        <f>[1]!hospitalinfo[[#This Row],[Hospital Ownership]]</f>
        <v>Government - Hospital District or Authority</v>
      </c>
      <c r="E3940" t="str" cm="1">
        <f t="array" ref="E3940">_xlfn.IFNA(_xlfn.XLOOKUP(1,([1]!hcahps[Facility ID] = clean[[#This Row],[Facility ID]]) * ([1]!hcahps[HCAHPS Measure ID] = "H_HSP_RATING_LINEAR_SCORE"), [1]!hcahps[HCAHPS Linear Mean Value]), "No Match")</f>
        <v>Not Available</v>
      </c>
      <c r="F3940" cm="1">
        <f t="array" ref="F3940">_xlfn.IFNA(_xlfn.XLOOKUP(1,([1]!readmissions[Facility ID] = clean[[#This Row],[Facility ID]]) * ([1]!readmissions[Measure ID] = "Hybrid_HWR"), [1]!readmissions[Score]), "No Match")</f>
        <v>15.6</v>
      </c>
    </row>
    <row r="3941" spans="1:6" x14ac:dyDescent="0.2">
      <c r="A3941">
        <f>[1]!hospitalinfo[[#This Row],[Facility ID]]</f>
        <v>381308</v>
      </c>
      <c r="B3941" t="str">
        <f>[1]!hospitalinfo[[#This Row],[State]]</f>
        <v>OR</v>
      </c>
      <c r="C3941" t="str">
        <f>[1]!hospitalinfo[[#This Row],[Hospital Type]]</f>
        <v>Critical Access Hospitals</v>
      </c>
      <c r="D3941" t="str">
        <f>[1]!hospitalinfo[[#This Row],[Hospital Ownership]]</f>
        <v>Voluntary non-profit - Private</v>
      </c>
      <c r="E3941" t="str" cm="1">
        <f t="array" ref="E3941">_xlfn.IFNA(_xlfn.XLOOKUP(1,([1]!hcahps[Facility ID] = clean[[#This Row],[Facility ID]]) * ([1]!hcahps[HCAHPS Measure ID] = "H_HSP_RATING_LINEAR_SCORE"), [1]!hcahps[HCAHPS Linear Mean Value]), "No Match")</f>
        <v>Not Available</v>
      </c>
      <c r="F3941" t="str" cm="1">
        <f t="array" ref="F3941">_xlfn.IFNA(_xlfn.XLOOKUP(1,([1]!readmissions[Facility ID] = clean[[#This Row],[Facility ID]]) * ([1]!readmissions[Measure ID] = "Hybrid_HWR"), [1]!readmissions[Score]), "No Match")</f>
        <v>Not Available</v>
      </c>
    </row>
    <row r="3942" spans="1:6" x14ac:dyDescent="0.2">
      <c r="A3942">
        <f>[1]!hospitalinfo[[#This Row],[Facility ID]]</f>
        <v>381309</v>
      </c>
      <c r="B3942" t="str">
        <f>[1]!hospitalinfo[[#This Row],[State]]</f>
        <v>OR</v>
      </c>
      <c r="C3942" t="str">
        <f>[1]!hospitalinfo[[#This Row],[Hospital Type]]</f>
        <v>Critical Access Hospitals</v>
      </c>
      <c r="D3942" t="str">
        <f>[1]!hospitalinfo[[#This Row],[Hospital Ownership]]</f>
        <v>Government - Hospital District or Authority</v>
      </c>
      <c r="E3942" t="str" cm="1">
        <f t="array" ref="E3942">_xlfn.IFNA(_xlfn.XLOOKUP(1,([1]!hcahps[Facility ID] = clean[[#This Row],[Facility ID]]) * ([1]!hcahps[HCAHPS Measure ID] = "H_HSP_RATING_LINEAR_SCORE"), [1]!hcahps[HCAHPS Linear Mean Value]), "No Match")</f>
        <v>Not Available</v>
      </c>
      <c r="F3942" cm="1">
        <f t="array" ref="F3942">_xlfn.IFNA(_xlfn.XLOOKUP(1,([1]!readmissions[Facility ID] = clean[[#This Row],[Facility ID]]) * ([1]!readmissions[Measure ID] = "Hybrid_HWR"), [1]!readmissions[Score]), "No Match")</f>
        <v>14.6</v>
      </c>
    </row>
    <row r="3943" spans="1:6" x14ac:dyDescent="0.2">
      <c r="A3943">
        <f>[1]!hospitalinfo[[#This Row],[Facility ID]]</f>
        <v>381310</v>
      </c>
      <c r="B3943" t="str">
        <f>[1]!hospitalinfo[[#This Row],[State]]</f>
        <v>OR</v>
      </c>
      <c r="C3943" t="str">
        <f>[1]!hospitalinfo[[#This Row],[Hospital Type]]</f>
        <v>Critical Access Hospitals</v>
      </c>
      <c r="D3943" t="str">
        <f>[1]!hospitalinfo[[#This Row],[Hospital Ownership]]</f>
        <v>Government - Hospital District or Authority</v>
      </c>
      <c r="E3943" t="str" cm="1">
        <f t="array" ref="E3943">_xlfn.IFNA(_xlfn.XLOOKUP(1,([1]!hcahps[Facility ID] = clean[[#This Row],[Facility ID]]) * ([1]!hcahps[HCAHPS Measure ID] = "H_HSP_RATING_LINEAR_SCORE"), [1]!hcahps[HCAHPS Linear Mean Value]), "No Match")</f>
        <v>Not Available</v>
      </c>
      <c r="F3943" t="str" cm="1">
        <f t="array" ref="F3943">_xlfn.IFNA(_xlfn.XLOOKUP(1,([1]!readmissions[Facility ID] = clean[[#This Row],[Facility ID]]) * ([1]!readmissions[Measure ID] = "Hybrid_HWR"), [1]!readmissions[Score]), "No Match")</f>
        <v>Not Available</v>
      </c>
    </row>
    <row r="3944" spans="1:6" x14ac:dyDescent="0.2">
      <c r="A3944">
        <f>[1]!hospitalinfo[[#This Row],[Facility ID]]</f>
        <v>381311</v>
      </c>
      <c r="B3944" t="str">
        <f>[1]!hospitalinfo[[#This Row],[State]]</f>
        <v>OR</v>
      </c>
      <c r="C3944" t="str">
        <f>[1]!hospitalinfo[[#This Row],[Hospital Type]]</f>
        <v>Critical Access Hospitals</v>
      </c>
      <c r="D3944" t="str">
        <f>[1]!hospitalinfo[[#This Row],[Hospital Ownership]]</f>
        <v>Government - Hospital District or Authority</v>
      </c>
      <c r="E3944" t="str" cm="1">
        <f t="array" ref="E3944">_xlfn.IFNA(_xlfn.XLOOKUP(1,([1]!hcahps[Facility ID] = clean[[#This Row],[Facility ID]]) * ([1]!hcahps[HCAHPS Measure ID] = "H_HSP_RATING_LINEAR_SCORE"), [1]!hcahps[HCAHPS Linear Mean Value]), "No Match")</f>
        <v>Not Available</v>
      </c>
      <c r="F3944" cm="1">
        <f t="array" ref="F3944">_xlfn.IFNA(_xlfn.XLOOKUP(1,([1]!readmissions[Facility ID] = clean[[#This Row],[Facility ID]]) * ([1]!readmissions[Measure ID] = "Hybrid_HWR"), [1]!readmissions[Score]), "No Match")</f>
        <v>15.2</v>
      </c>
    </row>
    <row r="3945" spans="1:6" x14ac:dyDescent="0.2">
      <c r="A3945">
        <f>[1]!hospitalinfo[[#This Row],[Facility ID]]</f>
        <v>381312</v>
      </c>
      <c r="B3945" t="str">
        <f>[1]!hospitalinfo[[#This Row],[State]]</f>
        <v>OR</v>
      </c>
      <c r="C3945" t="str">
        <f>[1]!hospitalinfo[[#This Row],[Hospital Type]]</f>
        <v>Critical Access Hospitals</v>
      </c>
      <c r="D3945" t="str">
        <f>[1]!hospitalinfo[[#This Row],[Hospital Ownership]]</f>
        <v>Government - Hospital District or Authority</v>
      </c>
      <c r="E3945" t="str" cm="1">
        <f t="array" ref="E3945">_xlfn.IFNA(_xlfn.XLOOKUP(1,([1]!hcahps[Facility ID] = clean[[#This Row],[Facility ID]]) * ([1]!hcahps[HCAHPS Measure ID] = "H_HSP_RATING_LINEAR_SCORE"), [1]!hcahps[HCAHPS Linear Mean Value]), "No Match")</f>
        <v>Not Available</v>
      </c>
      <c r="F3945" cm="1">
        <f t="array" ref="F3945">_xlfn.IFNA(_xlfn.XLOOKUP(1,([1]!readmissions[Facility ID] = clean[[#This Row],[Facility ID]]) * ([1]!readmissions[Measure ID] = "Hybrid_HWR"), [1]!readmissions[Score]), "No Match")</f>
        <v>15.4</v>
      </c>
    </row>
    <row r="3946" spans="1:6" x14ac:dyDescent="0.2">
      <c r="A3946">
        <f>[1]!hospitalinfo[[#This Row],[Facility ID]]</f>
        <v>381313</v>
      </c>
      <c r="B3946" t="str">
        <f>[1]!hospitalinfo[[#This Row],[State]]</f>
        <v>OR</v>
      </c>
      <c r="C3946" t="str">
        <f>[1]!hospitalinfo[[#This Row],[Hospital Type]]</f>
        <v>Critical Access Hospitals</v>
      </c>
      <c r="D3946" t="str">
        <f>[1]!hospitalinfo[[#This Row],[Hospital Ownership]]</f>
        <v>Voluntary non-profit - Private</v>
      </c>
      <c r="E3946" cm="1">
        <f t="array" ref="E3946">_xlfn.IFNA(_xlfn.XLOOKUP(1,([1]!hcahps[Facility ID] = clean[[#This Row],[Facility ID]]) * ([1]!hcahps[HCAHPS Measure ID] = "H_HSP_RATING_LINEAR_SCORE"), [1]!hcahps[HCAHPS Linear Mean Value]), "No Match")</f>
        <v>91</v>
      </c>
      <c r="F3946" cm="1">
        <f t="array" ref="F3946">_xlfn.IFNA(_xlfn.XLOOKUP(1,([1]!readmissions[Facility ID] = clean[[#This Row],[Facility ID]]) * ([1]!readmissions[Measure ID] = "Hybrid_HWR"), [1]!readmissions[Score]), "No Match")</f>
        <v>14.3</v>
      </c>
    </row>
    <row r="3947" spans="1:6" x14ac:dyDescent="0.2">
      <c r="A3947">
        <f>[1]!hospitalinfo[[#This Row],[Facility ID]]</f>
        <v>381314</v>
      </c>
      <c r="B3947" t="str">
        <f>[1]!hospitalinfo[[#This Row],[State]]</f>
        <v>OR</v>
      </c>
      <c r="C3947" t="str">
        <f>[1]!hospitalinfo[[#This Row],[Hospital Type]]</f>
        <v>Critical Access Hospitals</v>
      </c>
      <c r="D3947" t="str">
        <f>[1]!hospitalinfo[[#This Row],[Hospital Ownership]]</f>
        <v>Voluntary non-profit - Private</v>
      </c>
      <c r="E3947" cm="1">
        <f t="array" ref="E3947">_xlfn.IFNA(_xlfn.XLOOKUP(1,([1]!hcahps[Facility ID] = clean[[#This Row],[Facility ID]]) * ([1]!hcahps[HCAHPS Measure ID] = "H_HSP_RATING_LINEAR_SCORE"), [1]!hcahps[HCAHPS Linear Mean Value]), "No Match")</f>
        <v>90</v>
      </c>
      <c r="F3947" cm="1">
        <f t="array" ref="F3947">_xlfn.IFNA(_xlfn.XLOOKUP(1,([1]!readmissions[Facility ID] = clean[[#This Row],[Facility ID]]) * ([1]!readmissions[Measure ID] = "Hybrid_HWR"), [1]!readmissions[Score]), "No Match")</f>
        <v>15.2</v>
      </c>
    </row>
    <row r="3948" spans="1:6" x14ac:dyDescent="0.2">
      <c r="A3948">
        <f>[1]!hospitalinfo[[#This Row],[Facility ID]]</f>
        <v>381315</v>
      </c>
      <c r="B3948" t="str">
        <f>[1]!hospitalinfo[[#This Row],[State]]</f>
        <v>OR</v>
      </c>
      <c r="C3948" t="str">
        <f>[1]!hospitalinfo[[#This Row],[Hospital Type]]</f>
        <v>Critical Access Hospitals</v>
      </c>
      <c r="D3948" t="str">
        <f>[1]!hospitalinfo[[#This Row],[Hospital Ownership]]</f>
        <v>Voluntary non-profit - Church</v>
      </c>
      <c r="E3948" t="str" cm="1">
        <f t="array" ref="E3948">_xlfn.IFNA(_xlfn.XLOOKUP(1,([1]!hcahps[Facility ID] = clean[[#This Row],[Facility ID]]) * ([1]!hcahps[HCAHPS Measure ID] = "H_HSP_RATING_LINEAR_SCORE"), [1]!hcahps[HCAHPS Linear Mean Value]), "No Match")</f>
        <v>Not Available</v>
      </c>
      <c r="F3948" cm="1">
        <f t="array" ref="F3948">_xlfn.IFNA(_xlfn.XLOOKUP(1,([1]!readmissions[Facility ID] = clean[[#This Row],[Facility ID]]) * ([1]!readmissions[Measure ID] = "Hybrid_HWR"), [1]!readmissions[Score]), "No Match")</f>
        <v>14.3</v>
      </c>
    </row>
    <row r="3949" spans="1:6" x14ac:dyDescent="0.2">
      <c r="A3949">
        <f>[1]!hospitalinfo[[#This Row],[Facility ID]]</f>
        <v>381316</v>
      </c>
      <c r="B3949" t="str">
        <f>[1]!hospitalinfo[[#This Row],[State]]</f>
        <v>OR</v>
      </c>
      <c r="C3949" t="str">
        <f>[1]!hospitalinfo[[#This Row],[Hospital Type]]</f>
        <v>Critical Access Hospitals</v>
      </c>
      <c r="D3949" t="str">
        <f>[1]!hospitalinfo[[#This Row],[Hospital Ownership]]</f>
        <v>Voluntary non-profit - Church</v>
      </c>
      <c r="E3949" cm="1">
        <f t="array" ref="E3949">_xlfn.IFNA(_xlfn.XLOOKUP(1,([1]!hcahps[Facility ID] = clean[[#This Row],[Facility ID]]) * ([1]!hcahps[HCAHPS Measure ID] = "H_HSP_RATING_LINEAR_SCORE"), [1]!hcahps[HCAHPS Linear Mean Value]), "No Match")</f>
        <v>93</v>
      </c>
      <c r="F3949" cm="1">
        <f t="array" ref="F3949">_xlfn.IFNA(_xlfn.XLOOKUP(1,([1]!readmissions[Facility ID] = clean[[#This Row],[Facility ID]]) * ([1]!readmissions[Measure ID] = "Hybrid_HWR"), [1]!readmissions[Score]), "No Match")</f>
        <v>14.5</v>
      </c>
    </row>
    <row r="3950" spans="1:6" x14ac:dyDescent="0.2">
      <c r="A3950">
        <f>[1]!hospitalinfo[[#This Row],[Facility ID]]</f>
        <v>381317</v>
      </c>
      <c r="B3950" t="str">
        <f>[1]!hospitalinfo[[#This Row],[State]]</f>
        <v>OR</v>
      </c>
      <c r="C3950" t="str">
        <f>[1]!hospitalinfo[[#This Row],[Hospital Type]]</f>
        <v>Critical Access Hospitals</v>
      </c>
      <c r="D3950" t="str">
        <f>[1]!hospitalinfo[[#This Row],[Hospital Ownership]]</f>
        <v>Voluntary non-profit - Church</v>
      </c>
      <c r="E3950" cm="1">
        <f t="array" ref="E3950">_xlfn.IFNA(_xlfn.XLOOKUP(1,([1]!hcahps[Facility ID] = clean[[#This Row],[Facility ID]]) * ([1]!hcahps[HCAHPS Measure ID] = "H_HSP_RATING_LINEAR_SCORE"), [1]!hcahps[HCAHPS Linear Mean Value]), "No Match")</f>
        <v>89</v>
      </c>
      <c r="F3950" cm="1">
        <f t="array" ref="F3950">_xlfn.IFNA(_xlfn.XLOOKUP(1,([1]!readmissions[Facility ID] = clean[[#This Row],[Facility ID]]) * ([1]!readmissions[Measure ID] = "Hybrid_HWR"), [1]!readmissions[Score]), "No Match")</f>
        <v>15.1</v>
      </c>
    </row>
    <row r="3951" spans="1:6" x14ac:dyDescent="0.2">
      <c r="A3951">
        <f>[1]!hospitalinfo[[#This Row],[Facility ID]]</f>
        <v>381318</v>
      </c>
      <c r="B3951" t="str">
        <f>[1]!hospitalinfo[[#This Row],[State]]</f>
        <v>OR</v>
      </c>
      <c r="C3951" t="str">
        <f>[1]!hospitalinfo[[#This Row],[Hospital Type]]</f>
        <v>Critical Access Hospitals</v>
      </c>
      <c r="D3951" t="str">
        <f>[1]!hospitalinfo[[#This Row],[Hospital Ownership]]</f>
        <v>Voluntary non-profit - Church</v>
      </c>
      <c r="E3951" cm="1">
        <f t="array" ref="E3951">_xlfn.IFNA(_xlfn.XLOOKUP(1,([1]!hcahps[Facility ID] = clean[[#This Row],[Facility ID]]) * ([1]!hcahps[HCAHPS Measure ID] = "H_HSP_RATING_LINEAR_SCORE"), [1]!hcahps[HCAHPS Linear Mean Value]), "No Match")</f>
        <v>91</v>
      </c>
      <c r="F3951" cm="1">
        <f t="array" ref="F3951">_xlfn.IFNA(_xlfn.XLOOKUP(1,([1]!readmissions[Facility ID] = clean[[#This Row],[Facility ID]]) * ([1]!readmissions[Measure ID] = "Hybrid_HWR"), [1]!readmissions[Score]), "No Match")</f>
        <v>15</v>
      </c>
    </row>
    <row r="3952" spans="1:6" x14ac:dyDescent="0.2">
      <c r="A3952">
        <f>[1]!hospitalinfo[[#This Row],[Facility ID]]</f>
        <v>381319</v>
      </c>
      <c r="B3952" t="str">
        <f>[1]!hospitalinfo[[#This Row],[State]]</f>
        <v>OR</v>
      </c>
      <c r="C3952" t="str">
        <f>[1]!hospitalinfo[[#This Row],[Hospital Type]]</f>
        <v>Critical Access Hospitals</v>
      </c>
      <c r="D3952" t="str">
        <f>[1]!hospitalinfo[[#This Row],[Hospital Ownership]]</f>
        <v>Voluntary non-profit - Church</v>
      </c>
      <c r="E3952" cm="1">
        <f t="array" ref="E3952">_xlfn.IFNA(_xlfn.XLOOKUP(1,([1]!hcahps[Facility ID] = clean[[#This Row],[Facility ID]]) * ([1]!hcahps[HCAHPS Measure ID] = "H_HSP_RATING_LINEAR_SCORE"), [1]!hcahps[HCAHPS Linear Mean Value]), "No Match")</f>
        <v>91</v>
      </c>
      <c r="F3952" cm="1">
        <f t="array" ref="F3952">_xlfn.IFNA(_xlfn.XLOOKUP(1,([1]!readmissions[Facility ID] = clean[[#This Row],[Facility ID]]) * ([1]!readmissions[Measure ID] = "Hybrid_HWR"), [1]!readmissions[Score]), "No Match")</f>
        <v>14.7</v>
      </c>
    </row>
    <row r="3953" spans="1:6" x14ac:dyDescent="0.2">
      <c r="A3953">
        <f>[1]!hospitalinfo[[#This Row],[Facility ID]]</f>
        <v>381320</v>
      </c>
      <c r="B3953" t="str">
        <f>[1]!hospitalinfo[[#This Row],[State]]</f>
        <v>OR</v>
      </c>
      <c r="C3953" t="str">
        <f>[1]!hospitalinfo[[#This Row],[Hospital Type]]</f>
        <v>Critical Access Hospitals</v>
      </c>
      <c r="D3953" t="str">
        <f>[1]!hospitalinfo[[#This Row],[Hospital Ownership]]</f>
        <v>Proprietary</v>
      </c>
      <c r="E3953" cm="1">
        <f t="array" ref="E3953">_xlfn.IFNA(_xlfn.XLOOKUP(1,([1]!hcahps[Facility ID] = clean[[#This Row],[Facility ID]]) * ([1]!hcahps[HCAHPS Measure ID] = "H_HSP_RATING_LINEAR_SCORE"), [1]!hcahps[HCAHPS Linear Mean Value]), "No Match")</f>
        <v>90</v>
      </c>
      <c r="F3953" t="str" cm="1">
        <f t="array" ref="F3953">_xlfn.IFNA(_xlfn.XLOOKUP(1,([1]!readmissions[Facility ID] = clean[[#This Row],[Facility ID]]) * ([1]!readmissions[Measure ID] = "Hybrid_HWR"), [1]!readmissions[Score]), "No Match")</f>
        <v>Not Available</v>
      </c>
    </row>
    <row r="3954" spans="1:6" x14ac:dyDescent="0.2">
      <c r="A3954">
        <f>[1]!hospitalinfo[[#This Row],[Facility ID]]</f>
        <v>381321</v>
      </c>
      <c r="B3954" t="str">
        <f>[1]!hospitalinfo[[#This Row],[State]]</f>
        <v>OR</v>
      </c>
      <c r="C3954" t="str">
        <f>[1]!hospitalinfo[[#This Row],[Hospital Type]]</f>
        <v>Critical Access Hospitals</v>
      </c>
      <c r="D3954" t="str">
        <f>[1]!hospitalinfo[[#This Row],[Hospital Ownership]]</f>
        <v>Voluntary non-profit - Private</v>
      </c>
      <c r="E3954" cm="1">
        <f t="array" ref="E3954">_xlfn.IFNA(_xlfn.XLOOKUP(1,([1]!hcahps[Facility ID] = clean[[#This Row],[Facility ID]]) * ([1]!hcahps[HCAHPS Measure ID] = "H_HSP_RATING_LINEAR_SCORE"), [1]!hcahps[HCAHPS Linear Mean Value]), "No Match")</f>
        <v>91</v>
      </c>
      <c r="F3954" cm="1">
        <f t="array" ref="F3954">_xlfn.IFNA(_xlfn.XLOOKUP(1,([1]!readmissions[Facility ID] = clean[[#This Row],[Facility ID]]) * ([1]!readmissions[Measure ID] = "Hybrid_HWR"), [1]!readmissions[Score]), "No Match")</f>
        <v>14</v>
      </c>
    </row>
    <row r="3955" spans="1:6" x14ac:dyDescent="0.2">
      <c r="A3955">
        <f>[1]!hospitalinfo[[#This Row],[Facility ID]]</f>
        <v>381322</v>
      </c>
      <c r="B3955" t="str">
        <f>[1]!hospitalinfo[[#This Row],[State]]</f>
        <v>OR</v>
      </c>
      <c r="C3955" t="str">
        <f>[1]!hospitalinfo[[#This Row],[Hospital Type]]</f>
        <v>Critical Access Hospitals</v>
      </c>
      <c r="D3955" t="str">
        <f>[1]!hospitalinfo[[#This Row],[Hospital Ownership]]</f>
        <v>Government - Hospital District or Authority</v>
      </c>
      <c r="E3955" t="str" cm="1">
        <f t="array" ref="E3955">_xlfn.IFNA(_xlfn.XLOOKUP(1,([1]!hcahps[Facility ID] = clean[[#This Row],[Facility ID]]) * ([1]!hcahps[HCAHPS Measure ID] = "H_HSP_RATING_LINEAR_SCORE"), [1]!hcahps[HCAHPS Linear Mean Value]), "No Match")</f>
        <v>Not Available</v>
      </c>
      <c r="F3955" cm="1">
        <f t="array" ref="F3955">_xlfn.IFNA(_xlfn.XLOOKUP(1,([1]!readmissions[Facility ID] = clean[[#This Row],[Facility ID]]) * ([1]!readmissions[Measure ID] = "Hybrid_HWR"), [1]!readmissions[Score]), "No Match")</f>
        <v>15.2</v>
      </c>
    </row>
    <row r="3956" spans="1:6" x14ac:dyDescent="0.2">
      <c r="A3956">
        <f>[1]!hospitalinfo[[#This Row],[Facility ID]]</f>
        <v>381323</v>
      </c>
      <c r="B3956" t="str">
        <f>[1]!hospitalinfo[[#This Row],[State]]</f>
        <v>OR</v>
      </c>
      <c r="C3956" t="str">
        <f>[1]!hospitalinfo[[#This Row],[Hospital Type]]</f>
        <v>Critical Access Hospitals</v>
      </c>
      <c r="D3956" t="str">
        <f>[1]!hospitalinfo[[#This Row],[Hospital Ownership]]</f>
        <v>Voluntary non-profit - Church</v>
      </c>
      <c r="E3956" cm="1">
        <f t="array" ref="E3956">_xlfn.IFNA(_xlfn.XLOOKUP(1,([1]!hcahps[Facility ID] = clean[[#This Row],[Facility ID]]) * ([1]!hcahps[HCAHPS Measure ID] = "H_HSP_RATING_LINEAR_SCORE"), [1]!hcahps[HCAHPS Linear Mean Value]), "No Match")</f>
        <v>91</v>
      </c>
      <c r="F3956" cm="1">
        <f t="array" ref="F3956">_xlfn.IFNA(_xlfn.XLOOKUP(1,([1]!readmissions[Facility ID] = clean[[#This Row],[Facility ID]]) * ([1]!readmissions[Measure ID] = "Hybrid_HWR"), [1]!readmissions[Score]), "No Match")</f>
        <v>14.3</v>
      </c>
    </row>
    <row r="3957" spans="1:6" x14ac:dyDescent="0.2">
      <c r="A3957">
        <f>[1]!hospitalinfo[[#This Row],[Facility ID]]</f>
        <v>381324</v>
      </c>
      <c r="B3957" t="str">
        <f>[1]!hospitalinfo[[#This Row],[State]]</f>
        <v>OR</v>
      </c>
      <c r="C3957" t="str">
        <f>[1]!hospitalinfo[[#This Row],[Hospital Type]]</f>
        <v>Critical Access Hospitals</v>
      </c>
      <c r="D3957" t="str">
        <f>[1]!hospitalinfo[[#This Row],[Hospital Ownership]]</f>
        <v>Voluntary non-profit - Private</v>
      </c>
      <c r="E3957" t="str" cm="1">
        <f t="array" ref="E3957">_xlfn.IFNA(_xlfn.XLOOKUP(1,([1]!hcahps[Facility ID] = clean[[#This Row],[Facility ID]]) * ([1]!hcahps[HCAHPS Measure ID] = "H_HSP_RATING_LINEAR_SCORE"), [1]!hcahps[HCAHPS Linear Mean Value]), "No Match")</f>
        <v>Not Available</v>
      </c>
      <c r="F3957" cm="1">
        <f t="array" ref="F3957">_xlfn.IFNA(_xlfn.XLOOKUP(1,([1]!readmissions[Facility ID] = clean[[#This Row],[Facility ID]]) * ([1]!readmissions[Measure ID] = "Hybrid_HWR"), [1]!readmissions[Score]), "No Match")</f>
        <v>15.3</v>
      </c>
    </row>
    <row r="3958" spans="1:6" x14ac:dyDescent="0.2">
      <c r="A3958">
        <f>[1]!hospitalinfo[[#This Row],[Facility ID]]</f>
        <v>381325</v>
      </c>
      <c r="B3958" t="str">
        <f>[1]!hospitalinfo[[#This Row],[State]]</f>
        <v>OR</v>
      </c>
      <c r="C3958" t="str">
        <f>[1]!hospitalinfo[[#This Row],[Hospital Type]]</f>
        <v>Critical Access Hospitals</v>
      </c>
      <c r="D3958" t="str">
        <f>[1]!hospitalinfo[[#This Row],[Hospital Ownership]]</f>
        <v>Voluntary non-profit - Private</v>
      </c>
      <c r="E3958" cm="1">
        <f t="array" ref="E3958">_xlfn.IFNA(_xlfn.XLOOKUP(1,([1]!hcahps[Facility ID] = clean[[#This Row],[Facility ID]]) * ([1]!hcahps[HCAHPS Measure ID] = "H_HSP_RATING_LINEAR_SCORE"), [1]!hcahps[HCAHPS Linear Mean Value]), "No Match")</f>
        <v>87</v>
      </c>
      <c r="F3958" cm="1">
        <f t="array" ref="F3958">_xlfn.IFNA(_xlfn.XLOOKUP(1,([1]!readmissions[Facility ID] = clean[[#This Row],[Facility ID]]) * ([1]!readmissions[Measure ID] = "Hybrid_HWR"), [1]!readmissions[Score]), "No Match")</f>
        <v>16.100000000000001</v>
      </c>
    </row>
    <row r="3959" spans="1:6" x14ac:dyDescent="0.2">
      <c r="A3959">
        <f>[1]!hospitalinfo[[#This Row],[Facility ID]]</f>
        <v>383300</v>
      </c>
      <c r="B3959" t="str">
        <f>[1]!hospitalinfo[[#This Row],[State]]</f>
        <v>OR</v>
      </c>
      <c r="C3959" t="str">
        <f>[1]!hospitalinfo[[#This Row],[Hospital Type]]</f>
        <v>Childrens</v>
      </c>
      <c r="D3959" t="str">
        <f>[1]!hospitalinfo[[#This Row],[Hospital Ownership]]</f>
        <v>Voluntary non-profit - Private</v>
      </c>
      <c r="E3959" t="str" cm="1">
        <f t="array" ref="E3959">_xlfn.IFNA(_xlfn.XLOOKUP(1,([1]!hcahps[Facility ID] = clean[[#This Row],[Facility ID]]) * ([1]!hcahps[HCAHPS Measure ID] = "H_HSP_RATING_LINEAR_SCORE"), [1]!hcahps[HCAHPS Linear Mean Value]), "No Match")</f>
        <v>Not Available</v>
      </c>
      <c r="F3959" t="str" cm="1">
        <f t="array" ref="F3959">_xlfn.IFNA(_xlfn.XLOOKUP(1,([1]!readmissions[Facility ID] = clean[[#This Row],[Facility ID]]) * ([1]!readmissions[Measure ID] = "Hybrid_HWR"), [1]!readmissions[Score]), "No Match")</f>
        <v>Not Available</v>
      </c>
    </row>
    <row r="3960" spans="1:6" x14ac:dyDescent="0.2">
      <c r="A3960">
        <f>[1]!hospitalinfo[[#This Row],[Facility ID]]</f>
        <v>384008</v>
      </c>
      <c r="B3960" t="str">
        <f>[1]!hospitalinfo[[#This Row],[State]]</f>
        <v>OR</v>
      </c>
      <c r="C3960" t="str">
        <f>[1]!hospitalinfo[[#This Row],[Hospital Type]]</f>
        <v>Psychiatric</v>
      </c>
      <c r="D3960" t="str">
        <f>[1]!hospitalinfo[[#This Row],[Hospital Ownership]]</f>
        <v>Government - State</v>
      </c>
      <c r="E3960" t="str" cm="1">
        <f t="array" ref="E3960">_xlfn.IFNA(_xlfn.XLOOKUP(1,([1]!hcahps[Facility ID] = clean[[#This Row],[Facility ID]]) * ([1]!hcahps[HCAHPS Measure ID] = "H_HSP_RATING_LINEAR_SCORE"), [1]!hcahps[HCAHPS Linear Mean Value]), "No Match")</f>
        <v>No Match</v>
      </c>
      <c r="F3960" t="str" cm="1">
        <f t="array" ref="F3960">_xlfn.IFNA(_xlfn.XLOOKUP(1,([1]!readmissions[Facility ID] = clean[[#This Row],[Facility ID]]) * ([1]!readmissions[Measure ID] = "Hybrid_HWR"), [1]!readmissions[Score]), "No Match")</f>
        <v>No Match</v>
      </c>
    </row>
    <row r="3961" spans="1:6" x14ac:dyDescent="0.2">
      <c r="A3961">
        <f>[1]!hospitalinfo[[#This Row],[Facility ID]]</f>
        <v>384012</v>
      </c>
      <c r="B3961" t="str">
        <f>[1]!hospitalinfo[[#This Row],[State]]</f>
        <v>OR</v>
      </c>
      <c r="C3961" t="str">
        <f>[1]!hospitalinfo[[#This Row],[Hospital Type]]</f>
        <v>Psychiatric</v>
      </c>
      <c r="D3961" t="str">
        <f>[1]!hospitalinfo[[#This Row],[Hospital Ownership]]</f>
        <v>Proprietary</v>
      </c>
      <c r="E3961" t="str" cm="1">
        <f t="array" ref="E3961">_xlfn.IFNA(_xlfn.XLOOKUP(1,([1]!hcahps[Facility ID] = clean[[#This Row],[Facility ID]]) * ([1]!hcahps[HCAHPS Measure ID] = "H_HSP_RATING_LINEAR_SCORE"), [1]!hcahps[HCAHPS Linear Mean Value]), "No Match")</f>
        <v>No Match</v>
      </c>
      <c r="F3961" t="str" cm="1">
        <f t="array" ref="F3961">_xlfn.IFNA(_xlfn.XLOOKUP(1,([1]!readmissions[Facility ID] = clean[[#This Row],[Facility ID]]) * ([1]!readmissions[Measure ID] = "Hybrid_HWR"), [1]!readmissions[Score]), "No Match")</f>
        <v>No Match</v>
      </c>
    </row>
    <row r="3962" spans="1:6" x14ac:dyDescent="0.2">
      <c r="A3962" t="str">
        <f>[1]!hospitalinfo[[#This Row],[Facility ID]]</f>
        <v>38003F</v>
      </c>
      <c r="B3962" t="str">
        <f>[1]!hospitalinfo[[#This Row],[State]]</f>
        <v>OR</v>
      </c>
      <c r="C3962" t="str">
        <f>[1]!hospitalinfo[[#This Row],[Hospital Type]]</f>
        <v>Acute Care - Veterans Administration</v>
      </c>
      <c r="D3962" t="str">
        <f>[1]!hospitalinfo[[#This Row],[Hospital Ownership]]</f>
        <v>Veterans Health Administration</v>
      </c>
      <c r="E3962" cm="1">
        <f t="array" ref="E3962">_xlfn.IFNA(_xlfn.XLOOKUP(1,([1]!hcahps[Facility ID] = clean[[#This Row],[Facility ID]]) * ([1]!hcahps[HCAHPS Measure ID] = "H_HSP_RATING_LINEAR_SCORE"), [1]!hcahps[HCAHPS Linear Mean Value]), "No Match")</f>
        <v>92</v>
      </c>
      <c r="F3962" cm="1">
        <f t="array" ref="F3962">_xlfn.IFNA(_xlfn.XLOOKUP(1,([1]!readmissions[Facility ID] = clean[[#This Row],[Facility ID]]) * ([1]!readmissions[Measure ID] = "Hybrid_HWR"), [1]!readmissions[Score]), "No Match")</f>
        <v>13.6</v>
      </c>
    </row>
    <row r="3963" spans="1:6" x14ac:dyDescent="0.2">
      <c r="A3963" t="str">
        <f>[1]!hospitalinfo[[#This Row],[Facility ID]]</f>
        <v>38004F</v>
      </c>
      <c r="B3963" t="str">
        <f>[1]!hospitalinfo[[#This Row],[State]]</f>
        <v>OR</v>
      </c>
      <c r="C3963" t="str">
        <f>[1]!hospitalinfo[[#This Row],[Hospital Type]]</f>
        <v>Acute Care - Veterans Administration</v>
      </c>
      <c r="D3963" t="str">
        <f>[1]!hospitalinfo[[#This Row],[Hospital Ownership]]</f>
        <v>Veterans Health Administration</v>
      </c>
      <c r="E3963" t="str" cm="1">
        <f t="array" ref="E3963">_xlfn.IFNA(_xlfn.XLOOKUP(1,([1]!hcahps[Facility ID] = clean[[#This Row],[Facility ID]]) * ([1]!hcahps[HCAHPS Measure ID] = "H_HSP_RATING_LINEAR_SCORE"), [1]!hcahps[HCAHPS Linear Mean Value]), "No Match")</f>
        <v>Not Available</v>
      </c>
      <c r="F3963" t="str" cm="1">
        <f t="array" ref="F3963">_xlfn.IFNA(_xlfn.XLOOKUP(1,([1]!readmissions[Facility ID] = clean[[#This Row],[Facility ID]]) * ([1]!readmissions[Measure ID] = "Hybrid_HWR"), [1]!readmissions[Score]), "No Match")</f>
        <v>Not Available</v>
      </c>
    </row>
    <row r="3964" spans="1:6" x14ac:dyDescent="0.2">
      <c r="A3964">
        <f>[1]!hospitalinfo[[#This Row],[Facility ID]]</f>
        <v>390001</v>
      </c>
      <c r="B3964" t="str">
        <f>[1]!hospitalinfo[[#This Row],[State]]</f>
        <v>PA</v>
      </c>
      <c r="C3964" t="str">
        <f>[1]!hospitalinfo[[#This Row],[Hospital Type]]</f>
        <v>Acute Care Hospitals</v>
      </c>
      <c r="D3964" t="str">
        <f>[1]!hospitalinfo[[#This Row],[Hospital Ownership]]</f>
        <v>Voluntary non-profit - Private</v>
      </c>
      <c r="E3964" cm="1">
        <f t="array" ref="E3964">_xlfn.IFNA(_xlfn.XLOOKUP(1,([1]!hcahps[Facility ID] = clean[[#This Row],[Facility ID]]) * ([1]!hcahps[HCAHPS Measure ID] = "H_HSP_RATING_LINEAR_SCORE"), [1]!hcahps[HCAHPS Linear Mean Value]), "No Match")</f>
        <v>84</v>
      </c>
      <c r="F3964" cm="1">
        <f t="array" ref="F3964">_xlfn.IFNA(_xlfn.XLOOKUP(1,([1]!readmissions[Facility ID] = clean[[#This Row],[Facility ID]]) * ([1]!readmissions[Measure ID] = "Hybrid_HWR"), [1]!readmissions[Score]), "No Match")</f>
        <v>16.100000000000001</v>
      </c>
    </row>
    <row r="3965" spans="1:6" x14ac:dyDescent="0.2">
      <c r="A3965">
        <f>[1]!hospitalinfo[[#This Row],[Facility ID]]</f>
        <v>390002</v>
      </c>
      <c r="B3965" t="str">
        <f>[1]!hospitalinfo[[#This Row],[State]]</f>
        <v>PA</v>
      </c>
      <c r="C3965" t="str">
        <f>[1]!hospitalinfo[[#This Row],[Hospital Type]]</f>
        <v>Acute Care Hospitals</v>
      </c>
      <c r="D3965" t="str">
        <f>[1]!hospitalinfo[[#This Row],[Hospital Ownership]]</f>
        <v>Voluntary non-profit - Private</v>
      </c>
      <c r="E3965" cm="1">
        <f t="array" ref="E3965">_xlfn.IFNA(_xlfn.XLOOKUP(1,([1]!hcahps[Facility ID] = clean[[#This Row],[Facility ID]]) * ([1]!hcahps[HCAHPS Measure ID] = "H_HSP_RATING_LINEAR_SCORE"), [1]!hcahps[HCAHPS Linear Mean Value]), "No Match")</f>
        <v>83</v>
      </c>
      <c r="F3965" cm="1">
        <f t="array" ref="F3965">_xlfn.IFNA(_xlfn.XLOOKUP(1,([1]!readmissions[Facility ID] = clean[[#This Row],[Facility ID]]) * ([1]!readmissions[Measure ID] = "Hybrid_HWR"), [1]!readmissions[Score]), "No Match")</f>
        <v>15.1</v>
      </c>
    </row>
    <row r="3966" spans="1:6" x14ac:dyDescent="0.2">
      <c r="A3966">
        <f>[1]!hospitalinfo[[#This Row],[Facility ID]]</f>
        <v>390003</v>
      </c>
      <c r="B3966" t="str">
        <f>[1]!hospitalinfo[[#This Row],[State]]</f>
        <v>PA</v>
      </c>
      <c r="C3966" t="str">
        <f>[1]!hospitalinfo[[#This Row],[Hospital Type]]</f>
        <v>Acute Care Hospitals</v>
      </c>
      <c r="D3966" t="str">
        <f>[1]!hospitalinfo[[#This Row],[Hospital Ownership]]</f>
        <v>Voluntary non-profit - Private</v>
      </c>
      <c r="E3966" cm="1">
        <f t="array" ref="E3966">_xlfn.IFNA(_xlfn.XLOOKUP(1,([1]!hcahps[Facility ID] = clean[[#This Row],[Facility ID]]) * ([1]!hcahps[HCAHPS Measure ID] = "H_HSP_RATING_LINEAR_SCORE"), [1]!hcahps[HCAHPS Linear Mean Value]), "No Match")</f>
        <v>91</v>
      </c>
      <c r="F3966" cm="1">
        <f t="array" ref="F3966">_xlfn.IFNA(_xlfn.XLOOKUP(1,([1]!readmissions[Facility ID] = clean[[#This Row],[Facility ID]]) * ([1]!readmissions[Measure ID] = "Hybrid_HWR"), [1]!readmissions[Score]), "No Match")</f>
        <v>14.7</v>
      </c>
    </row>
    <row r="3967" spans="1:6" x14ac:dyDescent="0.2">
      <c r="A3967">
        <f>[1]!hospitalinfo[[#This Row],[Facility ID]]</f>
        <v>390004</v>
      </c>
      <c r="B3967" t="str">
        <f>[1]!hospitalinfo[[#This Row],[State]]</f>
        <v>PA</v>
      </c>
      <c r="C3967" t="str">
        <f>[1]!hospitalinfo[[#This Row],[Hospital Type]]</f>
        <v>Acute Care Hospitals</v>
      </c>
      <c r="D3967" t="str">
        <f>[1]!hospitalinfo[[#This Row],[Hospital Ownership]]</f>
        <v>Voluntary non-profit - Private</v>
      </c>
      <c r="E3967" cm="1">
        <f t="array" ref="E3967">_xlfn.IFNA(_xlfn.XLOOKUP(1,([1]!hcahps[Facility ID] = clean[[#This Row],[Facility ID]]) * ([1]!hcahps[HCAHPS Measure ID] = "H_HSP_RATING_LINEAR_SCORE"), [1]!hcahps[HCAHPS Linear Mean Value]), "No Match")</f>
        <v>84</v>
      </c>
      <c r="F3967" cm="1">
        <f t="array" ref="F3967">_xlfn.IFNA(_xlfn.XLOOKUP(1,([1]!readmissions[Facility ID] = clean[[#This Row],[Facility ID]]) * ([1]!readmissions[Measure ID] = "Hybrid_HWR"), [1]!readmissions[Score]), "No Match")</f>
        <v>15.3</v>
      </c>
    </row>
    <row r="3968" spans="1:6" x14ac:dyDescent="0.2">
      <c r="A3968">
        <f>[1]!hospitalinfo[[#This Row],[Facility ID]]</f>
        <v>390006</v>
      </c>
      <c r="B3968" t="str">
        <f>[1]!hospitalinfo[[#This Row],[State]]</f>
        <v>PA</v>
      </c>
      <c r="C3968" t="str">
        <f>[1]!hospitalinfo[[#This Row],[Hospital Type]]</f>
        <v>Acute Care Hospitals</v>
      </c>
      <c r="D3968" t="str">
        <f>[1]!hospitalinfo[[#This Row],[Hospital Ownership]]</f>
        <v>Voluntary non-profit - Private</v>
      </c>
      <c r="E3968" cm="1">
        <f t="array" ref="E3968">_xlfn.IFNA(_xlfn.XLOOKUP(1,([1]!hcahps[Facility ID] = clean[[#This Row],[Facility ID]]) * ([1]!hcahps[HCAHPS Measure ID] = "H_HSP_RATING_LINEAR_SCORE"), [1]!hcahps[HCAHPS Linear Mean Value]), "No Match")</f>
        <v>89</v>
      </c>
      <c r="F3968" cm="1">
        <f t="array" ref="F3968">_xlfn.IFNA(_xlfn.XLOOKUP(1,([1]!readmissions[Facility ID] = clean[[#This Row],[Facility ID]]) * ([1]!readmissions[Measure ID] = "Hybrid_HWR"), [1]!readmissions[Score]), "No Match")</f>
        <v>15.8</v>
      </c>
    </row>
    <row r="3969" spans="1:6" x14ac:dyDescent="0.2">
      <c r="A3969">
        <f>[1]!hospitalinfo[[#This Row],[Facility ID]]</f>
        <v>390009</v>
      </c>
      <c r="B3969" t="str">
        <f>[1]!hospitalinfo[[#This Row],[State]]</f>
        <v>PA</v>
      </c>
      <c r="C3969" t="str">
        <f>[1]!hospitalinfo[[#This Row],[Hospital Type]]</f>
        <v>Acute Care Hospitals</v>
      </c>
      <c r="D3969" t="str">
        <f>[1]!hospitalinfo[[#This Row],[Hospital Ownership]]</f>
        <v>Voluntary non-profit - Private</v>
      </c>
      <c r="E3969" cm="1">
        <f t="array" ref="E3969">_xlfn.IFNA(_xlfn.XLOOKUP(1,([1]!hcahps[Facility ID] = clean[[#This Row],[Facility ID]]) * ([1]!hcahps[HCAHPS Measure ID] = "H_HSP_RATING_LINEAR_SCORE"), [1]!hcahps[HCAHPS Linear Mean Value]), "No Match")</f>
        <v>88</v>
      </c>
      <c r="F3969" cm="1">
        <f t="array" ref="F3969">_xlfn.IFNA(_xlfn.XLOOKUP(1,([1]!readmissions[Facility ID] = clean[[#This Row],[Facility ID]]) * ([1]!readmissions[Measure ID] = "Hybrid_HWR"), [1]!readmissions[Score]), "No Match")</f>
        <v>14.7</v>
      </c>
    </row>
    <row r="3970" spans="1:6" x14ac:dyDescent="0.2">
      <c r="A3970">
        <f>[1]!hospitalinfo[[#This Row],[Facility ID]]</f>
        <v>390012</v>
      </c>
      <c r="B3970" t="str">
        <f>[1]!hospitalinfo[[#This Row],[State]]</f>
        <v>PA</v>
      </c>
      <c r="C3970" t="str">
        <f>[1]!hospitalinfo[[#This Row],[Hospital Type]]</f>
        <v>Acute Care Hospitals</v>
      </c>
      <c r="D3970" t="str">
        <f>[1]!hospitalinfo[[#This Row],[Hospital Ownership]]</f>
        <v>Voluntary non-profit - Private</v>
      </c>
      <c r="E3970" cm="1">
        <f t="array" ref="E3970">_xlfn.IFNA(_xlfn.XLOOKUP(1,([1]!hcahps[Facility ID] = clean[[#This Row],[Facility ID]]) * ([1]!hcahps[HCAHPS Measure ID] = "H_HSP_RATING_LINEAR_SCORE"), [1]!hcahps[HCAHPS Linear Mean Value]), "No Match")</f>
        <v>83</v>
      </c>
      <c r="F3970" cm="1">
        <f t="array" ref="F3970">_xlfn.IFNA(_xlfn.XLOOKUP(1,([1]!readmissions[Facility ID] = clean[[#This Row],[Facility ID]]) * ([1]!readmissions[Measure ID] = "Hybrid_HWR"), [1]!readmissions[Score]), "No Match")</f>
        <v>15.9</v>
      </c>
    </row>
    <row r="3971" spans="1:6" x14ac:dyDescent="0.2">
      <c r="A3971">
        <f>[1]!hospitalinfo[[#This Row],[Facility ID]]</f>
        <v>390013</v>
      </c>
      <c r="B3971" t="str">
        <f>[1]!hospitalinfo[[#This Row],[State]]</f>
        <v>PA</v>
      </c>
      <c r="C3971" t="str">
        <f>[1]!hospitalinfo[[#This Row],[Hospital Type]]</f>
        <v>Acute Care Hospitals</v>
      </c>
      <c r="D3971" t="str">
        <f>[1]!hospitalinfo[[#This Row],[Hospital Ownership]]</f>
        <v>Voluntary non-profit - Private</v>
      </c>
      <c r="E3971" cm="1">
        <f t="array" ref="E3971">_xlfn.IFNA(_xlfn.XLOOKUP(1,([1]!hcahps[Facility ID] = clean[[#This Row],[Facility ID]]) * ([1]!hcahps[HCAHPS Measure ID] = "H_HSP_RATING_LINEAR_SCORE"), [1]!hcahps[HCAHPS Linear Mean Value]), "No Match")</f>
        <v>91</v>
      </c>
      <c r="F3971" cm="1">
        <f t="array" ref="F3971">_xlfn.IFNA(_xlfn.XLOOKUP(1,([1]!readmissions[Facility ID] = clean[[#This Row],[Facility ID]]) * ([1]!readmissions[Measure ID] = "Hybrid_HWR"), [1]!readmissions[Score]), "No Match")</f>
        <v>14.7</v>
      </c>
    </row>
    <row r="3972" spans="1:6" x14ac:dyDescent="0.2">
      <c r="A3972">
        <f>[1]!hospitalinfo[[#This Row],[Facility ID]]</f>
        <v>390016</v>
      </c>
      <c r="B3972" t="str">
        <f>[1]!hospitalinfo[[#This Row],[State]]</f>
        <v>PA</v>
      </c>
      <c r="C3972" t="str">
        <f>[1]!hospitalinfo[[#This Row],[Hospital Type]]</f>
        <v>Acute Care Hospitals</v>
      </c>
      <c r="D3972" t="str">
        <f>[1]!hospitalinfo[[#This Row],[Hospital Ownership]]</f>
        <v>Voluntary non-profit - Other</v>
      </c>
      <c r="E3972" cm="1">
        <f t="array" ref="E3972">_xlfn.IFNA(_xlfn.XLOOKUP(1,([1]!hcahps[Facility ID] = clean[[#This Row],[Facility ID]]) * ([1]!hcahps[HCAHPS Measure ID] = "H_HSP_RATING_LINEAR_SCORE"), [1]!hcahps[HCAHPS Linear Mean Value]), "No Match")</f>
        <v>86</v>
      </c>
      <c r="F3972" cm="1">
        <f t="array" ref="F3972">_xlfn.IFNA(_xlfn.XLOOKUP(1,([1]!readmissions[Facility ID] = clean[[#This Row],[Facility ID]]) * ([1]!readmissions[Measure ID] = "Hybrid_HWR"), [1]!readmissions[Score]), "No Match")</f>
        <v>15.4</v>
      </c>
    </row>
    <row r="3973" spans="1:6" x14ac:dyDescent="0.2">
      <c r="A3973">
        <f>[1]!hospitalinfo[[#This Row],[Facility ID]]</f>
        <v>390025</v>
      </c>
      <c r="B3973" t="str">
        <f>[1]!hospitalinfo[[#This Row],[State]]</f>
        <v>PA</v>
      </c>
      <c r="C3973" t="str">
        <f>[1]!hospitalinfo[[#This Row],[Hospital Type]]</f>
        <v>Acute Care Hospitals</v>
      </c>
      <c r="D3973" t="str">
        <f>[1]!hospitalinfo[[#This Row],[Hospital Ownership]]</f>
        <v>Voluntary non-profit - Other</v>
      </c>
      <c r="E3973" t="str" cm="1">
        <f t="array" ref="E3973">_xlfn.IFNA(_xlfn.XLOOKUP(1,([1]!hcahps[Facility ID] = clean[[#This Row],[Facility ID]]) * ([1]!hcahps[HCAHPS Measure ID] = "H_HSP_RATING_LINEAR_SCORE"), [1]!hcahps[HCAHPS Linear Mean Value]), "No Match")</f>
        <v>Not Available</v>
      </c>
      <c r="F3973" t="str" cm="1">
        <f t="array" ref="F3973">_xlfn.IFNA(_xlfn.XLOOKUP(1,([1]!readmissions[Facility ID] = clean[[#This Row],[Facility ID]]) * ([1]!readmissions[Measure ID] = "Hybrid_HWR"), [1]!readmissions[Score]), "No Match")</f>
        <v>Not Available</v>
      </c>
    </row>
    <row r="3974" spans="1:6" x14ac:dyDescent="0.2">
      <c r="A3974">
        <f>[1]!hospitalinfo[[#This Row],[Facility ID]]</f>
        <v>390026</v>
      </c>
      <c r="B3974" t="str">
        <f>[1]!hospitalinfo[[#This Row],[State]]</f>
        <v>PA</v>
      </c>
      <c r="C3974" t="str">
        <f>[1]!hospitalinfo[[#This Row],[Hospital Type]]</f>
        <v>Acute Care Hospitals</v>
      </c>
      <c r="D3974" t="str">
        <f>[1]!hospitalinfo[[#This Row],[Hospital Ownership]]</f>
        <v>Voluntary non-profit - Private</v>
      </c>
      <c r="E3974" cm="1">
        <f t="array" ref="E3974">_xlfn.IFNA(_xlfn.XLOOKUP(1,([1]!hcahps[Facility ID] = clean[[#This Row],[Facility ID]]) * ([1]!hcahps[HCAHPS Measure ID] = "H_HSP_RATING_LINEAR_SCORE"), [1]!hcahps[HCAHPS Linear Mean Value]), "No Match")</f>
        <v>80</v>
      </c>
      <c r="F3974" cm="1">
        <f t="array" ref="F3974">_xlfn.IFNA(_xlfn.XLOOKUP(1,([1]!readmissions[Facility ID] = clean[[#This Row],[Facility ID]]) * ([1]!readmissions[Measure ID] = "Hybrid_HWR"), [1]!readmissions[Score]), "No Match")</f>
        <v>16.899999999999999</v>
      </c>
    </row>
    <row r="3975" spans="1:6" x14ac:dyDescent="0.2">
      <c r="A3975">
        <f>[1]!hospitalinfo[[#This Row],[Facility ID]]</f>
        <v>390027</v>
      </c>
      <c r="B3975" t="str">
        <f>[1]!hospitalinfo[[#This Row],[State]]</f>
        <v>PA</v>
      </c>
      <c r="C3975" t="str">
        <f>[1]!hospitalinfo[[#This Row],[Hospital Type]]</f>
        <v>Acute Care Hospitals</v>
      </c>
      <c r="D3975" t="str">
        <f>[1]!hospitalinfo[[#This Row],[Hospital Ownership]]</f>
        <v>Voluntary non-profit - Private</v>
      </c>
      <c r="E3975" cm="1">
        <f t="array" ref="E3975">_xlfn.IFNA(_xlfn.XLOOKUP(1,([1]!hcahps[Facility ID] = clean[[#This Row],[Facility ID]]) * ([1]!hcahps[HCAHPS Measure ID] = "H_HSP_RATING_LINEAR_SCORE"), [1]!hcahps[HCAHPS Linear Mean Value]), "No Match")</f>
        <v>86</v>
      </c>
      <c r="F3975" cm="1">
        <f t="array" ref="F3975">_xlfn.IFNA(_xlfn.XLOOKUP(1,([1]!readmissions[Facility ID] = clean[[#This Row],[Facility ID]]) * ([1]!readmissions[Measure ID] = "Hybrid_HWR"), [1]!readmissions[Score]), "No Match")</f>
        <v>15.8</v>
      </c>
    </row>
    <row r="3976" spans="1:6" x14ac:dyDescent="0.2">
      <c r="A3976">
        <f>[1]!hospitalinfo[[#This Row],[Facility ID]]</f>
        <v>390028</v>
      </c>
      <c r="B3976" t="str">
        <f>[1]!hospitalinfo[[#This Row],[State]]</f>
        <v>PA</v>
      </c>
      <c r="C3976" t="str">
        <f>[1]!hospitalinfo[[#This Row],[Hospital Type]]</f>
        <v>Acute Care Hospitals</v>
      </c>
      <c r="D3976" t="str">
        <f>[1]!hospitalinfo[[#This Row],[Hospital Ownership]]</f>
        <v>Voluntary non-profit - Private</v>
      </c>
      <c r="E3976" cm="1">
        <f t="array" ref="E3976">_xlfn.IFNA(_xlfn.XLOOKUP(1,([1]!hcahps[Facility ID] = clean[[#This Row],[Facility ID]]) * ([1]!hcahps[HCAHPS Measure ID] = "H_HSP_RATING_LINEAR_SCORE"), [1]!hcahps[HCAHPS Linear Mean Value]), "No Match")</f>
        <v>90</v>
      </c>
      <c r="F3976" cm="1">
        <f t="array" ref="F3976">_xlfn.IFNA(_xlfn.XLOOKUP(1,([1]!readmissions[Facility ID] = clean[[#This Row],[Facility ID]]) * ([1]!readmissions[Measure ID] = "Hybrid_HWR"), [1]!readmissions[Score]), "No Match")</f>
        <v>14.5</v>
      </c>
    </row>
    <row r="3977" spans="1:6" x14ac:dyDescent="0.2">
      <c r="A3977">
        <f>[1]!hospitalinfo[[#This Row],[Facility ID]]</f>
        <v>390030</v>
      </c>
      <c r="B3977" t="str">
        <f>[1]!hospitalinfo[[#This Row],[State]]</f>
        <v>PA</v>
      </c>
      <c r="C3977" t="str">
        <f>[1]!hospitalinfo[[#This Row],[Hospital Type]]</f>
        <v>Acute Care Hospitals</v>
      </c>
      <c r="D3977" t="str">
        <f>[1]!hospitalinfo[[#This Row],[Hospital Ownership]]</f>
        <v>Voluntary non-profit - Private</v>
      </c>
      <c r="E3977" cm="1">
        <f t="array" ref="E3977">_xlfn.IFNA(_xlfn.XLOOKUP(1,([1]!hcahps[Facility ID] = clean[[#This Row],[Facility ID]]) * ([1]!hcahps[HCAHPS Measure ID] = "H_HSP_RATING_LINEAR_SCORE"), [1]!hcahps[HCAHPS Linear Mean Value]), "No Match")</f>
        <v>87</v>
      </c>
      <c r="F3977" cm="1">
        <f t="array" ref="F3977">_xlfn.IFNA(_xlfn.XLOOKUP(1,([1]!readmissions[Facility ID] = clean[[#This Row],[Facility ID]]) * ([1]!readmissions[Measure ID] = "Hybrid_HWR"), [1]!readmissions[Score]), "No Match")</f>
        <v>14.8</v>
      </c>
    </row>
    <row r="3978" spans="1:6" x14ac:dyDescent="0.2">
      <c r="A3978">
        <f>[1]!hospitalinfo[[#This Row],[Facility ID]]</f>
        <v>390032</v>
      </c>
      <c r="B3978" t="str">
        <f>[1]!hospitalinfo[[#This Row],[State]]</f>
        <v>PA</v>
      </c>
      <c r="C3978" t="str">
        <f>[1]!hospitalinfo[[#This Row],[Hospital Type]]</f>
        <v>Acute Care Hospitals</v>
      </c>
      <c r="D3978" t="str">
        <f>[1]!hospitalinfo[[#This Row],[Hospital Ownership]]</f>
        <v>Voluntary non-profit - Private</v>
      </c>
      <c r="E3978" cm="1">
        <f t="array" ref="E3978">_xlfn.IFNA(_xlfn.XLOOKUP(1,([1]!hcahps[Facility ID] = clean[[#This Row],[Facility ID]]) * ([1]!hcahps[HCAHPS Measure ID] = "H_HSP_RATING_LINEAR_SCORE"), [1]!hcahps[HCAHPS Linear Mean Value]), "No Match")</f>
        <v>86</v>
      </c>
      <c r="F3978" cm="1">
        <f t="array" ref="F3978">_xlfn.IFNA(_xlfn.XLOOKUP(1,([1]!readmissions[Facility ID] = clean[[#This Row],[Facility ID]]) * ([1]!readmissions[Measure ID] = "Hybrid_HWR"), [1]!readmissions[Score]), "No Match")</f>
        <v>15.7</v>
      </c>
    </row>
    <row r="3979" spans="1:6" x14ac:dyDescent="0.2">
      <c r="A3979">
        <f>[1]!hospitalinfo[[#This Row],[Facility ID]]</f>
        <v>390035</v>
      </c>
      <c r="B3979" t="str">
        <f>[1]!hospitalinfo[[#This Row],[State]]</f>
        <v>PA</v>
      </c>
      <c r="C3979" t="str">
        <f>[1]!hospitalinfo[[#This Row],[Hospital Type]]</f>
        <v>Acute Care Hospitals</v>
      </c>
      <c r="D3979" t="str">
        <f>[1]!hospitalinfo[[#This Row],[Hospital Ownership]]</f>
        <v>Proprietary</v>
      </c>
      <c r="E3979" cm="1">
        <f t="array" ref="E3979">_xlfn.IFNA(_xlfn.XLOOKUP(1,([1]!hcahps[Facility ID] = clean[[#This Row],[Facility ID]]) * ([1]!hcahps[HCAHPS Measure ID] = "H_HSP_RATING_LINEAR_SCORE"), [1]!hcahps[HCAHPS Linear Mean Value]), "No Match")</f>
        <v>92</v>
      </c>
      <c r="F3979" cm="1">
        <f t="array" ref="F3979">_xlfn.IFNA(_xlfn.XLOOKUP(1,([1]!readmissions[Facility ID] = clean[[#This Row],[Facility ID]]) * ([1]!readmissions[Measure ID] = "Hybrid_HWR"), [1]!readmissions[Score]), "No Match")</f>
        <v>16.399999999999999</v>
      </c>
    </row>
    <row r="3980" spans="1:6" x14ac:dyDescent="0.2">
      <c r="A3980">
        <f>[1]!hospitalinfo[[#This Row],[Facility ID]]</f>
        <v>390036</v>
      </c>
      <c r="B3980" t="str">
        <f>[1]!hospitalinfo[[#This Row],[State]]</f>
        <v>PA</v>
      </c>
      <c r="C3980" t="str">
        <f>[1]!hospitalinfo[[#This Row],[Hospital Type]]</f>
        <v>Acute Care Hospitals</v>
      </c>
      <c r="D3980" t="str">
        <f>[1]!hospitalinfo[[#This Row],[Hospital Ownership]]</f>
        <v>Voluntary non-profit - Private</v>
      </c>
      <c r="E3980" cm="1">
        <f t="array" ref="E3980">_xlfn.IFNA(_xlfn.XLOOKUP(1,([1]!hcahps[Facility ID] = clean[[#This Row],[Facility ID]]) * ([1]!hcahps[HCAHPS Measure ID] = "H_HSP_RATING_LINEAR_SCORE"), [1]!hcahps[HCAHPS Linear Mean Value]), "No Match")</f>
        <v>84</v>
      </c>
      <c r="F3980" cm="1">
        <f t="array" ref="F3980">_xlfn.IFNA(_xlfn.XLOOKUP(1,([1]!readmissions[Facility ID] = clean[[#This Row],[Facility ID]]) * ([1]!readmissions[Measure ID] = "Hybrid_HWR"), [1]!readmissions[Score]), "No Match")</f>
        <v>14.5</v>
      </c>
    </row>
    <row r="3981" spans="1:6" x14ac:dyDescent="0.2">
      <c r="A3981">
        <f>[1]!hospitalinfo[[#This Row],[Facility ID]]</f>
        <v>390037</v>
      </c>
      <c r="B3981" t="str">
        <f>[1]!hospitalinfo[[#This Row],[State]]</f>
        <v>PA</v>
      </c>
      <c r="C3981" t="str">
        <f>[1]!hospitalinfo[[#This Row],[Hospital Type]]</f>
        <v>Acute Care Hospitals</v>
      </c>
      <c r="D3981" t="str">
        <f>[1]!hospitalinfo[[#This Row],[Hospital Ownership]]</f>
        <v>Voluntary non-profit - Private</v>
      </c>
      <c r="E3981" cm="1">
        <f t="array" ref="E3981">_xlfn.IFNA(_xlfn.XLOOKUP(1,([1]!hcahps[Facility ID] = clean[[#This Row],[Facility ID]]) * ([1]!hcahps[HCAHPS Measure ID] = "H_HSP_RATING_LINEAR_SCORE"), [1]!hcahps[HCAHPS Linear Mean Value]), "No Match")</f>
        <v>88</v>
      </c>
      <c r="F3981" cm="1">
        <f t="array" ref="F3981">_xlfn.IFNA(_xlfn.XLOOKUP(1,([1]!readmissions[Facility ID] = clean[[#This Row],[Facility ID]]) * ([1]!readmissions[Measure ID] = "Hybrid_HWR"), [1]!readmissions[Score]), "No Match")</f>
        <v>15.1</v>
      </c>
    </row>
    <row r="3982" spans="1:6" x14ac:dyDescent="0.2">
      <c r="A3982">
        <f>[1]!hospitalinfo[[#This Row],[Facility ID]]</f>
        <v>390039</v>
      </c>
      <c r="B3982" t="str">
        <f>[1]!hospitalinfo[[#This Row],[State]]</f>
        <v>PA</v>
      </c>
      <c r="C3982" t="str">
        <f>[1]!hospitalinfo[[#This Row],[Hospital Type]]</f>
        <v>Acute Care Hospitals</v>
      </c>
      <c r="D3982" t="str">
        <f>[1]!hospitalinfo[[#This Row],[Hospital Ownership]]</f>
        <v>Voluntary non-profit - Private</v>
      </c>
      <c r="E3982" cm="1">
        <f t="array" ref="E3982">_xlfn.IFNA(_xlfn.XLOOKUP(1,([1]!hcahps[Facility ID] = clean[[#This Row],[Facility ID]]) * ([1]!hcahps[HCAHPS Measure ID] = "H_HSP_RATING_LINEAR_SCORE"), [1]!hcahps[HCAHPS Linear Mean Value]), "No Match")</f>
        <v>89</v>
      </c>
      <c r="F3982" cm="1">
        <f t="array" ref="F3982">_xlfn.IFNA(_xlfn.XLOOKUP(1,([1]!readmissions[Facility ID] = clean[[#This Row],[Facility ID]]) * ([1]!readmissions[Measure ID] = "Hybrid_HWR"), [1]!readmissions[Score]), "No Match")</f>
        <v>14.7</v>
      </c>
    </row>
    <row r="3983" spans="1:6" x14ac:dyDescent="0.2">
      <c r="A3983">
        <f>[1]!hospitalinfo[[#This Row],[Facility ID]]</f>
        <v>390041</v>
      </c>
      <c r="B3983" t="str">
        <f>[1]!hospitalinfo[[#This Row],[State]]</f>
        <v>PA</v>
      </c>
      <c r="C3983" t="str">
        <f>[1]!hospitalinfo[[#This Row],[Hospital Type]]</f>
        <v>Acute Care Hospitals</v>
      </c>
      <c r="D3983" t="str">
        <f>[1]!hospitalinfo[[#This Row],[Hospital Ownership]]</f>
        <v>Voluntary non-profit - Private</v>
      </c>
      <c r="E3983" cm="1">
        <f t="array" ref="E3983">_xlfn.IFNA(_xlfn.XLOOKUP(1,([1]!hcahps[Facility ID] = clean[[#This Row],[Facility ID]]) * ([1]!hcahps[HCAHPS Measure ID] = "H_HSP_RATING_LINEAR_SCORE"), [1]!hcahps[HCAHPS Linear Mean Value]), "No Match")</f>
        <v>84</v>
      </c>
      <c r="F3983" cm="1">
        <f t="array" ref="F3983">_xlfn.IFNA(_xlfn.XLOOKUP(1,([1]!readmissions[Facility ID] = clean[[#This Row],[Facility ID]]) * ([1]!readmissions[Measure ID] = "Hybrid_HWR"), [1]!readmissions[Score]), "No Match")</f>
        <v>14.5</v>
      </c>
    </row>
    <row r="3984" spans="1:6" x14ac:dyDescent="0.2">
      <c r="A3984">
        <f>[1]!hospitalinfo[[#This Row],[Facility ID]]</f>
        <v>390042</v>
      </c>
      <c r="B3984" t="str">
        <f>[1]!hospitalinfo[[#This Row],[State]]</f>
        <v>PA</v>
      </c>
      <c r="C3984" t="str">
        <f>[1]!hospitalinfo[[#This Row],[Hospital Type]]</f>
        <v>Acute Care Hospitals</v>
      </c>
      <c r="D3984" t="str">
        <f>[1]!hospitalinfo[[#This Row],[Hospital Ownership]]</f>
        <v>Voluntary non-profit - Private</v>
      </c>
      <c r="E3984" cm="1">
        <f t="array" ref="E3984">_xlfn.IFNA(_xlfn.XLOOKUP(1,([1]!hcahps[Facility ID] = clean[[#This Row],[Facility ID]]) * ([1]!hcahps[HCAHPS Measure ID] = "H_HSP_RATING_LINEAR_SCORE"), [1]!hcahps[HCAHPS Linear Mean Value]), "No Match")</f>
        <v>88</v>
      </c>
      <c r="F3984" cm="1">
        <f t="array" ref="F3984">_xlfn.IFNA(_xlfn.XLOOKUP(1,([1]!readmissions[Facility ID] = clean[[#This Row],[Facility ID]]) * ([1]!readmissions[Measure ID] = "Hybrid_HWR"), [1]!readmissions[Score]), "No Match")</f>
        <v>15.3</v>
      </c>
    </row>
    <row r="3985" spans="1:6" x14ac:dyDescent="0.2">
      <c r="A3985">
        <f>[1]!hospitalinfo[[#This Row],[Facility ID]]</f>
        <v>390044</v>
      </c>
      <c r="B3985" t="str">
        <f>[1]!hospitalinfo[[#This Row],[State]]</f>
        <v>PA</v>
      </c>
      <c r="C3985" t="str">
        <f>[1]!hospitalinfo[[#This Row],[Hospital Type]]</f>
        <v>Acute Care Hospitals</v>
      </c>
      <c r="D3985" t="str">
        <f>[1]!hospitalinfo[[#This Row],[Hospital Ownership]]</f>
        <v>Voluntary non-profit - Private</v>
      </c>
      <c r="E3985" cm="1">
        <f t="array" ref="E3985">_xlfn.IFNA(_xlfn.XLOOKUP(1,([1]!hcahps[Facility ID] = clean[[#This Row],[Facility ID]]) * ([1]!hcahps[HCAHPS Measure ID] = "H_HSP_RATING_LINEAR_SCORE"), [1]!hcahps[HCAHPS Linear Mean Value]), "No Match")</f>
        <v>86</v>
      </c>
      <c r="F3985" cm="1">
        <f t="array" ref="F3985">_xlfn.IFNA(_xlfn.XLOOKUP(1,([1]!readmissions[Facility ID] = clean[[#This Row],[Facility ID]]) * ([1]!readmissions[Measure ID] = "Hybrid_HWR"), [1]!readmissions[Score]), "No Match")</f>
        <v>15.4</v>
      </c>
    </row>
    <row r="3986" spans="1:6" x14ac:dyDescent="0.2">
      <c r="A3986">
        <f>[1]!hospitalinfo[[#This Row],[Facility ID]]</f>
        <v>390045</v>
      </c>
      <c r="B3986" t="str">
        <f>[1]!hospitalinfo[[#This Row],[State]]</f>
        <v>PA</v>
      </c>
      <c r="C3986" t="str">
        <f>[1]!hospitalinfo[[#This Row],[Hospital Type]]</f>
        <v>Acute Care Hospitals</v>
      </c>
      <c r="D3986" t="str">
        <f>[1]!hospitalinfo[[#This Row],[Hospital Ownership]]</f>
        <v>Voluntary non-profit - Private</v>
      </c>
      <c r="E3986" cm="1">
        <f t="array" ref="E3986">_xlfn.IFNA(_xlfn.XLOOKUP(1,([1]!hcahps[Facility ID] = clean[[#This Row],[Facility ID]]) * ([1]!hcahps[HCAHPS Measure ID] = "H_HSP_RATING_LINEAR_SCORE"), [1]!hcahps[HCAHPS Linear Mean Value]), "No Match")</f>
        <v>90</v>
      </c>
      <c r="F3986" cm="1">
        <f t="array" ref="F3986">_xlfn.IFNA(_xlfn.XLOOKUP(1,([1]!readmissions[Facility ID] = clean[[#This Row],[Facility ID]]) * ([1]!readmissions[Measure ID] = "Hybrid_HWR"), [1]!readmissions[Score]), "No Match")</f>
        <v>15.1</v>
      </c>
    </row>
    <row r="3987" spans="1:6" x14ac:dyDescent="0.2">
      <c r="A3987">
        <f>[1]!hospitalinfo[[#This Row],[Facility ID]]</f>
        <v>390046</v>
      </c>
      <c r="B3987" t="str">
        <f>[1]!hospitalinfo[[#This Row],[State]]</f>
        <v>PA</v>
      </c>
      <c r="C3987" t="str">
        <f>[1]!hospitalinfo[[#This Row],[Hospital Type]]</f>
        <v>Acute Care Hospitals</v>
      </c>
      <c r="D3987" t="str">
        <f>[1]!hospitalinfo[[#This Row],[Hospital Ownership]]</f>
        <v>Voluntary non-profit - Private</v>
      </c>
      <c r="E3987" cm="1">
        <f t="array" ref="E3987">_xlfn.IFNA(_xlfn.XLOOKUP(1,([1]!hcahps[Facility ID] = clean[[#This Row],[Facility ID]]) * ([1]!hcahps[HCAHPS Measure ID] = "H_HSP_RATING_LINEAR_SCORE"), [1]!hcahps[HCAHPS Linear Mean Value]), "No Match")</f>
        <v>86</v>
      </c>
      <c r="F3987" cm="1">
        <f t="array" ref="F3987">_xlfn.IFNA(_xlfn.XLOOKUP(1,([1]!readmissions[Facility ID] = clean[[#This Row],[Facility ID]]) * ([1]!readmissions[Measure ID] = "Hybrid_HWR"), [1]!readmissions[Score]), "No Match")</f>
        <v>14.3</v>
      </c>
    </row>
    <row r="3988" spans="1:6" x14ac:dyDescent="0.2">
      <c r="A3988">
        <f>[1]!hospitalinfo[[#This Row],[Facility ID]]</f>
        <v>390048</v>
      </c>
      <c r="B3988" t="str">
        <f>[1]!hospitalinfo[[#This Row],[State]]</f>
        <v>PA</v>
      </c>
      <c r="C3988" t="str">
        <f>[1]!hospitalinfo[[#This Row],[Hospital Type]]</f>
        <v>Acute Care Hospitals</v>
      </c>
      <c r="D3988" t="str">
        <f>[1]!hospitalinfo[[#This Row],[Hospital Ownership]]</f>
        <v>Voluntary non-profit - Private</v>
      </c>
      <c r="E3988" cm="1">
        <f t="array" ref="E3988">_xlfn.IFNA(_xlfn.XLOOKUP(1,([1]!hcahps[Facility ID] = clean[[#This Row],[Facility ID]]) * ([1]!hcahps[HCAHPS Measure ID] = "H_HSP_RATING_LINEAR_SCORE"), [1]!hcahps[HCAHPS Linear Mean Value]), "No Match")</f>
        <v>89</v>
      </c>
      <c r="F3988" cm="1">
        <f t="array" ref="F3988">_xlfn.IFNA(_xlfn.XLOOKUP(1,([1]!readmissions[Facility ID] = clean[[#This Row],[Facility ID]]) * ([1]!readmissions[Measure ID] = "Hybrid_HWR"), [1]!readmissions[Score]), "No Match")</f>
        <v>14.6</v>
      </c>
    </row>
    <row r="3989" spans="1:6" x14ac:dyDescent="0.2">
      <c r="A3989">
        <f>[1]!hospitalinfo[[#This Row],[Facility ID]]</f>
        <v>390049</v>
      </c>
      <c r="B3989" t="str">
        <f>[1]!hospitalinfo[[#This Row],[State]]</f>
        <v>PA</v>
      </c>
      <c r="C3989" t="str">
        <f>[1]!hospitalinfo[[#This Row],[Hospital Type]]</f>
        <v>Acute Care Hospitals</v>
      </c>
      <c r="D3989" t="str">
        <f>[1]!hospitalinfo[[#This Row],[Hospital Ownership]]</f>
        <v>Voluntary non-profit - Private</v>
      </c>
      <c r="E3989" cm="1">
        <f t="array" ref="E3989">_xlfn.IFNA(_xlfn.XLOOKUP(1,([1]!hcahps[Facility ID] = clean[[#This Row],[Facility ID]]) * ([1]!hcahps[HCAHPS Measure ID] = "H_HSP_RATING_LINEAR_SCORE"), [1]!hcahps[HCAHPS Linear Mean Value]), "No Match")</f>
        <v>90</v>
      </c>
      <c r="F3989" cm="1">
        <f t="array" ref="F3989">_xlfn.IFNA(_xlfn.XLOOKUP(1,([1]!readmissions[Facility ID] = clean[[#This Row],[Facility ID]]) * ([1]!readmissions[Measure ID] = "Hybrid_HWR"), [1]!readmissions[Score]), "No Match")</f>
        <v>15.7</v>
      </c>
    </row>
    <row r="3990" spans="1:6" x14ac:dyDescent="0.2">
      <c r="A3990">
        <f>[1]!hospitalinfo[[#This Row],[Facility ID]]</f>
        <v>390050</v>
      </c>
      <c r="B3990" t="str">
        <f>[1]!hospitalinfo[[#This Row],[State]]</f>
        <v>PA</v>
      </c>
      <c r="C3990" t="str">
        <f>[1]!hospitalinfo[[#This Row],[Hospital Type]]</f>
        <v>Acute Care Hospitals</v>
      </c>
      <c r="D3990" t="str">
        <f>[1]!hospitalinfo[[#This Row],[Hospital Ownership]]</f>
        <v>Voluntary non-profit - Private</v>
      </c>
      <c r="E3990" cm="1">
        <f t="array" ref="E3990">_xlfn.IFNA(_xlfn.XLOOKUP(1,([1]!hcahps[Facility ID] = clean[[#This Row],[Facility ID]]) * ([1]!hcahps[HCAHPS Measure ID] = "H_HSP_RATING_LINEAR_SCORE"), [1]!hcahps[HCAHPS Linear Mean Value]), "No Match")</f>
        <v>87</v>
      </c>
      <c r="F3990" cm="1">
        <f t="array" ref="F3990">_xlfn.IFNA(_xlfn.XLOOKUP(1,([1]!readmissions[Facility ID] = clean[[#This Row],[Facility ID]]) * ([1]!readmissions[Measure ID] = "Hybrid_HWR"), [1]!readmissions[Score]), "No Match")</f>
        <v>14.7</v>
      </c>
    </row>
    <row r="3991" spans="1:6" x14ac:dyDescent="0.2">
      <c r="A3991">
        <f>[1]!hospitalinfo[[#This Row],[Facility ID]]</f>
        <v>390056</v>
      </c>
      <c r="B3991" t="str">
        <f>[1]!hospitalinfo[[#This Row],[State]]</f>
        <v>PA</v>
      </c>
      <c r="C3991" t="str">
        <f>[1]!hospitalinfo[[#This Row],[Hospital Type]]</f>
        <v>Acute Care Hospitals</v>
      </c>
      <c r="D3991" t="str">
        <f>[1]!hospitalinfo[[#This Row],[Hospital Ownership]]</f>
        <v>Voluntary non-profit - Private</v>
      </c>
      <c r="E3991" cm="1">
        <f t="array" ref="E3991">_xlfn.IFNA(_xlfn.XLOOKUP(1,([1]!hcahps[Facility ID] = clean[[#This Row],[Facility ID]]) * ([1]!hcahps[HCAHPS Measure ID] = "H_HSP_RATING_LINEAR_SCORE"), [1]!hcahps[HCAHPS Linear Mean Value]), "No Match")</f>
        <v>85</v>
      </c>
      <c r="F3991" cm="1">
        <f t="array" ref="F3991">_xlfn.IFNA(_xlfn.XLOOKUP(1,([1]!readmissions[Facility ID] = clean[[#This Row],[Facility ID]]) * ([1]!readmissions[Measure ID] = "Hybrid_HWR"), [1]!readmissions[Score]), "No Match")</f>
        <v>15.2</v>
      </c>
    </row>
    <row r="3992" spans="1:6" x14ac:dyDescent="0.2">
      <c r="A3992">
        <f>[1]!hospitalinfo[[#This Row],[Facility ID]]</f>
        <v>390057</v>
      </c>
      <c r="B3992" t="str">
        <f>[1]!hospitalinfo[[#This Row],[State]]</f>
        <v>PA</v>
      </c>
      <c r="C3992" t="str">
        <f>[1]!hospitalinfo[[#This Row],[Hospital Type]]</f>
        <v>Acute Care Hospitals</v>
      </c>
      <c r="D3992" t="str">
        <f>[1]!hospitalinfo[[#This Row],[Hospital Ownership]]</f>
        <v>Voluntary non-profit - Other</v>
      </c>
      <c r="E3992" cm="1">
        <f t="array" ref="E3992">_xlfn.IFNA(_xlfn.XLOOKUP(1,([1]!hcahps[Facility ID] = clean[[#This Row],[Facility ID]]) * ([1]!hcahps[HCAHPS Measure ID] = "H_HSP_RATING_LINEAR_SCORE"), [1]!hcahps[HCAHPS Linear Mean Value]), "No Match")</f>
        <v>89</v>
      </c>
      <c r="F3992" cm="1">
        <f t="array" ref="F3992">_xlfn.IFNA(_xlfn.XLOOKUP(1,([1]!readmissions[Facility ID] = clean[[#This Row],[Facility ID]]) * ([1]!readmissions[Measure ID] = "Hybrid_HWR"), [1]!readmissions[Score]), "No Match")</f>
        <v>14.8</v>
      </c>
    </row>
    <row r="3993" spans="1:6" x14ac:dyDescent="0.2">
      <c r="A3993">
        <f>[1]!hospitalinfo[[#This Row],[Facility ID]]</f>
        <v>390058</v>
      </c>
      <c r="B3993" t="str">
        <f>[1]!hospitalinfo[[#This Row],[State]]</f>
        <v>PA</v>
      </c>
      <c r="C3993" t="str">
        <f>[1]!hospitalinfo[[#This Row],[Hospital Type]]</f>
        <v>Acute Care Hospitals</v>
      </c>
      <c r="D3993" t="str">
        <f>[1]!hospitalinfo[[#This Row],[Hospital Ownership]]</f>
        <v>Voluntary non-profit - Private</v>
      </c>
      <c r="E3993" cm="1">
        <f t="array" ref="E3993">_xlfn.IFNA(_xlfn.XLOOKUP(1,([1]!hcahps[Facility ID] = clean[[#This Row],[Facility ID]]) * ([1]!hcahps[HCAHPS Measure ID] = "H_HSP_RATING_LINEAR_SCORE"), [1]!hcahps[HCAHPS Linear Mean Value]), "No Match")</f>
        <v>88</v>
      </c>
      <c r="F3993" cm="1">
        <f t="array" ref="F3993">_xlfn.IFNA(_xlfn.XLOOKUP(1,([1]!readmissions[Facility ID] = clean[[#This Row],[Facility ID]]) * ([1]!readmissions[Measure ID] = "Hybrid_HWR"), [1]!readmissions[Score]), "No Match")</f>
        <v>14.5</v>
      </c>
    </row>
    <row r="3994" spans="1:6" x14ac:dyDescent="0.2">
      <c r="A3994">
        <f>[1]!hospitalinfo[[#This Row],[Facility ID]]</f>
        <v>390062</v>
      </c>
      <c r="B3994" t="str">
        <f>[1]!hospitalinfo[[#This Row],[State]]</f>
        <v>PA</v>
      </c>
      <c r="C3994" t="str">
        <f>[1]!hospitalinfo[[#This Row],[Hospital Type]]</f>
        <v>Acute Care Hospitals</v>
      </c>
      <c r="D3994" t="str">
        <f>[1]!hospitalinfo[[#This Row],[Hospital Ownership]]</f>
        <v>Voluntary non-profit - Other</v>
      </c>
      <c r="E3994" cm="1">
        <f t="array" ref="E3994">_xlfn.IFNA(_xlfn.XLOOKUP(1,([1]!hcahps[Facility ID] = clean[[#This Row],[Facility ID]]) * ([1]!hcahps[HCAHPS Measure ID] = "H_HSP_RATING_LINEAR_SCORE"), [1]!hcahps[HCAHPS Linear Mean Value]), "No Match")</f>
        <v>91</v>
      </c>
      <c r="F3994" cm="1">
        <f t="array" ref="F3994">_xlfn.IFNA(_xlfn.XLOOKUP(1,([1]!readmissions[Facility ID] = clean[[#This Row],[Facility ID]]) * ([1]!readmissions[Measure ID] = "Hybrid_HWR"), [1]!readmissions[Score]), "No Match")</f>
        <v>14.6</v>
      </c>
    </row>
    <row r="3995" spans="1:6" x14ac:dyDescent="0.2">
      <c r="A3995">
        <f>[1]!hospitalinfo[[#This Row],[Facility ID]]</f>
        <v>390063</v>
      </c>
      <c r="B3995" t="str">
        <f>[1]!hospitalinfo[[#This Row],[State]]</f>
        <v>PA</v>
      </c>
      <c r="C3995" t="str">
        <f>[1]!hospitalinfo[[#This Row],[Hospital Type]]</f>
        <v>Acute Care Hospitals</v>
      </c>
      <c r="D3995" t="str">
        <f>[1]!hospitalinfo[[#This Row],[Hospital Ownership]]</f>
        <v>Voluntary non-profit - Private</v>
      </c>
      <c r="E3995" cm="1">
        <f t="array" ref="E3995">_xlfn.IFNA(_xlfn.XLOOKUP(1,([1]!hcahps[Facility ID] = clean[[#This Row],[Facility ID]]) * ([1]!hcahps[HCAHPS Measure ID] = "H_HSP_RATING_LINEAR_SCORE"), [1]!hcahps[HCAHPS Linear Mean Value]), "No Match")</f>
        <v>88</v>
      </c>
      <c r="F3995" cm="1">
        <f t="array" ref="F3995">_xlfn.IFNA(_xlfn.XLOOKUP(1,([1]!readmissions[Facility ID] = clean[[#This Row],[Facility ID]]) * ([1]!readmissions[Measure ID] = "Hybrid_HWR"), [1]!readmissions[Score]), "No Match")</f>
        <v>15.5</v>
      </c>
    </row>
    <row r="3996" spans="1:6" x14ac:dyDescent="0.2">
      <c r="A3996">
        <f>[1]!hospitalinfo[[#This Row],[Facility ID]]</f>
        <v>390065</v>
      </c>
      <c r="B3996" t="str">
        <f>[1]!hospitalinfo[[#This Row],[State]]</f>
        <v>PA</v>
      </c>
      <c r="C3996" t="str">
        <f>[1]!hospitalinfo[[#This Row],[Hospital Type]]</f>
        <v>Acute Care Hospitals</v>
      </c>
      <c r="D3996" t="str">
        <f>[1]!hospitalinfo[[#This Row],[Hospital Ownership]]</f>
        <v>Voluntary non-profit - Private</v>
      </c>
      <c r="E3996" cm="1">
        <f t="array" ref="E3996">_xlfn.IFNA(_xlfn.XLOOKUP(1,([1]!hcahps[Facility ID] = clean[[#This Row],[Facility ID]]) * ([1]!hcahps[HCAHPS Measure ID] = "H_HSP_RATING_LINEAR_SCORE"), [1]!hcahps[HCAHPS Linear Mean Value]), "No Match")</f>
        <v>88</v>
      </c>
      <c r="F3996" cm="1">
        <f t="array" ref="F3996">_xlfn.IFNA(_xlfn.XLOOKUP(1,([1]!readmissions[Facility ID] = clean[[#This Row],[Facility ID]]) * ([1]!readmissions[Measure ID] = "Hybrid_HWR"), [1]!readmissions[Score]), "No Match")</f>
        <v>13.9</v>
      </c>
    </row>
    <row r="3997" spans="1:6" x14ac:dyDescent="0.2">
      <c r="A3997">
        <f>[1]!hospitalinfo[[#This Row],[Facility ID]]</f>
        <v>390066</v>
      </c>
      <c r="B3997" t="str">
        <f>[1]!hospitalinfo[[#This Row],[State]]</f>
        <v>PA</v>
      </c>
      <c r="C3997" t="str">
        <f>[1]!hospitalinfo[[#This Row],[Hospital Type]]</f>
        <v>Acute Care Hospitals</v>
      </c>
      <c r="D3997" t="str">
        <f>[1]!hospitalinfo[[#This Row],[Hospital Ownership]]</f>
        <v>Voluntary non-profit - Private</v>
      </c>
      <c r="E3997" cm="1">
        <f t="array" ref="E3997">_xlfn.IFNA(_xlfn.XLOOKUP(1,([1]!hcahps[Facility ID] = clean[[#This Row],[Facility ID]]) * ([1]!hcahps[HCAHPS Measure ID] = "H_HSP_RATING_LINEAR_SCORE"), [1]!hcahps[HCAHPS Linear Mean Value]), "No Match")</f>
        <v>86</v>
      </c>
      <c r="F3997" cm="1">
        <f t="array" ref="F3997">_xlfn.IFNA(_xlfn.XLOOKUP(1,([1]!readmissions[Facility ID] = clean[[#This Row],[Facility ID]]) * ([1]!readmissions[Measure ID] = "Hybrid_HWR"), [1]!readmissions[Score]), "No Match")</f>
        <v>14.3</v>
      </c>
    </row>
    <row r="3998" spans="1:6" x14ac:dyDescent="0.2">
      <c r="A3998">
        <f>[1]!hospitalinfo[[#This Row],[Facility ID]]</f>
        <v>390067</v>
      </c>
      <c r="B3998" t="str">
        <f>[1]!hospitalinfo[[#This Row],[State]]</f>
        <v>PA</v>
      </c>
      <c r="C3998" t="str">
        <f>[1]!hospitalinfo[[#This Row],[Hospital Type]]</f>
        <v>Acute Care Hospitals</v>
      </c>
      <c r="D3998" t="str">
        <f>[1]!hospitalinfo[[#This Row],[Hospital Ownership]]</f>
        <v>Voluntary non-profit - Private</v>
      </c>
      <c r="E3998" cm="1">
        <f t="array" ref="E3998">_xlfn.IFNA(_xlfn.XLOOKUP(1,([1]!hcahps[Facility ID] = clean[[#This Row],[Facility ID]]) * ([1]!hcahps[HCAHPS Measure ID] = "H_HSP_RATING_LINEAR_SCORE"), [1]!hcahps[HCAHPS Linear Mean Value]), "No Match")</f>
        <v>90</v>
      </c>
      <c r="F3998" cm="1">
        <f t="array" ref="F3998">_xlfn.IFNA(_xlfn.XLOOKUP(1,([1]!readmissions[Facility ID] = clean[[#This Row],[Facility ID]]) * ([1]!readmissions[Measure ID] = "Hybrid_HWR"), [1]!readmissions[Score]), "No Match")</f>
        <v>14.6</v>
      </c>
    </row>
    <row r="3999" spans="1:6" x14ac:dyDescent="0.2">
      <c r="A3999">
        <f>[1]!hospitalinfo[[#This Row],[Facility ID]]</f>
        <v>390068</v>
      </c>
      <c r="B3999" t="str">
        <f>[1]!hospitalinfo[[#This Row],[State]]</f>
        <v>PA</v>
      </c>
      <c r="C3999" t="str">
        <f>[1]!hospitalinfo[[#This Row],[Hospital Type]]</f>
        <v>Acute Care Hospitals</v>
      </c>
      <c r="D3999" t="str">
        <f>[1]!hospitalinfo[[#This Row],[Hospital Ownership]]</f>
        <v>Voluntary non-profit - Other</v>
      </c>
      <c r="E3999" cm="1">
        <f t="array" ref="E3999">_xlfn.IFNA(_xlfn.XLOOKUP(1,([1]!hcahps[Facility ID] = clean[[#This Row],[Facility ID]]) * ([1]!hcahps[HCAHPS Measure ID] = "H_HSP_RATING_LINEAR_SCORE"), [1]!hcahps[HCAHPS Linear Mean Value]), "No Match")</f>
        <v>90</v>
      </c>
      <c r="F3999" cm="1">
        <f t="array" ref="F3999">_xlfn.IFNA(_xlfn.XLOOKUP(1,([1]!readmissions[Facility ID] = clean[[#This Row],[Facility ID]]) * ([1]!readmissions[Measure ID] = "Hybrid_HWR"), [1]!readmissions[Score]), "No Match")</f>
        <v>15</v>
      </c>
    </row>
    <row r="4000" spans="1:6" x14ac:dyDescent="0.2">
      <c r="A4000">
        <f>[1]!hospitalinfo[[#This Row],[Facility ID]]</f>
        <v>390070</v>
      </c>
      <c r="B4000" t="str">
        <f>[1]!hospitalinfo[[#This Row],[State]]</f>
        <v>PA</v>
      </c>
      <c r="C4000" t="str">
        <f>[1]!hospitalinfo[[#This Row],[Hospital Type]]</f>
        <v>Acute Care Hospitals</v>
      </c>
      <c r="D4000" t="str">
        <f>[1]!hospitalinfo[[#This Row],[Hospital Ownership]]</f>
        <v>Voluntary non-profit - Private</v>
      </c>
      <c r="E4000" cm="1">
        <f t="array" ref="E4000">_xlfn.IFNA(_xlfn.XLOOKUP(1,([1]!hcahps[Facility ID] = clean[[#This Row],[Facility ID]]) * ([1]!hcahps[HCAHPS Measure ID] = "H_HSP_RATING_LINEAR_SCORE"), [1]!hcahps[HCAHPS Linear Mean Value]), "No Match")</f>
        <v>84</v>
      </c>
      <c r="F4000" cm="1">
        <f t="array" ref="F4000">_xlfn.IFNA(_xlfn.XLOOKUP(1,([1]!readmissions[Facility ID] = clean[[#This Row],[Facility ID]]) * ([1]!readmissions[Measure ID] = "Hybrid_HWR"), [1]!readmissions[Score]), "No Match")</f>
        <v>15.2</v>
      </c>
    </row>
    <row r="4001" spans="1:6" x14ac:dyDescent="0.2">
      <c r="A4001">
        <f>[1]!hospitalinfo[[#This Row],[Facility ID]]</f>
        <v>390073</v>
      </c>
      <c r="B4001" t="str">
        <f>[1]!hospitalinfo[[#This Row],[State]]</f>
        <v>PA</v>
      </c>
      <c r="C4001" t="str">
        <f>[1]!hospitalinfo[[#This Row],[Hospital Type]]</f>
        <v>Acute Care Hospitals</v>
      </c>
      <c r="D4001" t="str">
        <f>[1]!hospitalinfo[[#This Row],[Hospital Ownership]]</f>
        <v>Voluntary non-profit - Private</v>
      </c>
      <c r="E4001" cm="1">
        <f t="array" ref="E4001">_xlfn.IFNA(_xlfn.XLOOKUP(1,([1]!hcahps[Facility ID] = clean[[#This Row],[Facility ID]]) * ([1]!hcahps[HCAHPS Measure ID] = "H_HSP_RATING_LINEAR_SCORE"), [1]!hcahps[HCAHPS Linear Mean Value]), "No Match")</f>
        <v>82</v>
      </c>
      <c r="F4001" cm="1">
        <f t="array" ref="F4001">_xlfn.IFNA(_xlfn.XLOOKUP(1,([1]!readmissions[Facility ID] = clean[[#This Row],[Facility ID]]) * ([1]!readmissions[Measure ID] = "Hybrid_HWR"), [1]!readmissions[Score]), "No Match")</f>
        <v>14.5</v>
      </c>
    </row>
    <row r="4002" spans="1:6" x14ac:dyDescent="0.2">
      <c r="A4002">
        <f>[1]!hospitalinfo[[#This Row],[Facility ID]]</f>
        <v>390079</v>
      </c>
      <c r="B4002" t="str">
        <f>[1]!hospitalinfo[[#This Row],[State]]</f>
        <v>PA</v>
      </c>
      <c r="C4002" t="str">
        <f>[1]!hospitalinfo[[#This Row],[Hospital Type]]</f>
        <v>Acute Care Hospitals</v>
      </c>
      <c r="D4002" t="str">
        <f>[1]!hospitalinfo[[#This Row],[Hospital Ownership]]</f>
        <v>Voluntary non-profit - Private</v>
      </c>
      <c r="E4002" cm="1">
        <f t="array" ref="E4002">_xlfn.IFNA(_xlfn.XLOOKUP(1,([1]!hcahps[Facility ID] = clean[[#This Row],[Facility ID]]) * ([1]!hcahps[HCAHPS Measure ID] = "H_HSP_RATING_LINEAR_SCORE"), [1]!hcahps[HCAHPS Linear Mean Value]), "No Match")</f>
        <v>89</v>
      </c>
      <c r="F4002" cm="1">
        <f t="array" ref="F4002">_xlfn.IFNA(_xlfn.XLOOKUP(1,([1]!readmissions[Facility ID] = clean[[#This Row],[Facility ID]]) * ([1]!readmissions[Measure ID] = "Hybrid_HWR"), [1]!readmissions[Score]), "No Match")</f>
        <v>15.7</v>
      </c>
    </row>
    <row r="4003" spans="1:6" x14ac:dyDescent="0.2">
      <c r="A4003">
        <f>[1]!hospitalinfo[[#This Row],[Facility ID]]</f>
        <v>390086</v>
      </c>
      <c r="B4003" t="str">
        <f>[1]!hospitalinfo[[#This Row],[State]]</f>
        <v>PA</v>
      </c>
      <c r="C4003" t="str">
        <f>[1]!hospitalinfo[[#This Row],[Hospital Type]]</f>
        <v>Acute Care Hospitals</v>
      </c>
      <c r="D4003" t="str">
        <f>[1]!hospitalinfo[[#This Row],[Hospital Ownership]]</f>
        <v>Voluntary non-profit - Private</v>
      </c>
      <c r="E4003" cm="1">
        <f t="array" ref="E4003">_xlfn.IFNA(_xlfn.XLOOKUP(1,([1]!hcahps[Facility ID] = clean[[#This Row],[Facility ID]]) * ([1]!hcahps[HCAHPS Measure ID] = "H_HSP_RATING_LINEAR_SCORE"), [1]!hcahps[HCAHPS Linear Mean Value]), "No Match")</f>
        <v>82</v>
      </c>
      <c r="F4003" cm="1">
        <f t="array" ref="F4003">_xlfn.IFNA(_xlfn.XLOOKUP(1,([1]!readmissions[Facility ID] = clean[[#This Row],[Facility ID]]) * ([1]!readmissions[Measure ID] = "Hybrid_HWR"), [1]!readmissions[Score]), "No Match")</f>
        <v>14.7</v>
      </c>
    </row>
    <row r="4004" spans="1:6" x14ac:dyDescent="0.2">
      <c r="A4004">
        <f>[1]!hospitalinfo[[#This Row],[Facility ID]]</f>
        <v>390090</v>
      </c>
      <c r="B4004" t="str">
        <f>[1]!hospitalinfo[[#This Row],[State]]</f>
        <v>PA</v>
      </c>
      <c r="C4004" t="str">
        <f>[1]!hospitalinfo[[#This Row],[Hospital Type]]</f>
        <v>Acute Care Hospitals</v>
      </c>
      <c r="D4004" t="str">
        <f>[1]!hospitalinfo[[#This Row],[Hospital Ownership]]</f>
        <v>Voluntary non-profit - Private</v>
      </c>
      <c r="E4004" cm="1">
        <f t="array" ref="E4004">_xlfn.IFNA(_xlfn.XLOOKUP(1,([1]!hcahps[Facility ID] = clean[[#This Row],[Facility ID]]) * ([1]!hcahps[HCAHPS Measure ID] = "H_HSP_RATING_LINEAR_SCORE"), [1]!hcahps[HCAHPS Linear Mean Value]), "No Match")</f>
        <v>91</v>
      </c>
      <c r="F4004" cm="1">
        <f t="array" ref="F4004">_xlfn.IFNA(_xlfn.XLOOKUP(1,([1]!readmissions[Facility ID] = clean[[#This Row],[Facility ID]]) * ([1]!readmissions[Measure ID] = "Hybrid_HWR"), [1]!readmissions[Score]), "No Match")</f>
        <v>16.3</v>
      </c>
    </row>
    <row r="4005" spans="1:6" x14ac:dyDescent="0.2">
      <c r="A4005">
        <f>[1]!hospitalinfo[[#This Row],[Facility ID]]</f>
        <v>390091</v>
      </c>
      <c r="B4005" t="str">
        <f>[1]!hospitalinfo[[#This Row],[State]]</f>
        <v>PA</v>
      </c>
      <c r="C4005" t="str">
        <f>[1]!hospitalinfo[[#This Row],[Hospital Type]]</f>
        <v>Acute Care Hospitals</v>
      </c>
      <c r="D4005" t="str">
        <f>[1]!hospitalinfo[[#This Row],[Hospital Ownership]]</f>
        <v>Voluntary non-profit - Other</v>
      </c>
      <c r="E4005" cm="1">
        <f t="array" ref="E4005">_xlfn.IFNA(_xlfn.XLOOKUP(1,([1]!hcahps[Facility ID] = clean[[#This Row],[Facility ID]]) * ([1]!hcahps[HCAHPS Measure ID] = "H_HSP_RATING_LINEAR_SCORE"), [1]!hcahps[HCAHPS Linear Mean Value]), "No Match")</f>
        <v>87</v>
      </c>
      <c r="F4005" cm="1">
        <f t="array" ref="F4005">_xlfn.IFNA(_xlfn.XLOOKUP(1,([1]!readmissions[Facility ID] = clean[[#This Row],[Facility ID]]) * ([1]!readmissions[Measure ID] = "Hybrid_HWR"), [1]!readmissions[Score]), "No Match")</f>
        <v>14.6</v>
      </c>
    </row>
    <row r="4006" spans="1:6" x14ac:dyDescent="0.2">
      <c r="A4006">
        <f>[1]!hospitalinfo[[#This Row],[Facility ID]]</f>
        <v>390093</v>
      </c>
      <c r="B4006" t="str">
        <f>[1]!hospitalinfo[[#This Row],[State]]</f>
        <v>PA</v>
      </c>
      <c r="C4006" t="str">
        <f>[1]!hospitalinfo[[#This Row],[Hospital Type]]</f>
        <v>Acute Care Hospitals</v>
      </c>
      <c r="D4006" t="str">
        <f>[1]!hospitalinfo[[#This Row],[Hospital Ownership]]</f>
        <v>Voluntary non-profit - Private</v>
      </c>
      <c r="E4006" cm="1">
        <f t="array" ref="E4006">_xlfn.IFNA(_xlfn.XLOOKUP(1,([1]!hcahps[Facility ID] = clean[[#This Row],[Facility ID]]) * ([1]!hcahps[HCAHPS Measure ID] = "H_HSP_RATING_LINEAR_SCORE"), [1]!hcahps[HCAHPS Linear Mean Value]), "No Match")</f>
        <v>89</v>
      </c>
      <c r="F4006" cm="1">
        <f t="array" ref="F4006">_xlfn.IFNA(_xlfn.XLOOKUP(1,([1]!readmissions[Facility ID] = clean[[#This Row],[Facility ID]]) * ([1]!readmissions[Measure ID] = "Hybrid_HWR"), [1]!readmissions[Score]), "No Match")</f>
        <v>15.6</v>
      </c>
    </row>
    <row r="4007" spans="1:6" x14ac:dyDescent="0.2">
      <c r="A4007">
        <f>[1]!hospitalinfo[[#This Row],[Facility ID]]</f>
        <v>390096</v>
      </c>
      <c r="B4007" t="str">
        <f>[1]!hospitalinfo[[#This Row],[State]]</f>
        <v>PA</v>
      </c>
      <c r="C4007" t="str">
        <f>[1]!hospitalinfo[[#This Row],[Hospital Type]]</f>
        <v>Acute Care Hospitals</v>
      </c>
      <c r="D4007" t="str">
        <f>[1]!hospitalinfo[[#This Row],[Hospital Ownership]]</f>
        <v>Voluntary non-profit - Private</v>
      </c>
      <c r="E4007" cm="1">
        <f t="array" ref="E4007">_xlfn.IFNA(_xlfn.XLOOKUP(1,([1]!hcahps[Facility ID] = clean[[#This Row],[Facility ID]]) * ([1]!hcahps[HCAHPS Measure ID] = "H_HSP_RATING_LINEAR_SCORE"), [1]!hcahps[HCAHPS Linear Mean Value]), "No Match")</f>
        <v>89</v>
      </c>
      <c r="F4007" cm="1">
        <f t="array" ref="F4007">_xlfn.IFNA(_xlfn.XLOOKUP(1,([1]!readmissions[Facility ID] = clean[[#This Row],[Facility ID]]) * ([1]!readmissions[Measure ID] = "Hybrid_HWR"), [1]!readmissions[Score]), "No Match")</f>
        <v>15.6</v>
      </c>
    </row>
    <row r="4008" spans="1:6" x14ac:dyDescent="0.2">
      <c r="A4008">
        <f>[1]!hospitalinfo[[#This Row],[Facility ID]]</f>
        <v>390097</v>
      </c>
      <c r="B4008" t="str">
        <f>[1]!hospitalinfo[[#This Row],[State]]</f>
        <v>PA</v>
      </c>
      <c r="C4008" t="str">
        <f>[1]!hospitalinfo[[#This Row],[Hospital Type]]</f>
        <v>Acute Care Hospitals</v>
      </c>
      <c r="D4008" t="str">
        <f>[1]!hospitalinfo[[#This Row],[Hospital Ownership]]</f>
        <v>Voluntary non-profit - Church</v>
      </c>
      <c r="E4008" cm="1">
        <f t="array" ref="E4008">_xlfn.IFNA(_xlfn.XLOOKUP(1,([1]!hcahps[Facility ID] = clean[[#This Row],[Facility ID]]) * ([1]!hcahps[HCAHPS Measure ID] = "H_HSP_RATING_LINEAR_SCORE"), [1]!hcahps[HCAHPS Linear Mean Value]), "No Match")</f>
        <v>86</v>
      </c>
      <c r="F4008" cm="1">
        <f t="array" ref="F4008">_xlfn.IFNA(_xlfn.XLOOKUP(1,([1]!readmissions[Facility ID] = clean[[#This Row],[Facility ID]]) * ([1]!readmissions[Measure ID] = "Hybrid_HWR"), [1]!readmissions[Score]), "No Match")</f>
        <v>15.6</v>
      </c>
    </row>
    <row r="4009" spans="1:6" x14ac:dyDescent="0.2">
      <c r="A4009">
        <f>[1]!hospitalinfo[[#This Row],[Facility ID]]</f>
        <v>390100</v>
      </c>
      <c r="B4009" t="str">
        <f>[1]!hospitalinfo[[#This Row],[State]]</f>
        <v>PA</v>
      </c>
      <c r="C4009" t="str">
        <f>[1]!hospitalinfo[[#This Row],[Hospital Type]]</f>
        <v>Acute Care Hospitals</v>
      </c>
      <c r="D4009" t="str">
        <f>[1]!hospitalinfo[[#This Row],[Hospital Ownership]]</f>
        <v>Voluntary non-profit - Private</v>
      </c>
      <c r="E4009" cm="1">
        <f t="array" ref="E4009">_xlfn.IFNA(_xlfn.XLOOKUP(1,([1]!hcahps[Facility ID] = clean[[#This Row],[Facility ID]]) * ([1]!hcahps[HCAHPS Measure ID] = "H_HSP_RATING_LINEAR_SCORE"), [1]!hcahps[HCAHPS Linear Mean Value]), "No Match")</f>
        <v>89</v>
      </c>
      <c r="F4009" cm="1">
        <f t="array" ref="F4009">_xlfn.IFNA(_xlfn.XLOOKUP(1,([1]!readmissions[Facility ID] = clean[[#This Row],[Facility ID]]) * ([1]!readmissions[Measure ID] = "Hybrid_HWR"), [1]!readmissions[Score]), "No Match")</f>
        <v>13.9</v>
      </c>
    </row>
    <row r="4010" spans="1:6" x14ac:dyDescent="0.2">
      <c r="A4010">
        <f>[1]!hospitalinfo[[#This Row],[Facility ID]]</f>
        <v>390101</v>
      </c>
      <c r="B4010" t="str">
        <f>[1]!hospitalinfo[[#This Row],[State]]</f>
        <v>PA</v>
      </c>
      <c r="C4010" t="str">
        <f>[1]!hospitalinfo[[#This Row],[Hospital Type]]</f>
        <v>Acute Care Hospitals</v>
      </c>
      <c r="D4010" t="str">
        <f>[1]!hospitalinfo[[#This Row],[Hospital Ownership]]</f>
        <v>Voluntary non-profit - Private</v>
      </c>
      <c r="E4010" cm="1">
        <f t="array" ref="E4010">_xlfn.IFNA(_xlfn.XLOOKUP(1,([1]!hcahps[Facility ID] = clean[[#This Row],[Facility ID]]) * ([1]!hcahps[HCAHPS Measure ID] = "H_HSP_RATING_LINEAR_SCORE"), [1]!hcahps[HCAHPS Linear Mean Value]), "No Match")</f>
        <v>88</v>
      </c>
      <c r="F4010" cm="1">
        <f t="array" ref="F4010">_xlfn.IFNA(_xlfn.XLOOKUP(1,([1]!readmissions[Facility ID] = clean[[#This Row],[Facility ID]]) * ([1]!readmissions[Measure ID] = "Hybrid_HWR"), [1]!readmissions[Score]), "No Match")</f>
        <v>14.8</v>
      </c>
    </row>
    <row r="4011" spans="1:6" x14ac:dyDescent="0.2">
      <c r="A4011">
        <f>[1]!hospitalinfo[[#This Row],[Facility ID]]</f>
        <v>390102</v>
      </c>
      <c r="B4011" t="str">
        <f>[1]!hospitalinfo[[#This Row],[State]]</f>
        <v>PA</v>
      </c>
      <c r="C4011" t="str">
        <f>[1]!hospitalinfo[[#This Row],[Hospital Type]]</f>
        <v>Acute Care Hospitals</v>
      </c>
      <c r="D4011" t="str">
        <f>[1]!hospitalinfo[[#This Row],[Hospital Ownership]]</f>
        <v>Voluntary non-profit - Private</v>
      </c>
      <c r="E4011" cm="1">
        <f t="array" ref="E4011">_xlfn.IFNA(_xlfn.XLOOKUP(1,([1]!hcahps[Facility ID] = clean[[#This Row],[Facility ID]]) * ([1]!hcahps[HCAHPS Measure ID] = "H_HSP_RATING_LINEAR_SCORE"), [1]!hcahps[HCAHPS Linear Mean Value]), "No Match")</f>
        <v>90</v>
      </c>
      <c r="F4011" cm="1">
        <f t="array" ref="F4011">_xlfn.IFNA(_xlfn.XLOOKUP(1,([1]!readmissions[Facility ID] = clean[[#This Row],[Facility ID]]) * ([1]!readmissions[Measure ID] = "Hybrid_HWR"), [1]!readmissions[Score]), "No Match")</f>
        <v>15.3</v>
      </c>
    </row>
    <row r="4012" spans="1:6" x14ac:dyDescent="0.2">
      <c r="A4012">
        <f>[1]!hospitalinfo[[#This Row],[Facility ID]]</f>
        <v>390107</v>
      </c>
      <c r="B4012" t="str">
        <f>[1]!hospitalinfo[[#This Row],[State]]</f>
        <v>PA</v>
      </c>
      <c r="C4012" t="str">
        <f>[1]!hospitalinfo[[#This Row],[Hospital Type]]</f>
        <v>Acute Care Hospitals</v>
      </c>
      <c r="D4012" t="str">
        <f>[1]!hospitalinfo[[#This Row],[Hospital Ownership]]</f>
        <v>Voluntary non-profit - Private</v>
      </c>
      <c r="E4012" cm="1">
        <f t="array" ref="E4012">_xlfn.IFNA(_xlfn.XLOOKUP(1,([1]!hcahps[Facility ID] = clean[[#This Row],[Facility ID]]) * ([1]!hcahps[HCAHPS Measure ID] = "H_HSP_RATING_LINEAR_SCORE"), [1]!hcahps[HCAHPS Linear Mean Value]), "No Match")</f>
        <v>91</v>
      </c>
      <c r="F4012" cm="1">
        <f t="array" ref="F4012">_xlfn.IFNA(_xlfn.XLOOKUP(1,([1]!readmissions[Facility ID] = clean[[#This Row],[Facility ID]]) * ([1]!readmissions[Measure ID] = "Hybrid_HWR"), [1]!readmissions[Score]), "No Match")</f>
        <v>14.4</v>
      </c>
    </row>
    <row r="4013" spans="1:6" x14ac:dyDescent="0.2">
      <c r="A4013">
        <f>[1]!hospitalinfo[[#This Row],[Facility ID]]</f>
        <v>390110</v>
      </c>
      <c r="B4013" t="str">
        <f>[1]!hospitalinfo[[#This Row],[State]]</f>
        <v>PA</v>
      </c>
      <c r="C4013" t="str">
        <f>[1]!hospitalinfo[[#This Row],[Hospital Type]]</f>
        <v>Acute Care Hospitals</v>
      </c>
      <c r="D4013" t="str">
        <f>[1]!hospitalinfo[[#This Row],[Hospital Ownership]]</f>
        <v>Proprietary</v>
      </c>
      <c r="E4013" cm="1">
        <f t="array" ref="E4013">_xlfn.IFNA(_xlfn.XLOOKUP(1,([1]!hcahps[Facility ID] = clean[[#This Row],[Facility ID]]) * ([1]!hcahps[HCAHPS Measure ID] = "H_HSP_RATING_LINEAR_SCORE"), [1]!hcahps[HCAHPS Linear Mean Value]), "No Match")</f>
        <v>80</v>
      </c>
      <c r="F4013" cm="1">
        <f t="array" ref="F4013">_xlfn.IFNA(_xlfn.XLOOKUP(1,([1]!readmissions[Facility ID] = clean[[#This Row],[Facility ID]]) * ([1]!readmissions[Measure ID] = "Hybrid_HWR"), [1]!readmissions[Score]), "No Match")</f>
        <v>15.3</v>
      </c>
    </row>
    <row r="4014" spans="1:6" x14ac:dyDescent="0.2">
      <c r="A4014">
        <f>[1]!hospitalinfo[[#This Row],[Facility ID]]</f>
        <v>390111</v>
      </c>
      <c r="B4014" t="str">
        <f>[1]!hospitalinfo[[#This Row],[State]]</f>
        <v>PA</v>
      </c>
      <c r="C4014" t="str">
        <f>[1]!hospitalinfo[[#This Row],[Hospital Type]]</f>
        <v>Acute Care Hospitals</v>
      </c>
      <c r="D4014" t="str">
        <f>[1]!hospitalinfo[[#This Row],[Hospital Ownership]]</f>
        <v>Voluntary non-profit - Private</v>
      </c>
      <c r="E4014" cm="1">
        <f t="array" ref="E4014">_xlfn.IFNA(_xlfn.XLOOKUP(1,([1]!hcahps[Facility ID] = clean[[#This Row],[Facility ID]]) * ([1]!hcahps[HCAHPS Measure ID] = "H_HSP_RATING_LINEAR_SCORE"), [1]!hcahps[HCAHPS Linear Mean Value]), "No Match")</f>
        <v>93</v>
      </c>
      <c r="F4014" cm="1">
        <f t="array" ref="F4014">_xlfn.IFNA(_xlfn.XLOOKUP(1,([1]!readmissions[Facility ID] = clean[[#This Row],[Facility ID]]) * ([1]!readmissions[Measure ID] = "Hybrid_HWR"), [1]!readmissions[Score]), "No Match")</f>
        <v>14.4</v>
      </c>
    </row>
    <row r="4015" spans="1:6" x14ac:dyDescent="0.2">
      <c r="A4015">
        <f>[1]!hospitalinfo[[#This Row],[Facility ID]]</f>
        <v>390112</v>
      </c>
      <c r="B4015" t="str">
        <f>[1]!hospitalinfo[[#This Row],[State]]</f>
        <v>PA</v>
      </c>
      <c r="C4015" t="str">
        <f>[1]!hospitalinfo[[#This Row],[Hospital Type]]</f>
        <v>Acute Care Hospitals</v>
      </c>
      <c r="D4015" t="str">
        <f>[1]!hospitalinfo[[#This Row],[Hospital Ownership]]</f>
        <v>Voluntary non-profit - Private</v>
      </c>
      <c r="E4015" cm="1">
        <f t="array" ref="E4015">_xlfn.IFNA(_xlfn.XLOOKUP(1,([1]!hcahps[Facility ID] = clean[[#This Row],[Facility ID]]) * ([1]!hcahps[HCAHPS Measure ID] = "H_HSP_RATING_LINEAR_SCORE"), [1]!hcahps[HCAHPS Linear Mean Value]), "No Match")</f>
        <v>92</v>
      </c>
      <c r="F4015" cm="1">
        <f t="array" ref="F4015">_xlfn.IFNA(_xlfn.XLOOKUP(1,([1]!readmissions[Facility ID] = clean[[#This Row],[Facility ID]]) * ([1]!readmissions[Measure ID] = "Hybrid_HWR"), [1]!readmissions[Score]), "No Match")</f>
        <v>15.5</v>
      </c>
    </row>
    <row r="4016" spans="1:6" x14ac:dyDescent="0.2">
      <c r="A4016">
        <f>[1]!hospitalinfo[[#This Row],[Facility ID]]</f>
        <v>390113</v>
      </c>
      <c r="B4016" t="str">
        <f>[1]!hospitalinfo[[#This Row],[State]]</f>
        <v>PA</v>
      </c>
      <c r="C4016" t="str">
        <f>[1]!hospitalinfo[[#This Row],[Hospital Type]]</f>
        <v>Acute Care Hospitals</v>
      </c>
      <c r="D4016" t="str">
        <f>[1]!hospitalinfo[[#This Row],[Hospital Ownership]]</f>
        <v>Voluntary non-profit - Private</v>
      </c>
      <c r="E4016" cm="1">
        <f t="array" ref="E4016">_xlfn.IFNA(_xlfn.XLOOKUP(1,([1]!hcahps[Facility ID] = clean[[#This Row],[Facility ID]]) * ([1]!hcahps[HCAHPS Measure ID] = "H_HSP_RATING_LINEAR_SCORE"), [1]!hcahps[HCAHPS Linear Mean Value]), "No Match")</f>
        <v>87</v>
      </c>
      <c r="F4016" cm="1">
        <f t="array" ref="F4016">_xlfn.IFNA(_xlfn.XLOOKUP(1,([1]!readmissions[Facility ID] = clean[[#This Row],[Facility ID]]) * ([1]!readmissions[Measure ID] = "Hybrid_HWR"), [1]!readmissions[Score]), "No Match")</f>
        <v>14.7</v>
      </c>
    </row>
    <row r="4017" spans="1:6" x14ac:dyDescent="0.2">
      <c r="A4017">
        <f>[1]!hospitalinfo[[#This Row],[Facility ID]]</f>
        <v>390114</v>
      </c>
      <c r="B4017" t="str">
        <f>[1]!hospitalinfo[[#This Row],[State]]</f>
        <v>PA</v>
      </c>
      <c r="C4017" t="str">
        <f>[1]!hospitalinfo[[#This Row],[Hospital Type]]</f>
        <v>Acute Care Hospitals</v>
      </c>
      <c r="D4017" t="str">
        <f>[1]!hospitalinfo[[#This Row],[Hospital Ownership]]</f>
        <v>Voluntary non-profit - Other</v>
      </c>
      <c r="E4017" cm="1">
        <f t="array" ref="E4017">_xlfn.IFNA(_xlfn.XLOOKUP(1,([1]!hcahps[Facility ID] = clean[[#This Row],[Facility ID]]) * ([1]!hcahps[HCAHPS Measure ID] = "H_HSP_RATING_LINEAR_SCORE"), [1]!hcahps[HCAHPS Linear Mean Value]), "No Match")</f>
        <v>90</v>
      </c>
      <c r="F4017" cm="1">
        <f t="array" ref="F4017">_xlfn.IFNA(_xlfn.XLOOKUP(1,([1]!readmissions[Facility ID] = clean[[#This Row],[Facility ID]]) * ([1]!readmissions[Measure ID] = "Hybrid_HWR"), [1]!readmissions[Score]), "No Match")</f>
        <v>15.7</v>
      </c>
    </row>
    <row r="4018" spans="1:6" x14ac:dyDescent="0.2">
      <c r="A4018">
        <f>[1]!hospitalinfo[[#This Row],[Facility ID]]</f>
        <v>390115</v>
      </c>
      <c r="B4018" t="str">
        <f>[1]!hospitalinfo[[#This Row],[State]]</f>
        <v>PA</v>
      </c>
      <c r="C4018" t="str">
        <f>[1]!hospitalinfo[[#This Row],[Hospital Type]]</f>
        <v>Acute Care Hospitals</v>
      </c>
      <c r="D4018" t="str">
        <f>[1]!hospitalinfo[[#This Row],[Hospital Ownership]]</f>
        <v>Voluntary non-profit - Private</v>
      </c>
      <c r="E4018" cm="1">
        <f t="array" ref="E4018">_xlfn.IFNA(_xlfn.XLOOKUP(1,([1]!hcahps[Facility ID] = clean[[#This Row],[Facility ID]]) * ([1]!hcahps[HCAHPS Measure ID] = "H_HSP_RATING_LINEAR_SCORE"), [1]!hcahps[HCAHPS Linear Mean Value]), "No Match")</f>
        <v>84</v>
      </c>
      <c r="F4018" cm="1">
        <f t="array" ref="F4018">_xlfn.IFNA(_xlfn.XLOOKUP(1,([1]!readmissions[Facility ID] = clean[[#This Row],[Facility ID]]) * ([1]!readmissions[Measure ID] = "Hybrid_HWR"), [1]!readmissions[Score]), "No Match")</f>
        <v>15.4</v>
      </c>
    </row>
    <row r="4019" spans="1:6" x14ac:dyDescent="0.2">
      <c r="A4019">
        <f>[1]!hospitalinfo[[#This Row],[Facility ID]]</f>
        <v>390116</v>
      </c>
      <c r="B4019" t="str">
        <f>[1]!hospitalinfo[[#This Row],[State]]</f>
        <v>PA</v>
      </c>
      <c r="C4019" t="str">
        <f>[1]!hospitalinfo[[#This Row],[Hospital Type]]</f>
        <v>Acute Care Hospitals</v>
      </c>
      <c r="D4019" t="str">
        <f>[1]!hospitalinfo[[#This Row],[Hospital Ownership]]</f>
        <v>Voluntary non-profit - Private</v>
      </c>
      <c r="E4019" cm="1">
        <f t="array" ref="E4019">_xlfn.IFNA(_xlfn.XLOOKUP(1,([1]!hcahps[Facility ID] = clean[[#This Row],[Facility ID]]) * ([1]!hcahps[HCAHPS Measure ID] = "H_HSP_RATING_LINEAR_SCORE"), [1]!hcahps[HCAHPS Linear Mean Value]), "No Match")</f>
        <v>90</v>
      </c>
      <c r="F4019" cm="1">
        <f t="array" ref="F4019">_xlfn.IFNA(_xlfn.XLOOKUP(1,([1]!readmissions[Facility ID] = clean[[#This Row],[Facility ID]]) * ([1]!readmissions[Measure ID] = "Hybrid_HWR"), [1]!readmissions[Score]), "No Match")</f>
        <v>15.2</v>
      </c>
    </row>
    <row r="4020" spans="1:6" x14ac:dyDescent="0.2">
      <c r="A4020">
        <f>[1]!hospitalinfo[[#This Row],[Facility ID]]</f>
        <v>390117</v>
      </c>
      <c r="B4020" t="str">
        <f>[1]!hospitalinfo[[#This Row],[State]]</f>
        <v>PA</v>
      </c>
      <c r="C4020" t="str">
        <f>[1]!hospitalinfo[[#This Row],[Hospital Type]]</f>
        <v>Acute Care Hospitals</v>
      </c>
      <c r="D4020" t="str">
        <f>[1]!hospitalinfo[[#This Row],[Hospital Ownership]]</f>
        <v>Voluntary non-profit - Private</v>
      </c>
      <c r="E4020" cm="1">
        <f t="array" ref="E4020">_xlfn.IFNA(_xlfn.XLOOKUP(1,([1]!hcahps[Facility ID] = clean[[#This Row],[Facility ID]]) * ([1]!hcahps[HCAHPS Measure ID] = "H_HSP_RATING_LINEAR_SCORE"), [1]!hcahps[HCAHPS Linear Mean Value]), "No Match")</f>
        <v>88</v>
      </c>
      <c r="F4020" cm="1">
        <f t="array" ref="F4020">_xlfn.IFNA(_xlfn.XLOOKUP(1,([1]!readmissions[Facility ID] = clean[[#This Row],[Facility ID]]) * ([1]!readmissions[Measure ID] = "Hybrid_HWR"), [1]!readmissions[Score]), "No Match")</f>
        <v>14.4</v>
      </c>
    </row>
    <row r="4021" spans="1:6" x14ac:dyDescent="0.2">
      <c r="A4021">
        <f>[1]!hospitalinfo[[#This Row],[Facility ID]]</f>
        <v>390123</v>
      </c>
      <c r="B4021" t="str">
        <f>[1]!hospitalinfo[[#This Row],[State]]</f>
        <v>PA</v>
      </c>
      <c r="C4021" t="str">
        <f>[1]!hospitalinfo[[#This Row],[Hospital Type]]</f>
        <v>Acute Care Hospitals</v>
      </c>
      <c r="D4021" t="str">
        <f>[1]!hospitalinfo[[#This Row],[Hospital Ownership]]</f>
        <v>Voluntary non-profit - Private</v>
      </c>
      <c r="E4021" cm="1">
        <f t="array" ref="E4021">_xlfn.IFNA(_xlfn.XLOOKUP(1,([1]!hcahps[Facility ID] = clean[[#This Row],[Facility ID]]) * ([1]!hcahps[HCAHPS Measure ID] = "H_HSP_RATING_LINEAR_SCORE"), [1]!hcahps[HCAHPS Linear Mean Value]), "No Match")</f>
        <v>84</v>
      </c>
      <c r="F4021" cm="1">
        <f t="array" ref="F4021">_xlfn.IFNA(_xlfn.XLOOKUP(1,([1]!readmissions[Facility ID] = clean[[#This Row],[Facility ID]]) * ([1]!readmissions[Measure ID] = "Hybrid_HWR"), [1]!readmissions[Score]), "No Match")</f>
        <v>15.4</v>
      </c>
    </row>
    <row r="4022" spans="1:6" x14ac:dyDescent="0.2">
      <c r="A4022">
        <f>[1]!hospitalinfo[[#This Row],[Facility ID]]</f>
        <v>390125</v>
      </c>
      <c r="B4022" t="str">
        <f>[1]!hospitalinfo[[#This Row],[State]]</f>
        <v>PA</v>
      </c>
      <c r="C4022" t="str">
        <f>[1]!hospitalinfo[[#This Row],[Hospital Type]]</f>
        <v>Acute Care Hospitals</v>
      </c>
      <c r="D4022" t="str">
        <f>[1]!hospitalinfo[[#This Row],[Hospital Ownership]]</f>
        <v>Voluntary non-profit - Private</v>
      </c>
      <c r="E4022" cm="1">
        <f t="array" ref="E4022">_xlfn.IFNA(_xlfn.XLOOKUP(1,([1]!hcahps[Facility ID] = clean[[#This Row],[Facility ID]]) * ([1]!hcahps[HCAHPS Measure ID] = "H_HSP_RATING_LINEAR_SCORE"), [1]!hcahps[HCAHPS Linear Mean Value]), "No Match")</f>
        <v>85</v>
      </c>
      <c r="F4022" cm="1">
        <f t="array" ref="F4022">_xlfn.IFNA(_xlfn.XLOOKUP(1,([1]!readmissions[Facility ID] = clean[[#This Row],[Facility ID]]) * ([1]!readmissions[Measure ID] = "Hybrid_HWR"), [1]!readmissions[Score]), "No Match")</f>
        <v>14.3</v>
      </c>
    </row>
    <row r="4023" spans="1:6" x14ac:dyDescent="0.2">
      <c r="A4023">
        <f>[1]!hospitalinfo[[#This Row],[Facility ID]]</f>
        <v>390127</v>
      </c>
      <c r="B4023" t="str">
        <f>[1]!hospitalinfo[[#This Row],[State]]</f>
        <v>PA</v>
      </c>
      <c r="C4023" t="str">
        <f>[1]!hospitalinfo[[#This Row],[Hospital Type]]</f>
        <v>Acute Care Hospitals</v>
      </c>
      <c r="D4023" t="str">
        <f>[1]!hospitalinfo[[#This Row],[Hospital Ownership]]</f>
        <v>Voluntary non-profit - Private</v>
      </c>
      <c r="E4023" cm="1">
        <f t="array" ref="E4023">_xlfn.IFNA(_xlfn.XLOOKUP(1,([1]!hcahps[Facility ID] = clean[[#This Row],[Facility ID]]) * ([1]!hcahps[HCAHPS Measure ID] = "H_HSP_RATING_LINEAR_SCORE"), [1]!hcahps[HCAHPS Linear Mean Value]), "No Match")</f>
        <v>89</v>
      </c>
      <c r="F4023" cm="1">
        <f t="array" ref="F4023">_xlfn.IFNA(_xlfn.XLOOKUP(1,([1]!readmissions[Facility ID] = clean[[#This Row],[Facility ID]]) * ([1]!readmissions[Measure ID] = "Hybrid_HWR"), [1]!readmissions[Score]), "No Match")</f>
        <v>15.5</v>
      </c>
    </row>
    <row r="4024" spans="1:6" x14ac:dyDescent="0.2">
      <c r="A4024">
        <f>[1]!hospitalinfo[[#This Row],[Facility ID]]</f>
        <v>390133</v>
      </c>
      <c r="B4024" t="str">
        <f>[1]!hospitalinfo[[#This Row],[State]]</f>
        <v>PA</v>
      </c>
      <c r="C4024" t="str">
        <f>[1]!hospitalinfo[[#This Row],[Hospital Type]]</f>
        <v>Acute Care Hospitals</v>
      </c>
      <c r="D4024" t="str">
        <f>[1]!hospitalinfo[[#This Row],[Hospital Ownership]]</f>
        <v>Voluntary non-profit - Private</v>
      </c>
      <c r="E4024" cm="1">
        <f t="array" ref="E4024">_xlfn.IFNA(_xlfn.XLOOKUP(1,([1]!hcahps[Facility ID] = clean[[#This Row],[Facility ID]]) * ([1]!hcahps[HCAHPS Measure ID] = "H_HSP_RATING_LINEAR_SCORE"), [1]!hcahps[HCAHPS Linear Mean Value]), "No Match")</f>
        <v>87</v>
      </c>
      <c r="F4024" cm="1">
        <f t="array" ref="F4024">_xlfn.IFNA(_xlfn.XLOOKUP(1,([1]!readmissions[Facility ID] = clean[[#This Row],[Facility ID]]) * ([1]!readmissions[Measure ID] = "Hybrid_HWR"), [1]!readmissions[Score]), "No Match")</f>
        <v>15.5</v>
      </c>
    </row>
    <row r="4025" spans="1:6" x14ac:dyDescent="0.2">
      <c r="A4025">
        <f>[1]!hospitalinfo[[#This Row],[Facility ID]]</f>
        <v>390137</v>
      </c>
      <c r="B4025" t="str">
        <f>[1]!hospitalinfo[[#This Row],[State]]</f>
        <v>PA</v>
      </c>
      <c r="C4025" t="str">
        <f>[1]!hospitalinfo[[#This Row],[Hospital Type]]</f>
        <v>Acute Care Hospitals</v>
      </c>
      <c r="D4025" t="str">
        <f>[1]!hospitalinfo[[#This Row],[Hospital Ownership]]</f>
        <v>Proprietary</v>
      </c>
      <c r="E4025" cm="1">
        <f t="array" ref="E4025">_xlfn.IFNA(_xlfn.XLOOKUP(1,([1]!hcahps[Facility ID] = clean[[#This Row],[Facility ID]]) * ([1]!hcahps[HCAHPS Measure ID] = "H_HSP_RATING_LINEAR_SCORE"), [1]!hcahps[HCAHPS Linear Mean Value]), "No Match")</f>
        <v>83</v>
      </c>
      <c r="F4025" cm="1">
        <f t="array" ref="F4025">_xlfn.IFNA(_xlfn.XLOOKUP(1,([1]!readmissions[Facility ID] = clean[[#This Row],[Facility ID]]) * ([1]!readmissions[Measure ID] = "Hybrid_HWR"), [1]!readmissions[Score]), "No Match")</f>
        <v>15</v>
      </c>
    </row>
    <row r="4026" spans="1:6" x14ac:dyDescent="0.2">
      <c r="A4026">
        <f>[1]!hospitalinfo[[#This Row],[Facility ID]]</f>
        <v>390138</v>
      </c>
      <c r="B4026" t="str">
        <f>[1]!hospitalinfo[[#This Row],[State]]</f>
        <v>PA</v>
      </c>
      <c r="C4026" t="str">
        <f>[1]!hospitalinfo[[#This Row],[Hospital Type]]</f>
        <v>Acute Care Hospitals</v>
      </c>
      <c r="D4026" t="str">
        <f>[1]!hospitalinfo[[#This Row],[Hospital Ownership]]</f>
        <v>Voluntary non-profit - Private</v>
      </c>
      <c r="E4026" cm="1">
        <f t="array" ref="E4026">_xlfn.IFNA(_xlfn.XLOOKUP(1,([1]!hcahps[Facility ID] = clean[[#This Row],[Facility ID]]) * ([1]!hcahps[HCAHPS Measure ID] = "H_HSP_RATING_LINEAR_SCORE"), [1]!hcahps[HCAHPS Linear Mean Value]), "No Match")</f>
        <v>92</v>
      </c>
      <c r="F4026" cm="1">
        <f t="array" ref="F4026">_xlfn.IFNA(_xlfn.XLOOKUP(1,([1]!readmissions[Facility ID] = clean[[#This Row],[Facility ID]]) * ([1]!readmissions[Measure ID] = "Hybrid_HWR"), [1]!readmissions[Score]), "No Match")</f>
        <v>15.2</v>
      </c>
    </row>
    <row r="4027" spans="1:6" x14ac:dyDescent="0.2">
      <c r="A4027">
        <f>[1]!hospitalinfo[[#This Row],[Facility ID]]</f>
        <v>390139</v>
      </c>
      <c r="B4027" t="str">
        <f>[1]!hospitalinfo[[#This Row],[State]]</f>
        <v>PA</v>
      </c>
      <c r="C4027" t="str">
        <f>[1]!hospitalinfo[[#This Row],[Hospital Type]]</f>
        <v>Acute Care Hospitals</v>
      </c>
      <c r="D4027" t="str">
        <f>[1]!hospitalinfo[[#This Row],[Hospital Ownership]]</f>
        <v>Voluntary non-profit - Private</v>
      </c>
      <c r="E4027" cm="1">
        <f t="array" ref="E4027">_xlfn.IFNA(_xlfn.XLOOKUP(1,([1]!hcahps[Facility ID] = clean[[#This Row],[Facility ID]]) * ([1]!hcahps[HCAHPS Measure ID] = "H_HSP_RATING_LINEAR_SCORE"), [1]!hcahps[HCAHPS Linear Mean Value]), "No Match")</f>
        <v>91</v>
      </c>
      <c r="F4027" cm="1">
        <f t="array" ref="F4027">_xlfn.IFNA(_xlfn.XLOOKUP(1,([1]!readmissions[Facility ID] = clean[[#This Row],[Facility ID]]) * ([1]!readmissions[Measure ID] = "Hybrid_HWR"), [1]!readmissions[Score]), "No Match")</f>
        <v>15</v>
      </c>
    </row>
    <row r="4028" spans="1:6" x14ac:dyDescent="0.2">
      <c r="A4028">
        <f>[1]!hospitalinfo[[#This Row],[Facility ID]]</f>
        <v>390142</v>
      </c>
      <c r="B4028" t="str">
        <f>[1]!hospitalinfo[[#This Row],[State]]</f>
        <v>PA</v>
      </c>
      <c r="C4028" t="str">
        <f>[1]!hospitalinfo[[#This Row],[Hospital Type]]</f>
        <v>Acute Care Hospitals</v>
      </c>
      <c r="D4028" t="str">
        <f>[1]!hospitalinfo[[#This Row],[Hospital Ownership]]</f>
        <v>Voluntary non-profit - Other</v>
      </c>
      <c r="E4028" cm="1">
        <f t="array" ref="E4028">_xlfn.IFNA(_xlfn.XLOOKUP(1,([1]!hcahps[Facility ID] = clean[[#This Row],[Facility ID]]) * ([1]!hcahps[HCAHPS Measure ID] = "H_HSP_RATING_LINEAR_SCORE"), [1]!hcahps[HCAHPS Linear Mean Value]), "No Match")</f>
        <v>84</v>
      </c>
      <c r="F4028" cm="1">
        <f t="array" ref="F4028">_xlfn.IFNA(_xlfn.XLOOKUP(1,([1]!readmissions[Facility ID] = clean[[#This Row],[Facility ID]]) * ([1]!readmissions[Measure ID] = "Hybrid_HWR"), [1]!readmissions[Score]), "No Match")</f>
        <v>15.4</v>
      </c>
    </row>
    <row r="4029" spans="1:6" x14ac:dyDescent="0.2">
      <c r="A4029">
        <f>[1]!hospitalinfo[[#This Row],[Facility ID]]</f>
        <v>390145</v>
      </c>
      <c r="B4029" t="str">
        <f>[1]!hospitalinfo[[#This Row],[State]]</f>
        <v>PA</v>
      </c>
      <c r="C4029" t="str">
        <f>[1]!hospitalinfo[[#This Row],[Hospital Type]]</f>
        <v>Acute Care Hospitals</v>
      </c>
      <c r="D4029" t="str">
        <f>[1]!hospitalinfo[[#This Row],[Hospital Ownership]]</f>
        <v>Voluntary non-profit - Other</v>
      </c>
      <c r="E4029" cm="1">
        <f t="array" ref="E4029">_xlfn.IFNA(_xlfn.XLOOKUP(1,([1]!hcahps[Facility ID] = clean[[#This Row],[Facility ID]]) * ([1]!hcahps[HCAHPS Measure ID] = "H_HSP_RATING_LINEAR_SCORE"), [1]!hcahps[HCAHPS Linear Mean Value]), "No Match")</f>
        <v>82</v>
      </c>
      <c r="F4029" cm="1">
        <f t="array" ref="F4029">_xlfn.IFNA(_xlfn.XLOOKUP(1,([1]!readmissions[Facility ID] = clean[[#This Row],[Facility ID]]) * ([1]!readmissions[Measure ID] = "Hybrid_HWR"), [1]!readmissions[Score]), "No Match")</f>
        <v>14.6</v>
      </c>
    </row>
    <row r="4030" spans="1:6" x14ac:dyDescent="0.2">
      <c r="A4030">
        <f>[1]!hospitalinfo[[#This Row],[Facility ID]]</f>
        <v>390146</v>
      </c>
      <c r="B4030" t="str">
        <f>[1]!hospitalinfo[[#This Row],[State]]</f>
        <v>PA</v>
      </c>
      <c r="C4030" t="str">
        <f>[1]!hospitalinfo[[#This Row],[Hospital Type]]</f>
        <v>Acute Care Hospitals</v>
      </c>
      <c r="D4030" t="str">
        <f>[1]!hospitalinfo[[#This Row],[Hospital Ownership]]</f>
        <v>Voluntary non-profit - Private</v>
      </c>
      <c r="E4030" cm="1">
        <f t="array" ref="E4030">_xlfn.IFNA(_xlfn.XLOOKUP(1,([1]!hcahps[Facility ID] = clean[[#This Row],[Facility ID]]) * ([1]!hcahps[HCAHPS Measure ID] = "H_HSP_RATING_LINEAR_SCORE"), [1]!hcahps[HCAHPS Linear Mean Value]), "No Match")</f>
        <v>86</v>
      </c>
      <c r="F4030" cm="1">
        <f t="array" ref="F4030">_xlfn.IFNA(_xlfn.XLOOKUP(1,([1]!readmissions[Facility ID] = clean[[#This Row],[Facility ID]]) * ([1]!readmissions[Measure ID] = "Hybrid_HWR"), [1]!readmissions[Score]), "No Match")</f>
        <v>15.2</v>
      </c>
    </row>
    <row r="4031" spans="1:6" x14ac:dyDescent="0.2">
      <c r="A4031">
        <f>[1]!hospitalinfo[[#This Row],[Facility ID]]</f>
        <v>390147</v>
      </c>
      <c r="B4031" t="str">
        <f>[1]!hospitalinfo[[#This Row],[State]]</f>
        <v>PA</v>
      </c>
      <c r="C4031" t="str">
        <f>[1]!hospitalinfo[[#This Row],[Hospital Type]]</f>
        <v>Acute Care Hospitals</v>
      </c>
      <c r="D4031" t="str">
        <f>[1]!hospitalinfo[[#This Row],[Hospital Ownership]]</f>
        <v>Voluntary non-profit - Private</v>
      </c>
      <c r="E4031" cm="1">
        <f t="array" ref="E4031">_xlfn.IFNA(_xlfn.XLOOKUP(1,([1]!hcahps[Facility ID] = clean[[#This Row],[Facility ID]]) * ([1]!hcahps[HCAHPS Measure ID] = "H_HSP_RATING_LINEAR_SCORE"), [1]!hcahps[HCAHPS Linear Mean Value]), "No Match")</f>
        <v>78</v>
      </c>
      <c r="F4031" cm="1">
        <f t="array" ref="F4031">_xlfn.IFNA(_xlfn.XLOOKUP(1,([1]!readmissions[Facility ID] = clean[[#This Row],[Facility ID]]) * ([1]!readmissions[Measure ID] = "Hybrid_HWR"), [1]!readmissions[Score]), "No Match")</f>
        <v>14.8</v>
      </c>
    </row>
    <row r="4032" spans="1:6" x14ac:dyDescent="0.2">
      <c r="A4032">
        <f>[1]!hospitalinfo[[#This Row],[Facility ID]]</f>
        <v>390150</v>
      </c>
      <c r="B4032" t="str">
        <f>[1]!hospitalinfo[[#This Row],[State]]</f>
        <v>PA</v>
      </c>
      <c r="C4032" t="str">
        <f>[1]!hospitalinfo[[#This Row],[Hospital Type]]</f>
        <v>Acute Care Hospitals</v>
      </c>
      <c r="D4032" t="str">
        <f>[1]!hospitalinfo[[#This Row],[Hospital Ownership]]</f>
        <v>Voluntary non-profit - Private</v>
      </c>
      <c r="E4032" t="str" cm="1">
        <f t="array" ref="E4032">_xlfn.IFNA(_xlfn.XLOOKUP(1,([1]!hcahps[Facility ID] = clean[[#This Row],[Facility ID]]) * ([1]!hcahps[HCAHPS Measure ID] = "H_HSP_RATING_LINEAR_SCORE"), [1]!hcahps[HCAHPS Linear Mean Value]), "No Match")</f>
        <v>Not Available</v>
      </c>
      <c r="F4032" cm="1">
        <f t="array" ref="F4032">_xlfn.IFNA(_xlfn.XLOOKUP(1,([1]!readmissions[Facility ID] = clean[[#This Row],[Facility ID]]) * ([1]!readmissions[Measure ID] = "Hybrid_HWR"), [1]!readmissions[Score]), "No Match")</f>
        <v>15.1</v>
      </c>
    </row>
    <row r="4033" spans="1:6" x14ac:dyDescent="0.2">
      <c r="A4033">
        <f>[1]!hospitalinfo[[#This Row],[Facility ID]]</f>
        <v>390151</v>
      </c>
      <c r="B4033" t="str">
        <f>[1]!hospitalinfo[[#This Row],[State]]</f>
        <v>PA</v>
      </c>
      <c r="C4033" t="str">
        <f>[1]!hospitalinfo[[#This Row],[Hospital Type]]</f>
        <v>Acute Care Hospitals</v>
      </c>
      <c r="D4033" t="str">
        <f>[1]!hospitalinfo[[#This Row],[Hospital Ownership]]</f>
        <v>Voluntary non-profit - Private</v>
      </c>
      <c r="E4033" cm="1">
        <f t="array" ref="E4033">_xlfn.IFNA(_xlfn.XLOOKUP(1,([1]!hcahps[Facility ID] = clean[[#This Row],[Facility ID]]) * ([1]!hcahps[HCAHPS Measure ID] = "H_HSP_RATING_LINEAR_SCORE"), [1]!hcahps[HCAHPS Linear Mean Value]), "No Match")</f>
        <v>86</v>
      </c>
      <c r="F4033" cm="1">
        <f t="array" ref="F4033">_xlfn.IFNA(_xlfn.XLOOKUP(1,([1]!readmissions[Facility ID] = clean[[#This Row],[Facility ID]]) * ([1]!readmissions[Measure ID] = "Hybrid_HWR"), [1]!readmissions[Score]), "No Match")</f>
        <v>14.9</v>
      </c>
    </row>
    <row r="4034" spans="1:6" x14ac:dyDescent="0.2">
      <c r="A4034">
        <f>[1]!hospitalinfo[[#This Row],[Facility ID]]</f>
        <v>390153</v>
      </c>
      <c r="B4034" t="str">
        <f>[1]!hospitalinfo[[#This Row],[State]]</f>
        <v>PA</v>
      </c>
      <c r="C4034" t="str">
        <f>[1]!hospitalinfo[[#This Row],[Hospital Type]]</f>
        <v>Acute Care Hospitals</v>
      </c>
      <c r="D4034" t="str">
        <f>[1]!hospitalinfo[[#This Row],[Hospital Ownership]]</f>
        <v>Voluntary non-profit - Private</v>
      </c>
      <c r="E4034" cm="1">
        <f t="array" ref="E4034">_xlfn.IFNA(_xlfn.XLOOKUP(1,([1]!hcahps[Facility ID] = clean[[#This Row],[Facility ID]]) * ([1]!hcahps[HCAHPS Measure ID] = "H_HSP_RATING_LINEAR_SCORE"), [1]!hcahps[HCAHPS Linear Mean Value]), "No Match")</f>
        <v>90</v>
      </c>
      <c r="F4034" cm="1">
        <f t="array" ref="F4034">_xlfn.IFNA(_xlfn.XLOOKUP(1,([1]!readmissions[Facility ID] = clean[[#This Row],[Facility ID]]) * ([1]!readmissions[Measure ID] = "Hybrid_HWR"), [1]!readmissions[Score]), "No Match")</f>
        <v>15.3</v>
      </c>
    </row>
    <row r="4035" spans="1:6" x14ac:dyDescent="0.2">
      <c r="A4035">
        <f>[1]!hospitalinfo[[#This Row],[Facility ID]]</f>
        <v>390156</v>
      </c>
      <c r="B4035" t="str">
        <f>[1]!hospitalinfo[[#This Row],[State]]</f>
        <v>PA</v>
      </c>
      <c r="C4035" t="str">
        <f>[1]!hospitalinfo[[#This Row],[Hospital Type]]</f>
        <v>Acute Care Hospitals</v>
      </c>
      <c r="D4035" t="str">
        <f>[1]!hospitalinfo[[#This Row],[Hospital Ownership]]</f>
        <v>Voluntary non-profit - Private</v>
      </c>
      <c r="E4035" cm="1">
        <f t="array" ref="E4035">_xlfn.IFNA(_xlfn.XLOOKUP(1,([1]!hcahps[Facility ID] = clean[[#This Row],[Facility ID]]) * ([1]!hcahps[HCAHPS Measure ID] = "H_HSP_RATING_LINEAR_SCORE"), [1]!hcahps[HCAHPS Linear Mean Value]), "No Match")</f>
        <v>83</v>
      </c>
      <c r="F4035" cm="1">
        <f t="array" ref="F4035">_xlfn.IFNA(_xlfn.XLOOKUP(1,([1]!readmissions[Facility ID] = clean[[#This Row],[Facility ID]]) * ([1]!readmissions[Measure ID] = "Hybrid_HWR"), [1]!readmissions[Score]), "No Match")</f>
        <v>15</v>
      </c>
    </row>
    <row r="4036" spans="1:6" x14ac:dyDescent="0.2">
      <c r="A4036">
        <f>[1]!hospitalinfo[[#This Row],[Facility ID]]</f>
        <v>390160</v>
      </c>
      <c r="B4036" t="str">
        <f>[1]!hospitalinfo[[#This Row],[State]]</f>
        <v>PA</v>
      </c>
      <c r="C4036" t="str">
        <f>[1]!hospitalinfo[[#This Row],[Hospital Type]]</f>
        <v>Acute Care Hospitals</v>
      </c>
      <c r="D4036" t="str">
        <f>[1]!hospitalinfo[[#This Row],[Hospital Ownership]]</f>
        <v>Voluntary non-profit - Private</v>
      </c>
      <c r="E4036" cm="1">
        <f t="array" ref="E4036">_xlfn.IFNA(_xlfn.XLOOKUP(1,([1]!hcahps[Facility ID] = clean[[#This Row],[Facility ID]]) * ([1]!hcahps[HCAHPS Measure ID] = "H_HSP_RATING_LINEAR_SCORE"), [1]!hcahps[HCAHPS Linear Mean Value]), "No Match")</f>
        <v>90</v>
      </c>
      <c r="F4036" cm="1">
        <f t="array" ref="F4036">_xlfn.IFNA(_xlfn.XLOOKUP(1,([1]!readmissions[Facility ID] = clean[[#This Row],[Facility ID]]) * ([1]!readmissions[Measure ID] = "Hybrid_HWR"), [1]!readmissions[Score]), "No Match")</f>
        <v>15.6</v>
      </c>
    </row>
    <row r="4037" spans="1:6" x14ac:dyDescent="0.2">
      <c r="A4037">
        <f>[1]!hospitalinfo[[#This Row],[Facility ID]]</f>
        <v>390162</v>
      </c>
      <c r="B4037" t="str">
        <f>[1]!hospitalinfo[[#This Row],[State]]</f>
        <v>PA</v>
      </c>
      <c r="C4037" t="str">
        <f>[1]!hospitalinfo[[#This Row],[Hospital Type]]</f>
        <v>Acute Care Hospitals</v>
      </c>
      <c r="D4037" t="str">
        <f>[1]!hospitalinfo[[#This Row],[Hospital Ownership]]</f>
        <v>Voluntary non-profit - Private</v>
      </c>
      <c r="E4037" cm="1">
        <f t="array" ref="E4037">_xlfn.IFNA(_xlfn.XLOOKUP(1,([1]!hcahps[Facility ID] = clean[[#This Row],[Facility ID]]) * ([1]!hcahps[HCAHPS Measure ID] = "H_HSP_RATING_LINEAR_SCORE"), [1]!hcahps[HCAHPS Linear Mean Value]), "No Match")</f>
        <v>91</v>
      </c>
      <c r="F4037" cm="1">
        <f t="array" ref="F4037">_xlfn.IFNA(_xlfn.XLOOKUP(1,([1]!readmissions[Facility ID] = clean[[#This Row],[Facility ID]]) * ([1]!readmissions[Measure ID] = "Hybrid_HWR"), [1]!readmissions[Score]), "No Match")</f>
        <v>15.6</v>
      </c>
    </row>
    <row r="4038" spans="1:6" x14ac:dyDescent="0.2">
      <c r="A4038">
        <f>[1]!hospitalinfo[[#This Row],[Facility ID]]</f>
        <v>390163</v>
      </c>
      <c r="B4038" t="str">
        <f>[1]!hospitalinfo[[#This Row],[State]]</f>
        <v>PA</v>
      </c>
      <c r="C4038" t="str">
        <f>[1]!hospitalinfo[[#This Row],[Hospital Type]]</f>
        <v>Acute Care Hospitals</v>
      </c>
      <c r="D4038" t="str">
        <f>[1]!hospitalinfo[[#This Row],[Hospital Ownership]]</f>
        <v>Voluntary non-profit - Private</v>
      </c>
      <c r="E4038" cm="1">
        <f t="array" ref="E4038">_xlfn.IFNA(_xlfn.XLOOKUP(1,([1]!hcahps[Facility ID] = clean[[#This Row],[Facility ID]]) * ([1]!hcahps[HCAHPS Measure ID] = "H_HSP_RATING_LINEAR_SCORE"), [1]!hcahps[HCAHPS Linear Mean Value]), "No Match")</f>
        <v>87</v>
      </c>
      <c r="F4038" cm="1">
        <f t="array" ref="F4038">_xlfn.IFNA(_xlfn.XLOOKUP(1,([1]!readmissions[Facility ID] = clean[[#This Row],[Facility ID]]) * ([1]!readmissions[Measure ID] = "Hybrid_HWR"), [1]!readmissions[Score]), "No Match")</f>
        <v>15</v>
      </c>
    </row>
    <row r="4039" spans="1:6" x14ac:dyDescent="0.2">
      <c r="A4039">
        <f>[1]!hospitalinfo[[#This Row],[Facility ID]]</f>
        <v>390164</v>
      </c>
      <c r="B4039" t="str">
        <f>[1]!hospitalinfo[[#This Row],[State]]</f>
        <v>PA</v>
      </c>
      <c r="C4039" t="str">
        <f>[1]!hospitalinfo[[#This Row],[Hospital Type]]</f>
        <v>Acute Care Hospitals</v>
      </c>
      <c r="D4039" t="str">
        <f>[1]!hospitalinfo[[#This Row],[Hospital Ownership]]</f>
        <v>Voluntary non-profit - Private</v>
      </c>
      <c r="E4039" cm="1">
        <f t="array" ref="E4039">_xlfn.IFNA(_xlfn.XLOOKUP(1,([1]!hcahps[Facility ID] = clean[[#This Row],[Facility ID]]) * ([1]!hcahps[HCAHPS Measure ID] = "H_HSP_RATING_LINEAR_SCORE"), [1]!hcahps[HCAHPS Linear Mean Value]), "No Match")</f>
        <v>89</v>
      </c>
      <c r="F4039" cm="1">
        <f t="array" ref="F4039">_xlfn.IFNA(_xlfn.XLOOKUP(1,([1]!readmissions[Facility ID] = clean[[#This Row],[Facility ID]]) * ([1]!readmissions[Measure ID] = "Hybrid_HWR"), [1]!readmissions[Score]), "No Match")</f>
        <v>15.1</v>
      </c>
    </row>
    <row r="4040" spans="1:6" x14ac:dyDescent="0.2">
      <c r="A4040">
        <f>[1]!hospitalinfo[[#This Row],[Facility ID]]</f>
        <v>390168</v>
      </c>
      <c r="B4040" t="str">
        <f>[1]!hospitalinfo[[#This Row],[State]]</f>
        <v>PA</v>
      </c>
      <c r="C4040" t="str">
        <f>[1]!hospitalinfo[[#This Row],[Hospital Type]]</f>
        <v>Acute Care Hospitals</v>
      </c>
      <c r="D4040" t="str">
        <f>[1]!hospitalinfo[[#This Row],[Hospital Ownership]]</f>
        <v>Voluntary non-profit - Private</v>
      </c>
      <c r="E4040" cm="1">
        <f t="array" ref="E4040">_xlfn.IFNA(_xlfn.XLOOKUP(1,([1]!hcahps[Facility ID] = clean[[#This Row],[Facility ID]]) * ([1]!hcahps[HCAHPS Measure ID] = "H_HSP_RATING_LINEAR_SCORE"), [1]!hcahps[HCAHPS Linear Mean Value]), "No Match")</f>
        <v>89</v>
      </c>
      <c r="F4040" cm="1">
        <f t="array" ref="F4040">_xlfn.IFNA(_xlfn.XLOOKUP(1,([1]!readmissions[Facility ID] = clean[[#This Row],[Facility ID]]) * ([1]!readmissions[Measure ID] = "Hybrid_HWR"), [1]!readmissions[Score]), "No Match")</f>
        <v>14.9</v>
      </c>
    </row>
    <row r="4041" spans="1:6" x14ac:dyDescent="0.2">
      <c r="A4041">
        <f>[1]!hospitalinfo[[#This Row],[Facility ID]]</f>
        <v>390173</v>
      </c>
      <c r="B4041" t="str">
        <f>[1]!hospitalinfo[[#This Row],[State]]</f>
        <v>PA</v>
      </c>
      <c r="C4041" t="str">
        <f>[1]!hospitalinfo[[#This Row],[Hospital Type]]</f>
        <v>Acute Care Hospitals</v>
      </c>
      <c r="D4041" t="str">
        <f>[1]!hospitalinfo[[#This Row],[Hospital Ownership]]</f>
        <v>Voluntary non-profit - Private</v>
      </c>
      <c r="E4041" cm="1">
        <f t="array" ref="E4041">_xlfn.IFNA(_xlfn.XLOOKUP(1,([1]!hcahps[Facility ID] = clean[[#This Row],[Facility ID]]) * ([1]!hcahps[HCAHPS Measure ID] = "H_HSP_RATING_LINEAR_SCORE"), [1]!hcahps[HCAHPS Linear Mean Value]), "No Match")</f>
        <v>84</v>
      </c>
      <c r="F4041" cm="1">
        <f t="array" ref="F4041">_xlfn.IFNA(_xlfn.XLOOKUP(1,([1]!readmissions[Facility ID] = clean[[#This Row],[Facility ID]]) * ([1]!readmissions[Measure ID] = "Hybrid_HWR"), [1]!readmissions[Score]), "No Match")</f>
        <v>15.8</v>
      </c>
    </row>
    <row r="4042" spans="1:6" x14ac:dyDescent="0.2">
      <c r="A4042">
        <f>[1]!hospitalinfo[[#This Row],[Facility ID]]</f>
        <v>390174</v>
      </c>
      <c r="B4042" t="str">
        <f>[1]!hospitalinfo[[#This Row],[State]]</f>
        <v>PA</v>
      </c>
      <c r="C4042" t="str">
        <f>[1]!hospitalinfo[[#This Row],[Hospital Type]]</f>
        <v>Acute Care Hospitals</v>
      </c>
      <c r="D4042" t="str">
        <f>[1]!hospitalinfo[[#This Row],[Hospital Ownership]]</f>
        <v>Voluntary non-profit - Private</v>
      </c>
      <c r="E4042" cm="1">
        <f t="array" ref="E4042">_xlfn.IFNA(_xlfn.XLOOKUP(1,([1]!hcahps[Facility ID] = clean[[#This Row],[Facility ID]]) * ([1]!hcahps[HCAHPS Measure ID] = "H_HSP_RATING_LINEAR_SCORE"), [1]!hcahps[HCAHPS Linear Mean Value]), "No Match")</f>
        <v>86</v>
      </c>
      <c r="F4042" cm="1">
        <f t="array" ref="F4042">_xlfn.IFNA(_xlfn.XLOOKUP(1,([1]!readmissions[Facility ID] = clean[[#This Row],[Facility ID]]) * ([1]!readmissions[Measure ID] = "Hybrid_HWR"), [1]!readmissions[Score]), "No Match")</f>
        <v>16.2</v>
      </c>
    </row>
    <row r="4043" spans="1:6" x14ac:dyDescent="0.2">
      <c r="A4043">
        <f>[1]!hospitalinfo[[#This Row],[Facility ID]]</f>
        <v>390178</v>
      </c>
      <c r="B4043" t="str">
        <f>[1]!hospitalinfo[[#This Row],[State]]</f>
        <v>PA</v>
      </c>
      <c r="C4043" t="str">
        <f>[1]!hospitalinfo[[#This Row],[Hospital Type]]</f>
        <v>Acute Care Hospitals</v>
      </c>
      <c r="D4043" t="str">
        <f>[1]!hospitalinfo[[#This Row],[Hospital Ownership]]</f>
        <v>Voluntary non-profit - Private</v>
      </c>
      <c r="E4043" cm="1">
        <f t="array" ref="E4043">_xlfn.IFNA(_xlfn.XLOOKUP(1,([1]!hcahps[Facility ID] = clean[[#This Row],[Facility ID]]) * ([1]!hcahps[HCAHPS Measure ID] = "H_HSP_RATING_LINEAR_SCORE"), [1]!hcahps[HCAHPS Linear Mean Value]), "No Match")</f>
        <v>89</v>
      </c>
      <c r="F4043" cm="1">
        <f t="array" ref="F4043">_xlfn.IFNA(_xlfn.XLOOKUP(1,([1]!readmissions[Facility ID] = clean[[#This Row],[Facility ID]]) * ([1]!readmissions[Measure ID] = "Hybrid_HWR"), [1]!readmissions[Score]), "No Match")</f>
        <v>15.9</v>
      </c>
    </row>
    <row r="4044" spans="1:6" x14ac:dyDescent="0.2">
      <c r="A4044">
        <f>[1]!hospitalinfo[[#This Row],[Facility ID]]</f>
        <v>390179</v>
      </c>
      <c r="B4044" t="str">
        <f>[1]!hospitalinfo[[#This Row],[State]]</f>
        <v>PA</v>
      </c>
      <c r="C4044" t="str">
        <f>[1]!hospitalinfo[[#This Row],[Hospital Type]]</f>
        <v>Acute Care Hospitals</v>
      </c>
      <c r="D4044" t="str">
        <f>[1]!hospitalinfo[[#This Row],[Hospital Ownership]]</f>
        <v>Voluntary non-profit - Private</v>
      </c>
      <c r="E4044" cm="1">
        <f t="array" ref="E4044">_xlfn.IFNA(_xlfn.XLOOKUP(1,([1]!hcahps[Facility ID] = clean[[#This Row],[Facility ID]]) * ([1]!hcahps[HCAHPS Measure ID] = "H_HSP_RATING_LINEAR_SCORE"), [1]!hcahps[HCAHPS Linear Mean Value]), "No Match")</f>
        <v>92</v>
      </c>
      <c r="F4044" cm="1">
        <f t="array" ref="F4044">_xlfn.IFNA(_xlfn.XLOOKUP(1,([1]!readmissions[Facility ID] = clean[[#This Row],[Facility ID]]) * ([1]!readmissions[Measure ID] = "Hybrid_HWR"), [1]!readmissions[Score]), "No Match")</f>
        <v>14.5</v>
      </c>
    </row>
    <row r="4045" spans="1:6" x14ac:dyDescent="0.2">
      <c r="A4045">
        <f>[1]!hospitalinfo[[#This Row],[Facility ID]]</f>
        <v>390180</v>
      </c>
      <c r="B4045" t="str">
        <f>[1]!hospitalinfo[[#This Row],[State]]</f>
        <v>PA</v>
      </c>
      <c r="C4045" t="str">
        <f>[1]!hospitalinfo[[#This Row],[Hospital Type]]</f>
        <v>Acute Care Hospitals</v>
      </c>
      <c r="D4045" t="str">
        <f>[1]!hospitalinfo[[#This Row],[Hospital Ownership]]</f>
        <v>Voluntary non-profit - Other</v>
      </c>
      <c r="E4045" t="str" cm="1">
        <f t="array" ref="E4045">_xlfn.IFNA(_xlfn.XLOOKUP(1,([1]!hcahps[Facility ID] = clean[[#This Row],[Facility ID]]) * ([1]!hcahps[HCAHPS Measure ID] = "H_HSP_RATING_LINEAR_SCORE"), [1]!hcahps[HCAHPS Linear Mean Value]), "No Match")</f>
        <v>Not Available</v>
      </c>
      <c r="F4045" cm="1">
        <f t="array" ref="F4045">_xlfn.IFNA(_xlfn.XLOOKUP(1,([1]!readmissions[Facility ID] = clean[[#This Row],[Facility ID]]) * ([1]!readmissions[Measure ID] = "Hybrid_HWR"), [1]!readmissions[Score]), "No Match")</f>
        <v>15.9</v>
      </c>
    </row>
    <row r="4046" spans="1:6" x14ac:dyDescent="0.2">
      <c r="A4046">
        <f>[1]!hospitalinfo[[#This Row],[Facility ID]]</f>
        <v>390183</v>
      </c>
      <c r="B4046" t="str">
        <f>[1]!hospitalinfo[[#This Row],[State]]</f>
        <v>PA</v>
      </c>
      <c r="C4046" t="str">
        <f>[1]!hospitalinfo[[#This Row],[Hospital Type]]</f>
        <v>Acute Care Hospitals</v>
      </c>
      <c r="D4046" t="str">
        <f>[1]!hospitalinfo[[#This Row],[Hospital Ownership]]</f>
        <v>Voluntary non-profit - Private</v>
      </c>
      <c r="E4046" cm="1">
        <f t="array" ref="E4046">_xlfn.IFNA(_xlfn.XLOOKUP(1,([1]!hcahps[Facility ID] = clean[[#This Row],[Facility ID]]) * ([1]!hcahps[HCAHPS Measure ID] = "H_HSP_RATING_LINEAR_SCORE"), [1]!hcahps[HCAHPS Linear Mean Value]), "No Match")</f>
        <v>91</v>
      </c>
      <c r="F4046" cm="1">
        <f t="array" ref="F4046">_xlfn.IFNA(_xlfn.XLOOKUP(1,([1]!readmissions[Facility ID] = clean[[#This Row],[Facility ID]]) * ([1]!readmissions[Measure ID] = "Hybrid_HWR"), [1]!readmissions[Score]), "No Match")</f>
        <v>15.9</v>
      </c>
    </row>
    <row r="4047" spans="1:6" x14ac:dyDescent="0.2">
      <c r="A4047">
        <f>[1]!hospitalinfo[[#This Row],[Facility ID]]</f>
        <v>390184</v>
      </c>
      <c r="B4047" t="str">
        <f>[1]!hospitalinfo[[#This Row],[State]]</f>
        <v>PA</v>
      </c>
      <c r="C4047" t="str">
        <f>[1]!hospitalinfo[[#This Row],[Hospital Type]]</f>
        <v>Acute Care Hospitals</v>
      </c>
      <c r="D4047" t="str">
        <f>[1]!hospitalinfo[[#This Row],[Hospital Ownership]]</f>
        <v>Voluntary non-profit - Private</v>
      </c>
      <c r="E4047" t="str" cm="1">
        <f t="array" ref="E4047">_xlfn.IFNA(_xlfn.XLOOKUP(1,([1]!hcahps[Facility ID] = clean[[#This Row],[Facility ID]]) * ([1]!hcahps[HCAHPS Measure ID] = "H_HSP_RATING_LINEAR_SCORE"), [1]!hcahps[HCAHPS Linear Mean Value]), "No Match")</f>
        <v>Not Available</v>
      </c>
      <c r="F4047" cm="1">
        <f t="array" ref="F4047">_xlfn.IFNA(_xlfn.XLOOKUP(1,([1]!readmissions[Facility ID] = clean[[#This Row],[Facility ID]]) * ([1]!readmissions[Measure ID] = "Hybrid_HWR"), [1]!readmissions[Score]), "No Match")</f>
        <v>15.7</v>
      </c>
    </row>
    <row r="4048" spans="1:6" x14ac:dyDescent="0.2">
      <c r="A4048">
        <f>[1]!hospitalinfo[[#This Row],[Facility ID]]</f>
        <v>390185</v>
      </c>
      <c r="B4048" t="str">
        <f>[1]!hospitalinfo[[#This Row],[State]]</f>
        <v>PA</v>
      </c>
      <c r="C4048" t="str">
        <f>[1]!hospitalinfo[[#This Row],[Hospital Type]]</f>
        <v>Acute Care Hospitals</v>
      </c>
      <c r="D4048" t="str">
        <f>[1]!hospitalinfo[[#This Row],[Hospital Ownership]]</f>
        <v>Voluntary non-profit - Other</v>
      </c>
      <c r="E4048" cm="1">
        <f t="array" ref="E4048">_xlfn.IFNA(_xlfn.XLOOKUP(1,([1]!hcahps[Facility ID] = clean[[#This Row],[Facility ID]]) * ([1]!hcahps[HCAHPS Measure ID] = "H_HSP_RATING_LINEAR_SCORE"), [1]!hcahps[HCAHPS Linear Mean Value]), "No Match")</f>
        <v>84</v>
      </c>
      <c r="F4048" cm="1">
        <f t="array" ref="F4048">_xlfn.IFNA(_xlfn.XLOOKUP(1,([1]!readmissions[Facility ID] = clean[[#This Row],[Facility ID]]) * ([1]!readmissions[Measure ID] = "Hybrid_HWR"), [1]!readmissions[Score]), "No Match")</f>
        <v>15</v>
      </c>
    </row>
    <row r="4049" spans="1:6" x14ac:dyDescent="0.2">
      <c r="A4049">
        <f>[1]!hospitalinfo[[#This Row],[Facility ID]]</f>
        <v>390195</v>
      </c>
      <c r="B4049" t="str">
        <f>[1]!hospitalinfo[[#This Row],[State]]</f>
        <v>PA</v>
      </c>
      <c r="C4049" t="str">
        <f>[1]!hospitalinfo[[#This Row],[Hospital Type]]</f>
        <v>Acute Care Hospitals</v>
      </c>
      <c r="D4049" t="str">
        <f>[1]!hospitalinfo[[#This Row],[Hospital Ownership]]</f>
        <v>Voluntary non-profit - Private</v>
      </c>
      <c r="E4049" cm="1">
        <f t="array" ref="E4049">_xlfn.IFNA(_xlfn.XLOOKUP(1,([1]!hcahps[Facility ID] = clean[[#This Row],[Facility ID]]) * ([1]!hcahps[HCAHPS Measure ID] = "H_HSP_RATING_LINEAR_SCORE"), [1]!hcahps[HCAHPS Linear Mean Value]), "No Match")</f>
        <v>90</v>
      </c>
      <c r="F4049" cm="1">
        <f t="array" ref="F4049">_xlfn.IFNA(_xlfn.XLOOKUP(1,([1]!readmissions[Facility ID] = clean[[#This Row],[Facility ID]]) * ([1]!readmissions[Measure ID] = "Hybrid_HWR"), [1]!readmissions[Score]), "No Match")</f>
        <v>15.7</v>
      </c>
    </row>
    <row r="4050" spans="1:6" x14ac:dyDescent="0.2">
      <c r="A4050">
        <f>[1]!hospitalinfo[[#This Row],[Facility ID]]</f>
        <v>390198</v>
      </c>
      <c r="B4050" t="str">
        <f>[1]!hospitalinfo[[#This Row],[State]]</f>
        <v>PA</v>
      </c>
      <c r="C4050" t="str">
        <f>[1]!hospitalinfo[[#This Row],[Hospital Type]]</f>
        <v>Acute Care Hospitals</v>
      </c>
      <c r="D4050" t="str">
        <f>[1]!hospitalinfo[[#This Row],[Hospital Ownership]]</f>
        <v>Voluntary non-profit - Private</v>
      </c>
      <c r="E4050" t="str" cm="1">
        <f t="array" ref="E4050">_xlfn.IFNA(_xlfn.XLOOKUP(1,([1]!hcahps[Facility ID] = clean[[#This Row],[Facility ID]]) * ([1]!hcahps[HCAHPS Measure ID] = "H_HSP_RATING_LINEAR_SCORE"), [1]!hcahps[HCAHPS Linear Mean Value]), "No Match")</f>
        <v>Not Available</v>
      </c>
      <c r="F4050" cm="1">
        <f t="array" ref="F4050">_xlfn.IFNA(_xlfn.XLOOKUP(1,([1]!readmissions[Facility ID] = clean[[#This Row],[Facility ID]]) * ([1]!readmissions[Measure ID] = "Hybrid_HWR"), [1]!readmissions[Score]), "No Match")</f>
        <v>15.4</v>
      </c>
    </row>
    <row r="4051" spans="1:6" x14ac:dyDescent="0.2">
      <c r="A4051">
        <f>[1]!hospitalinfo[[#This Row],[Facility ID]]</f>
        <v>390199</v>
      </c>
      <c r="B4051" t="str">
        <f>[1]!hospitalinfo[[#This Row],[State]]</f>
        <v>PA</v>
      </c>
      <c r="C4051" t="str">
        <f>[1]!hospitalinfo[[#This Row],[Hospital Type]]</f>
        <v>Acute Care Hospitals</v>
      </c>
      <c r="D4051" t="str">
        <f>[1]!hospitalinfo[[#This Row],[Hospital Ownership]]</f>
        <v>Voluntary non-profit - Private</v>
      </c>
      <c r="E4051" cm="1">
        <f t="array" ref="E4051">_xlfn.IFNA(_xlfn.XLOOKUP(1,([1]!hcahps[Facility ID] = clean[[#This Row],[Facility ID]]) * ([1]!hcahps[HCAHPS Measure ID] = "H_HSP_RATING_LINEAR_SCORE"), [1]!hcahps[HCAHPS Linear Mean Value]), "No Match")</f>
        <v>91</v>
      </c>
      <c r="F4051" cm="1">
        <f t="array" ref="F4051">_xlfn.IFNA(_xlfn.XLOOKUP(1,([1]!readmissions[Facility ID] = clean[[#This Row],[Facility ID]]) * ([1]!readmissions[Measure ID] = "Hybrid_HWR"), [1]!readmissions[Score]), "No Match")</f>
        <v>15.5</v>
      </c>
    </row>
    <row r="4052" spans="1:6" x14ac:dyDescent="0.2">
      <c r="A4052">
        <f>[1]!hospitalinfo[[#This Row],[Facility ID]]</f>
        <v>390201</v>
      </c>
      <c r="B4052" t="str">
        <f>[1]!hospitalinfo[[#This Row],[State]]</f>
        <v>PA</v>
      </c>
      <c r="C4052" t="str">
        <f>[1]!hospitalinfo[[#This Row],[Hospital Type]]</f>
        <v>Acute Care Hospitals</v>
      </c>
      <c r="D4052" t="str">
        <f>[1]!hospitalinfo[[#This Row],[Hospital Ownership]]</f>
        <v>Voluntary non-profit - Private</v>
      </c>
      <c r="E4052" cm="1">
        <f t="array" ref="E4052">_xlfn.IFNA(_xlfn.XLOOKUP(1,([1]!hcahps[Facility ID] = clean[[#This Row],[Facility ID]]) * ([1]!hcahps[HCAHPS Measure ID] = "H_HSP_RATING_LINEAR_SCORE"), [1]!hcahps[HCAHPS Linear Mean Value]), "No Match")</f>
        <v>88</v>
      </c>
      <c r="F4052" cm="1">
        <f t="array" ref="F4052">_xlfn.IFNA(_xlfn.XLOOKUP(1,([1]!readmissions[Facility ID] = clean[[#This Row],[Facility ID]]) * ([1]!readmissions[Measure ID] = "Hybrid_HWR"), [1]!readmissions[Score]), "No Match")</f>
        <v>14.9</v>
      </c>
    </row>
    <row r="4053" spans="1:6" x14ac:dyDescent="0.2">
      <c r="A4053">
        <f>[1]!hospitalinfo[[#This Row],[Facility ID]]</f>
        <v>390203</v>
      </c>
      <c r="B4053" t="str">
        <f>[1]!hospitalinfo[[#This Row],[State]]</f>
        <v>PA</v>
      </c>
      <c r="C4053" t="str">
        <f>[1]!hospitalinfo[[#This Row],[Hospital Type]]</f>
        <v>Acute Care Hospitals</v>
      </c>
      <c r="D4053" t="str">
        <f>[1]!hospitalinfo[[#This Row],[Hospital Ownership]]</f>
        <v>Voluntary non-profit - Private</v>
      </c>
      <c r="E4053" cm="1">
        <f t="array" ref="E4053">_xlfn.IFNA(_xlfn.XLOOKUP(1,([1]!hcahps[Facility ID] = clean[[#This Row],[Facility ID]]) * ([1]!hcahps[HCAHPS Measure ID] = "H_HSP_RATING_LINEAR_SCORE"), [1]!hcahps[HCAHPS Linear Mean Value]), "No Match")</f>
        <v>91</v>
      </c>
      <c r="F4053" cm="1">
        <f t="array" ref="F4053">_xlfn.IFNA(_xlfn.XLOOKUP(1,([1]!readmissions[Facility ID] = clean[[#This Row],[Facility ID]]) * ([1]!readmissions[Measure ID] = "Hybrid_HWR"), [1]!readmissions[Score]), "No Match")</f>
        <v>15.5</v>
      </c>
    </row>
    <row r="4054" spans="1:6" x14ac:dyDescent="0.2">
      <c r="A4054">
        <f>[1]!hospitalinfo[[#This Row],[Facility ID]]</f>
        <v>390204</v>
      </c>
      <c r="B4054" t="str">
        <f>[1]!hospitalinfo[[#This Row],[State]]</f>
        <v>PA</v>
      </c>
      <c r="C4054" t="str">
        <f>[1]!hospitalinfo[[#This Row],[Hospital Type]]</f>
        <v>Acute Care Hospitals</v>
      </c>
      <c r="D4054" t="str">
        <f>[1]!hospitalinfo[[#This Row],[Hospital Ownership]]</f>
        <v>Voluntary non-profit - Private</v>
      </c>
      <c r="E4054" cm="1">
        <f t="array" ref="E4054">_xlfn.IFNA(_xlfn.XLOOKUP(1,([1]!hcahps[Facility ID] = clean[[#This Row],[Facility ID]]) * ([1]!hcahps[HCAHPS Measure ID] = "H_HSP_RATING_LINEAR_SCORE"), [1]!hcahps[HCAHPS Linear Mean Value]), "No Match")</f>
        <v>81</v>
      </c>
      <c r="F4054" cm="1">
        <f t="array" ref="F4054">_xlfn.IFNA(_xlfn.XLOOKUP(1,([1]!readmissions[Facility ID] = clean[[#This Row],[Facility ID]]) * ([1]!readmissions[Measure ID] = "Hybrid_HWR"), [1]!readmissions[Score]), "No Match")</f>
        <v>14.5</v>
      </c>
    </row>
    <row r="4055" spans="1:6" x14ac:dyDescent="0.2">
      <c r="A4055">
        <f>[1]!hospitalinfo[[#This Row],[Facility ID]]</f>
        <v>390211</v>
      </c>
      <c r="B4055" t="str">
        <f>[1]!hospitalinfo[[#This Row],[State]]</f>
        <v>PA</v>
      </c>
      <c r="C4055" t="str">
        <f>[1]!hospitalinfo[[#This Row],[Hospital Type]]</f>
        <v>Acute Care Hospitals</v>
      </c>
      <c r="D4055" t="str">
        <f>[1]!hospitalinfo[[#This Row],[Hospital Ownership]]</f>
        <v>Proprietary</v>
      </c>
      <c r="E4055" t="str" cm="1">
        <f t="array" ref="E4055">_xlfn.IFNA(_xlfn.XLOOKUP(1,([1]!hcahps[Facility ID] = clean[[#This Row],[Facility ID]]) * ([1]!hcahps[HCAHPS Measure ID] = "H_HSP_RATING_LINEAR_SCORE"), [1]!hcahps[HCAHPS Linear Mean Value]), "No Match")</f>
        <v>Not Available</v>
      </c>
      <c r="F4055" cm="1">
        <f t="array" ref="F4055">_xlfn.IFNA(_xlfn.XLOOKUP(1,([1]!readmissions[Facility ID] = clean[[#This Row],[Facility ID]]) * ([1]!readmissions[Measure ID] = "Hybrid_HWR"), [1]!readmissions[Score]), "No Match")</f>
        <v>15.7</v>
      </c>
    </row>
    <row r="4056" spans="1:6" x14ac:dyDescent="0.2">
      <c r="A4056">
        <f>[1]!hospitalinfo[[#This Row],[Facility ID]]</f>
        <v>390217</v>
      </c>
      <c r="B4056" t="str">
        <f>[1]!hospitalinfo[[#This Row],[State]]</f>
        <v>PA</v>
      </c>
      <c r="C4056" t="str">
        <f>[1]!hospitalinfo[[#This Row],[Hospital Type]]</f>
        <v>Acute Care Hospitals</v>
      </c>
      <c r="D4056" t="str">
        <f>[1]!hospitalinfo[[#This Row],[Hospital Ownership]]</f>
        <v>Voluntary non-profit - Other</v>
      </c>
      <c r="E4056" cm="1">
        <f t="array" ref="E4056">_xlfn.IFNA(_xlfn.XLOOKUP(1,([1]!hcahps[Facility ID] = clean[[#This Row],[Facility ID]]) * ([1]!hcahps[HCAHPS Measure ID] = "H_HSP_RATING_LINEAR_SCORE"), [1]!hcahps[HCAHPS Linear Mean Value]), "No Match")</f>
        <v>86</v>
      </c>
      <c r="F4056" cm="1">
        <f t="array" ref="F4056">_xlfn.IFNA(_xlfn.XLOOKUP(1,([1]!readmissions[Facility ID] = clean[[#This Row],[Facility ID]]) * ([1]!readmissions[Measure ID] = "Hybrid_HWR"), [1]!readmissions[Score]), "No Match")</f>
        <v>15.8</v>
      </c>
    </row>
    <row r="4057" spans="1:6" x14ac:dyDescent="0.2">
      <c r="A4057">
        <f>[1]!hospitalinfo[[#This Row],[Facility ID]]</f>
        <v>390219</v>
      </c>
      <c r="B4057" t="str">
        <f>[1]!hospitalinfo[[#This Row],[State]]</f>
        <v>PA</v>
      </c>
      <c r="C4057" t="str">
        <f>[1]!hospitalinfo[[#This Row],[Hospital Type]]</f>
        <v>Acute Care Hospitals</v>
      </c>
      <c r="D4057" t="str">
        <f>[1]!hospitalinfo[[#This Row],[Hospital Ownership]]</f>
        <v>Voluntary non-profit - Private</v>
      </c>
      <c r="E4057" cm="1">
        <f t="array" ref="E4057">_xlfn.IFNA(_xlfn.XLOOKUP(1,([1]!hcahps[Facility ID] = clean[[#This Row],[Facility ID]]) * ([1]!hcahps[HCAHPS Measure ID] = "H_HSP_RATING_LINEAR_SCORE"), [1]!hcahps[HCAHPS Linear Mean Value]), "No Match")</f>
        <v>87</v>
      </c>
      <c r="F4057" cm="1">
        <f t="array" ref="F4057">_xlfn.IFNA(_xlfn.XLOOKUP(1,([1]!readmissions[Facility ID] = clean[[#This Row],[Facility ID]]) * ([1]!readmissions[Measure ID] = "Hybrid_HWR"), [1]!readmissions[Score]), "No Match")</f>
        <v>14.6</v>
      </c>
    </row>
    <row r="4058" spans="1:6" x14ac:dyDescent="0.2">
      <c r="A4058">
        <f>[1]!hospitalinfo[[#This Row],[Facility ID]]</f>
        <v>390222</v>
      </c>
      <c r="B4058" t="str">
        <f>[1]!hospitalinfo[[#This Row],[State]]</f>
        <v>PA</v>
      </c>
      <c r="C4058" t="str">
        <f>[1]!hospitalinfo[[#This Row],[Hospital Type]]</f>
        <v>Acute Care Hospitals</v>
      </c>
      <c r="D4058" t="str">
        <f>[1]!hospitalinfo[[#This Row],[Hospital Ownership]]</f>
        <v>Voluntary non-profit - Private</v>
      </c>
      <c r="E4058" cm="1">
        <f t="array" ref="E4058">_xlfn.IFNA(_xlfn.XLOOKUP(1,([1]!hcahps[Facility ID] = clean[[#This Row],[Facility ID]]) * ([1]!hcahps[HCAHPS Measure ID] = "H_HSP_RATING_LINEAR_SCORE"), [1]!hcahps[HCAHPS Linear Mean Value]), "No Match")</f>
        <v>88</v>
      </c>
      <c r="F4058" cm="1">
        <f t="array" ref="F4058">_xlfn.IFNA(_xlfn.XLOOKUP(1,([1]!readmissions[Facility ID] = clean[[#This Row],[Facility ID]]) * ([1]!readmissions[Measure ID] = "Hybrid_HWR"), [1]!readmissions[Score]), "No Match")</f>
        <v>14.5</v>
      </c>
    </row>
    <row r="4059" spans="1:6" x14ac:dyDescent="0.2">
      <c r="A4059">
        <f>[1]!hospitalinfo[[#This Row],[Facility ID]]</f>
        <v>390223</v>
      </c>
      <c r="B4059" t="str">
        <f>[1]!hospitalinfo[[#This Row],[State]]</f>
        <v>PA</v>
      </c>
      <c r="C4059" t="str">
        <f>[1]!hospitalinfo[[#This Row],[Hospital Type]]</f>
        <v>Acute Care Hospitals</v>
      </c>
      <c r="D4059" t="str">
        <f>[1]!hospitalinfo[[#This Row],[Hospital Ownership]]</f>
        <v>Voluntary non-profit - Other</v>
      </c>
      <c r="E4059" cm="1">
        <f t="array" ref="E4059">_xlfn.IFNA(_xlfn.XLOOKUP(1,([1]!hcahps[Facility ID] = clean[[#This Row],[Facility ID]]) * ([1]!hcahps[HCAHPS Measure ID] = "H_HSP_RATING_LINEAR_SCORE"), [1]!hcahps[HCAHPS Linear Mean Value]), "No Match")</f>
        <v>88</v>
      </c>
      <c r="F4059" cm="1">
        <f t="array" ref="F4059">_xlfn.IFNA(_xlfn.XLOOKUP(1,([1]!readmissions[Facility ID] = clean[[#This Row],[Facility ID]]) * ([1]!readmissions[Measure ID] = "Hybrid_HWR"), [1]!readmissions[Score]), "No Match")</f>
        <v>15.2</v>
      </c>
    </row>
    <row r="4060" spans="1:6" x14ac:dyDescent="0.2">
      <c r="A4060">
        <f>[1]!hospitalinfo[[#This Row],[Facility ID]]</f>
        <v>390225</v>
      </c>
      <c r="B4060" t="str">
        <f>[1]!hospitalinfo[[#This Row],[State]]</f>
        <v>PA</v>
      </c>
      <c r="C4060" t="str">
        <f>[1]!hospitalinfo[[#This Row],[Hospital Type]]</f>
        <v>Acute Care Hospitals</v>
      </c>
      <c r="D4060" t="str">
        <f>[1]!hospitalinfo[[#This Row],[Hospital Ownership]]</f>
        <v>Voluntary non-profit - Other</v>
      </c>
      <c r="E4060" cm="1">
        <f t="array" ref="E4060">_xlfn.IFNA(_xlfn.XLOOKUP(1,([1]!hcahps[Facility ID] = clean[[#This Row],[Facility ID]]) * ([1]!hcahps[HCAHPS Measure ID] = "H_HSP_RATING_LINEAR_SCORE"), [1]!hcahps[HCAHPS Linear Mean Value]), "No Match")</f>
        <v>88</v>
      </c>
      <c r="F4060" cm="1">
        <f t="array" ref="F4060">_xlfn.IFNA(_xlfn.XLOOKUP(1,([1]!readmissions[Facility ID] = clean[[#This Row],[Facility ID]]) * ([1]!readmissions[Measure ID] = "Hybrid_HWR"), [1]!readmissions[Score]), "No Match")</f>
        <v>13.5</v>
      </c>
    </row>
    <row r="4061" spans="1:6" x14ac:dyDescent="0.2">
      <c r="A4061">
        <f>[1]!hospitalinfo[[#This Row],[Facility ID]]</f>
        <v>390226</v>
      </c>
      <c r="B4061" t="str">
        <f>[1]!hospitalinfo[[#This Row],[State]]</f>
        <v>PA</v>
      </c>
      <c r="C4061" t="str">
        <f>[1]!hospitalinfo[[#This Row],[Hospital Type]]</f>
        <v>Acute Care Hospitals</v>
      </c>
      <c r="D4061" t="str">
        <f>[1]!hospitalinfo[[#This Row],[Hospital Ownership]]</f>
        <v>Voluntary non-profit - Private</v>
      </c>
      <c r="E4061" cm="1">
        <f t="array" ref="E4061">_xlfn.IFNA(_xlfn.XLOOKUP(1,([1]!hcahps[Facility ID] = clean[[#This Row],[Facility ID]]) * ([1]!hcahps[HCAHPS Measure ID] = "H_HSP_RATING_LINEAR_SCORE"), [1]!hcahps[HCAHPS Linear Mean Value]), "No Match")</f>
        <v>86</v>
      </c>
      <c r="F4061" cm="1">
        <f t="array" ref="F4061">_xlfn.IFNA(_xlfn.XLOOKUP(1,([1]!readmissions[Facility ID] = clean[[#This Row],[Facility ID]]) * ([1]!readmissions[Measure ID] = "Hybrid_HWR"), [1]!readmissions[Score]), "No Match")</f>
        <v>15.8</v>
      </c>
    </row>
    <row r="4062" spans="1:6" x14ac:dyDescent="0.2">
      <c r="A4062">
        <f>[1]!hospitalinfo[[#This Row],[Facility ID]]</f>
        <v>390228</v>
      </c>
      <c r="B4062" t="str">
        <f>[1]!hospitalinfo[[#This Row],[State]]</f>
        <v>PA</v>
      </c>
      <c r="C4062" t="str">
        <f>[1]!hospitalinfo[[#This Row],[Hospital Type]]</f>
        <v>Acute Care Hospitals</v>
      </c>
      <c r="D4062" t="str">
        <f>[1]!hospitalinfo[[#This Row],[Hospital Ownership]]</f>
        <v>Voluntary non-profit - Private</v>
      </c>
      <c r="E4062" cm="1">
        <f t="array" ref="E4062">_xlfn.IFNA(_xlfn.XLOOKUP(1,([1]!hcahps[Facility ID] = clean[[#This Row],[Facility ID]]) * ([1]!hcahps[HCAHPS Measure ID] = "H_HSP_RATING_LINEAR_SCORE"), [1]!hcahps[HCAHPS Linear Mean Value]), "No Match")</f>
        <v>88</v>
      </c>
      <c r="F4062" cm="1">
        <f t="array" ref="F4062">_xlfn.IFNA(_xlfn.XLOOKUP(1,([1]!readmissions[Facility ID] = clean[[#This Row],[Facility ID]]) * ([1]!readmissions[Measure ID] = "Hybrid_HWR"), [1]!readmissions[Score]), "No Match")</f>
        <v>15.5</v>
      </c>
    </row>
    <row r="4063" spans="1:6" x14ac:dyDescent="0.2">
      <c r="A4063">
        <f>[1]!hospitalinfo[[#This Row],[Facility ID]]</f>
        <v>390231</v>
      </c>
      <c r="B4063" t="str">
        <f>[1]!hospitalinfo[[#This Row],[State]]</f>
        <v>PA</v>
      </c>
      <c r="C4063" t="str">
        <f>[1]!hospitalinfo[[#This Row],[Hospital Type]]</f>
        <v>Acute Care Hospitals</v>
      </c>
      <c r="D4063" t="str">
        <f>[1]!hospitalinfo[[#This Row],[Hospital Ownership]]</f>
        <v>Voluntary non-profit - Private</v>
      </c>
      <c r="E4063" cm="1">
        <f t="array" ref="E4063">_xlfn.IFNA(_xlfn.XLOOKUP(1,([1]!hcahps[Facility ID] = clean[[#This Row],[Facility ID]]) * ([1]!hcahps[HCAHPS Measure ID] = "H_HSP_RATING_LINEAR_SCORE"), [1]!hcahps[HCAHPS Linear Mean Value]), "No Match")</f>
        <v>82</v>
      </c>
      <c r="F4063" cm="1">
        <f t="array" ref="F4063">_xlfn.IFNA(_xlfn.XLOOKUP(1,([1]!readmissions[Facility ID] = clean[[#This Row],[Facility ID]]) * ([1]!readmissions[Measure ID] = "Hybrid_HWR"), [1]!readmissions[Score]), "No Match")</f>
        <v>17.100000000000001</v>
      </c>
    </row>
    <row r="4064" spans="1:6" x14ac:dyDescent="0.2">
      <c r="A4064">
        <f>[1]!hospitalinfo[[#This Row],[Facility ID]]</f>
        <v>390233</v>
      </c>
      <c r="B4064" t="str">
        <f>[1]!hospitalinfo[[#This Row],[State]]</f>
        <v>PA</v>
      </c>
      <c r="C4064" t="str">
        <f>[1]!hospitalinfo[[#This Row],[Hospital Type]]</f>
        <v>Acute Care Hospitals</v>
      </c>
      <c r="D4064" t="str">
        <f>[1]!hospitalinfo[[#This Row],[Hospital Ownership]]</f>
        <v>Voluntary non-profit - Private</v>
      </c>
      <c r="E4064" cm="1">
        <f t="array" ref="E4064">_xlfn.IFNA(_xlfn.XLOOKUP(1,([1]!hcahps[Facility ID] = clean[[#This Row],[Facility ID]]) * ([1]!hcahps[HCAHPS Measure ID] = "H_HSP_RATING_LINEAR_SCORE"), [1]!hcahps[HCAHPS Linear Mean Value]), "No Match")</f>
        <v>90</v>
      </c>
      <c r="F4064" cm="1">
        <f t="array" ref="F4064">_xlfn.IFNA(_xlfn.XLOOKUP(1,([1]!readmissions[Facility ID] = clean[[#This Row],[Facility ID]]) * ([1]!readmissions[Measure ID] = "Hybrid_HWR"), [1]!readmissions[Score]), "No Match")</f>
        <v>15.9</v>
      </c>
    </row>
    <row r="4065" spans="1:6" x14ac:dyDescent="0.2">
      <c r="A4065">
        <f>[1]!hospitalinfo[[#This Row],[Facility ID]]</f>
        <v>390237</v>
      </c>
      <c r="B4065" t="str">
        <f>[1]!hospitalinfo[[#This Row],[State]]</f>
        <v>PA</v>
      </c>
      <c r="C4065" t="str">
        <f>[1]!hospitalinfo[[#This Row],[Hospital Type]]</f>
        <v>Acute Care Hospitals</v>
      </c>
      <c r="D4065" t="str">
        <f>[1]!hospitalinfo[[#This Row],[Hospital Ownership]]</f>
        <v>Proprietary</v>
      </c>
      <c r="E4065" cm="1">
        <f t="array" ref="E4065">_xlfn.IFNA(_xlfn.XLOOKUP(1,([1]!hcahps[Facility ID] = clean[[#This Row],[Facility ID]]) * ([1]!hcahps[HCAHPS Measure ID] = "H_HSP_RATING_LINEAR_SCORE"), [1]!hcahps[HCAHPS Linear Mean Value]), "No Match")</f>
        <v>85</v>
      </c>
      <c r="F4065" cm="1">
        <f t="array" ref="F4065">_xlfn.IFNA(_xlfn.XLOOKUP(1,([1]!readmissions[Facility ID] = clean[[#This Row],[Facility ID]]) * ([1]!readmissions[Measure ID] = "Hybrid_HWR"), [1]!readmissions[Score]), "No Match")</f>
        <v>15.5</v>
      </c>
    </row>
    <row r="4066" spans="1:6" x14ac:dyDescent="0.2">
      <c r="A4066">
        <f>[1]!hospitalinfo[[#This Row],[Facility ID]]</f>
        <v>390256</v>
      </c>
      <c r="B4066" t="str">
        <f>[1]!hospitalinfo[[#This Row],[State]]</f>
        <v>PA</v>
      </c>
      <c r="C4066" t="str">
        <f>[1]!hospitalinfo[[#This Row],[Hospital Type]]</f>
        <v>Acute Care Hospitals</v>
      </c>
      <c r="D4066" t="str">
        <f>[1]!hospitalinfo[[#This Row],[Hospital Ownership]]</f>
        <v>Voluntary non-profit - Private</v>
      </c>
      <c r="E4066" cm="1">
        <f t="array" ref="E4066">_xlfn.IFNA(_xlfn.XLOOKUP(1,([1]!hcahps[Facility ID] = clean[[#This Row],[Facility ID]]) * ([1]!hcahps[HCAHPS Measure ID] = "H_HSP_RATING_LINEAR_SCORE"), [1]!hcahps[HCAHPS Linear Mean Value]), "No Match")</f>
        <v>90</v>
      </c>
      <c r="F4066" cm="1">
        <f t="array" ref="F4066">_xlfn.IFNA(_xlfn.XLOOKUP(1,([1]!readmissions[Facility ID] = clean[[#This Row],[Facility ID]]) * ([1]!readmissions[Measure ID] = "Hybrid_HWR"), [1]!readmissions[Score]), "No Match")</f>
        <v>15.3</v>
      </c>
    </row>
    <row r="4067" spans="1:6" x14ac:dyDescent="0.2">
      <c r="A4067">
        <f>[1]!hospitalinfo[[#This Row],[Facility ID]]</f>
        <v>390258</v>
      </c>
      <c r="B4067" t="str">
        <f>[1]!hospitalinfo[[#This Row],[State]]</f>
        <v>PA</v>
      </c>
      <c r="C4067" t="str">
        <f>[1]!hospitalinfo[[#This Row],[Hospital Type]]</f>
        <v>Acute Care Hospitals</v>
      </c>
      <c r="D4067" t="str">
        <f>[1]!hospitalinfo[[#This Row],[Hospital Ownership]]</f>
        <v>Voluntary non-profit - Private</v>
      </c>
      <c r="E4067" cm="1">
        <f t="array" ref="E4067">_xlfn.IFNA(_xlfn.XLOOKUP(1,([1]!hcahps[Facility ID] = clean[[#This Row],[Facility ID]]) * ([1]!hcahps[HCAHPS Measure ID] = "H_HSP_RATING_LINEAR_SCORE"), [1]!hcahps[HCAHPS Linear Mean Value]), "No Match")</f>
        <v>85</v>
      </c>
      <c r="F4067" cm="1">
        <f t="array" ref="F4067">_xlfn.IFNA(_xlfn.XLOOKUP(1,([1]!readmissions[Facility ID] = clean[[#This Row],[Facility ID]]) * ([1]!readmissions[Measure ID] = "Hybrid_HWR"), [1]!readmissions[Score]), "No Match")</f>
        <v>16.600000000000001</v>
      </c>
    </row>
    <row r="4068" spans="1:6" x14ac:dyDescent="0.2">
      <c r="A4068">
        <f>[1]!hospitalinfo[[#This Row],[Facility ID]]</f>
        <v>390265</v>
      </c>
      <c r="B4068" t="str">
        <f>[1]!hospitalinfo[[#This Row],[State]]</f>
        <v>PA</v>
      </c>
      <c r="C4068" t="str">
        <f>[1]!hospitalinfo[[#This Row],[Hospital Type]]</f>
        <v>Acute Care Hospitals</v>
      </c>
      <c r="D4068" t="str">
        <f>[1]!hospitalinfo[[#This Row],[Hospital Ownership]]</f>
        <v>Voluntary non-profit - Private</v>
      </c>
      <c r="E4068" cm="1">
        <f t="array" ref="E4068">_xlfn.IFNA(_xlfn.XLOOKUP(1,([1]!hcahps[Facility ID] = clean[[#This Row],[Facility ID]]) * ([1]!hcahps[HCAHPS Measure ID] = "H_HSP_RATING_LINEAR_SCORE"), [1]!hcahps[HCAHPS Linear Mean Value]), "No Match")</f>
        <v>89</v>
      </c>
      <c r="F4068" cm="1">
        <f t="array" ref="F4068">_xlfn.IFNA(_xlfn.XLOOKUP(1,([1]!readmissions[Facility ID] = clean[[#This Row],[Facility ID]]) * ([1]!readmissions[Measure ID] = "Hybrid_HWR"), [1]!readmissions[Score]), "No Match")</f>
        <v>15.4</v>
      </c>
    </row>
    <row r="4069" spans="1:6" x14ac:dyDescent="0.2">
      <c r="A4069">
        <f>[1]!hospitalinfo[[#This Row],[Facility ID]]</f>
        <v>390266</v>
      </c>
      <c r="B4069" t="str">
        <f>[1]!hospitalinfo[[#This Row],[State]]</f>
        <v>PA</v>
      </c>
      <c r="C4069" t="str">
        <f>[1]!hospitalinfo[[#This Row],[Hospital Type]]</f>
        <v>Acute Care Hospitals</v>
      </c>
      <c r="D4069" t="str">
        <f>[1]!hospitalinfo[[#This Row],[Hospital Ownership]]</f>
        <v>Voluntary non-profit - Private</v>
      </c>
      <c r="E4069" cm="1">
        <f t="array" ref="E4069">_xlfn.IFNA(_xlfn.XLOOKUP(1,([1]!hcahps[Facility ID] = clean[[#This Row],[Facility ID]]) * ([1]!hcahps[HCAHPS Measure ID] = "H_HSP_RATING_LINEAR_SCORE"), [1]!hcahps[HCAHPS Linear Mean Value]), "No Match")</f>
        <v>88</v>
      </c>
      <c r="F4069" cm="1">
        <f t="array" ref="F4069">_xlfn.IFNA(_xlfn.XLOOKUP(1,([1]!readmissions[Facility ID] = clean[[#This Row],[Facility ID]]) * ([1]!readmissions[Measure ID] = "Hybrid_HWR"), [1]!readmissions[Score]), "No Match")</f>
        <v>14.1</v>
      </c>
    </row>
    <row r="4070" spans="1:6" x14ac:dyDescent="0.2">
      <c r="A4070">
        <f>[1]!hospitalinfo[[#This Row],[Facility ID]]</f>
        <v>390267</v>
      </c>
      <c r="B4070" t="str">
        <f>[1]!hospitalinfo[[#This Row],[State]]</f>
        <v>PA</v>
      </c>
      <c r="C4070" t="str">
        <f>[1]!hospitalinfo[[#This Row],[Hospital Type]]</f>
        <v>Acute Care Hospitals</v>
      </c>
      <c r="D4070" t="str">
        <f>[1]!hospitalinfo[[#This Row],[Hospital Ownership]]</f>
        <v>Voluntary non-profit - Private</v>
      </c>
      <c r="E4070" cm="1">
        <f t="array" ref="E4070">_xlfn.IFNA(_xlfn.XLOOKUP(1,([1]!hcahps[Facility ID] = clean[[#This Row],[Facility ID]]) * ([1]!hcahps[HCAHPS Measure ID] = "H_HSP_RATING_LINEAR_SCORE"), [1]!hcahps[HCAHPS Linear Mean Value]), "No Match")</f>
        <v>86</v>
      </c>
      <c r="F4070" cm="1">
        <f t="array" ref="F4070">_xlfn.IFNA(_xlfn.XLOOKUP(1,([1]!readmissions[Facility ID] = clean[[#This Row],[Facility ID]]) * ([1]!readmissions[Measure ID] = "Hybrid_HWR"), [1]!readmissions[Score]), "No Match")</f>
        <v>16.5</v>
      </c>
    </row>
    <row r="4071" spans="1:6" x14ac:dyDescent="0.2">
      <c r="A4071">
        <f>[1]!hospitalinfo[[#This Row],[Facility ID]]</f>
        <v>390268</v>
      </c>
      <c r="B4071" t="str">
        <f>[1]!hospitalinfo[[#This Row],[State]]</f>
        <v>PA</v>
      </c>
      <c r="C4071" t="str">
        <f>[1]!hospitalinfo[[#This Row],[Hospital Type]]</f>
        <v>Acute Care Hospitals</v>
      </c>
      <c r="D4071" t="str">
        <f>[1]!hospitalinfo[[#This Row],[Hospital Ownership]]</f>
        <v>Voluntary non-profit - Private</v>
      </c>
      <c r="E4071" cm="1">
        <f t="array" ref="E4071">_xlfn.IFNA(_xlfn.XLOOKUP(1,([1]!hcahps[Facility ID] = clean[[#This Row],[Facility ID]]) * ([1]!hcahps[HCAHPS Measure ID] = "H_HSP_RATING_LINEAR_SCORE"), [1]!hcahps[HCAHPS Linear Mean Value]), "No Match")</f>
        <v>88</v>
      </c>
      <c r="F4071" cm="1">
        <f t="array" ref="F4071">_xlfn.IFNA(_xlfn.XLOOKUP(1,([1]!readmissions[Facility ID] = clean[[#This Row],[Facility ID]]) * ([1]!readmissions[Measure ID] = "Hybrid_HWR"), [1]!readmissions[Score]), "No Match")</f>
        <v>14.8</v>
      </c>
    </row>
    <row r="4072" spans="1:6" x14ac:dyDescent="0.2">
      <c r="A4072">
        <f>[1]!hospitalinfo[[#This Row],[Facility ID]]</f>
        <v>390270</v>
      </c>
      <c r="B4072" t="str">
        <f>[1]!hospitalinfo[[#This Row],[State]]</f>
        <v>PA</v>
      </c>
      <c r="C4072" t="str">
        <f>[1]!hospitalinfo[[#This Row],[Hospital Type]]</f>
        <v>Acute Care Hospitals</v>
      </c>
      <c r="D4072" t="str">
        <f>[1]!hospitalinfo[[#This Row],[Hospital Ownership]]</f>
        <v>Voluntary non-profit - Private</v>
      </c>
      <c r="E4072" cm="1">
        <f t="array" ref="E4072">_xlfn.IFNA(_xlfn.XLOOKUP(1,([1]!hcahps[Facility ID] = clean[[#This Row],[Facility ID]]) * ([1]!hcahps[HCAHPS Measure ID] = "H_HSP_RATING_LINEAR_SCORE"), [1]!hcahps[HCAHPS Linear Mean Value]), "No Match")</f>
        <v>84</v>
      </c>
      <c r="F4072" cm="1">
        <f t="array" ref="F4072">_xlfn.IFNA(_xlfn.XLOOKUP(1,([1]!readmissions[Facility ID] = clean[[#This Row],[Facility ID]]) * ([1]!readmissions[Measure ID] = "Hybrid_HWR"), [1]!readmissions[Score]), "No Match")</f>
        <v>15.6</v>
      </c>
    </row>
    <row r="4073" spans="1:6" x14ac:dyDescent="0.2">
      <c r="A4073">
        <f>[1]!hospitalinfo[[#This Row],[Facility ID]]</f>
        <v>390272</v>
      </c>
      <c r="B4073" t="str">
        <f>[1]!hospitalinfo[[#This Row],[State]]</f>
        <v>PA</v>
      </c>
      <c r="C4073" t="str">
        <f>[1]!hospitalinfo[[#This Row],[Hospital Type]]</f>
        <v>Acute Care Hospitals</v>
      </c>
      <c r="D4073" t="str">
        <f>[1]!hospitalinfo[[#This Row],[Hospital Ownership]]</f>
        <v>Proprietary</v>
      </c>
      <c r="E4073" t="str" cm="1">
        <f t="array" ref="E4073">_xlfn.IFNA(_xlfn.XLOOKUP(1,([1]!hcahps[Facility ID] = clean[[#This Row],[Facility ID]]) * ([1]!hcahps[HCAHPS Measure ID] = "H_HSP_RATING_LINEAR_SCORE"), [1]!hcahps[HCAHPS Linear Mean Value]), "No Match")</f>
        <v>Not Available</v>
      </c>
      <c r="F4073" t="str" cm="1">
        <f t="array" ref="F4073">_xlfn.IFNA(_xlfn.XLOOKUP(1,([1]!readmissions[Facility ID] = clean[[#This Row],[Facility ID]]) * ([1]!readmissions[Measure ID] = "Hybrid_HWR"), [1]!readmissions[Score]), "No Match")</f>
        <v>Not Available</v>
      </c>
    </row>
    <row r="4074" spans="1:6" x14ac:dyDescent="0.2">
      <c r="A4074">
        <f>[1]!hospitalinfo[[#This Row],[Facility ID]]</f>
        <v>390278</v>
      </c>
      <c r="B4074" t="str">
        <f>[1]!hospitalinfo[[#This Row],[State]]</f>
        <v>PA</v>
      </c>
      <c r="C4074" t="str">
        <f>[1]!hospitalinfo[[#This Row],[Hospital Type]]</f>
        <v>Acute Care Hospitals</v>
      </c>
      <c r="D4074" t="str">
        <f>[1]!hospitalinfo[[#This Row],[Hospital Ownership]]</f>
        <v>Voluntary non-profit - Private</v>
      </c>
      <c r="E4074" t="str" cm="1">
        <f t="array" ref="E4074">_xlfn.IFNA(_xlfn.XLOOKUP(1,([1]!hcahps[Facility ID] = clean[[#This Row],[Facility ID]]) * ([1]!hcahps[HCAHPS Measure ID] = "H_HSP_RATING_LINEAR_SCORE"), [1]!hcahps[HCAHPS Linear Mean Value]), "No Match")</f>
        <v>Not Available</v>
      </c>
      <c r="F4074" t="str" cm="1">
        <f t="array" ref="F4074">_xlfn.IFNA(_xlfn.XLOOKUP(1,([1]!readmissions[Facility ID] = clean[[#This Row],[Facility ID]]) * ([1]!readmissions[Measure ID] = "Hybrid_HWR"), [1]!readmissions[Score]), "No Match")</f>
        <v>Not Available</v>
      </c>
    </row>
    <row r="4075" spans="1:6" x14ac:dyDescent="0.2">
      <c r="A4075">
        <f>[1]!hospitalinfo[[#This Row],[Facility ID]]</f>
        <v>390304</v>
      </c>
      <c r="B4075" t="str">
        <f>[1]!hospitalinfo[[#This Row],[State]]</f>
        <v>PA</v>
      </c>
      <c r="C4075" t="str">
        <f>[1]!hospitalinfo[[#This Row],[Hospital Type]]</f>
        <v>Acute Care Hospitals</v>
      </c>
      <c r="D4075" t="str">
        <f>[1]!hospitalinfo[[#This Row],[Hospital Ownership]]</f>
        <v>Proprietary</v>
      </c>
      <c r="E4075" cm="1">
        <f t="array" ref="E4075">_xlfn.IFNA(_xlfn.XLOOKUP(1,([1]!hcahps[Facility ID] = clean[[#This Row],[Facility ID]]) * ([1]!hcahps[HCAHPS Measure ID] = "H_HSP_RATING_LINEAR_SCORE"), [1]!hcahps[HCAHPS Linear Mean Value]), "No Match")</f>
        <v>84</v>
      </c>
      <c r="F4075" cm="1">
        <f t="array" ref="F4075">_xlfn.IFNA(_xlfn.XLOOKUP(1,([1]!readmissions[Facility ID] = clean[[#This Row],[Facility ID]]) * ([1]!readmissions[Measure ID] = "Hybrid_HWR"), [1]!readmissions[Score]), "No Match")</f>
        <v>15.5</v>
      </c>
    </row>
    <row r="4076" spans="1:6" x14ac:dyDescent="0.2">
      <c r="A4076">
        <f>[1]!hospitalinfo[[#This Row],[Facility ID]]</f>
        <v>390307</v>
      </c>
      <c r="B4076" t="str">
        <f>[1]!hospitalinfo[[#This Row],[State]]</f>
        <v>PA</v>
      </c>
      <c r="C4076" t="str">
        <f>[1]!hospitalinfo[[#This Row],[Hospital Type]]</f>
        <v>Acute Care Hospitals</v>
      </c>
      <c r="D4076" t="str">
        <f>[1]!hospitalinfo[[#This Row],[Hospital Ownership]]</f>
        <v>Physician</v>
      </c>
      <c r="E4076" t="str" cm="1">
        <f t="array" ref="E4076">_xlfn.IFNA(_xlfn.XLOOKUP(1,([1]!hcahps[Facility ID] = clean[[#This Row],[Facility ID]]) * ([1]!hcahps[HCAHPS Measure ID] = "H_HSP_RATING_LINEAR_SCORE"), [1]!hcahps[HCAHPS Linear Mean Value]), "No Match")</f>
        <v>Not Available</v>
      </c>
      <c r="F4076" t="str" cm="1">
        <f t="array" ref="F4076">_xlfn.IFNA(_xlfn.XLOOKUP(1,([1]!readmissions[Facility ID] = clean[[#This Row],[Facility ID]]) * ([1]!readmissions[Measure ID] = "Hybrid_HWR"), [1]!readmissions[Score]), "No Match")</f>
        <v>Not Available</v>
      </c>
    </row>
    <row r="4077" spans="1:6" x14ac:dyDescent="0.2">
      <c r="A4077">
        <f>[1]!hospitalinfo[[#This Row],[Facility ID]]</f>
        <v>390316</v>
      </c>
      <c r="B4077" t="str">
        <f>[1]!hospitalinfo[[#This Row],[State]]</f>
        <v>PA</v>
      </c>
      <c r="C4077" t="str">
        <f>[1]!hospitalinfo[[#This Row],[Hospital Type]]</f>
        <v>Acute Care Hospitals</v>
      </c>
      <c r="D4077" t="str">
        <f>[1]!hospitalinfo[[#This Row],[Hospital Ownership]]</f>
        <v>Physician</v>
      </c>
      <c r="E4077" cm="1">
        <f t="array" ref="E4077">_xlfn.IFNA(_xlfn.XLOOKUP(1,([1]!hcahps[Facility ID] = clean[[#This Row],[Facility ID]]) * ([1]!hcahps[HCAHPS Measure ID] = "H_HSP_RATING_LINEAR_SCORE"), [1]!hcahps[HCAHPS Linear Mean Value]), "No Match")</f>
        <v>94</v>
      </c>
      <c r="F4077" cm="1">
        <f t="array" ref="F4077">_xlfn.IFNA(_xlfn.XLOOKUP(1,([1]!readmissions[Facility ID] = clean[[#This Row],[Facility ID]]) * ([1]!readmissions[Measure ID] = "Hybrid_HWR"), [1]!readmissions[Score]), "No Match")</f>
        <v>16</v>
      </c>
    </row>
    <row r="4078" spans="1:6" x14ac:dyDescent="0.2">
      <c r="A4078">
        <f>[1]!hospitalinfo[[#This Row],[Facility ID]]</f>
        <v>390322</v>
      </c>
      <c r="B4078" t="str">
        <f>[1]!hospitalinfo[[#This Row],[State]]</f>
        <v>PA</v>
      </c>
      <c r="C4078" t="str">
        <f>[1]!hospitalinfo[[#This Row],[Hospital Type]]</f>
        <v>Acute Care Hospitals</v>
      </c>
      <c r="D4078" t="str">
        <f>[1]!hospitalinfo[[#This Row],[Hospital Ownership]]</f>
        <v>Proprietary</v>
      </c>
      <c r="E4078" cm="1">
        <f t="array" ref="E4078">_xlfn.IFNA(_xlfn.XLOOKUP(1,([1]!hcahps[Facility ID] = clean[[#This Row],[Facility ID]]) * ([1]!hcahps[HCAHPS Measure ID] = "H_HSP_RATING_LINEAR_SCORE"), [1]!hcahps[HCAHPS Linear Mean Value]), "No Match")</f>
        <v>92</v>
      </c>
      <c r="F4078" cm="1">
        <f t="array" ref="F4078">_xlfn.IFNA(_xlfn.XLOOKUP(1,([1]!readmissions[Facility ID] = clean[[#This Row],[Facility ID]]) * ([1]!readmissions[Measure ID] = "Hybrid_HWR"), [1]!readmissions[Score]), "No Match")</f>
        <v>14.2</v>
      </c>
    </row>
    <row r="4079" spans="1:6" x14ac:dyDescent="0.2">
      <c r="A4079">
        <f>[1]!hospitalinfo[[#This Row],[Facility ID]]</f>
        <v>390323</v>
      </c>
      <c r="B4079" t="str">
        <f>[1]!hospitalinfo[[#This Row],[State]]</f>
        <v>PA</v>
      </c>
      <c r="C4079" t="str">
        <f>[1]!hospitalinfo[[#This Row],[Hospital Type]]</f>
        <v>Acute Care Hospitals</v>
      </c>
      <c r="D4079" t="str">
        <f>[1]!hospitalinfo[[#This Row],[Hospital Ownership]]</f>
        <v>Physician</v>
      </c>
      <c r="E4079" cm="1">
        <f t="array" ref="E4079">_xlfn.IFNA(_xlfn.XLOOKUP(1,([1]!hcahps[Facility ID] = clean[[#This Row],[Facility ID]]) * ([1]!hcahps[HCAHPS Measure ID] = "H_HSP_RATING_LINEAR_SCORE"), [1]!hcahps[HCAHPS Linear Mean Value]), "No Match")</f>
        <v>96</v>
      </c>
      <c r="F4079" cm="1">
        <f t="array" ref="F4079">_xlfn.IFNA(_xlfn.XLOOKUP(1,([1]!readmissions[Facility ID] = clean[[#This Row],[Facility ID]]) * ([1]!readmissions[Measure ID] = "Hybrid_HWR"), [1]!readmissions[Score]), "No Match")</f>
        <v>14.5</v>
      </c>
    </row>
    <row r="4080" spans="1:6" x14ac:dyDescent="0.2">
      <c r="A4080">
        <f>[1]!hospitalinfo[[#This Row],[Facility ID]]</f>
        <v>390324</v>
      </c>
      <c r="B4080" t="str">
        <f>[1]!hospitalinfo[[#This Row],[State]]</f>
        <v>PA</v>
      </c>
      <c r="C4080" t="str">
        <f>[1]!hospitalinfo[[#This Row],[Hospital Type]]</f>
        <v>Acute Care Hospitals</v>
      </c>
      <c r="D4080" t="str">
        <f>[1]!hospitalinfo[[#This Row],[Hospital Ownership]]</f>
        <v>Physician</v>
      </c>
      <c r="E4080" cm="1">
        <f t="array" ref="E4080">_xlfn.IFNA(_xlfn.XLOOKUP(1,([1]!hcahps[Facility ID] = clean[[#This Row],[Facility ID]]) * ([1]!hcahps[HCAHPS Measure ID] = "H_HSP_RATING_LINEAR_SCORE"), [1]!hcahps[HCAHPS Linear Mean Value]), "No Match")</f>
        <v>95</v>
      </c>
      <c r="F4080" cm="1">
        <f t="array" ref="F4080">_xlfn.IFNA(_xlfn.XLOOKUP(1,([1]!readmissions[Facility ID] = clean[[#This Row],[Facility ID]]) * ([1]!readmissions[Measure ID] = "Hybrid_HWR"), [1]!readmissions[Score]), "No Match")</f>
        <v>14.7</v>
      </c>
    </row>
    <row r="4081" spans="1:6" x14ac:dyDescent="0.2">
      <c r="A4081">
        <f>[1]!hospitalinfo[[#This Row],[Facility ID]]</f>
        <v>390325</v>
      </c>
      <c r="B4081" t="str">
        <f>[1]!hospitalinfo[[#This Row],[State]]</f>
        <v>PA</v>
      </c>
      <c r="C4081" t="str">
        <f>[1]!hospitalinfo[[#This Row],[Hospital Type]]</f>
        <v>Acute Care Hospitals</v>
      </c>
      <c r="D4081" t="str">
        <f>[1]!hospitalinfo[[#This Row],[Hospital Ownership]]</f>
        <v>Proprietary</v>
      </c>
      <c r="E4081" cm="1">
        <f t="array" ref="E4081">_xlfn.IFNA(_xlfn.XLOOKUP(1,([1]!hcahps[Facility ID] = clean[[#This Row],[Facility ID]]) * ([1]!hcahps[HCAHPS Measure ID] = "H_HSP_RATING_LINEAR_SCORE"), [1]!hcahps[HCAHPS Linear Mean Value]), "No Match")</f>
        <v>95</v>
      </c>
      <c r="F4081" cm="1">
        <f t="array" ref="F4081">_xlfn.IFNA(_xlfn.XLOOKUP(1,([1]!readmissions[Facility ID] = clean[[#This Row],[Facility ID]]) * ([1]!readmissions[Measure ID] = "Hybrid_HWR"), [1]!readmissions[Score]), "No Match")</f>
        <v>13.8</v>
      </c>
    </row>
    <row r="4082" spans="1:6" x14ac:dyDescent="0.2">
      <c r="A4082">
        <f>[1]!hospitalinfo[[#This Row],[Facility ID]]</f>
        <v>390327</v>
      </c>
      <c r="B4082" t="str">
        <f>[1]!hospitalinfo[[#This Row],[State]]</f>
        <v>PA</v>
      </c>
      <c r="C4082" t="str">
        <f>[1]!hospitalinfo[[#This Row],[Hospital Type]]</f>
        <v>Acute Care Hospitals</v>
      </c>
      <c r="D4082" t="str">
        <f>[1]!hospitalinfo[[#This Row],[Hospital Ownership]]</f>
        <v>Voluntary non-profit - Private</v>
      </c>
      <c r="E4082" cm="1">
        <f t="array" ref="E4082">_xlfn.IFNA(_xlfn.XLOOKUP(1,([1]!hcahps[Facility ID] = clean[[#This Row],[Facility ID]]) * ([1]!hcahps[HCAHPS Measure ID] = "H_HSP_RATING_LINEAR_SCORE"), [1]!hcahps[HCAHPS Linear Mean Value]), "No Match")</f>
        <v>94</v>
      </c>
      <c r="F4082" cm="1">
        <f t="array" ref="F4082">_xlfn.IFNA(_xlfn.XLOOKUP(1,([1]!readmissions[Facility ID] = clean[[#This Row],[Facility ID]]) * ([1]!readmissions[Measure ID] = "Hybrid_HWR"), [1]!readmissions[Score]), "No Match")</f>
        <v>15.5</v>
      </c>
    </row>
    <row r="4083" spans="1:6" x14ac:dyDescent="0.2">
      <c r="A4083">
        <f>[1]!hospitalinfo[[#This Row],[Facility ID]]</f>
        <v>390328</v>
      </c>
      <c r="B4083" t="str">
        <f>[1]!hospitalinfo[[#This Row],[State]]</f>
        <v>PA</v>
      </c>
      <c r="C4083" t="str">
        <f>[1]!hospitalinfo[[#This Row],[Hospital Type]]</f>
        <v>Acute Care Hospitals</v>
      </c>
      <c r="D4083" t="str">
        <f>[1]!hospitalinfo[[#This Row],[Hospital Ownership]]</f>
        <v>Voluntary non-profit - Private</v>
      </c>
      <c r="E4083" cm="1">
        <f t="array" ref="E4083">_xlfn.IFNA(_xlfn.XLOOKUP(1,([1]!hcahps[Facility ID] = clean[[#This Row],[Facility ID]]) * ([1]!hcahps[HCAHPS Measure ID] = "H_HSP_RATING_LINEAR_SCORE"), [1]!hcahps[HCAHPS Linear Mean Value]), "No Match")</f>
        <v>90</v>
      </c>
      <c r="F4083" cm="1">
        <f t="array" ref="F4083">_xlfn.IFNA(_xlfn.XLOOKUP(1,([1]!readmissions[Facility ID] = clean[[#This Row],[Facility ID]]) * ([1]!readmissions[Measure ID] = "Hybrid_HWR"), [1]!readmissions[Score]), "No Match")</f>
        <v>15</v>
      </c>
    </row>
    <row r="4084" spans="1:6" x14ac:dyDescent="0.2">
      <c r="A4084">
        <f>[1]!hospitalinfo[[#This Row],[Facility ID]]</f>
        <v>390329</v>
      </c>
      <c r="B4084" t="str">
        <f>[1]!hospitalinfo[[#This Row],[State]]</f>
        <v>PA</v>
      </c>
      <c r="C4084" t="str">
        <f>[1]!hospitalinfo[[#This Row],[Hospital Type]]</f>
        <v>Acute Care Hospitals</v>
      </c>
      <c r="D4084" t="str">
        <f>[1]!hospitalinfo[[#This Row],[Hospital Ownership]]</f>
        <v>Voluntary non-profit - Private</v>
      </c>
      <c r="E4084" cm="1">
        <f t="array" ref="E4084">_xlfn.IFNA(_xlfn.XLOOKUP(1,([1]!hcahps[Facility ID] = clean[[#This Row],[Facility ID]]) * ([1]!hcahps[HCAHPS Measure ID] = "H_HSP_RATING_LINEAR_SCORE"), [1]!hcahps[HCAHPS Linear Mean Value]), "No Match")</f>
        <v>85</v>
      </c>
      <c r="F4084" cm="1">
        <f t="array" ref="F4084">_xlfn.IFNA(_xlfn.XLOOKUP(1,([1]!readmissions[Facility ID] = clean[[#This Row],[Facility ID]]) * ([1]!readmissions[Measure ID] = "Hybrid_HWR"), [1]!readmissions[Score]), "No Match")</f>
        <v>15.6</v>
      </c>
    </row>
    <row r="4085" spans="1:6" x14ac:dyDescent="0.2">
      <c r="A4085">
        <f>[1]!hospitalinfo[[#This Row],[Facility ID]]</f>
        <v>390330</v>
      </c>
      <c r="B4085" t="str">
        <f>[1]!hospitalinfo[[#This Row],[State]]</f>
        <v>PA</v>
      </c>
      <c r="C4085" t="str">
        <f>[1]!hospitalinfo[[#This Row],[Hospital Type]]</f>
        <v>Acute Care Hospitals</v>
      </c>
      <c r="D4085" t="str">
        <f>[1]!hospitalinfo[[#This Row],[Hospital Ownership]]</f>
        <v>Voluntary non-profit - Private</v>
      </c>
      <c r="E4085" cm="1">
        <f t="array" ref="E4085">_xlfn.IFNA(_xlfn.XLOOKUP(1,([1]!hcahps[Facility ID] = clean[[#This Row],[Facility ID]]) * ([1]!hcahps[HCAHPS Measure ID] = "H_HSP_RATING_LINEAR_SCORE"), [1]!hcahps[HCAHPS Linear Mean Value]), "No Match")</f>
        <v>90</v>
      </c>
      <c r="F4085" cm="1">
        <f t="array" ref="F4085">_xlfn.IFNA(_xlfn.XLOOKUP(1,([1]!readmissions[Facility ID] = clean[[#This Row],[Facility ID]]) * ([1]!readmissions[Measure ID] = "Hybrid_HWR"), [1]!readmissions[Score]), "No Match")</f>
        <v>15.2</v>
      </c>
    </row>
    <row r="4086" spans="1:6" x14ac:dyDescent="0.2">
      <c r="A4086">
        <f>[1]!hospitalinfo[[#This Row],[Facility ID]]</f>
        <v>390331</v>
      </c>
      <c r="B4086" t="str">
        <f>[1]!hospitalinfo[[#This Row],[State]]</f>
        <v>PA</v>
      </c>
      <c r="C4086" t="str">
        <f>[1]!hospitalinfo[[#This Row],[Hospital Type]]</f>
        <v>Acute Care Hospitals</v>
      </c>
      <c r="D4086" t="str">
        <f>[1]!hospitalinfo[[#This Row],[Hospital Ownership]]</f>
        <v>Voluntary non-profit - Private</v>
      </c>
      <c r="E4086" t="str" cm="1">
        <f t="array" ref="E4086">_xlfn.IFNA(_xlfn.XLOOKUP(1,([1]!hcahps[Facility ID] = clean[[#This Row],[Facility ID]]) * ([1]!hcahps[HCAHPS Measure ID] = "H_HSP_RATING_LINEAR_SCORE"), [1]!hcahps[HCAHPS Linear Mean Value]), "No Match")</f>
        <v>Not Available</v>
      </c>
      <c r="F4086" t="str" cm="1">
        <f t="array" ref="F4086">_xlfn.IFNA(_xlfn.XLOOKUP(1,([1]!readmissions[Facility ID] = clean[[#This Row],[Facility ID]]) * ([1]!readmissions[Measure ID] = "Hybrid_HWR"), [1]!readmissions[Score]), "No Match")</f>
        <v>Not Available</v>
      </c>
    </row>
    <row r="4087" spans="1:6" x14ac:dyDescent="0.2">
      <c r="A4087">
        <f>[1]!hospitalinfo[[#This Row],[Facility ID]]</f>
        <v>390332</v>
      </c>
      <c r="B4087" t="str">
        <f>[1]!hospitalinfo[[#This Row],[State]]</f>
        <v>PA</v>
      </c>
      <c r="C4087" t="str">
        <f>[1]!hospitalinfo[[#This Row],[Hospital Type]]</f>
        <v>Acute Care Hospitals</v>
      </c>
      <c r="D4087" t="str">
        <f>[1]!hospitalinfo[[#This Row],[Hospital Ownership]]</f>
        <v>Voluntary non-profit - Private</v>
      </c>
      <c r="E4087" cm="1">
        <f t="array" ref="E4087">_xlfn.IFNA(_xlfn.XLOOKUP(1,([1]!hcahps[Facility ID] = clean[[#This Row],[Facility ID]]) * ([1]!hcahps[HCAHPS Measure ID] = "H_HSP_RATING_LINEAR_SCORE"), [1]!hcahps[HCAHPS Linear Mean Value]), "No Match")</f>
        <v>93</v>
      </c>
      <c r="F4087" cm="1">
        <f t="array" ref="F4087">_xlfn.IFNA(_xlfn.XLOOKUP(1,([1]!readmissions[Facility ID] = clean[[#This Row],[Facility ID]]) * ([1]!readmissions[Measure ID] = "Hybrid_HWR"), [1]!readmissions[Score]), "No Match")</f>
        <v>14.4</v>
      </c>
    </row>
    <row r="4088" spans="1:6" x14ac:dyDescent="0.2">
      <c r="A4088">
        <f>[1]!hospitalinfo[[#This Row],[Facility ID]]</f>
        <v>390333</v>
      </c>
      <c r="B4088" t="str">
        <f>[1]!hospitalinfo[[#This Row],[State]]</f>
        <v>PA</v>
      </c>
      <c r="C4088" t="str">
        <f>[1]!hospitalinfo[[#This Row],[Hospital Type]]</f>
        <v>Acute Care Hospitals</v>
      </c>
      <c r="D4088" t="str">
        <f>[1]!hospitalinfo[[#This Row],[Hospital Ownership]]</f>
        <v>Proprietary</v>
      </c>
      <c r="E4088" cm="1">
        <f t="array" ref="E4088">_xlfn.IFNA(_xlfn.XLOOKUP(1,([1]!hcahps[Facility ID] = clean[[#This Row],[Facility ID]]) * ([1]!hcahps[HCAHPS Measure ID] = "H_HSP_RATING_LINEAR_SCORE"), [1]!hcahps[HCAHPS Linear Mean Value]), "No Match")</f>
        <v>94</v>
      </c>
      <c r="F4088" cm="1">
        <f t="array" ref="F4088">_xlfn.IFNA(_xlfn.XLOOKUP(1,([1]!readmissions[Facility ID] = clean[[#This Row],[Facility ID]]) * ([1]!readmissions[Measure ID] = "Hybrid_HWR"), [1]!readmissions[Score]), "No Match")</f>
        <v>14.6</v>
      </c>
    </row>
    <row r="4089" spans="1:6" x14ac:dyDescent="0.2">
      <c r="A4089">
        <f>[1]!hospitalinfo[[#This Row],[Facility ID]]</f>
        <v>390334</v>
      </c>
      <c r="B4089" t="str">
        <f>[1]!hospitalinfo[[#This Row],[State]]</f>
        <v>PA</v>
      </c>
      <c r="C4089" t="str">
        <f>[1]!hospitalinfo[[#This Row],[Hospital Type]]</f>
        <v>Acute Care Hospitals</v>
      </c>
      <c r="D4089" t="str">
        <f>[1]!hospitalinfo[[#This Row],[Hospital Ownership]]</f>
        <v>Voluntary non-profit - Private</v>
      </c>
      <c r="E4089" cm="1">
        <f t="array" ref="E4089">_xlfn.IFNA(_xlfn.XLOOKUP(1,([1]!hcahps[Facility ID] = clean[[#This Row],[Facility ID]]) * ([1]!hcahps[HCAHPS Measure ID] = "H_HSP_RATING_LINEAR_SCORE"), [1]!hcahps[HCAHPS Linear Mean Value]), "No Match")</f>
        <v>94</v>
      </c>
      <c r="F4089" cm="1">
        <f t="array" ref="F4089">_xlfn.IFNA(_xlfn.XLOOKUP(1,([1]!readmissions[Facility ID] = clean[[#This Row],[Facility ID]]) * ([1]!readmissions[Measure ID] = "Hybrid_HWR"), [1]!readmissions[Score]), "No Match")</f>
        <v>15.3</v>
      </c>
    </row>
    <row r="4090" spans="1:6" x14ac:dyDescent="0.2">
      <c r="A4090">
        <f>[1]!hospitalinfo[[#This Row],[Facility ID]]</f>
        <v>390335</v>
      </c>
      <c r="B4090" t="str">
        <f>[1]!hospitalinfo[[#This Row],[State]]</f>
        <v>PA</v>
      </c>
      <c r="C4090" t="str">
        <f>[1]!hospitalinfo[[#This Row],[Hospital Type]]</f>
        <v>Acute Care Hospitals</v>
      </c>
      <c r="D4090" t="str">
        <f>[1]!hospitalinfo[[#This Row],[Hospital Ownership]]</f>
        <v>Voluntary non-profit - Private</v>
      </c>
      <c r="E4090" cm="1">
        <f t="array" ref="E4090">_xlfn.IFNA(_xlfn.XLOOKUP(1,([1]!hcahps[Facility ID] = clean[[#This Row],[Facility ID]]) * ([1]!hcahps[HCAHPS Measure ID] = "H_HSP_RATING_LINEAR_SCORE"), [1]!hcahps[HCAHPS Linear Mean Value]), "No Match")</f>
        <v>94</v>
      </c>
      <c r="F4090" cm="1">
        <f t="array" ref="F4090">_xlfn.IFNA(_xlfn.XLOOKUP(1,([1]!readmissions[Facility ID] = clean[[#This Row],[Facility ID]]) * ([1]!readmissions[Measure ID] = "Hybrid_HWR"), [1]!readmissions[Score]), "No Match")</f>
        <v>15.9</v>
      </c>
    </row>
    <row r="4091" spans="1:6" x14ac:dyDescent="0.2">
      <c r="A4091">
        <f>[1]!hospitalinfo[[#This Row],[Facility ID]]</f>
        <v>390336</v>
      </c>
      <c r="B4091" t="str">
        <f>[1]!hospitalinfo[[#This Row],[State]]</f>
        <v>PA</v>
      </c>
      <c r="C4091" t="str">
        <f>[1]!hospitalinfo[[#This Row],[Hospital Type]]</f>
        <v>Acute Care Hospitals</v>
      </c>
      <c r="D4091" t="str">
        <f>[1]!hospitalinfo[[#This Row],[Hospital Ownership]]</f>
        <v>Voluntary non-profit - Private</v>
      </c>
      <c r="E4091" cm="1">
        <f t="array" ref="E4091">_xlfn.IFNA(_xlfn.XLOOKUP(1,([1]!hcahps[Facility ID] = clean[[#This Row],[Facility ID]]) * ([1]!hcahps[HCAHPS Measure ID] = "H_HSP_RATING_LINEAR_SCORE"), [1]!hcahps[HCAHPS Linear Mean Value]), "No Match")</f>
        <v>91</v>
      </c>
      <c r="F4091" cm="1">
        <f t="array" ref="F4091">_xlfn.IFNA(_xlfn.XLOOKUP(1,([1]!readmissions[Facility ID] = clean[[#This Row],[Facility ID]]) * ([1]!readmissions[Measure ID] = "Hybrid_HWR"), [1]!readmissions[Score]), "No Match")</f>
        <v>15.8</v>
      </c>
    </row>
    <row r="4092" spans="1:6" x14ac:dyDescent="0.2">
      <c r="A4092">
        <f>[1]!hospitalinfo[[#This Row],[Facility ID]]</f>
        <v>390337</v>
      </c>
      <c r="B4092" t="str">
        <f>[1]!hospitalinfo[[#This Row],[State]]</f>
        <v>PA</v>
      </c>
      <c r="C4092" t="str">
        <f>[1]!hospitalinfo[[#This Row],[Hospital Type]]</f>
        <v>Acute Care Hospitals</v>
      </c>
      <c r="D4092" t="str">
        <f>[1]!hospitalinfo[[#This Row],[Hospital Ownership]]</f>
        <v>Voluntary non-profit - Private</v>
      </c>
      <c r="E4092" cm="1">
        <f t="array" ref="E4092">_xlfn.IFNA(_xlfn.XLOOKUP(1,([1]!hcahps[Facility ID] = clean[[#This Row],[Facility ID]]) * ([1]!hcahps[HCAHPS Measure ID] = "H_HSP_RATING_LINEAR_SCORE"), [1]!hcahps[HCAHPS Linear Mean Value]), "No Match")</f>
        <v>94</v>
      </c>
      <c r="F4092" cm="1">
        <f t="array" ref="F4092">_xlfn.IFNA(_xlfn.XLOOKUP(1,([1]!readmissions[Facility ID] = clean[[#This Row],[Facility ID]]) * ([1]!readmissions[Measure ID] = "Hybrid_HWR"), [1]!readmissions[Score]), "No Match")</f>
        <v>14.6</v>
      </c>
    </row>
    <row r="4093" spans="1:6" x14ac:dyDescent="0.2">
      <c r="A4093">
        <f>[1]!hospitalinfo[[#This Row],[Facility ID]]</f>
        <v>390338</v>
      </c>
      <c r="B4093" t="str">
        <f>[1]!hospitalinfo[[#This Row],[State]]</f>
        <v>PA</v>
      </c>
      <c r="C4093" t="str">
        <f>[1]!hospitalinfo[[#This Row],[Hospital Type]]</f>
        <v>Acute Care Hospitals</v>
      </c>
      <c r="D4093" t="str">
        <f>[1]!hospitalinfo[[#This Row],[Hospital Ownership]]</f>
        <v>Voluntary non-profit - Private</v>
      </c>
      <c r="E4093" cm="1">
        <f t="array" ref="E4093">_xlfn.IFNA(_xlfn.XLOOKUP(1,([1]!hcahps[Facility ID] = clean[[#This Row],[Facility ID]]) * ([1]!hcahps[HCAHPS Measure ID] = "H_HSP_RATING_LINEAR_SCORE"), [1]!hcahps[HCAHPS Linear Mean Value]), "No Match")</f>
        <v>92</v>
      </c>
      <c r="F4093" cm="1">
        <f t="array" ref="F4093">_xlfn.IFNA(_xlfn.XLOOKUP(1,([1]!readmissions[Facility ID] = clean[[#This Row],[Facility ID]]) * ([1]!readmissions[Measure ID] = "Hybrid_HWR"), [1]!readmissions[Score]), "No Match")</f>
        <v>16</v>
      </c>
    </row>
    <row r="4094" spans="1:6" x14ac:dyDescent="0.2">
      <c r="A4094">
        <f>[1]!hospitalinfo[[#This Row],[Facility ID]]</f>
        <v>390339</v>
      </c>
      <c r="B4094" t="str">
        <f>[1]!hospitalinfo[[#This Row],[State]]</f>
        <v>PA</v>
      </c>
      <c r="C4094" t="str">
        <f>[1]!hospitalinfo[[#This Row],[Hospital Type]]</f>
        <v>Acute Care Hospitals</v>
      </c>
      <c r="D4094" t="str">
        <f>[1]!hospitalinfo[[#This Row],[Hospital Ownership]]</f>
        <v>Voluntary non-profit - Private</v>
      </c>
      <c r="E4094" cm="1">
        <f t="array" ref="E4094">_xlfn.IFNA(_xlfn.XLOOKUP(1,([1]!hcahps[Facility ID] = clean[[#This Row],[Facility ID]]) * ([1]!hcahps[HCAHPS Measure ID] = "H_HSP_RATING_LINEAR_SCORE"), [1]!hcahps[HCAHPS Linear Mean Value]), "No Match")</f>
        <v>90</v>
      </c>
      <c r="F4094" cm="1">
        <f t="array" ref="F4094">_xlfn.IFNA(_xlfn.XLOOKUP(1,([1]!readmissions[Facility ID] = clean[[#This Row],[Facility ID]]) * ([1]!readmissions[Measure ID] = "Hybrid_HWR"), [1]!readmissions[Score]), "No Match")</f>
        <v>15.1</v>
      </c>
    </row>
    <row r="4095" spans="1:6" x14ac:dyDescent="0.2">
      <c r="A4095">
        <f>[1]!hospitalinfo[[#This Row],[Facility ID]]</f>
        <v>390430</v>
      </c>
      <c r="B4095" t="str">
        <f>[1]!hospitalinfo[[#This Row],[State]]</f>
        <v>PA</v>
      </c>
      <c r="C4095" t="str">
        <f>[1]!hospitalinfo[[#This Row],[Hospital Type]]</f>
        <v>Acute Care Hospitals</v>
      </c>
      <c r="D4095" t="str">
        <f>[1]!hospitalinfo[[#This Row],[Hospital Ownership]]</f>
        <v>Proprietary</v>
      </c>
      <c r="E4095" cm="1">
        <f t="array" ref="E4095">_xlfn.IFNA(_xlfn.XLOOKUP(1,([1]!hcahps[Facility ID] = clean[[#This Row],[Facility ID]]) * ([1]!hcahps[HCAHPS Measure ID] = "H_HSP_RATING_LINEAR_SCORE"), [1]!hcahps[HCAHPS Linear Mean Value]), "No Match")</f>
        <v>93</v>
      </c>
      <c r="F4095" t="str" cm="1">
        <f t="array" ref="F4095">_xlfn.IFNA(_xlfn.XLOOKUP(1,([1]!readmissions[Facility ID] = clean[[#This Row],[Facility ID]]) * ([1]!readmissions[Measure ID] = "Hybrid_HWR"), [1]!readmissions[Score]), "No Match")</f>
        <v>Not Available</v>
      </c>
    </row>
    <row r="4096" spans="1:6" x14ac:dyDescent="0.2">
      <c r="A4096">
        <f>[1]!hospitalinfo[[#This Row],[Facility ID]]</f>
        <v>391300</v>
      </c>
      <c r="B4096" t="str">
        <f>[1]!hospitalinfo[[#This Row],[State]]</f>
        <v>PA</v>
      </c>
      <c r="C4096" t="str">
        <f>[1]!hospitalinfo[[#This Row],[Hospital Type]]</f>
        <v>Critical Access Hospitals</v>
      </c>
      <c r="D4096" t="str">
        <f>[1]!hospitalinfo[[#This Row],[Hospital Ownership]]</f>
        <v>Voluntary non-profit - Private</v>
      </c>
      <c r="E4096" cm="1">
        <f t="array" ref="E4096">_xlfn.IFNA(_xlfn.XLOOKUP(1,([1]!hcahps[Facility ID] = clean[[#This Row],[Facility ID]]) * ([1]!hcahps[HCAHPS Measure ID] = "H_HSP_RATING_LINEAR_SCORE"), [1]!hcahps[HCAHPS Linear Mean Value]), "No Match")</f>
        <v>93</v>
      </c>
      <c r="F4096" cm="1">
        <f t="array" ref="F4096">_xlfn.IFNA(_xlfn.XLOOKUP(1,([1]!readmissions[Facility ID] = clean[[#This Row],[Facility ID]]) * ([1]!readmissions[Measure ID] = "Hybrid_HWR"), [1]!readmissions[Score]), "No Match")</f>
        <v>14.8</v>
      </c>
    </row>
    <row r="4097" spans="1:6" x14ac:dyDescent="0.2">
      <c r="A4097">
        <f>[1]!hospitalinfo[[#This Row],[Facility ID]]</f>
        <v>391301</v>
      </c>
      <c r="B4097" t="str">
        <f>[1]!hospitalinfo[[#This Row],[State]]</f>
        <v>PA</v>
      </c>
      <c r="C4097" t="str">
        <f>[1]!hospitalinfo[[#This Row],[Hospital Type]]</f>
        <v>Critical Access Hospitals</v>
      </c>
      <c r="D4097" t="str">
        <f>[1]!hospitalinfo[[#This Row],[Hospital Ownership]]</f>
        <v>Voluntary non-profit - Private</v>
      </c>
      <c r="E4097" cm="1">
        <f t="array" ref="E4097">_xlfn.IFNA(_xlfn.XLOOKUP(1,([1]!hcahps[Facility ID] = clean[[#This Row],[Facility ID]]) * ([1]!hcahps[HCAHPS Measure ID] = "H_HSP_RATING_LINEAR_SCORE"), [1]!hcahps[HCAHPS Linear Mean Value]), "No Match")</f>
        <v>94</v>
      </c>
      <c r="F4097" cm="1">
        <f t="array" ref="F4097">_xlfn.IFNA(_xlfn.XLOOKUP(1,([1]!readmissions[Facility ID] = clean[[#This Row],[Facility ID]]) * ([1]!readmissions[Measure ID] = "Hybrid_HWR"), [1]!readmissions[Score]), "No Match")</f>
        <v>14.8</v>
      </c>
    </row>
    <row r="4098" spans="1:6" x14ac:dyDescent="0.2">
      <c r="A4098">
        <f>[1]!hospitalinfo[[#This Row],[Facility ID]]</f>
        <v>391302</v>
      </c>
      <c r="B4098" t="str">
        <f>[1]!hospitalinfo[[#This Row],[State]]</f>
        <v>PA</v>
      </c>
      <c r="C4098" t="str">
        <f>[1]!hospitalinfo[[#This Row],[Hospital Type]]</f>
        <v>Critical Access Hospitals</v>
      </c>
      <c r="D4098" t="str">
        <f>[1]!hospitalinfo[[#This Row],[Hospital Ownership]]</f>
        <v>Proprietary</v>
      </c>
      <c r="E4098" t="str" cm="1">
        <f t="array" ref="E4098">_xlfn.IFNA(_xlfn.XLOOKUP(1,([1]!hcahps[Facility ID] = clean[[#This Row],[Facility ID]]) * ([1]!hcahps[HCAHPS Measure ID] = "H_HSP_RATING_LINEAR_SCORE"), [1]!hcahps[HCAHPS Linear Mean Value]), "No Match")</f>
        <v>Not Available</v>
      </c>
      <c r="F4098" t="str" cm="1">
        <f t="array" ref="F4098">_xlfn.IFNA(_xlfn.XLOOKUP(1,([1]!readmissions[Facility ID] = clean[[#This Row],[Facility ID]]) * ([1]!readmissions[Measure ID] = "Hybrid_HWR"), [1]!readmissions[Score]), "No Match")</f>
        <v>Not Available</v>
      </c>
    </row>
    <row r="4099" spans="1:6" x14ac:dyDescent="0.2">
      <c r="A4099">
        <f>[1]!hospitalinfo[[#This Row],[Facility ID]]</f>
        <v>391303</v>
      </c>
      <c r="B4099" t="str">
        <f>[1]!hospitalinfo[[#This Row],[State]]</f>
        <v>PA</v>
      </c>
      <c r="C4099" t="str">
        <f>[1]!hospitalinfo[[#This Row],[Hospital Type]]</f>
        <v>Critical Access Hospitals</v>
      </c>
      <c r="D4099" t="str">
        <f>[1]!hospitalinfo[[#This Row],[Hospital Ownership]]</f>
        <v>Voluntary non-profit - Private</v>
      </c>
      <c r="E4099" t="str" cm="1">
        <f t="array" ref="E4099">_xlfn.IFNA(_xlfn.XLOOKUP(1,([1]!hcahps[Facility ID] = clean[[#This Row],[Facility ID]]) * ([1]!hcahps[HCAHPS Measure ID] = "H_HSP_RATING_LINEAR_SCORE"), [1]!hcahps[HCAHPS Linear Mean Value]), "No Match")</f>
        <v>Not Available</v>
      </c>
      <c r="F4099" cm="1">
        <f t="array" ref="F4099">_xlfn.IFNA(_xlfn.XLOOKUP(1,([1]!readmissions[Facility ID] = clean[[#This Row],[Facility ID]]) * ([1]!readmissions[Measure ID] = "Hybrid_HWR"), [1]!readmissions[Score]), "No Match")</f>
        <v>14.6</v>
      </c>
    </row>
    <row r="4100" spans="1:6" x14ac:dyDescent="0.2">
      <c r="A4100">
        <f>[1]!hospitalinfo[[#This Row],[Facility ID]]</f>
        <v>391304</v>
      </c>
      <c r="B4100" t="str">
        <f>[1]!hospitalinfo[[#This Row],[State]]</f>
        <v>PA</v>
      </c>
      <c r="C4100" t="str">
        <f>[1]!hospitalinfo[[#This Row],[Hospital Type]]</f>
        <v>Critical Access Hospitals</v>
      </c>
      <c r="D4100" t="str">
        <f>[1]!hospitalinfo[[#This Row],[Hospital Ownership]]</f>
        <v>Voluntary non-profit - Private</v>
      </c>
      <c r="E4100" t="str" cm="1">
        <f t="array" ref="E4100">_xlfn.IFNA(_xlfn.XLOOKUP(1,([1]!hcahps[Facility ID] = clean[[#This Row],[Facility ID]]) * ([1]!hcahps[HCAHPS Measure ID] = "H_HSP_RATING_LINEAR_SCORE"), [1]!hcahps[HCAHPS Linear Mean Value]), "No Match")</f>
        <v>Not Available</v>
      </c>
      <c r="F4100" t="str" cm="1">
        <f t="array" ref="F4100">_xlfn.IFNA(_xlfn.XLOOKUP(1,([1]!readmissions[Facility ID] = clean[[#This Row],[Facility ID]]) * ([1]!readmissions[Measure ID] = "Hybrid_HWR"), [1]!readmissions[Score]), "No Match")</f>
        <v>Not Available</v>
      </c>
    </row>
    <row r="4101" spans="1:6" x14ac:dyDescent="0.2">
      <c r="A4101">
        <f>[1]!hospitalinfo[[#This Row],[Facility ID]]</f>
        <v>391305</v>
      </c>
      <c r="B4101" t="str">
        <f>[1]!hospitalinfo[[#This Row],[State]]</f>
        <v>PA</v>
      </c>
      <c r="C4101" t="str">
        <f>[1]!hospitalinfo[[#This Row],[Hospital Type]]</f>
        <v>Critical Access Hospitals</v>
      </c>
      <c r="D4101" t="str">
        <f>[1]!hospitalinfo[[#This Row],[Hospital Ownership]]</f>
        <v>Voluntary non-profit - Private</v>
      </c>
      <c r="E4101" t="str" cm="1">
        <f t="array" ref="E4101">_xlfn.IFNA(_xlfn.XLOOKUP(1,([1]!hcahps[Facility ID] = clean[[#This Row],[Facility ID]]) * ([1]!hcahps[HCAHPS Measure ID] = "H_HSP_RATING_LINEAR_SCORE"), [1]!hcahps[HCAHPS Linear Mean Value]), "No Match")</f>
        <v>Not Available</v>
      </c>
      <c r="F4101" cm="1">
        <f t="array" ref="F4101">_xlfn.IFNA(_xlfn.XLOOKUP(1,([1]!readmissions[Facility ID] = clean[[#This Row],[Facility ID]]) * ([1]!readmissions[Measure ID] = "Hybrid_HWR"), [1]!readmissions[Score]), "No Match")</f>
        <v>15.6</v>
      </c>
    </row>
    <row r="4102" spans="1:6" x14ac:dyDescent="0.2">
      <c r="A4102">
        <f>[1]!hospitalinfo[[#This Row],[Facility ID]]</f>
        <v>391306</v>
      </c>
      <c r="B4102" t="str">
        <f>[1]!hospitalinfo[[#This Row],[State]]</f>
        <v>PA</v>
      </c>
      <c r="C4102" t="str">
        <f>[1]!hospitalinfo[[#This Row],[Hospital Type]]</f>
        <v>Critical Access Hospitals</v>
      </c>
      <c r="D4102" t="str">
        <f>[1]!hospitalinfo[[#This Row],[Hospital Ownership]]</f>
        <v>Voluntary non-profit - Private</v>
      </c>
      <c r="E4102" t="str" cm="1">
        <f t="array" ref="E4102">_xlfn.IFNA(_xlfn.XLOOKUP(1,([1]!hcahps[Facility ID] = clean[[#This Row],[Facility ID]]) * ([1]!hcahps[HCAHPS Measure ID] = "H_HSP_RATING_LINEAR_SCORE"), [1]!hcahps[HCAHPS Linear Mean Value]), "No Match")</f>
        <v>Not Available</v>
      </c>
      <c r="F4102" cm="1">
        <f t="array" ref="F4102">_xlfn.IFNA(_xlfn.XLOOKUP(1,([1]!readmissions[Facility ID] = clean[[#This Row],[Facility ID]]) * ([1]!readmissions[Measure ID] = "Hybrid_HWR"), [1]!readmissions[Score]), "No Match")</f>
        <v>16.600000000000001</v>
      </c>
    </row>
    <row r="4103" spans="1:6" x14ac:dyDescent="0.2">
      <c r="A4103">
        <f>[1]!hospitalinfo[[#This Row],[Facility ID]]</f>
        <v>391307</v>
      </c>
      <c r="B4103" t="str">
        <f>[1]!hospitalinfo[[#This Row],[State]]</f>
        <v>PA</v>
      </c>
      <c r="C4103" t="str">
        <f>[1]!hospitalinfo[[#This Row],[Hospital Type]]</f>
        <v>Critical Access Hospitals</v>
      </c>
      <c r="D4103" t="str">
        <f>[1]!hospitalinfo[[#This Row],[Hospital Ownership]]</f>
        <v>Voluntary non-profit - Private</v>
      </c>
      <c r="E4103" cm="1">
        <f t="array" ref="E4103">_xlfn.IFNA(_xlfn.XLOOKUP(1,([1]!hcahps[Facility ID] = clean[[#This Row],[Facility ID]]) * ([1]!hcahps[HCAHPS Measure ID] = "H_HSP_RATING_LINEAR_SCORE"), [1]!hcahps[HCAHPS Linear Mean Value]), "No Match")</f>
        <v>91</v>
      </c>
      <c r="F4103" cm="1">
        <f t="array" ref="F4103">_xlfn.IFNA(_xlfn.XLOOKUP(1,([1]!readmissions[Facility ID] = clean[[#This Row],[Facility ID]]) * ([1]!readmissions[Measure ID] = "Hybrid_HWR"), [1]!readmissions[Score]), "No Match")</f>
        <v>15.1</v>
      </c>
    </row>
    <row r="4104" spans="1:6" x14ac:dyDescent="0.2">
      <c r="A4104">
        <f>[1]!hospitalinfo[[#This Row],[Facility ID]]</f>
        <v>391308</v>
      </c>
      <c r="B4104" t="str">
        <f>[1]!hospitalinfo[[#This Row],[State]]</f>
        <v>PA</v>
      </c>
      <c r="C4104" t="str">
        <f>[1]!hospitalinfo[[#This Row],[Hospital Type]]</f>
        <v>Critical Access Hospitals</v>
      </c>
      <c r="D4104" t="str">
        <f>[1]!hospitalinfo[[#This Row],[Hospital Ownership]]</f>
        <v>Government - Hospital District or Authority</v>
      </c>
      <c r="E4104" t="str" cm="1">
        <f t="array" ref="E4104">_xlfn.IFNA(_xlfn.XLOOKUP(1,([1]!hcahps[Facility ID] = clean[[#This Row],[Facility ID]]) * ([1]!hcahps[HCAHPS Measure ID] = "H_HSP_RATING_LINEAR_SCORE"), [1]!hcahps[HCAHPS Linear Mean Value]), "No Match")</f>
        <v>Not Available</v>
      </c>
      <c r="F4104" cm="1">
        <f t="array" ref="F4104">_xlfn.IFNA(_xlfn.XLOOKUP(1,([1]!readmissions[Facility ID] = clean[[#This Row],[Facility ID]]) * ([1]!readmissions[Measure ID] = "Hybrid_HWR"), [1]!readmissions[Score]), "No Match")</f>
        <v>15.1</v>
      </c>
    </row>
    <row r="4105" spans="1:6" x14ac:dyDescent="0.2">
      <c r="A4105">
        <f>[1]!hospitalinfo[[#This Row],[Facility ID]]</f>
        <v>391309</v>
      </c>
      <c r="B4105" t="str">
        <f>[1]!hospitalinfo[[#This Row],[State]]</f>
        <v>PA</v>
      </c>
      <c r="C4105" t="str">
        <f>[1]!hospitalinfo[[#This Row],[Hospital Type]]</f>
        <v>Critical Access Hospitals</v>
      </c>
      <c r="D4105" t="str">
        <f>[1]!hospitalinfo[[#This Row],[Hospital Ownership]]</f>
        <v>Voluntary non-profit - Private</v>
      </c>
      <c r="E4105" t="str" cm="1">
        <f t="array" ref="E4105">_xlfn.IFNA(_xlfn.XLOOKUP(1,([1]!hcahps[Facility ID] = clean[[#This Row],[Facility ID]]) * ([1]!hcahps[HCAHPS Measure ID] = "H_HSP_RATING_LINEAR_SCORE"), [1]!hcahps[HCAHPS Linear Mean Value]), "No Match")</f>
        <v>Not Available</v>
      </c>
      <c r="F4105" cm="1">
        <f t="array" ref="F4105">_xlfn.IFNA(_xlfn.XLOOKUP(1,([1]!readmissions[Facility ID] = clean[[#This Row],[Facility ID]]) * ([1]!readmissions[Measure ID] = "Hybrid_HWR"), [1]!readmissions[Score]), "No Match")</f>
        <v>15.6</v>
      </c>
    </row>
    <row r="4106" spans="1:6" x14ac:dyDescent="0.2">
      <c r="A4106">
        <f>[1]!hospitalinfo[[#This Row],[Facility ID]]</f>
        <v>391312</v>
      </c>
      <c r="B4106" t="str">
        <f>[1]!hospitalinfo[[#This Row],[State]]</f>
        <v>PA</v>
      </c>
      <c r="C4106" t="str">
        <f>[1]!hospitalinfo[[#This Row],[Hospital Type]]</f>
        <v>Critical Access Hospitals</v>
      </c>
      <c r="D4106" t="str">
        <f>[1]!hospitalinfo[[#This Row],[Hospital Ownership]]</f>
        <v>Voluntary non-profit - Private</v>
      </c>
      <c r="E4106" cm="1">
        <f t="array" ref="E4106">_xlfn.IFNA(_xlfn.XLOOKUP(1,([1]!hcahps[Facility ID] = clean[[#This Row],[Facility ID]]) * ([1]!hcahps[HCAHPS Measure ID] = "H_HSP_RATING_LINEAR_SCORE"), [1]!hcahps[HCAHPS Linear Mean Value]), "No Match")</f>
        <v>91</v>
      </c>
      <c r="F4106" cm="1">
        <f t="array" ref="F4106">_xlfn.IFNA(_xlfn.XLOOKUP(1,([1]!readmissions[Facility ID] = clean[[#This Row],[Facility ID]]) * ([1]!readmissions[Measure ID] = "Hybrid_HWR"), [1]!readmissions[Score]), "No Match")</f>
        <v>14.3</v>
      </c>
    </row>
    <row r="4107" spans="1:6" x14ac:dyDescent="0.2">
      <c r="A4107">
        <f>[1]!hospitalinfo[[#This Row],[Facility ID]]</f>
        <v>391313</v>
      </c>
      <c r="B4107" t="str">
        <f>[1]!hospitalinfo[[#This Row],[State]]</f>
        <v>PA</v>
      </c>
      <c r="C4107" t="str">
        <f>[1]!hospitalinfo[[#This Row],[Hospital Type]]</f>
        <v>Critical Access Hospitals</v>
      </c>
      <c r="D4107" t="str">
        <f>[1]!hospitalinfo[[#This Row],[Hospital Ownership]]</f>
        <v>Voluntary non-profit - Private</v>
      </c>
      <c r="E4107" cm="1">
        <f t="array" ref="E4107">_xlfn.IFNA(_xlfn.XLOOKUP(1,([1]!hcahps[Facility ID] = clean[[#This Row],[Facility ID]]) * ([1]!hcahps[HCAHPS Measure ID] = "H_HSP_RATING_LINEAR_SCORE"), [1]!hcahps[HCAHPS Linear Mean Value]), "No Match")</f>
        <v>90</v>
      </c>
      <c r="F4107" cm="1">
        <f t="array" ref="F4107">_xlfn.IFNA(_xlfn.XLOOKUP(1,([1]!readmissions[Facility ID] = clean[[#This Row],[Facility ID]]) * ([1]!readmissions[Measure ID] = "Hybrid_HWR"), [1]!readmissions[Score]), "No Match")</f>
        <v>14.9</v>
      </c>
    </row>
    <row r="4108" spans="1:6" x14ac:dyDescent="0.2">
      <c r="A4108">
        <f>[1]!hospitalinfo[[#This Row],[Facility ID]]</f>
        <v>391314</v>
      </c>
      <c r="B4108" t="str">
        <f>[1]!hospitalinfo[[#This Row],[State]]</f>
        <v>PA</v>
      </c>
      <c r="C4108" t="str">
        <f>[1]!hospitalinfo[[#This Row],[Hospital Type]]</f>
        <v>Critical Access Hospitals</v>
      </c>
      <c r="D4108" t="str">
        <f>[1]!hospitalinfo[[#This Row],[Hospital Ownership]]</f>
        <v>Voluntary non-profit - Private</v>
      </c>
      <c r="E4108" cm="1">
        <f t="array" ref="E4108">_xlfn.IFNA(_xlfn.XLOOKUP(1,([1]!hcahps[Facility ID] = clean[[#This Row],[Facility ID]]) * ([1]!hcahps[HCAHPS Measure ID] = "H_HSP_RATING_LINEAR_SCORE"), [1]!hcahps[HCAHPS Linear Mean Value]), "No Match")</f>
        <v>93</v>
      </c>
      <c r="F4108" cm="1">
        <f t="array" ref="F4108">_xlfn.IFNA(_xlfn.XLOOKUP(1,([1]!readmissions[Facility ID] = clean[[#This Row],[Facility ID]]) * ([1]!readmissions[Measure ID] = "Hybrid_HWR"), [1]!readmissions[Score]), "No Match")</f>
        <v>14.9</v>
      </c>
    </row>
    <row r="4109" spans="1:6" x14ac:dyDescent="0.2">
      <c r="A4109">
        <f>[1]!hospitalinfo[[#This Row],[Facility ID]]</f>
        <v>391315</v>
      </c>
      <c r="B4109" t="str">
        <f>[1]!hospitalinfo[[#This Row],[State]]</f>
        <v>PA</v>
      </c>
      <c r="C4109" t="str">
        <f>[1]!hospitalinfo[[#This Row],[Hospital Type]]</f>
        <v>Critical Access Hospitals</v>
      </c>
      <c r="D4109" t="str">
        <f>[1]!hospitalinfo[[#This Row],[Hospital Ownership]]</f>
        <v>Voluntary non-profit - Private</v>
      </c>
      <c r="E4109" cm="1">
        <f t="array" ref="E4109">_xlfn.IFNA(_xlfn.XLOOKUP(1,([1]!hcahps[Facility ID] = clean[[#This Row],[Facility ID]]) * ([1]!hcahps[HCAHPS Measure ID] = "H_HSP_RATING_LINEAR_SCORE"), [1]!hcahps[HCAHPS Linear Mean Value]), "No Match")</f>
        <v>87</v>
      </c>
      <c r="F4109" cm="1">
        <f t="array" ref="F4109">_xlfn.IFNA(_xlfn.XLOOKUP(1,([1]!readmissions[Facility ID] = clean[[#This Row],[Facility ID]]) * ([1]!readmissions[Measure ID] = "Hybrid_HWR"), [1]!readmissions[Score]), "No Match")</f>
        <v>15</v>
      </c>
    </row>
    <row r="4110" spans="1:6" x14ac:dyDescent="0.2">
      <c r="A4110">
        <f>[1]!hospitalinfo[[#This Row],[Facility ID]]</f>
        <v>391316</v>
      </c>
      <c r="B4110" t="str">
        <f>[1]!hospitalinfo[[#This Row],[State]]</f>
        <v>PA</v>
      </c>
      <c r="C4110" t="str">
        <f>[1]!hospitalinfo[[#This Row],[Hospital Type]]</f>
        <v>Critical Access Hospitals</v>
      </c>
      <c r="D4110" t="str">
        <f>[1]!hospitalinfo[[#This Row],[Hospital Ownership]]</f>
        <v>Voluntary non-profit - Private</v>
      </c>
      <c r="E4110" cm="1">
        <f t="array" ref="E4110">_xlfn.IFNA(_xlfn.XLOOKUP(1,([1]!hcahps[Facility ID] = clean[[#This Row],[Facility ID]]) * ([1]!hcahps[HCAHPS Measure ID] = "H_HSP_RATING_LINEAR_SCORE"), [1]!hcahps[HCAHPS Linear Mean Value]), "No Match")</f>
        <v>92</v>
      </c>
      <c r="F4110" cm="1">
        <f t="array" ref="F4110">_xlfn.IFNA(_xlfn.XLOOKUP(1,([1]!readmissions[Facility ID] = clean[[#This Row],[Facility ID]]) * ([1]!readmissions[Measure ID] = "Hybrid_HWR"), [1]!readmissions[Score]), "No Match")</f>
        <v>15.1</v>
      </c>
    </row>
    <row r="4111" spans="1:6" x14ac:dyDescent="0.2">
      <c r="A4111">
        <f>[1]!hospitalinfo[[#This Row],[Facility ID]]</f>
        <v>391317</v>
      </c>
      <c r="B4111" t="str">
        <f>[1]!hospitalinfo[[#This Row],[State]]</f>
        <v>PA</v>
      </c>
      <c r="C4111" t="str">
        <f>[1]!hospitalinfo[[#This Row],[Hospital Type]]</f>
        <v>Critical Access Hospitals</v>
      </c>
      <c r="D4111" t="str">
        <f>[1]!hospitalinfo[[#This Row],[Hospital Ownership]]</f>
        <v>Proprietary</v>
      </c>
      <c r="E4111" cm="1">
        <f t="array" ref="E4111">_xlfn.IFNA(_xlfn.XLOOKUP(1,([1]!hcahps[Facility ID] = clean[[#This Row],[Facility ID]]) * ([1]!hcahps[HCAHPS Measure ID] = "H_HSP_RATING_LINEAR_SCORE"), [1]!hcahps[HCAHPS Linear Mean Value]), "No Match")</f>
        <v>92</v>
      </c>
      <c r="F4111" cm="1">
        <f t="array" ref="F4111">_xlfn.IFNA(_xlfn.XLOOKUP(1,([1]!readmissions[Facility ID] = clean[[#This Row],[Facility ID]]) * ([1]!readmissions[Measure ID] = "Hybrid_HWR"), [1]!readmissions[Score]), "No Match")</f>
        <v>15.3</v>
      </c>
    </row>
    <row r="4112" spans="1:6" x14ac:dyDescent="0.2">
      <c r="A4112">
        <f>[1]!hospitalinfo[[#This Row],[Facility ID]]</f>
        <v>391318</v>
      </c>
      <c r="B4112" t="str">
        <f>[1]!hospitalinfo[[#This Row],[State]]</f>
        <v>PA</v>
      </c>
      <c r="C4112" t="str">
        <f>[1]!hospitalinfo[[#This Row],[Hospital Type]]</f>
        <v>Critical Access Hospitals</v>
      </c>
      <c r="D4112" t="str">
        <f>[1]!hospitalinfo[[#This Row],[Hospital Ownership]]</f>
        <v>Voluntary non-profit - Private</v>
      </c>
      <c r="E4112" t="str" cm="1">
        <f t="array" ref="E4112">_xlfn.IFNA(_xlfn.XLOOKUP(1,([1]!hcahps[Facility ID] = clean[[#This Row],[Facility ID]]) * ([1]!hcahps[HCAHPS Measure ID] = "H_HSP_RATING_LINEAR_SCORE"), [1]!hcahps[HCAHPS Linear Mean Value]), "No Match")</f>
        <v>Not Available</v>
      </c>
      <c r="F4112" t="str" cm="1">
        <f t="array" ref="F4112">_xlfn.IFNA(_xlfn.XLOOKUP(1,([1]!readmissions[Facility ID] = clean[[#This Row],[Facility ID]]) * ([1]!readmissions[Measure ID] = "Hybrid_HWR"), [1]!readmissions[Score]), "No Match")</f>
        <v>Not Available</v>
      </c>
    </row>
    <row r="4113" spans="1:6" x14ac:dyDescent="0.2">
      <c r="A4113">
        <f>[1]!hospitalinfo[[#This Row],[Facility ID]]</f>
        <v>393302</v>
      </c>
      <c r="B4113" t="str">
        <f>[1]!hospitalinfo[[#This Row],[State]]</f>
        <v>PA</v>
      </c>
      <c r="C4113" t="str">
        <f>[1]!hospitalinfo[[#This Row],[Hospital Type]]</f>
        <v>Childrens</v>
      </c>
      <c r="D4113" t="str">
        <f>[1]!hospitalinfo[[#This Row],[Hospital Ownership]]</f>
        <v>Voluntary non-profit - Other</v>
      </c>
      <c r="E4113" t="str" cm="1">
        <f t="array" ref="E4113">_xlfn.IFNA(_xlfn.XLOOKUP(1,([1]!hcahps[Facility ID] = clean[[#This Row],[Facility ID]]) * ([1]!hcahps[HCAHPS Measure ID] = "H_HSP_RATING_LINEAR_SCORE"), [1]!hcahps[HCAHPS Linear Mean Value]), "No Match")</f>
        <v>Not Available</v>
      </c>
      <c r="F4113" t="str" cm="1">
        <f t="array" ref="F4113">_xlfn.IFNA(_xlfn.XLOOKUP(1,([1]!readmissions[Facility ID] = clean[[#This Row],[Facility ID]]) * ([1]!readmissions[Measure ID] = "Hybrid_HWR"), [1]!readmissions[Score]), "No Match")</f>
        <v>Not Available</v>
      </c>
    </row>
    <row r="4114" spans="1:6" x14ac:dyDescent="0.2">
      <c r="A4114">
        <f>[1]!hospitalinfo[[#This Row],[Facility ID]]</f>
        <v>393303</v>
      </c>
      <c r="B4114" t="str">
        <f>[1]!hospitalinfo[[#This Row],[State]]</f>
        <v>PA</v>
      </c>
      <c r="C4114" t="str">
        <f>[1]!hospitalinfo[[#This Row],[Hospital Type]]</f>
        <v>Childrens</v>
      </c>
      <c r="D4114" t="str">
        <f>[1]!hospitalinfo[[#This Row],[Hospital Ownership]]</f>
        <v>Voluntary non-profit - Private</v>
      </c>
      <c r="E4114" t="str" cm="1">
        <f t="array" ref="E4114">_xlfn.IFNA(_xlfn.XLOOKUP(1,([1]!hcahps[Facility ID] = clean[[#This Row],[Facility ID]]) * ([1]!hcahps[HCAHPS Measure ID] = "H_HSP_RATING_LINEAR_SCORE"), [1]!hcahps[HCAHPS Linear Mean Value]), "No Match")</f>
        <v>Not Available</v>
      </c>
      <c r="F4114" t="str" cm="1">
        <f t="array" ref="F4114">_xlfn.IFNA(_xlfn.XLOOKUP(1,([1]!readmissions[Facility ID] = clean[[#This Row],[Facility ID]]) * ([1]!readmissions[Measure ID] = "Hybrid_HWR"), [1]!readmissions[Score]), "No Match")</f>
        <v>Not Available</v>
      </c>
    </row>
    <row r="4115" spans="1:6" x14ac:dyDescent="0.2">
      <c r="A4115">
        <f>[1]!hospitalinfo[[#This Row],[Facility ID]]</f>
        <v>393304</v>
      </c>
      <c r="B4115" t="str">
        <f>[1]!hospitalinfo[[#This Row],[State]]</f>
        <v>PA</v>
      </c>
      <c r="C4115" t="str">
        <f>[1]!hospitalinfo[[#This Row],[Hospital Type]]</f>
        <v>Childrens</v>
      </c>
      <c r="D4115" t="str">
        <f>[1]!hospitalinfo[[#This Row],[Hospital Ownership]]</f>
        <v>Voluntary non-profit - Private</v>
      </c>
      <c r="E4115" t="str" cm="1">
        <f t="array" ref="E4115">_xlfn.IFNA(_xlfn.XLOOKUP(1,([1]!hcahps[Facility ID] = clean[[#This Row],[Facility ID]]) * ([1]!hcahps[HCAHPS Measure ID] = "H_HSP_RATING_LINEAR_SCORE"), [1]!hcahps[HCAHPS Linear Mean Value]), "No Match")</f>
        <v>Not Available</v>
      </c>
      <c r="F4115" t="str" cm="1">
        <f t="array" ref="F4115">_xlfn.IFNA(_xlfn.XLOOKUP(1,([1]!readmissions[Facility ID] = clean[[#This Row],[Facility ID]]) * ([1]!readmissions[Measure ID] = "Hybrid_HWR"), [1]!readmissions[Score]), "No Match")</f>
        <v>Not Available</v>
      </c>
    </row>
    <row r="4116" spans="1:6" x14ac:dyDescent="0.2">
      <c r="A4116">
        <f>[1]!hospitalinfo[[#This Row],[Facility ID]]</f>
        <v>393307</v>
      </c>
      <c r="B4116" t="str">
        <f>[1]!hospitalinfo[[#This Row],[State]]</f>
        <v>PA</v>
      </c>
      <c r="C4116" t="str">
        <f>[1]!hospitalinfo[[#This Row],[Hospital Type]]</f>
        <v>Childrens</v>
      </c>
      <c r="D4116" t="str">
        <f>[1]!hospitalinfo[[#This Row],[Hospital Ownership]]</f>
        <v>Proprietary</v>
      </c>
      <c r="E4116" t="str" cm="1">
        <f t="array" ref="E4116">_xlfn.IFNA(_xlfn.XLOOKUP(1,([1]!hcahps[Facility ID] = clean[[#This Row],[Facility ID]]) * ([1]!hcahps[HCAHPS Measure ID] = "H_HSP_RATING_LINEAR_SCORE"), [1]!hcahps[HCAHPS Linear Mean Value]), "No Match")</f>
        <v>Not Available</v>
      </c>
      <c r="F4116" t="str" cm="1">
        <f t="array" ref="F4116">_xlfn.IFNA(_xlfn.XLOOKUP(1,([1]!readmissions[Facility ID] = clean[[#This Row],[Facility ID]]) * ([1]!readmissions[Measure ID] = "Hybrid_HWR"), [1]!readmissions[Score]), "No Match")</f>
        <v>Not Available</v>
      </c>
    </row>
    <row r="4117" spans="1:6" x14ac:dyDescent="0.2">
      <c r="A4117">
        <f>[1]!hospitalinfo[[#This Row],[Facility ID]]</f>
        <v>393309</v>
      </c>
      <c r="B4117" t="str">
        <f>[1]!hospitalinfo[[#This Row],[State]]</f>
        <v>PA</v>
      </c>
      <c r="C4117" t="str">
        <f>[1]!hospitalinfo[[#This Row],[Hospital Type]]</f>
        <v>Childrens</v>
      </c>
      <c r="D4117" t="str">
        <f>[1]!hospitalinfo[[#This Row],[Hospital Ownership]]</f>
        <v>Voluntary non-profit - Other</v>
      </c>
      <c r="E4117" t="str" cm="1">
        <f t="array" ref="E4117">_xlfn.IFNA(_xlfn.XLOOKUP(1,([1]!hcahps[Facility ID] = clean[[#This Row],[Facility ID]]) * ([1]!hcahps[HCAHPS Measure ID] = "H_HSP_RATING_LINEAR_SCORE"), [1]!hcahps[HCAHPS Linear Mean Value]), "No Match")</f>
        <v>Not Available</v>
      </c>
      <c r="F4117" t="str" cm="1">
        <f t="array" ref="F4117">_xlfn.IFNA(_xlfn.XLOOKUP(1,([1]!readmissions[Facility ID] = clean[[#This Row],[Facility ID]]) * ([1]!readmissions[Measure ID] = "Hybrid_HWR"), [1]!readmissions[Score]), "No Match")</f>
        <v>Not Available</v>
      </c>
    </row>
    <row r="4118" spans="1:6" x14ac:dyDescent="0.2">
      <c r="A4118">
        <f>[1]!hospitalinfo[[#This Row],[Facility ID]]</f>
        <v>394001</v>
      </c>
      <c r="B4118" t="str">
        <f>[1]!hospitalinfo[[#This Row],[State]]</f>
        <v>PA</v>
      </c>
      <c r="C4118" t="str">
        <f>[1]!hospitalinfo[[#This Row],[Hospital Type]]</f>
        <v>Psychiatric</v>
      </c>
      <c r="D4118" t="str">
        <f>[1]!hospitalinfo[[#This Row],[Hospital Ownership]]</f>
        <v>Government - State</v>
      </c>
      <c r="E4118" t="str" cm="1">
        <f t="array" ref="E4118">_xlfn.IFNA(_xlfn.XLOOKUP(1,([1]!hcahps[Facility ID] = clean[[#This Row],[Facility ID]]) * ([1]!hcahps[HCAHPS Measure ID] = "H_HSP_RATING_LINEAR_SCORE"), [1]!hcahps[HCAHPS Linear Mean Value]), "No Match")</f>
        <v>No Match</v>
      </c>
      <c r="F4118" t="str" cm="1">
        <f t="array" ref="F4118">_xlfn.IFNA(_xlfn.XLOOKUP(1,([1]!readmissions[Facility ID] = clean[[#This Row],[Facility ID]]) * ([1]!readmissions[Measure ID] = "Hybrid_HWR"), [1]!readmissions[Score]), "No Match")</f>
        <v>No Match</v>
      </c>
    </row>
    <row r="4119" spans="1:6" x14ac:dyDescent="0.2">
      <c r="A4119">
        <f>[1]!hospitalinfo[[#This Row],[Facility ID]]</f>
        <v>394004</v>
      </c>
      <c r="B4119" t="str">
        <f>[1]!hospitalinfo[[#This Row],[State]]</f>
        <v>PA</v>
      </c>
      <c r="C4119" t="str">
        <f>[1]!hospitalinfo[[#This Row],[Hospital Type]]</f>
        <v>Psychiatric</v>
      </c>
      <c r="D4119" t="str">
        <f>[1]!hospitalinfo[[#This Row],[Hospital Ownership]]</f>
        <v>Government - State</v>
      </c>
      <c r="E4119" t="str" cm="1">
        <f t="array" ref="E4119">_xlfn.IFNA(_xlfn.XLOOKUP(1,([1]!hcahps[Facility ID] = clean[[#This Row],[Facility ID]]) * ([1]!hcahps[HCAHPS Measure ID] = "H_HSP_RATING_LINEAR_SCORE"), [1]!hcahps[HCAHPS Linear Mean Value]), "No Match")</f>
        <v>No Match</v>
      </c>
      <c r="F4119" t="str" cm="1">
        <f t="array" ref="F4119">_xlfn.IFNA(_xlfn.XLOOKUP(1,([1]!readmissions[Facility ID] = clean[[#This Row],[Facility ID]]) * ([1]!readmissions[Measure ID] = "Hybrid_HWR"), [1]!readmissions[Score]), "No Match")</f>
        <v>No Match</v>
      </c>
    </row>
    <row r="4120" spans="1:6" x14ac:dyDescent="0.2">
      <c r="A4120">
        <f>[1]!hospitalinfo[[#This Row],[Facility ID]]</f>
        <v>394008</v>
      </c>
      <c r="B4120" t="str">
        <f>[1]!hospitalinfo[[#This Row],[State]]</f>
        <v>PA</v>
      </c>
      <c r="C4120" t="str">
        <f>[1]!hospitalinfo[[#This Row],[Hospital Type]]</f>
        <v>Psychiatric</v>
      </c>
      <c r="D4120" t="str">
        <f>[1]!hospitalinfo[[#This Row],[Hospital Ownership]]</f>
        <v>Proprietary</v>
      </c>
      <c r="E4120" t="str" cm="1">
        <f t="array" ref="E4120">_xlfn.IFNA(_xlfn.XLOOKUP(1,([1]!hcahps[Facility ID] = clean[[#This Row],[Facility ID]]) * ([1]!hcahps[HCAHPS Measure ID] = "H_HSP_RATING_LINEAR_SCORE"), [1]!hcahps[HCAHPS Linear Mean Value]), "No Match")</f>
        <v>No Match</v>
      </c>
      <c r="F4120" t="str" cm="1">
        <f t="array" ref="F4120">_xlfn.IFNA(_xlfn.XLOOKUP(1,([1]!readmissions[Facility ID] = clean[[#This Row],[Facility ID]]) * ([1]!readmissions[Measure ID] = "Hybrid_HWR"), [1]!readmissions[Score]), "No Match")</f>
        <v>No Match</v>
      </c>
    </row>
    <row r="4121" spans="1:6" x14ac:dyDescent="0.2">
      <c r="A4121">
        <f>[1]!hospitalinfo[[#This Row],[Facility ID]]</f>
        <v>394012</v>
      </c>
      <c r="B4121" t="str">
        <f>[1]!hospitalinfo[[#This Row],[State]]</f>
        <v>PA</v>
      </c>
      <c r="C4121" t="str">
        <f>[1]!hospitalinfo[[#This Row],[Hospital Type]]</f>
        <v>Psychiatric</v>
      </c>
      <c r="D4121" t="str">
        <f>[1]!hospitalinfo[[#This Row],[Hospital Ownership]]</f>
        <v>Government - State</v>
      </c>
      <c r="E4121" t="str" cm="1">
        <f t="array" ref="E4121">_xlfn.IFNA(_xlfn.XLOOKUP(1,([1]!hcahps[Facility ID] = clean[[#This Row],[Facility ID]]) * ([1]!hcahps[HCAHPS Measure ID] = "H_HSP_RATING_LINEAR_SCORE"), [1]!hcahps[HCAHPS Linear Mean Value]), "No Match")</f>
        <v>No Match</v>
      </c>
      <c r="F4121" t="str" cm="1">
        <f t="array" ref="F4121">_xlfn.IFNA(_xlfn.XLOOKUP(1,([1]!readmissions[Facility ID] = clean[[#This Row],[Facility ID]]) * ([1]!readmissions[Measure ID] = "Hybrid_HWR"), [1]!readmissions[Score]), "No Match")</f>
        <v>No Match</v>
      </c>
    </row>
    <row r="4122" spans="1:6" x14ac:dyDescent="0.2">
      <c r="A4122">
        <f>[1]!hospitalinfo[[#This Row],[Facility ID]]</f>
        <v>394014</v>
      </c>
      <c r="B4122" t="str">
        <f>[1]!hospitalinfo[[#This Row],[State]]</f>
        <v>PA</v>
      </c>
      <c r="C4122" t="str">
        <f>[1]!hospitalinfo[[#This Row],[Hospital Type]]</f>
        <v>Psychiatric</v>
      </c>
      <c r="D4122" t="str">
        <f>[1]!hospitalinfo[[#This Row],[Hospital Ownership]]</f>
        <v>Government - State</v>
      </c>
      <c r="E4122" t="str" cm="1">
        <f t="array" ref="E4122">_xlfn.IFNA(_xlfn.XLOOKUP(1,([1]!hcahps[Facility ID] = clean[[#This Row],[Facility ID]]) * ([1]!hcahps[HCAHPS Measure ID] = "H_HSP_RATING_LINEAR_SCORE"), [1]!hcahps[HCAHPS Linear Mean Value]), "No Match")</f>
        <v>No Match</v>
      </c>
      <c r="F4122" t="str" cm="1">
        <f t="array" ref="F4122">_xlfn.IFNA(_xlfn.XLOOKUP(1,([1]!readmissions[Facility ID] = clean[[#This Row],[Facility ID]]) * ([1]!readmissions[Measure ID] = "Hybrid_HWR"), [1]!readmissions[Score]), "No Match")</f>
        <v>No Match</v>
      </c>
    </row>
    <row r="4123" spans="1:6" x14ac:dyDescent="0.2">
      <c r="A4123">
        <f>[1]!hospitalinfo[[#This Row],[Facility ID]]</f>
        <v>394016</v>
      </c>
      <c r="B4123" t="str">
        <f>[1]!hospitalinfo[[#This Row],[State]]</f>
        <v>PA</v>
      </c>
      <c r="C4123" t="str">
        <f>[1]!hospitalinfo[[#This Row],[Hospital Type]]</f>
        <v>Psychiatric</v>
      </c>
      <c r="D4123" t="str">
        <f>[1]!hospitalinfo[[#This Row],[Hospital Ownership]]</f>
        <v>Government - State</v>
      </c>
      <c r="E4123" t="str" cm="1">
        <f t="array" ref="E4123">_xlfn.IFNA(_xlfn.XLOOKUP(1,([1]!hcahps[Facility ID] = clean[[#This Row],[Facility ID]]) * ([1]!hcahps[HCAHPS Measure ID] = "H_HSP_RATING_LINEAR_SCORE"), [1]!hcahps[HCAHPS Linear Mean Value]), "No Match")</f>
        <v>No Match</v>
      </c>
      <c r="F4123" t="str" cm="1">
        <f t="array" ref="F4123">_xlfn.IFNA(_xlfn.XLOOKUP(1,([1]!readmissions[Facility ID] = clean[[#This Row],[Facility ID]]) * ([1]!readmissions[Measure ID] = "Hybrid_HWR"), [1]!readmissions[Score]), "No Match")</f>
        <v>No Match</v>
      </c>
    </row>
    <row r="4124" spans="1:6" x14ac:dyDescent="0.2">
      <c r="A4124">
        <f>[1]!hospitalinfo[[#This Row],[Facility ID]]</f>
        <v>394020</v>
      </c>
      <c r="B4124" t="str">
        <f>[1]!hospitalinfo[[#This Row],[State]]</f>
        <v>PA</v>
      </c>
      <c r="C4124" t="str">
        <f>[1]!hospitalinfo[[#This Row],[Hospital Type]]</f>
        <v>Psychiatric</v>
      </c>
      <c r="D4124" t="str">
        <f>[1]!hospitalinfo[[#This Row],[Hospital Ownership]]</f>
        <v>Voluntary non-profit - Church</v>
      </c>
      <c r="E4124" t="str" cm="1">
        <f t="array" ref="E4124">_xlfn.IFNA(_xlfn.XLOOKUP(1,([1]!hcahps[Facility ID] = clean[[#This Row],[Facility ID]]) * ([1]!hcahps[HCAHPS Measure ID] = "H_HSP_RATING_LINEAR_SCORE"), [1]!hcahps[HCAHPS Linear Mean Value]), "No Match")</f>
        <v>No Match</v>
      </c>
      <c r="F4124" t="str" cm="1">
        <f t="array" ref="F4124">_xlfn.IFNA(_xlfn.XLOOKUP(1,([1]!readmissions[Facility ID] = clean[[#This Row],[Facility ID]]) * ([1]!readmissions[Measure ID] = "Hybrid_HWR"), [1]!readmissions[Score]), "No Match")</f>
        <v>No Match</v>
      </c>
    </row>
    <row r="4125" spans="1:6" x14ac:dyDescent="0.2">
      <c r="A4125">
        <f>[1]!hospitalinfo[[#This Row],[Facility ID]]</f>
        <v>394023</v>
      </c>
      <c r="B4125" t="str">
        <f>[1]!hospitalinfo[[#This Row],[State]]</f>
        <v>PA</v>
      </c>
      <c r="C4125" t="str">
        <f>[1]!hospitalinfo[[#This Row],[Hospital Type]]</f>
        <v>Psychiatric</v>
      </c>
      <c r="D4125" t="str">
        <f>[1]!hospitalinfo[[#This Row],[Hospital Ownership]]</f>
        <v>Voluntary non-profit - Private</v>
      </c>
      <c r="E4125" t="str" cm="1">
        <f t="array" ref="E4125">_xlfn.IFNA(_xlfn.XLOOKUP(1,([1]!hcahps[Facility ID] = clean[[#This Row],[Facility ID]]) * ([1]!hcahps[HCAHPS Measure ID] = "H_HSP_RATING_LINEAR_SCORE"), [1]!hcahps[HCAHPS Linear Mean Value]), "No Match")</f>
        <v>No Match</v>
      </c>
      <c r="F4125" t="str" cm="1">
        <f t="array" ref="F4125">_xlfn.IFNA(_xlfn.XLOOKUP(1,([1]!readmissions[Facility ID] = clean[[#This Row],[Facility ID]]) * ([1]!readmissions[Measure ID] = "Hybrid_HWR"), [1]!readmissions[Score]), "No Match")</f>
        <v>No Match</v>
      </c>
    </row>
    <row r="4126" spans="1:6" x14ac:dyDescent="0.2">
      <c r="A4126">
        <f>[1]!hospitalinfo[[#This Row],[Facility ID]]</f>
        <v>394026</v>
      </c>
      <c r="B4126" t="str">
        <f>[1]!hospitalinfo[[#This Row],[State]]</f>
        <v>PA</v>
      </c>
      <c r="C4126" t="str">
        <f>[1]!hospitalinfo[[#This Row],[Hospital Type]]</f>
        <v>Psychiatric</v>
      </c>
      <c r="D4126" t="str">
        <f>[1]!hospitalinfo[[#This Row],[Hospital Ownership]]</f>
        <v>Government - State</v>
      </c>
      <c r="E4126" t="str" cm="1">
        <f t="array" ref="E4126">_xlfn.IFNA(_xlfn.XLOOKUP(1,([1]!hcahps[Facility ID] = clean[[#This Row],[Facility ID]]) * ([1]!hcahps[HCAHPS Measure ID] = "H_HSP_RATING_LINEAR_SCORE"), [1]!hcahps[HCAHPS Linear Mean Value]), "No Match")</f>
        <v>No Match</v>
      </c>
      <c r="F4126" t="str" cm="1">
        <f t="array" ref="F4126">_xlfn.IFNA(_xlfn.XLOOKUP(1,([1]!readmissions[Facility ID] = clean[[#This Row],[Facility ID]]) * ([1]!readmissions[Measure ID] = "Hybrid_HWR"), [1]!readmissions[Score]), "No Match")</f>
        <v>No Match</v>
      </c>
    </row>
    <row r="4127" spans="1:6" x14ac:dyDescent="0.2">
      <c r="A4127">
        <f>[1]!hospitalinfo[[#This Row],[Facility ID]]</f>
        <v>394027</v>
      </c>
      <c r="B4127" t="str">
        <f>[1]!hospitalinfo[[#This Row],[State]]</f>
        <v>PA</v>
      </c>
      <c r="C4127" t="str">
        <f>[1]!hospitalinfo[[#This Row],[Hospital Type]]</f>
        <v>Psychiatric</v>
      </c>
      <c r="D4127" t="str">
        <f>[1]!hospitalinfo[[#This Row],[Hospital Ownership]]</f>
        <v>Proprietary</v>
      </c>
      <c r="E4127" t="str" cm="1">
        <f t="array" ref="E4127">_xlfn.IFNA(_xlfn.XLOOKUP(1,([1]!hcahps[Facility ID] = clean[[#This Row],[Facility ID]]) * ([1]!hcahps[HCAHPS Measure ID] = "H_HSP_RATING_LINEAR_SCORE"), [1]!hcahps[HCAHPS Linear Mean Value]), "No Match")</f>
        <v>No Match</v>
      </c>
      <c r="F4127" t="str" cm="1">
        <f t="array" ref="F4127">_xlfn.IFNA(_xlfn.XLOOKUP(1,([1]!readmissions[Facility ID] = clean[[#This Row],[Facility ID]]) * ([1]!readmissions[Measure ID] = "Hybrid_HWR"), [1]!readmissions[Score]), "No Match")</f>
        <v>No Match</v>
      </c>
    </row>
    <row r="4128" spans="1:6" x14ac:dyDescent="0.2">
      <c r="A4128">
        <f>[1]!hospitalinfo[[#This Row],[Facility ID]]</f>
        <v>394033</v>
      </c>
      <c r="B4128" t="str">
        <f>[1]!hospitalinfo[[#This Row],[State]]</f>
        <v>PA</v>
      </c>
      <c r="C4128" t="str">
        <f>[1]!hospitalinfo[[#This Row],[Hospital Type]]</f>
        <v>Psychiatric</v>
      </c>
      <c r="D4128" t="str">
        <f>[1]!hospitalinfo[[#This Row],[Hospital Ownership]]</f>
        <v>Voluntary non-profit - Private</v>
      </c>
      <c r="E4128" t="str" cm="1">
        <f t="array" ref="E4128">_xlfn.IFNA(_xlfn.XLOOKUP(1,([1]!hcahps[Facility ID] = clean[[#This Row],[Facility ID]]) * ([1]!hcahps[HCAHPS Measure ID] = "H_HSP_RATING_LINEAR_SCORE"), [1]!hcahps[HCAHPS Linear Mean Value]), "No Match")</f>
        <v>No Match</v>
      </c>
      <c r="F4128" t="str" cm="1">
        <f t="array" ref="F4128">_xlfn.IFNA(_xlfn.XLOOKUP(1,([1]!readmissions[Facility ID] = clean[[#This Row],[Facility ID]]) * ([1]!readmissions[Measure ID] = "Hybrid_HWR"), [1]!readmissions[Score]), "No Match")</f>
        <v>No Match</v>
      </c>
    </row>
    <row r="4129" spans="1:6" x14ac:dyDescent="0.2">
      <c r="A4129">
        <f>[1]!hospitalinfo[[#This Row],[Facility ID]]</f>
        <v>394034</v>
      </c>
      <c r="B4129" t="str">
        <f>[1]!hospitalinfo[[#This Row],[State]]</f>
        <v>PA</v>
      </c>
      <c r="C4129" t="str">
        <f>[1]!hospitalinfo[[#This Row],[Hospital Type]]</f>
        <v>Psychiatric</v>
      </c>
      <c r="D4129" t="str">
        <f>[1]!hospitalinfo[[#This Row],[Hospital Ownership]]</f>
        <v>Proprietary</v>
      </c>
      <c r="E4129" t="str" cm="1">
        <f t="array" ref="E4129">_xlfn.IFNA(_xlfn.XLOOKUP(1,([1]!hcahps[Facility ID] = clean[[#This Row],[Facility ID]]) * ([1]!hcahps[HCAHPS Measure ID] = "H_HSP_RATING_LINEAR_SCORE"), [1]!hcahps[HCAHPS Linear Mean Value]), "No Match")</f>
        <v>No Match</v>
      </c>
      <c r="F4129" t="str" cm="1">
        <f t="array" ref="F4129">_xlfn.IFNA(_xlfn.XLOOKUP(1,([1]!readmissions[Facility ID] = clean[[#This Row],[Facility ID]]) * ([1]!readmissions[Measure ID] = "Hybrid_HWR"), [1]!readmissions[Score]), "No Match")</f>
        <v>No Match</v>
      </c>
    </row>
    <row r="4130" spans="1:6" x14ac:dyDescent="0.2">
      <c r="A4130">
        <f>[1]!hospitalinfo[[#This Row],[Facility ID]]</f>
        <v>394038</v>
      </c>
      <c r="B4130" t="str">
        <f>[1]!hospitalinfo[[#This Row],[State]]</f>
        <v>PA</v>
      </c>
      <c r="C4130" t="str">
        <f>[1]!hospitalinfo[[#This Row],[Hospital Type]]</f>
        <v>Psychiatric</v>
      </c>
      <c r="D4130" t="str">
        <f>[1]!hospitalinfo[[#This Row],[Hospital Ownership]]</f>
        <v>Voluntary non-profit - Private</v>
      </c>
      <c r="E4130" t="str" cm="1">
        <f t="array" ref="E4130">_xlfn.IFNA(_xlfn.XLOOKUP(1,([1]!hcahps[Facility ID] = clean[[#This Row],[Facility ID]]) * ([1]!hcahps[HCAHPS Measure ID] = "H_HSP_RATING_LINEAR_SCORE"), [1]!hcahps[HCAHPS Linear Mean Value]), "No Match")</f>
        <v>No Match</v>
      </c>
      <c r="F4130" t="str" cm="1">
        <f t="array" ref="F4130">_xlfn.IFNA(_xlfn.XLOOKUP(1,([1]!readmissions[Facility ID] = clean[[#This Row],[Facility ID]]) * ([1]!readmissions[Measure ID] = "Hybrid_HWR"), [1]!readmissions[Score]), "No Match")</f>
        <v>No Match</v>
      </c>
    </row>
    <row r="4131" spans="1:6" x14ac:dyDescent="0.2">
      <c r="A4131">
        <f>[1]!hospitalinfo[[#This Row],[Facility ID]]</f>
        <v>394040</v>
      </c>
      <c r="B4131" t="str">
        <f>[1]!hospitalinfo[[#This Row],[State]]</f>
        <v>PA</v>
      </c>
      <c r="C4131" t="str">
        <f>[1]!hospitalinfo[[#This Row],[Hospital Type]]</f>
        <v>Psychiatric</v>
      </c>
      <c r="D4131" t="str">
        <f>[1]!hospitalinfo[[#This Row],[Hospital Ownership]]</f>
        <v>Proprietary</v>
      </c>
      <c r="E4131" t="str" cm="1">
        <f t="array" ref="E4131">_xlfn.IFNA(_xlfn.XLOOKUP(1,([1]!hcahps[Facility ID] = clean[[#This Row],[Facility ID]]) * ([1]!hcahps[HCAHPS Measure ID] = "H_HSP_RATING_LINEAR_SCORE"), [1]!hcahps[HCAHPS Linear Mean Value]), "No Match")</f>
        <v>No Match</v>
      </c>
      <c r="F4131" t="str" cm="1">
        <f t="array" ref="F4131">_xlfn.IFNA(_xlfn.XLOOKUP(1,([1]!readmissions[Facility ID] = clean[[#This Row],[Facility ID]]) * ([1]!readmissions[Measure ID] = "Hybrid_HWR"), [1]!readmissions[Score]), "No Match")</f>
        <v>No Match</v>
      </c>
    </row>
    <row r="4132" spans="1:6" x14ac:dyDescent="0.2">
      <c r="A4132">
        <f>[1]!hospitalinfo[[#This Row],[Facility ID]]</f>
        <v>394043</v>
      </c>
      <c r="B4132" t="str">
        <f>[1]!hospitalinfo[[#This Row],[State]]</f>
        <v>PA</v>
      </c>
      <c r="C4132" t="str">
        <f>[1]!hospitalinfo[[#This Row],[Hospital Type]]</f>
        <v>Psychiatric</v>
      </c>
      <c r="D4132" t="str">
        <f>[1]!hospitalinfo[[#This Row],[Hospital Ownership]]</f>
        <v>Proprietary</v>
      </c>
      <c r="E4132" t="str" cm="1">
        <f t="array" ref="E4132">_xlfn.IFNA(_xlfn.XLOOKUP(1,([1]!hcahps[Facility ID] = clean[[#This Row],[Facility ID]]) * ([1]!hcahps[HCAHPS Measure ID] = "H_HSP_RATING_LINEAR_SCORE"), [1]!hcahps[HCAHPS Linear Mean Value]), "No Match")</f>
        <v>No Match</v>
      </c>
      <c r="F4132" t="str" cm="1">
        <f t="array" ref="F4132">_xlfn.IFNA(_xlfn.XLOOKUP(1,([1]!readmissions[Facility ID] = clean[[#This Row],[Facility ID]]) * ([1]!readmissions[Measure ID] = "Hybrid_HWR"), [1]!readmissions[Score]), "No Match")</f>
        <v>No Match</v>
      </c>
    </row>
    <row r="4133" spans="1:6" x14ac:dyDescent="0.2">
      <c r="A4133">
        <f>[1]!hospitalinfo[[#This Row],[Facility ID]]</f>
        <v>394049</v>
      </c>
      <c r="B4133" t="str">
        <f>[1]!hospitalinfo[[#This Row],[State]]</f>
        <v>PA</v>
      </c>
      <c r="C4133" t="str">
        <f>[1]!hospitalinfo[[#This Row],[Hospital Type]]</f>
        <v>Psychiatric</v>
      </c>
      <c r="D4133" t="str">
        <f>[1]!hospitalinfo[[#This Row],[Hospital Ownership]]</f>
        <v>Voluntary non-profit - Private</v>
      </c>
      <c r="E4133" t="str" cm="1">
        <f t="array" ref="E4133">_xlfn.IFNA(_xlfn.XLOOKUP(1,([1]!hcahps[Facility ID] = clean[[#This Row],[Facility ID]]) * ([1]!hcahps[HCAHPS Measure ID] = "H_HSP_RATING_LINEAR_SCORE"), [1]!hcahps[HCAHPS Linear Mean Value]), "No Match")</f>
        <v>No Match</v>
      </c>
      <c r="F4133" t="str" cm="1">
        <f t="array" ref="F4133">_xlfn.IFNA(_xlfn.XLOOKUP(1,([1]!readmissions[Facility ID] = clean[[#This Row],[Facility ID]]) * ([1]!readmissions[Measure ID] = "Hybrid_HWR"), [1]!readmissions[Score]), "No Match")</f>
        <v>No Match</v>
      </c>
    </row>
    <row r="4134" spans="1:6" x14ac:dyDescent="0.2">
      <c r="A4134">
        <f>[1]!hospitalinfo[[#This Row],[Facility ID]]</f>
        <v>394050</v>
      </c>
      <c r="B4134" t="str">
        <f>[1]!hospitalinfo[[#This Row],[State]]</f>
        <v>PA</v>
      </c>
      <c r="C4134" t="str">
        <f>[1]!hospitalinfo[[#This Row],[Hospital Type]]</f>
        <v>Psychiatric</v>
      </c>
      <c r="D4134" t="str">
        <f>[1]!hospitalinfo[[#This Row],[Hospital Ownership]]</f>
        <v>Proprietary</v>
      </c>
      <c r="E4134" t="str" cm="1">
        <f t="array" ref="E4134">_xlfn.IFNA(_xlfn.XLOOKUP(1,([1]!hcahps[Facility ID] = clean[[#This Row],[Facility ID]]) * ([1]!hcahps[HCAHPS Measure ID] = "H_HSP_RATING_LINEAR_SCORE"), [1]!hcahps[HCAHPS Linear Mean Value]), "No Match")</f>
        <v>No Match</v>
      </c>
      <c r="F4134" t="str" cm="1">
        <f t="array" ref="F4134">_xlfn.IFNA(_xlfn.XLOOKUP(1,([1]!readmissions[Facility ID] = clean[[#This Row],[Facility ID]]) * ([1]!readmissions[Measure ID] = "Hybrid_HWR"), [1]!readmissions[Score]), "No Match")</f>
        <v>No Match</v>
      </c>
    </row>
    <row r="4135" spans="1:6" x14ac:dyDescent="0.2">
      <c r="A4135">
        <f>[1]!hospitalinfo[[#This Row],[Facility ID]]</f>
        <v>394051</v>
      </c>
      <c r="B4135" t="str">
        <f>[1]!hospitalinfo[[#This Row],[State]]</f>
        <v>PA</v>
      </c>
      <c r="C4135" t="str">
        <f>[1]!hospitalinfo[[#This Row],[Hospital Type]]</f>
        <v>Psychiatric</v>
      </c>
      <c r="D4135" t="str">
        <f>[1]!hospitalinfo[[#This Row],[Hospital Ownership]]</f>
        <v>Proprietary</v>
      </c>
      <c r="E4135" t="str" cm="1">
        <f t="array" ref="E4135">_xlfn.IFNA(_xlfn.XLOOKUP(1,([1]!hcahps[Facility ID] = clean[[#This Row],[Facility ID]]) * ([1]!hcahps[HCAHPS Measure ID] = "H_HSP_RATING_LINEAR_SCORE"), [1]!hcahps[HCAHPS Linear Mean Value]), "No Match")</f>
        <v>No Match</v>
      </c>
      <c r="F4135" t="str" cm="1">
        <f t="array" ref="F4135">_xlfn.IFNA(_xlfn.XLOOKUP(1,([1]!readmissions[Facility ID] = clean[[#This Row],[Facility ID]]) * ([1]!readmissions[Measure ID] = "Hybrid_HWR"), [1]!readmissions[Score]), "No Match")</f>
        <v>No Match</v>
      </c>
    </row>
    <row r="4136" spans="1:6" x14ac:dyDescent="0.2">
      <c r="A4136">
        <f>[1]!hospitalinfo[[#This Row],[Facility ID]]</f>
        <v>394052</v>
      </c>
      <c r="B4136" t="str">
        <f>[1]!hospitalinfo[[#This Row],[State]]</f>
        <v>PA</v>
      </c>
      <c r="C4136" t="str">
        <f>[1]!hospitalinfo[[#This Row],[Hospital Type]]</f>
        <v>Psychiatric</v>
      </c>
      <c r="D4136" t="str">
        <f>[1]!hospitalinfo[[#This Row],[Hospital Ownership]]</f>
        <v>Proprietary</v>
      </c>
      <c r="E4136" t="str" cm="1">
        <f t="array" ref="E4136">_xlfn.IFNA(_xlfn.XLOOKUP(1,([1]!hcahps[Facility ID] = clean[[#This Row],[Facility ID]]) * ([1]!hcahps[HCAHPS Measure ID] = "H_HSP_RATING_LINEAR_SCORE"), [1]!hcahps[HCAHPS Linear Mean Value]), "No Match")</f>
        <v>No Match</v>
      </c>
      <c r="F4136" t="str" cm="1">
        <f t="array" ref="F4136">_xlfn.IFNA(_xlfn.XLOOKUP(1,([1]!readmissions[Facility ID] = clean[[#This Row],[Facility ID]]) * ([1]!readmissions[Measure ID] = "Hybrid_HWR"), [1]!readmissions[Score]), "No Match")</f>
        <v>No Match</v>
      </c>
    </row>
    <row r="4137" spans="1:6" x14ac:dyDescent="0.2">
      <c r="A4137">
        <f>[1]!hospitalinfo[[#This Row],[Facility ID]]</f>
        <v>394053</v>
      </c>
      <c r="B4137" t="str">
        <f>[1]!hospitalinfo[[#This Row],[State]]</f>
        <v>PA</v>
      </c>
      <c r="C4137" t="str">
        <f>[1]!hospitalinfo[[#This Row],[Hospital Type]]</f>
        <v>Psychiatric</v>
      </c>
      <c r="D4137" t="str">
        <f>[1]!hospitalinfo[[#This Row],[Hospital Ownership]]</f>
        <v>Proprietary</v>
      </c>
      <c r="E4137" t="str" cm="1">
        <f t="array" ref="E4137">_xlfn.IFNA(_xlfn.XLOOKUP(1,([1]!hcahps[Facility ID] = clean[[#This Row],[Facility ID]]) * ([1]!hcahps[HCAHPS Measure ID] = "H_HSP_RATING_LINEAR_SCORE"), [1]!hcahps[HCAHPS Linear Mean Value]), "No Match")</f>
        <v>No Match</v>
      </c>
      <c r="F4137" t="str" cm="1">
        <f t="array" ref="F4137">_xlfn.IFNA(_xlfn.XLOOKUP(1,([1]!readmissions[Facility ID] = clean[[#This Row],[Facility ID]]) * ([1]!readmissions[Measure ID] = "Hybrid_HWR"), [1]!readmissions[Score]), "No Match")</f>
        <v>No Match</v>
      </c>
    </row>
    <row r="4138" spans="1:6" x14ac:dyDescent="0.2">
      <c r="A4138">
        <f>[1]!hospitalinfo[[#This Row],[Facility ID]]</f>
        <v>394055</v>
      </c>
      <c r="B4138" t="str">
        <f>[1]!hospitalinfo[[#This Row],[State]]</f>
        <v>PA</v>
      </c>
      <c r="C4138" t="str">
        <f>[1]!hospitalinfo[[#This Row],[Hospital Type]]</f>
        <v>Psychiatric</v>
      </c>
      <c r="D4138" t="str">
        <f>[1]!hospitalinfo[[#This Row],[Hospital Ownership]]</f>
        <v>Voluntary non-profit - Other</v>
      </c>
      <c r="E4138" t="str" cm="1">
        <f t="array" ref="E4138">_xlfn.IFNA(_xlfn.XLOOKUP(1,([1]!hcahps[Facility ID] = clean[[#This Row],[Facility ID]]) * ([1]!hcahps[HCAHPS Measure ID] = "H_HSP_RATING_LINEAR_SCORE"), [1]!hcahps[HCAHPS Linear Mean Value]), "No Match")</f>
        <v>No Match</v>
      </c>
      <c r="F4138" t="str" cm="1">
        <f t="array" ref="F4138">_xlfn.IFNA(_xlfn.XLOOKUP(1,([1]!readmissions[Facility ID] = clean[[#This Row],[Facility ID]]) * ([1]!readmissions[Measure ID] = "Hybrid_HWR"), [1]!readmissions[Score]), "No Match")</f>
        <v>No Match</v>
      </c>
    </row>
    <row r="4139" spans="1:6" x14ac:dyDescent="0.2">
      <c r="A4139">
        <f>[1]!hospitalinfo[[#This Row],[Facility ID]]</f>
        <v>394056</v>
      </c>
      <c r="B4139" t="str">
        <f>[1]!hospitalinfo[[#This Row],[State]]</f>
        <v>PA</v>
      </c>
      <c r="C4139" t="str">
        <f>[1]!hospitalinfo[[#This Row],[Hospital Type]]</f>
        <v>Psychiatric</v>
      </c>
      <c r="D4139" t="str">
        <f>[1]!hospitalinfo[[#This Row],[Hospital Ownership]]</f>
        <v>Proprietary</v>
      </c>
      <c r="E4139" t="str" cm="1">
        <f t="array" ref="E4139">_xlfn.IFNA(_xlfn.XLOOKUP(1,([1]!hcahps[Facility ID] = clean[[#This Row],[Facility ID]]) * ([1]!hcahps[HCAHPS Measure ID] = "H_HSP_RATING_LINEAR_SCORE"), [1]!hcahps[HCAHPS Linear Mean Value]), "No Match")</f>
        <v>No Match</v>
      </c>
      <c r="F4139" t="str" cm="1">
        <f t="array" ref="F4139">_xlfn.IFNA(_xlfn.XLOOKUP(1,([1]!readmissions[Facility ID] = clean[[#This Row],[Facility ID]]) * ([1]!readmissions[Measure ID] = "Hybrid_HWR"), [1]!readmissions[Score]), "No Match")</f>
        <v>No Match</v>
      </c>
    </row>
    <row r="4140" spans="1:6" x14ac:dyDescent="0.2">
      <c r="A4140">
        <f>[1]!hospitalinfo[[#This Row],[Facility ID]]</f>
        <v>394057</v>
      </c>
      <c r="B4140" t="str">
        <f>[1]!hospitalinfo[[#This Row],[State]]</f>
        <v>PA</v>
      </c>
      <c r="C4140" t="str">
        <f>[1]!hospitalinfo[[#This Row],[Hospital Type]]</f>
        <v>Psychiatric</v>
      </c>
      <c r="D4140" t="str">
        <f>[1]!hospitalinfo[[#This Row],[Hospital Ownership]]</f>
        <v>Voluntary non-profit - Other</v>
      </c>
      <c r="E4140" t="str" cm="1">
        <f t="array" ref="E4140">_xlfn.IFNA(_xlfn.XLOOKUP(1,([1]!hcahps[Facility ID] = clean[[#This Row],[Facility ID]]) * ([1]!hcahps[HCAHPS Measure ID] = "H_HSP_RATING_LINEAR_SCORE"), [1]!hcahps[HCAHPS Linear Mean Value]), "No Match")</f>
        <v>No Match</v>
      </c>
      <c r="F4140" t="str" cm="1">
        <f t="array" ref="F4140">_xlfn.IFNA(_xlfn.XLOOKUP(1,([1]!readmissions[Facility ID] = clean[[#This Row],[Facility ID]]) * ([1]!readmissions[Measure ID] = "Hybrid_HWR"), [1]!readmissions[Score]), "No Match")</f>
        <v>No Match</v>
      </c>
    </row>
    <row r="4141" spans="1:6" x14ac:dyDescent="0.2">
      <c r="A4141">
        <f>[1]!hospitalinfo[[#This Row],[Facility ID]]</f>
        <v>394058</v>
      </c>
      <c r="B4141" t="str">
        <f>[1]!hospitalinfo[[#This Row],[State]]</f>
        <v>PA</v>
      </c>
      <c r="C4141" t="str">
        <f>[1]!hospitalinfo[[#This Row],[Hospital Type]]</f>
        <v>Psychiatric</v>
      </c>
      <c r="D4141" t="str">
        <f>[1]!hospitalinfo[[#This Row],[Hospital Ownership]]</f>
        <v>Proprietary</v>
      </c>
      <c r="E4141" t="str" cm="1">
        <f t="array" ref="E4141">_xlfn.IFNA(_xlfn.XLOOKUP(1,([1]!hcahps[Facility ID] = clean[[#This Row],[Facility ID]]) * ([1]!hcahps[HCAHPS Measure ID] = "H_HSP_RATING_LINEAR_SCORE"), [1]!hcahps[HCAHPS Linear Mean Value]), "No Match")</f>
        <v>No Match</v>
      </c>
      <c r="F4141" t="str" cm="1">
        <f t="array" ref="F4141">_xlfn.IFNA(_xlfn.XLOOKUP(1,([1]!readmissions[Facility ID] = clean[[#This Row],[Facility ID]]) * ([1]!readmissions[Measure ID] = "Hybrid_HWR"), [1]!readmissions[Score]), "No Match")</f>
        <v>No Match</v>
      </c>
    </row>
    <row r="4142" spans="1:6" x14ac:dyDescent="0.2">
      <c r="A4142">
        <f>[1]!hospitalinfo[[#This Row],[Facility ID]]</f>
        <v>394059</v>
      </c>
      <c r="B4142" t="str">
        <f>[1]!hospitalinfo[[#This Row],[State]]</f>
        <v>PA</v>
      </c>
      <c r="C4142" t="str">
        <f>[1]!hospitalinfo[[#This Row],[Hospital Type]]</f>
        <v>Psychiatric</v>
      </c>
      <c r="D4142" t="str">
        <f>[1]!hospitalinfo[[#This Row],[Hospital Ownership]]</f>
        <v>Proprietary</v>
      </c>
      <c r="E4142" t="str" cm="1">
        <f t="array" ref="E4142">_xlfn.IFNA(_xlfn.XLOOKUP(1,([1]!hcahps[Facility ID] = clean[[#This Row],[Facility ID]]) * ([1]!hcahps[HCAHPS Measure ID] = "H_HSP_RATING_LINEAR_SCORE"), [1]!hcahps[HCAHPS Linear Mean Value]), "No Match")</f>
        <v>No Match</v>
      </c>
      <c r="F4142" t="str" cm="1">
        <f t="array" ref="F4142">_xlfn.IFNA(_xlfn.XLOOKUP(1,([1]!readmissions[Facility ID] = clean[[#This Row],[Facility ID]]) * ([1]!readmissions[Measure ID] = "Hybrid_HWR"), [1]!readmissions[Score]), "No Match")</f>
        <v>No Match</v>
      </c>
    </row>
    <row r="4143" spans="1:6" x14ac:dyDescent="0.2">
      <c r="A4143">
        <f>[1]!hospitalinfo[[#This Row],[Facility ID]]</f>
        <v>394062</v>
      </c>
      <c r="B4143" t="str">
        <f>[1]!hospitalinfo[[#This Row],[State]]</f>
        <v>PA</v>
      </c>
      <c r="C4143" t="str">
        <f>[1]!hospitalinfo[[#This Row],[Hospital Type]]</f>
        <v>Psychiatric</v>
      </c>
      <c r="D4143" t="str">
        <f>[1]!hospitalinfo[[#This Row],[Hospital Ownership]]</f>
        <v>Proprietary</v>
      </c>
      <c r="E4143" t="str" cm="1">
        <f t="array" ref="E4143">_xlfn.IFNA(_xlfn.XLOOKUP(1,([1]!hcahps[Facility ID] = clean[[#This Row],[Facility ID]]) * ([1]!hcahps[HCAHPS Measure ID] = "H_HSP_RATING_LINEAR_SCORE"), [1]!hcahps[HCAHPS Linear Mean Value]), "No Match")</f>
        <v>No Match</v>
      </c>
      <c r="F4143" t="str" cm="1">
        <f t="array" ref="F4143">_xlfn.IFNA(_xlfn.XLOOKUP(1,([1]!readmissions[Facility ID] = clean[[#This Row],[Facility ID]]) * ([1]!readmissions[Measure ID] = "Hybrid_HWR"), [1]!readmissions[Score]), "No Match")</f>
        <v>No Match</v>
      </c>
    </row>
    <row r="4144" spans="1:6" x14ac:dyDescent="0.2">
      <c r="A4144" t="str">
        <f>[1]!hospitalinfo[[#This Row],[Facility ID]]</f>
        <v>39001F</v>
      </c>
      <c r="B4144" t="str">
        <f>[1]!hospitalinfo[[#This Row],[State]]</f>
        <v>PA</v>
      </c>
      <c r="C4144" t="str">
        <f>[1]!hospitalinfo[[#This Row],[Hospital Type]]</f>
        <v>Acute Care - Veterans Administration</v>
      </c>
      <c r="D4144" t="str">
        <f>[1]!hospitalinfo[[#This Row],[Hospital Ownership]]</f>
        <v>Veterans Health Administration</v>
      </c>
      <c r="E4144" cm="1">
        <f t="array" ref="E4144">_xlfn.IFNA(_xlfn.XLOOKUP(1,([1]!hcahps[Facility ID] = clean[[#This Row],[Facility ID]]) * ([1]!hcahps[HCAHPS Measure ID] = "H_HSP_RATING_LINEAR_SCORE"), [1]!hcahps[HCAHPS Linear Mean Value]), "No Match")</f>
        <v>93</v>
      </c>
      <c r="F4144" cm="1">
        <f t="array" ref="F4144">_xlfn.IFNA(_xlfn.XLOOKUP(1,([1]!readmissions[Facility ID] = clean[[#This Row],[Facility ID]]) * ([1]!readmissions[Measure ID] = "Hybrid_HWR"), [1]!readmissions[Score]), "No Match")</f>
        <v>13.9</v>
      </c>
    </row>
    <row r="4145" spans="1:6" x14ac:dyDescent="0.2">
      <c r="A4145" t="str">
        <f>[1]!hospitalinfo[[#This Row],[Facility ID]]</f>
        <v>39004F</v>
      </c>
      <c r="B4145" t="str">
        <f>[1]!hospitalinfo[[#This Row],[State]]</f>
        <v>PA</v>
      </c>
      <c r="C4145" t="str">
        <f>[1]!hospitalinfo[[#This Row],[Hospital Type]]</f>
        <v>Acute Care - Veterans Administration</v>
      </c>
      <c r="D4145" t="str">
        <f>[1]!hospitalinfo[[#This Row],[Hospital Ownership]]</f>
        <v>Veterans Health Administration</v>
      </c>
      <c r="E4145" t="str" cm="1">
        <f t="array" ref="E4145">_xlfn.IFNA(_xlfn.XLOOKUP(1,([1]!hcahps[Facility ID] = clean[[#This Row],[Facility ID]]) * ([1]!hcahps[HCAHPS Measure ID] = "H_HSP_RATING_LINEAR_SCORE"), [1]!hcahps[HCAHPS Linear Mean Value]), "No Match")</f>
        <v>Not Available</v>
      </c>
      <c r="F4145" t="str" cm="1">
        <f t="array" ref="F4145">_xlfn.IFNA(_xlfn.XLOOKUP(1,([1]!readmissions[Facility ID] = clean[[#This Row],[Facility ID]]) * ([1]!readmissions[Measure ID] = "Hybrid_HWR"), [1]!readmissions[Score]), "No Match")</f>
        <v>Not Available</v>
      </c>
    </row>
    <row r="4146" spans="1:6" x14ac:dyDescent="0.2">
      <c r="A4146" t="str">
        <f>[1]!hospitalinfo[[#This Row],[Facility ID]]</f>
        <v>39005F</v>
      </c>
      <c r="B4146" t="str">
        <f>[1]!hospitalinfo[[#This Row],[State]]</f>
        <v>PA</v>
      </c>
      <c r="C4146" t="str">
        <f>[1]!hospitalinfo[[#This Row],[Hospital Type]]</f>
        <v>Acute Care - Veterans Administration</v>
      </c>
      <c r="D4146" t="str">
        <f>[1]!hospitalinfo[[#This Row],[Hospital Ownership]]</f>
        <v>Veterans Health Administration</v>
      </c>
      <c r="E4146" t="str" cm="1">
        <f t="array" ref="E4146">_xlfn.IFNA(_xlfn.XLOOKUP(1,([1]!hcahps[Facility ID] = clean[[#This Row],[Facility ID]]) * ([1]!hcahps[HCAHPS Measure ID] = "H_HSP_RATING_LINEAR_SCORE"), [1]!hcahps[HCAHPS Linear Mean Value]), "No Match")</f>
        <v>Not Available</v>
      </c>
      <c r="F4146" cm="1">
        <f t="array" ref="F4146">_xlfn.IFNA(_xlfn.XLOOKUP(1,([1]!readmissions[Facility ID] = clean[[#This Row],[Facility ID]]) * ([1]!readmissions[Measure ID] = "Hybrid_HWR"), [1]!readmissions[Score]), "No Match")</f>
        <v>14.5</v>
      </c>
    </row>
    <row r="4147" spans="1:6" x14ac:dyDescent="0.2">
      <c r="A4147" t="str">
        <f>[1]!hospitalinfo[[#This Row],[Facility ID]]</f>
        <v>39006F</v>
      </c>
      <c r="B4147" t="str">
        <f>[1]!hospitalinfo[[#This Row],[State]]</f>
        <v>PA</v>
      </c>
      <c r="C4147" t="str">
        <f>[1]!hospitalinfo[[#This Row],[Hospital Type]]</f>
        <v>Acute Care - Veterans Administration</v>
      </c>
      <c r="D4147" t="str">
        <f>[1]!hospitalinfo[[#This Row],[Hospital Ownership]]</f>
        <v>Veterans Health Administration</v>
      </c>
      <c r="E4147" cm="1">
        <f t="array" ref="E4147">_xlfn.IFNA(_xlfn.XLOOKUP(1,([1]!hcahps[Facility ID] = clean[[#This Row],[Facility ID]]) * ([1]!hcahps[HCAHPS Measure ID] = "H_HSP_RATING_LINEAR_SCORE"), [1]!hcahps[HCAHPS Linear Mean Value]), "No Match")</f>
        <v>95</v>
      </c>
      <c r="F4147" cm="1">
        <f t="array" ref="F4147">_xlfn.IFNA(_xlfn.XLOOKUP(1,([1]!readmissions[Facility ID] = clean[[#This Row],[Facility ID]]) * ([1]!readmissions[Measure ID] = "Hybrid_HWR"), [1]!readmissions[Score]), "No Match")</f>
        <v>13.8</v>
      </c>
    </row>
    <row r="4148" spans="1:6" x14ac:dyDescent="0.2">
      <c r="A4148" t="str">
        <f>[1]!hospitalinfo[[#This Row],[Facility ID]]</f>
        <v>39009F</v>
      </c>
      <c r="B4148" t="str">
        <f>[1]!hospitalinfo[[#This Row],[State]]</f>
        <v>PA</v>
      </c>
      <c r="C4148" t="str">
        <f>[1]!hospitalinfo[[#This Row],[Hospital Type]]</f>
        <v>Acute Care - Veterans Administration</v>
      </c>
      <c r="D4148" t="str">
        <f>[1]!hospitalinfo[[#This Row],[Hospital Ownership]]</f>
        <v>Veterans Health Administration</v>
      </c>
      <c r="E4148" cm="1">
        <f t="array" ref="E4148">_xlfn.IFNA(_xlfn.XLOOKUP(1,([1]!hcahps[Facility ID] = clean[[#This Row],[Facility ID]]) * ([1]!hcahps[HCAHPS Measure ID] = "H_HSP_RATING_LINEAR_SCORE"), [1]!hcahps[HCAHPS Linear Mean Value]), "No Match")</f>
        <v>87</v>
      </c>
      <c r="F4148" cm="1">
        <f t="array" ref="F4148">_xlfn.IFNA(_xlfn.XLOOKUP(1,([1]!readmissions[Facility ID] = clean[[#This Row],[Facility ID]]) * ([1]!readmissions[Measure ID] = "Hybrid_HWR"), [1]!readmissions[Score]), "No Match")</f>
        <v>14.5</v>
      </c>
    </row>
    <row r="4149" spans="1:6" x14ac:dyDescent="0.2">
      <c r="A4149" t="str">
        <f>[1]!hospitalinfo[[#This Row],[Facility ID]]</f>
        <v>39012F</v>
      </c>
      <c r="B4149" t="str">
        <f>[1]!hospitalinfo[[#This Row],[State]]</f>
        <v>PA</v>
      </c>
      <c r="C4149" t="str">
        <f>[1]!hospitalinfo[[#This Row],[Hospital Type]]</f>
        <v>Acute Care - Veterans Administration</v>
      </c>
      <c r="D4149" t="str">
        <f>[1]!hospitalinfo[[#This Row],[Hospital Ownership]]</f>
        <v>Veterans Health Administration</v>
      </c>
      <c r="E4149" cm="1">
        <f t="array" ref="E4149">_xlfn.IFNA(_xlfn.XLOOKUP(1,([1]!hcahps[Facility ID] = clean[[#This Row],[Facility ID]]) * ([1]!hcahps[HCAHPS Measure ID] = "H_HSP_RATING_LINEAR_SCORE"), [1]!hcahps[HCAHPS Linear Mean Value]), "No Match")</f>
        <v>90</v>
      </c>
      <c r="F4149" cm="1">
        <f t="array" ref="F4149">_xlfn.IFNA(_xlfn.XLOOKUP(1,([1]!readmissions[Facility ID] = clean[[#This Row],[Facility ID]]) * ([1]!readmissions[Measure ID] = "Hybrid_HWR"), [1]!readmissions[Score]), "No Match")</f>
        <v>16.2</v>
      </c>
    </row>
    <row r="4150" spans="1:6" x14ac:dyDescent="0.2">
      <c r="A4150" t="str">
        <f>[1]!hospitalinfo[[#This Row],[Facility ID]]</f>
        <v>39013F</v>
      </c>
      <c r="B4150" t="str">
        <f>[1]!hospitalinfo[[#This Row],[State]]</f>
        <v>PA</v>
      </c>
      <c r="C4150" t="str">
        <f>[1]!hospitalinfo[[#This Row],[Hospital Type]]</f>
        <v>Acute Care - Veterans Administration</v>
      </c>
      <c r="D4150" t="str">
        <f>[1]!hospitalinfo[[#This Row],[Hospital Ownership]]</f>
        <v>Veterans Health Administration</v>
      </c>
      <c r="E4150" cm="1">
        <f t="array" ref="E4150">_xlfn.IFNA(_xlfn.XLOOKUP(1,([1]!hcahps[Facility ID] = clean[[#This Row],[Facility ID]]) * ([1]!hcahps[HCAHPS Measure ID] = "H_HSP_RATING_LINEAR_SCORE"), [1]!hcahps[HCAHPS Linear Mean Value]), "No Match")</f>
        <v>92</v>
      </c>
      <c r="F4150" cm="1">
        <f t="array" ref="F4150">_xlfn.IFNA(_xlfn.XLOOKUP(1,([1]!readmissions[Facility ID] = clean[[#This Row],[Facility ID]]) * ([1]!readmissions[Measure ID] = "Hybrid_HWR"), [1]!readmissions[Score]), "No Match")</f>
        <v>13.7</v>
      </c>
    </row>
    <row r="4151" spans="1:6" x14ac:dyDescent="0.2">
      <c r="A4151">
        <f>[1]!hospitalinfo[[#This Row],[Facility ID]]</f>
        <v>400001</v>
      </c>
      <c r="B4151" t="str">
        <f>[1]!hospitalinfo[[#This Row],[State]]</f>
        <v>PR</v>
      </c>
      <c r="C4151" t="str">
        <f>[1]!hospitalinfo[[#This Row],[Hospital Type]]</f>
        <v>Acute Care Hospitals</v>
      </c>
      <c r="D4151" t="str">
        <f>[1]!hospitalinfo[[#This Row],[Hospital Ownership]]</f>
        <v>Voluntary non-profit - Private</v>
      </c>
      <c r="E4151" t="str" cm="1">
        <f t="array" ref="E4151">_xlfn.IFNA(_xlfn.XLOOKUP(1,([1]!hcahps[Facility ID] = clean[[#This Row],[Facility ID]]) * ([1]!hcahps[HCAHPS Measure ID] = "H_HSP_RATING_LINEAR_SCORE"), [1]!hcahps[HCAHPS Linear Mean Value]), "No Match")</f>
        <v>Not Available</v>
      </c>
      <c r="F4151" cm="1">
        <f t="array" ref="F4151">_xlfn.IFNA(_xlfn.XLOOKUP(1,([1]!readmissions[Facility ID] = clean[[#This Row],[Facility ID]]) * ([1]!readmissions[Measure ID] = "Hybrid_HWR"), [1]!readmissions[Score]), "No Match")</f>
        <v>15.2</v>
      </c>
    </row>
    <row r="4152" spans="1:6" x14ac:dyDescent="0.2">
      <c r="A4152">
        <f>[1]!hospitalinfo[[#This Row],[Facility ID]]</f>
        <v>400003</v>
      </c>
      <c r="B4152" t="str">
        <f>[1]!hospitalinfo[[#This Row],[State]]</f>
        <v>PR</v>
      </c>
      <c r="C4152" t="str">
        <f>[1]!hospitalinfo[[#This Row],[Hospital Type]]</f>
        <v>Acute Care Hospitals</v>
      </c>
      <c r="D4152" t="str">
        <f>[1]!hospitalinfo[[#This Row],[Hospital Ownership]]</f>
        <v>Proprietary</v>
      </c>
      <c r="E4152" t="str" cm="1">
        <f t="array" ref="E4152">_xlfn.IFNA(_xlfn.XLOOKUP(1,([1]!hcahps[Facility ID] = clean[[#This Row],[Facility ID]]) * ([1]!hcahps[HCAHPS Measure ID] = "H_HSP_RATING_LINEAR_SCORE"), [1]!hcahps[HCAHPS Linear Mean Value]), "No Match")</f>
        <v>Not Available</v>
      </c>
      <c r="F4152" cm="1">
        <f t="array" ref="F4152">_xlfn.IFNA(_xlfn.XLOOKUP(1,([1]!readmissions[Facility ID] = clean[[#This Row],[Facility ID]]) * ([1]!readmissions[Measure ID] = "Hybrid_HWR"), [1]!readmissions[Score]), "No Match")</f>
        <v>15</v>
      </c>
    </row>
    <row r="4153" spans="1:6" x14ac:dyDescent="0.2">
      <c r="A4153">
        <f>[1]!hospitalinfo[[#This Row],[Facility ID]]</f>
        <v>400004</v>
      </c>
      <c r="B4153" t="str">
        <f>[1]!hospitalinfo[[#This Row],[State]]</f>
        <v>PR</v>
      </c>
      <c r="C4153" t="str">
        <f>[1]!hospitalinfo[[#This Row],[Hospital Type]]</f>
        <v>Acute Care Hospitals</v>
      </c>
      <c r="D4153" t="str">
        <f>[1]!hospitalinfo[[#This Row],[Hospital Ownership]]</f>
        <v>Voluntary non-profit - Private</v>
      </c>
      <c r="E4153" t="str" cm="1">
        <f t="array" ref="E4153">_xlfn.IFNA(_xlfn.XLOOKUP(1,([1]!hcahps[Facility ID] = clean[[#This Row],[Facility ID]]) * ([1]!hcahps[HCAHPS Measure ID] = "H_HSP_RATING_LINEAR_SCORE"), [1]!hcahps[HCAHPS Linear Mean Value]), "No Match")</f>
        <v>Not Available</v>
      </c>
      <c r="F4153" cm="1">
        <f t="array" ref="F4153">_xlfn.IFNA(_xlfn.XLOOKUP(1,([1]!readmissions[Facility ID] = clean[[#This Row],[Facility ID]]) * ([1]!readmissions[Measure ID] = "Hybrid_HWR"), [1]!readmissions[Score]), "No Match")</f>
        <v>14.6</v>
      </c>
    </row>
    <row r="4154" spans="1:6" x14ac:dyDescent="0.2">
      <c r="A4154">
        <f>[1]!hospitalinfo[[#This Row],[Facility ID]]</f>
        <v>400005</v>
      </c>
      <c r="B4154" t="str">
        <f>[1]!hospitalinfo[[#This Row],[State]]</f>
        <v>PR</v>
      </c>
      <c r="C4154" t="str">
        <f>[1]!hospitalinfo[[#This Row],[Hospital Type]]</f>
        <v>Acute Care Hospitals</v>
      </c>
      <c r="D4154" t="str">
        <f>[1]!hospitalinfo[[#This Row],[Hospital Ownership]]</f>
        <v>Voluntary non-profit - Other</v>
      </c>
      <c r="E4154" t="str" cm="1">
        <f t="array" ref="E4154">_xlfn.IFNA(_xlfn.XLOOKUP(1,([1]!hcahps[Facility ID] = clean[[#This Row],[Facility ID]]) * ([1]!hcahps[HCAHPS Measure ID] = "H_HSP_RATING_LINEAR_SCORE"), [1]!hcahps[HCAHPS Linear Mean Value]), "No Match")</f>
        <v>Not Available</v>
      </c>
      <c r="F4154" t="str" cm="1">
        <f t="array" ref="F4154">_xlfn.IFNA(_xlfn.XLOOKUP(1,([1]!readmissions[Facility ID] = clean[[#This Row],[Facility ID]]) * ([1]!readmissions[Measure ID] = "Hybrid_HWR"), [1]!readmissions[Score]), "No Match")</f>
        <v>Not Available</v>
      </c>
    </row>
    <row r="4155" spans="1:6" x14ac:dyDescent="0.2">
      <c r="A4155">
        <f>[1]!hospitalinfo[[#This Row],[Facility ID]]</f>
        <v>400006</v>
      </c>
      <c r="B4155" t="str">
        <f>[1]!hospitalinfo[[#This Row],[State]]</f>
        <v>PR</v>
      </c>
      <c r="C4155" t="str">
        <f>[1]!hospitalinfo[[#This Row],[Hospital Type]]</f>
        <v>Acute Care Hospitals</v>
      </c>
      <c r="D4155" t="str">
        <f>[1]!hospitalinfo[[#This Row],[Hospital Ownership]]</f>
        <v>Proprietary</v>
      </c>
      <c r="E4155" cm="1">
        <f t="array" ref="E4155">_xlfn.IFNA(_xlfn.XLOOKUP(1,([1]!hcahps[Facility ID] = clean[[#This Row],[Facility ID]]) * ([1]!hcahps[HCAHPS Measure ID] = "H_HSP_RATING_LINEAR_SCORE"), [1]!hcahps[HCAHPS Linear Mean Value]), "No Match")</f>
        <v>85</v>
      </c>
      <c r="F4155" cm="1">
        <f t="array" ref="F4155">_xlfn.IFNA(_xlfn.XLOOKUP(1,([1]!readmissions[Facility ID] = clean[[#This Row],[Facility ID]]) * ([1]!readmissions[Measure ID] = "Hybrid_HWR"), [1]!readmissions[Score]), "No Match")</f>
        <v>15.5</v>
      </c>
    </row>
    <row r="4156" spans="1:6" x14ac:dyDescent="0.2">
      <c r="A4156">
        <f>[1]!hospitalinfo[[#This Row],[Facility ID]]</f>
        <v>400007</v>
      </c>
      <c r="B4156" t="str">
        <f>[1]!hospitalinfo[[#This Row],[State]]</f>
        <v>PR</v>
      </c>
      <c r="C4156" t="str">
        <f>[1]!hospitalinfo[[#This Row],[Hospital Type]]</f>
        <v>Acute Care Hospitals</v>
      </c>
      <c r="D4156" t="str">
        <f>[1]!hospitalinfo[[#This Row],[Hospital Ownership]]</f>
        <v>Voluntary non-profit - Private</v>
      </c>
      <c r="E4156" t="str" cm="1">
        <f t="array" ref="E4156">_xlfn.IFNA(_xlfn.XLOOKUP(1,([1]!hcahps[Facility ID] = clean[[#This Row],[Facility ID]]) * ([1]!hcahps[HCAHPS Measure ID] = "H_HSP_RATING_LINEAR_SCORE"), [1]!hcahps[HCAHPS Linear Mean Value]), "No Match")</f>
        <v>Not Available</v>
      </c>
      <c r="F4156" cm="1">
        <f t="array" ref="F4156">_xlfn.IFNA(_xlfn.XLOOKUP(1,([1]!readmissions[Facility ID] = clean[[#This Row],[Facility ID]]) * ([1]!readmissions[Measure ID] = "Hybrid_HWR"), [1]!readmissions[Score]), "No Match")</f>
        <v>15.2</v>
      </c>
    </row>
    <row r="4157" spans="1:6" x14ac:dyDescent="0.2">
      <c r="A4157">
        <f>[1]!hospitalinfo[[#This Row],[Facility ID]]</f>
        <v>400010</v>
      </c>
      <c r="B4157" t="str">
        <f>[1]!hospitalinfo[[#This Row],[State]]</f>
        <v>PR</v>
      </c>
      <c r="C4157" t="str">
        <f>[1]!hospitalinfo[[#This Row],[Hospital Type]]</f>
        <v>Acute Care Hospitals</v>
      </c>
      <c r="D4157" t="str">
        <f>[1]!hospitalinfo[[#This Row],[Hospital Ownership]]</f>
        <v>Voluntary non-profit - Private</v>
      </c>
      <c r="E4157" t="str" cm="1">
        <f t="array" ref="E4157">_xlfn.IFNA(_xlfn.XLOOKUP(1,([1]!hcahps[Facility ID] = clean[[#This Row],[Facility ID]]) * ([1]!hcahps[HCAHPS Measure ID] = "H_HSP_RATING_LINEAR_SCORE"), [1]!hcahps[HCAHPS Linear Mean Value]), "No Match")</f>
        <v>Not Available</v>
      </c>
      <c r="F4157" t="str" cm="1">
        <f t="array" ref="F4157">_xlfn.IFNA(_xlfn.XLOOKUP(1,([1]!readmissions[Facility ID] = clean[[#This Row],[Facility ID]]) * ([1]!readmissions[Measure ID] = "Hybrid_HWR"), [1]!readmissions[Score]), "No Match")</f>
        <v>Not Available</v>
      </c>
    </row>
    <row r="4158" spans="1:6" x14ac:dyDescent="0.2">
      <c r="A4158">
        <f>[1]!hospitalinfo[[#This Row],[Facility ID]]</f>
        <v>400011</v>
      </c>
      <c r="B4158" t="str">
        <f>[1]!hospitalinfo[[#This Row],[State]]</f>
        <v>PR</v>
      </c>
      <c r="C4158" t="str">
        <f>[1]!hospitalinfo[[#This Row],[Hospital Type]]</f>
        <v>Acute Care Hospitals</v>
      </c>
      <c r="D4158" t="str">
        <f>[1]!hospitalinfo[[#This Row],[Hospital Ownership]]</f>
        <v>Proprietary</v>
      </c>
      <c r="E4158" t="str" cm="1">
        <f t="array" ref="E4158">_xlfn.IFNA(_xlfn.XLOOKUP(1,([1]!hcahps[Facility ID] = clean[[#This Row],[Facility ID]]) * ([1]!hcahps[HCAHPS Measure ID] = "H_HSP_RATING_LINEAR_SCORE"), [1]!hcahps[HCAHPS Linear Mean Value]), "No Match")</f>
        <v>Not Available</v>
      </c>
      <c r="F4158" cm="1">
        <f t="array" ref="F4158">_xlfn.IFNA(_xlfn.XLOOKUP(1,([1]!readmissions[Facility ID] = clean[[#This Row],[Facility ID]]) * ([1]!readmissions[Measure ID] = "Hybrid_HWR"), [1]!readmissions[Score]), "No Match")</f>
        <v>15.5</v>
      </c>
    </row>
    <row r="4159" spans="1:6" x14ac:dyDescent="0.2">
      <c r="A4159">
        <f>[1]!hospitalinfo[[#This Row],[Facility ID]]</f>
        <v>400012</v>
      </c>
      <c r="B4159" t="str">
        <f>[1]!hospitalinfo[[#This Row],[State]]</f>
        <v>PR</v>
      </c>
      <c r="C4159" t="str">
        <f>[1]!hospitalinfo[[#This Row],[Hospital Type]]</f>
        <v>Acute Care Hospitals</v>
      </c>
      <c r="D4159" t="str">
        <f>[1]!hospitalinfo[[#This Row],[Hospital Ownership]]</f>
        <v>Voluntary non-profit - Private</v>
      </c>
      <c r="E4159" t="str" cm="1">
        <f t="array" ref="E4159">_xlfn.IFNA(_xlfn.XLOOKUP(1,([1]!hcahps[Facility ID] = clean[[#This Row],[Facility ID]]) * ([1]!hcahps[HCAHPS Measure ID] = "H_HSP_RATING_LINEAR_SCORE"), [1]!hcahps[HCAHPS Linear Mean Value]), "No Match")</f>
        <v>Not Available</v>
      </c>
      <c r="F4159" t="str" cm="1">
        <f t="array" ref="F4159">_xlfn.IFNA(_xlfn.XLOOKUP(1,([1]!readmissions[Facility ID] = clean[[#This Row],[Facility ID]]) * ([1]!readmissions[Measure ID] = "Hybrid_HWR"), [1]!readmissions[Score]), "No Match")</f>
        <v>Not Available</v>
      </c>
    </row>
    <row r="4160" spans="1:6" x14ac:dyDescent="0.2">
      <c r="A4160">
        <f>[1]!hospitalinfo[[#This Row],[Facility ID]]</f>
        <v>400013</v>
      </c>
      <c r="B4160" t="str">
        <f>[1]!hospitalinfo[[#This Row],[State]]</f>
        <v>PR</v>
      </c>
      <c r="C4160" t="str">
        <f>[1]!hospitalinfo[[#This Row],[Hospital Type]]</f>
        <v>Acute Care Hospitals</v>
      </c>
      <c r="D4160" t="str">
        <f>[1]!hospitalinfo[[#This Row],[Hospital Ownership]]</f>
        <v>Voluntary non-profit - Private</v>
      </c>
      <c r="E4160" t="str" cm="1">
        <f t="array" ref="E4160">_xlfn.IFNA(_xlfn.XLOOKUP(1,([1]!hcahps[Facility ID] = clean[[#This Row],[Facility ID]]) * ([1]!hcahps[HCAHPS Measure ID] = "H_HSP_RATING_LINEAR_SCORE"), [1]!hcahps[HCAHPS Linear Mean Value]), "No Match")</f>
        <v>Not Available</v>
      </c>
      <c r="F4160" cm="1">
        <f t="array" ref="F4160">_xlfn.IFNA(_xlfn.XLOOKUP(1,([1]!readmissions[Facility ID] = clean[[#This Row],[Facility ID]]) * ([1]!readmissions[Measure ID] = "Hybrid_HWR"), [1]!readmissions[Score]), "No Match")</f>
        <v>16</v>
      </c>
    </row>
    <row r="4161" spans="1:6" x14ac:dyDescent="0.2">
      <c r="A4161">
        <f>[1]!hospitalinfo[[#This Row],[Facility ID]]</f>
        <v>400014</v>
      </c>
      <c r="B4161" t="str">
        <f>[1]!hospitalinfo[[#This Row],[State]]</f>
        <v>PR</v>
      </c>
      <c r="C4161" t="str">
        <f>[1]!hospitalinfo[[#This Row],[Hospital Type]]</f>
        <v>Acute Care Hospitals</v>
      </c>
      <c r="D4161" t="str">
        <f>[1]!hospitalinfo[[#This Row],[Hospital Ownership]]</f>
        <v>Voluntary non-profit - Church</v>
      </c>
      <c r="E4161" t="str" cm="1">
        <f t="array" ref="E4161">_xlfn.IFNA(_xlfn.XLOOKUP(1,([1]!hcahps[Facility ID] = clean[[#This Row],[Facility ID]]) * ([1]!hcahps[HCAHPS Measure ID] = "H_HSP_RATING_LINEAR_SCORE"), [1]!hcahps[HCAHPS Linear Mean Value]), "No Match")</f>
        <v>Not Available</v>
      </c>
      <c r="F4161" cm="1">
        <f t="array" ref="F4161">_xlfn.IFNA(_xlfn.XLOOKUP(1,([1]!readmissions[Facility ID] = clean[[#This Row],[Facility ID]]) * ([1]!readmissions[Measure ID] = "Hybrid_HWR"), [1]!readmissions[Score]), "No Match")</f>
        <v>15</v>
      </c>
    </row>
    <row r="4162" spans="1:6" x14ac:dyDescent="0.2">
      <c r="A4162">
        <f>[1]!hospitalinfo[[#This Row],[Facility ID]]</f>
        <v>400015</v>
      </c>
      <c r="B4162" t="str">
        <f>[1]!hospitalinfo[[#This Row],[State]]</f>
        <v>PR</v>
      </c>
      <c r="C4162" t="str">
        <f>[1]!hospitalinfo[[#This Row],[Hospital Type]]</f>
        <v>Acute Care Hospitals</v>
      </c>
      <c r="D4162" t="str">
        <f>[1]!hospitalinfo[[#This Row],[Hospital Ownership]]</f>
        <v>Government - Local</v>
      </c>
      <c r="E4162" t="str" cm="1">
        <f t="array" ref="E4162">_xlfn.IFNA(_xlfn.XLOOKUP(1,([1]!hcahps[Facility ID] = clean[[#This Row],[Facility ID]]) * ([1]!hcahps[HCAHPS Measure ID] = "H_HSP_RATING_LINEAR_SCORE"), [1]!hcahps[HCAHPS Linear Mean Value]), "No Match")</f>
        <v>Not Available</v>
      </c>
      <c r="F4162" cm="1">
        <f t="array" ref="F4162">_xlfn.IFNA(_xlfn.XLOOKUP(1,([1]!readmissions[Facility ID] = clean[[#This Row],[Facility ID]]) * ([1]!readmissions[Measure ID] = "Hybrid_HWR"), [1]!readmissions[Score]), "No Match")</f>
        <v>15.2</v>
      </c>
    </row>
    <row r="4163" spans="1:6" x14ac:dyDescent="0.2">
      <c r="A4163">
        <f>[1]!hospitalinfo[[#This Row],[Facility ID]]</f>
        <v>400016</v>
      </c>
      <c r="B4163" t="str">
        <f>[1]!hospitalinfo[[#This Row],[State]]</f>
        <v>PR</v>
      </c>
      <c r="C4163" t="str">
        <f>[1]!hospitalinfo[[#This Row],[Hospital Type]]</f>
        <v>Acute Care Hospitals</v>
      </c>
      <c r="D4163" t="str">
        <f>[1]!hospitalinfo[[#This Row],[Hospital Ownership]]</f>
        <v>Voluntary non-profit - Private</v>
      </c>
      <c r="E4163" t="str" cm="1">
        <f t="array" ref="E4163">_xlfn.IFNA(_xlfn.XLOOKUP(1,([1]!hcahps[Facility ID] = clean[[#This Row],[Facility ID]]) * ([1]!hcahps[HCAHPS Measure ID] = "H_HSP_RATING_LINEAR_SCORE"), [1]!hcahps[HCAHPS Linear Mean Value]), "No Match")</f>
        <v>Not Available</v>
      </c>
      <c r="F4163" cm="1">
        <f t="array" ref="F4163">_xlfn.IFNA(_xlfn.XLOOKUP(1,([1]!readmissions[Facility ID] = clean[[#This Row],[Facility ID]]) * ([1]!readmissions[Measure ID] = "Hybrid_HWR"), [1]!readmissions[Score]), "No Match")</f>
        <v>16</v>
      </c>
    </row>
    <row r="4164" spans="1:6" x14ac:dyDescent="0.2">
      <c r="A4164">
        <f>[1]!hospitalinfo[[#This Row],[Facility ID]]</f>
        <v>400018</v>
      </c>
      <c r="B4164" t="str">
        <f>[1]!hospitalinfo[[#This Row],[State]]</f>
        <v>PR</v>
      </c>
      <c r="C4164" t="str">
        <f>[1]!hospitalinfo[[#This Row],[Hospital Type]]</f>
        <v>Acute Care Hospitals</v>
      </c>
      <c r="D4164" t="str">
        <f>[1]!hospitalinfo[[#This Row],[Hospital Ownership]]</f>
        <v>Voluntary non-profit - Private</v>
      </c>
      <c r="E4164" t="str" cm="1">
        <f t="array" ref="E4164">_xlfn.IFNA(_xlfn.XLOOKUP(1,([1]!hcahps[Facility ID] = clean[[#This Row],[Facility ID]]) * ([1]!hcahps[HCAHPS Measure ID] = "H_HSP_RATING_LINEAR_SCORE"), [1]!hcahps[HCAHPS Linear Mean Value]), "No Match")</f>
        <v>Not Available</v>
      </c>
      <c r="F4164" cm="1">
        <f t="array" ref="F4164">_xlfn.IFNA(_xlfn.XLOOKUP(1,([1]!readmissions[Facility ID] = clean[[#This Row],[Facility ID]]) * ([1]!readmissions[Measure ID] = "Hybrid_HWR"), [1]!readmissions[Score]), "No Match")</f>
        <v>16.8</v>
      </c>
    </row>
    <row r="4165" spans="1:6" x14ac:dyDescent="0.2">
      <c r="A4165">
        <f>[1]!hospitalinfo[[#This Row],[Facility ID]]</f>
        <v>400019</v>
      </c>
      <c r="B4165" t="str">
        <f>[1]!hospitalinfo[[#This Row],[State]]</f>
        <v>PR</v>
      </c>
      <c r="C4165" t="str">
        <f>[1]!hospitalinfo[[#This Row],[Hospital Type]]</f>
        <v>Acute Care Hospitals</v>
      </c>
      <c r="D4165" t="str">
        <f>[1]!hospitalinfo[[#This Row],[Hospital Ownership]]</f>
        <v>Proprietary</v>
      </c>
      <c r="E4165" t="str" cm="1">
        <f t="array" ref="E4165">_xlfn.IFNA(_xlfn.XLOOKUP(1,([1]!hcahps[Facility ID] = clean[[#This Row],[Facility ID]]) * ([1]!hcahps[HCAHPS Measure ID] = "H_HSP_RATING_LINEAR_SCORE"), [1]!hcahps[HCAHPS Linear Mean Value]), "No Match")</f>
        <v>Not Available</v>
      </c>
      <c r="F4165" cm="1">
        <f t="array" ref="F4165">_xlfn.IFNA(_xlfn.XLOOKUP(1,([1]!readmissions[Facility ID] = clean[[#This Row],[Facility ID]]) * ([1]!readmissions[Measure ID] = "Hybrid_HWR"), [1]!readmissions[Score]), "No Match")</f>
        <v>15.7</v>
      </c>
    </row>
    <row r="4166" spans="1:6" x14ac:dyDescent="0.2">
      <c r="A4166">
        <f>[1]!hospitalinfo[[#This Row],[Facility ID]]</f>
        <v>400021</v>
      </c>
      <c r="B4166" t="str">
        <f>[1]!hospitalinfo[[#This Row],[State]]</f>
        <v>PR</v>
      </c>
      <c r="C4166" t="str">
        <f>[1]!hospitalinfo[[#This Row],[Hospital Type]]</f>
        <v>Acute Care Hospitals</v>
      </c>
      <c r="D4166" t="str">
        <f>[1]!hospitalinfo[[#This Row],[Hospital Ownership]]</f>
        <v>Voluntary non-profit - Private</v>
      </c>
      <c r="E4166" t="str" cm="1">
        <f t="array" ref="E4166">_xlfn.IFNA(_xlfn.XLOOKUP(1,([1]!hcahps[Facility ID] = clean[[#This Row],[Facility ID]]) * ([1]!hcahps[HCAHPS Measure ID] = "H_HSP_RATING_LINEAR_SCORE"), [1]!hcahps[HCAHPS Linear Mean Value]), "No Match")</f>
        <v>Not Available</v>
      </c>
      <c r="F4166" cm="1">
        <f t="array" ref="F4166">_xlfn.IFNA(_xlfn.XLOOKUP(1,([1]!readmissions[Facility ID] = clean[[#This Row],[Facility ID]]) * ([1]!readmissions[Measure ID] = "Hybrid_HWR"), [1]!readmissions[Score]), "No Match")</f>
        <v>16.2</v>
      </c>
    </row>
    <row r="4167" spans="1:6" x14ac:dyDescent="0.2">
      <c r="A4167">
        <f>[1]!hospitalinfo[[#This Row],[Facility ID]]</f>
        <v>400022</v>
      </c>
      <c r="B4167" t="str">
        <f>[1]!hospitalinfo[[#This Row],[State]]</f>
        <v>PR</v>
      </c>
      <c r="C4167" t="str">
        <f>[1]!hospitalinfo[[#This Row],[Hospital Type]]</f>
        <v>Acute Care Hospitals</v>
      </c>
      <c r="D4167" t="str">
        <f>[1]!hospitalinfo[[#This Row],[Hospital Ownership]]</f>
        <v>Voluntary non-profit - Private</v>
      </c>
      <c r="E4167" cm="1">
        <f t="array" ref="E4167">_xlfn.IFNA(_xlfn.XLOOKUP(1,([1]!hcahps[Facility ID] = clean[[#This Row],[Facility ID]]) * ([1]!hcahps[HCAHPS Measure ID] = "H_HSP_RATING_LINEAR_SCORE"), [1]!hcahps[HCAHPS Linear Mean Value]), "No Match")</f>
        <v>84</v>
      </c>
      <c r="F4167" cm="1">
        <f t="array" ref="F4167">_xlfn.IFNA(_xlfn.XLOOKUP(1,([1]!readmissions[Facility ID] = clean[[#This Row],[Facility ID]]) * ([1]!readmissions[Measure ID] = "Hybrid_HWR"), [1]!readmissions[Score]), "No Match")</f>
        <v>15.3</v>
      </c>
    </row>
    <row r="4168" spans="1:6" x14ac:dyDescent="0.2">
      <c r="A4168">
        <f>[1]!hospitalinfo[[#This Row],[Facility ID]]</f>
        <v>400032</v>
      </c>
      <c r="B4168" t="str">
        <f>[1]!hospitalinfo[[#This Row],[State]]</f>
        <v>PR</v>
      </c>
      <c r="C4168" t="str">
        <f>[1]!hospitalinfo[[#This Row],[Hospital Type]]</f>
        <v>Acute Care Hospitals</v>
      </c>
      <c r="D4168" t="str">
        <f>[1]!hospitalinfo[[#This Row],[Hospital Ownership]]</f>
        <v>Proprietary</v>
      </c>
      <c r="E4168" cm="1">
        <f t="array" ref="E4168">_xlfn.IFNA(_xlfn.XLOOKUP(1,([1]!hcahps[Facility ID] = clean[[#This Row],[Facility ID]]) * ([1]!hcahps[HCAHPS Measure ID] = "H_HSP_RATING_LINEAR_SCORE"), [1]!hcahps[HCAHPS Linear Mean Value]), "No Match")</f>
        <v>77</v>
      </c>
      <c r="F4168" cm="1">
        <f t="array" ref="F4168">_xlfn.IFNA(_xlfn.XLOOKUP(1,([1]!readmissions[Facility ID] = clean[[#This Row],[Facility ID]]) * ([1]!readmissions[Measure ID] = "Hybrid_HWR"), [1]!readmissions[Score]), "No Match")</f>
        <v>15.8</v>
      </c>
    </row>
    <row r="4169" spans="1:6" x14ac:dyDescent="0.2">
      <c r="A4169">
        <f>[1]!hospitalinfo[[#This Row],[Facility ID]]</f>
        <v>400044</v>
      </c>
      <c r="B4169" t="str">
        <f>[1]!hospitalinfo[[#This Row],[State]]</f>
        <v>PR</v>
      </c>
      <c r="C4169" t="str">
        <f>[1]!hospitalinfo[[#This Row],[Hospital Type]]</f>
        <v>Acute Care Hospitals</v>
      </c>
      <c r="D4169" t="str">
        <f>[1]!hospitalinfo[[#This Row],[Hospital Ownership]]</f>
        <v>Voluntary non-profit - Private</v>
      </c>
      <c r="E4169" t="str" cm="1">
        <f t="array" ref="E4169">_xlfn.IFNA(_xlfn.XLOOKUP(1,([1]!hcahps[Facility ID] = clean[[#This Row],[Facility ID]]) * ([1]!hcahps[HCAHPS Measure ID] = "H_HSP_RATING_LINEAR_SCORE"), [1]!hcahps[HCAHPS Linear Mean Value]), "No Match")</f>
        <v>Not Available</v>
      </c>
      <c r="F4169" cm="1">
        <f t="array" ref="F4169">_xlfn.IFNA(_xlfn.XLOOKUP(1,([1]!readmissions[Facility ID] = clean[[#This Row],[Facility ID]]) * ([1]!readmissions[Measure ID] = "Hybrid_HWR"), [1]!readmissions[Score]), "No Match")</f>
        <v>15.1</v>
      </c>
    </row>
    <row r="4170" spans="1:6" x14ac:dyDescent="0.2">
      <c r="A4170">
        <f>[1]!hospitalinfo[[#This Row],[Facility ID]]</f>
        <v>400048</v>
      </c>
      <c r="B4170" t="str">
        <f>[1]!hospitalinfo[[#This Row],[State]]</f>
        <v>PR</v>
      </c>
      <c r="C4170" t="str">
        <f>[1]!hospitalinfo[[#This Row],[Hospital Type]]</f>
        <v>Acute Care Hospitals</v>
      </c>
      <c r="D4170" t="str">
        <f>[1]!hospitalinfo[[#This Row],[Hospital Ownership]]</f>
        <v>Voluntary non-profit - Private</v>
      </c>
      <c r="E4170" t="str" cm="1">
        <f t="array" ref="E4170">_xlfn.IFNA(_xlfn.XLOOKUP(1,([1]!hcahps[Facility ID] = clean[[#This Row],[Facility ID]]) * ([1]!hcahps[HCAHPS Measure ID] = "H_HSP_RATING_LINEAR_SCORE"), [1]!hcahps[HCAHPS Linear Mean Value]), "No Match")</f>
        <v>Not Available</v>
      </c>
      <c r="F4170" cm="1">
        <f t="array" ref="F4170">_xlfn.IFNA(_xlfn.XLOOKUP(1,([1]!readmissions[Facility ID] = clean[[#This Row],[Facility ID]]) * ([1]!readmissions[Measure ID] = "Hybrid_HWR"), [1]!readmissions[Score]), "No Match")</f>
        <v>16.399999999999999</v>
      </c>
    </row>
    <row r="4171" spans="1:6" x14ac:dyDescent="0.2">
      <c r="A4171">
        <f>[1]!hospitalinfo[[#This Row],[Facility ID]]</f>
        <v>400061</v>
      </c>
      <c r="B4171" t="str">
        <f>[1]!hospitalinfo[[#This Row],[State]]</f>
        <v>PR</v>
      </c>
      <c r="C4171" t="str">
        <f>[1]!hospitalinfo[[#This Row],[Hospital Type]]</f>
        <v>Acute Care Hospitals</v>
      </c>
      <c r="D4171" t="str">
        <f>[1]!hospitalinfo[[#This Row],[Hospital Ownership]]</f>
        <v>Government - State</v>
      </c>
      <c r="E4171" t="str" cm="1">
        <f t="array" ref="E4171">_xlfn.IFNA(_xlfn.XLOOKUP(1,([1]!hcahps[Facility ID] = clean[[#This Row],[Facility ID]]) * ([1]!hcahps[HCAHPS Measure ID] = "H_HSP_RATING_LINEAR_SCORE"), [1]!hcahps[HCAHPS Linear Mean Value]), "No Match")</f>
        <v>Not Available</v>
      </c>
      <c r="F4171" cm="1">
        <f t="array" ref="F4171">_xlfn.IFNA(_xlfn.XLOOKUP(1,([1]!readmissions[Facility ID] = clean[[#This Row],[Facility ID]]) * ([1]!readmissions[Measure ID] = "Hybrid_HWR"), [1]!readmissions[Score]), "No Match")</f>
        <v>15.3</v>
      </c>
    </row>
    <row r="4172" spans="1:6" x14ac:dyDescent="0.2">
      <c r="A4172">
        <f>[1]!hospitalinfo[[#This Row],[Facility ID]]</f>
        <v>400079</v>
      </c>
      <c r="B4172" t="str">
        <f>[1]!hospitalinfo[[#This Row],[State]]</f>
        <v>PR</v>
      </c>
      <c r="C4172" t="str">
        <f>[1]!hospitalinfo[[#This Row],[Hospital Type]]</f>
        <v>Acute Care Hospitals</v>
      </c>
      <c r="D4172" t="str">
        <f>[1]!hospitalinfo[[#This Row],[Hospital Ownership]]</f>
        <v>Voluntary non-profit - Private</v>
      </c>
      <c r="E4172" t="str" cm="1">
        <f t="array" ref="E4172">_xlfn.IFNA(_xlfn.XLOOKUP(1,([1]!hcahps[Facility ID] = clean[[#This Row],[Facility ID]]) * ([1]!hcahps[HCAHPS Measure ID] = "H_HSP_RATING_LINEAR_SCORE"), [1]!hcahps[HCAHPS Linear Mean Value]), "No Match")</f>
        <v>Not Available</v>
      </c>
      <c r="F4172" cm="1">
        <f t="array" ref="F4172">_xlfn.IFNA(_xlfn.XLOOKUP(1,([1]!readmissions[Facility ID] = clean[[#This Row],[Facility ID]]) * ([1]!readmissions[Measure ID] = "Hybrid_HWR"), [1]!readmissions[Score]), "No Match")</f>
        <v>15.7</v>
      </c>
    </row>
    <row r="4173" spans="1:6" x14ac:dyDescent="0.2">
      <c r="A4173">
        <f>[1]!hospitalinfo[[#This Row],[Facility ID]]</f>
        <v>400087</v>
      </c>
      <c r="B4173" t="str">
        <f>[1]!hospitalinfo[[#This Row],[State]]</f>
        <v>PR</v>
      </c>
      <c r="C4173" t="str">
        <f>[1]!hospitalinfo[[#This Row],[Hospital Type]]</f>
        <v>Acute Care Hospitals</v>
      </c>
      <c r="D4173" t="str">
        <f>[1]!hospitalinfo[[#This Row],[Hospital Ownership]]</f>
        <v>Proprietary</v>
      </c>
      <c r="E4173" t="str" cm="1">
        <f t="array" ref="E4173">_xlfn.IFNA(_xlfn.XLOOKUP(1,([1]!hcahps[Facility ID] = clean[[#This Row],[Facility ID]]) * ([1]!hcahps[HCAHPS Measure ID] = "H_HSP_RATING_LINEAR_SCORE"), [1]!hcahps[HCAHPS Linear Mean Value]), "No Match")</f>
        <v>Not Available</v>
      </c>
      <c r="F4173" cm="1">
        <f t="array" ref="F4173">_xlfn.IFNA(_xlfn.XLOOKUP(1,([1]!readmissions[Facility ID] = clean[[#This Row],[Facility ID]]) * ([1]!readmissions[Measure ID] = "Hybrid_HWR"), [1]!readmissions[Score]), "No Match")</f>
        <v>15.8</v>
      </c>
    </row>
    <row r="4174" spans="1:6" x14ac:dyDescent="0.2">
      <c r="A4174">
        <f>[1]!hospitalinfo[[#This Row],[Facility ID]]</f>
        <v>400098</v>
      </c>
      <c r="B4174" t="str">
        <f>[1]!hospitalinfo[[#This Row],[State]]</f>
        <v>PR</v>
      </c>
      <c r="C4174" t="str">
        <f>[1]!hospitalinfo[[#This Row],[Hospital Type]]</f>
        <v>Acute Care Hospitals</v>
      </c>
      <c r="D4174" t="str">
        <f>[1]!hospitalinfo[[#This Row],[Hospital Ownership]]</f>
        <v>Proprietary</v>
      </c>
      <c r="E4174" t="str" cm="1">
        <f t="array" ref="E4174">_xlfn.IFNA(_xlfn.XLOOKUP(1,([1]!hcahps[Facility ID] = clean[[#This Row],[Facility ID]]) * ([1]!hcahps[HCAHPS Measure ID] = "H_HSP_RATING_LINEAR_SCORE"), [1]!hcahps[HCAHPS Linear Mean Value]), "No Match")</f>
        <v>Not Available</v>
      </c>
      <c r="F4174" cm="1">
        <f t="array" ref="F4174">_xlfn.IFNA(_xlfn.XLOOKUP(1,([1]!readmissions[Facility ID] = clean[[#This Row],[Facility ID]]) * ([1]!readmissions[Measure ID] = "Hybrid_HWR"), [1]!readmissions[Score]), "No Match")</f>
        <v>15.8</v>
      </c>
    </row>
    <row r="4175" spans="1:6" x14ac:dyDescent="0.2">
      <c r="A4175">
        <f>[1]!hospitalinfo[[#This Row],[Facility ID]]</f>
        <v>400102</v>
      </c>
      <c r="B4175" t="str">
        <f>[1]!hospitalinfo[[#This Row],[State]]</f>
        <v>PR</v>
      </c>
      <c r="C4175" t="str">
        <f>[1]!hospitalinfo[[#This Row],[Hospital Type]]</f>
        <v>Acute Care Hospitals</v>
      </c>
      <c r="D4175" t="str">
        <f>[1]!hospitalinfo[[#This Row],[Hospital Ownership]]</f>
        <v>Proprietary</v>
      </c>
      <c r="E4175" cm="1">
        <f t="array" ref="E4175">_xlfn.IFNA(_xlfn.XLOOKUP(1,([1]!hcahps[Facility ID] = clean[[#This Row],[Facility ID]]) * ([1]!hcahps[HCAHPS Measure ID] = "H_HSP_RATING_LINEAR_SCORE"), [1]!hcahps[HCAHPS Linear Mean Value]), "No Match")</f>
        <v>81</v>
      </c>
      <c r="F4175" cm="1">
        <f t="array" ref="F4175">_xlfn.IFNA(_xlfn.XLOOKUP(1,([1]!readmissions[Facility ID] = clean[[#This Row],[Facility ID]]) * ([1]!readmissions[Measure ID] = "Hybrid_HWR"), [1]!readmissions[Score]), "No Match")</f>
        <v>16.600000000000001</v>
      </c>
    </row>
    <row r="4176" spans="1:6" x14ac:dyDescent="0.2">
      <c r="A4176">
        <f>[1]!hospitalinfo[[#This Row],[Facility ID]]</f>
        <v>400103</v>
      </c>
      <c r="B4176" t="str">
        <f>[1]!hospitalinfo[[#This Row],[State]]</f>
        <v>PR</v>
      </c>
      <c r="C4176" t="str">
        <f>[1]!hospitalinfo[[#This Row],[Hospital Type]]</f>
        <v>Acute Care Hospitals</v>
      </c>
      <c r="D4176" t="str">
        <f>[1]!hospitalinfo[[#This Row],[Hospital Ownership]]</f>
        <v>Proprietary</v>
      </c>
      <c r="E4176" cm="1">
        <f t="array" ref="E4176">_xlfn.IFNA(_xlfn.XLOOKUP(1,([1]!hcahps[Facility ID] = clean[[#This Row],[Facility ID]]) * ([1]!hcahps[HCAHPS Measure ID] = "H_HSP_RATING_LINEAR_SCORE"), [1]!hcahps[HCAHPS Linear Mean Value]), "No Match")</f>
        <v>78</v>
      </c>
      <c r="F4176" cm="1">
        <f t="array" ref="F4176">_xlfn.IFNA(_xlfn.XLOOKUP(1,([1]!readmissions[Facility ID] = clean[[#This Row],[Facility ID]]) * ([1]!readmissions[Measure ID] = "Hybrid_HWR"), [1]!readmissions[Score]), "No Match")</f>
        <v>16.3</v>
      </c>
    </row>
    <row r="4177" spans="1:6" x14ac:dyDescent="0.2">
      <c r="A4177">
        <f>[1]!hospitalinfo[[#This Row],[Facility ID]]</f>
        <v>400104</v>
      </c>
      <c r="B4177" t="str">
        <f>[1]!hospitalinfo[[#This Row],[State]]</f>
        <v>PR</v>
      </c>
      <c r="C4177" t="str">
        <f>[1]!hospitalinfo[[#This Row],[Hospital Type]]</f>
        <v>Acute Care Hospitals</v>
      </c>
      <c r="D4177" t="str">
        <f>[1]!hospitalinfo[[#This Row],[Hospital Ownership]]</f>
        <v>Voluntary non-profit - Private</v>
      </c>
      <c r="E4177" t="str" cm="1">
        <f t="array" ref="E4177">_xlfn.IFNA(_xlfn.XLOOKUP(1,([1]!hcahps[Facility ID] = clean[[#This Row],[Facility ID]]) * ([1]!hcahps[HCAHPS Measure ID] = "H_HSP_RATING_LINEAR_SCORE"), [1]!hcahps[HCAHPS Linear Mean Value]), "No Match")</f>
        <v>Not Available</v>
      </c>
      <c r="F4177" cm="1">
        <f t="array" ref="F4177">_xlfn.IFNA(_xlfn.XLOOKUP(1,([1]!readmissions[Facility ID] = clean[[#This Row],[Facility ID]]) * ([1]!readmissions[Measure ID] = "Hybrid_HWR"), [1]!readmissions[Score]), "No Match")</f>
        <v>16.600000000000001</v>
      </c>
    </row>
    <row r="4178" spans="1:6" x14ac:dyDescent="0.2">
      <c r="A4178">
        <f>[1]!hospitalinfo[[#This Row],[Facility ID]]</f>
        <v>400105</v>
      </c>
      <c r="B4178" t="str">
        <f>[1]!hospitalinfo[[#This Row],[State]]</f>
        <v>PR</v>
      </c>
      <c r="C4178" t="str">
        <f>[1]!hospitalinfo[[#This Row],[Hospital Type]]</f>
        <v>Acute Care Hospitals</v>
      </c>
      <c r="D4178" t="str">
        <f>[1]!hospitalinfo[[#This Row],[Hospital Ownership]]</f>
        <v>Government - State</v>
      </c>
      <c r="E4178" t="str" cm="1">
        <f t="array" ref="E4178">_xlfn.IFNA(_xlfn.XLOOKUP(1,([1]!hcahps[Facility ID] = clean[[#This Row],[Facility ID]]) * ([1]!hcahps[HCAHPS Measure ID] = "H_HSP_RATING_LINEAR_SCORE"), [1]!hcahps[HCAHPS Linear Mean Value]), "No Match")</f>
        <v>Not Available</v>
      </c>
      <c r="F4178" cm="1">
        <f t="array" ref="F4178">_xlfn.IFNA(_xlfn.XLOOKUP(1,([1]!readmissions[Facility ID] = clean[[#This Row],[Facility ID]]) * ([1]!readmissions[Measure ID] = "Hybrid_HWR"), [1]!readmissions[Score]), "No Match")</f>
        <v>15.2</v>
      </c>
    </row>
    <row r="4179" spans="1:6" x14ac:dyDescent="0.2">
      <c r="A4179">
        <f>[1]!hospitalinfo[[#This Row],[Facility ID]]</f>
        <v>400106</v>
      </c>
      <c r="B4179" t="str">
        <f>[1]!hospitalinfo[[#This Row],[State]]</f>
        <v>PR</v>
      </c>
      <c r="C4179" t="str">
        <f>[1]!hospitalinfo[[#This Row],[Hospital Type]]</f>
        <v>Acute Care Hospitals</v>
      </c>
      <c r="D4179" t="str">
        <f>[1]!hospitalinfo[[#This Row],[Hospital Ownership]]</f>
        <v>Proprietary</v>
      </c>
      <c r="E4179" t="str" cm="1">
        <f t="array" ref="E4179">_xlfn.IFNA(_xlfn.XLOOKUP(1,([1]!hcahps[Facility ID] = clean[[#This Row],[Facility ID]]) * ([1]!hcahps[HCAHPS Measure ID] = "H_HSP_RATING_LINEAR_SCORE"), [1]!hcahps[HCAHPS Linear Mean Value]), "No Match")</f>
        <v>Not Available</v>
      </c>
      <c r="F4179" cm="1">
        <f t="array" ref="F4179">_xlfn.IFNA(_xlfn.XLOOKUP(1,([1]!readmissions[Facility ID] = clean[[#This Row],[Facility ID]]) * ([1]!readmissions[Measure ID] = "Hybrid_HWR"), [1]!readmissions[Score]), "No Match")</f>
        <v>15.5</v>
      </c>
    </row>
    <row r="4180" spans="1:6" x14ac:dyDescent="0.2">
      <c r="A4180">
        <f>[1]!hospitalinfo[[#This Row],[Facility ID]]</f>
        <v>400109</v>
      </c>
      <c r="B4180" t="str">
        <f>[1]!hospitalinfo[[#This Row],[State]]</f>
        <v>PR</v>
      </c>
      <c r="C4180" t="str">
        <f>[1]!hospitalinfo[[#This Row],[Hospital Type]]</f>
        <v>Acute Care Hospitals</v>
      </c>
      <c r="D4180" t="str">
        <f>[1]!hospitalinfo[[#This Row],[Hospital Ownership]]</f>
        <v>Voluntary non-profit - Private</v>
      </c>
      <c r="E4180" t="str" cm="1">
        <f t="array" ref="E4180">_xlfn.IFNA(_xlfn.XLOOKUP(1,([1]!hcahps[Facility ID] = clean[[#This Row],[Facility ID]]) * ([1]!hcahps[HCAHPS Measure ID] = "H_HSP_RATING_LINEAR_SCORE"), [1]!hcahps[HCAHPS Linear Mean Value]), "No Match")</f>
        <v>Not Available</v>
      </c>
      <c r="F4180" cm="1">
        <f t="array" ref="F4180">_xlfn.IFNA(_xlfn.XLOOKUP(1,([1]!readmissions[Facility ID] = clean[[#This Row],[Facility ID]]) * ([1]!readmissions[Measure ID] = "Hybrid_HWR"), [1]!readmissions[Score]), "No Match")</f>
        <v>15.4</v>
      </c>
    </row>
    <row r="4181" spans="1:6" x14ac:dyDescent="0.2">
      <c r="A4181">
        <f>[1]!hospitalinfo[[#This Row],[Facility ID]]</f>
        <v>400110</v>
      </c>
      <c r="B4181" t="str">
        <f>[1]!hospitalinfo[[#This Row],[State]]</f>
        <v>PR</v>
      </c>
      <c r="C4181" t="str">
        <f>[1]!hospitalinfo[[#This Row],[Hospital Type]]</f>
        <v>Acute Care Hospitals</v>
      </c>
      <c r="D4181" t="str">
        <f>[1]!hospitalinfo[[#This Row],[Hospital Ownership]]</f>
        <v>Proprietary</v>
      </c>
      <c r="E4181" t="str" cm="1">
        <f t="array" ref="E4181">_xlfn.IFNA(_xlfn.XLOOKUP(1,([1]!hcahps[Facility ID] = clean[[#This Row],[Facility ID]]) * ([1]!hcahps[HCAHPS Measure ID] = "H_HSP_RATING_LINEAR_SCORE"), [1]!hcahps[HCAHPS Linear Mean Value]), "No Match")</f>
        <v>Not Available</v>
      </c>
      <c r="F4181" cm="1">
        <f t="array" ref="F4181">_xlfn.IFNA(_xlfn.XLOOKUP(1,([1]!readmissions[Facility ID] = clean[[#This Row],[Facility ID]]) * ([1]!readmissions[Measure ID] = "Hybrid_HWR"), [1]!readmissions[Score]), "No Match")</f>
        <v>15.2</v>
      </c>
    </row>
    <row r="4182" spans="1:6" x14ac:dyDescent="0.2">
      <c r="A4182">
        <f>[1]!hospitalinfo[[#This Row],[Facility ID]]</f>
        <v>400111</v>
      </c>
      <c r="B4182" t="str">
        <f>[1]!hospitalinfo[[#This Row],[State]]</f>
        <v>PR</v>
      </c>
      <c r="C4182" t="str">
        <f>[1]!hospitalinfo[[#This Row],[Hospital Type]]</f>
        <v>Acute Care Hospitals</v>
      </c>
      <c r="D4182" t="str">
        <f>[1]!hospitalinfo[[#This Row],[Hospital Ownership]]</f>
        <v>Voluntary non-profit - Private</v>
      </c>
      <c r="E4182" t="str" cm="1">
        <f t="array" ref="E4182">_xlfn.IFNA(_xlfn.XLOOKUP(1,([1]!hcahps[Facility ID] = clean[[#This Row],[Facility ID]]) * ([1]!hcahps[HCAHPS Measure ID] = "H_HSP_RATING_LINEAR_SCORE"), [1]!hcahps[HCAHPS Linear Mean Value]), "No Match")</f>
        <v>Not Available</v>
      </c>
      <c r="F4182" cm="1">
        <f t="array" ref="F4182">_xlfn.IFNA(_xlfn.XLOOKUP(1,([1]!readmissions[Facility ID] = clean[[#This Row],[Facility ID]]) * ([1]!readmissions[Measure ID] = "Hybrid_HWR"), [1]!readmissions[Score]), "No Match")</f>
        <v>15.7</v>
      </c>
    </row>
    <row r="4183" spans="1:6" x14ac:dyDescent="0.2">
      <c r="A4183">
        <f>[1]!hospitalinfo[[#This Row],[Facility ID]]</f>
        <v>400112</v>
      </c>
      <c r="B4183" t="str">
        <f>[1]!hospitalinfo[[#This Row],[State]]</f>
        <v>PR</v>
      </c>
      <c r="C4183" t="str">
        <f>[1]!hospitalinfo[[#This Row],[Hospital Type]]</f>
        <v>Acute Care Hospitals</v>
      </c>
      <c r="D4183" t="str">
        <f>[1]!hospitalinfo[[#This Row],[Hospital Ownership]]</f>
        <v>Voluntary non-profit - Private</v>
      </c>
      <c r="E4183" t="str" cm="1">
        <f t="array" ref="E4183">_xlfn.IFNA(_xlfn.XLOOKUP(1,([1]!hcahps[Facility ID] = clean[[#This Row],[Facility ID]]) * ([1]!hcahps[HCAHPS Measure ID] = "H_HSP_RATING_LINEAR_SCORE"), [1]!hcahps[HCAHPS Linear Mean Value]), "No Match")</f>
        <v>Not Available</v>
      </c>
      <c r="F4183" cm="1">
        <f t="array" ref="F4183">_xlfn.IFNA(_xlfn.XLOOKUP(1,([1]!readmissions[Facility ID] = clean[[#This Row],[Facility ID]]) * ([1]!readmissions[Measure ID] = "Hybrid_HWR"), [1]!readmissions[Score]), "No Match")</f>
        <v>16.2</v>
      </c>
    </row>
    <row r="4184" spans="1:6" x14ac:dyDescent="0.2">
      <c r="A4184">
        <f>[1]!hospitalinfo[[#This Row],[Facility ID]]</f>
        <v>400113</v>
      </c>
      <c r="B4184" t="str">
        <f>[1]!hospitalinfo[[#This Row],[State]]</f>
        <v>PR</v>
      </c>
      <c r="C4184" t="str">
        <f>[1]!hospitalinfo[[#This Row],[Hospital Type]]</f>
        <v>Acute Care Hospitals</v>
      </c>
      <c r="D4184" t="str">
        <f>[1]!hospitalinfo[[#This Row],[Hospital Ownership]]</f>
        <v>Voluntary non-profit - Private</v>
      </c>
      <c r="E4184" t="str" cm="1">
        <f t="array" ref="E4184">_xlfn.IFNA(_xlfn.XLOOKUP(1,([1]!hcahps[Facility ID] = clean[[#This Row],[Facility ID]]) * ([1]!hcahps[HCAHPS Measure ID] = "H_HSP_RATING_LINEAR_SCORE"), [1]!hcahps[HCAHPS Linear Mean Value]), "No Match")</f>
        <v>Not Available</v>
      </c>
      <c r="F4184" cm="1">
        <f t="array" ref="F4184">_xlfn.IFNA(_xlfn.XLOOKUP(1,([1]!readmissions[Facility ID] = clean[[#This Row],[Facility ID]]) * ([1]!readmissions[Measure ID] = "Hybrid_HWR"), [1]!readmissions[Score]), "No Match")</f>
        <v>15.4</v>
      </c>
    </row>
    <row r="4185" spans="1:6" x14ac:dyDescent="0.2">
      <c r="A4185">
        <f>[1]!hospitalinfo[[#This Row],[Facility ID]]</f>
        <v>400114</v>
      </c>
      <c r="B4185" t="str">
        <f>[1]!hospitalinfo[[#This Row],[State]]</f>
        <v>PR</v>
      </c>
      <c r="C4185" t="str">
        <f>[1]!hospitalinfo[[#This Row],[Hospital Type]]</f>
        <v>Acute Care Hospitals</v>
      </c>
      <c r="D4185" t="str">
        <f>[1]!hospitalinfo[[#This Row],[Hospital Ownership]]</f>
        <v>Voluntary non-profit - Private</v>
      </c>
      <c r="E4185" cm="1">
        <f t="array" ref="E4185">_xlfn.IFNA(_xlfn.XLOOKUP(1,([1]!hcahps[Facility ID] = clean[[#This Row],[Facility ID]]) * ([1]!hcahps[HCAHPS Measure ID] = "H_HSP_RATING_LINEAR_SCORE"), [1]!hcahps[HCAHPS Linear Mean Value]), "No Match")</f>
        <v>86</v>
      </c>
      <c r="F4185" cm="1">
        <f t="array" ref="F4185">_xlfn.IFNA(_xlfn.XLOOKUP(1,([1]!readmissions[Facility ID] = clean[[#This Row],[Facility ID]]) * ([1]!readmissions[Measure ID] = "Hybrid_HWR"), [1]!readmissions[Score]), "No Match")</f>
        <v>15.9</v>
      </c>
    </row>
    <row r="4186" spans="1:6" x14ac:dyDescent="0.2">
      <c r="A4186">
        <f>[1]!hospitalinfo[[#This Row],[Facility ID]]</f>
        <v>400115</v>
      </c>
      <c r="B4186" t="str">
        <f>[1]!hospitalinfo[[#This Row],[State]]</f>
        <v>PR</v>
      </c>
      <c r="C4186" t="str">
        <f>[1]!hospitalinfo[[#This Row],[Hospital Type]]</f>
        <v>Acute Care Hospitals</v>
      </c>
      <c r="D4186" t="str">
        <f>[1]!hospitalinfo[[#This Row],[Hospital Ownership]]</f>
        <v>Proprietary</v>
      </c>
      <c r="E4186" t="str" cm="1">
        <f t="array" ref="E4186">_xlfn.IFNA(_xlfn.XLOOKUP(1,([1]!hcahps[Facility ID] = clean[[#This Row],[Facility ID]]) * ([1]!hcahps[HCAHPS Measure ID] = "H_HSP_RATING_LINEAR_SCORE"), [1]!hcahps[HCAHPS Linear Mean Value]), "No Match")</f>
        <v>Not Available</v>
      </c>
      <c r="F4186" cm="1">
        <f t="array" ref="F4186">_xlfn.IFNA(_xlfn.XLOOKUP(1,([1]!readmissions[Facility ID] = clean[[#This Row],[Facility ID]]) * ([1]!readmissions[Measure ID] = "Hybrid_HWR"), [1]!readmissions[Score]), "No Match")</f>
        <v>15.2</v>
      </c>
    </row>
    <row r="4187" spans="1:6" x14ac:dyDescent="0.2">
      <c r="A4187">
        <f>[1]!hospitalinfo[[#This Row],[Facility ID]]</f>
        <v>400117</v>
      </c>
      <c r="B4187" t="str">
        <f>[1]!hospitalinfo[[#This Row],[State]]</f>
        <v>PR</v>
      </c>
      <c r="C4187" t="str">
        <f>[1]!hospitalinfo[[#This Row],[Hospital Type]]</f>
        <v>Acute Care Hospitals</v>
      </c>
      <c r="D4187" t="str">
        <f>[1]!hospitalinfo[[#This Row],[Hospital Ownership]]</f>
        <v>Voluntary non-profit - Private</v>
      </c>
      <c r="E4187" t="str" cm="1">
        <f t="array" ref="E4187">_xlfn.IFNA(_xlfn.XLOOKUP(1,([1]!hcahps[Facility ID] = clean[[#This Row],[Facility ID]]) * ([1]!hcahps[HCAHPS Measure ID] = "H_HSP_RATING_LINEAR_SCORE"), [1]!hcahps[HCAHPS Linear Mean Value]), "No Match")</f>
        <v>Not Available</v>
      </c>
      <c r="F4187" cm="1">
        <f t="array" ref="F4187">_xlfn.IFNA(_xlfn.XLOOKUP(1,([1]!readmissions[Facility ID] = clean[[#This Row],[Facility ID]]) * ([1]!readmissions[Measure ID] = "Hybrid_HWR"), [1]!readmissions[Score]), "No Match")</f>
        <v>16.5</v>
      </c>
    </row>
    <row r="4188" spans="1:6" x14ac:dyDescent="0.2">
      <c r="A4188">
        <f>[1]!hospitalinfo[[#This Row],[Facility ID]]</f>
        <v>400118</v>
      </c>
      <c r="B4188" t="str">
        <f>[1]!hospitalinfo[[#This Row],[State]]</f>
        <v>PR</v>
      </c>
      <c r="C4188" t="str">
        <f>[1]!hospitalinfo[[#This Row],[Hospital Type]]</f>
        <v>Acute Care Hospitals</v>
      </c>
      <c r="D4188" t="str">
        <f>[1]!hospitalinfo[[#This Row],[Hospital Ownership]]</f>
        <v>Proprietary</v>
      </c>
      <c r="E4188" cm="1">
        <f t="array" ref="E4188">_xlfn.IFNA(_xlfn.XLOOKUP(1,([1]!hcahps[Facility ID] = clean[[#This Row],[Facility ID]]) * ([1]!hcahps[HCAHPS Measure ID] = "H_HSP_RATING_LINEAR_SCORE"), [1]!hcahps[HCAHPS Linear Mean Value]), "No Match")</f>
        <v>88</v>
      </c>
      <c r="F4188" cm="1">
        <f t="array" ref="F4188">_xlfn.IFNA(_xlfn.XLOOKUP(1,([1]!readmissions[Facility ID] = clean[[#This Row],[Facility ID]]) * ([1]!readmissions[Measure ID] = "Hybrid_HWR"), [1]!readmissions[Score]), "No Match")</f>
        <v>16.3</v>
      </c>
    </row>
    <row r="4189" spans="1:6" x14ac:dyDescent="0.2">
      <c r="A4189">
        <f>[1]!hospitalinfo[[#This Row],[Facility ID]]</f>
        <v>400120</v>
      </c>
      <c r="B4189" t="str">
        <f>[1]!hospitalinfo[[#This Row],[State]]</f>
        <v>PR</v>
      </c>
      <c r="C4189" t="str">
        <f>[1]!hospitalinfo[[#This Row],[Hospital Type]]</f>
        <v>Acute Care Hospitals</v>
      </c>
      <c r="D4189" t="str">
        <f>[1]!hospitalinfo[[#This Row],[Hospital Ownership]]</f>
        <v>Proprietary</v>
      </c>
      <c r="E4189" t="str" cm="1">
        <f t="array" ref="E4189">_xlfn.IFNA(_xlfn.XLOOKUP(1,([1]!hcahps[Facility ID] = clean[[#This Row],[Facility ID]]) * ([1]!hcahps[HCAHPS Measure ID] = "H_HSP_RATING_LINEAR_SCORE"), [1]!hcahps[HCAHPS Linear Mean Value]), "No Match")</f>
        <v>Not Available</v>
      </c>
      <c r="F4189" cm="1">
        <f t="array" ref="F4189">_xlfn.IFNA(_xlfn.XLOOKUP(1,([1]!readmissions[Facility ID] = clean[[#This Row],[Facility ID]]) * ([1]!readmissions[Measure ID] = "Hybrid_HWR"), [1]!readmissions[Score]), "No Match")</f>
        <v>17.100000000000001</v>
      </c>
    </row>
    <row r="4190" spans="1:6" x14ac:dyDescent="0.2">
      <c r="A4190">
        <f>[1]!hospitalinfo[[#This Row],[Facility ID]]</f>
        <v>400122</v>
      </c>
      <c r="B4190" t="str">
        <f>[1]!hospitalinfo[[#This Row],[State]]</f>
        <v>PR</v>
      </c>
      <c r="C4190" t="str">
        <f>[1]!hospitalinfo[[#This Row],[Hospital Type]]</f>
        <v>Acute Care Hospitals</v>
      </c>
      <c r="D4190" t="str">
        <f>[1]!hospitalinfo[[#This Row],[Hospital Ownership]]</f>
        <v>Proprietary</v>
      </c>
      <c r="E4190" t="str" cm="1">
        <f t="array" ref="E4190">_xlfn.IFNA(_xlfn.XLOOKUP(1,([1]!hcahps[Facility ID] = clean[[#This Row],[Facility ID]]) * ([1]!hcahps[HCAHPS Measure ID] = "H_HSP_RATING_LINEAR_SCORE"), [1]!hcahps[HCAHPS Linear Mean Value]), "No Match")</f>
        <v>Not Available</v>
      </c>
      <c r="F4190" t="str" cm="1">
        <f t="array" ref="F4190">_xlfn.IFNA(_xlfn.XLOOKUP(1,([1]!readmissions[Facility ID] = clean[[#This Row],[Facility ID]]) * ([1]!readmissions[Measure ID] = "Hybrid_HWR"), [1]!readmissions[Score]), "No Match")</f>
        <v>Not Available</v>
      </c>
    </row>
    <row r="4191" spans="1:6" x14ac:dyDescent="0.2">
      <c r="A4191">
        <f>[1]!hospitalinfo[[#This Row],[Facility ID]]</f>
        <v>400123</v>
      </c>
      <c r="B4191" t="str">
        <f>[1]!hospitalinfo[[#This Row],[State]]</f>
        <v>PR</v>
      </c>
      <c r="C4191" t="str">
        <f>[1]!hospitalinfo[[#This Row],[Hospital Type]]</f>
        <v>Acute Care Hospitals</v>
      </c>
      <c r="D4191" t="str">
        <f>[1]!hospitalinfo[[#This Row],[Hospital Ownership]]</f>
        <v>Proprietary</v>
      </c>
      <c r="E4191" t="str" cm="1">
        <f t="array" ref="E4191">_xlfn.IFNA(_xlfn.XLOOKUP(1,([1]!hcahps[Facility ID] = clean[[#This Row],[Facility ID]]) * ([1]!hcahps[HCAHPS Measure ID] = "H_HSP_RATING_LINEAR_SCORE"), [1]!hcahps[HCAHPS Linear Mean Value]), "No Match")</f>
        <v>Not Available</v>
      </c>
      <c r="F4191" cm="1">
        <f t="array" ref="F4191">_xlfn.IFNA(_xlfn.XLOOKUP(1,([1]!readmissions[Facility ID] = clean[[#This Row],[Facility ID]]) * ([1]!readmissions[Measure ID] = "Hybrid_HWR"), [1]!readmissions[Score]), "No Match")</f>
        <v>15.1</v>
      </c>
    </row>
    <row r="4192" spans="1:6" x14ac:dyDescent="0.2">
      <c r="A4192">
        <f>[1]!hospitalinfo[[#This Row],[Facility ID]]</f>
        <v>400124</v>
      </c>
      <c r="B4192" t="str">
        <f>[1]!hospitalinfo[[#This Row],[State]]</f>
        <v>PR</v>
      </c>
      <c r="C4192" t="str">
        <f>[1]!hospitalinfo[[#This Row],[Hospital Type]]</f>
        <v>Acute Care Hospitals</v>
      </c>
      <c r="D4192" t="str">
        <f>[1]!hospitalinfo[[#This Row],[Hospital Ownership]]</f>
        <v>Government - State</v>
      </c>
      <c r="E4192" t="str" cm="1">
        <f t="array" ref="E4192">_xlfn.IFNA(_xlfn.XLOOKUP(1,([1]!hcahps[Facility ID] = clean[[#This Row],[Facility ID]]) * ([1]!hcahps[HCAHPS Measure ID] = "H_HSP_RATING_LINEAR_SCORE"), [1]!hcahps[HCAHPS Linear Mean Value]), "No Match")</f>
        <v>Not Available</v>
      </c>
      <c r="F4192" cm="1">
        <f t="array" ref="F4192">_xlfn.IFNA(_xlfn.XLOOKUP(1,([1]!readmissions[Facility ID] = clean[[#This Row],[Facility ID]]) * ([1]!readmissions[Measure ID] = "Hybrid_HWR"), [1]!readmissions[Score]), "No Match")</f>
        <v>16.2</v>
      </c>
    </row>
    <row r="4193" spans="1:6" x14ac:dyDescent="0.2">
      <c r="A4193">
        <f>[1]!hospitalinfo[[#This Row],[Facility ID]]</f>
        <v>400126</v>
      </c>
      <c r="B4193" t="str">
        <f>[1]!hospitalinfo[[#This Row],[State]]</f>
        <v>PR</v>
      </c>
      <c r="C4193" t="str">
        <f>[1]!hospitalinfo[[#This Row],[Hospital Type]]</f>
        <v>Acute Care Hospitals</v>
      </c>
      <c r="D4193" t="str">
        <f>[1]!hospitalinfo[[#This Row],[Hospital Ownership]]</f>
        <v>Proprietary</v>
      </c>
      <c r="E4193" t="str" cm="1">
        <f t="array" ref="E4193">_xlfn.IFNA(_xlfn.XLOOKUP(1,([1]!hcahps[Facility ID] = clean[[#This Row],[Facility ID]]) * ([1]!hcahps[HCAHPS Measure ID] = "H_HSP_RATING_LINEAR_SCORE"), [1]!hcahps[HCAHPS Linear Mean Value]), "No Match")</f>
        <v>Not Available</v>
      </c>
      <c r="F4193" cm="1">
        <f t="array" ref="F4193">_xlfn.IFNA(_xlfn.XLOOKUP(1,([1]!readmissions[Facility ID] = clean[[#This Row],[Facility ID]]) * ([1]!readmissions[Measure ID] = "Hybrid_HWR"), [1]!readmissions[Score]), "No Match")</f>
        <v>14.8</v>
      </c>
    </row>
    <row r="4194" spans="1:6" x14ac:dyDescent="0.2">
      <c r="A4194">
        <f>[1]!hospitalinfo[[#This Row],[Facility ID]]</f>
        <v>400127</v>
      </c>
      <c r="B4194" t="str">
        <f>[1]!hospitalinfo[[#This Row],[State]]</f>
        <v>PR</v>
      </c>
      <c r="C4194" t="str">
        <f>[1]!hospitalinfo[[#This Row],[Hospital Type]]</f>
        <v>Acute Care Hospitals</v>
      </c>
      <c r="D4194" t="str">
        <f>[1]!hospitalinfo[[#This Row],[Hospital Ownership]]</f>
        <v>Government - State</v>
      </c>
      <c r="E4194" t="str" cm="1">
        <f t="array" ref="E4194">_xlfn.IFNA(_xlfn.XLOOKUP(1,([1]!hcahps[Facility ID] = clean[[#This Row],[Facility ID]]) * ([1]!hcahps[HCAHPS Measure ID] = "H_HSP_RATING_LINEAR_SCORE"), [1]!hcahps[HCAHPS Linear Mean Value]), "No Match")</f>
        <v>Not Available</v>
      </c>
      <c r="F4194" t="str" cm="1">
        <f t="array" ref="F4194">_xlfn.IFNA(_xlfn.XLOOKUP(1,([1]!readmissions[Facility ID] = clean[[#This Row],[Facility ID]]) * ([1]!readmissions[Measure ID] = "Hybrid_HWR"), [1]!readmissions[Score]), "No Match")</f>
        <v>Not Available</v>
      </c>
    </row>
    <row r="4195" spans="1:6" x14ac:dyDescent="0.2">
      <c r="A4195">
        <f>[1]!hospitalinfo[[#This Row],[Facility ID]]</f>
        <v>400128</v>
      </c>
      <c r="B4195" t="str">
        <f>[1]!hospitalinfo[[#This Row],[State]]</f>
        <v>PR</v>
      </c>
      <c r="C4195" t="str">
        <f>[1]!hospitalinfo[[#This Row],[Hospital Type]]</f>
        <v>Acute Care Hospitals</v>
      </c>
      <c r="D4195" t="str">
        <f>[1]!hospitalinfo[[#This Row],[Hospital Ownership]]</f>
        <v>Proprietary</v>
      </c>
      <c r="E4195" t="str" cm="1">
        <f t="array" ref="E4195">_xlfn.IFNA(_xlfn.XLOOKUP(1,([1]!hcahps[Facility ID] = clean[[#This Row],[Facility ID]]) * ([1]!hcahps[HCAHPS Measure ID] = "H_HSP_RATING_LINEAR_SCORE"), [1]!hcahps[HCAHPS Linear Mean Value]), "No Match")</f>
        <v>Not Available</v>
      </c>
      <c r="F4195" cm="1">
        <f t="array" ref="F4195">_xlfn.IFNA(_xlfn.XLOOKUP(1,([1]!readmissions[Facility ID] = clean[[#This Row],[Facility ID]]) * ([1]!readmissions[Measure ID] = "Hybrid_HWR"), [1]!readmissions[Score]), "No Match")</f>
        <v>15.3</v>
      </c>
    </row>
    <row r="4196" spans="1:6" x14ac:dyDescent="0.2">
      <c r="A4196">
        <f>[1]!hospitalinfo[[#This Row],[Facility ID]]</f>
        <v>400130</v>
      </c>
      <c r="B4196" t="str">
        <f>[1]!hospitalinfo[[#This Row],[State]]</f>
        <v>PR</v>
      </c>
      <c r="C4196" t="str">
        <f>[1]!hospitalinfo[[#This Row],[Hospital Type]]</f>
        <v>Acute Care Hospitals</v>
      </c>
      <c r="D4196" t="str">
        <f>[1]!hospitalinfo[[#This Row],[Hospital Ownership]]</f>
        <v>Proprietary</v>
      </c>
      <c r="E4196" t="str" cm="1">
        <f t="array" ref="E4196">_xlfn.IFNA(_xlfn.XLOOKUP(1,([1]!hcahps[Facility ID] = clean[[#This Row],[Facility ID]]) * ([1]!hcahps[HCAHPS Measure ID] = "H_HSP_RATING_LINEAR_SCORE"), [1]!hcahps[HCAHPS Linear Mean Value]), "No Match")</f>
        <v>Not Available</v>
      </c>
      <c r="F4196" t="str" cm="1">
        <f t="array" ref="F4196">_xlfn.IFNA(_xlfn.XLOOKUP(1,([1]!readmissions[Facility ID] = clean[[#This Row],[Facility ID]]) * ([1]!readmissions[Measure ID] = "Hybrid_HWR"), [1]!readmissions[Score]), "No Match")</f>
        <v>Not Available</v>
      </c>
    </row>
    <row r="4197" spans="1:6" x14ac:dyDescent="0.2">
      <c r="A4197">
        <f>[1]!hospitalinfo[[#This Row],[Facility ID]]</f>
        <v>400131</v>
      </c>
      <c r="B4197" t="str">
        <f>[1]!hospitalinfo[[#This Row],[State]]</f>
        <v>PR</v>
      </c>
      <c r="C4197" t="str">
        <f>[1]!hospitalinfo[[#This Row],[Hospital Type]]</f>
        <v>Acute Care Hospitals</v>
      </c>
      <c r="D4197" t="str">
        <f>[1]!hospitalinfo[[#This Row],[Hospital Ownership]]</f>
        <v>Proprietary</v>
      </c>
      <c r="E4197" t="str" cm="1">
        <f t="array" ref="E4197">_xlfn.IFNA(_xlfn.XLOOKUP(1,([1]!hcahps[Facility ID] = clean[[#This Row],[Facility ID]]) * ([1]!hcahps[HCAHPS Measure ID] = "H_HSP_RATING_LINEAR_SCORE"), [1]!hcahps[HCAHPS Linear Mean Value]), "No Match")</f>
        <v>Not Available</v>
      </c>
      <c r="F4197" t="str" cm="1">
        <f t="array" ref="F4197">_xlfn.IFNA(_xlfn.XLOOKUP(1,([1]!readmissions[Facility ID] = clean[[#This Row],[Facility ID]]) * ([1]!readmissions[Measure ID] = "Hybrid_HWR"), [1]!readmissions[Score]), "No Match")</f>
        <v>Not Available</v>
      </c>
    </row>
    <row r="4198" spans="1:6" x14ac:dyDescent="0.2">
      <c r="A4198">
        <f>[1]!hospitalinfo[[#This Row],[Facility ID]]</f>
        <v>400132</v>
      </c>
      <c r="B4198" t="str">
        <f>[1]!hospitalinfo[[#This Row],[State]]</f>
        <v>PR</v>
      </c>
      <c r="C4198" t="str">
        <f>[1]!hospitalinfo[[#This Row],[Hospital Type]]</f>
        <v>Acute Care Hospitals</v>
      </c>
      <c r="D4198" t="str">
        <f>[1]!hospitalinfo[[#This Row],[Hospital Ownership]]</f>
        <v>Proprietary</v>
      </c>
      <c r="E4198" cm="1">
        <f t="array" ref="E4198">_xlfn.IFNA(_xlfn.XLOOKUP(1,([1]!hcahps[Facility ID] = clean[[#This Row],[Facility ID]]) * ([1]!hcahps[HCAHPS Measure ID] = "H_HSP_RATING_LINEAR_SCORE"), [1]!hcahps[HCAHPS Linear Mean Value]), "No Match")</f>
        <v>83</v>
      </c>
      <c r="F4198" cm="1">
        <f t="array" ref="F4198">_xlfn.IFNA(_xlfn.XLOOKUP(1,([1]!readmissions[Facility ID] = clean[[#This Row],[Facility ID]]) * ([1]!readmissions[Measure ID] = "Hybrid_HWR"), [1]!readmissions[Score]), "No Match")</f>
        <v>15.8</v>
      </c>
    </row>
    <row r="4199" spans="1:6" x14ac:dyDescent="0.2">
      <c r="A4199">
        <f>[1]!hospitalinfo[[#This Row],[Facility ID]]</f>
        <v>400134</v>
      </c>
      <c r="B4199" t="str">
        <f>[1]!hospitalinfo[[#This Row],[State]]</f>
        <v>PR</v>
      </c>
      <c r="C4199" t="str">
        <f>[1]!hospitalinfo[[#This Row],[Hospital Type]]</f>
        <v>Acute Care Hospitals</v>
      </c>
      <c r="D4199" t="str">
        <f>[1]!hospitalinfo[[#This Row],[Hospital Ownership]]</f>
        <v>Proprietary</v>
      </c>
      <c r="E4199" t="str" cm="1">
        <f t="array" ref="E4199">_xlfn.IFNA(_xlfn.XLOOKUP(1,([1]!hcahps[Facility ID] = clean[[#This Row],[Facility ID]]) * ([1]!hcahps[HCAHPS Measure ID] = "H_HSP_RATING_LINEAR_SCORE"), [1]!hcahps[HCAHPS Linear Mean Value]), "No Match")</f>
        <v>Not Available</v>
      </c>
      <c r="F4199" t="str" cm="1">
        <f t="array" ref="F4199">_xlfn.IFNA(_xlfn.XLOOKUP(1,([1]!readmissions[Facility ID] = clean[[#This Row],[Facility ID]]) * ([1]!readmissions[Measure ID] = "Hybrid_HWR"), [1]!readmissions[Score]), "No Match")</f>
        <v>Not Available</v>
      </c>
    </row>
    <row r="4200" spans="1:6" x14ac:dyDescent="0.2">
      <c r="A4200">
        <f>[1]!hospitalinfo[[#This Row],[Facility ID]]</f>
        <v>400135</v>
      </c>
      <c r="B4200" t="str">
        <f>[1]!hospitalinfo[[#This Row],[State]]</f>
        <v>PR</v>
      </c>
      <c r="C4200" t="str">
        <f>[1]!hospitalinfo[[#This Row],[Hospital Type]]</f>
        <v>Acute Care Hospitals</v>
      </c>
      <c r="D4200" t="str">
        <f>[1]!hospitalinfo[[#This Row],[Hospital Ownership]]</f>
        <v>Government - State</v>
      </c>
      <c r="E4200" t="str" cm="1">
        <f t="array" ref="E4200">_xlfn.IFNA(_xlfn.XLOOKUP(1,([1]!hcahps[Facility ID] = clean[[#This Row],[Facility ID]]) * ([1]!hcahps[HCAHPS Measure ID] = "H_HSP_RATING_LINEAR_SCORE"), [1]!hcahps[HCAHPS Linear Mean Value]), "No Match")</f>
        <v>Not Available</v>
      </c>
      <c r="F4200" cm="1">
        <f t="array" ref="F4200">_xlfn.IFNA(_xlfn.XLOOKUP(1,([1]!readmissions[Facility ID] = clean[[#This Row],[Facility ID]]) * ([1]!readmissions[Measure ID] = "Hybrid_HWR"), [1]!readmissions[Score]), "No Match")</f>
        <v>15.5</v>
      </c>
    </row>
    <row r="4201" spans="1:6" x14ac:dyDescent="0.2">
      <c r="A4201">
        <f>[1]!hospitalinfo[[#This Row],[Facility ID]]</f>
        <v>400137</v>
      </c>
      <c r="B4201" t="str">
        <f>[1]!hospitalinfo[[#This Row],[State]]</f>
        <v>PR</v>
      </c>
      <c r="C4201" t="str">
        <f>[1]!hospitalinfo[[#This Row],[Hospital Type]]</f>
        <v>Acute Care Hospitals</v>
      </c>
      <c r="D4201" t="str">
        <f>[1]!hospitalinfo[[#This Row],[Hospital Ownership]]</f>
        <v>Proprietary</v>
      </c>
      <c r="E4201" cm="1">
        <f t="array" ref="E4201">_xlfn.IFNA(_xlfn.XLOOKUP(1,([1]!hcahps[Facility ID] = clean[[#This Row],[Facility ID]]) * ([1]!hcahps[HCAHPS Measure ID] = "H_HSP_RATING_LINEAR_SCORE"), [1]!hcahps[HCAHPS Linear Mean Value]), "No Match")</f>
        <v>88</v>
      </c>
      <c r="F4201" cm="1">
        <f t="array" ref="F4201">_xlfn.IFNA(_xlfn.XLOOKUP(1,([1]!readmissions[Facility ID] = clean[[#This Row],[Facility ID]]) * ([1]!readmissions[Measure ID] = "Hybrid_HWR"), [1]!readmissions[Score]), "No Match")</f>
        <v>15.3</v>
      </c>
    </row>
    <row r="4202" spans="1:6" x14ac:dyDescent="0.2">
      <c r="A4202">
        <f>[1]!hospitalinfo[[#This Row],[Facility ID]]</f>
        <v>400138</v>
      </c>
      <c r="B4202" t="str">
        <f>[1]!hospitalinfo[[#This Row],[State]]</f>
        <v>PR</v>
      </c>
      <c r="C4202" t="str">
        <f>[1]!hospitalinfo[[#This Row],[Hospital Type]]</f>
        <v>Acute Care Hospitals</v>
      </c>
      <c r="D4202" t="str">
        <f>[1]!hospitalinfo[[#This Row],[Hospital Ownership]]</f>
        <v>Proprietary</v>
      </c>
      <c r="E4202" t="str" cm="1">
        <f t="array" ref="E4202">_xlfn.IFNA(_xlfn.XLOOKUP(1,([1]!hcahps[Facility ID] = clean[[#This Row],[Facility ID]]) * ([1]!hcahps[HCAHPS Measure ID] = "H_HSP_RATING_LINEAR_SCORE"), [1]!hcahps[HCAHPS Linear Mean Value]), "No Match")</f>
        <v>Not Available</v>
      </c>
      <c r="F4202" t="str" cm="1">
        <f t="array" ref="F4202">_xlfn.IFNA(_xlfn.XLOOKUP(1,([1]!readmissions[Facility ID] = clean[[#This Row],[Facility ID]]) * ([1]!readmissions[Measure ID] = "Hybrid_HWR"), [1]!readmissions[Score]), "No Match")</f>
        <v>Not Available</v>
      </c>
    </row>
    <row r="4203" spans="1:6" x14ac:dyDescent="0.2">
      <c r="A4203">
        <f>[1]!hospitalinfo[[#This Row],[Facility ID]]</f>
        <v>400139</v>
      </c>
      <c r="B4203" t="str">
        <f>[1]!hospitalinfo[[#This Row],[State]]</f>
        <v>PR</v>
      </c>
      <c r="C4203" t="str">
        <f>[1]!hospitalinfo[[#This Row],[Hospital Type]]</f>
        <v>Acute Care Hospitals</v>
      </c>
      <c r="D4203" t="str">
        <f>[1]!hospitalinfo[[#This Row],[Hospital Ownership]]</f>
        <v>Voluntary non-profit - Private</v>
      </c>
      <c r="E4203" t="str" cm="1">
        <f t="array" ref="E4203">_xlfn.IFNA(_xlfn.XLOOKUP(1,([1]!hcahps[Facility ID] = clean[[#This Row],[Facility ID]]) * ([1]!hcahps[HCAHPS Measure ID] = "H_HSP_RATING_LINEAR_SCORE"), [1]!hcahps[HCAHPS Linear Mean Value]), "No Match")</f>
        <v>Not Available</v>
      </c>
      <c r="F4203" t="str" cm="1">
        <f t="array" ref="F4203">_xlfn.IFNA(_xlfn.XLOOKUP(1,([1]!readmissions[Facility ID] = clean[[#This Row],[Facility ID]]) * ([1]!readmissions[Measure ID] = "Hybrid_HWR"), [1]!readmissions[Score]), "No Match")</f>
        <v>Not Available</v>
      </c>
    </row>
    <row r="4204" spans="1:6" x14ac:dyDescent="0.2">
      <c r="A4204">
        <f>[1]!hospitalinfo[[#This Row],[Facility ID]]</f>
        <v>400141</v>
      </c>
      <c r="B4204" t="str">
        <f>[1]!hospitalinfo[[#This Row],[State]]</f>
        <v>PR</v>
      </c>
      <c r="C4204" t="str">
        <f>[1]!hospitalinfo[[#This Row],[Hospital Type]]</f>
        <v>Acute Care Hospitals</v>
      </c>
      <c r="D4204" t="str">
        <f>[1]!hospitalinfo[[#This Row],[Hospital Ownership]]</f>
        <v>Proprietary</v>
      </c>
      <c r="E4204" t="str" cm="1">
        <f t="array" ref="E4204">_xlfn.IFNA(_xlfn.XLOOKUP(1,([1]!hcahps[Facility ID] = clean[[#This Row],[Facility ID]]) * ([1]!hcahps[HCAHPS Measure ID] = "H_HSP_RATING_LINEAR_SCORE"), [1]!hcahps[HCAHPS Linear Mean Value]), "No Match")</f>
        <v>Not Available</v>
      </c>
      <c r="F4204" t="str" cm="1">
        <f t="array" ref="F4204">_xlfn.IFNA(_xlfn.XLOOKUP(1,([1]!readmissions[Facility ID] = clean[[#This Row],[Facility ID]]) * ([1]!readmissions[Measure ID] = "Hybrid_HWR"), [1]!readmissions[Score]), "No Match")</f>
        <v>Not Available</v>
      </c>
    </row>
    <row r="4205" spans="1:6" x14ac:dyDescent="0.2">
      <c r="A4205">
        <f>[1]!hospitalinfo[[#This Row],[Facility ID]]</f>
        <v>403301</v>
      </c>
      <c r="B4205" t="str">
        <f>[1]!hospitalinfo[[#This Row],[State]]</f>
        <v>PR</v>
      </c>
      <c r="C4205" t="str">
        <f>[1]!hospitalinfo[[#This Row],[Hospital Type]]</f>
        <v>Childrens</v>
      </c>
      <c r="D4205" t="str">
        <f>[1]!hospitalinfo[[#This Row],[Hospital Ownership]]</f>
        <v>Government - State</v>
      </c>
      <c r="E4205" t="str" cm="1">
        <f t="array" ref="E4205">_xlfn.IFNA(_xlfn.XLOOKUP(1,([1]!hcahps[Facility ID] = clean[[#This Row],[Facility ID]]) * ([1]!hcahps[HCAHPS Measure ID] = "H_HSP_RATING_LINEAR_SCORE"), [1]!hcahps[HCAHPS Linear Mean Value]), "No Match")</f>
        <v>Not Available</v>
      </c>
      <c r="F4205" t="str" cm="1">
        <f t="array" ref="F4205">_xlfn.IFNA(_xlfn.XLOOKUP(1,([1]!readmissions[Facility ID] = clean[[#This Row],[Facility ID]]) * ([1]!readmissions[Measure ID] = "Hybrid_HWR"), [1]!readmissions[Score]), "No Match")</f>
        <v>Not Available</v>
      </c>
    </row>
    <row r="4206" spans="1:6" x14ac:dyDescent="0.2">
      <c r="A4206">
        <f>[1]!hospitalinfo[[#This Row],[Facility ID]]</f>
        <v>404004</v>
      </c>
      <c r="B4206" t="str">
        <f>[1]!hospitalinfo[[#This Row],[State]]</f>
        <v>PR</v>
      </c>
      <c r="C4206" t="str">
        <f>[1]!hospitalinfo[[#This Row],[Hospital Type]]</f>
        <v>Psychiatric</v>
      </c>
      <c r="D4206" t="str">
        <f>[1]!hospitalinfo[[#This Row],[Hospital Ownership]]</f>
        <v>Proprietary</v>
      </c>
      <c r="E4206" t="str" cm="1">
        <f t="array" ref="E4206">_xlfn.IFNA(_xlfn.XLOOKUP(1,([1]!hcahps[Facility ID] = clean[[#This Row],[Facility ID]]) * ([1]!hcahps[HCAHPS Measure ID] = "H_HSP_RATING_LINEAR_SCORE"), [1]!hcahps[HCAHPS Linear Mean Value]), "No Match")</f>
        <v>No Match</v>
      </c>
      <c r="F4206" t="str" cm="1">
        <f t="array" ref="F4206">_xlfn.IFNA(_xlfn.XLOOKUP(1,([1]!readmissions[Facility ID] = clean[[#This Row],[Facility ID]]) * ([1]!readmissions[Measure ID] = "Hybrid_HWR"), [1]!readmissions[Score]), "No Match")</f>
        <v>No Match</v>
      </c>
    </row>
    <row r="4207" spans="1:6" x14ac:dyDescent="0.2">
      <c r="A4207">
        <f>[1]!hospitalinfo[[#This Row],[Facility ID]]</f>
        <v>404005</v>
      </c>
      <c r="B4207" t="str">
        <f>[1]!hospitalinfo[[#This Row],[State]]</f>
        <v>PR</v>
      </c>
      <c r="C4207" t="str">
        <f>[1]!hospitalinfo[[#This Row],[Hospital Type]]</f>
        <v>Psychiatric</v>
      </c>
      <c r="D4207" t="str">
        <f>[1]!hospitalinfo[[#This Row],[Hospital Ownership]]</f>
        <v>Proprietary</v>
      </c>
      <c r="E4207" t="str" cm="1">
        <f t="array" ref="E4207">_xlfn.IFNA(_xlfn.XLOOKUP(1,([1]!hcahps[Facility ID] = clean[[#This Row],[Facility ID]]) * ([1]!hcahps[HCAHPS Measure ID] = "H_HSP_RATING_LINEAR_SCORE"), [1]!hcahps[HCAHPS Linear Mean Value]), "No Match")</f>
        <v>No Match</v>
      </c>
      <c r="F4207" t="str" cm="1">
        <f t="array" ref="F4207">_xlfn.IFNA(_xlfn.XLOOKUP(1,([1]!readmissions[Facility ID] = clean[[#This Row],[Facility ID]]) * ([1]!readmissions[Measure ID] = "Hybrid_HWR"), [1]!readmissions[Score]), "No Match")</f>
        <v>No Match</v>
      </c>
    </row>
    <row r="4208" spans="1:6" x14ac:dyDescent="0.2">
      <c r="A4208">
        <f>[1]!hospitalinfo[[#This Row],[Facility ID]]</f>
        <v>404007</v>
      </c>
      <c r="B4208" t="str">
        <f>[1]!hospitalinfo[[#This Row],[State]]</f>
        <v>PR</v>
      </c>
      <c r="C4208" t="str">
        <f>[1]!hospitalinfo[[#This Row],[Hospital Type]]</f>
        <v>Psychiatric</v>
      </c>
      <c r="D4208" t="str">
        <f>[1]!hospitalinfo[[#This Row],[Hospital Ownership]]</f>
        <v>Proprietary</v>
      </c>
      <c r="E4208" t="str" cm="1">
        <f t="array" ref="E4208">_xlfn.IFNA(_xlfn.XLOOKUP(1,([1]!hcahps[Facility ID] = clean[[#This Row],[Facility ID]]) * ([1]!hcahps[HCAHPS Measure ID] = "H_HSP_RATING_LINEAR_SCORE"), [1]!hcahps[HCAHPS Linear Mean Value]), "No Match")</f>
        <v>No Match</v>
      </c>
      <c r="F4208" t="str" cm="1">
        <f t="array" ref="F4208">_xlfn.IFNA(_xlfn.XLOOKUP(1,([1]!readmissions[Facility ID] = clean[[#This Row],[Facility ID]]) * ([1]!readmissions[Measure ID] = "Hybrid_HWR"), [1]!readmissions[Score]), "No Match")</f>
        <v>No Match</v>
      </c>
    </row>
    <row r="4209" spans="1:6" x14ac:dyDescent="0.2">
      <c r="A4209">
        <f>[1]!hospitalinfo[[#This Row],[Facility ID]]</f>
        <v>404009</v>
      </c>
      <c r="B4209" t="str">
        <f>[1]!hospitalinfo[[#This Row],[State]]</f>
        <v>PR</v>
      </c>
      <c r="C4209" t="str">
        <f>[1]!hospitalinfo[[#This Row],[Hospital Type]]</f>
        <v>Psychiatric</v>
      </c>
      <c r="D4209" t="str">
        <f>[1]!hospitalinfo[[#This Row],[Hospital Ownership]]</f>
        <v>Voluntary non-profit - Private</v>
      </c>
      <c r="E4209" t="str" cm="1">
        <f t="array" ref="E4209">_xlfn.IFNA(_xlfn.XLOOKUP(1,([1]!hcahps[Facility ID] = clean[[#This Row],[Facility ID]]) * ([1]!hcahps[HCAHPS Measure ID] = "H_HSP_RATING_LINEAR_SCORE"), [1]!hcahps[HCAHPS Linear Mean Value]), "No Match")</f>
        <v>No Match</v>
      </c>
      <c r="F4209" t="str" cm="1">
        <f t="array" ref="F4209">_xlfn.IFNA(_xlfn.XLOOKUP(1,([1]!readmissions[Facility ID] = clean[[#This Row],[Facility ID]]) * ([1]!readmissions[Measure ID] = "Hybrid_HWR"), [1]!readmissions[Score]), "No Match")</f>
        <v>No Match</v>
      </c>
    </row>
    <row r="4210" spans="1:6" x14ac:dyDescent="0.2">
      <c r="A4210" t="str">
        <f>[1]!hospitalinfo[[#This Row],[Facility ID]]</f>
        <v>40003F</v>
      </c>
      <c r="B4210" t="str">
        <f>[1]!hospitalinfo[[#This Row],[State]]</f>
        <v>PR</v>
      </c>
      <c r="C4210" t="str">
        <f>[1]!hospitalinfo[[#This Row],[Hospital Type]]</f>
        <v>Acute Care - Veterans Administration</v>
      </c>
      <c r="D4210" t="str">
        <f>[1]!hospitalinfo[[#This Row],[Hospital Ownership]]</f>
        <v>Veterans Health Administration</v>
      </c>
      <c r="E4210" cm="1">
        <f t="array" ref="E4210">_xlfn.IFNA(_xlfn.XLOOKUP(1,([1]!hcahps[Facility ID] = clean[[#This Row],[Facility ID]]) * ([1]!hcahps[HCAHPS Measure ID] = "H_HSP_RATING_LINEAR_SCORE"), [1]!hcahps[HCAHPS Linear Mean Value]), "No Match")</f>
        <v>90</v>
      </c>
      <c r="F4210" cm="1">
        <f t="array" ref="F4210">_xlfn.IFNA(_xlfn.XLOOKUP(1,([1]!readmissions[Facility ID] = clean[[#This Row],[Facility ID]]) * ([1]!readmissions[Measure ID] = "Hybrid_HWR"), [1]!readmissions[Score]), "No Match")</f>
        <v>16.600000000000001</v>
      </c>
    </row>
    <row r="4211" spans="1:6" x14ac:dyDescent="0.2">
      <c r="A4211">
        <f>[1]!hospitalinfo[[#This Row],[Facility ID]]</f>
        <v>410004</v>
      </c>
      <c r="B4211" t="str">
        <f>[1]!hospitalinfo[[#This Row],[State]]</f>
        <v>RI</v>
      </c>
      <c r="C4211" t="str">
        <f>[1]!hospitalinfo[[#This Row],[Hospital Type]]</f>
        <v>Acute Care Hospitals</v>
      </c>
      <c r="D4211" t="str">
        <f>[1]!hospitalinfo[[#This Row],[Hospital Ownership]]</f>
        <v>Proprietary</v>
      </c>
      <c r="E4211" cm="1">
        <f t="array" ref="E4211">_xlfn.IFNA(_xlfn.XLOOKUP(1,([1]!hcahps[Facility ID] = clean[[#This Row],[Facility ID]]) * ([1]!hcahps[HCAHPS Measure ID] = "H_HSP_RATING_LINEAR_SCORE"), [1]!hcahps[HCAHPS Linear Mean Value]), "No Match")</f>
        <v>83</v>
      </c>
      <c r="F4211" cm="1">
        <f t="array" ref="F4211">_xlfn.IFNA(_xlfn.XLOOKUP(1,([1]!readmissions[Facility ID] = clean[[#This Row],[Facility ID]]) * ([1]!readmissions[Measure ID] = "Hybrid_HWR"), [1]!readmissions[Score]), "No Match")</f>
        <v>15.7</v>
      </c>
    </row>
    <row r="4212" spans="1:6" x14ac:dyDescent="0.2">
      <c r="A4212">
        <f>[1]!hospitalinfo[[#This Row],[Facility ID]]</f>
        <v>410005</v>
      </c>
      <c r="B4212" t="str">
        <f>[1]!hospitalinfo[[#This Row],[State]]</f>
        <v>RI</v>
      </c>
      <c r="C4212" t="str">
        <f>[1]!hospitalinfo[[#This Row],[Hospital Type]]</f>
        <v>Acute Care Hospitals</v>
      </c>
      <c r="D4212" t="str">
        <f>[1]!hospitalinfo[[#This Row],[Hospital Ownership]]</f>
        <v>Proprietary</v>
      </c>
      <c r="E4212" cm="1">
        <f t="array" ref="E4212">_xlfn.IFNA(_xlfn.XLOOKUP(1,([1]!hcahps[Facility ID] = clean[[#This Row],[Facility ID]]) * ([1]!hcahps[HCAHPS Measure ID] = "H_HSP_RATING_LINEAR_SCORE"), [1]!hcahps[HCAHPS Linear Mean Value]), "No Match")</f>
        <v>88</v>
      </c>
      <c r="F4212" cm="1">
        <f t="array" ref="F4212">_xlfn.IFNA(_xlfn.XLOOKUP(1,([1]!readmissions[Facility ID] = clean[[#This Row],[Facility ID]]) * ([1]!readmissions[Measure ID] = "Hybrid_HWR"), [1]!readmissions[Score]), "No Match")</f>
        <v>15.9</v>
      </c>
    </row>
    <row r="4213" spans="1:6" x14ac:dyDescent="0.2">
      <c r="A4213">
        <f>[1]!hospitalinfo[[#This Row],[Facility ID]]</f>
        <v>410006</v>
      </c>
      <c r="B4213" t="str">
        <f>[1]!hospitalinfo[[#This Row],[State]]</f>
        <v>RI</v>
      </c>
      <c r="C4213" t="str">
        <f>[1]!hospitalinfo[[#This Row],[Hospital Type]]</f>
        <v>Acute Care Hospitals</v>
      </c>
      <c r="D4213" t="str">
        <f>[1]!hospitalinfo[[#This Row],[Hospital Ownership]]</f>
        <v>Voluntary non-profit - Private</v>
      </c>
      <c r="E4213" cm="1">
        <f t="array" ref="E4213">_xlfn.IFNA(_xlfn.XLOOKUP(1,([1]!hcahps[Facility ID] = clean[[#This Row],[Facility ID]]) * ([1]!hcahps[HCAHPS Measure ID] = "H_HSP_RATING_LINEAR_SCORE"), [1]!hcahps[HCAHPS Linear Mean Value]), "No Match")</f>
        <v>90</v>
      </c>
      <c r="F4213" cm="1">
        <f t="array" ref="F4213">_xlfn.IFNA(_xlfn.XLOOKUP(1,([1]!readmissions[Facility ID] = clean[[#This Row],[Facility ID]]) * ([1]!readmissions[Measure ID] = "Hybrid_HWR"), [1]!readmissions[Score]), "No Match")</f>
        <v>14.5</v>
      </c>
    </row>
    <row r="4214" spans="1:6" x14ac:dyDescent="0.2">
      <c r="A4214">
        <f>[1]!hospitalinfo[[#This Row],[Facility ID]]</f>
        <v>410007</v>
      </c>
      <c r="B4214" t="str">
        <f>[1]!hospitalinfo[[#This Row],[State]]</f>
        <v>RI</v>
      </c>
      <c r="C4214" t="str">
        <f>[1]!hospitalinfo[[#This Row],[Hospital Type]]</f>
        <v>Acute Care Hospitals</v>
      </c>
      <c r="D4214" t="str">
        <f>[1]!hospitalinfo[[#This Row],[Hospital Ownership]]</f>
        <v>Voluntary non-profit - Private</v>
      </c>
      <c r="E4214" cm="1">
        <f t="array" ref="E4214">_xlfn.IFNA(_xlfn.XLOOKUP(1,([1]!hcahps[Facility ID] = clean[[#This Row],[Facility ID]]) * ([1]!hcahps[HCAHPS Measure ID] = "H_HSP_RATING_LINEAR_SCORE"), [1]!hcahps[HCAHPS Linear Mean Value]), "No Match")</f>
        <v>86</v>
      </c>
      <c r="F4214" cm="1">
        <f t="array" ref="F4214">_xlfn.IFNA(_xlfn.XLOOKUP(1,([1]!readmissions[Facility ID] = clean[[#This Row],[Facility ID]]) * ([1]!readmissions[Measure ID] = "Hybrid_HWR"), [1]!readmissions[Score]), "No Match")</f>
        <v>14.9</v>
      </c>
    </row>
    <row r="4215" spans="1:6" x14ac:dyDescent="0.2">
      <c r="A4215">
        <f>[1]!hospitalinfo[[#This Row],[Facility ID]]</f>
        <v>410008</v>
      </c>
      <c r="B4215" t="str">
        <f>[1]!hospitalinfo[[#This Row],[State]]</f>
        <v>RI</v>
      </c>
      <c r="C4215" t="str">
        <f>[1]!hospitalinfo[[#This Row],[Hospital Type]]</f>
        <v>Acute Care Hospitals</v>
      </c>
      <c r="D4215" t="str">
        <f>[1]!hospitalinfo[[#This Row],[Hospital Ownership]]</f>
        <v>Voluntary non-profit - Private</v>
      </c>
      <c r="E4215" cm="1">
        <f t="array" ref="E4215">_xlfn.IFNA(_xlfn.XLOOKUP(1,([1]!hcahps[Facility ID] = clean[[#This Row],[Facility ID]]) * ([1]!hcahps[HCAHPS Measure ID] = "H_HSP_RATING_LINEAR_SCORE"), [1]!hcahps[HCAHPS Linear Mean Value]), "No Match")</f>
        <v>91</v>
      </c>
      <c r="F4215" cm="1">
        <f t="array" ref="F4215">_xlfn.IFNA(_xlfn.XLOOKUP(1,([1]!readmissions[Facility ID] = clean[[#This Row],[Facility ID]]) * ([1]!readmissions[Measure ID] = "Hybrid_HWR"), [1]!readmissions[Score]), "No Match")</f>
        <v>14.6</v>
      </c>
    </row>
    <row r="4216" spans="1:6" x14ac:dyDescent="0.2">
      <c r="A4216">
        <f>[1]!hospitalinfo[[#This Row],[Facility ID]]</f>
        <v>410009</v>
      </c>
      <c r="B4216" t="str">
        <f>[1]!hospitalinfo[[#This Row],[State]]</f>
        <v>RI</v>
      </c>
      <c r="C4216" t="str">
        <f>[1]!hospitalinfo[[#This Row],[Hospital Type]]</f>
        <v>Acute Care Hospitals</v>
      </c>
      <c r="D4216" t="str">
        <f>[1]!hospitalinfo[[#This Row],[Hospital Ownership]]</f>
        <v>Proprietary</v>
      </c>
      <c r="E4216" cm="1">
        <f t="array" ref="E4216">_xlfn.IFNA(_xlfn.XLOOKUP(1,([1]!hcahps[Facility ID] = clean[[#This Row],[Facility ID]]) * ([1]!hcahps[HCAHPS Measure ID] = "H_HSP_RATING_LINEAR_SCORE"), [1]!hcahps[HCAHPS Linear Mean Value]), "No Match")</f>
        <v>86</v>
      </c>
      <c r="F4216" cm="1">
        <f t="array" ref="F4216">_xlfn.IFNA(_xlfn.XLOOKUP(1,([1]!readmissions[Facility ID] = clean[[#This Row],[Facility ID]]) * ([1]!readmissions[Measure ID] = "Hybrid_HWR"), [1]!readmissions[Score]), "No Match")</f>
        <v>16.399999999999999</v>
      </c>
    </row>
    <row r="4217" spans="1:6" x14ac:dyDescent="0.2">
      <c r="A4217">
        <f>[1]!hospitalinfo[[#This Row],[Facility ID]]</f>
        <v>410010</v>
      </c>
      <c r="B4217" t="str">
        <f>[1]!hospitalinfo[[#This Row],[State]]</f>
        <v>RI</v>
      </c>
      <c r="C4217" t="str">
        <f>[1]!hospitalinfo[[#This Row],[Hospital Type]]</f>
        <v>Acute Care Hospitals</v>
      </c>
      <c r="D4217" t="str">
        <f>[1]!hospitalinfo[[#This Row],[Hospital Ownership]]</f>
        <v>Voluntary non-profit - Private</v>
      </c>
      <c r="E4217" cm="1">
        <f t="array" ref="E4217">_xlfn.IFNA(_xlfn.XLOOKUP(1,([1]!hcahps[Facility ID] = clean[[#This Row],[Facility ID]]) * ([1]!hcahps[HCAHPS Measure ID] = "H_HSP_RATING_LINEAR_SCORE"), [1]!hcahps[HCAHPS Linear Mean Value]), "No Match")</f>
        <v>87</v>
      </c>
      <c r="F4217" cm="1">
        <f t="array" ref="F4217">_xlfn.IFNA(_xlfn.XLOOKUP(1,([1]!readmissions[Facility ID] = clean[[#This Row],[Facility ID]]) * ([1]!readmissions[Measure ID] = "Hybrid_HWR"), [1]!readmissions[Score]), "No Match")</f>
        <v>15.4</v>
      </c>
    </row>
    <row r="4218" spans="1:6" x14ac:dyDescent="0.2">
      <c r="A4218">
        <f>[1]!hospitalinfo[[#This Row],[Facility ID]]</f>
        <v>410011</v>
      </c>
      <c r="B4218" t="str">
        <f>[1]!hospitalinfo[[#This Row],[State]]</f>
        <v>RI</v>
      </c>
      <c r="C4218" t="str">
        <f>[1]!hospitalinfo[[#This Row],[Hospital Type]]</f>
        <v>Acute Care Hospitals</v>
      </c>
      <c r="D4218" t="str">
        <f>[1]!hospitalinfo[[#This Row],[Hospital Ownership]]</f>
        <v>Voluntary non-profit - Private</v>
      </c>
      <c r="E4218" cm="1">
        <f t="array" ref="E4218">_xlfn.IFNA(_xlfn.XLOOKUP(1,([1]!hcahps[Facility ID] = clean[[#This Row],[Facility ID]]) * ([1]!hcahps[HCAHPS Measure ID] = "H_HSP_RATING_LINEAR_SCORE"), [1]!hcahps[HCAHPS Linear Mean Value]), "No Match")</f>
        <v>85</v>
      </c>
      <c r="F4218" cm="1">
        <f t="array" ref="F4218">_xlfn.IFNA(_xlfn.XLOOKUP(1,([1]!readmissions[Facility ID] = clean[[#This Row],[Facility ID]]) * ([1]!readmissions[Measure ID] = "Hybrid_HWR"), [1]!readmissions[Score]), "No Match")</f>
        <v>17.2</v>
      </c>
    </row>
    <row r="4219" spans="1:6" x14ac:dyDescent="0.2">
      <c r="A4219">
        <f>[1]!hospitalinfo[[#This Row],[Facility ID]]</f>
        <v>410012</v>
      </c>
      <c r="B4219" t="str">
        <f>[1]!hospitalinfo[[#This Row],[State]]</f>
        <v>RI</v>
      </c>
      <c r="C4219" t="str">
        <f>[1]!hospitalinfo[[#This Row],[Hospital Type]]</f>
        <v>Acute Care Hospitals</v>
      </c>
      <c r="D4219" t="str">
        <f>[1]!hospitalinfo[[#This Row],[Hospital Ownership]]</f>
        <v>Voluntary non-profit - Private</v>
      </c>
      <c r="E4219" cm="1">
        <f t="array" ref="E4219">_xlfn.IFNA(_xlfn.XLOOKUP(1,([1]!hcahps[Facility ID] = clean[[#This Row],[Facility ID]]) * ([1]!hcahps[HCAHPS Measure ID] = "H_HSP_RATING_LINEAR_SCORE"), [1]!hcahps[HCAHPS Linear Mean Value]), "No Match")</f>
        <v>88</v>
      </c>
      <c r="F4219" cm="1">
        <f t="array" ref="F4219">_xlfn.IFNA(_xlfn.XLOOKUP(1,([1]!readmissions[Facility ID] = clean[[#This Row],[Facility ID]]) * ([1]!readmissions[Measure ID] = "Hybrid_HWR"), [1]!readmissions[Score]), "No Match")</f>
        <v>15.8</v>
      </c>
    </row>
    <row r="4220" spans="1:6" x14ac:dyDescent="0.2">
      <c r="A4220">
        <f>[1]!hospitalinfo[[#This Row],[Facility ID]]</f>
        <v>410013</v>
      </c>
      <c r="B4220" t="str">
        <f>[1]!hospitalinfo[[#This Row],[State]]</f>
        <v>RI</v>
      </c>
      <c r="C4220" t="str">
        <f>[1]!hospitalinfo[[#This Row],[Hospital Type]]</f>
        <v>Acute Care Hospitals</v>
      </c>
      <c r="D4220" t="str">
        <f>[1]!hospitalinfo[[#This Row],[Hospital Ownership]]</f>
        <v>Voluntary non-profit - Private</v>
      </c>
      <c r="E4220" cm="1">
        <f t="array" ref="E4220">_xlfn.IFNA(_xlfn.XLOOKUP(1,([1]!hcahps[Facility ID] = clean[[#This Row],[Facility ID]]) * ([1]!hcahps[HCAHPS Measure ID] = "H_HSP_RATING_LINEAR_SCORE"), [1]!hcahps[HCAHPS Linear Mean Value]), "No Match")</f>
        <v>90</v>
      </c>
      <c r="F4220" cm="1">
        <f t="array" ref="F4220">_xlfn.IFNA(_xlfn.XLOOKUP(1,([1]!readmissions[Facility ID] = clean[[#This Row],[Facility ID]]) * ([1]!readmissions[Measure ID] = "Hybrid_HWR"), [1]!readmissions[Score]), "No Match")</f>
        <v>13.9</v>
      </c>
    </row>
    <row r="4221" spans="1:6" x14ac:dyDescent="0.2">
      <c r="A4221">
        <f>[1]!hospitalinfo[[#This Row],[Facility ID]]</f>
        <v>414000</v>
      </c>
      <c r="B4221" t="str">
        <f>[1]!hospitalinfo[[#This Row],[State]]</f>
        <v>RI</v>
      </c>
      <c r="C4221" t="str">
        <f>[1]!hospitalinfo[[#This Row],[Hospital Type]]</f>
        <v>Psychiatric</v>
      </c>
      <c r="D4221" t="str">
        <f>[1]!hospitalinfo[[#This Row],[Hospital Ownership]]</f>
        <v>Voluntary non-profit - Private</v>
      </c>
      <c r="E4221" t="str" cm="1">
        <f t="array" ref="E4221">_xlfn.IFNA(_xlfn.XLOOKUP(1,([1]!hcahps[Facility ID] = clean[[#This Row],[Facility ID]]) * ([1]!hcahps[HCAHPS Measure ID] = "H_HSP_RATING_LINEAR_SCORE"), [1]!hcahps[HCAHPS Linear Mean Value]), "No Match")</f>
        <v>No Match</v>
      </c>
      <c r="F4221" t="str" cm="1">
        <f t="array" ref="F4221">_xlfn.IFNA(_xlfn.XLOOKUP(1,([1]!readmissions[Facility ID] = clean[[#This Row],[Facility ID]]) * ([1]!readmissions[Measure ID] = "Hybrid_HWR"), [1]!readmissions[Score]), "No Match")</f>
        <v>No Match</v>
      </c>
    </row>
    <row r="4222" spans="1:6" x14ac:dyDescent="0.2">
      <c r="A4222">
        <f>[1]!hospitalinfo[[#This Row],[Facility ID]]</f>
        <v>414003</v>
      </c>
      <c r="B4222" t="str">
        <f>[1]!hospitalinfo[[#This Row],[State]]</f>
        <v>RI</v>
      </c>
      <c r="C4222" t="str">
        <f>[1]!hospitalinfo[[#This Row],[Hospital Type]]</f>
        <v>Psychiatric</v>
      </c>
      <c r="D4222" t="str">
        <f>[1]!hospitalinfo[[#This Row],[Hospital Ownership]]</f>
        <v>Voluntary non-profit - Private</v>
      </c>
      <c r="E4222" t="str" cm="1">
        <f t="array" ref="E4222">_xlfn.IFNA(_xlfn.XLOOKUP(1,([1]!hcahps[Facility ID] = clean[[#This Row],[Facility ID]]) * ([1]!hcahps[HCAHPS Measure ID] = "H_HSP_RATING_LINEAR_SCORE"), [1]!hcahps[HCAHPS Linear Mean Value]), "No Match")</f>
        <v>No Match</v>
      </c>
      <c r="F4222" t="str" cm="1">
        <f t="array" ref="F4222">_xlfn.IFNA(_xlfn.XLOOKUP(1,([1]!readmissions[Facility ID] = clean[[#This Row],[Facility ID]]) * ([1]!readmissions[Measure ID] = "Hybrid_HWR"), [1]!readmissions[Score]), "No Match")</f>
        <v>No Match</v>
      </c>
    </row>
    <row r="4223" spans="1:6" x14ac:dyDescent="0.2">
      <c r="A4223" t="str">
        <f>[1]!hospitalinfo[[#This Row],[Facility ID]]</f>
        <v>41005F</v>
      </c>
      <c r="B4223" t="str">
        <f>[1]!hospitalinfo[[#This Row],[State]]</f>
        <v>RI</v>
      </c>
      <c r="C4223" t="str">
        <f>[1]!hospitalinfo[[#This Row],[Hospital Type]]</f>
        <v>Acute Care - Veterans Administration</v>
      </c>
      <c r="D4223" t="str">
        <f>[1]!hospitalinfo[[#This Row],[Hospital Ownership]]</f>
        <v>Veterans Health Administration</v>
      </c>
      <c r="E4223" cm="1">
        <f t="array" ref="E4223">_xlfn.IFNA(_xlfn.XLOOKUP(1,([1]!hcahps[Facility ID] = clean[[#This Row],[Facility ID]]) * ([1]!hcahps[HCAHPS Measure ID] = "H_HSP_RATING_LINEAR_SCORE"), [1]!hcahps[HCAHPS Linear Mean Value]), "No Match")</f>
        <v>91</v>
      </c>
      <c r="F4223" cm="1">
        <f t="array" ref="F4223">_xlfn.IFNA(_xlfn.XLOOKUP(1,([1]!readmissions[Facility ID] = clean[[#This Row],[Facility ID]]) * ([1]!readmissions[Measure ID] = "Hybrid_HWR"), [1]!readmissions[Score]), "No Match")</f>
        <v>15.7</v>
      </c>
    </row>
    <row r="4224" spans="1:6" x14ac:dyDescent="0.2">
      <c r="A4224">
        <f>[1]!hospitalinfo[[#This Row],[Facility ID]]</f>
        <v>420002</v>
      </c>
      <c r="B4224" t="str">
        <f>[1]!hospitalinfo[[#This Row],[State]]</f>
        <v>SC</v>
      </c>
      <c r="C4224" t="str">
        <f>[1]!hospitalinfo[[#This Row],[Hospital Type]]</f>
        <v>Acute Care Hospitals</v>
      </c>
      <c r="D4224" t="str">
        <f>[1]!hospitalinfo[[#This Row],[Hospital Ownership]]</f>
        <v>Proprietary</v>
      </c>
      <c r="E4224" cm="1">
        <f t="array" ref="E4224">_xlfn.IFNA(_xlfn.XLOOKUP(1,([1]!hcahps[Facility ID] = clean[[#This Row],[Facility ID]]) * ([1]!hcahps[HCAHPS Measure ID] = "H_HSP_RATING_LINEAR_SCORE"), [1]!hcahps[HCAHPS Linear Mean Value]), "No Match")</f>
        <v>78</v>
      </c>
      <c r="F4224" cm="1">
        <f t="array" ref="F4224">_xlfn.IFNA(_xlfn.XLOOKUP(1,([1]!readmissions[Facility ID] = clean[[#This Row],[Facility ID]]) * ([1]!readmissions[Measure ID] = "Hybrid_HWR"), [1]!readmissions[Score]), "No Match")</f>
        <v>14</v>
      </c>
    </row>
    <row r="4225" spans="1:6" x14ac:dyDescent="0.2">
      <c r="A4225">
        <f>[1]!hospitalinfo[[#This Row],[Facility ID]]</f>
        <v>420004</v>
      </c>
      <c r="B4225" t="str">
        <f>[1]!hospitalinfo[[#This Row],[State]]</f>
        <v>SC</v>
      </c>
      <c r="C4225" t="str">
        <f>[1]!hospitalinfo[[#This Row],[Hospital Type]]</f>
        <v>Acute Care Hospitals</v>
      </c>
      <c r="D4225" t="str">
        <f>[1]!hospitalinfo[[#This Row],[Hospital Ownership]]</f>
        <v>Government - Hospital District or Authority</v>
      </c>
      <c r="E4225" cm="1">
        <f t="array" ref="E4225">_xlfn.IFNA(_xlfn.XLOOKUP(1,([1]!hcahps[Facility ID] = clean[[#This Row],[Facility ID]]) * ([1]!hcahps[HCAHPS Measure ID] = "H_HSP_RATING_LINEAR_SCORE"), [1]!hcahps[HCAHPS Linear Mean Value]), "No Match")</f>
        <v>88</v>
      </c>
      <c r="F4225" cm="1">
        <f t="array" ref="F4225">_xlfn.IFNA(_xlfn.XLOOKUP(1,([1]!readmissions[Facility ID] = clean[[#This Row],[Facility ID]]) * ([1]!readmissions[Measure ID] = "Hybrid_HWR"), [1]!readmissions[Score]), "No Match")</f>
        <v>15.7</v>
      </c>
    </row>
    <row r="4226" spans="1:6" x14ac:dyDescent="0.2">
      <c r="A4226">
        <f>[1]!hospitalinfo[[#This Row],[Facility ID]]</f>
        <v>420005</v>
      </c>
      <c r="B4226" t="str">
        <f>[1]!hospitalinfo[[#This Row],[State]]</f>
        <v>SC</v>
      </c>
      <c r="C4226" t="str">
        <f>[1]!hospitalinfo[[#This Row],[Hospital Type]]</f>
        <v>Acute Care Hospitals</v>
      </c>
      <c r="D4226" t="str">
        <f>[1]!hospitalinfo[[#This Row],[Hospital Ownership]]</f>
        <v>Voluntary non-profit - Private</v>
      </c>
      <c r="E4226" cm="1">
        <f t="array" ref="E4226">_xlfn.IFNA(_xlfn.XLOOKUP(1,([1]!hcahps[Facility ID] = clean[[#This Row],[Facility ID]]) * ([1]!hcahps[HCAHPS Measure ID] = "H_HSP_RATING_LINEAR_SCORE"), [1]!hcahps[HCAHPS Linear Mean Value]), "No Match")</f>
        <v>91</v>
      </c>
      <c r="F4226" cm="1">
        <f t="array" ref="F4226">_xlfn.IFNA(_xlfn.XLOOKUP(1,([1]!readmissions[Facility ID] = clean[[#This Row],[Facility ID]]) * ([1]!readmissions[Measure ID] = "Hybrid_HWR"), [1]!readmissions[Score]), "No Match")</f>
        <v>15.2</v>
      </c>
    </row>
    <row r="4227" spans="1:6" x14ac:dyDescent="0.2">
      <c r="A4227">
        <f>[1]!hospitalinfo[[#This Row],[Facility ID]]</f>
        <v>420007</v>
      </c>
      <c r="B4227" t="str">
        <f>[1]!hospitalinfo[[#This Row],[State]]</f>
        <v>SC</v>
      </c>
      <c r="C4227" t="str">
        <f>[1]!hospitalinfo[[#This Row],[Hospital Type]]</f>
        <v>Acute Care Hospitals</v>
      </c>
      <c r="D4227" t="str">
        <f>[1]!hospitalinfo[[#This Row],[Hospital Ownership]]</f>
        <v>Government - Hospital District or Authority</v>
      </c>
      <c r="E4227" cm="1">
        <f t="array" ref="E4227">_xlfn.IFNA(_xlfn.XLOOKUP(1,([1]!hcahps[Facility ID] = clean[[#This Row],[Facility ID]]) * ([1]!hcahps[HCAHPS Measure ID] = "H_HSP_RATING_LINEAR_SCORE"), [1]!hcahps[HCAHPS Linear Mean Value]), "No Match")</f>
        <v>87</v>
      </c>
      <c r="F4227" cm="1">
        <f t="array" ref="F4227">_xlfn.IFNA(_xlfn.XLOOKUP(1,([1]!readmissions[Facility ID] = clean[[#This Row],[Facility ID]]) * ([1]!readmissions[Measure ID] = "Hybrid_HWR"), [1]!readmissions[Score]), "No Match")</f>
        <v>14.4</v>
      </c>
    </row>
    <row r="4228" spans="1:6" x14ac:dyDescent="0.2">
      <c r="A4228">
        <f>[1]!hospitalinfo[[#This Row],[Facility ID]]</f>
        <v>420009</v>
      </c>
      <c r="B4228" t="str">
        <f>[1]!hospitalinfo[[#This Row],[State]]</f>
        <v>SC</v>
      </c>
      <c r="C4228" t="str">
        <f>[1]!hospitalinfo[[#This Row],[Hospital Type]]</f>
        <v>Acute Care Hospitals</v>
      </c>
      <c r="D4228" t="str">
        <f>[1]!hospitalinfo[[#This Row],[Hospital Ownership]]</f>
        <v>Voluntary non-profit - Private</v>
      </c>
      <c r="E4228" cm="1">
        <f t="array" ref="E4228">_xlfn.IFNA(_xlfn.XLOOKUP(1,([1]!hcahps[Facility ID] = clean[[#This Row],[Facility ID]]) * ([1]!hcahps[HCAHPS Measure ID] = "H_HSP_RATING_LINEAR_SCORE"), [1]!hcahps[HCAHPS Linear Mean Value]), "No Match")</f>
        <v>89</v>
      </c>
      <c r="F4228" cm="1">
        <f t="array" ref="F4228">_xlfn.IFNA(_xlfn.XLOOKUP(1,([1]!readmissions[Facility ID] = clean[[#This Row],[Facility ID]]) * ([1]!readmissions[Measure ID] = "Hybrid_HWR"), [1]!readmissions[Score]), "No Match")</f>
        <v>15.3</v>
      </c>
    </row>
    <row r="4229" spans="1:6" x14ac:dyDescent="0.2">
      <c r="A4229">
        <f>[1]!hospitalinfo[[#This Row],[Facility ID]]</f>
        <v>420010</v>
      </c>
      <c r="B4229" t="str">
        <f>[1]!hospitalinfo[[#This Row],[State]]</f>
        <v>SC</v>
      </c>
      <c r="C4229" t="str">
        <f>[1]!hospitalinfo[[#This Row],[Hospital Type]]</f>
        <v>Acute Care Hospitals</v>
      </c>
      <c r="D4229" t="str">
        <f>[1]!hospitalinfo[[#This Row],[Hospital Ownership]]</f>
        <v>Proprietary</v>
      </c>
      <c r="E4229" cm="1">
        <f t="array" ref="E4229">_xlfn.IFNA(_xlfn.XLOOKUP(1,([1]!hcahps[Facility ID] = clean[[#This Row],[Facility ID]]) * ([1]!hcahps[HCAHPS Measure ID] = "H_HSP_RATING_LINEAR_SCORE"), [1]!hcahps[HCAHPS Linear Mean Value]), "No Match")</f>
        <v>88</v>
      </c>
      <c r="F4229" cm="1">
        <f t="array" ref="F4229">_xlfn.IFNA(_xlfn.XLOOKUP(1,([1]!readmissions[Facility ID] = clean[[#This Row],[Facility ID]]) * ([1]!readmissions[Measure ID] = "Hybrid_HWR"), [1]!readmissions[Score]), "No Match")</f>
        <v>16.600000000000001</v>
      </c>
    </row>
    <row r="4230" spans="1:6" x14ac:dyDescent="0.2">
      <c r="A4230">
        <f>[1]!hospitalinfo[[#This Row],[Facility ID]]</f>
        <v>420011</v>
      </c>
      <c r="B4230" t="str">
        <f>[1]!hospitalinfo[[#This Row],[State]]</f>
        <v>SC</v>
      </c>
      <c r="C4230" t="str">
        <f>[1]!hospitalinfo[[#This Row],[Hospital Type]]</f>
        <v>Acute Care Hospitals</v>
      </c>
      <c r="D4230" t="str">
        <f>[1]!hospitalinfo[[#This Row],[Hospital Ownership]]</f>
        <v>Voluntary non-profit - Private</v>
      </c>
      <c r="E4230" t="str" cm="1">
        <f t="array" ref="E4230">_xlfn.IFNA(_xlfn.XLOOKUP(1,([1]!hcahps[Facility ID] = clean[[#This Row],[Facility ID]]) * ([1]!hcahps[HCAHPS Measure ID] = "H_HSP_RATING_LINEAR_SCORE"), [1]!hcahps[HCAHPS Linear Mean Value]), "No Match")</f>
        <v>Not Available</v>
      </c>
      <c r="F4230" cm="1">
        <f t="array" ref="F4230">_xlfn.IFNA(_xlfn.XLOOKUP(1,([1]!readmissions[Facility ID] = clean[[#This Row],[Facility ID]]) * ([1]!readmissions[Measure ID] = "Hybrid_HWR"), [1]!readmissions[Score]), "No Match")</f>
        <v>14.9</v>
      </c>
    </row>
    <row r="4231" spans="1:6" x14ac:dyDescent="0.2">
      <c r="A4231">
        <f>[1]!hospitalinfo[[#This Row],[Facility ID]]</f>
        <v>420015</v>
      </c>
      <c r="B4231" t="str">
        <f>[1]!hospitalinfo[[#This Row],[State]]</f>
        <v>SC</v>
      </c>
      <c r="C4231" t="str">
        <f>[1]!hospitalinfo[[#This Row],[Hospital Type]]</f>
        <v>Acute Care Hospitals</v>
      </c>
      <c r="D4231" t="str">
        <f>[1]!hospitalinfo[[#This Row],[Hospital Ownership]]</f>
        <v>Voluntary non-profit - Private</v>
      </c>
      <c r="E4231" cm="1">
        <f t="array" ref="E4231">_xlfn.IFNA(_xlfn.XLOOKUP(1,([1]!hcahps[Facility ID] = clean[[#This Row],[Facility ID]]) * ([1]!hcahps[HCAHPS Measure ID] = "H_HSP_RATING_LINEAR_SCORE"), [1]!hcahps[HCAHPS Linear Mean Value]), "No Match")</f>
        <v>87</v>
      </c>
      <c r="F4231" cm="1">
        <f t="array" ref="F4231">_xlfn.IFNA(_xlfn.XLOOKUP(1,([1]!readmissions[Facility ID] = clean[[#This Row],[Facility ID]]) * ([1]!readmissions[Measure ID] = "Hybrid_HWR"), [1]!readmissions[Score]), "No Match")</f>
        <v>14.2</v>
      </c>
    </row>
    <row r="4232" spans="1:6" x14ac:dyDescent="0.2">
      <c r="A4232">
        <f>[1]!hospitalinfo[[#This Row],[Facility ID]]</f>
        <v>420018</v>
      </c>
      <c r="B4232" t="str">
        <f>[1]!hospitalinfo[[#This Row],[State]]</f>
        <v>SC</v>
      </c>
      <c r="C4232" t="str">
        <f>[1]!hospitalinfo[[#This Row],[Hospital Type]]</f>
        <v>Acute Care Hospitals</v>
      </c>
      <c r="D4232" t="str">
        <f>[1]!hospitalinfo[[#This Row],[Hospital Ownership]]</f>
        <v>Voluntary non-profit - Private</v>
      </c>
      <c r="E4232" cm="1">
        <f t="array" ref="E4232">_xlfn.IFNA(_xlfn.XLOOKUP(1,([1]!hcahps[Facility ID] = clean[[#This Row],[Facility ID]]) * ([1]!hcahps[HCAHPS Measure ID] = "H_HSP_RATING_LINEAR_SCORE"), [1]!hcahps[HCAHPS Linear Mean Value]), "No Match")</f>
        <v>87</v>
      </c>
      <c r="F4232" cm="1">
        <f t="array" ref="F4232">_xlfn.IFNA(_xlfn.XLOOKUP(1,([1]!readmissions[Facility ID] = clean[[#This Row],[Facility ID]]) * ([1]!readmissions[Measure ID] = "Hybrid_HWR"), [1]!readmissions[Score]), "No Match")</f>
        <v>14.4</v>
      </c>
    </row>
    <row r="4233" spans="1:6" x14ac:dyDescent="0.2">
      <c r="A4233">
        <f>[1]!hospitalinfo[[#This Row],[Facility ID]]</f>
        <v>420019</v>
      </c>
      <c r="B4233" t="str">
        <f>[1]!hospitalinfo[[#This Row],[State]]</f>
        <v>SC</v>
      </c>
      <c r="C4233" t="str">
        <f>[1]!hospitalinfo[[#This Row],[Hospital Type]]</f>
        <v>Acute Care Hospitals</v>
      </c>
      <c r="D4233" t="str">
        <f>[1]!hospitalinfo[[#This Row],[Hospital Ownership]]</f>
        <v>Proprietary</v>
      </c>
      <c r="E4233" cm="1">
        <f t="array" ref="E4233">_xlfn.IFNA(_xlfn.XLOOKUP(1,([1]!hcahps[Facility ID] = clean[[#This Row],[Facility ID]]) * ([1]!hcahps[HCAHPS Measure ID] = "H_HSP_RATING_LINEAR_SCORE"), [1]!hcahps[HCAHPS Linear Mean Value]), "No Match")</f>
        <v>82</v>
      </c>
      <c r="F4233" cm="1">
        <f t="array" ref="F4233">_xlfn.IFNA(_xlfn.XLOOKUP(1,([1]!readmissions[Facility ID] = clean[[#This Row],[Facility ID]]) * ([1]!readmissions[Measure ID] = "Hybrid_HWR"), [1]!readmissions[Score]), "No Match")</f>
        <v>14.6</v>
      </c>
    </row>
    <row r="4234" spans="1:6" x14ac:dyDescent="0.2">
      <c r="A4234">
        <f>[1]!hospitalinfo[[#This Row],[Facility ID]]</f>
        <v>420020</v>
      </c>
      <c r="B4234" t="str">
        <f>[1]!hospitalinfo[[#This Row],[State]]</f>
        <v>SC</v>
      </c>
      <c r="C4234" t="str">
        <f>[1]!hospitalinfo[[#This Row],[Hospital Type]]</f>
        <v>Acute Care Hospitals</v>
      </c>
      <c r="D4234" t="str">
        <f>[1]!hospitalinfo[[#This Row],[Hospital Ownership]]</f>
        <v>Voluntary non-profit - Private</v>
      </c>
      <c r="E4234" cm="1">
        <f t="array" ref="E4234">_xlfn.IFNA(_xlfn.XLOOKUP(1,([1]!hcahps[Facility ID] = clean[[#This Row],[Facility ID]]) * ([1]!hcahps[HCAHPS Measure ID] = "H_HSP_RATING_LINEAR_SCORE"), [1]!hcahps[HCAHPS Linear Mean Value]), "No Match")</f>
        <v>84</v>
      </c>
      <c r="F4234" cm="1">
        <f t="array" ref="F4234">_xlfn.IFNA(_xlfn.XLOOKUP(1,([1]!readmissions[Facility ID] = clean[[#This Row],[Facility ID]]) * ([1]!readmissions[Measure ID] = "Hybrid_HWR"), [1]!readmissions[Score]), "No Match")</f>
        <v>14.4</v>
      </c>
    </row>
    <row r="4235" spans="1:6" x14ac:dyDescent="0.2">
      <c r="A4235">
        <f>[1]!hospitalinfo[[#This Row],[Facility ID]]</f>
        <v>420023</v>
      </c>
      <c r="B4235" t="str">
        <f>[1]!hospitalinfo[[#This Row],[State]]</f>
        <v>SC</v>
      </c>
      <c r="C4235" t="str">
        <f>[1]!hospitalinfo[[#This Row],[Hospital Type]]</f>
        <v>Acute Care Hospitals</v>
      </c>
      <c r="D4235" t="str">
        <f>[1]!hospitalinfo[[#This Row],[Hospital Ownership]]</f>
        <v>Voluntary non-profit - Private</v>
      </c>
      <c r="E4235" cm="1">
        <f t="array" ref="E4235">_xlfn.IFNA(_xlfn.XLOOKUP(1,([1]!hcahps[Facility ID] = clean[[#This Row],[Facility ID]]) * ([1]!hcahps[HCAHPS Measure ID] = "H_HSP_RATING_LINEAR_SCORE"), [1]!hcahps[HCAHPS Linear Mean Value]), "No Match")</f>
        <v>90</v>
      </c>
      <c r="F4235" cm="1">
        <f t="array" ref="F4235">_xlfn.IFNA(_xlfn.XLOOKUP(1,([1]!readmissions[Facility ID] = clean[[#This Row],[Facility ID]]) * ([1]!readmissions[Measure ID] = "Hybrid_HWR"), [1]!readmissions[Score]), "No Match")</f>
        <v>14.1</v>
      </c>
    </row>
    <row r="4236" spans="1:6" x14ac:dyDescent="0.2">
      <c r="A4236">
        <f>[1]!hospitalinfo[[#This Row],[Facility ID]]</f>
        <v>420026</v>
      </c>
      <c r="B4236" t="str">
        <f>[1]!hospitalinfo[[#This Row],[State]]</f>
        <v>SC</v>
      </c>
      <c r="C4236" t="str">
        <f>[1]!hospitalinfo[[#This Row],[Hospital Type]]</f>
        <v>Acute Care Hospitals</v>
      </c>
      <c r="D4236" t="str">
        <f>[1]!hospitalinfo[[#This Row],[Hospital Ownership]]</f>
        <v>Voluntary non-profit - Private</v>
      </c>
      <c r="E4236" cm="1">
        <f t="array" ref="E4236">_xlfn.IFNA(_xlfn.XLOOKUP(1,([1]!hcahps[Facility ID] = clean[[#This Row],[Facility ID]]) * ([1]!hcahps[HCAHPS Measure ID] = "H_HSP_RATING_LINEAR_SCORE"), [1]!hcahps[HCAHPS Linear Mean Value]), "No Match")</f>
        <v>87</v>
      </c>
      <c r="F4236" cm="1">
        <f t="array" ref="F4236">_xlfn.IFNA(_xlfn.XLOOKUP(1,([1]!readmissions[Facility ID] = clean[[#This Row],[Facility ID]]) * ([1]!readmissions[Measure ID] = "Hybrid_HWR"), [1]!readmissions[Score]), "No Match")</f>
        <v>14.9</v>
      </c>
    </row>
    <row r="4237" spans="1:6" x14ac:dyDescent="0.2">
      <c r="A4237">
        <f>[1]!hospitalinfo[[#This Row],[Facility ID]]</f>
        <v>420027</v>
      </c>
      <c r="B4237" t="str">
        <f>[1]!hospitalinfo[[#This Row],[State]]</f>
        <v>SC</v>
      </c>
      <c r="C4237" t="str">
        <f>[1]!hospitalinfo[[#This Row],[Hospital Type]]</f>
        <v>Acute Care Hospitals</v>
      </c>
      <c r="D4237" t="str">
        <f>[1]!hospitalinfo[[#This Row],[Hospital Ownership]]</f>
        <v>Voluntary non-profit - Private</v>
      </c>
      <c r="E4237" cm="1">
        <f t="array" ref="E4237">_xlfn.IFNA(_xlfn.XLOOKUP(1,([1]!hcahps[Facility ID] = clean[[#This Row],[Facility ID]]) * ([1]!hcahps[HCAHPS Measure ID] = "H_HSP_RATING_LINEAR_SCORE"), [1]!hcahps[HCAHPS Linear Mean Value]), "No Match")</f>
        <v>88</v>
      </c>
      <c r="F4237" cm="1">
        <f t="array" ref="F4237">_xlfn.IFNA(_xlfn.XLOOKUP(1,([1]!readmissions[Facility ID] = clean[[#This Row],[Facility ID]]) * ([1]!readmissions[Measure ID] = "Hybrid_HWR"), [1]!readmissions[Score]), "No Match")</f>
        <v>14.9</v>
      </c>
    </row>
    <row r="4238" spans="1:6" x14ac:dyDescent="0.2">
      <c r="A4238">
        <f>[1]!hospitalinfo[[#This Row],[Facility ID]]</f>
        <v>420030</v>
      </c>
      <c r="B4238" t="str">
        <f>[1]!hospitalinfo[[#This Row],[State]]</f>
        <v>SC</v>
      </c>
      <c r="C4238" t="str">
        <f>[1]!hospitalinfo[[#This Row],[Hospital Type]]</f>
        <v>Acute Care Hospitals</v>
      </c>
      <c r="D4238" t="str">
        <f>[1]!hospitalinfo[[#This Row],[Hospital Ownership]]</f>
        <v>Proprietary</v>
      </c>
      <c r="E4238" cm="1">
        <f t="array" ref="E4238">_xlfn.IFNA(_xlfn.XLOOKUP(1,([1]!hcahps[Facility ID] = clean[[#This Row],[Facility ID]]) * ([1]!hcahps[HCAHPS Measure ID] = "H_HSP_RATING_LINEAR_SCORE"), [1]!hcahps[HCAHPS Linear Mean Value]), "No Match")</f>
        <v>88</v>
      </c>
      <c r="F4238" cm="1">
        <f t="array" ref="F4238">_xlfn.IFNA(_xlfn.XLOOKUP(1,([1]!readmissions[Facility ID] = clean[[#This Row],[Facility ID]]) * ([1]!readmissions[Measure ID] = "Hybrid_HWR"), [1]!readmissions[Score]), "No Match")</f>
        <v>14.9</v>
      </c>
    </row>
    <row r="4239" spans="1:6" x14ac:dyDescent="0.2">
      <c r="A4239">
        <f>[1]!hospitalinfo[[#This Row],[Facility ID]]</f>
        <v>420033</v>
      </c>
      <c r="B4239" t="str">
        <f>[1]!hospitalinfo[[#This Row],[State]]</f>
        <v>SC</v>
      </c>
      <c r="C4239" t="str">
        <f>[1]!hospitalinfo[[#This Row],[Hospital Type]]</f>
        <v>Acute Care Hospitals</v>
      </c>
      <c r="D4239" t="str">
        <f>[1]!hospitalinfo[[#This Row],[Hospital Ownership]]</f>
        <v>Voluntary non-profit - Private</v>
      </c>
      <c r="E4239" cm="1">
        <f t="array" ref="E4239">_xlfn.IFNA(_xlfn.XLOOKUP(1,([1]!hcahps[Facility ID] = clean[[#This Row],[Facility ID]]) * ([1]!hcahps[HCAHPS Measure ID] = "H_HSP_RATING_LINEAR_SCORE"), [1]!hcahps[HCAHPS Linear Mean Value]), "No Match")</f>
        <v>92</v>
      </c>
      <c r="F4239" cm="1">
        <f t="array" ref="F4239">_xlfn.IFNA(_xlfn.XLOOKUP(1,([1]!readmissions[Facility ID] = clean[[#This Row],[Facility ID]]) * ([1]!readmissions[Measure ID] = "Hybrid_HWR"), [1]!readmissions[Score]), "No Match")</f>
        <v>13.5</v>
      </c>
    </row>
    <row r="4240" spans="1:6" x14ac:dyDescent="0.2">
      <c r="A4240">
        <f>[1]!hospitalinfo[[#This Row],[Facility ID]]</f>
        <v>420036</v>
      </c>
      <c r="B4240" t="str">
        <f>[1]!hospitalinfo[[#This Row],[State]]</f>
        <v>SC</v>
      </c>
      <c r="C4240" t="str">
        <f>[1]!hospitalinfo[[#This Row],[Hospital Type]]</f>
        <v>Acute Care Hospitals</v>
      </c>
      <c r="D4240" t="str">
        <f>[1]!hospitalinfo[[#This Row],[Hospital Ownership]]</f>
        <v>Proprietary</v>
      </c>
      <c r="E4240" cm="1">
        <f t="array" ref="E4240">_xlfn.IFNA(_xlfn.XLOOKUP(1,([1]!hcahps[Facility ID] = clean[[#This Row],[Facility ID]]) * ([1]!hcahps[HCAHPS Measure ID] = "H_HSP_RATING_LINEAR_SCORE"), [1]!hcahps[HCAHPS Linear Mean Value]), "No Match")</f>
        <v>87</v>
      </c>
      <c r="F4240" cm="1">
        <f t="array" ref="F4240">_xlfn.IFNA(_xlfn.XLOOKUP(1,([1]!readmissions[Facility ID] = clean[[#This Row],[Facility ID]]) * ([1]!readmissions[Measure ID] = "Hybrid_HWR"), [1]!readmissions[Score]), "No Match")</f>
        <v>15.5</v>
      </c>
    </row>
    <row r="4241" spans="1:6" x14ac:dyDescent="0.2">
      <c r="A4241">
        <f>[1]!hospitalinfo[[#This Row],[Facility ID]]</f>
        <v>420037</v>
      </c>
      <c r="B4241" t="str">
        <f>[1]!hospitalinfo[[#This Row],[State]]</f>
        <v>SC</v>
      </c>
      <c r="C4241" t="str">
        <f>[1]!hospitalinfo[[#This Row],[Hospital Type]]</f>
        <v>Acute Care Hospitals</v>
      </c>
      <c r="D4241" t="str">
        <f>[1]!hospitalinfo[[#This Row],[Hospital Ownership]]</f>
        <v>Voluntary non-profit - Private</v>
      </c>
      <c r="E4241" cm="1">
        <f t="array" ref="E4241">_xlfn.IFNA(_xlfn.XLOOKUP(1,([1]!hcahps[Facility ID] = clean[[#This Row],[Facility ID]]) * ([1]!hcahps[HCAHPS Measure ID] = "H_HSP_RATING_LINEAR_SCORE"), [1]!hcahps[HCAHPS Linear Mean Value]), "No Match")</f>
        <v>90</v>
      </c>
      <c r="F4241" cm="1">
        <f t="array" ref="F4241">_xlfn.IFNA(_xlfn.XLOOKUP(1,([1]!readmissions[Facility ID] = clean[[#This Row],[Facility ID]]) * ([1]!readmissions[Measure ID] = "Hybrid_HWR"), [1]!readmissions[Score]), "No Match")</f>
        <v>14.2</v>
      </c>
    </row>
    <row r="4242" spans="1:6" x14ac:dyDescent="0.2">
      <c r="A4242">
        <f>[1]!hospitalinfo[[#This Row],[Facility ID]]</f>
        <v>420038</v>
      </c>
      <c r="B4242" t="str">
        <f>[1]!hospitalinfo[[#This Row],[State]]</f>
        <v>SC</v>
      </c>
      <c r="C4242" t="str">
        <f>[1]!hospitalinfo[[#This Row],[Hospital Type]]</f>
        <v>Acute Care Hospitals</v>
      </c>
      <c r="D4242" t="str">
        <f>[1]!hospitalinfo[[#This Row],[Hospital Ownership]]</f>
        <v>Voluntary non-profit - Private</v>
      </c>
      <c r="E4242" cm="1">
        <f t="array" ref="E4242">_xlfn.IFNA(_xlfn.XLOOKUP(1,([1]!hcahps[Facility ID] = clean[[#This Row],[Facility ID]]) * ([1]!hcahps[HCAHPS Measure ID] = "H_HSP_RATING_LINEAR_SCORE"), [1]!hcahps[HCAHPS Linear Mean Value]), "No Match")</f>
        <v>89</v>
      </c>
      <c r="F4242" cm="1">
        <f t="array" ref="F4242">_xlfn.IFNA(_xlfn.XLOOKUP(1,([1]!readmissions[Facility ID] = clean[[#This Row],[Facility ID]]) * ([1]!readmissions[Measure ID] = "Hybrid_HWR"), [1]!readmissions[Score]), "No Match")</f>
        <v>13.8</v>
      </c>
    </row>
    <row r="4243" spans="1:6" x14ac:dyDescent="0.2">
      <c r="A4243">
        <f>[1]!hospitalinfo[[#This Row],[Facility ID]]</f>
        <v>420043</v>
      </c>
      <c r="B4243" t="str">
        <f>[1]!hospitalinfo[[#This Row],[State]]</f>
        <v>SC</v>
      </c>
      <c r="C4243" t="str">
        <f>[1]!hospitalinfo[[#This Row],[Hospital Type]]</f>
        <v>Acute Care Hospitals</v>
      </c>
      <c r="D4243" t="str">
        <f>[1]!hospitalinfo[[#This Row],[Hospital Ownership]]</f>
        <v>Government - Hospital District or Authority</v>
      </c>
      <c r="E4243" cm="1">
        <f t="array" ref="E4243">_xlfn.IFNA(_xlfn.XLOOKUP(1,([1]!hcahps[Facility ID] = clean[[#This Row],[Facility ID]]) * ([1]!hcahps[HCAHPS Measure ID] = "H_HSP_RATING_LINEAR_SCORE"), [1]!hcahps[HCAHPS Linear Mean Value]), "No Match")</f>
        <v>87</v>
      </c>
      <c r="F4243" cm="1">
        <f t="array" ref="F4243">_xlfn.IFNA(_xlfn.XLOOKUP(1,([1]!readmissions[Facility ID] = clean[[#This Row],[Facility ID]]) * ([1]!readmissions[Measure ID] = "Hybrid_HWR"), [1]!readmissions[Score]), "No Match")</f>
        <v>15.5</v>
      </c>
    </row>
    <row r="4244" spans="1:6" x14ac:dyDescent="0.2">
      <c r="A4244">
        <f>[1]!hospitalinfo[[#This Row],[Facility ID]]</f>
        <v>420048</v>
      </c>
      <c r="B4244" t="str">
        <f>[1]!hospitalinfo[[#This Row],[State]]</f>
        <v>SC</v>
      </c>
      <c r="C4244" t="str">
        <f>[1]!hospitalinfo[[#This Row],[Hospital Type]]</f>
        <v>Acute Care Hospitals</v>
      </c>
      <c r="D4244" t="str">
        <f>[1]!hospitalinfo[[#This Row],[Hospital Ownership]]</f>
        <v>Proprietary</v>
      </c>
      <c r="E4244" cm="1">
        <f t="array" ref="E4244">_xlfn.IFNA(_xlfn.XLOOKUP(1,([1]!hcahps[Facility ID] = clean[[#This Row],[Facility ID]]) * ([1]!hcahps[HCAHPS Measure ID] = "H_HSP_RATING_LINEAR_SCORE"), [1]!hcahps[HCAHPS Linear Mean Value]), "No Match")</f>
        <v>82</v>
      </c>
      <c r="F4244" cm="1">
        <f t="array" ref="F4244">_xlfn.IFNA(_xlfn.XLOOKUP(1,([1]!readmissions[Facility ID] = clean[[#This Row],[Facility ID]]) * ([1]!readmissions[Measure ID] = "Hybrid_HWR"), [1]!readmissions[Score]), "No Match")</f>
        <v>14.6</v>
      </c>
    </row>
    <row r="4245" spans="1:6" x14ac:dyDescent="0.2">
      <c r="A4245">
        <f>[1]!hospitalinfo[[#This Row],[Facility ID]]</f>
        <v>420049</v>
      </c>
      <c r="B4245" t="str">
        <f>[1]!hospitalinfo[[#This Row],[State]]</f>
        <v>SC</v>
      </c>
      <c r="C4245" t="str">
        <f>[1]!hospitalinfo[[#This Row],[Hospital Type]]</f>
        <v>Acute Care Hospitals</v>
      </c>
      <c r="D4245" t="str">
        <f>[1]!hospitalinfo[[#This Row],[Hospital Ownership]]</f>
        <v>Voluntary non-profit - Private</v>
      </c>
      <c r="E4245" cm="1">
        <f t="array" ref="E4245">_xlfn.IFNA(_xlfn.XLOOKUP(1,([1]!hcahps[Facility ID] = clean[[#This Row],[Facility ID]]) * ([1]!hcahps[HCAHPS Measure ID] = "H_HSP_RATING_LINEAR_SCORE"), [1]!hcahps[HCAHPS Linear Mean Value]), "No Match")</f>
        <v>87</v>
      </c>
      <c r="F4245" cm="1">
        <f t="array" ref="F4245">_xlfn.IFNA(_xlfn.XLOOKUP(1,([1]!readmissions[Facility ID] = clean[[#This Row],[Facility ID]]) * ([1]!readmissions[Measure ID] = "Hybrid_HWR"), [1]!readmissions[Score]), "No Match")</f>
        <v>15.6</v>
      </c>
    </row>
    <row r="4246" spans="1:6" x14ac:dyDescent="0.2">
      <c r="A4246">
        <f>[1]!hospitalinfo[[#This Row],[Facility ID]]</f>
        <v>420051</v>
      </c>
      <c r="B4246" t="str">
        <f>[1]!hospitalinfo[[#This Row],[State]]</f>
        <v>SC</v>
      </c>
      <c r="C4246" t="str">
        <f>[1]!hospitalinfo[[#This Row],[Hospital Type]]</f>
        <v>Acute Care Hospitals</v>
      </c>
      <c r="D4246" t="str">
        <f>[1]!hospitalinfo[[#This Row],[Hospital Ownership]]</f>
        <v>Voluntary non-profit - Private</v>
      </c>
      <c r="E4246" cm="1">
        <f t="array" ref="E4246">_xlfn.IFNA(_xlfn.XLOOKUP(1,([1]!hcahps[Facility ID] = clean[[#This Row],[Facility ID]]) * ([1]!hcahps[HCAHPS Measure ID] = "H_HSP_RATING_LINEAR_SCORE"), [1]!hcahps[HCAHPS Linear Mean Value]), "No Match")</f>
        <v>89</v>
      </c>
      <c r="F4246" cm="1">
        <f t="array" ref="F4246">_xlfn.IFNA(_xlfn.XLOOKUP(1,([1]!readmissions[Facility ID] = clean[[#This Row],[Facility ID]]) * ([1]!readmissions[Measure ID] = "Hybrid_HWR"), [1]!readmissions[Score]), "No Match")</f>
        <v>15</v>
      </c>
    </row>
    <row r="4247" spans="1:6" x14ac:dyDescent="0.2">
      <c r="A4247">
        <f>[1]!hospitalinfo[[#This Row],[Facility ID]]</f>
        <v>420053</v>
      </c>
      <c r="B4247" t="str">
        <f>[1]!hospitalinfo[[#This Row],[State]]</f>
        <v>SC</v>
      </c>
      <c r="C4247" t="str">
        <f>[1]!hospitalinfo[[#This Row],[Hospital Type]]</f>
        <v>Acute Care Hospitals</v>
      </c>
      <c r="D4247" t="str">
        <f>[1]!hospitalinfo[[#This Row],[Hospital Ownership]]</f>
        <v>Voluntary non-profit - Other</v>
      </c>
      <c r="E4247" cm="1">
        <f t="array" ref="E4247">_xlfn.IFNA(_xlfn.XLOOKUP(1,([1]!hcahps[Facility ID] = clean[[#This Row],[Facility ID]]) * ([1]!hcahps[HCAHPS Measure ID] = "H_HSP_RATING_LINEAR_SCORE"), [1]!hcahps[HCAHPS Linear Mean Value]), "No Match")</f>
        <v>92</v>
      </c>
      <c r="F4247" cm="1">
        <f t="array" ref="F4247">_xlfn.IFNA(_xlfn.XLOOKUP(1,([1]!readmissions[Facility ID] = clean[[#This Row],[Facility ID]]) * ([1]!readmissions[Measure ID] = "Hybrid_HWR"), [1]!readmissions[Score]), "No Match")</f>
        <v>14.7</v>
      </c>
    </row>
    <row r="4248" spans="1:6" x14ac:dyDescent="0.2">
      <c r="A4248">
        <f>[1]!hospitalinfo[[#This Row],[Facility ID]]</f>
        <v>420055</v>
      </c>
      <c r="B4248" t="str">
        <f>[1]!hospitalinfo[[#This Row],[State]]</f>
        <v>SC</v>
      </c>
      <c r="C4248" t="str">
        <f>[1]!hospitalinfo[[#This Row],[Hospital Type]]</f>
        <v>Acute Care Hospitals</v>
      </c>
      <c r="D4248" t="str">
        <f>[1]!hospitalinfo[[#This Row],[Hospital Ownership]]</f>
        <v>Government - State</v>
      </c>
      <c r="E4248" cm="1">
        <f t="array" ref="E4248">_xlfn.IFNA(_xlfn.XLOOKUP(1,([1]!hcahps[Facility ID] = clean[[#This Row],[Facility ID]]) * ([1]!hcahps[HCAHPS Measure ID] = "H_HSP_RATING_LINEAR_SCORE"), [1]!hcahps[HCAHPS Linear Mean Value]), "No Match")</f>
        <v>90</v>
      </c>
      <c r="F4248" cm="1">
        <f t="array" ref="F4248">_xlfn.IFNA(_xlfn.XLOOKUP(1,([1]!readmissions[Facility ID] = clean[[#This Row],[Facility ID]]) * ([1]!readmissions[Measure ID] = "Hybrid_HWR"), [1]!readmissions[Score]), "No Match")</f>
        <v>14.9</v>
      </c>
    </row>
    <row r="4249" spans="1:6" x14ac:dyDescent="0.2">
      <c r="A4249">
        <f>[1]!hospitalinfo[[#This Row],[Facility ID]]</f>
        <v>420065</v>
      </c>
      <c r="B4249" t="str">
        <f>[1]!hospitalinfo[[#This Row],[State]]</f>
        <v>SC</v>
      </c>
      <c r="C4249" t="str">
        <f>[1]!hospitalinfo[[#This Row],[Hospital Type]]</f>
        <v>Acute Care Hospitals</v>
      </c>
      <c r="D4249" t="str">
        <f>[1]!hospitalinfo[[#This Row],[Hospital Ownership]]</f>
        <v>Voluntary non-profit - Private</v>
      </c>
      <c r="E4249" cm="1">
        <f t="array" ref="E4249">_xlfn.IFNA(_xlfn.XLOOKUP(1,([1]!hcahps[Facility ID] = clean[[#This Row],[Facility ID]]) * ([1]!hcahps[HCAHPS Measure ID] = "H_HSP_RATING_LINEAR_SCORE"), [1]!hcahps[HCAHPS Linear Mean Value]), "No Match")</f>
        <v>90</v>
      </c>
      <c r="F4249" cm="1">
        <f t="array" ref="F4249">_xlfn.IFNA(_xlfn.XLOOKUP(1,([1]!readmissions[Facility ID] = clean[[#This Row],[Facility ID]]) * ([1]!readmissions[Measure ID] = "Hybrid_HWR"), [1]!readmissions[Score]), "No Match")</f>
        <v>13.7</v>
      </c>
    </row>
    <row r="4250" spans="1:6" x14ac:dyDescent="0.2">
      <c r="A4250">
        <f>[1]!hospitalinfo[[#This Row],[Facility ID]]</f>
        <v>420067</v>
      </c>
      <c r="B4250" t="str">
        <f>[1]!hospitalinfo[[#This Row],[State]]</f>
        <v>SC</v>
      </c>
      <c r="C4250" t="str">
        <f>[1]!hospitalinfo[[#This Row],[Hospital Type]]</f>
        <v>Acute Care Hospitals</v>
      </c>
      <c r="D4250" t="str">
        <f>[1]!hospitalinfo[[#This Row],[Hospital Ownership]]</f>
        <v>Government - Local</v>
      </c>
      <c r="E4250" cm="1">
        <f t="array" ref="E4250">_xlfn.IFNA(_xlfn.XLOOKUP(1,([1]!hcahps[Facility ID] = clean[[#This Row],[Facility ID]]) * ([1]!hcahps[HCAHPS Measure ID] = "H_HSP_RATING_LINEAR_SCORE"), [1]!hcahps[HCAHPS Linear Mean Value]), "No Match")</f>
        <v>83</v>
      </c>
      <c r="F4250" cm="1">
        <f t="array" ref="F4250">_xlfn.IFNA(_xlfn.XLOOKUP(1,([1]!readmissions[Facility ID] = clean[[#This Row],[Facility ID]]) * ([1]!readmissions[Measure ID] = "Hybrid_HWR"), [1]!readmissions[Score]), "No Match")</f>
        <v>15.1</v>
      </c>
    </row>
    <row r="4251" spans="1:6" x14ac:dyDescent="0.2">
      <c r="A4251">
        <f>[1]!hospitalinfo[[#This Row],[Facility ID]]</f>
        <v>420070</v>
      </c>
      <c r="B4251" t="str">
        <f>[1]!hospitalinfo[[#This Row],[State]]</f>
        <v>SC</v>
      </c>
      <c r="C4251" t="str">
        <f>[1]!hospitalinfo[[#This Row],[Hospital Type]]</f>
        <v>Acute Care Hospitals</v>
      </c>
      <c r="D4251" t="str">
        <f>[1]!hospitalinfo[[#This Row],[Hospital Ownership]]</f>
        <v>Voluntary non-profit - Private</v>
      </c>
      <c r="E4251" cm="1">
        <f t="array" ref="E4251">_xlfn.IFNA(_xlfn.XLOOKUP(1,([1]!hcahps[Facility ID] = clean[[#This Row],[Facility ID]]) * ([1]!hcahps[HCAHPS Measure ID] = "H_HSP_RATING_LINEAR_SCORE"), [1]!hcahps[HCAHPS Linear Mean Value]), "No Match")</f>
        <v>85</v>
      </c>
      <c r="F4251" cm="1">
        <f t="array" ref="F4251">_xlfn.IFNA(_xlfn.XLOOKUP(1,([1]!readmissions[Facility ID] = clean[[#This Row],[Facility ID]]) * ([1]!readmissions[Measure ID] = "Hybrid_HWR"), [1]!readmissions[Score]), "No Match")</f>
        <v>14.8</v>
      </c>
    </row>
    <row r="4252" spans="1:6" x14ac:dyDescent="0.2">
      <c r="A4252">
        <f>[1]!hospitalinfo[[#This Row],[Facility ID]]</f>
        <v>420071</v>
      </c>
      <c r="B4252" t="str">
        <f>[1]!hospitalinfo[[#This Row],[State]]</f>
        <v>SC</v>
      </c>
      <c r="C4252" t="str">
        <f>[1]!hospitalinfo[[#This Row],[Hospital Type]]</f>
        <v>Acute Care Hospitals</v>
      </c>
      <c r="D4252" t="str">
        <f>[1]!hospitalinfo[[#This Row],[Hospital Ownership]]</f>
        <v>Voluntary non-profit - Private</v>
      </c>
      <c r="E4252" cm="1">
        <f t="array" ref="E4252">_xlfn.IFNA(_xlfn.XLOOKUP(1,([1]!hcahps[Facility ID] = clean[[#This Row],[Facility ID]]) * ([1]!hcahps[HCAHPS Measure ID] = "H_HSP_RATING_LINEAR_SCORE"), [1]!hcahps[HCAHPS Linear Mean Value]), "No Match")</f>
        <v>89</v>
      </c>
      <c r="F4252" cm="1">
        <f t="array" ref="F4252">_xlfn.IFNA(_xlfn.XLOOKUP(1,([1]!readmissions[Facility ID] = clean[[#This Row],[Facility ID]]) * ([1]!readmissions[Measure ID] = "Hybrid_HWR"), [1]!readmissions[Score]), "No Match")</f>
        <v>14.3</v>
      </c>
    </row>
    <row r="4253" spans="1:6" x14ac:dyDescent="0.2">
      <c r="A4253">
        <f>[1]!hospitalinfo[[#This Row],[Facility ID]]</f>
        <v>420072</v>
      </c>
      <c r="B4253" t="str">
        <f>[1]!hospitalinfo[[#This Row],[State]]</f>
        <v>SC</v>
      </c>
      <c r="C4253" t="str">
        <f>[1]!hospitalinfo[[#This Row],[Hospital Type]]</f>
        <v>Acute Care Hospitals</v>
      </c>
      <c r="D4253" t="str">
        <f>[1]!hospitalinfo[[#This Row],[Hospital Ownership]]</f>
        <v>Voluntary non-profit - Private</v>
      </c>
      <c r="E4253" t="str" cm="1">
        <f t="array" ref="E4253">_xlfn.IFNA(_xlfn.XLOOKUP(1,([1]!hcahps[Facility ID] = clean[[#This Row],[Facility ID]]) * ([1]!hcahps[HCAHPS Measure ID] = "H_HSP_RATING_LINEAR_SCORE"), [1]!hcahps[HCAHPS Linear Mean Value]), "No Match")</f>
        <v>Not Available</v>
      </c>
      <c r="F4253" cm="1">
        <f t="array" ref="F4253">_xlfn.IFNA(_xlfn.XLOOKUP(1,([1]!readmissions[Facility ID] = clean[[#This Row],[Facility ID]]) * ([1]!readmissions[Measure ID] = "Hybrid_HWR"), [1]!readmissions[Score]), "No Match")</f>
        <v>15.1</v>
      </c>
    </row>
    <row r="4254" spans="1:6" x14ac:dyDescent="0.2">
      <c r="A4254">
        <f>[1]!hospitalinfo[[#This Row],[Facility ID]]</f>
        <v>420073</v>
      </c>
      <c r="B4254" t="str">
        <f>[1]!hospitalinfo[[#This Row],[State]]</f>
        <v>SC</v>
      </c>
      <c r="C4254" t="str">
        <f>[1]!hospitalinfo[[#This Row],[Hospital Type]]</f>
        <v>Acute Care Hospitals</v>
      </c>
      <c r="D4254" t="str">
        <f>[1]!hospitalinfo[[#This Row],[Hospital Ownership]]</f>
        <v>Voluntary non-profit - Private</v>
      </c>
      <c r="E4254" cm="1">
        <f t="array" ref="E4254">_xlfn.IFNA(_xlfn.XLOOKUP(1,([1]!hcahps[Facility ID] = clean[[#This Row],[Facility ID]]) * ([1]!hcahps[HCAHPS Measure ID] = "H_HSP_RATING_LINEAR_SCORE"), [1]!hcahps[HCAHPS Linear Mean Value]), "No Match")</f>
        <v>92</v>
      </c>
      <c r="F4254" cm="1">
        <f t="array" ref="F4254">_xlfn.IFNA(_xlfn.XLOOKUP(1,([1]!readmissions[Facility ID] = clean[[#This Row],[Facility ID]]) * ([1]!readmissions[Measure ID] = "Hybrid_HWR"), [1]!readmissions[Score]), "No Match")</f>
        <v>14.6</v>
      </c>
    </row>
    <row r="4255" spans="1:6" x14ac:dyDescent="0.2">
      <c r="A4255">
        <f>[1]!hospitalinfo[[#This Row],[Facility ID]]</f>
        <v>420078</v>
      </c>
      <c r="B4255" t="str">
        <f>[1]!hospitalinfo[[#This Row],[State]]</f>
        <v>SC</v>
      </c>
      <c r="C4255" t="str">
        <f>[1]!hospitalinfo[[#This Row],[Hospital Type]]</f>
        <v>Acute Care Hospitals</v>
      </c>
      <c r="D4255" t="str">
        <f>[1]!hospitalinfo[[#This Row],[Hospital Ownership]]</f>
        <v>Voluntary non-profit - Private</v>
      </c>
      <c r="E4255" cm="1">
        <f t="array" ref="E4255">_xlfn.IFNA(_xlfn.XLOOKUP(1,([1]!hcahps[Facility ID] = clean[[#This Row],[Facility ID]]) * ([1]!hcahps[HCAHPS Measure ID] = "H_HSP_RATING_LINEAR_SCORE"), [1]!hcahps[HCAHPS Linear Mean Value]), "No Match")</f>
        <v>87</v>
      </c>
      <c r="F4255" cm="1">
        <f t="array" ref="F4255">_xlfn.IFNA(_xlfn.XLOOKUP(1,([1]!readmissions[Facility ID] = clean[[#This Row],[Facility ID]]) * ([1]!readmissions[Measure ID] = "Hybrid_HWR"), [1]!readmissions[Score]), "No Match")</f>
        <v>15</v>
      </c>
    </row>
    <row r="4256" spans="1:6" x14ac:dyDescent="0.2">
      <c r="A4256">
        <f>[1]!hospitalinfo[[#This Row],[Facility ID]]</f>
        <v>420079</v>
      </c>
      <c r="B4256" t="str">
        <f>[1]!hospitalinfo[[#This Row],[State]]</f>
        <v>SC</v>
      </c>
      <c r="C4256" t="str">
        <f>[1]!hospitalinfo[[#This Row],[Hospital Type]]</f>
        <v>Acute Care Hospitals</v>
      </c>
      <c r="D4256" t="str">
        <f>[1]!hospitalinfo[[#This Row],[Hospital Ownership]]</f>
        <v>Proprietary</v>
      </c>
      <c r="E4256" cm="1">
        <f t="array" ref="E4256">_xlfn.IFNA(_xlfn.XLOOKUP(1,([1]!hcahps[Facility ID] = clean[[#This Row],[Facility ID]]) * ([1]!hcahps[HCAHPS Measure ID] = "H_HSP_RATING_LINEAR_SCORE"), [1]!hcahps[HCAHPS Linear Mean Value]), "No Match")</f>
        <v>85</v>
      </c>
      <c r="F4256" cm="1">
        <f t="array" ref="F4256">_xlfn.IFNA(_xlfn.XLOOKUP(1,([1]!readmissions[Facility ID] = clean[[#This Row],[Facility ID]]) * ([1]!readmissions[Measure ID] = "Hybrid_HWR"), [1]!readmissions[Score]), "No Match")</f>
        <v>14.9</v>
      </c>
    </row>
    <row r="4257" spans="1:6" x14ac:dyDescent="0.2">
      <c r="A4257">
        <f>[1]!hospitalinfo[[#This Row],[Facility ID]]</f>
        <v>420080</v>
      </c>
      <c r="B4257" t="str">
        <f>[1]!hospitalinfo[[#This Row],[State]]</f>
        <v>SC</v>
      </c>
      <c r="C4257" t="str">
        <f>[1]!hospitalinfo[[#This Row],[Hospital Type]]</f>
        <v>Acute Care Hospitals</v>
      </c>
      <c r="D4257" t="str">
        <f>[1]!hospitalinfo[[#This Row],[Hospital Ownership]]</f>
        <v>Voluntary non-profit - Other</v>
      </c>
      <c r="E4257" cm="1">
        <f t="array" ref="E4257">_xlfn.IFNA(_xlfn.XLOOKUP(1,([1]!hcahps[Facility ID] = clean[[#This Row],[Facility ID]]) * ([1]!hcahps[HCAHPS Measure ID] = "H_HSP_RATING_LINEAR_SCORE"), [1]!hcahps[HCAHPS Linear Mean Value]), "No Match")</f>
        <v>81</v>
      </c>
      <c r="F4257" cm="1">
        <f t="array" ref="F4257">_xlfn.IFNA(_xlfn.XLOOKUP(1,([1]!readmissions[Facility ID] = clean[[#This Row],[Facility ID]]) * ([1]!readmissions[Measure ID] = "Hybrid_HWR"), [1]!readmissions[Score]), "No Match")</f>
        <v>15.4</v>
      </c>
    </row>
    <row r="4258" spans="1:6" x14ac:dyDescent="0.2">
      <c r="A4258">
        <f>[1]!hospitalinfo[[#This Row],[Facility ID]]</f>
        <v>420082</v>
      </c>
      <c r="B4258" t="str">
        <f>[1]!hospitalinfo[[#This Row],[State]]</f>
        <v>SC</v>
      </c>
      <c r="C4258" t="str">
        <f>[1]!hospitalinfo[[#This Row],[Hospital Type]]</f>
        <v>Acute Care Hospitals</v>
      </c>
      <c r="D4258" t="str">
        <f>[1]!hospitalinfo[[#This Row],[Hospital Ownership]]</f>
        <v>Proprietary</v>
      </c>
      <c r="E4258" cm="1">
        <f t="array" ref="E4258">_xlfn.IFNA(_xlfn.XLOOKUP(1,([1]!hcahps[Facility ID] = clean[[#This Row],[Facility ID]]) * ([1]!hcahps[HCAHPS Measure ID] = "H_HSP_RATING_LINEAR_SCORE"), [1]!hcahps[HCAHPS Linear Mean Value]), "No Match")</f>
        <v>84</v>
      </c>
      <c r="F4258" cm="1">
        <f t="array" ref="F4258">_xlfn.IFNA(_xlfn.XLOOKUP(1,([1]!readmissions[Facility ID] = clean[[#This Row],[Facility ID]]) * ([1]!readmissions[Measure ID] = "Hybrid_HWR"), [1]!readmissions[Score]), "No Match")</f>
        <v>14.2</v>
      </c>
    </row>
    <row r="4259" spans="1:6" x14ac:dyDescent="0.2">
      <c r="A4259">
        <f>[1]!hospitalinfo[[#This Row],[Facility ID]]</f>
        <v>420085</v>
      </c>
      <c r="B4259" t="str">
        <f>[1]!hospitalinfo[[#This Row],[State]]</f>
        <v>SC</v>
      </c>
      <c r="C4259" t="str">
        <f>[1]!hospitalinfo[[#This Row],[Hospital Type]]</f>
        <v>Acute Care Hospitals</v>
      </c>
      <c r="D4259" t="str">
        <f>[1]!hospitalinfo[[#This Row],[Hospital Ownership]]</f>
        <v>Proprietary</v>
      </c>
      <c r="E4259" cm="1">
        <f t="array" ref="E4259">_xlfn.IFNA(_xlfn.XLOOKUP(1,([1]!hcahps[Facility ID] = clean[[#This Row],[Facility ID]]) * ([1]!hcahps[HCAHPS Measure ID] = "H_HSP_RATING_LINEAR_SCORE"), [1]!hcahps[HCAHPS Linear Mean Value]), "No Match")</f>
        <v>85</v>
      </c>
      <c r="F4259" cm="1">
        <f t="array" ref="F4259">_xlfn.IFNA(_xlfn.XLOOKUP(1,([1]!readmissions[Facility ID] = clean[[#This Row],[Facility ID]]) * ([1]!readmissions[Measure ID] = "Hybrid_HWR"), [1]!readmissions[Score]), "No Match")</f>
        <v>15.8</v>
      </c>
    </row>
    <row r="4260" spans="1:6" x14ac:dyDescent="0.2">
      <c r="A4260">
        <f>[1]!hospitalinfo[[#This Row],[Facility ID]]</f>
        <v>420086</v>
      </c>
      <c r="B4260" t="str">
        <f>[1]!hospitalinfo[[#This Row],[State]]</f>
        <v>SC</v>
      </c>
      <c r="C4260" t="str">
        <f>[1]!hospitalinfo[[#This Row],[Hospital Type]]</f>
        <v>Acute Care Hospitals</v>
      </c>
      <c r="D4260" t="str">
        <f>[1]!hospitalinfo[[#This Row],[Hospital Ownership]]</f>
        <v>Voluntary non-profit - Private</v>
      </c>
      <c r="E4260" cm="1">
        <f t="array" ref="E4260">_xlfn.IFNA(_xlfn.XLOOKUP(1,([1]!hcahps[Facility ID] = clean[[#This Row],[Facility ID]]) * ([1]!hcahps[HCAHPS Measure ID] = "H_HSP_RATING_LINEAR_SCORE"), [1]!hcahps[HCAHPS Linear Mean Value]), "No Match")</f>
        <v>88</v>
      </c>
      <c r="F4260" cm="1">
        <f t="array" ref="F4260">_xlfn.IFNA(_xlfn.XLOOKUP(1,([1]!readmissions[Facility ID] = clean[[#This Row],[Facility ID]]) * ([1]!readmissions[Measure ID] = "Hybrid_HWR"), [1]!readmissions[Score]), "No Match")</f>
        <v>13.8</v>
      </c>
    </row>
    <row r="4261" spans="1:6" x14ac:dyDescent="0.2">
      <c r="A4261">
        <f>[1]!hospitalinfo[[#This Row],[Facility ID]]</f>
        <v>420087</v>
      </c>
      <c r="B4261" t="str">
        <f>[1]!hospitalinfo[[#This Row],[State]]</f>
        <v>SC</v>
      </c>
      <c r="C4261" t="str">
        <f>[1]!hospitalinfo[[#This Row],[Hospital Type]]</f>
        <v>Acute Care Hospitals</v>
      </c>
      <c r="D4261" t="str">
        <f>[1]!hospitalinfo[[#This Row],[Hospital Ownership]]</f>
        <v>Voluntary non-profit - Private</v>
      </c>
      <c r="E4261" cm="1">
        <f t="array" ref="E4261">_xlfn.IFNA(_xlfn.XLOOKUP(1,([1]!hcahps[Facility ID] = clean[[#This Row],[Facility ID]]) * ([1]!hcahps[HCAHPS Measure ID] = "H_HSP_RATING_LINEAR_SCORE"), [1]!hcahps[HCAHPS Linear Mean Value]), "No Match")</f>
        <v>91</v>
      </c>
      <c r="F4261" cm="1">
        <f t="array" ref="F4261">_xlfn.IFNA(_xlfn.XLOOKUP(1,([1]!readmissions[Facility ID] = clean[[#This Row],[Facility ID]]) * ([1]!readmissions[Measure ID] = "Hybrid_HWR"), [1]!readmissions[Score]), "No Match")</f>
        <v>14</v>
      </c>
    </row>
    <row r="4262" spans="1:6" x14ac:dyDescent="0.2">
      <c r="A4262">
        <f>[1]!hospitalinfo[[#This Row],[Facility ID]]</f>
        <v>420089</v>
      </c>
      <c r="B4262" t="str">
        <f>[1]!hospitalinfo[[#This Row],[State]]</f>
        <v>SC</v>
      </c>
      <c r="C4262" t="str">
        <f>[1]!hospitalinfo[[#This Row],[Hospital Type]]</f>
        <v>Acute Care Hospitals</v>
      </c>
      <c r="D4262" t="str">
        <f>[1]!hospitalinfo[[#This Row],[Hospital Ownership]]</f>
        <v>Proprietary</v>
      </c>
      <c r="E4262" cm="1">
        <f t="array" ref="E4262">_xlfn.IFNA(_xlfn.XLOOKUP(1,([1]!hcahps[Facility ID] = clean[[#This Row],[Facility ID]]) * ([1]!hcahps[HCAHPS Measure ID] = "H_HSP_RATING_LINEAR_SCORE"), [1]!hcahps[HCAHPS Linear Mean Value]), "No Match")</f>
        <v>89</v>
      </c>
      <c r="F4262" cm="1">
        <f t="array" ref="F4262">_xlfn.IFNA(_xlfn.XLOOKUP(1,([1]!readmissions[Facility ID] = clean[[#This Row],[Facility ID]]) * ([1]!readmissions[Measure ID] = "Hybrid_HWR"), [1]!readmissions[Score]), "No Match")</f>
        <v>14.2</v>
      </c>
    </row>
    <row r="4263" spans="1:6" x14ac:dyDescent="0.2">
      <c r="A4263">
        <f>[1]!hospitalinfo[[#This Row],[Facility ID]]</f>
        <v>420091</v>
      </c>
      <c r="B4263" t="str">
        <f>[1]!hospitalinfo[[#This Row],[State]]</f>
        <v>SC</v>
      </c>
      <c r="C4263" t="str">
        <f>[1]!hospitalinfo[[#This Row],[Hospital Type]]</f>
        <v>Acute Care Hospitals</v>
      </c>
      <c r="D4263" t="str">
        <f>[1]!hospitalinfo[[#This Row],[Hospital Ownership]]</f>
        <v>Government - State</v>
      </c>
      <c r="E4263" cm="1">
        <f t="array" ref="E4263">_xlfn.IFNA(_xlfn.XLOOKUP(1,([1]!hcahps[Facility ID] = clean[[#This Row],[Facility ID]]) * ([1]!hcahps[HCAHPS Measure ID] = "H_HSP_RATING_LINEAR_SCORE"), [1]!hcahps[HCAHPS Linear Mean Value]), "No Match")</f>
        <v>89</v>
      </c>
      <c r="F4263" cm="1">
        <f t="array" ref="F4263">_xlfn.IFNA(_xlfn.XLOOKUP(1,([1]!readmissions[Facility ID] = clean[[#This Row],[Facility ID]]) * ([1]!readmissions[Measure ID] = "Hybrid_HWR"), [1]!readmissions[Score]), "No Match")</f>
        <v>15.3</v>
      </c>
    </row>
    <row r="4264" spans="1:6" x14ac:dyDescent="0.2">
      <c r="A4264">
        <f>[1]!hospitalinfo[[#This Row],[Facility ID]]</f>
        <v>420098</v>
      </c>
      <c r="B4264" t="str">
        <f>[1]!hospitalinfo[[#This Row],[State]]</f>
        <v>SC</v>
      </c>
      <c r="C4264" t="str">
        <f>[1]!hospitalinfo[[#This Row],[Hospital Type]]</f>
        <v>Acute Care Hospitals</v>
      </c>
      <c r="D4264" t="str">
        <f>[1]!hospitalinfo[[#This Row],[Hospital Ownership]]</f>
        <v>Voluntary non-profit - Private</v>
      </c>
      <c r="E4264" cm="1">
        <f t="array" ref="E4264">_xlfn.IFNA(_xlfn.XLOOKUP(1,([1]!hcahps[Facility ID] = clean[[#This Row],[Facility ID]]) * ([1]!hcahps[HCAHPS Measure ID] = "H_HSP_RATING_LINEAR_SCORE"), [1]!hcahps[HCAHPS Linear Mean Value]), "No Match")</f>
        <v>89</v>
      </c>
      <c r="F4264" cm="1">
        <f t="array" ref="F4264">_xlfn.IFNA(_xlfn.XLOOKUP(1,([1]!readmissions[Facility ID] = clean[[#This Row],[Facility ID]]) * ([1]!readmissions[Measure ID] = "Hybrid_HWR"), [1]!readmissions[Score]), "No Match")</f>
        <v>14.7</v>
      </c>
    </row>
    <row r="4265" spans="1:6" x14ac:dyDescent="0.2">
      <c r="A4265">
        <f>[1]!hospitalinfo[[#This Row],[Facility ID]]</f>
        <v>420101</v>
      </c>
      <c r="B4265" t="str">
        <f>[1]!hospitalinfo[[#This Row],[State]]</f>
        <v>SC</v>
      </c>
      <c r="C4265" t="str">
        <f>[1]!hospitalinfo[[#This Row],[Hospital Type]]</f>
        <v>Acute Care Hospitals</v>
      </c>
      <c r="D4265" t="str">
        <f>[1]!hospitalinfo[[#This Row],[Hospital Ownership]]</f>
        <v>Proprietary</v>
      </c>
      <c r="E4265" cm="1">
        <f t="array" ref="E4265">_xlfn.IFNA(_xlfn.XLOOKUP(1,([1]!hcahps[Facility ID] = clean[[#This Row],[Facility ID]]) * ([1]!hcahps[HCAHPS Measure ID] = "H_HSP_RATING_LINEAR_SCORE"), [1]!hcahps[HCAHPS Linear Mean Value]), "No Match")</f>
        <v>85</v>
      </c>
      <c r="F4265" cm="1">
        <f t="array" ref="F4265">_xlfn.IFNA(_xlfn.XLOOKUP(1,([1]!readmissions[Facility ID] = clean[[#This Row],[Facility ID]]) * ([1]!readmissions[Measure ID] = "Hybrid_HWR"), [1]!readmissions[Score]), "No Match")</f>
        <v>13.9</v>
      </c>
    </row>
    <row r="4266" spans="1:6" x14ac:dyDescent="0.2">
      <c r="A4266">
        <f>[1]!hospitalinfo[[#This Row],[Facility ID]]</f>
        <v>420102</v>
      </c>
      <c r="B4266" t="str">
        <f>[1]!hospitalinfo[[#This Row],[State]]</f>
        <v>SC</v>
      </c>
      <c r="C4266" t="str">
        <f>[1]!hospitalinfo[[#This Row],[Hospital Type]]</f>
        <v>Acute Care Hospitals</v>
      </c>
      <c r="D4266" t="str">
        <f>[1]!hospitalinfo[[#This Row],[Hospital Ownership]]</f>
        <v>Voluntary non-profit - Private</v>
      </c>
      <c r="E4266" cm="1">
        <f t="array" ref="E4266">_xlfn.IFNA(_xlfn.XLOOKUP(1,([1]!hcahps[Facility ID] = clean[[#This Row],[Facility ID]]) * ([1]!hcahps[HCAHPS Measure ID] = "H_HSP_RATING_LINEAR_SCORE"), [1]!hcahps[HCAHPS Linear Mean Value]), "No Match")</f>
        <v>91</v>
      </c>
      <c r="F4266" cm="1">
        <f t="array" ref="F4266">_xlfn.IFNA(_xlfn.XLOOKUP(1,([1]!readmissions[Facility ID] = clean[[#This Row],[Facility ID]]) * ([1]!readmissions[Measure ID] = "Hybrid_HWR"), [1]!readmissions[Score]), "No Match")</f>
        <v>14.1</v>
      </c>
    </row>
    <row r="4267" spans="1:6" x14ac:dyDescent="0.2">
      <c r="A4267">
        <f>[1]!hospitalinfo[[#This Row],[Facility ID]]</f>
        <v>420103</v>
      </c>
      <c r="B4267" t="str">
        <f>[1]!hospitalinfo[[#This Row],[State]]</f>
        <v>SC</v>
      </c>
      <c r="C4267" t="str">
        <f>[1]!hospitalinfo[[#This Row],[Hospital Type]]</f>
        <v>Acute Care Hospitals</v>
      </c>
      <c r="D4267" t="str">
        <f>[1]!hospitalinfo[[#This Row],[Hospital Ownership]]</f>
        <v>Government - Hospital District or Authority</v>
      </c>
      <c r="E4267" cm="1">
        <f t="array" ref="E4267">_xlfn.IFNA(_xlfn.XLOOKUP(1,([1]!hcahps[Facility ID] = clean[[#This Row],[Facility ID]]) * ([1]!hcahps[HCAHPS Measure ID] = "H_HSP_RATING_LINEAR_SCORE"), [1]!hcahps[HCAHPS Linear Mean Value]), "No Match")</f>
        <v>94</v>
      </c>
      <c r="F4267" cm="1">
        <f t="array" ref="F4267">_xlfn.IFNA(_xlfn.XLOOKUP(1,([1]!readmissions[Facility ID] = clean[[#This Row],[Facility ID]]) * ([1]!readmissions[Measure ID] = "Hybrid_HWR"), [1]!readmissions[Score]), "No Match")</f>
        <v>14.9</v>
      </c>
    </row>
    <row r="4268" spans="1:6" x14ac:dyDescent="0.2">
      <c r="A4268">
        <f>[1]!hospitalinfo[[#This Row],[Facility ID]]</f>
        <v>420104</v>
      </c>
      <c r="B4268" t="str">
        <f>[1]!hospitalinfo[[#This Row],[State]]</f>
        <v>SC</v>
      </c>
      <c r="C4268" t="str">
        <f>[1]!hospitalinfo[[#This Row],[Hospital Type]]</f>
        <v>Acute Care Hospitals</v>
      </c>
      <c r="D4268" t="str">
        <f>[1]!hospitalinfo[[#This Row],[Hospital Ownership]]</f>
        <v>Voluntary non-profit - Private</v>
      </c>
      <c r="E4268" cm="1">
        <f t="array" ref="E4268">_xlfn.IFNA(_xlfn.XLOOKUP(1,([1]!hcahps[Facility ID] = clean[[#This Row],[Facility ID]]) * ([1]!hcahps[HCAHPS Measure ID] = "H_HSP_RATING_LINEAR_SCORE"), [1]!hcahps[HCAHPS Linear Mean Value]), "No Match")</f>
        <v>93</v>
      </c>
      <c r="F4268" cm="1">
        <f t="array" ref="F4268">_xlfn.IFNA(_xlfn.XLOOKUP(1,([1]!readmissions[Facility ID] = clean[[#This Row],[Facility ID]]) * ([1]!readmissions[Measure ID] = "Hybrid_HWR"), [1]!readmissions[Score]), "No Match")</f>
        <v>14</v>
      </c>
    </row>
    <row r="4269" spans="1:6" x14ac:dyDescent="0.2">
      <c r="A4269">
        <f>[1]!hospitalinfo[[#This Row],[Facility ID]]</f>
        <v>420105</v>
      </c>
      <c r="B4269" t="str">
        <f>[1]!hospitalinfo[[#This Row],[State]]</f>
        <v>SC</v>
      </c>
      <c r="C4269" t="str">
        <f>[1]!hospitalinfo[[#This Row],[Hospital Type]]</f>
        <v>Acute Care Hospitals</v>
      </c>
      <c r="D4269" t="str">
        <f>[1]!hospitalinfo[[#This Row],[Hospital Ownership]]</f>
        <v>Voluntary non-profit - Private</v>
      </c>
      <c r="E4269" cm="1">
        <f t="array" ref="E4269">_xlfn.IFNA(_xlfn.XLOOKUP(1,([1]!hcahps[Facility ID] = clean[[#This Row],[Facility ID]]) * ([1]!hcahps[HCAHPS Measure ID] = "H_HSP_RATING_LINEAR_SCORE"), [1]!hcahps[HCAHPS Linear Mean Value]), "No Match")</f>
        <v>91</v>
      </c>
      <c r="F4269" cm="1">
        <f t="array" ref="F4269">_xlfn.IFNA(_xlfn.XLOOKUP(1,([1]!readmissions[Facility ID] = clean[[#This Row],[Facility ID]]) * ([1]!readmissions[Measure ID] = "Hybrid_HWR"), [1]!readmissions[Score]), "No Match")</f>
        <v>15</v>
      </c>
    </row>
    <row r="4270" spans="1:6" x14ac:dyDescent="0.2">
      <c r="A4270">
        <f>[1]!hospitalinfo[[#This Row],[Facility ID]]</f>
        <v>420106</v>
      </c>
      <c r="B4270" t="str">
        <f>[1]!hospitalinfo[[#This Row],[State]]</f>
        <v>SC</v>
      </c>
      <c r="C4270" t="str">
        <f>[1]!hospitalinfo[[#This Row],[Hospital Type]]</f>
        <v>Acute Care Hospitals</v>
      </c>
      <c r="D4270" t="str">
        <f>[1]!hospitalinfo[[#This Row],[Hospital Ownership]]</f>
        <v>Voluntary non-profit - Private</v>
      </c>
      <c r="E4270" cm="1">
        <f t="array" ref="E4270">_xlfn.IFNA(_xlfn.XLOOKUP(1,([1]!hcahps[Facility ID] = clean[[#This Row],[Facility ID]]) * ([1]!hcahps[HCAHPS Measure ID] = "H_HSP_RATING_LINEAR_SCORE"), [1]!hcahps[HCAHPS Linear Mean Value]), "No Match")</f>
        <v>90</v>
      </c>
      <c r="F4270" cm="1">
        <f t="array" ref="F4270">_xlfn.IFNA(_xlfn.XLOOKUP(1,([1]!readmissions[Facility ID] = clean[[#This Row],[Facility ID]]) * ([1]!readmissions[Measure ID] = "Hybrid_HWR"), [1]!readmissions[Score]), "No Match")</f>
        <v>13.5</v>
      </c>
    </row>
    <row r="4271" spans="1:6" x14ac:dyDescent="0.2">
      <c r="A4271">
        <f>[1]!hospitalinfo[[#This Row],[Facility ID]]</f>
        <v>420107</v>
      </c>
      <c r="B4271" t="str">
        <f>[1]!hospitalinfo[[#This Row],[State]]</f>
        <v>SC</v>
      </c>
      <c r="C4271" t="str">
        <f>[1]!hospitalinfo[[#This Row],[Hospital Type]]</f>
        <v>Acute Care Hospitals</v>
      </c>
      <c r="D4271" t="str">
        <f>[1]!hospitalinfo[[#This Row],[Hospital Ownership]]</f>
        <v>Voluntary non-profit - Private</v>
      </c>
      <c r="E4271" cm="1">
        <f t="array" ref="E4271">_xlfn.IFNA(_xlfn.XLOOKUP(1,([1]!hcahps[Facility ID] = clean[[#This Row],[Facility ID]]) * ([1]!hcahps[HCAHPS Measure ID] = "H_HSP_RATING_LINEAR_SCORE"), [1]!hcahps[HCAHPS Linear Mean Value]), "No Match")</f>
        <v>89</v>
      </c>
      <c r="F4271" cm="1">
        <f t="array" ref="F4271">_xlfn.IFNA(_xlfn.XLOOKUP(1,([1]!readmissions[Facility ID] = clean[[#This Row],[Facility ID]]) * ([1]!readmissions[Measure ID] = "Hybrid_HWR"), [1]!readmissions[Score]), "No Match")</f>
        <v>16.100000000000001</v>
      </c>
    </row>
    <row r="4272" spans="1:6" x14ac:dyDescent="0.2">
      <c r="A4272">
        <f>[1]!hospitalinfo[[#This Row],[Facility ID]]</f>
        <v>420108</v>
      </c>
      <c r="B4272" t="str">
        <f>[1]!hospitalinfo[[#This Row],[State]]</f>
        <v>SC</v>
      </c>
      <c r="C4272" t="str">
        <f>[1]!hospitalinfo[[#This Row],[Hospital Type]]</f>
        <v>Acute Care Hospitals</v>
      </c>
      <c r="D4272" t="str">
        <f>[1]!hospitalinfo[[#This Row],[Hospital Ownership]]</f>
        <v>Voluntary non-profit - Other</v>
      </c>
      <c r="E4272" t="str" cm="1">
        <f t="array" ref="E4272">_xlfn.IFNA(_xlfn.XLOOKUP(1,([1]!hcahps[Facility ID] = clean[[#This Row],[Facility ID]]) * ([1]!hcahps[HCAHPS Measure ID] = "H_HSP_RATING_LINEAR_SCORE"), [1]!hcahps[HCAHPS Linear Mean Value]), "No Match")</f>
        <v>Not Available</v>
      </c>
      <c r="F4272" cm="1">
        <f t="array" ref="F4272">_xlfn.IFNA(_xlfn.XLOOKUP(1,([1]!readmissions[Facility ID] = clean[[#This Row],[Facility ID]]) * ([1]!readmissions[Measure ID] = "Hybrid_HWR"), [1]!readmissions[Score]), "No Match")</f>
        <v>14.8</v>
      </c>
    </row>
    <row r="4273" spans="1:6" x14ac:dyDescent="0.2">
      <c r="A4273">
        <f>[1]!hospitalinfo[[#This Row],[Facility ID]]</f>
        <v>420109</v>
      </c>
      <c r="B4273" t="str">
        <f>[1]!hospitalinfo[[#This Row],[State]]</f>
        <v>SC</v>
      </c>
      <c r="C4273" t="str">
        <f>[1]!hospitalinfo[[#This Row],[Hospital Type]]</f>
        <v>Acute Care Hospitals</v>
      </c>
      <c r="D4273" t="str">
        <f>[1]!hospitalinfo[[#This Row],[Hospital Ownership]]</f>
        <v>Voluntary non-profit - Private</v>
      </c>
      <c r="E4273" cm="1">
        <f t="array" ref="E4273">_xlfn.IFNA(_xlfn.XLOOKUP(1,([1]!hcahps[Facility ID] = clean[[#This Row],[Facility ID]]) * ([1]!hcahps[HCAHPS Measure ID] = "H_HSP_RATING_LINEAR_SCORE"), [1]!hcahps[HCAHPS Linear Mean Value]), "No Match")</f>
        <v>88</v>
      </c>
      <c r="F4273" cm="1">
        <f t="array" ref="F4273">_xlfn.IFNA(_xlfn.XLOOKUP(1,([1]!readmissions[Facility ID] = clean[[#This Row],[Facility ID]]) * ([1]!readmissions[Measure ID] = "Hybrid_HWR"), [1]!readmissions[Score]), "No Match")</f>
        <v>15.4</v>
      </c>
    </row>
    <row r="4274" spans="1:6" x14ac:dyDescent="0.2">
      <c r="A4274">
        <f>[1]!hospitalinfo[[#This Row],[Facility ID]]</f>
        <v>420110</v>
      </c>
      <c r="B4274" t="str">
        <f>[1]!hospitalinfo[[#This Row],[State]]</f>
        <v>SC</v>
      </c>
      <c r="C4274" t="str">
        <f>[1]!hospitalinfo[[#This Row],[Hospital Type]]</f>
        <v>Acute Care Hospitals</v>
      </c>
      <c r="D4274" t="str">
        <f>[1]!hospitalinfo[[#This Row],[Hospital Ownership]]</f>
        <v>Voluntary non-profit - Private</v>
      </c>
      <c r="E4274" cm="1">
        <f t="array" ref="E4274">_xlfn.IFNA(_xlfn.XLOOKUP(1,([1]!hcahps[Facility ID] = clean[[#This Row],[Facility ID]]) * ([1]!hcahps[HCAHPS Measure ID] = "H_HSP_RATING_LINEAR_SCORE"), [1]!hcahps[HCAHPS Linear Mean Value]), "No Match")</f>
        <v>92</v>
      </c>
      <c r="F4274" cm="1">
        <f t="array" ref="F4274">_xlfn.IFNA(_xlfn.XLOOKUP(1,([1]!readmissions[Facility ID] = clean[[#This Row],[Facility ID]]) * ([1]!readmissions[Measure ID] = "Hybrid_HWR"), [1]!readmissions[Score]), "No Match")</f>
        <v>14.9</v>
      </c>
    </row>
    <row r="4275" spans="1:6" x14ac:dyDescent="0.2">
      <c r="A4275">
        <f>[1]!hospitalinfo[[#This Row],[Facility ID]]</f>
        <v>421300</v>
      </c>
      <c r="B4275" t="str">
        <f>[1]!hospitalinfo[[#This Row],[State]]</f>
        <v>SC</v>
      </c>
      <c r="C4275" t="str">
        <f>[1]!hospitalinfo[[#This Row],[Hospital Type]]</f>
        <v>Critical Access Hospitals</v>
      </c>
      <c r="D4275" t="str">
        <f>[1]!hospitalinfo[[#This Row],[Hospital Ownership]]</f>
        <v>Government - Local</v>
      </c>
      <c r="E4275" t="str" cm="1">
        <f t="array" ref="E4275">_xlfn.IFNA(_xlfn.XLOOKUP(1,([1]!hcahps[Facility ID] = clean[[#This Row],[Facility ID]]) * ([1]!hcahps[HCAHPS Measure ID] = "H_HSP_RATING_LINEAR_SCORE"), [1]!hcahps[HCAHPS Linear Mean Value]), "No Match")</f>
        <v>Not Available</v>
      </c>
      <c r="F4275" cm="1">
        <f t="array" ref="F4275">_xlfn.IFNA(_xlfn.XLOOKUP(1,([1]!readmissions[Facility ID] = clean[[#This Row],[Facility ID]]) * ([1]!readmissions[Measure ID] = "Hybrid_HWR"), [1]!readmissions[Score]), "No Match")</f>
        <v>14.8</v>
      </c>
    </row>
    <row r="4276" spans="1:6" x14ac:dyDescent="0.2">
      <c r="A4276">
        <f>[1]!hospitalinfo[[#This Row],[Facility ID]]</f>
        <v>421301</v>
      </c>
      <c r="B4276" t="str">
        <f>[1]!hospitalinfo[[#This Row],[State]]</f>
        <v>SC</v>
      </c>
      <c r="C4276" t="str">
        <f>[1]!hospitalinfo[[#This Row],[Hospital Type]]</f>
        <v>Critical Access Hospitals</v>
      </c>
      <c r="D4276" t="str">
        <f>[1]!hospitalinfo[[#This Row],[Hospital Ownership]]</f>
        <v>Voluntary non-profit - Other</v>
      </c>
      <c r="E4276" t="str" cm="1">
        <f t="array" ref="E4276">_xlfn.IFNA(_xlfn.XLOOKUP(1,([1]!hcahps[Facility ID] = clean[[#This Row],[Facility ID]]) * ([1]!hcahps[HCAHPS Measure ID] = "H_HSP_RATING_LINEAR_SCORE"), [1]!hcahps[HCAHPS Linear Mean Value]), "No Match")</f>
        <v>Not Available</v>
      </c>
      <c r="F4276" cm="1">
        <f t="array" ref="F4276">_xlfn.IFNA(_xlfn.XLOOKUP(1,([1]!readmissions[Facility ID] = clean[[#This Row],[Facility ID]]) * ([1]!readmissions[Measure ID] = "Hybrid_HWR"), [1]!readmissions[Score]), "No Match")</f>
        <v>15</v>
      </c>
    </row>
    <row r="4277" spans="1:6" x14ac:dyDescent="0.2">
      <c r="A4277">
        <f>[1]!hospitalinfo[[#This Row],[Facility ID]]</f>
        <v>421304</v>
      </c>
      <c r="B4277" t="str">
        <f>[1]!hospitalinfo[[#This Row],[State]]</f>
        <v>SC</v>
      </c>
      <c r="C4277" t="str">
        <f>[1]!hospitalinfo[[#This Row],[Hospital Type]]</f>
        <v>Critical Access Hospitals</v>
      </c>
      <c r="D4277" t="str">
        <f>[1]!hospitalinfo[[#This Row],[Hospital Ownership]]</f>
        <v>Voluntary non-profit - Private</v>
      </c>
      <c r="E4277" t="str" cm="1">
        <f t="array" ref="E4277">_xlfn.IFNA(_xlfn.XLOOKUP(1,([1]!hcahps[Facility ID] = clean[[#This Row],[Facility ID]]) * ([1]!hcahps[HCAHPS Measure ID] = "H_HSP_RATING_LINEAR_SCORE"), [1]!hcahps[HCAHPS Linear Mean Value]), "No Match")</f>
        <v>Not Available</v>
      </c>
      <c r="F4277" t="str" cm="1">
        <f t="array" ref="F4277">_xlfn.IFNA(_xlfn.XLOOKUP(1,([1]!readmissions[Facility ID] = clean[[#This Row],[Facility ID]]) * ([1]!readmissions[Measure ID] = "Hybrid_HWR"), [1]!readmissions[Score]), "No Match")</f>
        <v>Not Available</v>
      </c>
    </row>
    <row r="4278" spans="1:6" x14ac:dyDescent="0.2">
      <c r="A4278">
        <f>[1]!hospitalinfo[[#This Row],[Facility ID]]</f>
        <v>423300</v>
      </c>
      <c r="B4278" t="str">
        <f>[1]!hospitalinfo[[#This Row],[State]]</f>
        <v>SC</v>
      </c>
      <c r="C4278" t="str">
        <f>[1]!hospitalinfo[[#This Row],[Hospital Type]]</f>
        <v>Childrens</v>
      </c>
      <c r="D4278" t="str">
        <f>[1]!hospitalinfo[[#This Row],[Hospital Ownership]]</f>
        <v>Voluntary non-profit - Private</v>
      </c>
      <c r="E4278" t="str" cm="1">
        <f t="array" ref="E4278">_xlfn.IFNA(_xlfn.XLOOKUP(1,([1]!hcahps[Facility ID] = clean[[#This Row],[Facility ID]]) * ([1]!hcahps[HCAHPS Measure ID] = "H_HSP_RATING_LINEAR_SCORE"), [1]!hcahps[HCAHPS Linear Mean Value]), "No Match")</f>
        <v>Not Available</v>
      </c>
      <c r="F4278" t="str" cm="1">
        <f t="array" ref="F4278">_xlfn.IFNA(_xlfn.XLOOKUP(1,([1]!readmissions[Facility ID] = clean[[#This Row],[Facility ID]]) * ([1]!readmissions[Measure ID] = "Hybrid_HWR"), [1]!readmissions[Score]), "No Match")</f>
        <v>Not Available</v>
      </c>
    </row>
    <row r="4279" spans="1:6" x14ac:dyDescent="0.2">
      <c r="A4279">
        <f>[1]!hospitalinfo[[#This Row],[Facility ID]]</f>
        <v>424002</v>
      </c>
      <c r="B4279" t="str">
        <f>[1]!hospitalinfo[[#This Row],[State]]</f>
        <v>SC</v>
      </c>
      <c r="C4279" t="str">
        <f>[1]!hospitalinfo[[#This Row],[Hospital Type]]</f>
        <v>Psychiatric</v>
      </c>
      <c r="D4279" t="str">
        <f>[1]!hospitalinfo[[#This Row],[Hospital Ownership]]</f>
        <v>Proprietary</v>
      </c>
      <c r="E4279" t="str" cm="1">
        <f t="array" ref="E4279">_xlfn.IFNA(_xlfn.XLOOKUP(1,([1]!hcahps[Facility ID] = clean[[#This Row],[Facility ID]]) * ([1]!hcahps[HCAHPS Measure ID] = "H_HSP_RATING_LINEAR_SCORE"), [1]!hcahps[HCAHPS Linear Mean Value]), "No Match")</f>
        <v>No Match</v>
      </c>
      <c r="F4279" t="str" cm="1">
        <f t="array" ref="F4279">_xlfn.IFNA(_xlfn.XLOOKUP(1,([1]!readmissions[Facility ID] = clean[[#This Row],[Facility ID]]) * ([1]!readmissions[Measure ID] = "Hybrid_HWR"), [1]!readmissions[Score]), "No Match")</f>
        <v>No Match</v>
      </c>
    </row>
    <row r="4280" spans="1:6" x14ac:dyDescent="0.2">
      <c r="A4280">
        <f>[1]!hospitalinfo[[#This Row],[Facility ID]]</f>
        <v>424005</v>
      </c>
      <c r="B4280" t="str">
        <f>[1]!hospitalinfo[[#This Row],[State]]</f>
        <v>SC</v>
      </c>
      <c r="C4280" t="str">
        <f>[1]!hospitalinfo[[#This Row],[Hospital Type]]</f>
        <v>Psychiatric</v>
      </c>
      <c r="D4280" t="str">
        <f>[1]!hospitalinfo[[#This Row],[Hospital Ownership]]</f>
        <v>Government - State</v>
      </c>
      <c r="E4280" t="str" cm="1">
        <f t="array" ref="E4280">_xlfn.IFNA(_xlfn.XLOOKUP(1,([1]!hcahps[Facility ID] = clean[[#This Row],[Facility ID]]) * ([1]!hcahps[HCAHPS Measure ID] = "H_HSP_RATING_LINEAR_SCORE"), [1]!hcahps[HCAHPS Linear Mean Value]), "No Match")</f>
        <v>No Match</v>
      </c>
      <c r="F4280" t="str" cm="1">
        <f t="array" ref="F4280">_xlfn.IFNA(_xlfn.XLOOKUP(1,([1]!readmissions[Facility ID] = clean[[#This Row],[Facility ID]]) * ([1]!readmissions[Measure ID] = "Hybrid_HWR"), [1]!readmissions[Score]), "No Match")</f>
        <v>No Match</v>
      </c>
    </row>
    <row r="4281" spans="1:6" x14ac:dyDescent="0.2">
      <c r="A4281">
        <f>[1]!hospitalinfo[[#This Row],[Facility ID]]</f>
        <v>424006</v>
      </c>
      <c r="B4281" t="str">
        <f>[1]!hospitalinfo[[#This Row],[State]]</f>
        <v>SC</v>
      </c>
      <c r="C4281" t="str">
        <f>[1]!hospitalinfo[[#This Row],[Hospital Type]]</f>
        <v>Psychiatric</v>
      </c>
      <c r="D4281" t="str">
        <f>[1]!hospitalinfo[[#This Row],[Hospital Ownership]]</f>
        <v>Proprietary</v>
      </c>
      <c r="E4281" t="str" cm="1">
        <f t="array" ref="E4281">_xlfn.IFNA(_xlfn.XLOOKUP(1,([1]!hcahps[Facility ID] = clean[[#This Row],[Facility ID]]) * ([1]!hcahps[HCAHPS Measure ID] = "H_HSP_RATING_LINEAR_SCORE"), [1]!hcahps[HCAHPS Linear Mean Value]), "No Match")</f>
        <v>No Match</v>
      </c>
      <c r="F4281" t="str" cm="1">
        <f t="array" ref="F4281">_xlfn.IFNA(_xlfn.XLOOKUP(1,([1]!readmissions[Facility ID] = clean[[#This Row],[Facility ID]]) * ([1]!readmissions[Measure ID] = "Hybrid_HWR"), [1]!readmissions[Score]), "No Match")</f>
        <v>No Match</v>
      </c>
    </row>
    <row r="4282" spans="1:6" x14ac:dyDescent="0.2">
      <c r="A4282">
        <f>[1]!hospitalinfo[[#This Row],[Facility ID]]</f>
        <v>424007</v>
      </c>
      <c r="B4282" t="str">
        <f>[1]!hospitalinfo[[#This Row],[State]]</f>
        <v>SC</v>
      </c>
      <c r="C4282" t="str">
        <f>[1]!hospitalinfo[[#This Row],[Hospital Type]]</f>
        <v>Psychiatric</v>
      </c>
      <c r="D4282" t="str">
        <f>[1]!hospitalinfo[[#This Row],[Hospital Ownership]]</f>
        <v>Proprietary</v>
      </c>
      <c r="E4282" t="str" cm="1">
        <f t="array" ref="E4282">_xlfn.IFNA(_xlfn.XLOOKUP(1,([1]!hcahps[Facility ID] = clean[[#This Row],[Facility ID]]) * ([1]!hcahps[HCAHPS Measure ID] = "H_HSP_RATING_LINEAR_SCORE"), [1]!hcahps[HCAHPS Linear Mean Value]), "No Match")</f>
        <v>No Match</v>
      </c>
      <c r="F4282" t="str" cm="1">
        <f t="array" ref="F4282">_xlfn.IFNA(_xlfn.XLOOKUP(1,([1]!readmissions[Facility ID] = clean[[#This Row],[Facility ID]]) * ([1]!readmissions[Measure ID] = "Hybrid_HWR"), [1]!readmissions[Score]), "No Match")</f>
        <v>No Match</v>
      </c>
    </row>
    <row r="4283" spans="1:6" x14ac:dyDescent="0.2">
      <c r="A4283">
        <f>[1]!hospitalinfo[[#This Row],[Facility ID]]</f>
        <v>424008</v>
      </c>
      <c r="B4283" t="str">
        <f>[1]!hospitalinfo[[#This Row],[State]]</f>
        <v>SC</v>
      </c>
      <c r="C4283" t="str">
        <f>[1]!hospitalinfo[[#This Row],[Hospital Type]]</f>
        <v>Psychiatric</v>
      </c>
      <c r="D4283" t="str">
        <f>[1]!hospitalinfo[[#This Row],[Hospital Ownership]]</f>
        <v>Proprietary</v>
      </c>
      <c r="E4283" t="str" cm="1">
        <f t="array" ref="E4283">_xlfn.IFNA(_xlfn.XLOOKUP(1,([1]!hcahps[Facility ID] = clean[[#This Row],[Facility ID]]) * ([1]!hcahps[HCAHPS Measure ID] = "H_HSP_RATING_LINEAR_SCORE"), [1]!hcahps[HCAHPS Linear Mean Value]), "No Match")</f>
        <v>No Match</v>
      </c>
      <c r="F4283" t="str" cm="1">
        <f t="array" ref="F4283">_xlfn.IFNA(_xlfn.XLOOKUP(1,([1]!readmissions[Facility ID] = clean[[#This Row],[Facility ID]]) * ([1]!readmissions[Measure ID] = "Hybrid_HWR"), [1]!readmissions[Score]), "No Match")</f>
        <v>No Match</v>
      </c>
    </row>
    <row r="4284" spans="1:6" x14ac:dyDescent="0.2">
      <c r="A4284">
        <f>[1]!hospitalinfo[[#This Row],[Facility ID]]</f>
        <v>424010</v>
      </c>
      <c r="B4284" t="str">
        <f>[1]!hospitalinfo[[#This Row],[State]]</f>
        <v>SC</v>
      </c>
      <c r="C4284" t="str">
        <f>[1]!hospitalinfo[[#This Row],[Hospital Type]]</f>
        <v>Psychiatric</v>
      </c>
      <c r="D4284" t="str">
        <f>[1]!hospitalinfo[[#This Row],[Hospital Ownership]]</f>
        <v>Proprietary</v>
      </c>
      <c r="E4284" t="str" cm="1">
        <f t="array" ref="E4284">_xlfn.IFNA(_xlfn.XLOOKUP(1,([1]!hcahps[Facility ID] = clean[[#This Row],[Facility ID]]) * ([1]!hcahps[HCAHPS Measure ID] = "H_HSP_RATING_LINEAR_SCORE"), [1]!hcahps[HCAHPS Linear Mean Value]), "No Match")</f>
        <v>No Match</v>
      </c>
      <c r="F4284" t="str" cm="1">
        <f t="array" ref="F4284">_xlfn.IFNA(_xlfn.XLOOKUP(1,([1]!readmissions[Facility ID] = clean[[#This Row],[Facility ID]]) * ([1]!readmissions[Measure ID] = "Hybrid_HWR"), [1]!readmissions[Score]), "No Match")</f>
        <v>No Match</v>
      </c>
    </row>
    <row r="4285" spans="1:6" x14ac:dyDescent="0.2">
      <c r="A4285">
        <f>[1]!hospitalinfo[[#This Row],[Facility ID]]</f>
        <v>424011</v>
      </c>
      <c r="B4285" t="str">
        <f>[1]!hospitalinfo[[#This Row],[State]]</f>
        <v>SC</v>
      </c>
      <c r="C4285" t="str">
        <f>[1]!hospitalinfo[[#This Row],[Hospital Type]]</f>
        <v>Psychiatric</v>
      </c>
      <c r="D4285" t="str">
        <f>[1]!hospitalinfo[[#This Row],[Hospital Ownership]]</f>
        <v>Government - State</v>
      </c>
      <c r="E4285" t="str" cm="1">
        <f t="array" ref="E4285">_xlfn.IFNA(_xlfn.XLOOKUP(1,([1]!hcahps[Facility ID] = clean[[#This Row],[Facility ID]]) * ([1]!hcahps[HCAHPS Measure ID] = "H_HSP_RATING_LINEAR_SCORE"), [1]!hcahps[HCAHPS Linear Mean Value]), "No Match")</f>
        <v>No Match</v>
      </c>
      <c r="F4285" t="str" cm="1">
        <f t="array" ref="F4285">_xlfn.IFNA(_xlfn.XLOOKUP(1,([1]!readmissions[Facility ID] = clean[[#This Row],[Facility ID]]) * ([1]!readmissions[Measure ID] = "Hybrid_HWR"), [1]!readmissions[Score]), "No Match")</f>
        <v>No Match</v>
      </c>
    </row>
    <row r="4286" spans="1:6" x14ac:dyDescent="0.2">
      <c r="A4286">
        <f>[1]!hospitalinfo[[#This Row],[Facility ID]]</f>
        <v>424014</v>
      </c>
      <c r="B4286" t="str">
        <f>[1]!hospitalinfo[[#This Row],[State]]</f>
        <v>SC</v>
      </c>
      <c r="C4286" t="str">
        <f>[1]!hospitalinfo[[#This Row],[Hospital Type]]</f>
        <v>Psychiatric</v>
      </c>
      <c r="D4286" t="str">
        <f>[1]!hospitalinfo[[#This Row],[Hospital Ownership]]</f>
        <v>Proprietary</v>
      </c>
      <c r="E4286" t="str" cm="1">
        <f t="array" ref="E4286">_xlfn.IFNA(_xlfn.XLOOKUP(1,([1]!hcahps[Facility ID] = clean[[#This Row],[Facility ID]]) * ([1]!hcahps[HCAHPS Measure ID] = "H_HSP_RATING_LINEAR_SCORE"), [1]!hcahps[HCAHPS Linear Mean Value]), "No Match")</f>
        <v>No Match</v>
      </c>
      <c r="F4286" t="str" cm="1">
        <f t="array" ref="F4286">_xlfn.IFNA(_xlfn.XLOOKUP(1,([1]!readmissions[Facility ID] = clean[[#This Row],[Facility ID]]) * ([1]!readmissions[Measure ID] = "Hybrid_HWR"), [1]!readmissions[Score]), "No Match")</f>
        <v>No Match</v>
      </c>
    </row>
    <row r="4287" spans="1:6" x14ac:dyDescent="0.2">
      <c r="A4287" t="str">
        <f>[1]!hospitalinfo[[#This Row],[Facility ID]]</f>
        <v>42009F</v>
      </c>
      <c r="B4287" t="str">
        <f>[1]!hospitalinfo[[#This Row],[State]]</f>
        <v>SC</v>
      </c>
      <c r="C4287" t="str">
        <f>[1]!hospitalinfo[[#This Row],[Hospital Type]]</f>
        <v>Acute Care - Department of Defense</v>
      </c>
      <c r="D4287" t="str">
        <f>[1]!hospitalinfo[[#This Row],[Hospital Ownership]]</f>
        <v>Department of Defense</v>
      </c>
      <c r="E4287" t="str" cm="1">
        <f t="array" ref="E4287">_xlfn.IFNA(_xlfn.XLOOKUP(1,([1]!hcahps[Facility ID] = clean[[#This Row],[Facility ID]]) * ([1]!hcahps[HCAHPS Measure ID] = "H_HSP_RATING_LINEAR_SCORE"), [1]!hcahps[HCAHPS Linear Mean Value]), "No Match")</f>
        <v>Not Available</v>
      </c>
      <c r="F4287" t="str" cm="1">
        <f t="array" ref="F4287">_xlfn.IFNA(_xlfn.XLOOKUP(1,([1]!readmissions[Facility ID] = clean[[#This Row],[Facility ID]]) * ([1]!readmissions[Measure ID] = "Hybrid_HWR"), [1]!readmissions[Score]), "No Match")</f>
        <v>Not Available</v>
      </c>
    </row>
    <row r="4288" spans="1:6" x14ac:dyDescent="0.2">
      <c r="A4288" t="str">
        <f>[1]!hospitalinfo[[#This Row],[Facility ID]]</f>
        <v>42011F</v>
      </c>
      <c r="B4288" t="str">
        <f>[1]!hospitalinfo[[#This Row],[State]]</f>
        <v>SC</v>
      </c>
      <c r="C4288" t="str">
        <f>[1]!hospitalinfo[[#This Row],[Hospital Type]]</f>
        <v>Acute Care - Veterans Administration</v>
      </c>
      <c r="D4288" t="str">
        <f>[1]!hospitalinfo[[#This Row],[Hospital Ownership]]</f>
        <v>Veterans Health Administration</v>
      </c>
      <c r="E4288" cm="1">
        <f t="array" ref="E4288">_xlfn.IFNA(_xlfn.XLOOKUP(1,([1]!hcahps[Facility ID] = clean[[#This Row],[Facility ID]]) * ([1]!hcahps[HCAHPS Measure ID] = "H_HSP_RATING_LINEAR_SCORE"), [1]!hcahps[HCAHPS Linear Mean Value]), "No Match")</f>
        <v>91</v>
      </c>
      <c r="F4288" cm="1">
        <f t="array" ref="F4288">_xlfn.IFNA(_xlfn.XLOOKUP(1,([1]!readmissions[Facility ID] = clean[[#This Row],[Facility ID]]) * ([1]!readmissions[Measure ID] = "Hybrid_HWR"), [1]!readmissions[Score]), "No Match")</f>
        <v>12.8</v>
      </c>
    </row>
    <row r="4289" spans="1:6" x14ac:dyDescent="0.2">
      <c r="A4289" t="str">
        <f>[1]!hospitalinfo[[#This Row],[Facility ID]]</f>
        <v>42029F</v>
      </c>
      <c r="B4289" t="str">
        <f>[1]!hospitalinfo[[#This Row],[State]]</f>
        <v>SC</v>
      </c>
      <c r="C4289" t="str">
        <f>[1]!hospitalinfo[[#This Row],[Hospital Type]]</f>
        <v>Acute Care - Veterans Administration</v>
      </c>
      <c r="D4289" t="str">
        <f>[1]!hospitalinfo[[#This Row],[Hospital Ownership]]</f>
        <v>Veterans Health Administration</v>
      </c>
      <c r="E4289" cm="1">
        <f t="array" ref="E4289">_xlfn.IFNA(_xlfn.XLOOKUP(1,([1]!hcahps[Facility ID] = clean[[#This Row],[Facility ID]]) * ([1]!hcahps[HCAHPS Measure ID] = "H_HSP_RATING_LINEAR_SCORE"), [1]!hcahps[HCAHPS Linear Mean Value]), "No Match")</f>
        <v>92</v>
      </c>
      <c r="F4289" cm="1">
        <f t="array" ref="F4289">_xlfn.IFNA(_xlfn.XLOOKUP(1,([1]!readmissions[Facility ID] = clean[[#This Row],[Facility ID]]) * ([1]!readmissions[Measure ID] = "Hybrid_HWR"), [1]!readmissions[Score]), "No Match")</f>
        <v>16.100000000000001</v>
      </c>
    </row>
    <row r="4290" spans="1:6" x14ac:dyDescent="0.2">
      <c r="A4290">
        <f>[1]!hospitalinfo[[#This Row],[Facility ID]]</f>
        <v>430005</v>
      </c>
      <c r="B4290" t="str">
        <f>[1]!hospitalinfo[[#This Row],[State]]</f>
        <v>SD</v>
      </c>
      <c r="C4290" t="str">
        <f>[1]!hospitalinfo[[#This Row],[Hospital Type]]</f>
        <v>Acute Care Hospitals</v>
      </c>
      <c r="D4290" t="str">
        <f>[1]!hospitalinfo[[#This Row],[Hospital Ownership]]</f>
        <v>Voluntary non-profit - Private</v>
      </c>
      <c r="E4290" cm="1">
        <f t="array" ref="E4290">_xlfn.IFNA(_xlfn.XLOOKUP(1,([1]!hcahps[Facility ID] = clean[[#This Row],[Facility ID]]) * ([1]!hcahps[HCAHPS Measure ID] = "H_HSP_RATING_LINEAR_SCORE"), [1]!hcahps[HCAHPS Linear Mean Value]), "No Match")</f>
        <v>88</v>
      </c>
      <c r="F4290" cm="1">
        <f t="array" ref="F4290">_xlfn.IFNA(_xlfn.XLOOKUP(1,([1]!readmissions[Facility ID] = clean[[#This Row],[Facility ID]]) * ([1]!readmissions[Measure ID] = "Hybrid_HWR"), [1]!readmissions[Score]), "No Match")</f>
        <v>15.4</v>
      </c>
    </row>
    <row r="4291" spans="1:6" x14ac:dyDescent="0.2">
      <c r="A4291">
        <f>[1]!hospitalinfo[[#This Row],[Facility ID]]</f>
        <v>430008</v>
      </c>
      <c r="B4291" t="str">
        <f>[1]!hospitalinfo[[#This Row],[State]]</f>
        <v>SD</v>
      </c>
      <c r="C4291" t="str">
        <f>[1]!hospitalinfo[[#This Row],[Hospital Type]]</f>
        <v>Acute Care Hospitals</v>
      </c>
      <c r="D4291" t="str">
        <f>[1]!hospitalinfo[[#This Row],[Hospital Ownership]]</f>
        <v>Government - Local</v>
      </c>
      <c r="E4291" cm="1">
        <f t="array" ref="E4291">_xlfn.IFNA(_xlfn.XLOOKUP(1,([1]!hcahps[Facility ID] = clean[[#This Row],[Facility ID]]) * ([1]!hcahps[HCAHPS Measure ID] = "H_HSP_RATING_LINEAR_SCORE"), [1]!hcahps[HCAHPS Linear Mean Value]), "No Match")</f>
        <v>93</v>
      </c>
      <c r="F4291" cm="1">
        <f t="array" ref="F4291">_xlfn.IFNA(_xlfn.XLOOKUP(1,([1]!readmissions[Facility ID] = clean[[#This Row],[Facility ID]]) * ([1]!readmissions[Measure ID] = "Hybrid_HWR"), [1]!readmissions[Score]), "No Match")</f>
        <v>13.7</v>
      </c>
    </row>
    <row r="4292" spans="1:6" x14ac:dyDescent="0.2">
      <c r="A4292">
        <f>[1]!hospitalinfo[[#This Row],[Facility ID]]</f>
        <v>430012</v>
      </c>
      <c r="B4292" t="str">
        <f>[1]!hospitalinfo[[#This Row],[State]]</f>
        <v>SD</v>
      </c>
      <c r="C4292" t="str">
        <f>[1]!hospitalinfo[[#This Row],[Hospital Type]]</f>
        <v>Acute Care Hospitals</v>
      </c>
      <c r="D4292" t="str">
        <f>[1]!hospitalinfo[[#This Row],[Hospital Ownership]]</f>
        <v>Voluntary non-profit - Private</v>
      </c>
      <c r="E4292" cm="1">
        <f t="array" ref="E4292">_xlfn.IFNA(_xlfn.XLOOKUP(1,([1]!hcahps[Facility ID] = clean[[#This Row],[Facility ID]]) * ([1]!hcahps[HCAHPS Measure ID] = "H_HSP_RATING_LINEAR_SCORE"), [1]!hcahps[HCAHPS Linear Mean Value]), "No Match")</f>
        <v>90</v>
      </c>
      <c r="F4292" cm="1">
        <f t="array" ref="F4292">_xlfn.IFNA(_xlfn.XLOOKUP(1,([1]!readmissions[Facility ID] = clean[[#This Row],[Facility ID]]) * ([1]!readmissions[Measure ID] = "Hybrid_HWR"), [1]!readmissions[Score]), "No Match")</f>
        <v>15.4</v>
      </c>
    </row>
    <row r="4293" spans="1:6" x14ac:dyDescent="0.2">
      <c r="A4293">
        <f>[1]!hospitalinfo[[#This Row],[Facility ID]]</f>
        <v>430014</v>
      </c>
      <c r="B4293" t="str">
        <f>[1]!hospitalinfo[[#This Row],[State]]</f>
        <v>SD</v>
      </c>
      <c r="C4293" t="str">
        <f>[1]!hospitalinfo[[#This Row],[Hospital Type]]</f>
        <v>Acute Care Hospitals</v>
      </c>
      <c r="D4293" t="str">
        <f>[1]!hospitalinfo[[#This Row],[Hospital Ownership]]</f>
        <v>Voluntary non-profit - Church</v>
      </c>
      <c r="E4293" cm="1">
        <f t="array" ref="E4293">_xlfn.IFNA(_xlfn.XLOOKUP(1,([1]!hcahps[Facility ID] = clean[[#This Row],[Facility ID]]) * ([1]!hcahps[HCAHPS Measure ID] = "H_HSP_RATING_LINEAR_SCORE"), [1]!hcahps[HCAHPS Linear Mean Value]), "No Match")</f>
        <v>90</v>
      </c>
      <c r="F4293" cm="1">
        <f t="array" ref="F4293">_xlfn.IFNA(_xlfn.XLOOKUP(1,([1]!readmissions[Facility ID] = clean[[#This Row],[Facility ID]]) * ([1]!readmissions[Measure ID] = "Hybrid_HWR"), [1]!readmissions[Score]), "No Match")</f>
        <v>15.2</v>
      </c>
    </row>
    <row r="4294" spans="1:6" x14ac:dyDescent="0.2">
      <c r="A4294">
        <f>[1]!hospitalinfo[[#This Row],[Facility ID]]</f>
        <v>430015</v>
      </c>
      <c r="B4294" t="str">
        <f>[1]!hospitalinfo[[#This Row],[State]]</f>
        <v>SD</v>
      </c>
      <c r="C4294" t="str">
        <f>[1]!hospitalinfo[[#This Row],[Hospital Type]]</f>
        <v>Acute Care Hospitals</v>
      </c>
      <c r="D4294" t="str">
        <f>[1]!hospitalinfo[[#This Row],[Hospital Ownership]]</f>
        <v>Voluntary non-profit - Private</v>
      </c>
      <c r="E4294" cm="1">
        <f t="array" ref="E4294">_xlfn.IFNA(_xlfn.XLOOKUP(1,([1]!hcahps[Facility ID] = clean[[#This Row],[Facility ID]]) * ([1]!hcahps[HCAHPS Measure ID] = "H_HSP_RATING_LINEAR_SCORE"), [1]!hcahps[HCAHPS Linear Mean Value]), "No Match")</f>
        <v>89</v>
      </c>
      <c r="F4294" cm="1">
        <f t="array" ref="F4294">_xlfn.IFNA(_xlfn.XLOOKUP(1,([1]!readmissions[Facility ID] = clean[[#This Row],[Facility ID]]) * ([1]!readmissions[Measure ID] = "Hybrid_HWR"), [1]!readmissions[Score]), "No Match")</f>
        <v>14.3</v>
      </c>
    </row>
    <row r="4295" spans="1:6" x14ac:dyDescent="0.2">
      <c r="A4295">
        <f>[1]!hospitalinfo[[#This Row],[Facility ID]]</f>
        <v>430016</v>
      </c>
      <c r="B4295" t="str">
        <f>[1]!hospitalinfo[[#This Row],[State]]</f>
        <v>SD</v>
      </c>
      <c r="C4295" t="str">
        <f>[1]!hospitalinfo[[#This Row],[Hospital Type]]</f>
        <v>Acute Care Hospitals</v>
      </c>
      <c r="D4295" t="str">
        <f>[1]!hospitalinfo[[#This Row],[Hospital Ownership]]</f>
        <v>Voluntary non-profit - Private</v>
      </c>
      <c r="E4295" cm="1">
        <f t="array" ref="E4295">_xlfn.IFNA(_xlfn.XLOOKUP(1,([1]!hcahps[Facility ID] = clean[[#This Row],[Facility ID]]) * ([1]!hcahps[HCAHPS Measure ID] = "H_HSP_RATING_LINEAR_SCORE"), [1]!hcahps[HCAHPS Linear Mean Value]), "No Match")</f>
        <v>89</v>
      </c>
      <c r="F4295" cm="1">
        <f t="array" ref="F4295">_xlfn.IFNA(_xlfn.XLOOKUP(1,([1]!readmissions[Facility ID] = clean[[#This Row],[Facility ID]]) * ([1]!readmissions[Measure ID] = "Hybrid_HWR"), [1]!readmissions[Score]), "No Match")</f>
        <v>14.4</v>
      </c>
    </row>
    <row r="4296" spans="1:6" x14ac:dyDescent="0.2">
      <c r="A4296">
        <f>[1]!hospitalinfo[[#This Row],[Facility ID]]</f>
        <v>430027</v>
      </c>
      <c r="B4296" t="str">
        <f>[1]!hospitalinfo[[#This Row],[State]]</f>
        <v>SD</v>
      </c>
      <c r="C4296" t="str">
        <f>[1]!hospitalinfo[[#This Row],[Hospital Type]]</f>
        <v>Acute Care Hospitals</v>
      </c>
      <c r="D4296" t="str">
        <f>[1]!hospitalinfo[[#This Row],[Hospital Ownership]]</f>
        <v>Voluntary non-profit - Private</v>
      </c>
      <c r="E4296" cm="1">
        <f t="array" ref="E4296">_xlfn.IFNA(_xlfn.XLOOKUP(1,([1]!hcahps[Facility ID] = clean[[#This Row],[Facility ID]]) * ([1]!hcahps[HCAHPS Measure ID] = "H_HSP_RATING_LINEAR_SCORE"), [1]!hcahps[HCAHPS Linear Mean Value]), "No Match")</f>
        <v>89</v>
      </c>
      <c r="F4296" cm="1">
        <f t="array" ref="F4296">_xlfn.IFNA(_xlfn.XLOOKUP(1,([1]!readmissions[Facility ID] = clean[[#This Row],[Facility ID]]) * ([1]!readmissions[Measure ID] = "Hybrid_HWR"), [1]!readmissions[Score]), "No Match")</f>
        <v>14.5</v>
      </c>
    </row>
    <row r="4297" spans="1:6" x14ac:dyDescent="0.2">
      <c r="A4297">
        <f>[1]!hospitalinfo[[#This Row],[Facility ID]]</f>
        <v>430048</v>
      </c>
      <c r="B4297" t="str">
        <f>[1]!hospitalinfo[[#This Row],[State]]</f>
        <v>SD</v>
      </c>
      <c r="C4297" t="str">
        <f>[1]!hospitalinfo[[#This Row],[Hospital Type]]</f>
        <v>Acute Care Hospitals</v>
      </c>
      <c r="D4297" t="str">
        <f>[1]!hospitalinfo[[#This Row],[Hospital Ownership]]</f>
        <v>Voluntary non-profit - Private</v>
      </c>
      <c r="E4297" cm="1">
        <f t="array" ref="E4297">_xlfn.IFNA(_xlfn.XLOOKUP(1,([1]!hcahps[Facility ID] = clean[[#This Row],[Facility ID]]) * ([1]!hcahps[HCAHPS Measure ID] = "H_HSP_RATING_LINEAR_SCORE"), [1]!hcahps[HCAHPS Linear Mean Value]), "No Match")</f>
        <v>91</v>
      </c>
      <c r="F4297" cm="1">
        <f t="array" ref="F4297">_xlfn.IFNA(_xlfn.XLOOKUP(1,([1]!readmissions[Facility ID] = clean[[#This Row],[Facility ID]]) * ([1]!readmissions[Measure ID] = "Hybrid_HWR"), [1]!readmissions[Score]), "No Match")</f>
        <v>14.2</v>
      </c>
    </row>
    <row r="4298" spans="1:6" x14ac:dyDescent="0.2">
      <c r="A4298">
        <f>[1]!hospitalinfo[[#This Row],[Facility ID]]</f>
        <v>430077</v>
      </c>
      <c r="B4298" t="str">
        <f>[1]!hospitalinfo[[#This Row],[State]]</f>
        <v>SD</v>
      </c>
      <c r="C4298" t="str">
        <f>[1]!hospitalinfo[[#This Row],[Hospital Type]]</f>
        <v>Acute Care Hospitals</v>
      </c>
      <c r="D4298" t="str">
        <f>[1]!hospitalinfo[[#This Row],[Hospital Ownership]]</f>
        <v>Voluntary non-profit - Private</v>
      </c>
      <c r="E4298" cm="1">
        <f t="array" ref="E4298">_xlfn.IFNA(_xlfn.XLOOKUP(1,([1]!hcahps[Facility ID] = clean[[#This Row],[Facility ID]]) * ([1]!hcahps[HCAHPS Measure ID] = "H_HSP_RATING_LINEAR_SCORE"), [1]!hcahps[HCAHPS Linear Mean Value]), "No Match")</f>
        <v>88</v>
      </c>
      <c r="F4298" cm="1">
        <f t="array" ref="F4298">_xlfn.IFNA(_xlfn.XLOOKUP(1,([1]!readmissions[Facility ID] = clean[[#This Row],[Facility ID]]) * ([1]!readmissions[Measure ID] = "Hybrid_HWR"), [1]!readmissions[Score]), "No Match")</f>
        <v>14.5</v>
      </c>
    </row>
    <row r="4299" spans="1:6" x14ac:dyDescent="0.2">
      <c r="A4299">
        <f>[1]!hospitalinfo[[#This Row],[Facility ID]]</f>
        <v>430084</v>
      </c>
      <c r="B4299" t="str">
        <f>[1]!hospitalinfo[[#This Row],[State]]</f>
        <v>SD</v>
      </c>
      <c r="C4299" t="str">
        <f>[1]!hospitalinfo[[#This Row],[Hospital Type]]</f>
        <v>Acute Care Hospitals</v>
      </c>
      <c r="D4299" t="str">
        <f>[1]!hospitalinfo[[#This Row],[Hospital Ownership]]</f>
        <v>Government - Federal</v>
      </c>
      <c r="E4299" t="str" cm="1">
        <f t="array" ref="E4299">_xlfn.IFNA(_xlfn.XLOOKUP(1,([1]!hcahps[Facility ID] = clean[[#This Row],[Facility ID]]) * ([1]!hcahps[HCAHPS Measure ID] = "H_HSP_RATING_LINEAR_SCORE"), [1]!hcahps[HCAHPS Linear Mean Value]), "No Match")</f>
        <v>Not Available</v>
      </c>
      <c r="F4299" cm="1">
        <f t="array" ref="F4299">_xlfn.IFNA(_xlfn.XLOOKUP(1,([1]!readmissions[Facility ID] = clean[[#This Row],[Facility ID]]) * ([1]!readmissions[Measure ID] = "Hybrid_HWR"), [1]!readmissions[Score]), "No Match")</f>
        <v>14.9</v>
      </c>
    </row>
    <row r="4300" spans="1:6" x14ac:dyDescent="0.2">
      <c r="A4300">
        <f>[1]!hospitalinfo[[#This Row],[Facility ID]]</f>
        <v>430089</v>
      </c>
      <c r="B4300" t="str">
        <f>[1]!hospitalinfo[[#This Row],[State]]</f>
        <v>SD</v>
      </c>
      <c r="C4300" t="str">
        <f>[1]!hospitalinfo[[#This Row],[Hospital Type]]</f>
        <v>Acute Care Hospitals</v>
      </c>
      <c r="D4300" t="str">
        <f>[1]!hospitalinfo[[#This Row],[Hospital Ownership]]</f>
        <v>Proprietary</v>
      </c>
      <c r="E4300" cm="1">
        <f t="array" ref="E4300">_xlfn.IFNA(_xlfn.XLOOKUP(1,([1]!hcahps[Facility ID] = clean[[#This Row],[Facility ID]]) * ([1]!hcahps[HCAHPS Measure ID] = "H_HSP_RATING_LINEAR_SCORE"), [1]!hcahps[HCAHPS Linear Mean Value]), "No Match")</f>
        <v>91</v>
      </c>
      <c r="F4300" cm="1">
        <f t="array" ref="F4300">_xlfn.IFNA(_xlfn.XLOOKUP(1,([1]!readmissions[Facility ID] = clean[[#This Row],[Facility ID]]) * ([1]!readmissions[Measure ID] = "Hybrid_HWR"), [1]!readmissions[Score]), "No Match")</f>
        <v>15.3</v>
      </c>
    </row>
    <row r="4301" spans="1:6" x14ac:dyDescent="0.2">
      <c r="A4301">
        <f>[1]!hospitalinfo[[#This Row],[Facility ID]]</f>
        <v>430090</v>
      </c>
      <c r="B4301" t="str">
        <f>[1]!hospitalinfo[[#This Row],[State]]</f>
        <v>SD</v>
      </c>
      <c r="C4301" t="str">
        <f>[1]!hospitalinfo[[#This Row],[Hospital Type]]</f>
        <v>Acute Care Hospitals</v>
      </c>
      <c r="D4301" t="str">
        <f>[1]!hospitalinfo[[#This Row],[Hospital Ownership]]</f>
        <v>Proprietary</v>
      </c>
      <c r="E4301" cm="1">
        <f t="array" ref="E4301">_xlfn.IFNA(_xlfn.XLOOKUP(1,([1]!hcahps[Facility ID] = clean[[#This Row],[Facility ID]]) * ([1]!hcahps[HCAHPS Measure ID] = "H_HSP_RATING_LINEAR_SCORE"), [1]!hcahps[HCAHPS Linear Mean Value]), "No Match")</f>
        <v>93</v>
      </c>
      <c r="F4301" cm="1">
        <f t="array" ref="F4301">_xlfn.IFNA(_xlfn.XLOOKUP(1,([1]!readmissions[Facility ID] = clean[[#This Row],[Facility ID]]) * ([1]!readmissions[Measure ID] = "Hybrid_HWR"), [1]!readmissions[Score]), "No Match")</f>
        <v>14.9</v>
      </c>
    </row>
    <row r="4302" spans="1:6" x14ac:dyDescent="0.2">
      <c r="A4302">
        <f>[1]!hospitalinfo[[#This Row],[Facility ID]]</f>
        <v>430091</v>
      </c>
      <c r="B4302" t="str">
        <f>[1]!hospitalinfo[[#This Row],[State]]</f>
        <v>SD</v>
      </c>
      <c r="C4302" t="str">
        <f>[1]!hospitalinfo[[#This Row],[Hospital Type]]</f>
        <v>Acute Care Hospitals</v>
      </c>
      <c r="D4302" t="str">
        <f>[1]!hospitalinfo[[#This Row],[Hospital Ownership]]</f>
        <v>Proprietary</v>
      </c>
      <c r="E4302" cm="1">
        <f t="array" ref="E4302">_xlfn.IFNA(_xlfn.XLOOKUP(1,([1]!hcahps[Facility ID] = clean[[#This Row],[Facility ID]]) * ([1]!hcahps[HCAHPS Measure ID] = "H_HSP_RATING_LINEAR_SCORE"), [1]!hcahps[HCAHPS Linear Mean Value]), "No Match")</f>
        <v>95</v>
      </c>
      <c r="F4302" cm="1">
        <f t="array" ref="F4302">_xlfn.IFNA(_xlfn.XLOOKUP(1,([1]!readmissions[Facility ID] = clean[[#This Row],[Facility ID]]) * ([1]!readmissions[Measure ID] = "Hybrid_HWR"), [1]!readmissions[Score]), "No Match")</f>
        <v>12.6</v>
      </c>
    </row>
    <row r="4303" spans="1:6" x14ac:dyDescent="0.2">
      <c r="A4303">
        <f>[1]!hospitalinfo[[#This Row],[Facility ID]]</f>
        <v>430093</v>
      </c>
      <c r="B4303" t="str">
        <f>[1]!hospitalinfo[[#This Row],[State]]</f>
        <v>SD</v>
      </c>
      <c r="C4303" t="str">
        <f>[1]!hospitalinfo[[#This Row],[Hospital Type]]</f>
        <v>Acute Care Hospitals</v>
      </c>
      <c r="D4303" t="str">
        <f>[1]!hospitalinfo[[#This Row],[Hospital Ownership]]</f>
        <v>Proprietary</v>
      </c>
      <c r="E4303" t="str" cm="1">
        <f t="array" ref="E4303">_xlfn.IFNA(_xlfn.XLOOKUP(1,([1]!hcahps[Facility ID] = clean[[#This Row],[Facility ID]]) * ([1]!hcahps[HCAHPS Measure ID] = "H_HSP_RATING_LINEAR_SCORE"), [1]!hcahps[HCAHPS Linear Mean Value]), "No Match")</f>
        <v>Not Available</v>
      </c>
      <c r="F4303" t="str" cm="1">
        <f t="array" ref="F4303">_xlfn.IFNA(_xlfn.XLOOKUP(1,([1]!readmissions[Facility ID] = clean[[#This Row],[Facility ID]]) * ([1]!readmissions[Measure ID] = "Hybrid_HWR"), [1]!readmissions[Score]), "No Match")</f>
        <v>Not Available</v>
      </c>
    </row>
    <row r="4304" spans="1:6" x14ac:dyDescent="0.2">
      <c r="A4304">
        <f>[1]!hospitalinfo[[#This Row],[Facility ID]]</f>
        <v>430095</v>
      </c>
      <c r="B4304" t="str">
        <f>[1]!hospitalinfo[[#This Row],[State]]</f>
        <v>SD</v>
      </c>
      <c r="C4304" t="str">
        <f>[1]!hospitalinfo[[#This Row],[Hospital Type]]</f>
        <v>Acute Care Hospitals</v>
      </c>
      <c r="D4304" t="str">
        <f>[1]!hospitalinfo[[#This Row],[Hospital Ownership]]</f>
        <v>Proprietary</v>
      </c>
      <c r="E4304" cm="1">
        <f t="array" ref="E4304">_xlfn.IFNA(_xlfn.XLOOKUP(1,([1]!hcahps[Facility ID] = clean[[#This Row],[Facility ID]]) * ([1]!hcahps[HCAHPS Measure ID] = "H_HSP_RATING_LINEAR_SCORE"), [1]!hcahps[HCAHPS Linear Mean Value]), "No Match")</f>
        <v>94</v>
      </c>
      <c r="F4304" cm="1">
        <f t="array" ref="F4304">_xlfn.IFNA(_xlfn.XLOOKUP(1,([1]!readmissions[Facility ID] = clean[[#This Row],[Facility ID]]) * ([1]!readmissions[Measure ID] = "Hybrid_HWR"), [1]!readmissions[Score]), "No Match")</f>
        <v>13.8</v>
      </c>
    </row>
    <row r="4305" spans="1:6" x14ac:dyDescent="0.2">
      <c r="A4305">
        <f>[1]!hospitalinfo[[#This Row],[Facility ID]]</f>
        <v>430097</v>
      </c>
      <c r="B4305" t="str">
        <f>[1]!hospitalinfo[[#This Row],[State]]</f>
        <v>SD</v>
      </c>
      <c r="C4305" t="str">
        <f>[1]!hospitalinfo[[#This Row],[Hospital Type]]</f>
        <v>Acute Care Hospitals</v>
      </c>
      <c r="D4305" t="str">
        <f>[1]!hospitalinfo[[#This Row],[Hospital Ownership]]</f>
        <v>Voluntary non-profit - Private</v>
      </c>
      <c r="E4305" cm="1">
        <f t="array" ref="E4305">_xlfn.IFNA(_xlfn.XLOOKUP(1,([1]!hcahps[Facility ID] = clean[[#This Row],[Facility ID]]) * ([1]!hcahps[HCAHPS Measure ID] = "H_HSP_RATING_LINEAR_SCORE"), [1]!hcahps[HCAHPS Linear Mean Value]), "No Match")</f>
        <v>90</v>
      </c>
      <c r="F4305" cm="1">
        <f t="array" ref="F4305">_xlfn.IFNA(_xlfn.XLOOKUP(1,([1]!readmissions[Facility ID] = clean[[#This Row],[Facility ID]]) * ([1]!readmissions[Measure ID] = "Hybrid_HWR"), [1]!readmissions[Score]), "No Match")</f>
        <v>14.6</v>
      </c>
    </row>
    <row r="4306" spans="1:6" x14ac:dyDescent="0.2">
      <c r="A4306">
        <f>[1]!hospitalinfo[[#This Row],[Facility ID]]</f>
        <v>430098</v>
      </c>
      <c r="B4306" t="str">
        <f>[1]!hospitalinfo[[#This Row],[State]]</f>
        <v>SD</v>
      </c>
      <c r="C4306" t="str">
        <f>[1]!hospitalinfo[[#This Row],[Hospital Type]]</f>
        <v>Acute Care Hospitals</v>
      </c>
      <c r="D4306" t="str">
        <f>[1]!hospitalinfo[[#This Row],[Hospital Ownership]]</f>
        <v>Government - Federal</v>
      </c>
      <c r="E4306" t="str" cm="1">
        <f t="array" ref="E4306">_xlfn.IFNA(_xlfn.XLOOKUP(1,([1]!hcahps[Facility ID] = clean[[#This Row],[Facility ID]]) * ([1]!hcahps[HCAHPS Measure ID] = "H_HSP_RATING_LINEAR_SCORE"), [1]!hcahps[HCAHPS Linear Mean Value]), "No Match")</f>
        <v>Not Available</v>
      </c>
      <c r="F4306" cm="1">
        <f t="array" ref="F4306">_xlfn.IFNA(_xlfn.XLOOKUP(1,([1]!readmissions[Facility ID] = clean[[#This Row],[Facility ID]]) * ([1]!readmissions[Measure ID] = "Hybrid_HWR"), [1]!readmissions[Score]), "No Match")</f>
        <v>15.2</v>
      </c>
    </row>
    <row r="4307" spans="1:6" x14ac:dyDescent="0.2">
      <c r="A4307">
        <f>[1]!hospitalinfo[[#This Row],[Facility ID]]</f>
        <v>430779</v>
      </c>
      <c r="B4307" t="str">
        <f>[1]!hospitalinfo[[#This Row],[State]]</f>
        <v>SD</v>
      </c>
      <c r="C4307" t="str">
        <f>[1]!hospitalinfo[[#This Row],[Hospital Type]]</f>
        <v>Rural Emergency Hospital</v>
      </c>
      <c r="D4307" t="str">
        <f>[1]!hospitalinfo[[#This Row],[Hospital Ownership]]</f>
        <v>Voluntary non-profit - Private</v>
      </c>
      <c r="E4307" t="str" cm="1">
        <f t="array" ref="E4307">_xlfn.IFNA(_xlfn.XLOOKUP(1,([1]!hcahps[Facility ID] = clean[[#This Row],[Facility ID]]) * ([1]!hcahps[HCAHPS Measure ID] = "H_HSP_RATING_LINEAR_SCORE"), [1]!hcahps[HCAHPS Linear Mean Value]), "No Match")</f>
        <v>Not Available</v>
      </c>
      <c r="F4307" t="str" cm="1">
        <f t="array" ref="F4307">_xlfn.IFNA(_xlfn.XLOOKUP(1,([1]!readmissions[Facility ID] = clean[[#This Row],[Facility ID]]) * ([1]!readmissions[Measure ID] = "Hybrid_HWR"), [1]!readmissions[Score]), "No Match")</f>
        <v>Not Available</v>
      </c>
    </row>
    <row r="4308" spans="1:6" x14ac:dyDescent="0.2">
      <c r="A4308">
        <f>[1]!hospitalinfo[[#This Row],[Facility ID]]</f>
        <v>431300</v>
      </c>
      <c r="B4308" t="str">
        <f>[1]!hospitalinfo[[#This Row],[State]]</f>
        <v>SD</v>
      </c>
      <c r="C4308" t="str">
        <f>[1]!hospitalinfo[[#This Row],[Hospital Type]]</f>
        <v>Critical Access Hospitals</v>
      </c>
      <c r="D4308" t="str">
        <f>[1]!hospitalinfo[[#This Row],[Hospital Ownership]]</f>
        <v>Voluntary non-profit - Private</v>
      </c>
      <c r="E4308" t="str" cm="1">
        <f t="array" ref="E4308">_xlfn.IFNA(_xlfn.XLOOKUP(1,([1]!hcahps[Facility ID] = clean[[#This Row],[Facility ID]]) * ([1]!hcahps[HCAHPS Measure ID] = "H_HSP_RATING_LINEAR_SCORE"), [1]!hcahps[HCAHPS Linear Mean Value]), "No Match")</f>
        <v>Not Available</v>
      </c>
      <c r="F4308" cm="1">
        <f t="array" ref="F4308">_xlfn.IFNA(_xlfn.XLOOKUP(1,([1]!readmissions[Facility ID] = clean[[#This Row],[Facility ID]]) * ([1]!readmissions[Measure ID] = "Hybrid_HWR"), [1]!readmissions[Score]), "No Match")</f>
        <v>14.8</v>
      </c>
    </row>
    <row r="4309" spans="1:6" x14ac:dyDescent="0.2">
      <c r="A4309">
        <f>[1]!hospitalinfo[[#This Row],[Facility ID]]</f>
        <v>431301</v>
      </c>
      <c r="B4309" t="str">
        <f>[1]!hospitalinfo[[#This Row],[State]]</f>
        <v>SD</v>
      </c>
      <c r="C4309" t="str">
        <f>[1]!hospitalinfo[[#This Row],[Hospital Type]]</f>
        <v>Critical Access Hospitals</v>
      </c>
      <c r="D4309" t="str">
        <f>[1]!hospitalinfo[[#This Row],[Hospital Ownership]]</f>
        <v>Voluntary non-profit - Private</v>
      </c>
      <c r="E4309" t="str" cm="1">
        <f t="array" ref="E4309">_xlfn.IFNA(_xlfn.XLOOKUP(1,([1]!hcahps[Facility ID] = clean[[#This Row],[Facility ID]]) * ([1]!hcahps[HCAHPS Measure ID] = "H_HSP_RATING_LINEAR_SCORE"), [1]!hcahps[HCAHPS Linear Mean Value]), "No Match")</f>
        <v>Not Available</v>
      </c>
      <c r="F4309" cm="1">
        <f t="array" ref="F4309">_xlfn.IFNA(_xlfn.XLOOKUP(1,([1]!readmissions[Facility ID] = clean[[#This Row],[Facility ID]]) * ([1]!readmissions[Measure ID] = "Hybrid_HWR"), [1]!readmissions[Score]), "No Match")</f>
        <v>15</v>
      </c>
    </row>
    <row r="4310" spans="1:6" x14ac:dyDescent="0.2">
      <c r="A4310">
        <f>[1]!hospitalinfo[[#This Row],[Facility ID]]</f>
        <v>431302</v>
      </c>
      <c r="B4310" t="str">
        <f>[1]!hospitalinfo[[#This Row],[State]]</f>
        <v>SD</v>
      </c>
      <c r="C4310" t="str">
        <f>[1]!hospitalinfo[[#This Row],[Hospital Type]]</f>
        <v>Critical Access Hospitals</v>
      </c>
      <c r="D4310" t="str">
        <f>[1]!hospitalinfo[[#This Row],[Hospital Ownership]]</f>
        <v>Voluntary non-profit - Private</v>
      </c>
      <c r="E4310" t="str" cm="1">
        <f t="array" ref="E4310">_xlfn.IFNA(_xlfn.XLOOKUP(1,([1]!hcahps[Facility ID] = clean[[#This Row],[Facility ID]]) * ([1]!hcahps[HCAHPS Measure ID] = "H_HSP_RATING_LINEAR_SCORE"), [1]!hcahps[HCAHPS Linear Mean Value]), "No Match")</f>
        <v>Not Available</v>
      </c>
      <c r="F4310" cm="1">
        <f t="array" ref="F4310">_xlfn.IFNA(_xlfn.XLOOKUP(1,([1]!readmissions[Facility ID] = clean[[#This Row],[Facility ID]]) * ([1]!readmissions[Measure ID] = "Hybrid_HWR"), [1]!readmissions[Score]), "No Match")</f>
        <v>14.9</v>
      </c>
    </row>
    <row r="4311" spans="1:6" x14ac:dyDescent="0.2">
      <c r="A4311">
        <f>[1]!hospitalinfo[[#This Row],[Facility ID]]</f>
        <v>431305</v>
      </c>
      <c r="B4311" t="str">
        <f>[1]!hospitalinfo[[#This Row],[State]]</f>
        <v>SD</v>
      </c>
      <c r="C4311" t="str">
        <f>[1]!hospitalinfo[[#This Row],[Hospital Type]]</f>
        <v>Critical Access Hospitals</v>
      </c>
      <c r="D4311" t="str">
        <f>[1]!hospitalinfo[[#This Row],[Hospital Ownership]]</f>
        <v>Voluntary non-profit - Private</v>
      </c>
      <c r="E4311" t="str" cm="1">
        <f t="array" ref="E4311">_xlfn.IFNA(_xlfn.XLOOKUP(1,([1]!hcahps[Facility ID] = clean[[#This Row],[Facility ID]]) * ([1]!hcahps[HCAHPS Measure ID] = "H_HSP_RATING_LINEAR_SCORE"), [1]!hcahps[HCAHPS Linear Mean Value]), "No Match")</f>
        <v>Not Available</v>
      </c>
      <c r="F4311" cm="1">
        <f t="array" ref="F4311">_xlfn.IFNA(_xlfn.XLOOKUP(1,([1]!readmissions[Facility ID] = clean[[#This Row],[Facility ID]]) * ([1]!readmissions[Measure ID] = "Hybrid_HWR"), [1]!readmissions[Score]), "No Match")</f>
        <v>15.1</v>
      </c>
    </row>
    <row r="4312" spans="1:6" x14ac:dyDescent="0.2">
      <c r="A4312">
        <f>[1]!hospitalinfo[[#This Row],[Facility ID]]</f>
        <v>431306</v>
      </c>
      <c r="B4312" t="str">
        <f>[1]!hospitalinfo[[#This Row],[State]]</f>
        <v>SD</v>
      </c>
      <c r="C4312" t="str">
        <f>[1]!hospitalinfo[[#This Row],[Hospital Type]]</f>
        <v>Critical Access Hospitals</v>
      </c>
      <c r="D4312" t="str">
        <f>[1]!hospitalinfo[[#This Row],[Hospital Ownership]]</f>
        <v>Voluntary non-profit - Private</v>
      </c>
      <c r="E4312" t="str" cm="1">
        <f t="array" ref="E4312">_xlfn.IFNA(_xlfn.XLOOKUP(1,([1]!hcahps[Facility ID] = clean[[#This Row],[Facility ID]]) * ([1]!hcahps[HCAHPS Measure ID] = "H_HSP_RATING_LINEAR_SCORE"), [1]!hcahps[HCAHPS Linear Mean Value]), "No Match")</f>
        <v>Not Available</v>
      </c>
      <c r="F4312" cm="1">
        <f t="array" ref="F4312">_xlfn.IFNA(_xlfn.XLOOKUP(1,([1]!readmissions[Facility ID] = clean[[#This Row],[Facility ID]]) * ([1]!readmissions[Measure ID] = "Hybrid_HWR"), [1]!readmissions[Score]), "No Match")</f>
        <v>14.8</v>
      </c>
    </row>
    <row r="4313" spans="1:6" x14ac:dyDescent="0.2">
      <c r="A4313">
        <f>[1]!hospitalinfo[[#This Row],[Facility ID]]</f>
        <v>431307</v>
      </c>
      <c r="B4313" t="str">
        <f>[1]!hospitalinfo[[#This Row],[State]]</f>
        <v>SD</v>
      </c>
      <c r="C4313" t="str">
        <f>[1]!hospitalinfo[[#This Row],[Hospital Type]]</f>
        <v>Critical Access Hospitals</v>
      </c>
      <c r="D4313" t="str">
        <f>[1]!hospitalinfo[[#This Row],[Hospital Ownership]]</f>
        <v>Voluntary non-profit - Private</v>
      </c>
      <c r="E4313" t="str" cm="1">
        <f t="array" ref="E4313">_xlfn.IFNA(_xlfn.XLOOKUP(1,([1]!hcahps[Facility ID] = clean[[#This Row],[Facility ID]]) * ([1]!hcahps[HCAHPS Measure ID] = "H_HSP_RATING_LINEAR_SCORE"), [1]!hcahps[HCAHPS Linear Mean Value]), "No Match")</f>
        <v>Not Available</v>
      </c>
      <c r="F4313" t="str" cm="1">
        <f t="array" ref="F4313">_xlfn.IFNA(_xlfn.XLOOKUP(1,([1]!readmissions[Facility ID] = clean[[#This Row],[Facility ID]]) * ([1]!readmissions[Measure ID] = "Hybrid_HWR"), [1]!readmissions[Score]), "No Match")</f>
        <v>Not Available</v>
      </c>
    </row>
    <row r="4314" spans="1:6" x14ac:dyDescent="0.2">
      <c r="A4314">
        <f>[1]!hospitalinfo[[#This Row],[Facility ID]]</f>
        <v>431308</v>
      </c>
      <c r="B4314" t="str">
        <f>[1]!hospitalinfo[[#This Row],[State]]</f>
        <v>SD</v>
      </c>
      <c r="C4314" t="str">
        <f>[1]!hospitalinfo[[#This Row],[Hospital Type]]</f>
        <v>Critical Access Hospitals</v>
      </c>
      <c r="D4314" t="str">
        <f>[1]!hospitalinfo[[#This Row],[Hospital Ownership]]</f>
        <v>Voluntary non-profit - Other</v>
      </c>
      <c r="E4314" t="str" cm="1">
        <f t="array" ref="E4314">_xlfn.IFNA(_xlfn.XLOOKUP(1,([1]!hcahps[Facility ID] = clean[[#This Row],[Facility ID]]) * ([1]!hcahps[HCAHPS Measure ID] = "H_HSP_RATING_LINEAR_SCORE"), [1]!hcahps[HCAHPS Linear Mean Value]), "No Match")</f>
        <v>Not Available</v>
      </c>
      <c r="F4314" cm="1">
        <f t="array" ref="F4314">_xlfn.IFNA(_xlfn.XLOOKUP(1,([1]!readmissions[Facility ID] = clean[[#This Row],[Facility ID]]) * ([1]!readmissions[Measure ID] = "Hybrid_HWR"), [1]!readmissions[Score]), "No Match")</f>
        <v>14.7</v>
      </c>
    </row>
    <row r="4315" spans="1:6" x14ac:dyDescent="0.2">
      <c r="A4315">
        <f>[1]!hospitalinfo[[#This Row],[Facility ID]]</f>
        <v>431309</v>
      </c>
      <c r="B4315" t="str">
        <f>[1]!hospitalinfo[[#This Row],[State]]</f>
        <v>SD</v>
      </c>
      <c r="C4315" t="str">
        <f>[1]!hospitalinfo[[#This Row],[Hospital Type]]</f>
        <v>Critical Access Hospitals</v>
      </c>
      <c r="D4315" t="str">
        <f>[1]!hospitalinfo[[#This Row],[Hospital Ownership]]</f>
        <v>Voluntary non-profit - Private</v>
      </c>
      <c r="E4315" t="str" cm="1">
        <f t="array" ref="E4315">_xlfn.IFNA(_xlfn.XLOOKUP(1,([1]!hcahps[Facility ID] = clean[[#This Row],[Facility ID]]) * ([1]!hcahps[HCAHPS Measure ID] = "H_HSP_RATING_LINEAR_SCORE"), [1]!hcahps[HCAHPS Linear Mean Value]), "No Match")</f>
        <v>Not Available</v>
      </c>
      <c r="F4315" cm="1">
        <f t="array" ref="F4315">_xlfn.IFNA(_xlfn.XLOOKUP(1,([1]!readmissions[Facility ID] = clean[[#This Row],[Facility ID]]) * ([1]!readmissions[Measure ID] = "Hybrid_HWR"), [1]!readmissions[Score]), "No Match")</f>
        <v>15.6</v>
      </c>
    </row>
    <row r="4316" spans="1:6" x14ac:dyDescent="0.2">
      <c r="A4316">
        <f>[1]!hospitalinfo[[#This Row],[Facility ID]]</f>
        <v>431310</v>
      </c>
      <c r="B4316" t="str">
        <f>[1]!hospitalinfo[[#This Row],[State]]</f>
        <v>SD</v>
      </c>
      <c r="C4316" t="str">
        <f>[1]!hospitalinfo[[#This Row],[Hospital Type]]</f>
        <v>Critical Access Hospitals</v>
      </c>
      <c r="D4316" t="str">
        <f>[1]!hospitalinfo[[#This Row],[Hospital Ownership]]</f>
        <v>Voluntary non-profit - Private</v>
      </c>
      <c r="E4316" t="str" cm="1">
        <f t="array" ref="E4316">_xlfn.IFNA(_xlfn.XLOOKUP(1,([1]!hcahps[Facility ID] = clean[[#This Row],[Facility ID]]) * ([1]!hcahps[HCAHPS Measure ID] = "H_HSP_RATING_LINEAR_SCORE"), [1]!hcahps[HCAHPS Linear Mean Value]), "No Match")</f>
        <v>Not Available</v>
      </c>
      <c r="F4316" cm="1">
        <f t="array" ref="F4316">_xlfn.IFNA(_xlfn.XLOOKUP(1,([1]!readmissions[Facility ID] = clean[[#This Row],[Facility ID]]) * ([1]!readmissions[Measure ID] = "Hybrid_HWR"), [1]!readmissions[Score]), "No Match")</f>
        <v>15.2</v>
      </c>
    </row>
    <row r="4317" spans="1:6" x14ac:dyDescent="0.2">
      <c r="A4317">
        <f>[1]!hospitalinfo[[#This Row],[Facility ID]]</f>
        <v>431311</v>
      </c>
      <c r="B4317" t="str">
        <f>[1]!hospitalinfo[[#This Row],[State]]</f>
        <v>SD</v>
      </c>
      <c r="C4317" t="str">
        <f>[1]!hospitalinfo[[#This Row],[Hospital Type]]</f>
        <v>Critical Access Hospitals</v>
      </c>
      <c r="D4317" t="str">
        <f>[1]!hospitalinfo[[#This Row],[Hospital Ownership]]</f>
        <v>Voluntary non-profit - Private</v>
      </c>
      <c r="E4317" t="str" cm="1">
        <f t="array" ref="E4317">_xlfn.IFNA(_xlfn.XLOOKUP(1,([1]!hcahps[Facility ID] = clean[[#This Row],[Facility ID]]) * ([1]!hcahps[HCAHPS Measure ID] = "H_HSP_RATING_LINEAR_SCORE"), [1]!hcahps[HCAHPS Linear Mean Value]), "No Match")</f>
        <v>Not Available</v>
      </c>
      <c r="F4317" cm="1">
        <f t="array" ref="F4317">_xlfn.IFNA(_xlfn.XLOOKUP(1,([1]!readmissions[Facility ID] = clean[[#This Row],[Facility ID]]) * ([1]!readmissions[Measure ID] = "Hybrid_HWR"), [1]!readmissions[Score]), "No Match")</f>
        <v>14.7</v>
      </c>
    </row>
    <row r="4318" spans="1:6" x14ac:dyDescent="0.2">
      <c r="A4318">
        <f>[1]!hospitalinfo[[#This Row],[Facility ID]]</f>
        <v>431312</v>
      </c>
      <c r="B4318" t="str">
        <f>[1]!hospitalinfo[[#This Row],[State]]</f>
        <v>SD</v>
      </c>
      <c r="C4318" t="str">
        <f>[1]!hospitalinfo[[#This Row],[Hospital Type]]</f>
        <v>Critical Access Hospitals</v>
      </c>
      <c r="D4318" t="str">
        <f>[1]!hospitalinfo[[#This Row],[Hospital Ownership]]</f>
        <v>Voluntary non-profit - Private</v>
      </c>
      <c r="E4318" t="str" cm="1">
        <f t="array" ref="E4318">_xlfn.IFNA(_xlfn.XLOOKUP(1,([1]!hcahps[Facility ID] = clean[[#This Row],[Facility ID]]) * ([1]!hcahps[HCAHPS Measure ID] = "H_HSP_RATING_LINEAR_SCORE"), [1]!hcahps[HCAHPS Linear Mean Value]), "No Match")</f>
        <v>Not Available</v>
      </c>
      <c r="F4318" cm="1">
        <f t="array" ref="F4318">_xlfn.IFNA(_xlfn.XLOOKUP(1,([1]!readmissions[Facility ID] = clean[[#This Row],[Facility ID]]) * ([1]!readmissions[Measure ID] = "Hybrid_HWR"), [1]!readmissions[Score]), "No Match")</f>
        <v>14.7</v>
      </c>
    </row>
    <row r="4319" spans="1:6" x14ac:dyDescent="0.2">
      <c r="A4319">
        <f>[1]!hospitalinfo[[#This Row],[Facility ID]]</f>
        <v>431313</v>
      </c>
      <c r="B4319" t="str">
        <f>[1]!hospitalinfo[[#This Row],[State]]</f>
        <v>SD</v>
      </c>
      <c r="C4319" t="str">
        <f>[1]!hospitalinfo[[#This Row],[Hospital Type]]</f>
        <v>Critical Access Hospitals</v>
      </c>
      <c r="D4319" t="str">
        <f>[1]!hospitalinfo[[#This Row],[Hospital Ownership]]</f>
        <v>Voluntary non-profit - Private</v>
      </c>
      <c r="E4319" t="str" cm="1">
        <f t="array" ref="E4319">_xlfn.IFNA(_xlfn.XLOOKUP(1,([1]!hcahps[Facility ID] = clean[[#This Row],[Facility ID]]) * ([1]!hcahps[HCAHPS Measure ID] = "H_HSP_RATING_LINEAR_SCORE"), [1]!hcahps[HCAHPS Linear Mean Value]), "No Match")</f>
        <v>Not Available</v>
      </c>
      <c r="F4319" cm="1">
        <f t="array" ref="F4319">_xlfn.IFNA(_xlfn.XLOOKUP(1,([1]!readmissions[Facility ID] = clean[[#This Row],[Facility ID]]) * ([1]!readmissions[Measure ID] = "Hybrid_HWR"), [1]!readmissions[Score]), "No Match")</f>
        <v>14.7</v>
      </c>
    </row>
    <row r="4320" spans="1:6" x14ac:dyDescent="0.2">
      <c r="A4320">
        <f>[1]!hospitalinfo[[#This Row],[Facility ID]]</f>
        <v>431314</v>
      </c>
      <c r="B4320" t="str">
        <f>[1]!hospitalinfo[[#This Row],[State]]</f>
        <v>SD</v>
      </c>
      <c r="C4320" t="str">
        <f>[1]!hospitalinfo[[#This Row],[Hospital Type]]</f>
        <v>Critical Access Hospitals</v>
      </c>
      <c r="D4320" t="str">
        <f>[1]!hospitalinfo[[#This Row],[Hospital Ownership]]</f>
        <v>Voluntary non-profit - Private</v>
      </c>
      <c r="E4320" t="str" cm="1">
        <f t="array" ref="E4320">_xlfn.IFNA(_xlfn.XLOOKUP(1,([1]!hcahps[Facility ID] = clean[[#This Row],[Facility ID]]) * ([1]!hcahps[HCAHPS Measure ID] = "H_HSP_RATING_LINEAR_SCORE"), [1]!hcahps[HCAHPS Linear Mean Value]), "No Match")</f>
        <v>Not Available</v>
      </c>
      <c r="F4320" t="str" cm="1">
        <f t="array" ref="F4320">_xlfn.IFNA(_xlfn.XLOOKUP(1,([1]!readmissions[Facility ID] = clean[[#This Row],[Facility ID]]) * ([1]!readmissions[Measure ID] = "Hybrid_HWR"), [1]!readmissions[Score]), "No Match")</f>
        <v>Not Available</v>
      </c>
    </row>
    <row r="4321" spans="1:6" x14ac:dyDescent="0.2">
      <c r="A4321">
        <f>[1]!hospitalinfo[[#This Row],[Facility ID]]</f>
        <v>431315</v>
      </c>
      <c r="B4321" t="str">
        <f>[1]!hospitalinfo[[#This Row],[State]]</f>
        <v>SD</v>
      </c>
      <c r="C4321" t="str">
        <f>[1]!hospitalinfo[[#This Row],[Hospital Type]]</f>
        <v>Critical Access Hospitals</v>
      </c>
      <c r="D4321" t="str">
        <f>[1]!hospitalinfo[[#This Row],[Hospital Ownership]]</f>
        <v>Voluntary non-profit - Private</v>
      </c>
      <c r="E4321" t="str" cm="1">
        <f t="array" ref="E4321">_xlfn.IFNA(_xlfn.XLOOKUP(1,([1]!hcahps[Facility ID] = clean[[#This Row],[Facility ID]]) * ([1]!hcahps[HCAHPS Measure ID] = "H_HSP_RATING_LINEAR_SCORE"), [1]!hcahps[HCAHPS Linear Mean Value]), "No Match")</f>
        <v>Not Available</v>
      </c>
      <c r="F4321" cm="1">
        <f t="array" ref="F4321">_xlfn.IFNA(_xlfn.XLOOKUP(1,([1]!readmissions[Facility ID] = clean[[#This Row],[Facility ID]]) * ([1]!readmissions[Measure ID] = "Hybrid_HWR"), [1]!readmissions[Score]), "No Match")</f>
        <v>15.5</v>
      </c>
    </row>
    <row r="4322" spans="1:6" x14ac:dyDescent="0.2">
      <c r="A4322">
        <f>[1]!hospitalinfo[[#This Row],[Facility ID]]</f>
        <v>431316</v>
      </c>
      <c r="B4322" t="str">
        <f>[1]!hospitalinfo[[#This Row],[State]]</f>
        <v>SD</v>
      </c>
      <c r="C4322" t="str">
        <f>[1]!hospitalinfo[[#This Row],[Hospital Type]]</f>
        <v>Critical Access Hospitals</v>
      </c>
      <c r="D4322" t="str">
        <f>[1]!hospitalinfo[[#This Row],[Hospital Ownership]]</f>
        <v>Government - Local</v>
      </c>
      <c r="E4322" t="str" cm="1">
        <f t="array" ref="E4322">_xlfn.IFNA(_xlfn.XLOOKUP(1,([1]!hcahps[Facility ID] = clean[[#This Row],[Facility ID]]) * ([1]!hcahps[HCAHPS Measure ID] = "H_HSP_RATING_LINEAR_SCORE"), [1]!hcahps[HCAHPS Linear Mean Value]), "No Match")</f>
        <v>Not Available</v>
      </c>
      <c r="F4322" cm="1">
        <f t="array" ref="F4322">_xlfn.IFNA(_xlfn.XLOOKUP(1,([1]!readmissions[Facility ID] = clean[[#This Row],[Facility ID]]) * ([1]!readmissions[Measure ID] = "Hybrid_HWR"), [1]!readmissions[Score]), "No Match")</f>
        <v>15</v>
      </c>
    </row>
    <row r="4323" spans="1:6" x14ac:dyDescent="0.2">
      <c r="A4323">
        <f>[1]!hospitalinfo[[#This Row],[Facility ID]]</f>
        <v>431318</v>
      </c>
      <c r="B4323" t="str">
        <f>[1]!hospitalinfo[[#This Row],[State]]</f>
        <v>SD</v>
      </c>
      <c r="C4323" t="str">
        <f>[1]!hospitalinfo[[#This Row],[Hospital Type]]</f>
        <v>Critical Access Hospitals</v>
      </c>
      <c r="D4323" t="str">
        <f>[1]!hospitalinfo[[#This Row],[Hospital Ownership]]</f>
        <v>Government - Local</v>
      </c>
      <c r="E4323" t="str" cm="1">
        <f t="array" ref="E4323">_xlfn.IFNA(_xlfn.XLOOKUP(1,([1]!hcahps[Facility ID] = clean[[#This Row],[Facility ID]]) * ([1]!hcahps[HCAHPS Measure ID] = "H_HSP_RATING_LINEAR_SCORE"), [1]!hcahps[HCAHPS Linear Mean Value]), "No Match")</f>
        <v>Not Available</v>
      </c>
      <c r="F4323" t="str" cm="1">
        <f t="array" ref="F4323">_xlfn.IFNA(_xlfn.XLOOKUP(1,([1]!readmissions[Facility ID] = clean[[#This Row],[Facility ID]]) * ([1]!readmissions[Measure ID] = "Hybrid_HWR"), [1]!readmissions[Score]), "No Match")</f>
        <v>Not Available</v>
      </c>
    </row>
    <row r="4324" spans="1:6" x14ac:dyDescent="0.2">
      <c r="A4324">
        <f>[1]!hospitalinfo[[#This Row],[Facility ID]]</f>
        <v>431319</v>
      </c>
      <c r="B4324" t="str">
        <f>[1]!hospitalinfo[[#This Row],[State]]</f>
        <v>SD</v>
      </c>
      <c r="C4324" t="str">
        <f>[1]!hospitalinfo[[#This Row],[Hospital Type]]</f>
        <v>Critical Access Hospitals</v>
      </c>
      <c r="D4324" t="str">
        <f>[1]!hospitalinfo[[#This Row],[Hospital Ownership]]</f>
        <v>Voluntary non-profit - Private</v>
      </c>
      <c r="E4324" t="str" cm="1">
        <f t="array" ref="E4324">_xlfn.IFNA(_xlfn.XLOOKUP(1,([1]!hcahps[Facility ID] = clean[[#This Row],[Facility ID]]) * ([1]!hcahps[HCAHPS Measure ID] = "H_HSP_RATING_LINEAR_SCORE"), [1]!hcahps[HCAHPS Linear Mean Value]), "No Match")</f>
        <v>Not Available</v>
      </c>
      <c r="F4324" cm="1">
        <f t="array" ref="F4324">_xlfn.IFNA(_xlfn.XLOOKUP(1,([1]!readmissions[Facility ID] = clean[[#This Row],[Facility ID]]) * ([1]!readmissions[Measure ID] = "Hybrid_HWR"), [1]!readmissions[Score]), "No Match")</f>
        <v>15.6</v>
      </c>
    </row>
    <row r="4325" spans="1:6" x14ac:dyDescent="0.2">
      <c r="A4325">
        <f>[1]!hospitalinfo[[#This Row],[Facility ID]]</f>
        <v>431320</v>
      </c>
      <c r="B4325" t="str">
        <f>[1]!hospitalinfo[[#This Row],[State]]</f>
        <v>SD</v>
      </c>
      <c r="C4325" t="str">
        <f>[1]!hospitalinfo[[#This Row],[Hospital Type]]</f>
        <v>Critical Access Hospitals</v>
      </c>
      <c r="D4325" t="str">
        <f>[1]!hospitalinfo[[#This Row],[Hospital Ownership]]</f>
        <v>Voluntary non-profit - Private</v>
      </c>
      <c r="E4325" t="str" cm="1">
        <f t="array" ref="E4325">_xlfn.IFNA(_xlfn.XLOOKUP(1,([1]!hcahps[Facility ID] = clean[[#This Row],[Facility ID]]) * ([1]!hcahps[HCAHPS Measure ID] = "H_HSP_RATING_LINEAR_SCORE"), [1]!hcahps[HCAHPS Linear Mean Value]), "No Match")</f>
        <v>Not Available</v>
      </c>
      <c r="F4325" cm="1">
        <f t="array" ref="F4325">_xlfn.IFNA(_xlfn.XLOOKUP(1,([1]!readmissions[Facility ID] = clean[[#This Row],[Facility ID]]) * ([1]!readmissions[Measure ID] = "Hybrid_HWR"), [1]!readmissions[Score]), "No Match")</f>
        <v>14.5</v>
      </c>
    </row>
    <row r="4326" spans="1:6" x14ac:dyDescent="0.2">
      <c r="A4326">
        <f>[1]!hospitalinfo[[#This Row],[Facility ID]]</f>
        <v>431321</v>
      </c>
      <c r="B4326" t="str">
        <f>[1]!hospitalinfo[[#This Row],[State]]</f>
        <v>SD</v>
      </c>
      <c r="C4326" t="str">
        <f>[1]!hospitalinfo[[#This Row],[Hospital Type]]</f>
        <v>Critical Access Hospitals</v>
      </c>
      <c r="D4326" t="str">
        <f>[1]!hospitalinfo[[#This Row],[Hospital Ownership]]</f>
        <v>Voluntary non-profit - Other</v>
      </c>
      <c r="E4326" t="str" cm="1">
        <f t="array" ref="E4326">_xlfn.IFNA(_xlfn.XLOOKUP(1,([1]!hcahps[Facility ID] = clean[[#This Row],[Facility ID]]) * ([1]!hcahps[HCAHPS Measure ID] = "H_HSP_RATING_LINEAR_SCORE"), [1]!hcahps[HCAHPS Linear Mean Value]), "No Match")</f>
        <v>Not Available</v>
      </c>
      <c r="F4326" cm="1">
        <f t="array" ref="F4326">_xlfn.IFNA(_xlfn.XLOOKUP(1,([1]!readmissions[Facility ID] = clean[[#This Row],[Facility ID]]) * ([1]!readmissions[Measure ID] = "Hybrid_HWR"), [1]!readmissions[Score]), "No Match")</f>
        <v>14.6</v>
      </c>
    </row>
    <row r="4327" spans="1:6" x14ac:dyDescent="0.2">
      <c r="A4327">
        <f>[1]!hospitalinfo[[#This Row],[Facility ID]]</f>
        <v>431322</v>
      </c>
      <c r="B4327" t="str">
        <f>[1]!hospitalinfo[[#This Row],[State]]</f>
        <v>SD</v>
      </c>
      <c r="C4327" t="str">
        <f>[1]!hospitalinfo[[#This Row],[Hospital Type]]</f>
        <v>Critical Access Hospitals</v>
      </c>
      <c r="D4327" t="str">
        <f>[1]!hospitalinfo[[#This Row],[Hospital Ownership]]</f>
        <v>Government - Local</v>
      </c>
      <c r="E4327" t="str" cm="1">
        <f t="array" ref="E4327">_xlfn.IFNA(_xlfn.XLOOKUP(1,([1]!hcahps[Facility ID] = clean[[#This Row],[Facility ID]]) * ([1]!hcahps[HCAHPS Measure ID] = "H_HSP_RATING_LINEAR_SCORE"), [1]!hcahps[HCAHPS Linear Mean Value]), "No Match")</f>
        <v>Not Available</v>
      </c>
      <c r="F4327" cm="1">
        <f t="array" ref="F4327">_xlfn.IFNA(_xlfn.XLOOKUP(1,([1]!readmissions[Facility ID] = clean[[#This Row],[Facility ID]]) * ([1]!readmissions[Measure ID] = "Hybrid_HWR"), [1]!readmissions[Score]), "No Match")</f>
        <v>14.8</v>
      </c>
    </row>
    <row r="4328" spans="1:6" x14ac:dyDescent="0.2">
      <c r="A4328">
        <f>[1]!hospitalinfo[[#This Row],[Facility ID]]</f>
        <v>431323</v>
      </c>
      <c r="B4328" t="str">
        <f>[1]!hospitalinfo[[#This Row],[State]]</f>
        <v>SD</v>
      </c>
      <c r="C4328" t="str">
        <f>[1]!hospitalinfo[[#This Row],[Hospital Type]]</f>
        <v>Critical Access Hospitals</v>
      </c>
      <c r="D4328" t="str">
        <f>[1]!hospitalinfo[[#This Row],[Hospital Ownership]]</f>
        <v>Voluntary non-profit - Private</v>
      </c>
      <c r="E4328" t="str" cm="1">
        <f t="array" ref="E4328">_xlfn.IFNA(_xlfn.XLOOKUP(1,([1]!hcahps[Facility ID] = clean[[#This Row],[Facility ID]]) * ([1]!hcahps[HCAHPS Measure ID] = "H_HSP_RATING_LINEAR_SCORE"), [1]!hcahps[HCAHPS Linear Mean Value]), "No Match")</f>
        <v>Not Available</v>
      </c>
      <c r="F4328" cm="1">
        <f t="array" ref="F4328">_xlfn.IFNA(_xlfn.XLOOKUP(1,([1]!readmissions[Facility ID] = clean[[#This Row],[Facility ID]]) * ([1]!readmissions[Measure ID] = "Hybrid_HWR"), [1]!readmissions[Score]), "No Match")</f>
        <v>15.7</v>
      </c>
    </row>
    <row r="4329" spans="1:6" x14ac:dyDescent="0.2">
      <c r="A4329">
        <f>[1]!hospitalinfo[[#This Row],[Facility ID]]</f>
        <v>431324</v>
      </c>
      <c r="B4329" t="str">
        <f>[1]!hospitalinfo[[#This Row],[State]]</f>
        <v>SD</v>
      </c>
      <c r="C4329" t="str">
        <f>[1]!hospitalinfo[[#This Row],[Hospital Type]]</f>
        <v>Critical Access Hospitals</v>
      </c>
      <c r="D4329" t="str">
        <f>[1]!hospitalinfo[[#This Row],[Hospital Ownership]]</f>
        <v>Voluntary non-profit - Private</v>
      </c>
      <c r="E4329" t="str" cm="1">
        <f t="array" ref="E4329">_xlfn.IFNA(_xlfn.XLOOKUP(1,([1]!hcahps[Facility ID] = clean[[#This Row],[Facility ID]]) * ([1]!hcahps[HCAHPS Measure ID] = "H_HSP_RATING_LINEAR_SCORE"), [1]!hcahps[HCAHPS Linear Mean Value]), "No Match")</f>
        <v>Not Available</v>
      </c>
      <c r="F4329" cm="1">
        <f t="array" ref="F4329">_xlfn.IFNA(_xlfn.XLOOKUP(1,([1]!readmissions[Facility ID] = clean[[#This Row],[Facility ID]]) * ([1]!readmissions[Measure ID] = "Hybrid_HWR"), [1]!readmissions[Score]), "No Match")</f>
        <v>14.8</v>
      </c>
    </row>
    <row r="4330" spans="1:6" x14ac:dyDescent="0.2">
      <c r="A4330">
        <f>[1]!hospitalinfo[[#This Row],[Facility ID]]</f>
        <v>431325</v>
      </c>
      <c r="B4330" t="str">
        <f>[1]!hospitalinfo[[#This Row],[State]]</f>
        <v>SD</v>
      </c>
      <c r="C4330" t="str">
        <f>[1]!hospitalinfo[[#This Row],[Hospital Type]]</f>
        <v>Critical Access Hospitals</v>
      </c>
      <c r="D4330" t="str">
        <f>[1]!hospitalinfo[[#This Row],[Hospital Ownership]]</f>
        <v>Voluntary non-profit - Private</v>
      </c>
      <c r="E4330" t="str" cm="1">
        <f t="array" ref="E4330">_xlfn.IFNA(_xlfn.XLOOKUP(1,([1]!hcahps[Facility ID] = clean[[#This Row],[Facility ID]]) * ([1]!hcahps[HCAHPS Measure ID] = "H_HSP_RATING_LINEAR_SCORE"), [1]!hcahps[HCAHPS Linear Mean Value]), "No Match")</f>
        <v>Not Available</v>
      </c>
      <c r="F4330" cm="1">
        <f t="array" ref="F4330">_xlfn.IFNA(_xlfn.XLOOKUP(1,([1]!readmissions[Facility ID] = clean[[#This Row],[Facility ID]]) * ([1]!readmissions[Measure ID] = "Hybrid_HWR"), [1]!readmissions[Score]), "No Match")</f>
        <v>14.9</v>
      </c>
    </row>
    <row r="4331" spans="1:6" x14ac:dyDescent="0.2">
      <c r="A4331">
        <f>[1]!hospitalinfo[[#This Row],[Facility ID]]</f>
        <v>431326</v>
      </c>
      <c r="B4331" t="str">
        <f>[1]!hospitalinfo[[#This Row],[State]]</f>
        <v>SD</v>
      </c>
      <c r="C4331" t="str">
        <f>[1]!hospitalinfo[[#This Row],[Hospital Type]]</f>
        <v>Critical Access Hospitals</v>
      </c>
      <c r="D4331" t="str">
        <f>[1]!hospitalinfo[[#This Row],[Hospital Ownership]]</f>
        <v>Voluntary non-profit - Private</v>
      </c>
      <c r="E4331" t="str" cm="1">
        <f t="array" ref="E4331">_xlfn.IFNA(_xlfn.XLOOKUP(1,([1]!hcahps[Facility ID] = clean[[#This Row],[Facility ID]]) * ([1]!hcahps[HCAHPS Measure ID] = "H_HSP_RATING_LINEAR_SCORE"), [1]!hcahps[HCAHPS Linear Mean Value]), "No Match")</f>
        <v>Not Available</v>
      </c>
      <c r="F4331" cm="1">
        <f t="array" ref="F4331">_xlfn.IFNA(_xlfn.XLOOKUP(1,([1]!readmissions[Facility ID] = clean[[#This Row],[Facility ID]]) * ([1]!readmissions[Measure ID] = "Hybrid_HWR"), [1]!readmissions[Score]), "No Match")</f>
        <v>14.8</v>
      </c>
    </row>
    <row r="4332" spans="1:6" x14ac:dyDescent="0.2">
      <c r="A4332">
        <f>[1]!hospitalinfo[[#This Row],[Facility ID]]</f>
        <v>431327</v>
      </c>
      <c r="B4332" t="str">
        <f>[1]!hospitalinfo[[#This Row],[State]]</f>
        <v>SD</v>
      </c>
      <c r="C4332" t="str">
        <f>[1]!hospitalinfo[[#This Row],[Hospital Type]]</f>
        <v>Critical Access Hospitals</v>
      </c>
      <c r="D4332" t="str">
        <f>[1]!hospitalinfo[[#This Row],[Hospital Ownership]]</f>
        <v>Government - Local</v>
      </c>
      <c r="E4332" t="str" cm="1">
        <f t="array" ref="E4332">_xlfn.IFNA(_xlfn.XLOOKUP(1,([1]!hcahps[Facility ID] = clean[[#This Row],[Facility ID]]) * ([1]!hcahps[HCAHPS Measure ID] = "H_HSP_RATING_LINEAR_SCORE"), [1]!hcahps[HCAHPS Linear Mean Value]), "No Match")</f>
        <v>Not Available</v>
      </c>
      <c r="F4332" cm="1">
        <f t="array" ref="F4332">_xlfn.IFNA(_xlfn.XLOOKUP(1,([1]!readmissions[Facility ID] = clean[[#This Row],[Facility ID]]) * ([1]!readmissions[Measure ID] = "Hybrid_HWR"), [1]!readmissions[Score]), "No Match")</f>
        <v>14.9</v>
      </c>
    </row>
    <row r="4333" spans="1:6" x14ac:dyDescent="0.2">
      <c r="A4333">
        <f>[1]!hospitalinfo[[#This Row],[Facility ID]]</f>
        <v>431328</v>
      </c>
      <c r="B4333" t="str">
        <f>[1]!hospitalinfo[[#This Row],[State]]</f>
        <v>SD</v>
      </c>
      <c r="C4333" t="str">
        <f>[1]!hospitalinfo[[#This Row],[Hospital Type]]</f>
        <v>Critical Access Hospitals</v>
      </c>
      <c r="D4333" t="str">
        <f>[1]!hospitalinfo[[#This Row],[Hospital Ownership]]</f>
        <v>Voluntary non-profit - Private</v>
      </c>
      <c r="E4333" t="str" cm="1">
        <f t="array" ref="E4333">_xlfn.IFNA(_xlfn.XLOOKUP(1,([1]!hcahps[Facility ID] = clean[[#This Row],[Facility ID]]) * ([1]!hcahps[HCAHPS Measure ID] = "H_HSP_RATING_LINEAR_SCORE"), [1]!hcahps[HCAHPS Linear Mean Value]), "No Match")</f>
        <v>Not Available</v>
      </c>
      <c r="F4333" t="str" cm="1">
        <f t="array" ref="F4333">_xlfn.IFNA(_xlfn.XLOOKUP(1,([1]!readmissions[Facility ID] = clean[[#This Row],[Facility ID]]) * ([1]!readmissions[Measure ID] = "Hybrid_HWR"), [1]!readmissions[Score]), "No Match")</f>
        <v>Not Available</v>
      </c>
    </row>
    <row r="4334" spans="1:6" x14ac:dyDescent="0.2">
      <c r="A4334">
        <f>[1]!hospitalinfo[[#This Row],[Facility ID]]</f>
        <v>431329</v>
      </c>
      <c r="B4334" t="str">
        <f>[1]!hospitalinfo[[#This Row],[State]]</f>
        <v>SD</v>
      </c>
      <c r="C4334" t="str">
        <f>[1]!hospitalinfo[[#This Row],[Hospital Type]]</f>
        <v>Critical Access Hospitals</v>
      </c>
      <c r="D4334" t="str">
        <f>[1]!hospitalinfo[[#This Row],[Hospital Ownership]]</f>
        <v>Voluntary non-profit - Private</v>
      </c>
      <c r="E4334" t="str" cm="1">
        <f t="array" ref="E4334">_xlfn.IFNA(_xlfn.XLOOKUP(1,([1]!hcahps[Facility ID] = clean[[#This Row],[Facility ID]]) * ([1]!hcahps[HCAHPS Measure ID] = "H_HSP_RATING_LINEAR_SCORE"), [1]!hcahps[HCAHPS Linear Mean Value]), "No Match")</f>
        <v>Not Available</v>
      </c>
      <c r="F4334" cm="1">
        <f t="array" ref="F4334">_xlfn.IFNA(_xlfn.XLOOKUP(1,([1]!readmissions[Facility ID] = clean[[#This Row],[Facility ID]]) * ([1]!readmissions[Measure ID] = "Hybrid_HWR"), [1]!readmissions[Score]), "No Match")</f>
        <v>15.6</v>
      </c>
    </row>
    <row r="4335" spans="1:6" x14ac:dyDescent="0.2">
      <c r="A4335">
        <f>[1]!hospitalinfo[[#This Row],[Facility ID]]</f>
        <v>431330</v>
      </c>
      <c r="B4335" t="str">
        <f>[1]!hospitalinfo[[#This Row],[State]]</f>
        <v>SD</v>
      </c>
      <c r="C4335" t="str">
        <f>[1]!hospitalinfo[[#This Row],[Hospital Type]]</f>
        <v>Critical Access Hospitals</v>
      </c>
      <c r="D4335" t="str">
        <f>[1]!hospitalinfo[[#This Row],[Hospital Ownership]]</f>
        <v>Voluntary non-profit - Private</v>
      </c>
      <c r="E4335" t="str" cm="1">
        <f t="array" ref="E4335">_xlfn.IFNA(_xlfn.XLOOKUP(1,([1]!hcahps[Facility ID] = clean[[#This Row],[Facility ID]]) * ([1]!hcahps[HCAHPS Measure ID] = "H_HSP_RATING_LINEAR_SCORE"), [1]!hcahps[HCAHPS Linear Mean Value]), "No Match")</f>
        <v>Not Available</v>
      </c>
      <c r="F4335" cm="1">
        <f t="array" ref="F4335">_xlfn.IFNA(_xlfn.XLOOKUP(1,([1]!readmissions[Facility ID] = clean[[#This Row],[Facility ID]]) * ([1]!readmissions[Measure ID] = "Hybrid_HWR"), [1]!readmissions[Score]), "No Match")</f>
        <v>14.2</v>
      </c>
    </row>
    <row r="4336" spans="1:6" x14ac:dyDescent="0.2">
      <c r="A4336">
        <f>[1]!hospitalinfo[[#This Row],[Facility ID]]</f>
        <v>431331</v>
      </c>
      <c r="B4336" t="str">
        <f>[1]!hospitalinfo[[#This Row],[State]]</f>
        <v>SD</v>
      </c>
      <c r="C4336" t="str">
        <f>[1]!hospitalinfo[[#This Row],[Hospital Type]]</f>
        <v>Critical Access Hospitals</v>
      </c>
      <c r="D4336" t="str">
        <f>[1]!hospitalinfo[[#This Row],[Hospital Ownership]]</f>
        <v>Voluntary non-profit - Private</v>
      </c>
      <c r="E4336" t="str" cm="1">
        <f t="array" ref="E4336">_xlfn.IFNA(_xlfn.XLOOKUP(1,([1]!hcahps[Facility ID] = clean[[#This Row],[Facility ID]]) * ([1]!hcahps[HCAHPS Measure ID] = "H_HSP_RATING_LINEAR_SCORE"), [1]!hcahps[HCAHPS Linear Mean Value]), "No Match")</f>
        <v>Not Available</v>
      </c>
      <c r="F4336" cm="1">
        <f t="array" ref="F4336">_xlfn.IFNA(_xlfn.XLOOKUP(1,([1]!readmissions[Facility ID] = clean[[#This Row],[Facility ID]]) * ([1]!readmissions[Measure ID] = "Hybrid_HWR"), [1]!readmissions[Score]), "No Match")</f>
        <v>15.1</v>
      </c>
    </row>
    <row r="4337" spans="1:6" x14ac:dyDescent="0.2">
      <c r="A4337">
        <f>[1]!hospitalinfo[[#This Row],[Facility ID]]</f>
        <v>431332</v>
      </c>
      <c r="B4337" t="str">
        <f>[1]!hospitalinfo[[#This Row],[State]]</f>
        <v>SD</v>
      </c>
      <c r="C4337" t="str">
        <f>[1]!hospitalinfo[[#This Row],[Hospital Type]]</f>
        <v>Critical Access Hospitals</v>
      </c>
      <c r="D4337" t="str">
        <f>[1]!hospitalinfo[[#This Row],[Hospital Ownership]]</f>
        <v>Voluntary non-profit - Private</v>
      </c>
      <c r="E4337" t="str" cm="1">
        <f t="array" ref="E4337">_xlfn.IFNA(_xlfn.XLOOKUP(1,([1]!hcahps[Facility ID] = clean[[#This Row],[Facility ID]]) * ([1]!hcahps[HCAHPS Measure ID] = "H_HSP_RATING_LINEAR_SCORE"), [1]!hcahps[HCAHPS Linear Mean Value]), "No Match")</f>
        <v>Not Available</v>
      </c>
      <c r="F4337" t="str" cm="1">
        <f t="array" ref="F4337">_xlfn.IFNA(_xlfn.XLOOKUP(1,([1]!readmissions[Facility ID] = clean[[#This Row],[Facility ID]]) * ([1]!readmissions[Measure ID] = "Hybrid_HWR"), [1]!readmissions[Score]), "No Match")</f>
        <v>Not Available</v>
      </c>
    </row>
    <row r="4338" spans="1:6" x14ac:dyDescent="0.2">
      <c r="A4338">
        <f>[1]!hospitalinfo[[#This Row],[Facility ID]]</f>
        <v>431333</v>
      </c>
      <c r="B4338" t="str">
        <f>[1]!hospitalinfo[[#This Row],[State]]</f>
        <v>SD</v>
      </c>
      <c r="C4338" t="str">
        <f>[1]!hospitalinfo[[#This Row],[Hospital Type]]</f>
        <v>Critical Access Hospitals</v>
      </c>
      <c r="D4338" t="str">
        <f>[1]!hospitalinfo[[#This Row],[Hospital Ownership]]</f>
        <v>Voluntary non-profit - Private</v>
      </c>
      <c r="E4338" t="str" cm="1">
        <f t="array" ref="E4338">_xlfn.IFNA(_xlfn.XLOOKUP(1,([1]!hcahps[Facility ID] = clean[[#This Row],[Facility ID]]) * ([1]!hcahps[HCAHPS Measure ID] = "H_HSP_RATING_LINEAR_SCORE"), [1]!hcahps[HCAHPS Linear Mean Value]), "No Match")</f>
        <v>Not Available</v>
      </c>
      <c r="F4338" t="str" cm="1">
        <f t="array" ref="F4338">_xlfn.IFNA(_xlfn.XLOOKUP(1,([1]!readmissions[Facility ID] = clean[[#This Row],[Facility ID]]) * ([1]!readmissions[Measure ID] = "Hybrid_HWR"), [1]!readmissions[Score]), "No Match")</f>
        <v>Not Available</v>
      </c>
    </row>
    <row r="4339" spans="1:6" x14ac:dyDescent="0.2">
      <c r="A4339">
        <f>[1]!hospitalinfo[[#This Row],[Facility ID]]</f>
        <v>431334</v>
      </c>
      <c r="B4339" t="str">
        <f>[1]!hospitalinfo[[#This Row],[State]]</f>
        <v>SD</v>
      </c>
      <c r="C4339" t="str">
        <f>[1]!hospitalinfo[[#This Row],[Hospital Type]]</f>
        <v>Critical Access Hospitals</v>
      </c>
      <c r="D4339" t="str">
        <f>[1]!hospitalinfo[[#This Row],[Hospital Ownership]]</f>
        <v>Voluntary non-profit - Private</v>
      </c>
      <c r="E4339" t="str" cm="1">
        <f t="array" ref="E4339">_xlfn.IFNA(_xlfn.XLOOKUP(1,([1]!hcahps[Facility ID] = clean[[#This Row],[Facility ID]]) * ([1]!hcahps[HCAHPS Measure ID] = "H_HSP_RATING_LINEAR_SCORE"), [1]!hcahps[HCAHPS Linear Mean Value]), "No Match")</f>
        <v>Not Available</v>
      </c>
      <c r="F4339" cm="1">
        <f t="array" ref="F4339">_xlfn.IFNA(_xlfn.XLOOKUP(1,([1]!readmissions[Facility ID] = clean[[#This Row],[Facility ID]]) * ([1]!readmissions[Measure ID] = "Hybrid_HWR"), [1]!readmissions[Score]), "No Match")</f>
        <v>15.1</v>
      </c>
    </row>
    <row r="4340" spans="1:6" x14ac:dyDescent="0.2">
      <c r="A4340">
        <f>[1]!hospitalinfo[[#This Row],[Facility ID]]</f>
        <v>431335</v>
      </c>
      <c r="B4340" t="str">
        <f>[1]!hospitalinfo[[#This Row],[State]]</f>
        <v>SD</v>
      </c>
      <c r="C4340" t="str">
        <f>[1]!hospitalinfo[[#This Row],[Hospital Type]]</f>
        <v>Critical Access Hospitals</v>
      </c>
      <c r="D4340" t="str">
        <f>[1]!hospitalinfo[[#This Row],[Hospital Ownership]]</f>
        <v>Voluntary non-profit - Private</v>
      </c>
      <c r="E4340" cm="1">
        <f t="array" ref="E4340">_xlfn.IFNA(_xlfn.XLOOKUP(1,([1]!hcahps[Facility ID] = clean[[#This Row],[Facility ID]]) * ([1]!hcahps[HCAHPS Measure ID] = "H_HSP_RATING_LINEAR_SCORE"), [1]!hcahps[HCAHPS Linear Mean Value]), "No Match")</f>
        <v>86</v>
      </c>
      <c r="F4340" cm="1">
        <f t="array" ref="F4340">_xlfn.IFNA(_xlfn.XLOOKUP(1,([1]!readmissions[Facility ID] = clean[[#This Row],[Facility ID]]) * ([1]!readmissions[Measure ID] = "Hybrid_HWR"), [1]!readmissions[Score]), "No Match")</f>
        <v>14.8</v>
      </c>
    </row>
    <row r="4341" spans="1:6" x14ac:dyDescent="0.2">
      <c r="A4341">
        <f>[1]!hospitalinfo[[#This Row],[Facility ID]]</f>
        <v>431336</v>
      </c>
      <c r="B4341" t="str">
        <f>[1]!hospitalinfo[[#This Row],[State]]</f>
        <v>SD</v>
      </c>
      <c r="C4341" t="str">
        <f>[1]!hospitalinfo[[#This Row],[Hospital Type]]</f>
        <v>Critical Access Hospitals</v>
      </c>
      <c r="D4341" t="str">
        <f>[1]!hospitalinfo[[#This Row],[Hospital Ownership]]</f>
        <v>Voluntary non-profit - Private</v>
      </c>
      <c r="E4341" t="str" cm="1">
        <f t="array" ref="E4341">_xlfn.IFNA(_xlfn.XLOOKUP(1,([1]!hcahps[Facility ID] = clean[[#This Row],[Facility ID]]) * ([1]!hcahps[HCAHPS Measure ID] = "H_HSP_RATING_LINEAR_SCORE"), [1]!hcahps[HCAHPS Linear Mean Value]), "No Match")</f>
        <v>Not Available</v>
      </c>
      <c r="F4341" cm="1">
        <f t="array" ref="F4341">_xlfn.IFNA(_xlfn.XLOOKUP(1,([1]!readmissions[Facility ID] = clean[[#This Row],[Facility ID]]) * ([1]!readmissions[Measure ID] = "Hybrid_HWR"), [1]!readmissions[Score]), "No Match")</f>
        <v>15</v>
      </c>
    </row>
    <row r="4342" spans="1:6" x14ac:dyDescent="0.2">
      <c r="A4342">
        <f>[1]!hospitalinfo[[#This Row],[Facility ID]]</f>
        <v>431337</v>
      </c>
      <c r="B4342" t="str">
        <f>[1]!hospitalinfo[[#This Row],[State]]</f>
        <v>SD</v>
      </c>
      <c r="C4342" t="str">
        <f>[1]!hospitalinfo[[#This Row],[Hospital Type]]</f>
        <v>Critical Access Hospitals</v>
      </c>
      <c r="D4342" t="str">
        <f>[1]!hospitalinfo[[#This Row],[Hospital Ownership]]</f>
        <v>Voluntary non-profit - Private</v>
      </c>
      <c r="E4342" t="str" cm="1">
        <f t="array" ref="E4342">_xlfn.IFNA(_xlfn.XLOOKUP(1,([1]!hcahps[Facility ID] = clean[[#This Row],[Facility ID]]) * ([1]!hcahps[HCAHPS Measure ID] = "H_HSP_RATING_LINEAR_SCORE"), [1]!hcahps[HCAHPS Linear Mean Value]), "No Match")</f>
        <v>Not Available</v>
      </c>
      <c r="F4342" cm="1">
        <f t="array" ref="F4342">_xlfn.IFNA(_xlfn.XLOOKUP(1,([1]!readmissions[Facility ID] = clean[[#This Row],[Facility ID]]) * ([1]!readmissions[Measure ID] = "Hybrid_HWR"), [1]!readmissions[Score]), "No Match")</f>
        <v>14.9</v>
      </c>
    </row>
    <row r="4343" spans="1:6" x14ac:dyDescent="0.2">
      <c r="A4343">
        <f>[1]!hospitalinfo[[#This Row],[Facility ID]]</f>
        <v>431338</v>
      </c>
      <c r="B4343" t="str">
        <f>[1]!hospitalinfo[[#This Row],[State]]</f>
        <v>SD</v>
      </c>
      <c r="C4343" t="str">
        <f>[1]!hospitalinfo[[#This Row],[Hospital Type]]</f>
        <v>Critical Access Hospitals</v>
      </c>
      <c r="D4343" t="str">
        <f>[1]!hospitalinfo[[#This Row],[Hospital Ownership]]</f>
        <v>Voluntary non-profit - Private</v>
      </c>
      <c r="E4343" t="str" cm="1">
        <f t="array" ref="E4343">_xlfn.IFNA(_xlfn.XLOOKUP(1,([1]!hcahps[Facility ID] = clean[[#This Row],[Facility ID]]) * ([1]!hcahps[HCAHPS Measure ID] = "H_HSP_RATING_LINEAR_SCORE"), [1]!hcahps[HCAHPS Linear Mean Value]), "No Match")</f>
        <v>Not Available</v>
      </c>
      <c r="F4343" cm="1">
        <f t="array" ref="F4343">_xlfn.IFNA(_xlfn.XLOOKUP(1,([1]!readmissions[Facility ID] = clean[[#This Row],[Facility ID]]) * ([1]!readmissions[Measure ID] = "Hybrid_HWR"), [1]!readmissions[Score]), "No Match")</f>
        <v>14.3</v>
      </c>
    </row>
    <row r="4344" spans="1:6" x14ac:dyDescent="0.2">
      <c r="A4344">
        <f>[1]!hospitalinfo[[#This Row],[Facility ID]]</f>
        <v>431339</v>
      </c>
      <c r="B4344" t="str">
        <f>[1]!hospitalinfo[[#This Row],[State]]</f>
        <v>SD</v>
      </c>
      <c r="C4344" t="str">
        <f>[1]!hospitalinfo[[#This Row],[Hospital Type]]</f>
        <v>Critical Access Hospitals</v>
      </c>
      <c r="D4344" t="str">
        <f>[1]!hospitalinfo[[#This Row],[Hospital Ownership]]</f>
        <v>Voluntary non-profit - Private</v>
      </c>
      <c r="E4344" t="str" cm="1">
        <f t="array" ref="E4344">_xlfn.IFNA(_xlfn.XLOOKUP(1,([1]!hcahps[Facility ID] = clean[[#This Row],[Facility ID]]) * ([1]!hcahps[HCAHPS Measure ID] = "H_HSP_RATING_LINEAR_SCORE"), [1]!hcahps[HCAHPS Linear Mean Value]), "No Match")</f>
        <v>Not Available</v>
      </c>
      <c r="F4344" cm="1">
        <f t="array" ref="F4344">_xlfn.IFNA(_xlfn.XLOOKUP(1,([1]!readmissions[Facility ID] = clean[[#This Row],[Facility ID]]) * ([1]!readmissions[Measure ID] = "Hybrid_HWR"), [1]!readmissions[Score]), "No Match")</f>
        <v>14.7</v>
      </c>
    </row>
    <row r="4345" spans="1:6" x14ac:dyDescent="0.2">
      <c r="A4345">
        <f>[1]!hospitalinfo[[#This Row],[Facility ID]]</f>
        <v>431340</v>
      </c>
      <c r="B4345" t="str">
        <f>[1]!hospitalinfo[[#This Row],[State]]</f>
        <v>SD</v>
      </c>
      <c r="C4345" t="str">
        <f>[1]!hospitalinfo[[#This Row],[Hospital Type]]</f>
        <v>Critical Access Hospitals</v>
      </c>
      <c r="D4345" t="str">
        <f>[1]!hospitalinfo[[#This Row],[Hospital Ownership]]</f>
        <v>Voluntary non-profit - Private</v>
      </c>
      <c r="E4345" cm="1">
        <f t="array" ref="E4345">_xlfn.IFNA(_xlfn.XLOOKUP(1,([1]!hcahps[Facility ID] = clean[[#This Row],[Facility ID]]) * ([1]!hcahps[HCAHPS Measure ID] = "H_HSP_RATING_LINEAR_SCORE"), [1]!hcahps[HCAHPS Linear Mean Value]), "No Match")</f>
        <v>87</v>
      </c>
      <c r="F4345" cm="1">
        <f t="array" ref="F4345">_xlfn.IFNA(_xlfn.XLOOKUP(1,([1]!readmissions[Facility ID] = clean[[#This Row],[Facility ID]]) * ([1]!readmissions[Measure ID] = "Hybrid_HWR"), [1]!readmissions[Score]), "No Match")</f>
        <v>14.4</v>
      </c>
    </row>
    <row r="4346" spans="1:6" x14ac:dyDescent="0.2">
      <c r="A4346">
        <f>[1]!hospitalinfo[[#This Row],[Facility ID]]</f>
        <v>431383</v>
      </c>
      <c r="B4346" t="str">
        <f>[1]!hospitalinfo[[#This Row],[State]]</f>
        <v>SD</v>
      </c>
      <c r="C4346" t="str">
        <f>[1]!hospitalinfo[[#This Row],[Hospital Type]]</f>
        <v>Critical Access Hospitals</v>
      </c>
      <c r="D4346" t="str">
        <f>[1]!hospitalinfo[[#This Row],[Hospital Ownership]]</f>
        <v>Government - Federal</v>
      </c>
      <c r="E4346" t="str" cm="1">
        <f t="array" ref="E4346">_xlfn.IFNA(_xlfn.XLOOKUP(1,([1]!hcahps[Facility ID] = clean[[#This Row],[Facility ID]]) * ([1]!hcahps[HCAHPS Measure ID] = "H_HSP_RATING_LINEAR_SCORE"), [1]!hcahps[HCAHPS Linear Mean Value]), "No Match")</f>
        <v>Not Available</v>
      </c>
      <c r="F4346" t="str" cm="1">
        <f t="array" ref="F4346">_xlfn.IFNA(_xlfn.XLOOKUP(1,([1]!readmissions[Facility ID] = clean[[#This Row],[Facility ID]]) * ([1]!readmissions[Measure ID] = "Hybrid_HWR"), [1]!readmissions[Score]), "No Match")</f>
        <v>Not Available</v>
      </c>
    </row>
    <row r="4347" spans="1:6" x14ac:dyDescent="0.2">
      <c r="A4347">
        <f>[1]!hospitalinfo[[#This Row],[Facility ID]]</f>
        <v>433300</v>
      </c>
      <c r="B4347" t="str">
        <f>[1]!hospitalinfo[[#This Row],[State]]</f>
        <v>SD</v>
      </c>
      <c r="C4347" t="str">
        <f>[1]!hospitalinfo[[#This Row],[Hospital Type]]</f>
        <v>Childrens</v>
      </c>
      <c r="D4347" t="str">
        <f>[1]!hospitalinfo[[#This Row],[Hospital Ownership]]</f>
        <v>Voluntary non-profit - Private</v>
      </c>
      <c r="E4347" t="str" cm="1">
        <f t="array" ref="E4347">_xlfn.IFNA(_xlfn.XLOOKUP(1,([1]!hcahps[Facility ID] = clean[[#This Row],[Facility ID]]) * ([1]!hcahps[HCAHPS Measure ID] = "H_HSP_RATING_LINEAR_SCORE"), [1]!hcahps[HCAHPS Linear Mean Value]), "No Match")</f>
        <v>Not Available</v>
      </c>
      <c r="F4347" t="str" cm="1">
        <f t="array" ref="F4347">_xlfn.IFNA(_xlfn.XLOOKUP(1,([1]!readmissions[Facility ID] = clean[[#This Row],[Facility ID]]) * ([1]!readmissions[Measure ID] = "Hybrid_HWR"), [1]!readmissions[Score]), "No Match")</f>
        <v>Not Available</v>
      </c>
    </row>
    <row r="4348" spans="1:6" x14ac:dyDescent="0.2">
      <c r="A4348">
        <f>[1]!hospitalinfo[[#This Row],[Facility ID]]</f>
        <v>434003</v>
      </c>
      <c r="B4348" t="str">
        <f>[1]!hospitalinfo[[#This Row],[State]]</f>
        <v>SD</v>
      </c>
      <c r="C4348" t="str">
        <f>[1]!hospitalinfo[[#This Row],[Hospital Type]]</f>
        <v>Psychiatric</v>
      </c>
      <c r="D4348" t="str">
        <f>[1]!hospitalinfo[[#This Row],[Hospital Ownership]]</f>
        <v>Government - State</v>
      </c>
      <c r="E4348" t="str" cm="1">
        <f t="array" ref="E4348">_xlfn.IFNA(_xlfn.XLOOKUP(1,([1]!hcahps[Facility ID] = clean[[#This Row],[Facility ID]]) * ([1]!hcahps[HCAHPS Measure ID] = "H_HSP_RATING_LINEAR_SCORE"), [1]!hcahps[HCAHPS Linear Mean Value]), "No Match")</f>
        <v>No Match</v>
      </c>
      <c r="F4348" t="str" cm="1">
        <f t="array" ref="F4348">_xlfn.IFNA(_xlfn.XLOOKUP(1,([1]!readmissions[Facility ID] = clean[[#This Row],[Facility ID]]) * ([1]!readmissions[Measure ID] = "Hybrid_HWR"), [1]!readmissions[Score]), "No Match")</f>
        <v>No Match</v>
      </c>
    </row>
    <row r="4349" spans="1:6" x14ac:dyDescent="0.2">
      <c r="A4349" t="str">
        <f>[1]!hospitalinfo[[#This Row],[Facility ID]]</f>
        <v>43002F</v>
      </c>
      <c r="B4349" t="str">
        <f>[1]!hospitalinfo[[#This Row],[State]]</f>
        <v>SD</v>
      </c>
      <c r="C4349" t="str">
        <f>[1]!hospitalinfo[[#This Row],[Hospital Type]]</f>
        <v>Acute Care - Veterans Administration</v>
      </c>
      <c r="D4349" t="str">
        <f>[1]!hospitalinfo[[#This Row],[Hospital Ownership]]</f>
        <v>Veterans Health Administration</v>
      </c>
      <c r="E4349" cm="1">
        <f t="array" ref="E4349">_xlfn.IFNA(_xlfn.XLOOKUP(1,([1]!hcahps[Facility ID] = clean[[#This Row],[Facility ID]]) * ([1]!hcahps[HCAHPS Measure ID] = "H_HSP_RATING_LINEAR_SCORE"), [1]!hcahps[HCAHPS Linear Mean Value]), "No Match")</f>
        <v>94</v>
      </c>
      <c r="F4349" cm="1">
        <f t="array" ref="F4349">_xlfn.IFNA(_xlfn.XLOOKUP(1,([1]!readmissions[Facility ID] = clean[[#This Row],[Facility ID]]) * ([1]!readmissions[Measure ID] = "Hybrid_HWR"), [1]!readmissions[Score]), "No Match")</f>
        <v>14.2</v>
      </c>
    </row>
    <row r="4350" spans="1:6" x14ac:dyDescent="0.2">
      <c r="A4350" t="str">
        <f>[1]!hospitalinfo[[#This Row],[Facility ID]]</f>
        <v>43005F</v>
      </c>
      <c r="B4350" t="str">
        <f>[1]!hospitalinfo[[#This Row],[State]]</f>
        <v>SD</v>
      </c>
      <c r="C4350" t="str">
        <f>[1]!hospitalinfo[[#This Row],[Hospital Type]]</f>
        <v>Acute Care - Veterans Administration</v>
      </c>
      <c r="D4350" t="str">
        <f>[1]!hospitalinfo[[#This Row],[Hospital Ownership]]</f>
        <v>Veterans Health Administration</v>
      </c>
      <c r="E4350" cm="1">
        <f t="array" ref="E4350">_xlfn.IFNA(_xlfn.XLOOKUP(1,([1]!hcahps[Facility ID] = clean[[#This Row],[Facility ID]]) * ([1]!hcahps[HCAHPS Measure ID] = "H_HSP_RATING_LINEAR_SCORE"), [1]!hcahps[HCAHPS Linear Mean Value]), "No Match")</f>
        <v>94</v>
      </c>
      <c r="F4350" cm="1">
        <f t="array" ref="F4350">_xlfn.IFNA(_xlfn.XLOOKUP(1,([1]!readmissions[Facility ID] = clean[[#This Row],[Facility ID]]) * ([1]!readmissions[Measure ID] = "Hybrid_HWR"), [1]!readmissions[Score]), "No Match")</f>
        <v>13.6</v>
      </c>
    </row>
    <row r="4351" spans="1:6" x14ac:dyDescent="0.2">
      <c r="A4351">
        <f>[1]!hospitalinfo[[#This Row],[Facility ID]]</f>
        <v>440002</v>
      </c>
      <c r="B4351" t="str">
        <f>[1]!hospitalinfo[[#This Row],[State]]</f>
        <v>TN</v>
      </c>
      <c r="C4351" t="str">
        <f>[1]!hospitalinfo[[#This Row],[Hospital Type]]</f>
        <v>Acute Care Hospitals</v>
      </c>
      <c r="D4351" t="str">
        <f>[1]!hospitalinfo[[#This Row],[Hospital Ownership]]</f>
        <v>Government - Hospital District or Authority</v>
      </c>
      <c r="E4351" cm="1">
        <f t="array" ref="E4351">_xlfn.IFNA(_xlfn.XLOOKUP(1,([1]!hcahps[Facility ID] = clean[[#This Row],[Facility ID]]) * ([1]!hcahps[HCAHPS Measure ID] = "H_HSP_RATING_LINEAR_SCORE"), [1]!hcahps[HCAHPS Linear Mean Value]), "No Match")</f>
        <v>88</v>
      </c>
      <c r="F4351" cm="1">
        <f t="array" ref="F4351">_xlfn.IFNA(_xlfn.XLOOKUP(1,([1]!readmissions[Facility ID] = clean[[#This Row],[Facility ID]]) * ([1]!readmissions[Measure ID] = "Hybrid_HWR"), [1]!readmissions[Score]), "No Match")</f>
        <v>14.4</v>
      </c>
    </row>
    <row r="4352" spans="1:6" x14ac:dyDescent="0.2">
      <c r="A4352">
        <f>[1]!hospitalinfo[[#This Row],[Facility ID]]</f>
        <v>440003</v>
      </c>
      <c r="B4352" t="str">
        <f>[1]!hospitalinfo[[#This Row],[State]]</f>
        <v>TN</v>
      </c>
      <c r="C4352" t="str">
        <f>[1]!hospitalinfo[[#This Row],[Hospital Type]]</f>
        <v>Acute Care Hospitals</v>
      </c>
      <c r="D4352" t="str">
        <f>[1]!hospitalinfo[[#This Row],[Hospital Ownership]]</f>
        <v>Proprietary</v>
      </c>
      <c r="E4352" cm="1">
        <f t="array" ref="E4352">_xlfn.IFNA(_xlfn.XLOOKUP(1,([1]!hcahps[Facility ID] = clean[[#This Row],[Facility ID]]) * ([1]!hcahps[HCAHPS Measure ID] = "H_HSP_RATING_LINEAR_SCORE"), [1]!hcahps[HCAHPS Linear Mean Value]), "No Match")</f>
        <v>84</v>
      </c>
      <c r="F4352" cm="1">
        <f t="array" ref="F4352">_xlfn.IFNA(_xlfn.XLOOKUP(1,([1]!readmissions[Facility ID] = clean[[#This Row],[Facility ID]]) * ([1]!readmissions[Measure ID] = "Hybrid_HWR"), [1]!readmissions[Score]), "No Match")</f>
        <v>15.9</v>
      </c>
    </row>
    <row r="4353" spans="1:6" x14ac:dyDescent="0.2">
      <c r="A4353">
        <f>[1]!hospitalinfo[[#This Row],[Facility ID]]</f>
        <v>440006</v>
      </c>
      <c r="B4353" t="str">
        <f>[1]!hospitalinfo[[#This Row],[State]]</f>
        <v>TN</v>
      </c>
      <c r="C4353" t="str">
        <f>[1]!hospitalinfo[[#This Row],[Hospital Type]]</f>
        <v>Acute Care Hospitals</v>
      </c>
      <c r="D4353" t="str">
        <f>[1]!hospitalinfo[[#This Row],[Hospital Ownership]]</f>
        <v>Voluntary non-profit - Private</v>
      </c>
      <c r="E4353" cm="1">
        <f t="array" ref="E4353">_xlfn.IFNA(_xlfn.XLOOKUP(1,([1]!hcahps[Facility ID] = clean[[#This Row],[Facility ID]]) * ([1]!hcahps[HCAHPS Measure ID] = "H_HSP_RATING_LINEAR_SCORE"), [1]!hcahps[HCAHPS Linear Mean Value]), "No Match")</f>
        <v>86</v>
      </c>
      <c r="F4353" cm="1">
        <f t="array" ref="F4353">_xlfn.IFNA(_xlfn.XLOOKUP(1,([1]!readmissions[Facility ID] = clean[[#This Row],[Facility ID]]) * ([1]!readmissions[Measure ID] = "Hybrid_HWR"), [1]!readmissions[Score]), "No Match")</f>
        <v>14.1</v>
      </c>
    </row>
    <row r="4354" spans="1:6" x14ac:dyDescent="0.2">
      <c r="A4354">
        <f>[1]!hospitalinfo[[#This Row],[Facility ID]]</f>
        <v>440007</v>
      </c>
      <c r="B4354" t="str">
        <f>[1]!hospitalinfo[[#This Row],[State]]</f>
        <v>TN</v>
      </c>
      <c r="C4354" t="str">
        <f>[1]!hospitalinfo[[#This Row],[Hospital Type]]</f>
        <v>Acute Care Hospitals</v>
      </c>
      <c r="D4354" t="str">
        <f>[1]!hospitalinfo[[#This Row],[Hospital Ownership]]</f>
        <v>Voluntary non-profit - Private</v>
      </c>
      <c r="E4354" cm="1">
        <f t="array" ref="E4354">_xlfn.IFNA(_xlfn.XLOOKUP(1,([1]!hcahps[Facility ID] = clean[[#This Row],[Facility ID]]) * ([1]!hcahps[HCAHPS Measure ID] = "H_HSP_RATING_LINEAR_SCORE"), [1]!hcahps[HCAHPS Linear Mean Value]), "No Match")</f>
        <v>97</v>
      </c>
      <c r="F4354" cm="1">
        <f t="array" ref="F4354">_xlfn.IFNA(_xlfn.XLOOKUP(1,([1]!readmissions[Facility ID] = clean[[#This Row],[Facility ID]]) * ([1]!readmissions[Measure ID] = "Hybrid_HWR"), [1]!readmissions[Score]), "No Match")</f>
        <v>14.8</v>
      </c>
    </row>
    <row r="4355" spans="1:6" x14ac:dyDescent="0.2">
      <c r="A4355">
        <f>[1]!hospitalinfo[[#This Row],[Facility ID]]</f>
        <v>440008</v>
      </c>
      <c r="B4355" t="str">
        <f>[1]!hospitalinfo[[#This Row],[State]]</f>
        <v>TN</v>
      </c>
      <c r="C4355" t="str">
        <f>[1]!hospitalinfo[[#This Row],[Hospital Type]]</f>
        <v>Acute Care Hospitals</v>
      </c>
      <c r="D4355" t="str">
        <f>[1]!hospitalinfo[[#This Row],[Hospital Ownership]]</f>
        <v>Proprietary</v>
      </c>
      <c r="E4355" cm="1">
        <f t="array" ref="E4355">_xlfn.IFNA(_xlfn.XLOOKUP(1,([1]!hcahps[Facility ID] = clean[[#This Row],[Facility ID]]) * ([1]!hcahps[HCAHPS Measure ID] = "H_HSP_RATING_LINEAR_SCORE"), [1]!hcahps[HCAHPS Linear Mean Value]), "No Match")</f>
        <v>91</v>
      </c>
      <c r="F4355" cm="1">
        <f t="array" ref="F4355">_xlfn.IFNA(_xlfn.XLOOKUP(1,([1]!readmissions[Facility ID] = clean[[#This Row],[Facility ID]]) * ([1]!readmissions[Measure ID] = "Hybrid_HWR"), [1]!readmissions[Score]), "No Match")</f>
        <v>15</v>
      </c>
    </row>
    <row r="4356" spans="1:6" x14ac:dyDescent="0.2">
      <c r="A4356">
        <f>[1]!hospitalinfo[[#This Row],[Facility ID]]</f>
        <v>440009</v>
      </c>
      <c r="B4356" t="str">
        <f>[1]!hospitalinfo[[#This Row],[State]]</f>
        <v>TN</v>
      </c>
      <c r="C4356" t="str">
        <f>[1]!hospitalinfo[[#This Row],[Hospital Type]]</f>
        <v>Acute Care Hospitals</v>
      </c>
      <c r="D4356" t="str">
        <f>[1]!hospitalinfo[[#This Row],[Hospital Ownership]]</f>
        <v>Voluntary non-profit - Private</v>
      </c>
      <c r="E4356" cm="1">
        <f t="array" ref="E4356">_xlfn.IFNA(_xlfn.XLOOKUP(1,([1]!hcahps[Facility ID] = clean[[#This Row],[Facility ID]]) * ([1]!hcahps[HCAHPS Measure ID] = "H_HSP_RATING_LINEAR_SCORE"), [1]!hcahps[HCAHPS Linear Mean Value]), "No Match")</f>
        <v>87</v>
      </c>
      <c r="F4356" cm="1">
        <f t="array" ref="F4356">_xlfn.IFNA(_xlfn.XLOOKUP(1,([1]!readmissions[Facility ID] = clean[[#This Row],[Facility ID]]) * ([1]!readmissions[Measure ID] = "Hybrid_HWR"), [1]!readmissions[Score]), "No Match")</f>
        <v>15.1</v>
      </c>
    </row>
    <row r="4357" spans="1:6" x14ac:dyDescent="0.2">
      <c r="A4357">
        <f>[1]!hospitalinfo[[#This Row],[Facility ID]]</f>
        <v>440011</v>
      </c>
      <c r="B4357" t="str">
        <f>[1]!hospitalinfo[[#This Row],[State]]</f>
        <v>TN</v>
      </c>
      <c r="C4357" t="str">
        <f>[1]!hospitalinfo[[#This Row],[Hospital Type]]</f>
        <v>Acute Care Hospitals</v>
      </c>
      <c r="D4357" t="str">
        <f>[1]!hospitalinfo[[#This Row],[Hospital Ownership]]</f>
        <v>Government - Local</v>
      </c>
      <c r="E4357" cm="1">
        <f t="array" ref="E4357">_xlfn.IFNA(_xlfn.XLOOKUP(1,([1]!hcahps[Facility ID] = clean[[#This Row],[Facility ID]]) * ([1]!hcahps[HCAHPS Measure ID] = "H_HSP_RATING_LINEAR_SCORE"), [1]!hcahps[HCAHPS Linear Mean Value]), "No Match")</f>
        <v>87</v>
      </c>
      <c r="F4357" cm="1">
        <f t="array" ref="F4357">_xlfn.IFNA(_xlfn.XLOOKUP(1,([1]!readmissions[Facility ID] = clean[[#This Row],[Facility ID]]) * ([1]!readmissions[Measure ID] = "Hybrid_HWR"), [1]!readmissions[Score]), "No Match")</f>
        <v>14.8</v>
      </c>
    </row>
    <row r="4358" spans="1:6" x14ac:dyDescent="0.2">
      <c r="A4358">
        <f>[1]!hospitalinfo[[#This Row],[Facility ID]]</f>
        <v>440012</v>
      </c>
      <c r="B4358" t="str">
        <f>[1]!hospitalinfo[[#This Row],[State]]</f>
        <v>TN</v>
      </c>
      <c r="C4358" t="str">
        <f>[1]!hospitalinfo[[#This Row],[Hospital Type]]</f>
        <v>Acute Care Hospitals</v>
      </c>
      <c r="D4358" t="str">
        <f>[1]!hospitalinfo[[#This Row],[Hospital Ownership]]</f>
        <v>Government - Hospital District or Authority</v>
      </c>
      <c r="E4358" cm="1">
        <f t="array" ref="E4358">_xlfn.IFNA(_xlfn.XLOOKUP(1,([1]!hcahps[Facility ID] = clean[[#This Row],[Facility ID]]) * ([1]!hcahps[HCAHPS Measure ID] = "H_HSP_RATING_LINEAR_SCORE"), [1]!hcahps[HCAHPS Linear Mean Value]), "No Match")</f>
        <v>84</v>
      </c>
      <c r="F4358" cm="1">
        <f t="array" ref="F4358">_xlfn.IFNA(_xlfn.XLOOKUP(1,([1]!readmissions[Facility ID] = clean[[#This Row],[Facility ID]]) * ([1]!readmissions[Measure ID] = "Hybrid_HWR"), [1]!readmissions[Score]), "No Match")</f>
        <v>15.8</v>
      </c>
    </row>
    <row r="4359" spans="1:6" x14ac:dyDescent="0.2">
      <c r="A4359">
        <f>[1]!hospitalinfo[[#This Row],[Facility ID]]</f>
        <v>440015</v>
      </c>
      <c r="B4359" t="str">
        <f>[1]!hospitalinfo[[#This Row],[State]]</f>
        <v>TN</v>
      </c>
      <c r="C4359" t="str">
        <f>[1]!hospitalinfo[[#This Row],[Hospital Type]]</f>
        <v>Acute Care Hospitals</v>
      </c>
      <c r="D4359" t="str">
        <f>[1]!hospitalinfo[[#This Row],[Hospital Ownership]]</f>
        <v>Voluntary non-profit - Private</v>
      </c>
      <c r="E4359" cm="1">
        <f t="array" ref="E4359">_xlfn.IFNA(_xlfn.XLOOKUP(1,([1]!hcahps[Facility ID] = clean[[#This Row],[Facility ID]]) * ([1]!hcahps[HCAHPS Measure ID] = "H_HSP_RATING_LINEAR_SCORE"), [1]!hcahps[HCAHPS Linear Mean Value]), "No Match")</f>
        <v>89</v>
      </c>
      <c r="F4359" cm="1">
        <f t="array" ref="F4359">_xlfn.IFNA(_xlfn.XLOOKUP(1,([1]!readmissions[Facility ID] = clean[[#This Row],[Facility ID]]) * ([1]!readmissions[Measure ID] = "Hybrid_HWR"), [1]!readmissions[Score]), "No Match")</f>
        <v>14.9</v>
      </c>
    </row>
    <row r="4360" spans="1:6" x14ac:dyDescent="0.2">
      <c r="A4360">
        <f>[1]!hospitalinfo[[#This Row],[Facility ID]]</f>
        <v>440016</v>
      </c>
      <c r="B4360" t="str">
        <f>[1]!hospitalinfo[[#This Row],[State]]</f>
        <v>TN</v>
      </c>
      <c r="C4360" t="str">
        <f>[1]!hospitalinfo[[#This Row],[Hospital Type]]</f>
        <v>Acute Care Hospitals</v>
      </c>
      <c r="D4360" t="str">
        <f>[1]!hospitalinfo[[#This Row],[Hospital Ownership]]</f>
        <v>Voluntary non-profit - Private</v>
      </c>
      <c r="E4360" cm="1">
        <f t="array" ref="E4360">_xlfn.IFNA(_xlfn.XLOOKUP(1,([1]!hcahps[Facility ID] = clean[[#This Row],[Facility ID]]) * ([1]!hcahps[HCAHPS Measure ID] = "H_HSP_RATING_LINEAR_SCORE"), [1]!hcahps[HCAHPS Linear Mean Value]), "No Match")</f>
        <v>91</v>
      </c>
      <c r="F4360" cm="1">
        <f t="array" ref="F4360">_xlfn.IFNA(_xlfn.XLOOKUP(1,([1]!readmissions[Facility ID] = clean[[#This Row],[Facility ID]]) * ([1]!readmissions[Measure ID] = "Hybrid_HWR"), [1]!readmissions[Score]), "No Match")</f>
        <v>15.1</v>
      </c>
    </row>
    <row r="4361" spans="1:6" x14ac:dyDescent="0.2">
      <c r="A4361">
        <f>[1]!hospitalinfo[[#This Row],[Facility ID]]</f>
        <v>440017</v>
      </c>
      <c r="B4361" t="str">
        <f>[1]!hospitalinfo[[#This Row],[State]]</f>
        <v>TN</v>
      </c>
      <c r="C4361" t="str">
        <f>[1]!hospitalinfo[[#This Row],[Hospital Type]]</f>
        <v>Acute Care Hospitals</v>
      </c>
      <c r="D4361" t="str">
        <f>[1]!hospitalinfo[[#This Row],[Hospital Ownership]]</f>
        <v>Voluntary non-profit - Private</v>
      </c>
      <c r="E4361" cm="1">
        <f t="array" ref="E4361">_xlfn.IFNA(_xlfn.XLOOKUP(1,([1]!hcahps[Facility ID] = clean[[#This Row],[Facility ID]]) * ([1]!hcahps[HCAHPS Measure ID] = "H_HSP_RATING_LINEAR_SCORE"), [1]!hcahps[HCAHPS Linear Mean Value]), "No Match")</f>
        <v>84</v>
      </c>
      <c r="F4361" cm="1">
        <f t="array" ref="F4361">_xlfn.IFNA(_xlfn.XLOOKUP(1,([1]!readmissions[Facility ID] = clean[[#This Row],[Facility ID]]) * ([1]!readmissions[Measure ID] = "Hybrid_HWR"), [1]!readmissions[Score]), "No Match")</f>
        <v>14.8</v>
      </c>
    </row>
    <row r="4362" spans="1:6" x14ac:dyDescent="0.2">
      <c r="A4362">
        <f>[1]!hospitalinfo[[#This Row],[Facility ID]]</f>
        <v>440018</v>
      </c>
      <c r="B4362" t="str">
        <f>[1]!hospitalinfo[[#This Row],[State]]</f>
        <v>TN</v>
      </c>
      <c r="C4362" t="str">
        <f>[1]!hospitalinfo[[#This Row],[Hospital Type]]</f>
        <v>Acute Care Hospitals</v>
      </c>
      <c r="D4362" t="str">
        <f>[1]!hospitalinfo[[#This Row],[Hospital Ownership]]</f>
        <v>Voluntary non-profit - Private</v>
      </c>
      <c r="E4362" cm="1">
        <f t="array" ref="E4362">_xlfn.IFNA(_xlfn.XLOOKUP(1,([1]!hcahps[Facility ID] = clean[[#This Row],[Facility ID]]) * ([1]!hcahps[HCAHPS Measure ID] = "H_HSP_RATING_LINEAR_SCORE"), [1]!hcahps[HCAHPS Linear Mean Value]), "No Match")</f>
        <v>88</v>
      </c>
      <c r="F4362" cm="1">
        <f t="array" ref="F4362">_xlfn.IFNA(_xlfn.XLOOKUP(1,([1]!readmissions[Facility ID] = clean[[#This Row],[Facility ID]]) * ([1]!readmissions[Measure ID] = "Hybrid_HWR"), [1]!readmissions[Score]), "No Match")</f>
        <v>15</v>
      </c>
    </row>
    <row r="4363" spans="1:6" x14ac:dyDescent="0.2">
      <c r="A4363">
        <f>[1]!hospitalinfo[[#This Row],[Facility ID]]</f>
        <v>440020</v>
      </c>
      <c r="B4363" t="str">
        <f>[1]!hospitalinfo[[#This Row],[State]]</f>
        <v>TN</v>
      </c>
      <c r="C4363" t="str">
        <f>[1]!hospitalinfo[[#This Row],[Hospital Type]]</f>
        <v>Acute Care Hospitals</v>
      </c>
      <c r="D4363" t="str">
        <f>[1]!hospitalinfo[[#This Row],[Hospital Ownership]]</f>
        <v>Proprietary</v>
      </c>
      <c r="E4363" cm="1">
        <f t="array" ref="E4363">_xlfn.IFNA(_xlfn.XLOOKUP(1,([1]!hcahps[Facility ID] = clean[[#This Row],[Facility ID]]) * ([1]!hcahps[HCAHPS Measure ID] = "H_HSP_RATING_LINEAR_SCORE"), [1]!hcahps[HCAHPS Linear Mean Value]), "No Match")</f>
        <v>81</v>
      </c>
      <c r="F4363" cm="1">
        <f t="array" ref="F4363">_xlfn.IFNA(_xlfn.XLOOKUP(1,([1]!readmissions[Facility ID] = clean[[#This Row],[Facility ID]]) * ([1]!readmissions[Measure ID] = "Hybrid_HWR"), [1]!readmissions[Score]), "No Match")</f>
        <v>14.5</v>
      </c>
    </row>
    <row r="4364" spans="1:6" x14ac:dyDescent="0.2">
      <c r="A4364">
        <f>[1]!hospitalinfo[[#This Row],[Facility ID]]</f>
        <v>440029</v>
      </c>
      <c r="B4364" t="str">
        <f>[1]!hospitalinfo[[#This Row],[State]]</f>
        <v>TN</v>
      </c>
      <c r="C4364" t="str">
        <f>[1]!hospitalinfo[[#This Row],[Hospital Type]]</f>
        <v>Acute Care Hospitals</v>
      </c>
      <c r="D4364" t="str">
        <f>[1]!hospitalinfo[[#This Row],[Hospital Ownership]]</f>
        <v>Government - Hospital District or Authority</v>
      </c>
      <c r="E4364" cm="1">
        <f t="array" ref="E4364">_xlfn.IFNA(_xlfn.XLOOKUP(1,([1]!hcahps[Facility ID] = clean[[#This Row],[Facility ID]]) * ([1]!hcahps[HCAHPS Measure ID] = "H_HSP_RATING_LINEAR_SCORE"), [1]!hcahps[HCAHPS Linear Mean Value]), "No Match")</f>
        <v>90</v>
      </c>
      <c r="F4364" cm="1">
        <f t="array" ref="F4364">_xlfn.IFNA(_xlfn.XLOOKUP(1,([1]!readmissions[Facility ID] = clean[[#This Row],[Facility ID]]) * ([1]!readmissions[Measure ID] = "Hybrid_HWR"), [1]!readmissions[Score]), "No Match")</f>
        <v>14.6</v>
      </c>
    </row>
    <row r="4365" spans="1:6" x14ac:dyDescent="0.2">
      <c r="A4365">
        <f>[1]!hospitalinfo[[#This Row],[Facility ID]]</f>
        <v>440030</v>
      </c>
      <c r="B4365" t="str">
        <f>[1]!hospitalinfo[[#This Row],[State]]</f>
        <v>TN</v>
      </c>
      <c r="C4365" t="str">
        <f>[1]!hospitalinfo[[#This Row],[Hospital Type]]</f>
        <v>Acute Care Hospitals</v>
      </c>
      <c r="D4365" t="str">
        <f>[1]!hospitalinfo[[#This Row],[Hospital Ownership]]</f>
        <v>Government - Local</v>
      </c>
      <c r="E4365" cm="1">
        <f t="array" ref="E4365">_xlfn.IFNA(_xlfn.XLOOKUP(1,([1]!hcahps[Facility ID] = clean[[#This Row],[Facility ID]]) * ([1]!hcahps[HCAHPS Measure ID] = "H_HSP_RATING_LINEAR_SCORE"), [1]!hcahps[HCAHPS Linear Mean Value]), "No Match")</f>
        <v>85</v>
      </c>
      <c r="F4365" cm="1">
        <f t="array" ref="F4365">_xlfn.IFNA(_xlfn.XLOOKUP(1,([1]!readmissions[Facility ID] = clean[[#This Row],[Facility ID]]) * ([1]!readmissions[Measure ID] = "Hybrid_HWR"), [1]!readmissions[Score]), "No Match")</f>
        <v>15.7</v>
      </c>
    </row>
    <row r="4366" spans="1:6" x14ac:dyDescent="0.2">
      <c r="A4366">
        <f>[1]!hospitalinfo[[#This Row],[Facility ID]]</f>
        <v>440031</v>
      </c>
      <c r="B4366" t="str">
        <f>[1]!hospitalinfo[[#This Row],[State]]</f>
        <v>TN</v>
      </c>
      <c r="C4366" t="str">
        <f>[1]!hospitalinfo[[#This Row],[Hospital Type]]</f>
        <v>Acute Care Hospitals</v>
      </c>
      <c r="D4366" t="str">
        <f>[1]!hospitalinfo[[#This Row],[Hospital Ownership]]</f>
        <v>Government - Hospital District or Authority</v>
      </c>
      <c r="E4366" cm="1">
        <f t="array" ref="E4366">_xlfn.IFNA(_xlfn.XLOOKUP(1,([1]!hcahps[Facility ID] = clean[[#This Row],[Facility ID]]) * ([1]!hcahps[HCAHPS Measure ID] = "H_HSP_RATING_LINEAR_SCORE"), [1]!hcahps[HCAHPS Linear Mean Value]), "No Match")</f>
        <v>91</v>
      </c>
      <c r="F4366" cm="1">
        <f t="array" ref="F4366">_xlfn.IFNA(_xlfn.XLOOKUP(1,([1]!readmissions[Facility ID] = clean[[#This Row],[Facility ID]]) * ([1]!readmissions[Measure ID] = "Hybrid_HWR"), [1]!readmissions[Score]), "No Match")</f>
        <v>15.5</v>
      </c>
    </row>
    <row r="4367" spans="1:6" x14ac:dyDescent="0.2">
      <c r="A4367">
        <f>[1]!hospitalinfo[[#This Row],[Facility ID]]</f>
        <v>440032</v>
      </c>
      <c r="B4367" t="str">
        <f>[1]!hospitalinfo[[#This Row],[State]]</f>
        <v>TN</v>
      </c>
      <c r="C4367" t="str">
        <f>[1]!hospitalinfo[[#This Row],[Hospital Type]]</f>
        <v>Acute Care Hospitals</v>
      </c>
      <c r="D4367" t="str">
        <f>[1]!hospitalinfo[[#This Row],[Hospital Ownership]]</f>
        <v>Voluntary non-profit - Private</v>
      </c>
      <c r="E4367" t="str" cm="1">
        <f t="array" ref="E4367">_xlfn.IFNA(_xlfn.XLOOKUP(1,([1]!hcahps[Facility ID] = clean[[#This Row],[Facility ID]]) * ([1]!hcahps[HCAHPS Measure ID] = "H_HSP_RATING_LINEAR_SCORE"), [1]!hcahps[HCAHPS Linear Mean Value]), "No Match")</f>
        <v>Not Available</v>
      </c>
      <c r="F4367" cm="1">
        <f t="array" ref="F4367">_xlfn.IFNA(_xlfn.XLOOKUP(1,([1]!readmissions[Facility ID] = clean[[#This Row],[Facility ID]]) * ([1]!readmissions[Measure ID] = "Hybrid_HWR"), [1]!readmissions[Score]), "No Match")</f>
        <v>14.9</v>
      </c>
    </row>
    <row r="4368" spans="1:6" x14ac:dyDescent="0.2">
      <c r="A4368">
        <f>[1]!hospitalinfo[[#This Row],[Facility ID]]</f>
        <v>440033</v>
      </c>
      <c r="B4368" t="str">
        <f>[1]!hospitalinfo[[#This Row],[State]]</f>
        <v>TN</v>
      </c>
      <c r="C4368" t="str">
        <f>[1]!hospitalinfo[[#This Row],[Hospital Type]]</f>
        <v>Acute Care Hospitals</v>
      </c>
      <c r="D4368" t="str">
        <f>[1]!hospitalinfo[[#This Row],[Hospital Ownership]]</f>
        <v>Voluntary non-profit - Church</v>
      </c>
      <c r="E4368" cm="1">
        <f t="array" ref="E4368">_xlfn.IFNA(_xlfn.XLOOKUP(1,([1]!hcahps[Facility ID] = clean[[#This Row],[Facility ID]]) * ([1]!hcahps[HCAHPS Measure ID] = "H_HSP_RATING_LINEAR_SCORE"), [1]!hcahps[HCAHPS Linear Mean Value]), "No Match")</f>
        <v>83</v>
      </c>
      <c r="F4368" cm="1">
        <f t="array" ref="F4368">_xlfn.IFNA(_xlfn.XLOOKUP(1,([1]!readmissions[Facility ID] = clean[[#This Row],[Facility ID]]) * ([1]!readmissions[Measure ID] = "Hybrid_HWR"), [1]!readmissions[Score]), "No Match")</f>
        <v>14.4</v>
      </c>
    </row>
    <row r="4369" spans="1:6" x14ac:dyDescent="0.2">
      <c r="A4369">
        <f>[1]!hospitalinfo[[#This Row],[Facility ID]]</f>
        <v>440034</v>
      </c>
      <c r="B4369" t="str">
        <f>[1]!hospitalinfo[[#This Row],[State]]</f>
        <v>TN</v>
      </c>
      <c r="C4369" t="str">
        <f>[1]!hospitalinfo[[#This Row],[Hospital Type]]</f>
        <v>Acute Care Hospitals</v>
      </c>
      <c r="D4369" t="str">
        <f>[1]!hospitalinfo[[#This Row],[Hospital Ownership]]</f>
        <v>Voluntary non-profit - Private</v>
      </c>
      <c r="E4369" cm="1">
        <f t="array" ref="E4369">_xlfn.IFNA(_xlfn.XLOOKUP(1,([1]!hcahps[Facility ID] = clean[[#This Row],[Facility ID]]) * ([1]!hcahps[HCAHPS Measure ID] = "H_HSP_RATING_LINEAR_SCORE"), [1]!hcahps[HCAHPS Linear Mean Value]), "No Match")</f>
        <v>88</v>
      </c>
      <c r="F4369" cm="1">
        <f t="array" ref="F4369">_xlfn.IFNA(_xlfn.XLOOKUP(1,([1]!readmissions[Facility ID] = clean[[#This Row],[Facility ID]]) * ([1]!readmissions[Measure ID] = "Hybrid_HWR"), [1]!readmissions[Score]), "No Match")</f>
        <v>15</v>
      </c>
    </row>
    <row r="4370" spans="1:6" x14ac:dyDescent="0.2">
      <c r="A4370">
        <f>[1]!hospitalinfo[[#This Row],[Facility ID]]</f>
        <v>440035</v>
      </c>
      <c r="B4370" t="str">
        <f>[1]!hospitalinfo[[#This Row],[State]]</f>
        <v>TN</v>
      </c>
      <c r="C4370" t="str">
        <f>[1]!hospitalinfo[[#This Row],[Hospital Type]]</f>
        <v>Acute Care Hospitals</v>
      </c>
      <c r="D4370" t="str">
        <f>[1]!hospitalinfo[[#This Row],[Hospital Ownership]]</f>
        <v>Proprietary</v>
      </c>
      <c r="E4370" cm="1">
        <f t="array" ref="E4370">_xlfn.IFNA(_xlfn.XLOOKUP(1,([1]!hcahps[Facility ID] = clean[[#This Row],[Facility ID]]) * ([1]!hcahps[HCAHPS Measure ID] = "H_HSP_RATING_LINEAR_SCORE"), [1]!hcahps[HCAHPS Linear Mean Value]), "No Match")</f>
        <v>78</v>
      </c>
      <c r="F4370" cm="1">
        <f t="array" ref="F4370">_xlfn.IFNA(_xlfn.XLOOKUP(1,([1]!readmissions[Facility ID] = clean[[#This Row],[Facility ID]]) * ([1]!readmissions[Measure ID] = "Hybrid_HWR"), [1]!readmissions[Score]), "No Match")</f>
        <v>16.3</v>
      </c>
    </row>
    <row r="4371" spans="1:6" x14ac:dyDescent="0.2">
      <c r="A4371">
        <f>[1]!hospitalinfo[[#This Row],[Facility ID]]</f>
        <v>440039</v>
      </c>
      <c r="B4371" t="str">
        <f>[1]!hospitalinfo[[#This Row],[State]]</f>
        <v>TN</v>
      </c>
      <c r="C4371" t="str">
        <f>[1]!hospitalinfo[[#This Row],[Hospital Type]]</f>
        <v>Acute Care Hospitals</v>
      </c>
      <c r="D4371" t="str">
        <f>[1]!hospitalinfo[[#This Row],[Hospital Ownership]]</f>
        <v>Voluntary non-profit - Private</v>
      </c>
      <c r="E4371" cm="1">
        <f t="array" ref="E4371">_xlfn.IFNA(_xlfn.XLOOKUP(1,([1]!hcahps[Facility ID] = clean[[#This Row],[Facility ID]]) * ([1]!hcahps[HCAHPS Measure ID] = "H_HSP_RATING_LINEAR_SCORE"), [1]!hcahps[HCAHPS Linear Mean Value]), "No Match")</f>
        <v>90</v>
      </c>
      <c r="F4371" cm="1">
        <f t="array" ref="F4371">_xlfn.IFNA(_xlfn.XLOOKUP(1,([1]!readmissions[Facility ID] = clean[[#This Row],[Facility ID]]) * ([1]!readmissions[Measure ID] = "Hybrid_HWR"), [1]!readmissions[Score]), "No Match")</f>
        <v>14.6</v>
      </c>
    </row>
    <row r="4372" spans="1:6" x14ac:dyDescent="0.2">
      <c r="A4372">
        <f>[1]!hospitalinfo[[#This Row],[Facility ID]]</f>
        <v>440046</v>
      </c>
      <c r="B4372" t="str">
        <f>[1]!hospitalinfo[[#This Row],[State]]</f>
        <v>TN</v>
      </c>
      <c r="C4372" t="str">
        <f>[1]!hospitalinfo[[#This Row],[Hospital Type]]</f>
        <v>Acute Care Hospitals</v>
      </c>
      <c r="D4372" t="str">
        <f>[1]!hospitalinfo[[#This Row],[Hospital Ownership]]</f>
        <v>Proprietary</v>
      </c>
      <c r="E4372" cm="1">
        <f t="array" ref="E4372">_xlfn.IFNA(_xlfn.XLOOKUP(1,([1]!hcahps[Facility ID] = clean[[#This Row],[Facility ID]]) * ([1]!hcahps[HCAHPS Measure ID] = "H_HSP_RATING_LINEAR_SCORE"), [1]!hcahps[HCAHPS Linear Mean Value]), "No Match")</f>
        <v>88</v>
      </c>
      <c r="F4372" cm="1">
        <f t="array" ref="F4372">_xlfn.IFNA(_xlfn.XLOOKUP(1,([1]!readmissions[Facility ID] = clean[[#This Row],[Facility ID]]) * ([1]!readmissions[Measure ID] = "Hybrid_HWR"), [1]!readmissions[Score]), "No Match")</f>
        <v>14.4</v>
      </c>
    </row>
    <row r="4373" spans="1:6" x14ac:dyDescent="0.2">
      <c r="A4373">
        <f>[1]!hospitalinfo[[#This Row],[Facility ID]]</f>
        <v>440048</v>
      </c>
      <c r="B4373" t="str">
        <f>[1]!hospitalinfo[[#This Row],[State]]</f>
        <v>TN</v>
      </c>
      <c r="C4373" t="str">
        <f>[1]!hospitalinfo[[#This Row],[Hospital Type]]</f>
        <v>Acute Care Hospitals</v>
      </c>
      <c r="D4373" t="str">
        <f>[1]!hospitalinfo[[#This Row],[Hospital Ownership]]</f>
        <v>Voluntary non-profit - Private</v>
      </c>
      <c r="E4373" cm="1">
        <f t="array" ref="E4373">_xlfn.IFNA(_xlfn.XLOOKUP(1,([1]!hcahps[Facility ID] = clean[[#This Row],[Facility ID]]) * ([1]!hcahps[HCAHPS Measure ID] = "H_HSP_RATING_LINEAR_SCORE"), [1]!hcahps[HCAHPS Linear Mean Value]), "No Match")</f>
        <v>86</v>
      </c>
      <c r="F4373" cm="1">
        <f t="array" ref="F4373">_xlfn.IFNA(_xlfn.XLOOKUP(1,([1]!readmissions[Facility ID] = clean[[#This Row],[Facility ID]]) * ([1]!readmissions[Measure ID] = "Hybrid_HWR"), [1]!readmissions[Score]), "No Match")</f>
        <v>15.4</v>
      </c>
    </row>
    <row r="4374" spans="1:6" x14ac:dyDescent="0.2">
      <c r="A4374">
        <f>[1]!hospitalinfo[[#This Row],[Facility ID]]</f>
        <v>440049</v>
      </c>
      <c r="B4374" t="str">
        <f>[1]!hospitalinfo[[#This Row],[State]]</f>
        <v>TN</v>
      </c>
      <c r="C4374" t="str">
        <f>[1]!hospitalinfo[[#This Row],[Hospital Type]]</f>
        <v>Acute Care Hospitals</v>
      </c>
      <c r="D4374" t="str">
        <f>[1]!hospitalinfo[[#This Row],[Hospital Ownership]]</f>
        <v>Voluntary non-profit - Church</v>
      </c>
      <c r="E4374" cm="1">
        <f t="array" ref="E4374">_xlfn.IFNA(_xlfn.XLOOKUP(1,([1]!hcahps[Facility ID] = clean[[#This Row],[Facility ID]]) * ([1]!hcahps[HCAHPS Measure ID] = "H_HSP_RATING_LINEAR_SCORE"), [1]!hcahps[HCAHPS Linear Mean Value]), "No Match")</f>
        <v>85</v>
      </c>
      <c r="F4374" cm="1">
        <f t="array" ref="F4374">_xlfn.IFNA(_xlfn.XLOOKUP(1,([1]!readmissions[Facility ID] = clean[[#This Row],[Facility ID]]) * ([1]!readmissions[Measure ID] = "Hybrid_HWR"), [1]!readmissions[Score]), "No Match")</f>
        <v>15.3</v>
      </c>
    </row>
    <row r="4375" spans="1:6" x14ac:dyDescent="0.2">
      <c r="A4375">
        <f>[1]!hospitalinfo[[#This Row],[Facility ID]]</f>
        <v>440050</v>
      </c>
      <c r="B4375" t="str">
        <f>[1]!hospitalinfo[[#This Row],[State]]</f>
        <v>TN</v>
      </c>
      <c r="C4375" t="str">
        <f>[1]!hospitalinfo[[#This Row],[Hospital Type]]</f>
        <v>Acute Care Hospitals</v>
      </c>
      <c r="D4375" t="str">
        <f>[1]!hospitalinfo[[#This Row],[Hospital Ownership]]</f>
        <v>Voluntary non-profit - Private</v>
      </c>
      <c r="E4375" cm="1">
        <f t="array" ref="E4375">_xlfn.IFNA(_xlfn.XLOOKUP(1,([1]!hcahps[Facility ID] = clean[[#This Row],[Facility ID]]) * ([1]!hcahps[HCAHPS Measure ID] = "H_HSP_RATING_LINEAR_SCORE"), [1]!hcahps[HCAHPS Linear Mean Value]), "No Match")</f>
        <v>86</v>
      </c>
      <c r="F4375" cm="1">
        <f t="array" ref="F4375">_xlfn.IFNA(_xlfn.XLOOKUP(1,([1]!readmissions[Facility ID] = clean[[#This Row],[Facility ID]]) * ([1]!readmissions[Measure ID] = "Hybrid_HWR"), [1]!readmissions[Score]), "No Match")</f>
        <v>16</v>
      </c>
    </row>
    <row r="4376" spans="1:6" x14ac:dyDescent="0.2">
      <c r="A4376">
        <f>[1]!hospitalinfo[[#This Row],[Facility ID]]</f>
        <v>440053</v>
      </c>
      <c r="B4376" t="str">
        <f>[1]!hospitalinfo[[#This Row],[State]]</f>
        <v>TN</v>
      </c>
      <c r="C4376" t="str">
        <f>[1]!hospitalinfo[[#This Row],[Hospital Type]]</f>
        <v>Acute Care Hospitals</v>
      </c>
      <c r="D4376" t="str">
        <f>[1]!hospitalinfo[[#This Row],[Hospital Ownership]]</f>
        <v>Voluntary non-profit - Church</v>
      </c>
      <c r="E4376" cm="1">
        <f t="array" ref="E4376">_xlfn.IFNA(_xlfn.XLOOKUP(1,([1]!hcahps[Facility ID] = clean[[#This Row],[Facility ID]]) * ([1]!hcahps[HCAHPS Measure ID] = "H_HSP_RATING_LINEAR_SCORE"), [1]!hcahps[HCAHPS Linear Mean Value]), "No Match")</f>
        <v>85</v>
      </c>
      <c r="F4376" cm="1">
        <f t="array" ref="F4376">_xlfn.IFNA(_xlfn.XLOOKUP(1,([1]!readmissions[Facility ID] = clean[[#This Row],[Facility ID]]) * ([1]!readmissions[Measure ID] = "Hybrid_HWR"), [1]!readmissions[Score]), "No Match")</f>
        <v>13.9</v>
      </c>
    </row>
    <row r="4377" spans="1:6" x14ac:dyDescent="0.2">
      <c r="A4377">
        <f>[1]!hospitalinfo[[#This Row],[Facility ID]]</f>
        <v>440056</v>
      </c>
      <c r="B4377" t="str">
        <f>[1]!hospitalinfo[[#This Row],[State]]</f>
        <v>TN</v>
      </c>
      <c r="C4377" t="str">
        <f>[1]!hospitalinfo[[#This Row],[Hospital Type]]</f>
        <v>Acute Care Hospitals</v>
      </c>
      <c r="D4377" t="str">
        <f>[1]!hospitalinfo[[#This Row],[Hospital Ownership]]</f>
        <v>Proprietary</v>
      </c>
      <c r="E4377" cm="1">
        <f t="array" ref="E4377">_xlfn.IFNA(_xlfn.XLOOKUP(1,([1]!hcahps[Facility ID] = clean[[#This Row],[Facility ID]]) * ([1]!hcahps[HCAHPS Measure ID] = "H_HSP_RATING_LINEAR_SCORE"), [1]!hcahps[HCAHPS Linear Mean Value]), "No Match")</f>
        <v>86</v>
      </c>
      <c r="F4377" cm="1">
        <f t="array" ref="F4377">_xlfn.IFNA(_xlfn.XLOOKUP(1,([1]!readmissions[Facility ID] = clean[[#This Row],[Facility ID]]) * ([1]!readmissions[Measure ID] = "Hybrid_HWR"), [1]!readmissions[Score]), "No Match")</f>
        <v>15.5</v>
      </c>
    </row>
    <row r="4378" spans="1:6" x14ac:dyDescent="0.2">
      <c r="A4378">
        <f>[1]!hospitalinfo[[#This Row],[Facility ID]]</f>
        <v>440057</v>
      </c>
      <c r="B4378" t="str">
        <f>[1]!hospitalinfo[[#This Row],[State]]</f>
        <v>TN</v>
      </c>
      <c r="C4378" t="str">
        <f>[1]!hospitalinfo[[#This Row],[Hospital Type]]</f>
        <v>Acute Care Hospitals</v>
      </c>
      <c r="D4378" t="str">
        <f>[1]!hospitalinfo[[#This Row],[Hospital Ownership]]</f>
        <v>Government - Local</v>
      </c>
      <c r="E4378" cm="1">
        <f t="array" ref="E4378">_xlfn.IFNA(_xlfn.XLOOKUP(1,([1]!hcahps[Facility ID] = clean[[#This Row],[Facility ID]]) * ([1]!hcahps[HCAHPS Measure ID] = "H_HSP_RATING_LINEAR_SCORE"), [1]!hcahps[HCAHPS Linear Mean Value]), "No Match")</f>
        <v>87</v>
      </c>
      <c r="F4378" cm="1">
        <f t="array" ref="F4378">_xlfn.IFNA(_xlfn.XLOOKUP(1,([1]!readmissions[Facility ID] = clean[[#This Row],[Facility ID]]) * ([1]!readmissions[Measure ID] = "Hybrid_HWR"), [1]!readmissions[Score]), "No Match")</f>
        <v>16</v>
      </c>
    </row>
    <row r="4379" spans="1:6" x14ac:dyDescent="0.2">
      <c r="A4379">
        <f>[1]!hospitalinfo[[#This Row],[Facility ID]]</f>
        <v>440058</v>
      </c>
      <c r="B4379" t="str">
        <f>[1]!hospitalinfo[[#This Row],[State]]</f>
        <v>TN</v>
      </c>
      <c r="C4379" t="str">
        <f>[1]!hospitalinfo[[#This Row],[Hospital Type]]</f>
        <v>Acute Care Hospitals</v>
      </c>
      <c r="D4379" t="str">
        <f>[1]!hospitalinfo[[#This Row],[Hospital Ownership]]</f>
        <v>Proprietary</v>
      </c>
      <c r="E4379" cm="1">
        <f t="array" ref="E4379">_xlfn.IFNA(_xlfn.XLOOKUP(1,([1]!hcahps[Facility ID] = clean[[#This Row],[Facility ID]]) * ([1]!hcahps[HCAHPS Measure ID] = "H_HSP_RATING_LINEAR_SCORE"), [1]!hcahps[HCAHPS Linear Mean Value]), "No Match")</f>
        <v>87</v>
      </c>
      <c r="F4379" cm="1">
        <f t="array" ref="F4379">_xlfn.IFNA(_xlfn.XLOOKUP(1,([1]!readmissions[Facility ID] = clean[[#This Row],[Facility ID]]) * ([1]!readmissions[Measure ID] = "Hybrid_HWR"), [1]!readmissions[Score]), "No Match")</f>
        <v>14.5</v>
      </c>
    </row>
    <row r="4380" spans="1:6" x14ac:dyDescent="0.2">
      <c r="A4380">
        <f>[1]!hospitalinfo[[#This Row],[Facility ID]]</f>
        <v>440059</v>
      </c>
      <c r="B4380" t="str">
        <f>[1]!hospitalinfo[[#This Row],[State]]</f>
        <v>TN</v>
      </c>
      <c r="C4380" t="str">
        <f>[1]!hospitalinfo[[#This Row],[Hospital Type]]</f>
        <v>Acute Care Hospitals</v>
      </c>
      <c r="D4380" t="str">
        <f>[1]!hospitalinfo[[#This Row],[Hospital Ownership]]</f>
        <v>Government - Local</v>
      </c>
      <c r="E4380" cm="1">
        <f t="array" ref="E4380">_xlfn.IFNA(_xlfn.XLOOKUP(1,([1]!hcahps[Facility ID] = clean[[#This Row],[Facility ID]]) * ([1]!hcahps[HCAHPS Measure ID] = "H_HSP_RATING_LINEAR_SCORE"), [1]!hcahps[HCAHPS Linear Mean Value]), "No Match")</f>
        <v>88</v>
      </c>
      <c r="F4380" cm="1">
        <f t="array" ref="F4380">_xlfn.IFNA(_xlfn.XLOOKUP(1,([1]!readmissions[Facility ID] = clean[[#This Row],[Facility ID]]) * ([1]!readmissions[Measure ID] = "Hybrid_HWR"), [1]!readmissions[Score]), "No Match")</f>
        <v>15.7</v>
      </c>
    </row>
    <row r="4381" spans="1:6" x14ac:dyDescent="0.2">
      <c r="A4381">
        <f>[1]!hospitalinfo[[#This Row],[Facility ID]]</f>
        <v>440060</v>
      </c>
      <c r="B4381" t="str">
        <f>[1]!hospitalinfo[[#This Row],[State]]</f>
        <v>TN</v>
      </c>
      <c r="C4381" t="str">
        <f>[1]!hospitalinfo[[#This Row],[Hospital Type]]</f>
        <v>Acute Care Hospitals</v>
      </c>
      <c r="D4381" t="str">
        <f>[1]!hospitalinfo[[#This Row],[Hospital Ownership]]</f>
        <v>Government - Local</v>
      </c>
      <c r="E4381" cm="1">
        <f t="array" ref="E4381">_xlfn.IFNA(_xlfn.XLOOKUP(1,([1]!hcahps[Facility ID] = clean[[#This Row],[Facility ID]]) * ([1]!hcahps[HCAHPS Measure ID] = "H_HSP_RATING_LINEAR_SCORE"), [1]!hcahps[HCAHPS Linear Mean Value]), "No Match")</f>
        <v>94</v>
      </c>
      <c r="F4381" cm="1">
        <f t="array" ref="F4381">_xlfn.IFNA(_xlfn.XLOOKUP(1,([1]!readmissions[Facility ID] = clean[[#This Row],[Facility ID]]) * ([1]!readmissions[Measure ID] = "Hybrid_HWR"), [1]!readmissions[Score]), "No Match")</f>
        <v>14.3</v>
      </c>
    </row>
    <row r="4382" spans="1:6" x14ac:dyDescent="0.2">
      <c r="A4382">
        <f>[1]!hospitalinfo[[#This Row],[Facility ID]]</f>
        <v>440061</v>
      </c>
      <c r="B4382" t="str">
        <f>[1]!hospitalinfo[[#This Row],[State]]</f>
        <v>TN</v>
      </c>
      <c r="C4382" t="str">
        <f>[1]!hospitalinfo[[#This Row],[Hospital Type]]</f>
        <v>Acute Care Hospitals</v>
      </c>
      <c r="D4382" t="str">
        <f>[1]!hospitalinfo[[#This Row],[Hospital Ownership]]</f>
        <v>Proprietary</v>
      </c>
      <c r="E4382" cm="1">
        <f t="array" ref="E4382">_xlfn.IFNA(_xlfn.XLOOKUP(1,([1]!hcahps[Facility ID] = clean[[#This Row],[Facility ID]]) * ([1]!hcahps[HCAHPS Measure ID] = "H_HSP_RATING_LINEAR_SCORE"), [1]!hcahps[HCAHPS Linear Mean Value]), "No Match")</f>
        <v>89</v>
      </c>
      <c r="F4382" cm="1">
        <f t="array" ref="F4382">_xlfn.IFNA(_xlfn.XLOOKUP(1,([1]!readmissions[Facility ID] = clean[[#This Row],[Facility ID]]) * ([1]!readmissions[Measure ID] = "Hybrid_HWR"), [1]!readmissions[Score]), "No Match")</f>
        <v>14.8</v>
      </c>
    </row>
    <row r="4383" spans="1:6" x14ac:dyDescent="0.2">
      <c r="A4383">
        <f>[1]!hospitalinfo[[#This Row],[Facility ID]]</f>
        <v>440063</v>
      </c>
      <c r="B4383" t="str">
        <f>[1]!hospitalinfo[[#This Row],[State]]</f>
        <v>TN</v>
      </c>
      <c r="C4383" t="str">
        <f>[1]!hospitalinfo[[#This Row],[Hospital Type]]</f>
        <v>Acute Care Hospitals</v>
      </c>
      <c r="D4383" t="str">
        <f>[1]!hospitalinfo[[#This Row],[Hospital Ownership]]</f>
        <v>Voluntary non-profit - Private</v>
      </c>
      <c r="E4383" cm="1">
        <f t="array" ref="E4383">_xlfn.IFNA(_xlfn.XLOOKUP(1,([1]!hcahps[Facility ID] = clean[[#This Row],[Facility ID]]) * ([1]!hcahps[HCAHPS Measure ID] = "H_HSP_RATING_LINEAR_SCORE"), [1]!hcahps[HCAHPS Linear Mean Value]), "No Match")</f>
        <v>80</v>
      </c>
      <c r="F4383" cm="1">
        <f t="array" ref="F4383">_xlfn.IFNA(_xlfn.XLOOKUP(1,([1]!readmissions[Facility ID] = clean[[#This Row],[Facility ID]]) * ([1]!readmissions[Measure ID] = "Hybrid_HWR"), [1]!readmissions[Score]), "No Match")</f>
        <v>15.5</v>
      </c>
    </row>
    <row r="4384" spans="1:6" x14ac:dyDescent="0.2">
      <c r="A4384">
        <f>[1]!hospitalinfo[[#This Row],[Facility ID]]</f>
        <v>440065</v>
      </c>
      <c r="B4384" t="str">
        <f>[1]!hospitalinfo[[#This Row],[State]]</f>
        <v>TN</v>
      </c>
      <c r="C4384" t="str">
        <f>[1]!hospitalinfo[[#This Row],[Hospital Type]]</f>
        <v>Acute Care Hospitals</v>
      </c>
      <c r="D4384" t="str">
        <f>[1]!hospitalinfo[[#This Row],[Hospital Ownership]]</f>
        <v>Voluntary non-profit - Other</v>
      </c>
      <c r="E4384" cm="1">
        <f t="array" ref="E4384">_xlfn.IFNA(_xlfn.XLOOKUP(1,([1]!hcahps[Facility ID] = clean[[#This Row],[Facility ID]]) * ([1]!hcahps[HCAHPS Measure ID] = "H_HSP_RATING_LINEAR_SCORE"), [1]!hcahps[HCAHPS Linear Mean Value]), "No Match")</f>
        <v>88</v>
      </c>
      <c r="F4384" cm="1">
        <f t="array" ref="F4384">_xlfn.IFNA(_xlfn.XLOOKUP(1,([1]!readmissions[Facility ID] = clean[[#This Row],[Facility ID]]) * ([1]!readmissions[Measure ID] = "Hybrid_HWR"), [1]!readmissions[Score]), "No Match")</f>
        <v>15.3</v>
      </c>
    </row>
    <row r="4385" spans="1:6" x14ac:dyDescent="0.2">
      <c r="A4385">
        <f>[1]!hospitalinfo[[#This Row],[Facility ID]]</f>
        <v>440068</v>
      </c>
      <c r="B4385" t="str">
        <f>[1]!hospitalinfo[[#This Row],[State]]</f>
        <v>TN</v>
      </c>
      <c r="C4385" t="str">
        <f>[1]!hospitalinfo[[#This Row],[Hospital Type]]</f>
        <v>Acute Care Hospitals</v>
      </c>
      <c r="D4385" t="str">
        <f>[1]!hospitalinfo[[#This Row],[Hospital Ownership]]</f>
        <v>Proprietary</v>
      </c>
      <c r="E4385" cm="1">
        <f t="array" ref="E4385">_xlfn.IFNA(_xlfn.XLOOKUP(1,([1]!hcahps[Facility ID] = clean[[#This Row],[Facility ID]]) * ([1]!hcahps[HCAHPS Measure ID] = "H_HSP_RATING_LINEAR_SCORE"), [1]!hcahps[HCAHPS Linear Mean Value]), "No Match")</f>
        <v>85</v>
      </c>
      <c r="F4385" cm="1">
        <f t="array" ref="F4385">_xlfn.IFNA(_xlfn.XLOOKUP(1,([1]!readmissions[Facility ID] = clean[[#This Row],[Facility ID]]) * ([1]!readmissions[Measure ID] = "Hybrid_HWR"), [1]!readmissions[Score]), "No Match")</f>
        <v>15</v>
      </c>
    </row>
    <row r="4386" spans="1:6" x14ac:dyDescent="0.2">
      <c r="A4386">
        <f>[1]!hospitalinfo[[#This Row],[Facility ID]]</f>
        <v>440072</v>
      </c>
      <c r="B4386" t="str">
        <f>[1]!hospitalinfo[[#This Row],[State]]</f>
        <v>TN</v>
      </c>
      <c r="C4386" t="str">
        <f>[1]!hospitalinfo[[#This Row],[Hospital Type]]</f>
        <v>Acute Care Hospitals</v>
      </c>
      <c r="D4386" t="str">
        <f>[1]!hospitalinfo[[#This Row],[Hospital Ownership]]</f>
        <v>Proprietary</v>
      </c>
      <c r="E4386" cm="1">
        <f t="array" ref="E4386">_xlfn.IFNA(_xlfn.XLOOKUP(1,([1]!hcahps[Facility ID] = clean[[#This Row],[Facility ID]]) * ([1]!hcahps[HCAHPS Measure ID] = "H_HSP_RATING_LINEAR_SCORE"), [1]!hcahps[HCAHPS Linear Mean Value]), "No Match")</f>
        <v>88</v>
      </c>
      <c r="F4386" cm="1">
        <f t="array" ref="F4386">_xlfn.IFNA(_xlfn.XLOOKUP(1,([1]!readmissions[Facility ID] = clean[[#This Row],[Facility ID]]) * ([1]!readmissions[Measure ID] = "Hybrid_HWR"), [1]!readmissions[Score]), "No Match")</f>
        <v>15.2</v>
      </c>
    </row>
    <row r="4387" spans="1:6" x14ac:dyDescent="0.2">
      <c r="A4387">
        <f>[1]!hospitalinfo[[#This Row],[Facility ID]]</f>
        <v>440073</v>
      </c>
      <c r="B4387" t="str">
        <f>[1]!hospitalinfo[[#This Row],[State]]</f>
        <v>TN</v>
      </c>
      <c r="C4387" t="str">
        <f>[1]!hospitalinfo[[#This Row],[Hospital Type]]</f>
        <v>Acute Care Hospitals</v>
      </c>
      <c r="D4387" t="str">
        <f>[1]!hospitalinfo[[#This Row],[Hospital Ownership]]</f>
        <v>Government - Local</v>
      </c>
      <c r="E4387" cm="1">
        <f t="array" ref="E4387">_xlfn.IFNA(_xlfn.XLOOKUP(1,([1]!hcahps[Facility ID] = clean[[#This Row],[Facility ID]]) * ([1]!hcahps[HCAHPS Measure ID] = "H_HSP_RATING_LINEAR_SCORE"), [1]!hcahps[HCAHPS Linear Mean Value]), "No Match")</f>
        <v>91</v>
      </c>
      <c r="F4387" cm="1">
        <f t="array" ref="F4387">_xlfn.IFNA(_xlfn.XLOOKUP(1,([1]!readmissions[Facility ID] = clean[[#This Row],[Facility ID]]) * ([1]!readmissions[Measure ID] = "Hybrid_HWR"), [1]!readmissions[Score]), "No Match")</f>
        <v>15.7</v>
      </c>
    </row>
    <row r="4388" spans="1:6" x14ac:dyDescent="0.2">
      <c r="A4388">
        <f>[1]!hospitalinfo[[#This Row],[Facility ID]]</f>
        <v>440081</v>
      </c>
      <c r="B4388" t="str">
        <f>[1]!hospitalinfo[[#This Row],[State]]</f>
        <v>TN</v>
      </c>
      <c r="C4388" t="str">
        <f>[1]!hospitalinfo[[#This Row],[Hospital Type]]</f>
        <v>Acute Care Hospitals</v>
      </c>
      <c r="D4388" t="str">
        <f>[1]!hospitalinfo[[#This Row],[Hospital Ownership]]</f>
        <v>Voluntary non-profit - Other</v>
      </c>
      <c r="E4388" cm="1">
        <f t="array" ref="E4388">_xlfn.IFNA(_xlfn.XLOOKUP(1,([1]!hcahps[Facility ID] = clean[[#This Row],[Facility ID]]) * ([1]!hcahps[HCAHPS Measure ID] = "H_HSP_RATING_LINEAR_SCORE"), [1]!hcahps[HCAHPS Linear Mean Value]), "No Match")</f>
        <v>90</v>
      </c>
      <c r="F4388" cm="1">
        <f t="array" ref="F4388">_xlfn.IFNA(_xlfn.XLOOKUP(1,([1]!readmissions[Facility ID] = clean[[#This Row],[Facility ID]]) * ([1]!readmissions[Measure ID] = "Hybrid_HWR"), [1]!readmissions[Score]), "No Match")</f>
        <v>14.4</v>
      </c>
    </row>
    <row r="4389" spans="1:6" x14ac:dyDescent="0.2">
      <c r="A4389">
        <f>[1]!hospitalinfo[[#This Row],[Facility ID]]</f>
        <v>440082</v>
      </c>
      <c r="B4389" t="str">
        <f>[1]!hospitalinfo[[#This Row],[State]]</f>
        <v>TN</v>
      </c>
      <c r="C4389" t="str">
        <f>[1]!hospitalinfo[[#This Row],[Hospital Type]]</f>
        <v>Acute Care Hospitals</v>
      </c>
      <c r="D4389" t="str">
        <f>[1]!hospitalinfo[[#This Row],[Hospital Ownership]]</f>
        <v>Voluntary non-profit - Private</v>
      </c>
      <c r="E4389" cm="1">
        <f t="array" ref="E4389">_xlfn.IFNA(_xlfn.XLOOKUP(1,([1]!hcahps[Facility ID] = clean[[#This Row],[Facility ID]]) * ([1]!hcahps[HCAHPS Measure ID] = "H_HSP_RATING_LINEAR_SCORE"), [1]!hcahps[HCAHPS Linear Mean Value]), "No Match")</f>
        <v>88</v>
      </c>
      <c r="F4389" cm="1">
        <f t="array" ref="F4389">_xlfn.IFNA(_xlfn.XLOOKUP(1,([1]!readmissions[Facility ID] = clean[[#This Row],[Facility ID]]) * ([1]!readmissions[Measure ID] = "Hybrid_HWR"), [1]!readmissions[Score]), "No Match")</f>
        <v>13.9</v>
      </c>
    </row>
    <row r="4390" spans="1:6" x14ac:dyDescent="0.2">
      <c r="A4390">
        <f>[1]!hospitalinfo[[#This Row],[Facility ID]]</f>
        <v>440084</v>
      </c>
      <c r="B4390" t="str">
        <f>[1]!hospitalinfo[[#This Row],[State]]</f>
        <v>TN</v>
      </c>
      <c r="C4390" t="str">
        <f>[1]!hospitalinfo[[#This Row],[Hospital Type]]</f>
        <v>Acute Care Hospitals</v>
      </c>
      <c r="D4390" t="str">
        <f>[1]!hospitalinfo[[#This Row],[Hospital Ownership]]</f>
        <v>Voluntary non-profit - Private</v>
      </c>
      <c r="E4390" cm="1">
        <f t="array" ref="E4390">_xlfn.IFNA(_xlfn.XLOOKUP(1,([1]!hcahps[Facility ID] = clean[[#This Row],[Facility ID]]) * ([1]!hcahps[HCAHPS Measure ID] = "H_HSP_RATING_LINEAR_SCORE"), [1]!hcahps[HCAHPS Linear Mean Value]), "No Match")</f>
        <v>85</v>
      </c>
      <c r="F4390" cm="1">
        <f t="array" ref="F4390">_xlfn.IFNA(_xlfn.XLOOKUP(1,([1]!readmissions[Facility ID] = clean[[#This Row],[Facility ID]]) * ([1]!readmissions[Measure ID] = "Hybrid_HWR"), [1]!readmissions[Score]), "No Match")</f>
        <v>15.9</v>
      </c>
    </row>
    <row r="4391" spans="1:6" x14ac:dyDescent="0.2">
      <c r="A4391">
        <f>[1]!hospitalinfo[[#This Row],[Facility ID]]</f>
        <v>440091</v>
      </c>
      <c r="B4391" t="str">
        <f>[1]!hospitalinfo[[#This Row],[State]]</f>
        <v>TN</v>
      </c>
      <c r="C4391" t="str">
        <f>[1]!hospitalinfo[[#This Row],[Hospital Type]]</f>
        <v>Acute Care Hospitals</v>
      </c>
      <c r="D4391" t="str">
        <f>[1]!hospitalinfo[[#This Row],[Hospital Ownership]]</f>
        <v>Voluntary non-profit - Church</v>
      </c>
      <c r="E4391" cm="1">
        <f t="array" ref="E4391">_xlfn.IFNA(_xlfn.XLOOKUP(1,([1]!hcahps[Facility ID] = clean[[#This Row],[Facility ID]]) * ([1]!hcahps[HCAHPS Measure ID] = "H_HSP_RATING_LINEAR_SCORE"), [1]!hcahps[HCAHPS Linear Mean Value]), "No Match")</f>
        <v>91</v>
      </c>
      <c r="F4391" cm="1">
        <f t="array" ref="F4391">_xlfn.IFNA(_xlfn.XLOOKUP(1,([1]!readmissions[Facility ID] = clean[[#This Row],[Facility ID]]) * ([1]!readmissions[Measure ID] = "Hybrid_HWR"), [1]!readmissions[Score]), "No Match")</f>
        <v>14.1</v>
      </c>
    </row>
    <row r="4392" spans="1:6" x14ac:dyDescent="0.2">
      <c r="A4392">
        <f>[1]!hospitalinfo[[#This Row],[Facility ID]]</f>
        <v>440102</v>
      </c>
      <c r="B4392" t="str">
        <f>[1]!hospitalinfo[[#This Row],[State]]</f>
        <v>TN</v>
      </c>
      <c r="C4392" t="str">
        <f>[1]!hospitalinfo[[#This Row],[Hospital Type]]</f>
        <v>Acute Care Hospitals</v>
      </c>
      <c r="D4392" t="str">
        <f>[1]!hospitalinfo[[#This Row],[Hospital Ownership]]</f>
        <v>Government - Local</v>
      </c>
      <c r="E4392" cm="1">
        <f t="array" ref="E4392">_xlfn.IFNA(_xlfn.XLOOKUP(1,([1]!hcahps[Facility ID] = clean[[#This Row],[Facility ID]]) * ([1]!hcahps[HCAHPS Measure ID] = "H_HSP_RATING_LINEAR_SCORE"), [1]!hcahps[HCAHPS Linear Mean Value]), "No Match")</f>
        <v>88</v>
      </c>
      <c r="F4392" cm="1">
        <f t="array" ref="F4392">_xlfn.IFNA(_xlfn.XLOOKUP(1,([1]!readmissions[Facility ID] = clean[[#This Row],[Facility ID]]) * ([1]!readmissions[Measure ID] = "Hybrid_HWR"), [1]!readmissions[Score]), "No Match")</f>
        <v>14.9</v>
      </c>
    </row>
    <row r="4393" spans="1:6" x14ac:dyDescent="0.2">
      <c r="A4393">
        <f>[1]!hospitalinfo[[#This Row],[Facility ID]]</f>
        <v>440104</v>
      </c>
      <c r="B4393" t="str">
        <f>[1]!hospitalinfo[[#This Row],[State]]</f>
        <v>TN</v>
      </c>
      <c r="C4393" t="str">
        <f>[1]!hospitalinfo[[#This Row],[Hospital Type]]</f>
        <v>Acute Care Hospitals</v>
      </c>
      <c r="D4393" t="str">
        <f>[1]!hospitalinfo[[#This Row],[Hospital Ownership]]</f>
        <v>Government - Hospital District or Authority</v>
      </c>
      <c r="E4393" cm="1">
        <f t="array" ref="E4393">_xlfn.IFNA(_xlfn.XLOOKUP(1,([1]!hcahps[Facility ID] = clean[[#This Row],[Facility ID]]) * ([1]!hcahps[HCAHPS Measure ID] = "H_HSP_RATING_LINEAR_SCORE"), [1]!hcahps[HCAHPS Linear Mean Value]), "No Match")</f>
        <v>86</v>
      </c>
      <c r="F4393" cm="1">
        <f t="array" ref="F4393">_xlfn.IFNA(_xlfn.XLOOKUP(1,([1]!readmissions[Facility ID] = clean[[#This Row],[Facility ID]]) * ([1]!readmissions[Measure ID] = "Hybrid_HWR"), [1]!readmissions[Score]), "No Match")</f>
        <v>13.9</v>
      </c>
    </row>
    <row r="4394" spans="1:6" x14ac:dyDescent="0.2">
      <c r="A4394">
        <f>[1]!hospitalinfo[[#This Row],[Facility ID]]</f>
        <v>440109</v>
      </c>
      <c r="B4394" t="str">
        <f>[1]!hospitalinfo[[#This Row],[State]]</f>
        <v>TN</v>
      </c>
      <c r="C4394" t="str">
        <f>[1]!hospitalinfo[[#This Row],[Hospital Type]]</f>
        <v>Acute Care Hospitals</v>
      </c>
      <c r="D4394" t="str">
        <f>[1]!hospitalinfo[[#This Row],[Hospital Ownership]]</f>
        <v>Government - Local</v>
      </c>
      <c r="E4394" cm="1">
        <f t="array" ref="E4394">_xlfn.IFNA(_xlfn.XLOOKUP(1,([1]!hcahps[Facility ID] = clean[[#This Row],[Facility ID]]) * ([1]!hcahps[HCAHPS Measure ID] = "H_HSP_RATING_LINEAR_SCORE"), [1]!hcahps[HCAHPS Linear Mean Value]), "No Match")</f>
        <v>87</v>
      </c>
      <c r="F4394" cm="1">
        <f t="array" ref="F4394">_xlfn.IFNA(_xlfn.XLOOKUP(1,([1]!readmissions[Facility ID] = clean[[#This Row],[Facility ID]]) * ([1]!readmissions[Measure ID] = "Hybrid_HWR"), [1]!readmissions[Score]), "No Match")</f>
        <v>15.1</v>
      </c>
    </row>
    <row r="4395" spans="1:6" x14ac:dyDescent="0.2">
      <c r="A4395">
        <f>[1]!hospitalinfo[[#This Row],[Facility ID]]</f>
        <v>440110</v>
      </c>
      <c r="B4395" t="str">
        <f>[1]!hospitalinfo[[#This Row],[State]]</f>
        <v>TN</v>
      </c>
      <c r="C4395" t="str">
        <f>[1]!hospitalinfo[[#This Row],[Hospital Type]]</f>
        <v>Acute Care Hospitals</v>
      </c>
      <c r="D4395" t="str">
        <f>[1]!hospitalinfo[[#This Row],[Hospital Ownership]]</f>
        <v>Voluntary non-profit - Other</v>
      </c>
      <c r="E4395" cm="1">
        <f t="array" ref="E4395">_xlfn.IFNA(_xlfn.XLOOKUP(1,([1]!hcahps[Facility ID] = clean[[#This Row],[Facility ID]]) * ([1]!hcahps[HCAHPS Measure ID] = "H_HSP_RATING_LINEAR_SCORE"), [1]!hcahps[HCAHPS Linear Mean Value]), "No Match")</f>
        <v>87</v>
      </c>
      <c r="F4395" cm="1">
        <f t="array" ref="F4395">_xlfn.IFNA(_xlfn.XLOOKUP(1,([1]!readmissions[Facility ID] = clean[[#This Row],[Facility ID]]) * ([1]!readmissions[Measure ID] = "Hybrid_HWR"), [1]!readmissions[Score]), "No Match")</f>
        <v>14.6</v>
      </c>
    </row>
    <row r="4396" spans="1:6" x14ac:dyDescent="0.2">
      <c r="A4396">
        <f>[1]!hospitalinfo[[#This Row],[Facility ID]]</f>
        <v>440111</v>
      </c>
      <c r="B4396" t="str">
        <f>[1]!hospitalinfo[[#This Row],[State]]</f>
        <v>TN</v>
      </c>
      <c r="C4396" t="str">
        <f>[1]!hospitalinfo[[#This Row],[Hospital Type]]</f>
        <v>Acute Care Hospitals</v>
      </c>
      <c r="D4396" t="str">
        <f>[1]!hospitalinfo[[#This Row],[Hospital Ownership]]</f>
        <v>Government - Hospital District or Authority</v>
      </c>
      <c r="E4396" cm="1">
        <f t="array" ref="E4396">_xlfn.IFNA(_xlfn.XLOOKUP(1,([1]!hcahps[Facility ID] = clean[[#This Row],[Facility ID]]) * ([1]!hcahps[HCAHPS Measure ID] = "H_HSP_RATING_LINEAR_SCORE"), [1]!hcahps[HCAHPS Linear Mean Value]), "No Match")</f>
        <v>87</v>
      </c>
      <c r="F4396" cm="1">
        <f t="array" ref="F4396">_xlfn.IFNA(_xlfn.XLOOKUP(1,([1]!readmissions[Facility ID] = clean[[#This Row],[Facility ID]]) * ([1]!readmissions[Measure ID] = "Hybrid_HWR"), [1]!readmissions[Score]), "No Match")</f>
        <v>14.7</v>
      </c>
    </row>
    <row r="4397" spans="1:6" x14ac:dyDescent="0.2">
      <c r="A4397">
        <f>[1]!hospitalinfo[[#This Row],[Facility ID]]</f>
        <v>440120</v>
      </c>
      <c r="B4397" t="str">
        <f>[1]!hospitalinfo[[#This Row],[State]]</f>
        <v>TN</v>
      </c>
      <c r="C4397" t="str">
        <f>[1]!hospitalinfo[[#This Row],[Hospital Type]]</f>
        <v>Acute Care Hospitals</v>
      </c>
      <c r="D4397" t="str">
        <f>[1]!hospitalinfo[[#This Row],[Hospital Ownership]]</f>
        <v>Proprietary</v>
      </c>
      <c r="E4397" cm="1">
        <f t="array" ref="E4397">_xlfn.IFNA(_xlfn.XLOOKUP(1,([1]!hcahps[Facility ID] = clean[[#This Row],[Facility ID]]) * ([1]!hcahps[HCAHPS Measure ID] = "H_HSP_RATING_LINEAR_SCORE"), [1]!hcahps[HCAHPS Linear Mean Value]), "No Match")</f>
        <v>85</v>
      </c>
      <c r="F4397" cm="1">
        <f t="array" ref="F4397">_xlfn.IFNA(_xlfn.XLOOKUP(1,([1]!readmissions[Facility ID] = clean[[#This Row],[Facility ID]]) * ([1]!readmissions[Measure ID] = "Hybrid_HWR"), [1]!readmissions[Score]), "No Match")</f>
        <v>15.1</v>
      </c>
    </row>
    <row r="4398" spans="1:6" x14ac:dyDescent="0.2">
      <c r="A4398">
        <f>[1]!hospitalinfo[[#This Row],[Facility ID]]</f>
        <v>440125</v>
      </c>
      <c r="B4398" t="str">
        <f>[1]!hospitalinfo[[#This Row],[State]]</f>
        <v>TN</v>
      </c>
      <c r="C4398" t="str">
        <f>[1]!hospitalinfo[[#This Row],[Hospital Type]]</f>
        <v>Acute Care Hospitals</v>
      </c>
      <c r="D4398" t="str">
        <f>[1]!hospitalinfo[[#This Row],[Hospital Ownership]]</f>
        <v>Voluntary non-profit - Private</v>
      </c>
      <c r="E4398" cm="1">
        <f t="array" ref="E4398">_xlfn.IFNA(_xlfn.XLOOKUP(1,([1]!hcahps[Facility ID] = clean[[#This Row],[Facility ID]]) * ([1]!hcahps[HCAHPS Measure ID] = "H_HSP_RATING_LINEAR_SCORE"), [1]!hcahps[HCAHPS Linear Mean Value]), "No Match")</f>
        <v>86</v>
      </c>
      <c r="F4398" cm="1">
        <f t="array" ref="F4398">_xlfn.IFNA(_xlfn.XLOOKUP(1,([1]!readmissions[Facility ID] = clean[[#This Row],[Facility ID]]) * ([1]!readmissions[Measure ID] = "Hybrid_HWR"), [1]!readmissions[Score]), "No Match")</f>
        <v>15.1</v>
      </c>
    </row>
    <row r="4399" spans="1:6" x14ac:dyDescent="0.2">
      <c r="A4399">
        <f>[1]!hospitalinfo[[#This Row],[Facility ID]]</f>
        <v>440130</v>
      </c>
      <c r="B4399" t="str">
        <f>[1]!hospitalinfo[[#This Row],[State]]</f>
        <v>TN</v>
      </c>
      <c r="C4399" t="str">
        <f>[1]!hospitalinfo[[#This Row],[Hospital Type]]</f>
        <v>Acute Care Hospitals</v>
      </c>
      <c r="D4399" t="str">
        <f>[1]!hospitalinfo[[#This Row],[Hospital Ownership]]</f>
        <v>Voluntary non-profit - Private</v>
      </c>
      <c r="E4399" cm="1">
        <f t="array" ref="E4399">_xlfn.IFNA(_xlfn.XLOOKUP(1,([1]!hcahps[Facility ID] = clean[[#This Row],[Facility ID]]) * ([1]!hcahps[HCAHPS Measure ID] = "H_HSP_RATING_LINEAR_SCORE"), [1]!hcahps[HCAHPS Linear Mean Value]), "No Match")</f>
        <v>89</v>
      </c>
      <c r="F4399" cm="1">
        <f t="array" ref="F4399">_xlfn.IFNA(_xlfn.XLOOKUP(1,([1]!readmissions[Facility ID] = clean[[#This Row],[Facility ID]]) * ([1]!readmissions[Measure ID] = "Hybrid_HWR"), [1]!readmissions[Score]), "No Match")</f>
        <v>14.5</v>
      </c>
    </row>
    <row r="4400" spans="1:6" x14ac:dyDescent="0.2">
      <c r="A4400">
        <f>[1]!hospitalinfo[[#This Row],[Facility ID]]</f>
        <v>440131</v>
      </c>
      <c r="B4400" t="str">
        <f>[1]!hospitalinfo[[#This Row],[State]]</f>
        <v>TN</v>
      </c>
      <c r="C4400" t="str">
        <f>[1]!hospitalinfo[[#This Row],[Hospital Type]]</f>
        <v>Acute Care Hospitals</v>
      </c>
      <c r="D4400" t="str">
        <f>[1]!hospitalinfo[[#This Row],[Hospital Ownership]]</f>
        <v>Voluntary non-profit - Church</v>
      </c>
      <c r="E4400" cm="1">
        <f t="array" ref="E4400">_xlfn.IFNA(_xlfn.XLOOKUP(1,([1]!hcahps[Facility ID] = clean[[#This Row],[Facility ID]]) * ([1]!hcahps[HCAHPS Measure ID] = "H_HSP_RATING_LINEAR_SCORE"), [1]!hcahps[HCAHPS Linear Mean Value]), "No Match")</f>
        <v>90</v>
      </c>
      <c r="F4400" cm="1">
        <f t="array" ref="F4400">_xlfn.IFNA(_xlfn.XLOOKUP(1,([1]!readmissions[Facility ID] = clean[[#This Row],[Facility ID]]) * ([1]!readmissions[Measure ID] = "Hybrid_HWR"), [1]!readmissions[Score]), "No Match")</f>
        <v>17</v>
      </c>
    </row>
    <row r="4401" spans="1:6" x14ac:dyDescent="0.2">
      <c r="A4401">
        <f>[1]!hospitalinfo[[#This Row],[Facility ID]]</f>
        <v>440132</v>
      </c>
      <c r="B4401" t="str">
        <f>[1]!hospitalinfo[[#This Row],[State]]</f>
        <v>TN</v>
      </c>
      <c r="C4401" t="str">
        <f>[1]!hospitalinfo[[#This Row],[Hospital Type]]</f>
        <v>Acute Care Hospitals</v>
      </c>
      <c r="D4401" t="str">
        <f>[1]!hospitalinfo[[#This Row],[Hospital Ownership]]</f>
        <v>Government - Hospital District or Authority</v>
      </c>
      <c r="E4401" cm="1">
        <f t="array" ref="E4401">_xlfn.IFNA(_xlfn.XLOOKUP(1,([1]!hcahps[Facility ID] = clean[[#This Row],[Facility ID]]) * ([1]!hcahps[HCAHPS Measure ID] = "H_HSP_RATING_LINEAR_SCORE"), [1]!hcahps[HCAHPS Linear Mean Value]), "No Match")</f>
        <v>90</v>
      </c>
      <c r="F4401" cm="1">
        <f t="array" ref="F4401">_xlfn.IFNA(_xlfn.XLOOKUP(1,([1]!readmissions[Facility ID] = clean[[#This Row],[Facility ID]]) * ([1]!readmissions[Measure ID] = "Hybrid_HWR"), [1]!readmissions[Score]), "No Match")</f>
        <v>14</v>
      </c>
    </row>
    <row r="4402" spans="1:6" x14ac:dyDescent="0.2">
      <c r="A4402">
        <f>[1]!hospitalinfo[[#This Row],[Facility ID]]</f>
        <v>440137</v>
      </c>
      <c r="B4402" t="str">
        <f>[1]!hospitalinfo[[#This Row],[State]]</f>
        <v>TN</v>
      </c>
      <c r="C4402" t="str">
        <f>[1]!hospitalinfo[[#This Row],[Hospital Type]]</f>
        <v>Acute Care Hospitals</v>
      </c>
      <c r="D4402" t="str">
        <f>[1]!hospitalinfo[[#This Row],[Hospital Ownership]]</f>
        <v>Proprietary</v>
      </c>
      <c r="E4402" cm="1">
        <f t="array" ref="E4402">_xlfn.IFNA(_xlfn.XLOOKUP(1,([1]!hcahps[Facility ID] = clean[[#This Row],[Facility ID]]) * ([1]!hcahps[HCAHPS Measure ID] = "H_HSP_RATING_LINEAR_SCORE"), [1]!hcahps[HCAHPS Linear Mean Value]), "No Match")</f>
        <v>88</v>
      </c>
      <c r="F4402" cm="1">
        <f t="array" ref="F4402">_xlfn.IFNA(_xlfn.XLOOKUP(1,([1]!readmissions[Facility ID] = clean[[#This Row],[Facility ID]]) * ([1]!readmissions[Measure ID] = "Hybrid_HWR"), [1]!readmissions[Score]), "No Match")</f>
        <v>13.6</v>
      </c>
    </row>
    <row r="4403" spans="1:6" x14ac:dyDescent="0.2">
      <c r="A4403">
        <f>[1]!hospitalinfo[[#This Row],[Facility ID]]</f>
        <v>440144</v>
      </c>
      <c r="B4403" t="str">
        <f>[1]!hospitalinfo[[#This Row],[State]]</f>
        <v>TN</v>
      </c>
      <c r="C4403" t="str">
        <f>[1]!hospitalinfo[[#This Row],[Hospital Type]]</f>
        <v>Acute Care Hospitals</v>
      </c>
      <c r="D4403" t="str">
        <f>[1]!hospitalinfo[[#This Row],[Hospital Ownership]]</f>
        <v>Voluntary non-profit - Other</v>
      </c>
      <c r="E4403" cm="1">
        <f t="array" ref="E4403">_xlfn.IFNA(_xlfn.XLOOKUP(1,([1]!hcahps[Facility ID] = clean[[#This Row],[Facility ID]]) * ([1]!hcahps[HCAHPS Measure ID] = "H_HSP_RATING_LINEAR_SCORE"), [1]!hcahps[HCAHPS Linear Mean Value]), "No Match")</f>
        <v>87</v>
      </c>
      <c r="F4403" cm="1">
        <f t="array" ref="F4403">_xlfn.IFNA(_xlfn.XLOOKUP(1,([1]!readmissions[Facility ID] = clean[[#This Row],[Facility ID]]) * ([1]!readmissions[Measure ID] = "Hybrid_HWR"), [1]!readmissions[Score]), "No Match")</f>
        <v>15.1</v>
      </c>
    </row>
    <row r="4404" spans="1:6" x14ac:dyDescent="0.2">
      <c r="A4404">
        <f>[1]!hospitalinfo[[#This Row],[Facility ID]]</f>
        <v>440148</v>
      </c>
      <c r="B4404" t="str">
        <f>[1]!hospitalinfo[[#This Row],[State]]</f>
        <v>TN</v>
      </c>
      <c r="C4404" t="str">
        <f>[1]!hospitalinfo[[#This Row],[Hospital Type]]</f>
        <v>Acute Care Hospitals</v>
      </c>
      <c r="D4404" t="str">
        <f>[1]!hospitalinfo[[#This Row],[Hospital Ownership]]</f>
        <v>Voluntary non-profit - Church</v>
      </c>
      <c r="E4404" t="str" cm="1">
        <f t="array" ref="E4404">_xlfn.IFNA(_xlfn.XLOOKUP(1,([1]!hcahps[Facility ID] = clean[[#This Row],[Facility ID]]) * ([1]!hcahps[HCAHPS Measure ID] = "H_HSP_RATING_LINEAR_SCORE"), [1]!hcahps[HCAHPS Linear Mean Value]), "No Match")</f>
        <v>Not Available</v>
      </c>
      <c r="F4404" cm="1">
        <f t="array" ref="F4404">_xlfn.IFNA(_xlfn.XLOOKUP(1,([1]!readmissions[Facility ID] = clean[[#This Row],[Facility ID]]) * ([1]!readmissions[Measure ID] = "Hybrid_HWR"), [1]!readmissions[Score]), "No Match")</f>
        <v>15</v>
      </c>
    </row>
    <row r="4405" spans="1:6" x14ac:dyDescent="0.2">
      <c r="A4405">
        <f>[1]!hospitalinfo[[#This Row],[Facility ID]]</f>
        <v>440150</v>
      </c>
      <c r="B4405" t="str">
        <f>[1]!hospitalinfo[[#This Row],[State]]</f>
        <v>TN</v>
      </c>
      <c r="C4405" t="str">
        <f>[1]!hospitalinfo[[#This Row],[Hospital Type]]</f>
        <v>Acute Care Hospitals</v>
      </c>
      <c r="D4405" t="str">
        <f>[1]!hospitalinfo[[#This Row],[Hospital Ownership]]</f>
        <v>Proprietary</v>
      </c>
      <c r="E4405" cm="1">
        <f t="array" ref="E4405">_xlfn.IFNA(_xlfn.XLOOKUP(1,([1]!hcahps[Facility ID] = clean[[#This Row],[Facility ID]]) * ([1]!hcahps[HCAHPS Measure ID] = "H_HSP_RATING_LINEAR_SCORE"), [1]!hcahps[HCAHPS Linear Mean Value]), "No Match")</f>
        <v>86</v>
      </c>
      <c r="F4405" cm="1">
        <f t="array" ref="F4405">_xlfn.IFNA(_xlfn.XLOOKUP(1,([1]!readmissions[Facility ID] = clean[[#This Row],[Facility ID]]) * ([1]!readmissions[Measure ID] = "Hybrid_HWR"), [1]!readmissions[Score]), "No Match")</f>
        <v>15.3</v>
      </c>
    </row>
    <row r="4406" spans="1:6" x14ac:dyDescent="0.2">
      <c r="A4406">
        <f>[1]!hospitalinfo[[#This Row],[Facility ID]]</f>
        <v>440151</v>
      </c>
      <c r="B4406" t="str">
        <f>[1]!hospitalinfo[[#This Row],[State]]</f>
        <v>TN</v>
      </c>
      <c r="C4406" t="str">
        <f>[1]!hospitalinfo[[#This Row],[Hospital Type]]</f>
        <v>Acute Care Hospitals</v>
      </c>
      <c r="D4406" t="str">
        <f>[1]!hospitalinfo[[#This Row],[Hospital Ownership]]</f>
        <v>Voluntary non-profit - Private</v>
      </c>
      <c r="E4406" cm="1">
        <f t="array" ref="E4406">_xlfn.IFNA(_xlfn.XLOOKUP(1,([1]!hcahps[Facility ID] = clean[[#This Row],[Facility ID]]) * ([1]!hcahps[HCAHPS Measure ID] = "H_HSP_RATING_LINEAR_SCORE"), [1]!hcahps[HCAHPS Linear Mean Value]), "No Match")</f>
        <v>88</v>
      </c>
      <c r="F4406" cm="1">
        <f t="array" ref="F4406">_xlfn.IFNA(_xlfn.XLOOKUP(1,([1]!readmissions[Facility ID] = clean[[#This Row],[Facility ID]]) * ([1]!readmissions[Measure ID] = "Hybrid_HWR"), [1]!readmissions[Score]), "No Match")</f>
        <v>14.5</v>
      </c>
    </row>
    <row r="4407" spans="1:6" x14ac:dyDescent="0.2">
      <c r="A4407">
        <f>[1]!hospitalinfo[[#This Row],[Facility ID]]</f>
        <v>440152</v>
      </c>
      <c r="B4407" t="str">
        <f>[1]!hospitalinfo[[#This Row],[State]]</f>
        <v>TN</v>
      </c>
      <c r="C4407" t="str">
        <f>[1]!hospitalinfo[[#This Row],[Hospital Type]]</f>
        <v>Acute Care Hospitals</v>
      </c>
      <c r="D4407" t="str">
        <f>[1]!hospitalinfo[[#This Row],[Hospital Ownership]]</f>
        <v>Government - Hospital District or Authority</v>
      </c>
      <c r="E4407" cm="1">
        <f t="array" ref="E4407">_xlfn.IFNA(_xlfn.XLOOKUP(1,([1]!hcahps[Facility ID] = clean[[#This Row],[Facility ID]]) * ([1]!hcahps[HCAHPS Measure ID] = "H_HSP_RATING_LINEAR_SCORE"), [1]!hcahps[HCAHPS Linear Mean Value]), "No Match")</f>
        <v>86</v>
      </c>
      <c r="F4407" cm="1">
        <f t="array" ref="F4407">_xlfn.IFNA(_xlfn.XLOOKUP(1,([1]!readmissions[Facility ID] = clean[[#This Row],[Facility ID]]) * ([1]!readmissions[Measure ID] = "Hybrid_HWR"), [1]!readmissions[Score]), "No Match")</f>
        <v>16.2</v>
      </c>
    </row>
    <row r="4408" spans="1:6" x14ac:dyDescent="0.2">
      <c r="A4408">
        <f>[1]!hospitalinfo[[#This Row],[Facility ID]]</f>
        <v>440153</v>
      </c>
      <c r="B4408" t="str">
        <f>[1]!hospitalinfo[[#This Row],[State]]</f>
        <v>TN</v>
      </c>
      <c r="C4408" t="str">
        <f>[1]!hospitalinfo[[#This Row],[Hospital Type]]</f>
        <v>Acute Care Hospitals</v>
      </c>
      <c r="D4408" t="str">
        <f>[1]!hospitalinfo[[#This Row],[Hospital Ownership]]</f>
        <v>Proprietary</v>
      </c>
      <c r="E4408" cm="1">
        <f t="array" ref="E4408">_xlfn.IFNA(_xlfn.XLOOKUP(1,([1]!hcahps[Facility ID] = clean[[#This Row],[Facility ID]]) * ([1]!hcahps[HCAHPS Measure ID] = "H_HSP_RATING_LINEAR_SCORE"), [1]!hcahps[HCAHPS Linear Mean Value]), "No Match")</f>
        <v>87</v>
      </c>
      <c r="F4408" cm="1">
        <f t="array" ref="F4408">_xlfn.IFNA(_xlfn.XLOOKUP(1,([1]!readmissions[Facility ID] = clean[[#This Row],[Facility ID]]) * ([1]!readmissions[Measure ID] = "Hybrid_HWR"), [1]!readmissions[Score]), "No Match")</f>
        <v>14.2</v>
      </c>
    </row>
    <row r="4409" spans="1:6" x14ac:dyDescent="0.2">
      <c r="A4409">
        <f>[1]!hospitalinfo[[#This Row],[Facility ID]]</f>
        <v>440156</v>
      </c>
      <c r="B4409" t="str">
        <f>[1]!hospitalinfo[[#This Row],[State]]</f>
        <v>TN</v>
      </c>
      <c r="C4409" t="str">
        <f>[1]!hospitalinfo[[#This Row],[Hospital Type]]</f>
        <v>Acute Care Hospitals</v>
      </c>
      <c r="D4409" t="str">
        <f>[1]!hospitalinfo[[#This Row],[Hospital Ownership]]</f>
        <v>Proprietary</v>
      </c>
      <c r="E4409" cm="1">
        <f t="array" ref="E4409">_xlfn.IFNA(_xlfn.XLOOKUP(1,([1]!hcahps[Facility ID] = clean[[#This Row],[Facility ID]]) * ([1]!hcahps[HCAHPS Measure ID] = "H_HSP_RATING_LINEAR_SCORE"), [1]!hcahps[HCAHPS Linear Mean Value]), "No Match")</f>
        <v>88</v>
      </c>
      <c r="F4409" cm="1">
        <f t="array" ref="F4409">_xlfn.IFNA(_xlfn.XLOOKUP(1,([1]!readmissions[Facility ID] = clean[[#This Row],[Facility ID]]) * ([1]!readmissions[Measure ID] = "Hybrid_HWR"), [1]!readmissions[Score]), "No Match")</f>
        <v>15</v>
      </c>
    </row>
    <row r="4410" spans="1:6" x14ac:dyDescent="0.2">
      <c r="A4410">
        <f>[1]!hospitalinfo[[#This Row],[Facility ID]]</f>
        <v>440159</v>
      </c>
      <c r="B4410" t="str">
        <f>[1]!hospitalinfo[[#This Row],[State]]</f>
        <v>TN</v>
      </c>
      <c r="C4410" t="str">
        <f>[1]!hospitalinfo[[#This Row],[Hospital Type]]</f>
        <v>Acute Care Hospitals</v>
      </c>
      <c r="D4410" t="str">
        <f>[1]!hospitalinfo[[#This Row],[Hospital Ownership]]</f>
        <v>Proprietary</v>
      </c>
      <c r="E4410" t="str" cm="1">
        <f t="array" ref="E4410">_xlfn.IFNA(_xlfn.XLOOKUP(1,([1]!hcahps[Facility ID] = clean[[#This Row],[Facility ID]]) * ([1]!hcahps[HCAHPS Measure ID] = "H_HSP_RATING_LINEAR_SCORE"), [1]!hcahps[HCAHPS Linear Mean Value]), "No Match")</f>
        <v>Not Available</v>
      </c>
      <c r="F4410" t="str" cm="1">
        <f t="array" ref="F4410">_xlfn.IFNA(_xlfn.XLOOKUP(1,([1]!readmissions[Facility ID] = clean[[#This Row],[Facility ID]]) * ([1]!readmissions[Measure ID] = "Hybrid_HWR"), [1]!readmissions[Score]), "No Match")</f>
        <v>Not Available</v>
      </c>
    </row>
    <row r="4411" spans="1:6" x14ac:dyDescent="0.2">
      <c r="A4411">
        <f>[1]!hospitalinfo[[#This Row],[Facility ID]]</f>
        <v>440161</v>
      </c>
      <c r="B4411" t="str">
        <f>[1]!hospitalinfo[[#This Row],[State]]</f>
        <v>TN</v>
      </c>
      <c r="C4411" t="str">
        <f>[1]!hospitalinfo[[#This Row],[Hospital Type]]</f>
        <v>Acute Care Hospitals</v>
      </c>
      <c r="D4411" t="str">
        <f>[1]!hospitalinfo[[#This Row],[Hospital Ownership]]</f>
        <v>Proprietary</v>
      </c>
      <c r="E4411" cm="1">
        <f t="array" ref="E4411">_xlfn.IFNA(_xlfn.XLOOKUP(1,([1]!hcahps[Facility ID] = clean[[#This Row],[Facility ID]]) * ([1]!hcahps[HCAHPS Measure ID] = "H_HSP_RATING_LINEAR_SCORE"), [1]!hcahps[HCAHPS Linear Mean Value]), "No Match")</f>
        <v>90</v>
      </c>
      <c r="F4411" cm="1">
        <f t="array" ref="F4411">_xlfn.IFNA(_xlfn.XLOOKUP(1,([1]!readmissions[Facility ID] = clean[[#This Row],[Facility ID]]) * ([1]!readmissions[Measure ID] = "Hybrid_HWR"), [1]!readmissions[Score]), "No Match")</f>
        <v>14.3</v>
      </c>
    </row>
    <row r="4412" spans="1:6" x14ac:dyDescent="0.2">
      <c r="A4412">
        <f>[1]!hospitalinfo[[#This Row],[Facility ID]]</f>
        <v>440173</v>
      </c>
      <c r="B4412" t="str">
        <f>[1]!hospitalinfo[[#This Row],[State]]</f>
        <v>TN</v>
      </c>
      <c r="C4412" t="str">
        <f>[1]!hospitalinfo[[#This Row],[Hospital Type]]</f>
        <v>Acute Care Hospitals</v>
      </c>
      <c r="D4412" t="str">
        <f>[1]!hospitalinfo[[#This Row],[Hospital Ownership]]</f>
        <v>Voluntary non-profit - Private</v>
      </c>
      <c r="E4412" cm="1">
        <f t="array" ref="E4412">_xlfn.IFNA(_xlfn.XLOOKUP(1,([1]!hcahps[Facility ID] = clean[[#This Row],[Facility ID]]) * ([1]!hcahps[HCAHPS Measure ID] = "H_HSP_RATING_LINEAR_SCORE"), [1]!hcahps[HCAHPS Linear Mean Value]), "No Match")</f>
        <v>87</v>
      </c>
      <c r="F4412" cm="1">
        <f t="array" ref="F4412">_xlfn.IFNA(_xlfn.XLOOKUP(1,([1]!readmissions[Facility ID] = clean[[#This Row],[Facility ID]]) * ([1]!readmissions[Measure ID] = "Hybrid_HWR"), [1]!readmissions[Score]), "No Match")</f>
        <v>14.9</v>
      </c>
    </row>
    <row r="4413" spans="1:6" x14ac:dyDescent="0.2">
      <c r="A4413">
        <f>[1]!hospitalinfo[[#This Row],[Facility ID]]</f>
        <v>440175</v>
      </c>
      <c r="B4413" t="str">
        <f>[1]!hospitalinfo[[#This Row],[State]]</f>
        <v>TN</v>
      </c>
      <c r="C4413" t="str">
        <f>[1]!hospitalinfo[[#This Row],[Hospital Type]]</f>
        <v>Acute Care Hospitals</v>
      </c>
      <c r="D4413" t="str">
        <f>[1]!hospitalinfo[[#This Row],[Hospital Ownership]]</f>
        <v>Voluntary non-profit - Other</v>
      </c>
      <c r="E4413" cm="1">
        <f t="array" ref="E4413">_xlfn.IFNA(_xlfn.XLOOKUP(1,([1]!hcahps[Facility ID] = clean[[#This Row],[Facility ID]]) * ([1]!hcahps[HCAHPS Measure ID] = "H_HSP_RATING_LINEAR_SCORE"), [1]!hcahps[HCAHPS Linear Mean Value]), "No Match")</f>
        <v>86</v>
      </c>
      <c r="F4413" cm="1">
        <f t="array" ref="F4413">_xlfn.IFNA(_xlfn.XLOOKUP(1,([1]!readmissions[Facility ID] = clean[[#This Row],[Facility ID]]) * ([1]!readmissions[Measure ID] = "Hybrid_HWR"), [1]!readmissions[Score]), "No Match")</f>
        <v>15.2</v>
      </c>
    </row>
    <row r="4414" spans="1:6" x14ac:dyDescent="0.2">
      <c r="A4414">
        <f>[1]!hospitalinfo[[#This Row],[Facility ID]]</f>
        <v>440176</v>
      </c>
      <c r="B4414" t="str">
        <f>[1]!hospitalinfo[[#This Row],[State]]</f>
        <v>TN</v>
      </c>
      <c r="C4414" t="str">
        <f>[1]!hospitalinfo[[#This Row],[Hospital Type]]</f>
        <v>Acute Care Hospitals</v>
      </c>
      <c r="D4414" t="str">
        <f>[1]!hospitalinfo[[#This Row],[Hospital Ownership]]</f>
        <v>Voluntary non-profit - Private</v>
      </c>
      <c r="E4414" cm="1">
        <f t="array" ref="E4414">_xlfn.IFNA(_xlfn.XLOOKUP(1,([1]!hcahps[Facility ID] = clean[[#This Row],[Facility ID]]) * ([1]!hcahps[HCAHPS Measure ID] = "H_HSP_RATING_LINEAR_SCORE"), [1]!hcahps[HCAHPS Linear Mean Value]), "No Match")</f>
        <v>88</v>
      </c>
      <c r="F4414" cm="1">
        <f t="array" ref="F4414">_xlfn.IFNA(_xlfn.XLOOKUP(1,([1]!readmissions[Facility ID] = clean[[#This Row],[Facility ID]]) * ([1]!readmissions[Measure ID] = "Hybrid_HWR"), [1]!readmissions[Score]), "No Match")</f>
        <v>14.5</v>
      </c>
    </row>
    <row r="4415" spans="1:6" x14ac:dyDescent="0.2">
      <c r="A4415">
        <f>[1]!hospitalinfo[[#This Row],[Facility ID]]</f>
        <v>440183</v>
      </c>
      <c r="B4415" t="str">
        <f>[1]!hospitalinfo[[#This Row],[State]]</f>
        <v>TN</v>
      </c>
      <c r="C4415" t="str">
        <f>[1]!hospitalinfo[[#This Row],[Hospital Type]]</f>
        <v>Acute Care Hospitals</v>
      </c>
      <c r="D4415" t="str">
        <f>[1]!hospitalinfo[[#This Row],[Hospital Ownership]]</f>
        <v>Proprietary</v>
      </c>
      <c r="E4415" cm="1">
        <f t="array" ref="E4415">_xlfn.IFNA(_xlfn.XLOOKUP(1,([1]!hcahps[Facility ID] = clean[[#This Row],[Facility ID]]) * ([1]!hcahps[HCAHPS Measure ID] = "H_HSP_RATING_LINEAR_SCORE"), [1]!hcahps[HCAHPS Linear Mean Value]), "No Match")</f>
        <v>77</v>
      </c>
      <c r="F4415" cm="1">
        <f t="array" ref="F4415">_xlfn.IFNA(_xlfn.XLOOKUP(1,([1]!readmissions[Facility ID] = clean[[#This Row],[Facility ID]]) * ([1]!readmissions[Measure ID] = "Hybrid_HWR"), [1]!readmissions[Score]), "No Match")</f>
        <v>16.3</v>
      </c>
    </row>
    <row r="4416" spans="1:6" x14ac:dyDescent="0.2">
      <c r="A4416">
        <f>[1]!hospitalinfo[[#This Row],[Facility ID]]</f>
        <v>440184</v>
      </c>
      <c r="B4416" t="str">
        <f>[1]!hospitalinfo[[#This Row],[State]]</f>
        <v>TN</v>
      </c>
      <c r="C4416" t="str">
        <f>[1]!hospitalinfo[[#This Row],[Hospital Type]]</f>
        <v>Acute Care Hospitals</v>
      </c>
      <c r="D4416" t="str">
        <f>[1]!hospitalinfo[[#This Row],[Hospital Ownership]]</f>
        <v>Voluntary non-profit - Private</v>
      </c>
      <c r="E4416" cm="1">
        <f t="array" ref="E4416">_xlfn.IFNA(_xlfn.XLOOKUP(1,([1]!hcahps[Facility ID] = clean[[#This Row],[Facility ID]]) * ([1]!hcahps[HCAHPS Measure ID] = "H_HSP_RATING_LINEAR_SCORE"), [1]!hcahps[HCAHPS Linear Mean Value]), "No Match")</f>
        <v>89</v>
      </c>
      <c r="F4416" cm="1">
        <f t="array" ref="F4416">_xlfn.IFNA(_xlfn.XLOOKUP(1,([1]!readmissions[Facility ID] = clean[[#This Row],[Facility ID]]) * ([1]!readmissions[Measure ID] = "Hybrid_HWR"), [1]!readmissions[Score]), "No Match")</f>
        <v>14.2</v>
      </c>
    </row>
    <row r="4417" spans="1:6" x14ac:dyDescent="0.2">
      <c r="A4417">
        <f>[1]!hospitalinfo[[#This Row],[Facility ID]]</f>
        <v>440185</v>
      </c>
      <c r="B4417" t="str">
        <f>[1]!hospitalinfo[[#This Row],[State]]</f>
        <v>TN</v>
      </c>
      <c r="C4417" t="str">
        <f>[1]!hospitalinfo[[#This Row],[Hospital Type]]</f>
        <v>Acute Care Hospitals</v>
      </c>
      <c r="D4417" t="str">
        <f>[1]!hospitalinfo[[#This Row],[Hospital Ownership]]</f>
        <v>Proprietary</v>
      </c>
      <c r="E4417" cm="1">
        <f t="array" ref="E4417">_xlfn.IFNA(_xlfn.XLOOKUP(1,([1]!hcahps[Facility ID] = clean[[#This Row],[Facility ID]]) * ([1]!hcahps[HCAHPS Measure ID] = "H_HSP_RATING_LINEAR_SCORE"), [1]!hcahps[HCAHPS Linear Mean Value]), "No Match")</f>
        <v>84</v>
      </c>
      <c r="F4417" cm="1">
        <f t="array" ref="F4417">_xlfn.IFNA(_xlfn.XLOOKUP(1,([1]!readmissions[Facility ID] = clean[[#This Row],[Facility ID]]) * ([1]!readmissions[Measure ID] = "Hybrid_HWR"), [1]!readmissions[Score]), "No Match")</f>
        <v>14.2</v>
      </c>
    </row>
    <row r="4418" spans="1:6" x14ac:dyDescent="0.2">
      <c r="A4418">
        <f>[1]!hospitalinfo[[#This Row],[Facility ID]]</f>
        <v>440187</v>
      </c>
      <c r="B4418" t="str">
        <f>[1]!hospitalinfo[[#This Row],[State]]</f>
        <v>TN</v>
      </c>
      <c r="C4418" t="str">
        <f>[1]!hospitalinfo[[#This Row],[Hospital Type]]</f>
        <v>Acute Care Hospitals</v>
      </c>
      <c r="D4418" t="str">
        <f>[1]!hospitalinfo[[#This Row],[Hospital Ownership]]</f>
        <v>Proprietary</v>
      </c>
      <c r="E4418" cm="1">
        <f t="array" ref="E4418">_xlfn.IFNA(_xlfn.XLOOKUP(1,([1]!hcahps[Facility ID] = clean[[#This Row],[Facility ID]]) * ([1]!hcahps[HCAHPS Measure ID] = "H_HSP_RATING_LINEAR_SCORE"), [1]!hcahps[HCAHPS Linear Mean Value]), "No Match")</f>
        <v>89</v>
      </c>
      <c r="F4418" cm="1">
        <f t="array" ref="F4418">_xlfn.IFNA(_xlfn.XLOOKUP(1,([1]!readmissions[Facility ID] = clean[[#This Row],[Facility ID]]) * ([1]!readmissions[Measure ID] = "Hybrid_HWR"), [1]!readmissions[Score]), "No Match")</f>
        <v>14.9</v>
      </c>
    </row>
    <row r="4419" spans="1:6" x14ac:dyDescent="0.2">
      <c r="A4419">
        <f>[1]!hospitalinfo[[#This Row],[Facility ID]]</f>
        <v>440192</v>
      </c>
      <c r="B4419" t="str">
        <f>[1]!hospitalinfo[[#This Row],[State]]</f>
        <v>TN</v>
      </c>
      <c r="C4419" t="str">
        <f>[1]!hospitalinfo[[#This Row],[Hospital Type]]</f>
        <v>Acute Care Hospitals</v>
      </c>
      <c r="D4419" t="str">
        <f>[1]!hospitalinfo[[#This Row],[Hospital Ownership]]</f>
        <v>Proprietary</v>
      </c>
      <c r="E4419" t="str" cm="1">
        <f t="array" ref="E4419">_xlfn.IFNA(_xlfn.XLOOKUP(1,([1]!hcahps[Facility ID] = clean[[#This Row],[Facility ID]]) * ([1]!hcahps[HCAHPS Measure ID] = "H_HSP_RATING_LINEAR_SCORE"), [1]!hcahps[HCAHPS Linear Mean Value]), "No Match")</f>
        <v>Not Available</v>
      </c>
      <c r="F4419" cm="1">
        <f t="array" ref="F4419">_xlfn.IFNA(_xlfn.XLOOKUP(1,([1]!readmissions[Facility ID] = clean[[#This Row],[Facility ID]]) * ([1]!readmissions[Measure ID] = "Hybrid_HWR"), [1]!readmissions[Score]), "No Match")</f>
        <v>14.9</v>
      </c>
    </row>
    <row r="4420" spans="1:6" x14ac:dyDescent="0.2">
      <c r="A4420">
        <f>[1]!hospitalinfo[[#This Row],[Facility ID]]</f>
        <v>440193</v>
      </c>
      <c r="B4420" t="str">
        <f>[1]!hospitalinfo[[#This Row],[State]]</f>
        <v>TN</v>
      </c>
      <c r="C4420" t="str">
        <f>[1]!hospitalinfo[[#This Row],[Hospital Type]]</f>
        <v>Acute Care Hospitals</v>
      </c>
      <c r="D4420" t="str">
        <f>[1]!hospitalinfo[[#This Row],[Hospital Ownership]]</f>
        <v>Voluntary non-profit - Private</v>
      </c>
      <c r="E4420" cm="1">
        <f t="array" ref="E4420">_xlfn.IFNA(_xlfn.XLOOKUP(1,([1]!hcahps[Facility ID] = clean[[#This Row],[Facility ID]]) * ([1]!hcahps[HCAHPS Measure ID] = "H_HSP_RATING_LINEAR_SCORE"), [1]!hcahps[HCAHPS Linear Mean Value]), "No Match")</f>
        <v>89</v>
      </c>
      <c r="F4420" cm="1">
        <f t="array" ref="F4420">_xlfn.IFNA(_xlfn.XLOOKUP(1,([1]!readmissions[Facility ID] = clean[[#This Row],[Facility ID]]) * ([1]!readmissions[Measure ID] = "Hybrid_HWR"), [1]!readmissions[Score]), "No Match")</f>
        <v>13.9</v>
      </c>
    </row>
    <row r="4421" spans="1:6" x14ac:dyDescent="0.2">
      <c r="A4421">
        <f>[1]!hospitalinfo[[#This Row],[Facility ID]]</f>
        <v>440194</v>
      </c>
      <c r="B4421" t="str">
        <f>[1]!hospitalinfo[[#This Row],[State]]</f>
        <v>TN</v>
      </c>
      <c r="C4421" t="str">
        <f>[1]!hospitalinfo[[#This Row],[Hospital Type]]</f>
        <v>Acute Care Hospitals</v>
      </c>
      <c r="D4421" t="str">
        <f>[1]!hospitalinfo[[#This Row],[Hospital Ownership]]</f>
        <v>Proprietary</v>
      </c>
      <c r="E4421" cm="1">
        <f t="array" ref="E4421">_xlfn.IFNA(_xlfn.XLOOKUP(1,([1]!hcahps[Facility ID] = clean[[#This Row],[Facility ID]]) * ([1]!hcahps[HCAHPS Measure ID] = "H_HSP_RATING_LINEAR_SCORE"), [1]!hcahps[HCAHPS Linear Mean Value]), "No Match")</f>
        <v>86</v>
      </c>
      <c r="F4421" cm="1">
        <f t="array" ref="F4421">_xlfn.IFNA(_xlfn.XLOOKUP(1,([1]!readmissions[Facility ID] = clean[[#This Row],[Facility ID]]) * ([1]!readmissions[Measure ID] = "Hybrid_HWR"), [1]!readmissions[Score]), "No Match")</f>
        <v>15.6</v>
      </c>
    </row>
    <row r="4422" spans="1:6" x14ac:dyDescent="0.2">
      <c r="A4422">
        <f>[1]!hospitalinfo[[#This Row],[Facility ID]]</f>
        <v>440197</v>
      </c>
      <c r="B4422" t="str">
        <f>[1]!hospitalinfo[[#This Row],[State]]</f>
        <v>TN</v>
      </c>
      <c r="C4422" t="str">
        <f>[1]!hospitalinfo[[#This Row],[Hospital Type]]</f>
        <v>Acute Care Hospitals</v>
      </c>
      <c r="D4422" t="str">
        <f>[1]!hospitalinfo[[#This Row],[Hospital Ownership]]</f>
        <v>Proprietary</v>
      </c>
      <c r="E4422" cm="1">
        <f t="array" ref="E4422">_xlfn.IFNA(_xlfn.XLOOKUP(1,([1]!hcahps[Facility ID] = clean[[#This Row],[Facility ID]]) * ([1]!hcahps[HCAHPS Measure ID] = "H_HSP_RATING_LINEAR_SCORE"), [1]!hcahps[HCAHPS Linear Mean Value]), "No Match")</f>
        <v>87</v>
      </c>
      <c r="F4422" cm="1">
        <f t="array" ref="F4422">_xlfn.IFNA(_xlfn.XLOOKUP(1,([1]!readmissions[Facility ID] = clean[[#This Row],[Facility ID]]) * ([1]!readmissions[Measure ID] = "Hybrid_HWR"), [1]!readmissions[Score]), "No Match")</f>
        <v>14.8</v>
      </c>
    </row>
    <row r="4423" spans="1:6" x14ac:dyDescent="0.2">
      <c r="A4423">
        <f>[1]!hospitalinfo[[#This Row],[Facility ID]]</f>
        <v>440200</v>
      </c>
      <c r="B4423" t="str">
        <f>[1]!hospitalinfo[[#This Row],[State]]</f>
        <v>TN</v>
      </c>
      <c r="C4423" t="str">
        <f>[1]!hospitalinfo[[#This Row],[Hospital Type]]</f>
        <v>Acute Care Hospitals</v>
      </c>
      <c r="D4423" t="str">
        <f>[1]!hospitalinfo[[#This Row],[Hospital Ownership]]</f>
        <v>Proprietary</v>
      </c>
      <c r="E4423" t="str" cm="1">
        <f t="array" ref="E4423">_xlfn.IFNA(_xlfn.XLOOKUP(1,([1]!hcahps[Facility ID] = clean[[#This Row],[Facility ID]]) * ([1]!hcahps[HCAHPS Measure ID] = "H_HSP_RATING_LINEAR_SCORE"), [1]!hcahps[HCAHPS Linear Mean Value]), "No Match")</f>
        <v>Not Available</v>
      </c>
      <c r="F4423" t="str" cm="1">
        <f t="array" ref="F4423">_xlfn.IFNA(_xlfn.XLOOKUP(1,([1]!readmissions[Facility ID] = clean[[#This Row],[Facility ID]]) * ([1]!readmissions[Measure ID] = "Hybrid_HWR"), [1]!readmissions[Score]), "No Match")</f>
        <v>Not Available</v>
      </c>
    </row>
    <row r="4424" spans="1:6" x14ac:dyDescent="0.2">
      <c r="A4424">
        <f>[1]!hospitalinfo[[#This Row],[Facility ID]]</f>
        <v>440218</v>
      </c>
      <c r="B4424" t="str">
        <f>[1]!hospitalinfo[[#This Row],[State]]</f>
        <v>TN</v>
      </c>
      <c r="C4424" t="str">
        <f>[1]!hospitalinfo[[#This Row],[Hospital Type]]</f>
        <v>Acute Care Hospitals</v>
      </c>
      <c r="D4424" t="str">
        <f>[1]!hospitalinfo[[#This Row],[Hospital Ownership]]</f>
        <v>Voluntary non-profit - Other</v>
      </c>
      <c r="E4424" cm="1">
        <f t="array" ref="E4424">_xlfn.IFNA(_xlfn.XLOOKUP(1,([1]!hcahps[Facility ID] = clean[[#This Row],[Facility ID]]) * ([1]!hcahps[HCAHPS Measure ID] = "H_HSP_RATING_LINEAR_SCORE"), [1]!hcahps[HCAHPS Linear Mean Value]), "No Match")</f>
        <v>92</v>
      </c>
      <c r="F4424" cm="1">
        <f t="array" ref="F4424">_xlfn.IFNA(_xlfn.XLOOKUP(1,([1]!readmissions[Facility ID] = clean[[#This Row],[Facility ID]]) * ([1]!readmissions[Measure ID] = "Hybrid_HWR"), [1]!readmissions[Score]), "No Match")</f>
        <v>14</v>
      </c>
    </row>
    <row r="4425" spans="1:6" x14ac:dyDescent="0.2">
      <c r="A4425">
        <f>[1]!hospitalinfo[[#This Row],[Facility ID]]</f>
        <v>440227</v>
      </c>
      <c r="B4425" t="str">
        <f>[1]!hospitalinfo[[#This Row],[State]]</f>
        <v>TN</v>
      </c>
      <c r="C4425" t="str">
        <f>[1]!hospitalinfo[[#This Row],[Hospital Type]]</f>
        <v>Acute Care Hospitals</v>
      </c>
      <c r="D4425" t="str">
        <f>[1]!hospitalinfo[[#This Row],[Hospital Ownership]]</f>
        <v>Proprietary</v>
      </c>
      <c r="E4425" cm="1">
        <f t="array" ref="E4425">_xlfn.IFNA(_xlfn.XLOOKUP(1,([1]!hcahps[Facility ID] = clean[[#This Row],[Facility ID]]) * ([1]!hcahps[HCAHPS Measure ID] = "H_HSP_RATING_LINEAR_SCORE"), [1]!hcahps[HCAHPS Linear Mean Value]), "No Match")</f>
        <v>89</v>
      </c>
      <c r="F4425" cm="1">
        <f t="array" ref="F4425">_xlfn.IFNA(_xlfn.XLOOKUP(1,([1]!readmissions[Facility ID] = clean[[#This Row],[Facility ID]]) * ([1]!readmissions[Measure ID] = "Hybrid_HWR"), [1]!readmissions[Score]), "No Match")</f>
        <v>14.6</v>
      </c>
    </row>
    <row r="4426" spans="1:6" x14ac:dyDescent="0.2">
      <c r="A4426">
        <f>[1]!hospitalinfo[[#This Row],[Facility ID]]</f>
        <v>440228</v>
      </c>
      <c r="B4426" t="str">
        <f>[1]!hospitalinfo[[#This Row],[State]]</f>
        <v>TN</v>
      </c>
      <c r="C4426" t="str">
        <f>[1]!hospitalinfo[[#This Row],[Hospital Type]]</f>
        <v>Acute Care Hospitals</v>
      </c>
      <c r="D4426" t="str">
        <f>[1]!hospitalinfo[[#This Row],[Hospital Ownership]]</f>
        <v>Proprietary</v>
      </c>
      <c r="E4426" cm="1">
        <f t="array" ref="E4426">_xlfn.IFNA(_xlfn.XLOOKUP(1,([1]!hcahps[Facility ID] = clean[[#This Row],[Facility ID]]) * ([1]!hcahps[HCAHPS Measure ID] = "H_HSP_RATING_LINEAR_SCORE"), [1]!hcahps[HCAHPS Linear Mean Value]), "No Match")</f>
        <v>78</v>
      </c>
      <c r="F4426" cm="1">
        <f t="array" ref="F4426">_xlfn.IFNA(_xlfn.XLOOKUP(1,([1]!readmissions[Facility ID] = clean[[#This Row],[Facility ID]]) * ([1]!readmissions[Measure ID] = "Hybrid_HWR"), [1]!readmissions[Score]), "No Match")</f>
        <v>15.4</v>
      </c>
    </row>
    <row r="4427" spans="1:6" x14ac:dyDescent="0.2">
      <c r="A4427">
        <f>[1]!hospitalinfo[[#This Row],[Facility ID]]</f>
        <v>440231</v>
      </c>
      <c r="B4427" t="str">
        <f>[1]!hospitalinfo[[#This Row],[State]]</f>
        <v>TN</v>
      </c>
      <c r="C4427" t="str">
        <f>[1]!hospitalinfo[[#This Row],[Hospital Type]]</f>
        <v>Acute Care Hospitals</v>
      </c>
      <c r="D4427" t="str">
        <f>[1]!hospitalinfo[[#This Row],[Hospital Ownership]]</f>
        <v>Proprietary</v>
      </c>
      <c r="E4427" t="str" cm="1">
        <f t="array" ref="E4427">_xlfn.IFNA(_xlfn.XLOOKUP(1,([1]!hcahps[Facility ID] = clean[[#This Row],[Facility ID]]) * ([1]!hcahps[HCAHPS Measure ID] = "H_HSP_RATING_LINEAR_SCORE"), [1]!hcahps[HCAHPS Linear Mean Value]), "No Match")</f>
        <v>Not Available</v>
      </c>
      <c r="F4427" t="str" cm="1">
        <f t="array" ref="F4427">_xlfn.IFNA(_xlfn.XLOOKUP(1,([1]!readmissions[Facility ID] = clean[[#This Row],[Facility ID]]) * ([1]!readmissions[Measure ID] = "Hybrid_HWR"), [1]!readmissions[Score]), "No Match")</f>
        <v>Not Available</v>
      </c>
    </row>
    <row r="4428" spans="1:6" x14ac:dyDescent="0.2">
      <c r="A4428">
        <f>[1]!hospitalinfo[[#This Row],[Facility ID]]</f>
        <v>440238</v>
      </c>
      <c r="B4428" t="str">
        <f>[1]!hospitalinfo[[#This Row],[State]]</f>
        <v>TN</v>
      </c>
      <c r="C4428" t="str">
        <f>[1]!hospitalinfo[[#This Row],[Hospital Type]]</f>
        <v>Acute Care Hospitals</v>
      </c>
      <c r="D4428" t="str">
        <f>[1]!hospitalinfo[[#This Row],[Hospital Ownership]]</f>
        <v>Proprietary</v>
      </c>
      <c r="E4428" t="str" cm="1">
        <f t="array" ref="E4428">_xlfn.IFNA(_xlfn.XLOOKUP(1,([1]!hcahps[Facility ID] = clean[[#This Row],[Facility ID]]) * ([1]!hcahps[HCAHPS Measure ID] = "H_HSP_RATING_LINEAR_SCORE"), [1]!hcahps[HCAHPS Linear Mean Value]), "No Match")</f>
        <v>Not Available</v>
      </c>
      <c r="F4428" cm="1">
        <f t="array" ref="F4428">_xlfn.IFNA(_xlfn.XLOOKUP(1,([1]!readmissions[Facility ID] = clean[[#This Row],[Facility ID]]) * ([1]!readmissions[Measure ID] = "Hybrid_HWR"), [1]!readmissions[Score]), "No Match")</f>
        <v>15.4</v>
      </c>
    </row>
    <row r="4429" spans="1:6" x14ac:dyDescent="0.2">
      <c r="A4429">
        <f>[1]!hospitalinfo[[#This Row],[Facility ID]]</f>
        <v>440779</v>
      </c>
      <c r="B4429" t="str">
        <f>[1]!hospitalinfo[[#This Row],[State]]</f>
        <v>TN</v>
      </c>
      <c r="C4429" t="str">
        <f>[1]!hospitalinfo[[#This Row],[Hospital Type]]</f>
        <v>Rural Emergency Hospital</v>
      </c>
      <c r="D4429" t="str">
        <f>[1]!hospitalinfo[[#This Row],[Hospital Ownership]]</f>
        <v>Proprietary</v>
      </c>
      <c r="E4429" t="str" cm="1">
        <f t="array" ref="E4429">_xlfn.IFNA(_xlfn.XLOOKUP(1,([1]!hcahps[Facility ID] = clean[[#This Row],[Facility ID]]) * ([1]!hcahps[HCAHPS Measure ID] = "H_HSP_RATING_LINEAR_SCORE"), [1]!hcahps[HCAHPS Linear Mean Value]), "No Match")</f>
        <v>Not Available</v>
      </c>
      <c r="F4429" t="str" cm="1">
        <f t="array" ref="F4429">_xlfn.IFNA(_xlfn.XLOOKUP(1,([1]!readmissions[Facility ID] = clean[[#This Row],[Facility ID]]) * ([1]!readmissions[Measure ID] = "Hybrid_HWR"), [1]!readmissions[Score]), "No Match")</f>
        <v>Not Available</v>
      </c>
    </row>
    <row r="4430" spans="1:6" x14ac:dyDescent="0.2">
      <c r="A4430">
        <f>[1]!hospitalinfo[[#This Row],[Facility ID]]</f>
        <v>440780</v>
      </c>
      <c r="B4430" t="str">
        <f>[1]!hospitalinfo[[#This Row],[State]]</f>
        <v>TN</v>
      </c>
      <c r="C4430" t="str">
        <f>[1]!hospitalinfo[[#This Row],[Hospital Type]]</f>
        <v>Rural Emergency Hospital</v>
      </c>
      <c r="D4430" t="str">
        <f>[1]!hospitalinfo[[#This Row],[Hospital Ownership]]</f>
        <v>Voluntary non-profit - Other</v>
      </c>
      <c r="E4430" t="str" cm="1">
        <f t="array" ref="E4430">_xlfn.IFNA(_xlfn.XLOOKUP(1,([1]!hcahps[Facility ID] = clean[[#This Row],[Facility ID]]) * ([1]!hcahps[HCAHPS Measure ID] = "H_HSP_RATING_LINEAR_SCORE"), [1]!hcahps[HCAHPS Linear Mean Value]), "No Match")</f>
        <v>Not Available</v>
      </c>
      <c r="F4430" t="str" cm="1">
        <f t="array" ref="F4430">_xlfn.IFNA(_xlfn.XLOOKUP(1,([1]!readmissions[Facility ID] = clean[[#This Row],[Facility ID]]) * ([1]!readmissions[Measure ID] = "Hybrid_HWR"), [1]!readmissions[Score]), "No Match")</f>
        <v>Not Available</v>
      </c>
    </row>
    <row r="4431" spans="1:6" x14ac:dyDescent="0.2">
      <c r="A4431">
        <f>[1]!hospitalinfo[[#This Row],[Facility ID]]</f>
        <v>441300</v>
      </c>
      <c r="B4431" t="str">
        <f>[1]!hospitalinfo[[#This Row],[State]]</f>
        <v>TN</v>
      </c>
      <c r="C4431" t="str">
        <f>[1]!hospitalinfo[[#This Row],[Hospital Type]]</f>
        <v>Critical Access Hospitals</v>
      </c>
      <c r="D4431" t="str">
        <f>[1]!hospitalinfo[[#This Row],[Hospital Ownership]]</f>
        <v>Voluntary non-profit - Private</v>
      </c>
      <c r="E4431" t="str" cm="1">
        <f t="array" ref="E4431">_xlfn.IFNA(_xlfn.XLOOKUP(1,([1]!hcahps[Facility ID] = clean[[#This Row],[Facility ID]]) * ([1]!hcahps[HCAHPS Measure ID] = "H_HSP_RATING_LINEAR_SCORE"), [1]!hcahps[HCAHPS Linear Mean Value]), "No Match")</f>
        <v>Not Available</v>
      </c>
      <c r="F4431" t="str" cm="1">
        <f t="array" ref="F4431">_xlfn.IFNA(_xlfn.XLOOKUP(1,([1]!readmissions[Facility ID] = clean[[#This Row],[Facility ID]]) * ([1]!readmissions[Measure ID] = "Hybrid_HWR"), [1]!readmissions[Score]), "No Match")</f>
        <v>Not Available</v>
      </c>
    </row>
    <row r="4432" spans="1:6" x14ac:dyDescent="0.2">
      <c r="A4432">
        <f>[1]!hospitalinfo[[#This Row],[Facility ID]]</f>
        <v>441301</v>
      </c>
      <c r="B4432" t="str">
        <f>[1]!hospitalinfo[[#This Row],[State]]</f>
        <v>TN</v>
      </c>
      <c r="C4432" t="str">
        <f>[1]!hospitalinfo[[#This Row],[Hospital Type]]</f>
        <v>Critical Access Hospitals</v>
      </c>
      <c r="D4432" t="str">
        <f>[1]!hospitalinfo[[#This Row],[Hospital Ownership]]</f>
        <v>Voluntary non-profit - Other</v>
      </c>
      <c r="E4432" t="str" cm="1">
        <f t="array" ref="E4432">_xlfn.IFNA(_xlfn.XLOOKUP(1,([1]!hcahps[Facility ID] = clean[[#This Row],[Facility ID]]) * ([1]!hcahps[HCAHPS Measure ID] = "H_HSP_RATING_LINEAR_SCORE"), [1]!hcahps[HCAHPS Linear Mean Value]), "No Match")</f>
        <v>Not Available</v>
      </c>
      <c r="F4432" cm="1">
        <f t="array" ref="F4432">_xlfn.IFNA(_xlfn.XLOOKUP(1,([1]!readmissions[Facility ID] = clean[[#This Row],[Facility ID]]) * ([1]!readmissions[Measure ID] = "Hybrid_HWR"), [1]!readmissions[Score]), "No Match")</f>
        <v>14.8</v>
      </c>
    </row>
    <row r="4433" spans="1:6" x14ac:dyDescent="0.2">
      <c r="A4433">
        <f>[1]!hospitalinfo[[#This Row],[Facility ID]]</f>
        <v>441303</v>
      </c>
      <c r="B4433" t="str">
        <f>[1]!hospitalinfo[[#This Row],[State]]</f>
        <v>TN</v>
      </c>
      <c r="C4433" t="str">
        <f>[1]!hospitalinfo[[#This Row],[Hospital Type]]</f>
        <v>Critical Access Hospitals</v>
      </c>
      <c r="D4433" t="str">
        <f>[1]!hospitalinfo[[#This Row],[Hospital Ownership]]</f>
        <v>Voluntary non-profit - Private</v>
      </c>
      <c r="E4433" t="str" cm="1">
        <f t="array" ref="E4433">_xlfn.IFNA(_xlfn.XLOOKUP(1,([1]!hcahps[Facility ID] = clean[[#This Row],[Facility ID]]) * ([1]!hcahps[HCAHPS Measure ID] = "H_HSP_RATING_LINEAR_SCORE"), [1]!hcahps[HCAHPS Linear Mean Value]), "No Match")</f>
        <v>Not Available</v>
      </c>
      <c r="F4433" cm="1">
        <f t="array" ref="F4433">_xlfn.IFNA(_xlfn.XLOOKUP(1,([1]!readmissions[Facility ID] = clean[[#This Row],[Facility ID]]) * ([1]!readmissions[Measure ID] = "Hybrid_HWR"), [1]!readmissions[Score]), "No Match")</f>
        <v>15.6</v>
      </c>
    </row>
    <row r="4434" spans="1:6" x14ac:dyDescent="0.2">
      <c r="A4434">
        <f>[1]!hospitalinfo[[#This Row],[Facility ID]]</f>
        <v>441304</v>
      </c>
      <c r="B4434" t="str">
        <f>[1]!hospitalinfo[[#This Row],[State]]</f>
        <v>TN</v>
      </c>
      <c r="C4434" t="str">
        <f>[1]!hospitalinfo[[#This Row],[Hospital Type]]</f>
        <v>Critical Access Hospitals</v>
      </c>
      <c r="D4434" t="str">
        <f>[1]!hospitalinfo[[#This Row],[Hospital Ownership]]</f>
        <v>Voluntary non-profit - Private</v>
      </c>
      <c r="E4434" t="str" cm="1">
        <f t="array" ref="E4434">_xlfn.IFNA(_xlfn.XLOOKUP(1,([1]!hcahps[Facility ID] = clean[[#This Row],[Facility ID]]) * ([1]!hcahps[HCAHPS Measure ID] = "H_HSP_RATING_LINEAR_SCORE"), [1]!hcahps[HCAHPS Linear Mean Value]), "No Match")</f>
        <v>Not Available</v>
      </c>
      <c r="F4434" t="str" cm="1">
        <f t="array" ref="F4434">_xlfn.IFNA(_xlfn.XLOOKUP(1,([1]!readmissions[Facility ID] = clean[[#This Row],[Facility ID]]) * ([1]!readmissions[Measure ID] = "Hybrid_HWR"), [1]!readmissions[Score]), "No Match")</f>
        <v>Not Available</v>
      </c>
    </row>
    <row r="4435" spans="1:6" x14ac:dyDescent="0.2">
      <c r="A4435">
        <f>[1]!hospitalinfo[[#This Row],[Facility ID]]</f>
        <v>441305</v>
      </c>
      <c r="B4435" t="str">
        <f>[1]!hospitalinfo[[#This Row],[State]]</f>
        <v>TN</v>
      </c>
      <c r="C4435" t="str">
        <f>[1]!hospitalinfo[[#This Row],[Hospital Type]]</f>
        <v>Critical Access Hospitals</v>
      </c>
      <c r="D4435" t="str">
        <f>[1]!hospitalinfo[[#This Row],[Hospital Ownership]]</f>
        <v>Voluntary non-profit - Private</v>
      </c>
      <c r="E4435" t="str" cm="1">
        <f t="array" ref="E4435">_xlfn.IFNA(_xlfn.XLOOKUP(1,([1]!hcahps[Facility ID] = clean[[#This Row],[Facility ID]]) * ([1]!hcahps[HCAHPS Measure ID] = "H_HSP_RATING_LINEAR_SCORE"), [1]!hcahps[HCAHPS Linear Mean Value]), "No Match")</f>
        <v>Not Available</v>
      </c>
      <c r="F4435" cm="1">
        <f t="array" ref="F4435">_xlfn.IFNA(_xlfn.XLOOKUP(1,([1]!readmissions[Facility ID] = clean[[#This Row],[Facility ID]]) * ([1]!readmissions[Measure ID] = "Hybrid_HWR"), [1]!readmissions[Score]), "No Match")</f>
        <v>15.1</v>
      </c>
    </row>
    <row r="4436" spans="1:6" x14ac:dyDescent="0.2">
      <c r="A4436">
        <f>[1]!hospitalinfo[[#This Row],[Facility ID]]</f>
        <v>441306</v>
      </c>
      <c r="B4436" t="str">
        <f>[1]!hospitalinfo[[#This Row],[State]]</f>
        <v>TN</v>
      </c>
      <c r="C4436" t="str">
        <f>[1]!hospitalinfo[[#This Row],[Hospital Type]]</f>
        <v>Critical Access Hospitals</v>
      </c>
      <c r="D4436" t="str">
        <f>[1]!hospitalinfo[[#This Row],[Hospital Ownership]]</f>
        <v>Government - Hospital District or Authority</v>
      </c>
      <c r="E4436" t="str" cm="1">
        <f t="array" ref="E4436">_xlfn.IFNA(_xlfn.XLOOKUP(1,([1]!hcahps[Facility ID] = clean[[#This Row],[Facility ID]]) * ([1]!hcahps[HCAHPS Measure ID] = "H_HSP_RATING_LINEAR_SCORE"), [1]!hcahps[HCAHPS Linear Mean Value]), "No Match")</f>
        <v>Not Available</v>
      </c>
      <c r="F4436" cm="1">
        <f t="array" ref="F4436">_xlfn.IFNA(_xlfn.XLOOKUP(1,([1]!readmissions[Facility ID] = clean[[#This Row],[Facility ID]]) * ([1]!readmissions[Measure ID] = "Hybrid_HWR"), [1]!readmissions[Score]), "No Match")</f>
        <v>14.6</v>
      </c>
    </row>
    <row r="4437" spans="1:6" x14ac:dyDescent="0.2">
      <c r="A4437">
        <f>[1]!hospitalinfo[[#This Row],[Facility ID]]</f>
        <v>441307</v>
      </c>
      <c r="B4437" t="str">
        <f>[1]!hospitalinfo[[#This Row],[State]]</f>
        <v>TN</v>
      </c>
      <c r="C4437" t="str">
        <f>[1]!hospitalinfo[[#This Row],[Hospital Type]]</f>
        <v>Critical Access Hospitals</v>
      </c>
      <c r="D4437" t="str">
        <f>[1]!hospitalinfo[[#This Row],[Hospital Ownership]]</f>
        <v>Proprietary</v>
      </c>
      <c r="E4437" cm="1">
        <f t="array" ref="E4437">_xlfn.IFNA(_xlfn.XLOOKUP(1,([1]!hcahps[Facility ID] = clean[[#This Row],[Facility ID]]) * ([1]!hcahps[HCAHPS Measure ID] = "H_HSP_RATING_LINEAR_SCORE"), [1]!hcahps[HCAHPS Linear Mean Value]), "No Match")</f>
        <v>95</v>
      </c>
      <c r="F4437" cm="1">
        <f t="array" ref="F4437">_xlfn.IFNA(_xlfn.XLOOKUP(1,([1]!readmissions[Facility ID] = clean[[#This Row],[Facility ID]]) * ([1]!readmissions[Measure ID] = "Hybrid_HWR"), [1]!readmissions[Score]), "No Match")</f>
        <v>15.9</v>
      </c>
    </row>
    <row r="4438" spans="1:6" x14ac:dyDescent="0.2">
      <c r="A4438">
        <f>[1]!hospitalinfo[[#This Row],[Facility ID]]</f>
        <v>441309</v>
      </c>
      <c r="B4438" t="str">
        <f>[1]!hospitalinfo[[#This Row],[State]]</f>
        <v>TN</v>
      </c>
      <c r="C4438" t="str">
        <f>[1]!hospitalinfo[[#This Row],[Hospital Type]]</f>
        <v>Critical Access Hospitals</v>
      </c>
      <c r="D4438" t="str">
        <f>[1]!hospitalinfo[[#This Row],[Hospital Ownership]]</f>
        <v>Government - Hospital District or Authority</v>
      </c>
      <c r="E4438" t="str" cm="1">
        <f t="array" ref="E4438">_xlfn.IFNA(_xlfn.XLOOKUP(1,([1]!hcahps[Facility ID] = clean[[#This Row],[Facility ID]]) * ([1]!hcahps[HCAHPS Measure ID] = "H_HSP_RATING_LINEAR_SCORE"), [1]!hcahps[HCAHPS Linear Mean Value]), "No Match")</f>
        <v>Not Available</v>
      </c>
      <c r="F4438" cm="1">
        <f t="array" ref="F4438">_xlfn.IFNA(_xlfn.XLOOKUP(1,([1]!readmissions[Facility ID] = clean[[#This Row],[Facility ID]]) * ([1]!readmissions[Measure ID] = "Hybrid_HWR"), [1]!readmissions[Score]), "No Match")</f>
        <v>15.6</v>
      </c>
    </row>
    <row r="4439" spans="1:6" x14ac:dyDescent="0.2">
      <c r="A4439">
        <f>[1]!hospitalinfo[[#This Row],[Facility ID]]</f>
        <v>441310</v>
      </c>
      <c r="B4439" t="str">
        <f>[1]!hospitalinfo[[#This Row],[State]]</f>
        <v>TN</v>
      </c>
      <c r="C4439" t="str">
        <f>[1]!hospitalinfo[[#This Row],[Hospital Type]]</f>
        <v>Critical Access Hospitals</v>
      </c>
      <c r="D4439" t="str">
        <f>[1]!hospitalinfo[[#This Row],[Hospital Ownership]]</f>
        <v>Government - Local</v>
      </c>
      <c r="E4439" cm="1">
        <f t="array" ref="E4439">_xlfn.IFNA(_xlfn.XLOOKUP(1,([1]!hcahps[Facility ID] = clean[[#This Row],[Facility ID]]) * ([1]!hcahps[HCAHPS Measure ID] = "H_HSP_RATING_LINEAR_SCORE"), [1]!hcahps[HCAHPS Linear Mean Value]), "No Match")</f>
        <v>90</v>
      </c>
      <c r="F4439" cm="1">
        <f t="array" ref="F4439">_xlfn.IFNA(_xlfn.XLOOKUP(1,([1]!readmissions[Facility ID] = clean[[#This Row],[Facility ID]]) * ([1]!readmissions[Measure ID] = "Hybrid_HWR"), [1]!readmissions[Score]), "No Match")</f>
        <v>14.8</v>
      </c>
    </row>
    <row r="4440" spans="1:6" x14ac:dyDescent="0.2">
      <c r="A4440">
        <f>[1]!hospitalinfo[[#This Row],[Facility ID]]</f>
        <v>441313</v>
      </c>
      <c r="B4440" t="str">
        <f>[1]!hospitalinfo[[#This Row],[State]]</f>
        <v>TN</v>
      </c>
      <c r="C4440" t="str">
        <f>[1]!hospitalinfo[[#This Row],[Hospital Type]]</f>
        <v>Critical Access Hospitals</v>
      </c>
      <c r="D4440" t="str">
        <f>[1]!hospitalinfo[[#This Row],[Hospital Ownership]]</f>
        <v>Voluntary non-profit - Other</v>
      </c>
      <c r="E4440" t="str" cm="1">
        <f t="array" ref="E4440">_xlfn.IFNA(_xlfn.XLOOKUP(1,([1]!hcahps[Facility ID] = clean[[#This Row],[Facility ID]]) * ([1]!hcahps[HCAHPS Measure ID] = "H_HSP_RATING_LINEAR_SCORE"), [1]!hcahps[HCAHPS Linear Mean Value]), "No Match")</f>
        <v>Not Available</v>
      </c>
      <c r="F4440" t="str" cm="1">
        <f t="array" ref="F4440">_xlfn.IFNA(_xlfn.XLOOKUP(1,([1]!readmissions[Facility ID] = clean[[#This Row],[Facility ID]]) * ([1]!readmissions[Measure ID] = "Hybrid_HWR"), [1]!readmissions[Score]), "No Match")</f>
        <v>Not Available</v>
      </c>
    </row>
    <row r="4441" spans="1:6" x14ac:dyDescent="0.2">
      <c r="A4441">
        <f>[1]!hospitalinfo[[#This Row],[Facility ID]]</f>
        <v>441314</v>
      </c>
      <c r="B4441" t="str">
        <f>[1]!hospitalinfo[[#This Row],[State]]</f>
        <v>TN</v>
      </c>
      <c r="C4441" t="str">
        <f>[1]!hospitalinfo[[#This Row],[Hospital Type]]</f>
        <v>Critical Access Hospitals</v>
      </c>
      <c r="D4441" t="str">
        <f>[1]!hospitalinfo[[#This Row],[Hospital Ownership]]</f>
        <v>Proprietary</v>
      </c>
      <c r="E4441" t="str" cm="1">
        <f t="array" ref="E4441">_xlfn.IFNA(_xlfn.XLOOKUP(1,([1]!hcahps[Facility ID] = clean[[#This Row],[Facility ID]]) * ([1]!hcahps[HCAHPS Measure ID] = "H_HSP_RATING_LINEAR_SCORE"), [1]!hcahps[HCAHPS Linear Mean Value]), "No Match")</f>
        <v>Not Available</v>
      </c>
      <c r="F4441" cm="1">
        <f t="array" ref="F4441">_xlfn.IFNA(_xlfn.XLOOKUP(1,([1]!readmissions[Facility ID] = clean[[#This Row],[Facility ID]]) * ([1]!readmissions[Measure ID] = "Hybrid_HWR"), [1]!readmissions[Score]), "No Match")</f>
        <v>15.2</v>
      </c>
    </row>
    <row r="4442" spans="1:6" x14ac:dyDescent="0.2">
      <c r="A4442">
        <f>[1]!hospitalinfo[[#This Row],[Facility ID]]</f>
        <v>441316</v>
      </c>
      <c r="B4442" t="str">
        <f>[1]!hospitalinfo[[#This Row],[State]]</f>
        <v>TN</v>
      </c>
      <c r="C4442" t="str">
        <f>[1]!hospitalinfo[[#This Row],[Hospital Type]]</f>
        <v>Critical Access Hospitals</v>
      </c>
      <c r="D4442" t="str">
        <f>[1]!hospitalinfo[[#This Row],[Hospital Ownership]]</f>
        <v>Government - Hospital District or Authority</v>
      </c>
      <c r="E4442" t="str" cm="1">
        <f t="array" ref="E4442">_xlfn.IFNA(_xlfn.XLOOKUP(1,([1]!hcahps[Facility ID] = clean[[#This Row],[Facility ID]]) * ([1]!hcahps[HCAHPS Measure ID] = "H_HSP_RATING_LINEAR_SCORE"), [1]!hcahps[HCAHPS Linear Mean Value]), "No Match")</f>
        <v>Not Available</v>
      </c>
      <c r="F4442" cm="1">
        <f t="array" ref="F4442">_xlfn.IFNA(_xlfn.XLOOKUP(1,([1]!readmissions[Facility ID] = clean[[#This Row],[Facility ID]]) * ([1]!readmissions[Measure ID] = "Hybrid_HWR"), [1]!readmissions[Score]), "No Match")</f>
        <v>14.9</v>
      </c>
    </row>
    <row r="4443" spans="1:6" x14ac:dyDescent="0.2">
      <c r="A4443">
        <f>[1]!hospitalinfo[[#This Row],[Facility ID]]</f>
        <v>441320</v>
      </c>
      <c r="B4443" t="str">
        <f>[1]!hospitalinfo[[#This Row],[State]]</f>
        <v>TN</v>
      </c>
      <c r="C4443" t="str">
        <f>[1]!hospitalinfo[[#This Row],[Hospital Type]]</f>
        <v>Critical Access Hospitals</v>
      </c>
      <c r="D4443" t="str">
        <f>[1]!hospitalinfo[[#This Row],[Hospital Ownership]]</f>
        <v>Government - Hospital District or Authority</v>
      </c>
      <c r="E4443" t="str" cm="1">
        <f t="array" ref="E4443">_xlfn.IFNA(_xlfn.XLOOKUP(1,([1]!hcahps[Facility ID] = clean[[#This Row],[Facility ID]]) * ([1]!hcahps[HCAHPS Measure ID] = "H_HSP_RATING_LINEAR_SCORE"), [1]!hcahps[HCAHPS Linear Mean Value]), "No Match")</f>
        <v>Not Available</v>
      </c>
      <c r="F4443" t="str" cm="1">
        <f t="array" ref="F4443">_xlfn.IFNA(_xlfn.XLOOKUP(1,([1]!readmissions[Facility ID] = clean[[#This Row],[Facility ID]]) * ([1]!readmissions[Measure ID] = "Hybrid_HWR"), [1]!readmissions[Score]), "No Match")</f>
        <v>Not Available</v>
      </c>
    </row>
    <row r="4444" spans="1:6" x14ac:dyDescent="0.2">
      <c r="A4444">
        <f>[1]!hospitalinfo[[#This Row],[Facility ID]]</f>
        <v>441322</v>
      </c>
      <c r="B4444" t="str">
        <f>[1]!hospitalinfo[[#This Row],[State]]</f>
        <v>TN</v>
      </c>
      <c r="C4444" t="str">
        <f>[1]!hospitalinfo[[#This Row],[Hospital Type]]</f>
        <v>Critical Access Hospitals</v>
      </c>
      <c r="D4444" t="str">
        <f>[1]!hospitalinfo[[#This Row],[Hospital Ownership]]</f>
        <v>Government - Local</v>
      </c>
      <c r="E4444" t="str" cm="1">
        <f t="array" ref="E4444">_xlfn.IFNA(_xlfn.XLOOKUP(1,([1]!hcahps[Facility ID] = clean[[#This Row],[Facility ID]]) * ([1]!hcahps[HCAHPS Measure ID] = "H_HSP_RATING_LINEAR_SCORE"), [1]!hcahps[HCAHPS Linear Mean Value]), "No Match")</f>
        <v>Not Available</v>
      </c>
      <c r="F4444" cm="1">
        <f t="array" ref="F4444">_xlfn.IFNA(_xlfn.XLOOKUP(1,([1]!readmissions[Facility ID] = clean[[#This Row],[Facility ID]]) * ([1]!readmissions[Measure ID] = "Hybrid_HWR"), [1]!readmissions[Score]), "No Match")</f>
        <v>14.8</v>
      </c>
    </row>
    <row r="4445" spans="1:6" x14ac:dyDescent="0.2">
      <c r="A4445">
        <f>[1]!hospitalinfo[[#This Row],[Facility ID]]</f>
        <v>441323</v>
      </c>
      <c r="B4445" t="str">
        <f>[1]!hospitalinfo[[#This Row],[State]]</f>
        <v>TN</v>
      </c>
      <c r="C4445" t="str">
        <f>[1]!hospitalinfo[[#This Row],[Hospital Type]]</f>
        <v>Critical Access Hospitals</v>
      </c>
      <c r="D4445" t="str">
        <f>[1]!hospitalinfo[[#This Row],[Hospital Ownership]]</f>
        <v>Proprietary</v>
      </c>
      <c r="E4445" t="str" cm="1">
        <f t="array" ref="E4445">_xlfn.IFNA(_xlfn.XLOOKUP(1,([1]!hcahps[Facility ID] = clean[[#This Row],[Facility ID]]) * ([1]!hcahps[HCAHPS Measure ID] = "H_HSP_RATING_LINEAR_SCORE"), [1]!hcahps[HCAHPS Linear Mean Value]), "No Match")</f>
        <v>Not Available</v>
      </c>
      <c r="F4445" t="str" cm="1">
        <f t="array" ref="F4445">_xlfn.IFNA(_xlfn.XLOOKUP(1,([1]!readmissions[Facility ID] = clean[[#This Row],[Facility ID]]) * ([1]!readmissions[Measure ID] = "Hybrid_HWR"), [1]!readmissions[Score]), "No Match")</f>
        <v>Not Available</v>
      </c>
    </row>
    <row r="4446" spans="1:6" x14ac:dyDescent="0.2">
      <c r="A4446">
        <f>[1]!hospitalinfo[[#This Row],[Facility ID]]</f>
        <v>443302</v>
      </c>
      <c r="B4446" t="str">
        <f>[1]!hospitalinfo[[#This Row],[State]]</f>
        <v>TN</v>
      </c>
      <c r="C4446" t="str">
        <f>[1]!hospitalinfo[[#This Row],[Hospital Type]]</f>
        <v>Childrens</v>
      </c>
      <c r="D4446" t="str">
        <f>[1]!hospitalinfo[[#This Row],[Hospital Ownership]]</f>
        <v>Voluntary non-profit - Private</v>
      </c>
      <c r="E4446" t="str" cm="1">
        <f t="array" ref="E4446">_xlfn.IFNA(_xlfn.XLOOKUP(1,([1]!hcahps[Facility ID] = clean[[#This Row],[Facility ID]]) * ([1]!hcahps[HCAHPS Measure ID] = "H_HSP_RATING_LINEAR_SCORE"), [1]!hcahps[HCAHPS Linear Mean Value]), "No Match")</f>
        <v>Not Available</v>
      </c>
      <c r="F4446" t="str" cm="1">
        <f t="array" ref="F4446">_xlfn.IFNA(_xlfn.XLOOKUP(1,([1]!readmissions[Facility ID] = clean[[#This Row],[Facility ID]]) * ([1]!readmissions[Measure ID] = "Hybrid_HWR"), [1]!readmissions[Score]), "No Match")</f>
        <v>Not Available</v>
      </c>
    </row>
    <row r="4447" spans="1:6" x14ac:dyDescent="0.2">
      <c r="A4447">
        <f>[1]!hospitalinfo[[#This Row],[Facility ID]]</f>
        <v>443303</v>
      </c>
      <c r="B4447" t="str">
        <f>[1]!hospitalinfo[[#This Row],[State]]</f>
        <v>TN</v>
      </c>
      <c r="C4447" t="str">
        <f>[1]!hospitalinfo[[#This Row],[Hospital Type]]</f>
        <v>Childrens</v>
      </c>
      <c r="D4447" t="str">
        <f>[1]!hospitalinfo[[#This Row],[Hospital Ownership]]</f>
        <v>Voluntary non-profit - Private</v>
      </c>
      <c r="E4447" t="str" cm="1">
        <f t="array" ref="E4447">_xlfn.IFNA(_xlfn.XLOOKUP(1,([1]!hcahps[Facility ID] = clean[[#This Row],[Facility ID]]) * ([1]!hcahps[HCAHPS Measure ID] = "H_HSP_RATING_LINEAR_SCORE"), [1]!hcahps[HCAHPS Linear Mean Value]), "No Match")</f>
        <v>Not Available</v>
      </c>
      <c r="F4447" t="str" cm="1">
        <f t="array" ref="F4447">_xlfn.IFNA(_xlfn.XLOOKUP(1,([1]!readmissions[Facility ID] = clean[[#This Row],[Facility ID]]) * ([1]!readmissions[Measure ID] = "Hybrid_HWR"), [1]!readmissions[Score]), "No Match")</f>
        <v>Not Available</v>
      </c>
    </row>
    <row r="4448" spans="1:6" x14ac:dyDescent="0.2">
      <c r="A4448">
        <f>[1]!hospitalinfo[[#This Row],[Facility ID]]</f>
        <v>444001</v>
      </c>
      <c r="B4448" t="str">
        <f>[1]!hospitalinfo[[#This Row],[State]]</f>
        <v>TN</v>
      </c>
      <c r="C4448" t="str">
        <f>[1]!hospitalinfo[[#This Row],[Hospital Type]]</f>
        <v>Psychiatric</v>
      </c>
      <c r="D4448" t="str">
        <f>[1]!hospitalinfo[[#This Row],[Hospital Ownership]]</f>
        <v>Government - Local</v>
      </c>
      <c r="E4448" t="str" cm="1">
        <f t="array" ref="E4448">_xlfn.IFNA(_xlfn.XLOOKUP(1,([1]!hcahps[Facility ID] = clean[[#This Row],[Facility ID]]) * ([1]!hcahps[HCAHPS Measure ID] = "H_HSP_RATING_LINEAR_SCORE"), [1]!hcahps[HCAHPS Linear Mean Value]), "No Match")</f>
        <v>No Match</v>
      </c>
      <c r="F4448" t="str" cm="1">
        <f t="array" ref="F4448">_xlfn.IFNA(_xlfn.XLOOKUP(1,([1]!readmissions[Facility ID] = clean[[#This Row],[Facility ID]]) * ([1]!readmissions[Measure ID] = "Hybrid_HWR"), [1]!readmissions[Score]), "No Match")</f>
        <v>No Match</v>
      </c>
    </row>
    <row r="4449" spans="1:6" x14ac:dyDescent="0.2">
      <c r="A4449">
        <f>[1]!hospitalinfo[[#This Row],[Facility ID]]</f>
        <v>444002</v>
      </c>
      <c r="B4449" t="str">
        <f>[1]!hospitalinfo[[#This Row],[State]]</f>
        <v>TN</v>
      </c>
      <c r="C4449" t="str">
        <f>[1]!hospitalinfo[[#This Row],[Hospital Type]]</f>
        <v>Psychiatric</v>
      </c>
      <c r="D4449" t="str">
        <f>[1]!hospitalinfo[[#This Row],[Hospital Ownership]]</f>
        <v>Government - State</v>
      </c>
      <c r="E4449" t="str" cm="1">
        <f t="array" ref="E4449">_xlfn.IFNA(_xlfn.XLOOKUP(1,([1]!hcahps[Facility ID] = clean[[#This Row],[Facility ID]]) * ([1]!hcahps[HCAHPS Measure ID] = "H_HSP_RATING_LINEAR_SCORE"), [1]!hcahps[HCAHPS Linear Mean Value]), "No Match")</f>
        <v>No Match</v>
      </c>
      <c r="F4449" t="str" cm="1">
        <f t="array" ref="F4449">_xlfn.IFNA(_xlfn.XLOOKUP(1,([1]!readmissions[Facility ID] = clean[[#This Row],[Facility ID]]) * ([1]!readmissions[Measure ID] = "Hybrid_HWR"), [1]!readmissions[Score]), "No Match")</f>
        <v>No Match</v>
      </c>
    </row>
    <row r="4450" spans="1:6" x14ac:dyDescent="0.2">
      <c r="A4450">
        <f>[1]!hospitalinfo[[#This Row],[Facility ID]]</f>
        <v>444003</v>
      </c>
      <c r="B4450" t="str">
        <f>[1]!hospitalinfo[[#This Row],[State]]</f>
        <v>TN</v>
      </c>
      <c r="C4450" t="str">
        <f>[1]!hospitalinfo[[#This Row],[Hospital Type]]</f>
        <v>Psychiatric</v>
      </c>
      <c r="D4450" t="str">
        <f>[1]!hospitalinfo[[#This Row],[Hospital Ownership]]</f>
        <v>Voluntary non-profit - Private</v>
      </c>
      <c r="E4450" t="str" cm="1">
        <f t="array" ref="E4450">_xlfn.IFNA(_xlfn.XLOOKUP(1,([1]!hcahps[Facility ID] = clean[[#This Row],[Facility ID]]) * ([1]!hcahps[HCAHPS Measure ID] = "H_HSP_RATING_LINEAR_SCORE"), [1]!hcahps[HCAHPS Linear Mean Value]), "No Match")</f>
        <v>No Match</v>
      </c>
      <c r="F4450" t="str" cm="1">
        <f t="array" ref="F4450">_xlfn.IFNA(_xlfn.XLOOKUP(1,([1]!readmissions[Facility ID] = clean[[#This Row],[Facility ID]]) * ([1]!readmissions[Measure ID] = "Hybrid_HWR"), [1]!readmissions[Score]), "No Match")</f>
        <v>No Match</v>
      </c>
    </row>
    <row r="4451" spans="1:6" x14ac:dyDescent="0.2">
      <c r="A4451">
        <f>[1]!hospitalinfo[[#This Row],[Facility ID]]</f>
        <v>444004</v>
      </c>
      <c r="B4451" t="str">
        <f>[1]!hospitalinfo[[#This Row],[State]]</f>
        <v>TN</v>
      </c>
      <c r="C4451" t="str">
        <f>[1]!hospitalinfo[[#This Row],[Hospital Type]]</f>
        <v>Psychiatric</v>
      </c>
      <c r="D4451" t="str">
        <f>[1]!hospitalinfo[[#This Row],[Hospital Ownership]]</f>
        <v>Voluntary non-profit - Church</v>
      </c>
      <c r="E4451" t="str" cm="1">
        <f t="array" ref="E4451">_xlfn.IFNA(_xlfn.XLOOKUP(1,([1]!hcahps[Facility ID] = clean[[#This Row],[Facility ID]]) * ([1]!hcahps[HCAHPS Measure ID] = "H_HSP_RATING_LINEAR_SCORE"), [1]!hcahps[HCAHPS Linear Mean Value]), "No Match")</f>
        <v>No Match</v>
      </c>
      <c r="F4451" t="str" cm="1">
        <f t="array" ref="F4451">_xlfn.IFNA(_xlfn.XLOOKUP(1,([1]!readmissions[Facility ID] = clean[[#This Row],[Facility ID]]) * ([1]!readmissions[Measure ID] = "Hybrid_HWR"), [1]!readmissions[Score]), "No Match")</f>
        <v>No Match</v>
      </c>
    </row>
    <row r="4452" spans="1:6" x14ac:dyDescent="0.2">
      <c r="A4452">
        <f>[1]!hospitalinfo[[#This Row],[Facility ID]]</f>
        <v>444005</v>
      </c>
      <c r="B4452" t="str">
        <f>[1]!hospitalinfo[[#This Row],[State]]</f>
        <v>TN</v>
      </c>
      <c r="C4452" t="str">
        <f>[1]!hospitalinfo[[#This Row],[Hospital Type]]</f>
        <v>Psychiatric</v>
      </c>
      <c r="D4452" t="str">
        <f>[1]!hospitalinfo[[#This Row],[Hospital Ownership]]</f>
        <v>Proprietary</v>
      </c>
      <c r="E4452" t="str" cm="1">
        <f t="array" ref="E4452">_xlfn.IFNA(_xlfn.XLOOKUP(1,([1]!hcahps[Facility ID] = clean[[#This Row],[Facility ID]]) * ([1]!hcahps[HCAHPS Measure ID] = "H_HSP_RATING_LINEAR_SCORE"), [1]!hcahps[HCAHPS Linear Mean Value]), "No Match")</f>
        <v>No Match</v>
      </c>
      <c r="F4452" t="str" cm="1">
        <f t="array" ref="F4452">_xlfn.IFNA(_xlfn.XLOOKUP(1,([1]!readmissions[Facility ID] = clean[[#This Row],[Facility ID]]) * ([1]!readmissions[Measure ID] = "Hybrid_HWR"), [1]!readmissions[Score]), "No Match")</f>
        <v>No Match</v>
      </c>
    </row>
    <row r="4453" spans="1:6" x14ac:dyDescent="0.2">
      <c r="A4453">
        <f>[1]!hospitalinfo[[#This Row],[Facility ID]]</f>
        <v>444007</v>
      </c>
      <c r="B4453" t="str">
        <f>[1]!hospitalinfo[[#This Row],[State]]</f>
        <v>TN</v>
      </c>
      <c r="C4453" t="str">
        <f>[1]!hospitalinfo[[#This Row],[Hospital Type]]</f>
        <v>Psychiatric</v>
      </c>
      <c r="D4453" t="str">
        <f>[1]!hospitalinfo[[#This Row],[Hospital Ownership]]</f>
        <v>Voluntary non-profit - Private</v>
      </c>
      <c r="E4453" t="str" cm="1">
        <f t="array" ref="E4453">_xlfn.IFNA(_xlfn.XLOOKUP(1,([1]!hcahps[Facility ID] = clean[[#This Row],[Facility ID]]) * ([1]!hcahps[HCAHPS Measure ID] = "H_HSP_RATING_LINEAR_SCORE"), [1]!hcahps[HCAHPS Linear Mean Value]), "No Match")</f>
        <v>No Match</v>
      </c>
      <c r="F4453" t="str" cm="1">
        <f t="array" ref="F4453">_xlfn.IFNA(_xlfn.XLOOKUP(1,([1]!readmissions[Facility ID] = clean[[#This Row],[Facility ID]]) * ([1]!readmissions[Measure ID] = "Hybrid_HWR"), [1]!readmissions[Score]), "No Match")</f>
        <v>No Match</v>
      </c>
    </row>
    <row r="4454" spans="1:6" x14ac:dyDescent="0.2">
      <c r="A4454">
        <f>[1]!hospitalinfo[[#This Row],[Facility ID]]</f>
        <v>444008</v>
      </c>
      <c r="B4454" t="str">
        <f>[1]!hospitalinfo[[#This Row],[State]]</f>
        <v>TN</v>
      </c>
      <c r="C4454" t="str">
        <f>[1]!hospitalinfo[[#This Row],[Hospital Type]]</f>
        <v>Psychiatric</v>
      </c>
      <c r="D4454" t="str">
        <f>[1]!hospitalinfo[[#This Row],[Hospital Ownership]]</f>
        <v>Government - Local</v>
      </c>
      <c r="E4454" t="str" cm="1">
        <f t="array" ref="E4454">_xlfn.IFNA(_xlfn.XLOOKUP(1,([1]!hcahps[Facility ID] = clean[[#This Row],[Facility ID]]) * ([1]!hcahps[HCAHPS Measure ID] = "H_HSP_RATING_LINEAR_SCORE"), [1]!hcahps[HCAHPS Linear Mean Value]), "No Match")</f>
        <v>No Match</v>
      </c>
      <c r="F4454" t="str" cm="1">
        <f t="array" ref="F4454">_xlfn.IFNA(_xlfn.XLOOKUP(1,([1]!readmissions[Facility ID] = clean[[#This Row],[Facility ID]]) * ([1]!readmissions[Measure ID] = "Hybrid_HWR"), [1]!readmissions[Score]), "No Match")</f>
        <v>No Match</v>
      </c>
    </row>
    <row r="4455" spans="1:6" x14ac:dyDescent="0.2">
      <c r="A4455">
        <f>[1]!hospitalinfo[[#This Row],[Facility ID]]</f>
        <v>444010</v>
      </c>
      <c r="B4455" t="str">
        <f>[1]!hospitalinfo[[#This Row],[State]]</f>
        <v>TN</v>
      </c>
      <c r="C4455" t="str">
        <f>[1]!hospitalinfo[[#This Row],[Hospital Type]]</f>
        <v>Psychiatric</v>
      </c>
      <c r="D4455" t="str">
        <f>[1]!hospitalinfo[[#This Row],[Hospital Ownership]]</f>
        <v>Voluntary non-profit - Private</v>
      </c>
      <c r="E4455" t="str" cm="1">
        <f t="array" ref="E4455">_xlfn.IFNA(_xlfn.XLOOKUP(1,([1]!hcahps[Facility ID] = clean[[#This Row],[Facility ID]]) * ([1]!hcahps[HCAHPS Measure ID] = "H_HSP_RATING_LINEAR_SCORE"), [1]!hcahps[HCAHPS Linear Mean Value]), "No Match")</f>
        <v>No Match</v>
      </c>
      <c r="F4455" t="str" cm="1">
        <f t="array" ref="F4455">_xlfn.IFNA(_xlfn.XLOOKUP(1,([1]!readmissions[Facility ID] = clean[[#This Row],[Facility ID]]) * ([1]!readmissions[Measure ID] = "Hybrid_HWR"), [1]!readmissions[Score]), "No Match")</f>
        <v>No Match</v>
      </c>
    </row>
    <row r="4456" spans="1:6" x14ac:dyDescent="0.2">
      <c r="A4456">
        <f>[1]!hospitalinfo[[#This Row],[Facility ID]]</f>
        <v>444014</v>
      </c>
      <c r="B4456" t="str">
        <f>[1]!hospitalinfo[[#This Row],[State]]</f>
        <v>TN</v>
      </c>
      <c r="C4456" t="str">
        <f>[1]!hospitalinfo[[#This Row],[Hospital Type]]</f>
        <v>Psychiatric</v>
      </c>
      <c r="D4456" t="str">
        <f>[1]!hospitalinfo[[#This Row],[Hospital Ownership]]</f>
        <v>Government - State</v>
      </c>
      <c r="E4456" t="str" cm="1">
        <f t="array" ref="E4456">_xlfn.IFNA(_xlfn.XLOOKUP(1,([1]!hcahps[Facility ID] = clean[[#This Row],[Facility ID]]) * ([1]!hcahps[HCAHPS Measure ID] = "H_HSP_RATING_LINEAR_SCORE"), [1]!hcahps[HCAHPS Linear Mean Value]), "No Match")</f>
        <v>No Match</v>
      </c>
      <c r="F4456" t="str" cm="1">
        <f t="array" ref="F4456">_xlfn.IFNA(_xlfn.XLOOKUP(1,([1]!readmissions[Facility ID] = clean[[#This Row],[Facility ID]]) * ([1]!readmissions[Measure ID] = "Hybrid_HWR"), [1]!readmissions[Score]), "No Match")</f>
        <v>No Match</v>
      </c>
    </row>
    <row r="4457" spans="1:6" x14ac:dyDescent="0.2">
      <c r="A4457">
        <f>[1]!hospitalinfo[[#This Row],[Facility ID]]</f>
        <v>444019</v>
      </c>
      <c r="B4457" t="str">
        <f>[1]!hospitalinfo[[#This Row],[State]]</f>
        <v>TN</v>
      </c>
      <c r="C4457" t="str">
        <f>[1]!hospitalinfo[[#This Row],[Hospital Type]]</f>
        <v>Psychiatric</v>
      </c>
      <c r="D4457" t="str">
        <f>[1]!hospitalinfo[[#This Row],[Hospital Ownership]]</f>
        <v>Proprietary</v>
      </c>
      <c r="E4457" t="str" cm="1">
        <f t="array" ref="E4457">_xlfn.IFNA(_xlfn.XLOOKUP(1,([1]!hcahps[Facility ID] = clean[[#This Row],[Facility ID]]) * ([1]!hcahps[HCAHPS Measure ID] = "H_HSP_RATING_LINEAR_SCORE"), [1]!hcahps[HCAHPS Linear Mean Value]), "No Match")</f>
        <v>No Match</v>
      </c>
      <c r="F4457" t="str" cm="1">
        <f t="array" ref="F4457">_xlfn.IFNA(_xlfn.XLOOKUP(1,([1]!readmissions[Facility ID] = clean[[#This Row],[Facility ID]]) * ([1]!readmissions[Measure ID] = "Hybrid_HWR"), [1]!readmissions[Score]), "No Match")</f>
        <v>No Match</v>
      </c>
    </row>
    <row r="4458" spans="1:6" x14ac:dyDescent="0.2">
      <c r="A4458">
        <f>[1]!hospitalinfo[[#This Row],[Facility ID]]</f>
        <v>444021</v>
      </c>
      <c r="B4458" t="str">
        <f>[1]!hospitalinfo[[#This Row],[State]]</f>
        <v>TN</v>
      </c>
      <c r="C4458" t="str">
        <f>[1]!hospitalinfo[[#This Row],[Hospital Type]]</f>
        <v>Psychiatric</v>
      </c>
      <c r="D4458" t="str">
        <f>[1]!hospitalinfo[[#This Row],[Hospital Ownership]]</f>
        <v>Proprietary</v>
      </c>
      <c r="E4458" t="str" cm="1">
        <f t="array" ref="E4458">_xlfn.IFNA(_xlfn.XLOOKUP(1,([1]!hcahps[Facility ID] = clean[[#This Row],[Facility ID]]) * ([1]!hcahps[HCAHPS Measure ID] = "H_HSP_RATING_LINEAR_SCORE"), [1]!hcahps[HCAHPS Linear Mean Value]), "No Match")</f>
        <v>No Match</v>
      </c>
      <c r="F4458" t="str" cm="1">
        <f t="array" ref="F4458">_xlfn.IFNA(_xlfn.XLOOKUP(1,([1]!readmissions[Facility ID] = clean[[#This Row],[Facility ID]]) * ([1]!readmissions[Measure ID] = "Hybrid_HWR"), [1]!readmissions[Score]), "No Match")</f>
        <v>No Match</v>
      </c>
    </row>
    <row r="4459" spans="1:6" x14ac:dyDescent="0.2">
      <c r="A4459">
        <f>[1]!hospitalinfo[[#This Row],[Facility ID]]</f>
        <v>444023</v>
      </c>
      <c r="B4459" t="str">
        <f>[1]!hospitalinfo[[#This Row],[State]]</f>
        <v>TN</v>
      </c>
      <c r="C4459" t="str">
        <f>[1]!hospitalinfo[[#This Row],[Hospital Type]]</f>
        <v>Psychiatric</v>
      </c>
      <c r="D4459" t="str">
        <f>[1]!hospitalinfo[[#This Row],[Hospital Ownership]]</f>
        <v>Proprietary</v>
      </c>
      <c r="E4459" t="str" cm="1">
        <f t="array" ref="E4459">_xlfn.IFNA(_xlfn.XLOOKUP(1,([1]!hcahps[Facility ID] = clean[[#This Row],[Facility ID]]) * ([1]!hcahps[HCAHPS Measure ID] = "H_HSP_RATING_LINEAR_SCORE"), [1]!hcahps[HCAHPS Linear Mean Value]), "No Match")</f>
        <v>No Match</v>
      </c>
      <c r="F4459" t="str" cm="1">
        <f t="array" ref="F4459">_xlfn.IFNA(_xlfn.XLOOKUP(1,([1]!readmissions[Facility ID] = clean[[#This Row],[Facility ID]]) * ([1]!readmissions[Measure ID] = "Hybrid_HWR"), [1]!readmissions[Score]), "No Match")</f>
        <v>No Match</v>
      </c>
    </row>
    <row r="4460" spans="1:6" x14ac:dyDescent="0.2">
      <c r="A4460">
        <f>[1]!hospitalinfo[[#This Row],[Facility ID]]</f>
        <v>444024</v>
      </c>
      <c r="B4460" t="str">
        <f>[1]!hospitalinfo[[#This Row],[State]]</f>
        <v>TN</v>
      </c>
      <c r="C4460" t="str">
        <f>[1]!hospitalinfo[[#This Row],[Hospital Type]]</f>
        <v>Psychiatric</v>
      </c>
      <c r="D4460" t="str">
        <f>[1]!hospitalinfo[[#This Row],[Hospital Ownership]]</f>
        <v>Proprietary</v>
      </c>
      <c r="E4460" t="str" cm="1">
        <f t="array" ref="E4460">_xlfn.IFNA(_xlfn.XLOOKUP(1,([1]!hcahps[Facility ID] = clean[[#This Row],[Facility ID]]) * ([1]!hcahps[HCAHPS Measure ID] = "H_HSP_RATING_LINEAR_SCORE"), [1]!hcahps[HCAHPS Linear Mean Value]), "No Match")</f>
        <v>No Match</v>
      </c>
      <c r="F4460" t="str" cm="1">
        <f t="array" ref="F4460">_xlfn.IFNA(_xlfn.XLOOKUP(1,([1]!readmissions[Facility ID] = clean[[#This Row],[Facility ID]]) * ([1]!readmissions[Measure ID] = "Hybrid_HWR"), [1]!readmissions[Score]), "No Match")</f>
        <v>No Match</v>
      </c>
    </row>
    <row r="4461" spans="1:6" x14ac:dyDescent="0.2">
      <c r="A4461">
        <f>[1]!hospitalinfo[[#This Row],[Facility ID]]</f>
        <v>444025</v>
      </c>
      <c r="B4461" t="str">
        <f>[1]!hospitalinfo[[#This Row],[State]]</f>
        <v>TN</v>
      </c>
      <c r="C4461" t="str">
        <f>[1]!hospitalinfo[[#This Row],[Hospital Type]]</f>
        <v>Psychiatric</v>
      </c>
      <c r="D4461" t="str">
        <f>[1]!hospitalinfo[[#This Row],[Hospital Ownership]]</f>
        <v>Proprietary</v>
      </c>
      <c r="E4461" t="str" cm="1">
        <f t="array" ref="E4461">_xlfn.IFNA(_xlfn.XLOOKUP(1,([1]!hcahps[Facility ID] = clean[[#This Row],[Facility ID]]) * ([1]!hcahps[HCAHPS Measure ID] = "H_HSP_RATING_LINEAR_SCORE"), [1]!hcahps[HCAHPS Linear Mean Value]), "No Match")</f>
        <v>No Match</v>
      </c>
      <c r="F4461" t="str" cm="1">
        <f t="array" ref="F4461">_xlfn.IFNA(_xlfn.XLOOKUP(1,([1]!readmissions[Facility ID] = clean[[#This Row],[Facility ID]]) * ([1]!readmissions[Measure ID] = "Hybrid_HWR"), [1]!readmissions[Score]), "No Match")</f>
        <v>No Match</v>
      </c>
    </row>
    <row r="4462" spans="1:6" x14ac:dyDescent="0.2">
      <c r="A4462">
        <f>[1]!hospitalinfo[[#This Row],[Facility ID]]</f>
        <v>444026</v>
      </c>
      <c r="B4462" t="str">
        <f>[1]!hospitalinfo[[#This Row],[State]]</f>
        <v>TN</v>
      </c>
      <c r="C4462" t="str">
        <f>[1]!hospitalinfo[[#This Row],[Hospital Type]]</f>
        <v>Psychiatric</v>
      </c>
      <c r="D4462" t="str">
        <f>[1]!hospitalinfo[[#This Row],[Hospital Ownership]]</f>
        <v>Proprietary</v>
      </c>
      <c r="E4462" t="str" cm="1">
        <f t="array" ref="E4462">_xlfn.IFNA(_xlfn.XLOOKUP(1,([1]!hcahps[Facility ID] = clean[[#This Row],[Facility ID]]) * ([1]!hcahps[HCAHPS Measure ID] = "H_HSP_RATING_LINEAR_SCORE"), [1]!hcahps[HCAHPS Linear Mean Value]), "No Match")</f>
        <v>No Match</v>
      </c>
      <c r="F4462" t="str" cm="1">
        <f t="array" ref="F4462">_xlfn.IFNA(_xlfn.XLOOKUP(1,([1]!readmissions[Facility ID] = clean[[#This Row],[Facility ID]]) * ([1]!readmissions[Measure ID] = "Hybrid_HWR"), [1]!readmissions[Score]), "No Match")</f>
        <v>No Match</v>
      </c>
    </row>
    <row r="4463" spans="1:6" x14ac:dyDescent="0.2">
      <c r="A4463">
        <f>[1]!hospitalinfo[[#This Row],[Facility ID]]</f>
        <v>444027</v>
      </c>
      <c r="B4463" t="str">
        <f>[1]!hospitalinfo[[#This Row],[State]]</f>
        <v>TN</v>
      </c>
      <c r="C4463" t="str">
        <f>[1]!hospitalinfo[[#This Row],[Hospital Type]]</f>
        <v>Psychiatric</v>
      </c>
      <c r="D4463" t="str">
        <f>[1]!hospitalinfo[[#This Row],[Hospital Ownership]]</f>
        <v>Proprietary</v>
      </c>
      <c r="E4463" t="str" cm="1">
        <f t="array" ref="E4463">_xlfn.IFNA(_xlfn.XLOOKUP(1,([1]!hcahps[Facility ID] = clean[[#This Row],[Facility ID]]) * ([1]!hcahps[HCAHPS Measure ID] = "H_HSP_RATING_LINEAR_SCORE"), [1]!hcahps[HCAHPS Linear Mean Value]), "No Match")</f>
        <v>No Match</v>
      </c>
      <c r="F4463" t="str" cm="1">
        <f t="array" ref="F4463">_xlfn.IFNA(_xlfn.XLOOKUP(1,([1]!readmissions[Facility ID] = clean[[#This Row],[Facility ID]]) * ([1]!readmissions[Measure ID] = "Hybrid_HWR"), [1]!readmissions[Score]), "No Match")</f>
        <v>No Match</v>
      </c>
    </row>
    <row r="4464" spans="1:6" x14ac:dyDescent="0.2">
      <c r="A4464">
        <f>[1]!hospitalinfo[[#This Row],[Facility ID]]</f>
        <v>444029</v>
      </c>
      <c r="B4464" t="str">
        <f>[1]!hospitalinfo[[#This Row],[State]]</f>
        <v>TN</v>
      </c>
      <c r="C4464" t="str">
        <f>[1]!hospitalinfo[[#This Row],[Hospital Type]]</f>
        <v>Psychiatric</v>
      </c>
      <c r="D4464" t="str">
        <f>[1]!hospitalinfo[[#This Row],[Hospital Ownership]]</f>
        <v>Proprietary</v>
      </c>
      <c r="E4464" t="str" cm="1">
        <f t="array" ref="E4464">_xlfn.IFNA(_xlfn.XLOOKUP(1,([1]!hcahps[Facility ID] = clean[[#This Row],[Facility ID]]) * ([1]!hcahps[HCAHPS Measure ID] = "H_HSP_RATING_LINEAR_SCORE"), [1]!hcahps[HCAHPS Linear Mean Value]), "No Match")</f>
        <v>No Match</v>
      </c>
      <c r="F4464" t="str" cm="1">
        <f t="array" ref="F4464">_xlfn.IFNA(_xlfn.XLOOKUP(1,([1]!readmissions[Facility ID] = clean[[#This Row],[Facility ID]]) * ([1]!readmissions[Measure ID] = "Hybrid_HWR"), [1]!readmissions[Score]), "No Match")</f>
        <v>No Match</v>
      </c>
    </row>
    <row r="4465" spans="1:6" x14ac:dyDescent="0.2">
      <c r="A4465">
        <f>[1]!hospitalinfo[[#This Row],[Facility ID]]</f>
        <v>444030</v>
      </c>
      <c r="B4465" t="str">
        <f>[1]!hospitalinfo[[#This Row],[State]]</f>
        <v>TN</v>
      </c>
      <c r="C4465" t="str">
        <f>[1]!hospitalinfo[[#This Row],[Hospital Type]]</f>
        <v>Psychiatric</v>
      </c>
      <c r="D4465" t="str">
        <f>[1]!hospitalinfo[[#This Row],[Hospital Ownership]]</f>
        <v>Proprietary</v>
      </c>
      <c r="E4465" t="str" cm="1">
        <f t="array" ref="E4465">_xlfn.IFNA(_xlfn.XLOOKUP(1,([1]!hcahps[Facility ID] = clean[[#This Row],[Facility ID]]) * ([1]!hcahps[HCAHPS Measure ID] = "H_HSP_RATING_LINEAR_SCORE"), [1]!hcahps[HCAHPS Linear Mean Value]), "No Match")</f>
        <v>No Match</v>
      </c>
      <c r="F4465" t="str" cm="1">
        <f t="array" ref="F4465">_xlfn.IFNA(_xlfn.XLOOKUP(1,([1]!readmissions[Facility ID] = clean[[#This Row],[Facility ID]]) * ([1]!readmissions[Measure ID] = "Hybrid_HWR"), [1]!readmissions[Score]), "No Match")</f>
        <v>No Match</v>
      </c>
    </row>
    <row r="4466" spans="1:6" x14ac:dyDescent="0.2">
      <c r="A4466">
        <f>[1]!hospitalinfo[[#This Row],[Facility ID]]</f>
        <v>444031</v>
      </c>
      <c r="B4466" t="str">
        <f>[1]!hospitalinfo[[#This Row],[State]]</f>
        <v>TN</v>
      </c>
      <c r="C4466" t="str">
        <f>[1]!hospitalinfo[[#This Row],[Hospital Type]]</f>
        <v>Psychiatric</v>
      </c>
      <c r="D4466" t="str">
        <f>[1]!hospitalinfo[[#This Row],[Hospital Ownership]]</f>
        <v>Voluntary non-profit - Other</v>
      </c>
      <c r="E4466" t="str" cm="1">
        <f t="array" ref="E4466">_xlfn.IFNA(_xlfn.XLOOKUP(1,([1]!hcahps[Facility ID] = clean[[#This Row],[Facility ID]]) * ([1]!hcahps[HCAHPS Measure ID] = "H_HSP_RATING_LINEAR_SCORE"), [1]!hcahps[HCAHPS Linear Mean Value]), "No Match")</f>
        <v>No Match</v>
      </c>
      <c r="F4466" t="str" cm="1">
        <f t="array" ref="F4466">_xlfn.IFNA(_xlfn.XLOOKUP(1,([1]!readmissions[Facility ID] = clean[[#This Row],[Facility ID]]) * ([1]!readmissions[Measure ID] = "Hybrid_HWR"), [1]!readmissions[Score]), "No Match")</f>
        <v>No Match</v>
      </c>
    </row>
    <row r="4467" spans="1:6" x14ac:dyDescent="0.2">
      <c r="A4467">
        <f>[1]!hospitalinfo[[#This Row],[Facility ID]]</f>
        <v>444032</v>
      </c>
      <c r="B4467" t="str">
        <f>[1]!hospitalinfo[[#This Row],[State]]</f>
        <v>TN</v>
      </c>
      <c r="C4467" t="str">
        <f>[1]!hospitalinfo[[#This Row],[Hospital Type]]</f>
        <v>Psychiatric</v>
      </c>
      <c r="D4467" t="str">
        <f>[1]!hospitalinfo[[#This Row],[Hospital Ownership]]</f>
        <v>Proprietary</v>
      </c>
      <c r="E4467" t="str" cm="1">
        <f t="array" ref="E4467">_xlfn.IFNA(_xlfn.XLOOKUP(1,([1]!hcahps[Facility ID] = clean[[#This Row],[Facility ID]]) * ([1]!hcahps[HCAHPS Measure ID] = "H_HSP_RATING_LINEAR_SCORE"), [1]!hcahps[HCAHPS Linear Mean Value]), "No Match")</f>
        <v>No Match</v>
      </c>
      <c r="F4467" t="str" cm="1">
        <f t="array" ref="F4467">_xlfn.IFNA(_xlfn.XLOOKUP(1,([1]!readmissions[Facility ID] = clean[[#This Row],[Facility ID]]) * ([1]!readmissions[Measure ID] = "Hybrid_HWR"), [1]!readmissions[Score]), "No Match")</f>
        <v>No Match</v>
      </c>
    </row>
    <row r="4468" spans="1:6" x14ac:dyDescent="0.2">
      <c r="A4468">
        <f>[1]!hospitalinfo[[#This Row],[Facility ID]]</f>
        <v>444033</v>
      </c>
      <c r="B4468" t="str">
        <f>[1]!hospitalinfo[[#This Row],[State]]</f>
        <v>TN</v>
      </c>
      <c r="C4468" t="str">
        <f>[1]!hospitalinfo[[#This Row],[Hospital Type]]</f>
        <v>Psychiatric</v>
      </c>
      <c r="D4468" t="str">
        <f>[1]!hospitalinfo[[#This Row],[Hospital Ownership]]</f>
        <v>Proprietary</v>
      </c>
      <c r="E4468" t="str" cm="1">
        <f t="array" ref="E4468">_xlfn.IFNA(_xlfn.XLOOKUP(1,([1]!hcahps[Facility ID] = clean[[#This Row],[Facility ID]]) * ([1]!hcahps[HCAHPS Measure ID] = "H_HSP_RATING_LINEAR_SCORE"), [1]!hcahps[HCAHPS Linear Mean Value]), "No Match")</f>
        <v>No Match</v>
      </c>
      <c r="F4468" t="str" cm="1">
        <f t="array" ref="F4468">_xlfn.IFNA(_xlfn.XLOOKUP(1,([1]!readmissions[Facility ID] = clean[[#This Row],[Facility ID]]) * ([1]!readmissions[Measure ID] = "Hybrid_HWR"), [1]!readmissions[Score]), "No Match")</f>
        <v>No Match</v>
      </c>
    </row>
    <row r="4469" spans="1:6" x14ac:dyDescent="0.2">
      <c r="A4469" t="str">
        <f>[1]!hospitalinfo[[#This Row],[Facility ID]]</f>
        <v>44013F</v>
      </c>
      <c r="B4469" t="str">
        <f>[1]!hospitalinfo[[#This Row],[State]]</f>
        <v>TN</v>
      </c>
      <c r="C4469" t="str">
        <f>[1]!hospitalinfo[[#This Row],[Hospital Type]]</f>
        <v>Acute Care - Veterans Administration</v>
      </c>
      <c r="D4469" t="str">
        <f>[1]!hospitalinfo[[#This Row],[Hospital Ownership]]</f>
        <v>Veterans Health Administration</v>
      </c>
      <c r="E4469" cm="1">
        <f t="array" ref="E4469">_xlfn.IFNA(_xlfn.XLOOKUP(1,([1]!hcahps[Facility ID] = clean[[#This Row],[Facility ID]]) * ([1]!hcahps[HCAHPS Measure ID] = "H_HSP_RATING_LINEAR_SCORE"), [1]!hcahps[HCAHPS Linear Mean Value]), "No Match")</f>
        <v>87</v>
      </c>
      <c r="F4469" cm="1">
        <f t="array" ref="F4469">_xlfn.IFNA(_xlfn.XLOOKUP(1,([1]!readmissions[Facility ID] = clean[[#This Row],[Facility ID]]) * ([1]!readmissions[Measure ID] = "Hybrid_HWR"), [1]!readmissions[Score]), "No Match")</f>
        <v>14.8</v>
      </c>
    </row>
    <row r="4470" spans="1:6" x14ac:dyDescent="0.2">
      <c r="A4470" t="str">
        <f>[1]!hospitalinfo[[#This Row],[Facility ID]]</f>
        <v>44016F</v>
      </c>
      <c r="B4470" t="str">
        <f>[1]!hospitalinfo[[#This Row],[State]]</f>
        <v>TN</v>
      </c>
      <c r="C4470" t="str">
        <f>[1]!hospitalinfo[[#This Row],[Hospital Type]]</f>
        <v>Acute Care - Veterans Administration</v>
      </c>
      <c r="D4470" t="str">
        <f>[1]!hospitalinfo[[#This Row],[Hospital Ownership]]</f>
        <v>Veterans Health Administration</v>
      </c>
      <c r="E4470" cm="1">
        <f t="array" ref="E4470">_xlfn.IFNA(_xlfn.XLOOKUP(1,([1]!hcahps[Facility ID] = clean[[#This Row],[Facility ID]]) * ([1]!hcahps[HCAHPS Measure ID] = "H_HSP_RATING_LINEAR_SCORE"), [1]!hcahps[HCAHPS Linear Mean Value]), "No Match")</f>
        <v>94</v>
      </c>
      <c r="F4470" cm="1">
        <f t="array" ref="F4470">_xlfn.IFNA(_xlfn.XLOOKUP(1,([1]!readmissions[Facility ID] = clean[[#This Row],[Facility ID]]) * ([1]!readmissions[Measure ID] = "Hybrid_HWR"), [1]!readmissions[Score]), "No Match")</f>
        <v>14.4</v>
      </c>
    </row>
    <row r="4471" spans="1:6" x14ac:dyDescent="0.2">
      <c r="A4471" t="str">
        <f>[1]!hospitalinfo[[#This Row],[Facility ID]]</f>
        <v>44017F</v>
      </c>
      <c r="B4471" t="str">
        <f>[1]!hospitalinfo[[#This Row],[State]]</f>
        <v>TN</v>
      </c>
      <c r="C4471" t="str">
        <f>[1]!hospitalinfo[[#This Row],[Hospital Type]]</f>
        <v>Acute Care - Veterans Administration</v>
      </c>
      <c r="D4471" t="str">
        <f>[1]!hospitalinfo[[#This Row],[Hospital Ownership]]</f>
        <v>Veterans Health Administration</v>
      </c>
      <c r="E4471" t="str" cm="1">
        <f t="array" ref="E4471">_xlfn.IFNA(_xlfn.XLOOKUP(1,([1]!hcahps[Facility ID] = clean[[#This Row],[Facility ID]]) * ([1]!hcahps[HCAHPS Measure ID] = "H_HSP_RATING_LINEAR_SCORE"), [1]!hcahps[HCAHPS Linear Mean Value]), "No Match")</f>
        <v>Not Available</v>
      </c>
      <c r="F4471" cm="1">
        <f t="array" ref="F4471">_xlfn.IFNA(_xlfn.XLOOKUP(1,([1]!readmissions[Facility ID] = clean[[#This Row],[Facility ID]]) * ([1]!readmissions[Measure ID] = "Hybrid_HWR"), [1]!readmissions[Score]), "No Match")</f>
        <v>14.7</v>
      </c>
    </row>
    <row r="4472" spans="1:6" x14ac:dyDescent="0.2">
      <c r="A4472" t="str">
        <f>[1]!hospitalinfo[[#This Row],[Facility ID]]</f>
        <v>44018F</v>
      </c>
      <c r="B4472" t="str">
        <f>[1]!hospitalinfo[[#This Row],[State]]</f>
        <v>TN</v>
      </c>
      <c r="C4472" t="str">
        <f>[1]!hospitalinfo[[#This Row],[Hospital Type]]</f>
        <v>Acute Care - Veterans Administration</v>
      </c>
      <c r="D4472" t="str">
        <f>[1]!hospitalinfo[[#This Row],[Hospital Ownership]]</f>
        <v>Veterans Health Administration</v>
      </c>
      <c r="E4472" cm="1">
        <f t="array" ref="E4472">_xlfn.IFNA(_xlfn.XLOOKUP(1,([1]!hcahps[Facility ID] = clean[[#This Row],[Facility ID]]) * ([1]!hcahps[HCAHPS Measure ID] = "H_HSP_RATING_LINEAR_SCORE"), [1]!hcahps[HCAHPS Linear Mean Value]), "No Match")</f>
        <v>89</v>
      </c>
      <c r="F4472" cm="1">
        <f t="array" ref="F4472">_xlfn.IFNA(_xlfn.XLOOKUP(1,([1]!readmissions[Facility ID] = clean[[#This Row],[Facility ID]]) * ([1]!readmissions[Measure ID] = "Hybrid_HWR"), [1]!readmissions[Score]), "No Match")</f>
        <v>15</v>
      </c>
    </row>
    <row r="4473" spans="1:6" x14ac:dyDescent="0.2">
      <c r="A4473">
        <f>[1]!hospitalinfo[[#This Row],[Facility ID]]</f>
        <v>450002</v>
      </c>
      <c r="B4473" t="str">
        <f>[1]!hospitalinfo[[#This Row],[State]]</f>
        <v>TX</v>
      </c>
      <c r="C4473" t="str">
        <f>[1]!hospitalinfo[[#This Row],[Hospital Type]]</f>
        <v>Acute Care Hospitals</v>
      </c>
      <c r="D4473" t="str">
        <f>[1]!hospitalinfo[[#This Row],[Hospital Ownership]]</f>
        <v>Proprietary</v>
      </c>
      <c r="E4473" cm="1">
        <f t="array" ref="E4473">_xlfn.IFNA(_xlfn.XLOOKUP(1,([1]!hcahps[Facility ID] = clean[[#This Row],[Facility ID]]) * ([1]!hcahps[HCAHPS Measure ID] = "H_HSP_RATING_LINEAR_SCORE"), [1]!hcahps[HCAHPS Linear Mean Value]), "No Match")</f>
        <v>80</v>
      </c>
      <c r="F4473" cm="1">
        <f t="array" ref="F4473">_xlfn.IFNA(_xlfn.XLOOKUP(1,([1]!readmissions[Facility ID] = clean[[#This Row],[Facility ID]]) * ([1]!readmissions[Measure ID] = "Hybrid_HWR"), [1]!readmissions[Score]), "No Match")</f>
        <v>15.3</v>
      </c>
    </row>
    <row r="4474" spans="1:6" x14ac:dyDescent="0.2">
      <c r="A4474">
        <f>[1]!hospitalinfo[[#This Row],[Facility ID]]</f>
        <v>450007</v>
      </c>
      <c r="B4474" t="str">
        <f>[1]!hospitalinfo[[#This Row],[State]]</f>
        <v>TX</v>
      </c>
      <c r="C4474" t="str">
        <f>[1]!hospitalinfo[[#This Row],[Hospital Type]]</f>
        <v>Acute Care Hospitals</v>
      </c>
      <c r="D4474" t="str">
        <f>[1]!hospitalinfo[[#This Row],[Hospital Ownership]]</f>
        <v>Voluntary non-profit - Private</v>
      </c>
      <c r="E4474" cm="1">
        <f t="array" ref="E4474">_xlfn.IFNA(_xlfn.XLOOKUP(1,([1]!hcahps[Facility ID] = clean[[#This Row],[Facility ID]]) * ([1]!hcahps[HCAHPS Measure ID] = "H_HSP_RATING_LINEAR_SCORE"), [1]!hcahps[HCAHPS Linear Mean Value]), "No Match")</f>
        <v>92</v>
      </c>
      <c r="F4474" cm="1">
        <f t="array" ref="F4474">_xlfn.IFNA(_xlfn.XLOOKUP(1,([1]!readmissions[Facility ID] = clean[[#This Row],[Facility ID]]) * ([1]!readmissions[Measure ID] = "Hybrid_HWR"), [1]!readmissions[Score]), "No Match")</f>
        <v>15</v>
      </c>
    </row>
    <row r="4475" spans="1:6" x14ac:dyDescent="0.2">
      <c r="A4475">
        <f>[1]!hospitalinfo[[#This Row],[Facility ID]]</f>
        <v>450010</v>
      </c>
      <c r="B4475" t="str">
        <f>[1]!hospitalinfo[[#This Row],[State]]</f>
        <v>TX</v>
      </c>
      <c r="C4475" t="str">
        <f>[1]!hospitalinfo[[#This Row],[Hospital Type]]</f>
        <v>Acute Care Hospitals</v>
      </c>
      <c r="D4475" t="str">
        <f>[1]!hospitalinfo[[#This Row],[Hospital Ownership]]</f>
        <v>Voluntary non-profit - Private</v>
      </c>
      <c r="E4475" cm="1">
        <f t="array" ref="E4475">_xlfn.IFNA(_xlfn.XLOOKUP(1,([1]!hcahps[Facility ID] = clean[[#This Row],[Facility ID]]) * ([1]!hcahps[HCAHPS Measure ID] = "H_HSP_RATING_LINEAR_SCORE"), [1]!hcahps[HCAHPS Linear Mean Value]), "No Match")</f>
        <v>90</v>
      </c>
      <c r="F4475" cm="1">
        <f t="array" ref="F4475">_xlfn.IFNA(_xlfn.XLOOKUP(1,([1]!readmissions[Facility ID] = clean[[#This Row],[Facility ID]]) * ([1]!readmissions[Measure ID] = "Hybrid_HWR"), [1]!readmissions[Score]), "No Match")</f>
        <v>15.6</v>
      </c>
    </row>
    <row r="4476" spans="1:6" x14ac:dyDescent="0.2">
      <c r="A4476">
        <f>[1]!hospitalinfo[[#This Row],[Facility ID]]</f>
        <v>450011</v>
      </c>
      <c r="B4476" t="str">
        <f>[1]!hospitalinfo[[#This Row],[State]]</f>
        <v>TX</v>
      </c>
      <c r="C4476" t="str">
        <f>[1]!hospitalinfo[[#This Row],[Hospital Type]]</f>
        <v>Acute Care Hospitals</v>
      </c>
      <c r="D4476" t="str">
        <f>[1]!hospitalinfo[[#This Row],[Hospital Ownership]]</f>
        <v>Voluntary non-profit - Private</v>
      </c>
      <c r="E4476" cm="1">
        <f t="array" ref="E4476">_xlfn.IFNA(_xlfn.XLOOKUP(1,([1]!hcahps[Facility ID] = clean[[#This Row],[Facility ID]]) * ([1]!hcahps[HCAHPS Measure ID] = "H_HSP_RATING_LINEAR_SCORE"), [1]!hcahps[HCAHPS Linear Mean Value]), "No Match")</f>
        <v>85</v>
      </c>
      <c r="F4476" cm="1">
        <f t="array" ref="F4476">_xlfn.IFNA(_xlfn.XLOOKUP(1,([1]!readmissions[Facility ID] = clean[[#This Row],[Facility ID]]) * ([1]!readmissions[Measure ID] = "Hybrid_HWR"), [1]!readmissions[Score]), "No Match")</f>
        <v>14.9</v>
      </c>
    </row>
    <row r="4477" spans="1:6" x14ac:dyDescent="0.2">
      <c r="A4477">
        <f>[1]!hospitalinfo[[#This Row],[Facility ID]]</f>
        <v>450015</v>
      </c>
      <c r="B4477" t="str">
        <f>[1]!hospitalinfo[[#This Row],[State]]</f>
        <v>TX</v>
      </c>
      <c r="C4477" t="str">
        <f>[1]!hospitalinfo[[#This Row],[Hospital Type]]</f>
        <v>Acute Care Hospitals</v>
      </c>
      <c r="D4477" t="str">
        <f>[1]!hospitalinfo[[#This Row],[Hospital Ownership]]</f>
        <v>Government - Hospital District or Authority</v>
      </c>
      <c r="E4477" cm="1">
        <f t="array" ref="E4477">_xlfn.IFNA(_xlfn.XLOOKUP(1,([1]!hcahps[Facility ID] = clean[[#This Row],[Facility ID]]) * ([1]!hcahps[HCAHPS Measure ID] = "H_HSP_RATING_LINEAR_SCORE"), [1]!hcahps[HCAHPS Linear Mean Value]), "No Match")</f>
        <v>87</v>
      </c>
      <c r="F4477" cm="1">
        <f t="array" ref="F4477">_xlfn.IFNA(_xlfn.XLOOKUP(1,([1]!readmissions[Facility ID] = clean[[#This Row],[Facility ID]]) * ([1]!readmissions[Measure ID] = "Hybrid_HWR"), [1]!readmissions[Score]), "No Match")</f>
        <v>14.7</v>
      </c>
    </row>
    <row r="4478" spans="1:6" x14ac:dyDescent="0.2">
      <c r="A4478">
        <f>[1]!hospitalinfo[[#This Row],[Facility ID]]</f>
        <v>450018</v>
      </c>
      <c r="B4478" t="str">
        <f>[1]!hospitalinfo[[#This Row],[State]]</f>
        <v>TX</v>
      </c>
      <c r="C4478" t="str">
        <f>[1]!hospitalinfo[[#This Row],[Hospital Type]]</f>
        <v>Acute Care Hospitals</v>
      </c>
      <c r="D4478" t="str">
        <f>[1]!hospitalinfo[[#This Row],[Hospital Ownership]]</f>
        <v>Government - State</v>
      </c>
      <c r="E4478" cm="1">
        <f t="array" ref="E4478">_xlfn.IFNA(_xlfn.XLOOKUP(1,([1]!hcahps[Facility ID] = clean[[#This Row],[Facility ID]]) * ([1]!hcahps[HCAHPS Measure ID] = "H_HSP_RATING_LINEAR_SCORE"), [1]!hcahps[HCAHPS Linear Mean Value]), "No Match")</f>
        <v>89</v>
      </c>
      <c r="F4478" cm="1">
        <f t="array" ref="F4478">_xlfn.IFNA(_xlfn.XLOOKUP(1,([1]!readmissions[Facility ID] = clean[[#This Row],[Facility ID]]) * ([1]!readmissions[Measure ID] = "Hybrid_HWR"), [1]!readmissions[Score]), "No Match")</f>
        <v>16</v>
      </c>
    </row>
    <row r="4479" spans="1:6" x14ac:dyDescent="0.2">
      <c r="A4479">
        <f>[1]!hospitalinfo[[#This Row],[Facility ID]]</f>
        <v>450021</v>
      </c>
      <c r="B4479" t="str">
        <f>[1]!hospitalinfo[[#This Row],[State]]</f>
        <v>TX</v>
      </c>
      <c r="C4479" t="str">
        <f>[1]!hospitalinfo[[#This Row],[Hospital Type]]</f>
        <v>Acute Care Hospitals</v>
      </c>
      <c r="D4479" t="str">
        <f>[1]!hospitalinfo[[#This Row],[Hospital Ownership]]</f>
        <v>Voluntary non-profit - Private</v>
      </c>
      <c r="E4479" cm="1">
        <f t="array" ref="E4479">_xlfn.IFNA(_xlfn.XLOOKUP(1,([1]!hcahps[Facility ID] = clean[[#This Row],[Facility ID]]) * ([1]!hcahps[HCAHPS Measure ID] = "H_HSP_RATING_LINEAR_SCORE"), [1]!hcahps[HCAHPS Linear Mean Value]), "No Match")</f>
        <v>88</v>
      </c>
      <c r="F4479" cm="1">
        <f t="array" ref="F4479">_xlfn.IFNA(_xlfn.XLOOKUP(1,([1]!readmissions[Facility ID] = clean[[#This Row],[Facility ID]]) * ([1]!readmissions[Measure ID] = "Hybrid_HWR"), [1]!readmissions[Score]), "No Match")</f>
        <v>13.9</v>
      </c>
    </row>
    <row r="4480" spans="1:6" x14ac:dyDescent="0.2">
      <c r="A4480">
        <f>[1]!hospitalinfo[[#This Row],[Facility ID]]</f>
        <v>450023</v>
      </c>
      <c r="B4480" t="str">
        <f>[1]!hospitalinfo[[#This Row],[State]]</f>
        <v>TX</v>
      </c>
      <c r="C4480" t="str">
        <f>[1]!hospitalinfo[[#This Row],[Hospital Type]]</f>
        <v>Acute Care Hospitals</v>
      </c>
      <c r="D4480" t="str">
        <f>[1]!hospitalinfo[[#This Row],[Hospital Ownership]]</f>
        <v>Voluntary non-profit - Other</v>
      </c>
      <c r="E4480" cm="1">
        <f t="array" ref="E4480">_xlfn.IFNA(_xlfn.XLOOKUP(1,([1]!hcahps[Facility ID] = clean[[#This Row],[Facility ID]]) * ([1]!hcahps[HCAHPS Measure ID] = "H_HSP_RATING_LINEAR_SCORE"), [1]!hcahps[HCAHPS Linear Mean Value]), "No Match")</f>
        <v>89</v>
      </c>
      <c r="F4480" cm="1">
        <f t="array" ref="F4480">_xlfn.IFNA(_xlfn.XLOOKUP(1,([1]!readmissions[Facility ID] = clean[[#This Row],[Facility ID]]) * ([1]!readmissions[Measure ID] = "Hybrid_HWR"), [1]!readmissions[Score]), "No Match")</f>
        <v>14.7</v>
      </c>
    </row>
    <row r="4481" spans="1:6" x14ac:dyDescent="0.2">
      <c r="A4481">
        <f>[1]!hospitalinfo[[#This Row],[Facility ID]]</f>
        <v>450024</v>
      </c>
      <c r="B4481" t="str">
        <f>[1]!hospitalinfo[[#This Row],[State]]</f>
        <v>TX</v>
      </c>
      <c r="C4481" t="str">
        <f>[1]!hospitalinfo[[#This Row],[Hospital Type]]</f>
        <v>Acute Care Hospitals</v>
      </c>
      <c r="D4481" t="str">
        <f>[1]!hospitalinfo[[#This Row],[Hospital Ownership]]</f>
        <v>Physician</v>
      </c>
      <c r="E4481" cm="1">
        <f t="array" ref="E4481">_xlfn.IFNA(_xlfn.XLOOKUP(1,([1]!hcahps[Facility ID] = clean[[#This Row],[Facility ID]]) * ([1]!hcahps[HCAHPS Measure ID] = "H_HSP_RATING_LINEAR_SCORE"), [1]!hcahps[HCAHPS Linear Mean Value]), "No Match")</f>
        <v>88</v>
      </c>
      <c r="F4481" cm="1">
        <f t="array" ref="F4481">_xlfn.IFNA(_xlfn.XLOOKUP(1,([1]!readmissions[Facility ID] = clean[[#This Row],[Facility ID]]) * ([1]!readmissions[Measure ID] = "Hybrid_HWR"), [1]!readmissions[Score]), "No Match")</f>
        <v>15.4</v>
      </c>
    </row>
    <row r="4482" spans="1:6" x14ac:dyDescent="0.2">
      <c r="A4482">
        <f>[1]!hospitalinfo[[#This Row],[Facility ID]]</f>
        <v>450028</v>
      </c>
      <c r="B4482" t="str">
        <f>[1]!hospitalinfo[[#This Row],[State]]</f>
        <v>TX</v>
      </c>
      <c r="C4482" t="str">
        <f>[1]!hospitalinfo[[#This Row],[Hospital Type]]</f>
        <v>Acute Care Hospitals</v>
      </c>
      <c r="D4482" t="str">
        <f>[1]!hospitalinfo[[#This Row],[Hospital Ownership]]</f>
        <v>Proprietary</v>
      </c>
      <c r="E4482" cm="1">
        <f t="array" ref="E4482">_xlfn.IFNA(_xlfn.XLOOKUP(1,([1]!hcahps[Facility ID] = clean[[#This Row],[Facility ID]]) * ([1]!hcahps[HCAHPS Measure ID] = "H_HSP_RATING_LINEAR_SCORE"), [1]!hcahps[HCAHPS Linear Mean Value]), "No Match")</f>
        <v>82</v>
      </c>
      <c r="F4482" cm="1">
        <f t="array" ref="F4482">_xlfn.IFNA(_xlfn.XLOOKUP(1,([1]!readmissions[Facility ID] = clean[[#This Row],[Facility ID]]) * ([1]!readmissions[Measure ID] = "Hybrid_HWR"), [1]!readmissions[Score]), "No Match")</f>
        <v>15.4</v>
      </c>
    </row>
    <row r="4483" spans="1:6" x14ac:dyDescent="0.2">
      <c r="A4483">
        <f>[1]!hospitalinfo[[#This Row],[Facility ID]]</f>
        <v>450029</v>
      </c>
      <c r="B4483" t="str">
        <f>[1]!hospitalinfo[[#This Row],[State]]</f>
        <v>TX</v>
      </c>
      <c r="C4483" t="str">
        <f>[1]!hospitalinfo[[#This Row],[Hospital Type]]</f>
        <v>Acute Care Hospitals</v>
      </c>
      <c r="D4483" t="str">
        <f>[1]!hospitalinfo[[#This Row],[Hospital Ownership]]</f>
        <v>Proprietary</v>
      </c>
      <c r="E4483" cm="1">
        <f t="array" ref="E4483">_xlfn.IFNA(_xlfn.XLOOKUP(1,([1]!hcahps[Facility ID] = clean[[#This Row],[Facility ID]]) * ([1]!hcahps[HCAHPS Measure ID] = "H_HSP_RATING_LINEAR_SCORE"), [1]!hcahps[HCAHPS Linear Mean Value]), "No Match")</f>
        <v>83</v>
      </c>
      <c r="F4483" cm="1">
        <f t="array" ref="F4483">_xlfn.IFNA(_xlfn.XLOOKUP(1,([1]!readmissions[Facility ID] = clean[[#This Row],[Facility ID]]) * ([1]!readmissions[Measure ID] = "Hybrid_HWR"), [1]!readmissions[Score]), "No Match")</f>
        <v>15.1</v>
      </c>
    </row>
    <row r="4484" spans="1:6" x14ac:dyDescent="0.2">
      <c r="A4484">
        <f>[1]!hospitalinfo[[#This Row],[Facility ID]]</f>
        <v>450032</v>
      </c>
      <c r="B4484" t="str">
        <f>[1]!hospitalinfo[[#This Row],[State]]</f>
        <v>TX</v>
      </c>
      <c r="C4484" t="str">
        <f>[1]!hospitalinfo[[#This Row],[Hospital Type]]</f>
        <v>Acute Care Hospitals</v>
      </c>
      <c r="D4484" t="str">
        <f>[1]!hospitalinfo[[#This Row],[Hospital Ownership]]</f>
        <v>Voluntary non-profit - Private</v>
      </c>
      <c r="E4484" cm="1">
        <f t="array" ref="E4484">_xlfn.IFNA(_xlfn.XLOOKUP(1,([1]!hcahps[Facility ID] = clean[[#This Row],[Facility ID]]) * ([1]!hcahps[HCAHPS Measure ID] = "H_HSP_RATING_LINEAR_SCORE"), [1]!hcahps[HCAHPS Linear Mean Value]), "No Match")</f>
        <v>88</v>
      </c>
      <c r="F4484" cm="1">
        <f t="array" ref="F4484">_xlfn.IFNA(_xlfn.XLOOKUP(1,([1]!readmissions[Facility ID] = clean[[#This Row],[Facility ID]]) * ([1]!readmissions[Measure ID] = "Hybrid_HWR"), [1]!readmissions[Score]), "No Match")</f>
        <v>16.399999999999999</v>
      </c>
    </row>
    <row r="4485" spans="1:6" x14ac:dyDescent="0.2">
      <c r="A4485">
        <f>[1]!hospitalinfo[[#This Row],[Facility ID]]</f>
        <v>450033</v>
      </c>
      <c r="B4485" t="str">
        <f>[1]!hospitalinfo[[#This Row],[State]]</f>
        <v>TX</v>
      </c>
      <c r="C4485" t="str">
        <f>[1]!hospitalinfo[[#This Row],[Hospital Type]]</f>
        <v>Acute Care Hospitals</v>
      </c>
      <c r="D4485" t="str">
        <f>[1]!hospitalinfo[[#This Row],[Hospital Ownership]]</f>
        <v>Proprietary</v>
      </c>
      <c r="E4485" cm="1">
        <f t="array" ref="E4485">_xlfn.IFNA(_xlfn.XLOOKUP(1,([1]!hcahps[Facility ID] = clean[[#This Row],[Facility ID]]) * ([1]!hcahps[HCAHPS Measure ID] = "H_HSP_RATING_LINEAR_SCORE"), [1]!hcahps[HCAHPS Linear Mean Value]), "No Match")</f>
        <v>84</v>
      </c>
      <c r="F4485" cm="1">
        <f t="array" ref="F4485">_xlfn.IFNA(_xlfn.XLOOKUP(1,([1]!readmissions[Facility ID] = clean[[#This Row],[Facility ID]]) * ([1]!readmissions[Measure ID] = "Hybrid_HWR"), [1]!readmissions[Score]), "No Match")</f>
        <v>14.6</v>
      </c>
    </row>
    <row r="4486" spans="1:6" x14ac:dyDescent="0.2">
      <c r="A4486">
        <f>[1]!hospitalinfo[[#This Row],[Facility ID]]</f>
        <v>450034</v>
      </c>
      <c r="B4486" t="str">
        <f>[1]!hospitalinfo[[#This Row],[State]]</f>
        <v>TX</v>
      </c>
      <c r="C4486" t="str">
        <f>[1]!hospitalinfo[[#This Row],[Hospital Type]]</f>
        <v>Acute Care Hospitals</v>
      </c>
      <c r="D4486" t="str">
        <f>[1]!hospitalinfo[[#This Row],[Hospital Ownership]]</f>
        <v>Voluntary non-profit - Private</v>
      </c>
      <c r="E4486" cm="1">
        <f t="array" ref="E4486">_xlfn.IFNA(_xlfn.XLOOKUP(1,([1]!hcahps[Facility ID] = clean[[#This Row],[Facility ID]]) * ([1]!hcahps[HCAHPS Measure ID] = "H_HSP_RATING_LINEAR_SCORE"), [1]!hcahps[HCAHPS Linear Mean Value]), "No Match")</f>
        <v>85</v>
      </c>
      <c r="F4486" cm="1">
        <f t="array" ref="F4486">_xlfn.IFNA(_xlfn.XLOOKUP(1,([1]!readmissions[Facility ID] = clean[[#This Row],[Facility ID]]) * ([1]!readmissions[Measure ID] = "Hybrid_HWR"), [1]!readmissions[Score]), "No Match")</f>
        <v>15.1</v>
      </c>
    </row>
    <row r="4487" spans="1:6" x14ac:dyDescent="0.2">
      <c r="A4487">
        <f>[1]!hospitalinfo[[#This Row],[Facility ID]]</f>
        <v>450035</v>
      </c>
      <c r="B4487" t="str">
        <f>[1]!hospitalinfo[[#This Row],[State]]</f>
        <v>TX</v>
      </c>
      <c r="C4487" t="str">
        <f>[1]!hospitalinfo[[#This Row],[Hospital Type]]</f>
        <v>Acute Care Hospitals</v>
      </c>
      <c r="D4487" t="str">
        <f>[1]!hospitalinfo[[#This Row],[Hospital Ownership]]</f>
        <v>Physician</v>
      </c>
      <c r="E4487" cm="1">
        <f t="array" ref="E4487">_xlfn.IFNA(_xlfn.XLOOKUP(1,([1]!hcahps[Facility ID] = clean[[#This Row],[Facility ID]]) * ([1]!hcahps[HCAHPS Measure ID] = "H_HSP_RATING_LINEAR_SCORE"), [1]!hcahps[HCAHPS Linear Mean Value]), "No Match")</f>
        <v>81</v>
      </c>
      <c r="F4487" cm="1">
        <f t="array" ref="F4487">_xlfn.IFNA(_xlfn.XLOOKUP(1,([1]!readmissions[Facility ID] = clean[[#This Row],[Facility ID]]) * ([1]!readmissions[Measure ID] = "Hybrid_HWR"), [1]!readmissions[Score]), "No Match")</f>
        <v>15.2</v>
      </c>
    </row>
    <row r="4488" spans="1:6" x14ac:dyDescent="0.2">
      <c r="A4488">
        <f>[1]!hospitalinfo[[#This Row],[Facility ID]]</f>
        <v>450039</v>
      </c>
      <c r="B4488" t="str">
        <f>[1]!hospitalinfo[[#This Row],[State]]</f>
        <v>TX</v>
      </c>
      <c r="C4488" t="str">
        <f>[1]!hospitalinfo[[#This Row],[Hospital Type]]</f>
        <v>Acute Care Hospitals</v>
      </c>
      <c r="D4488" t="str">
        <f>[1]!hospitalinfo[[#This Row],[Hospital Ownership]]</f>
        <v>Government - Hospital District or Authority</v>
      </c>
      <c r="E4488" cm="1">
        <f t="array" ref="E4488">_xlfn.IFNA(_xlfn.XLOOKUP(1,([1]!hcahps[Facility ID] = clean[[#This Row],[Facility ID]]) * ([1]!hcahps[HCAHPS Measure ID] = "H_HSP_RATING_LINEAR_SCORE"), [1]!hcahps[HCAHPS Linear Mean Value]), "No Match")</f>
        <v>88</v>
      </c>
      <c r="F4488" cm="1">
        <f t="array" ref="F4488">_xlfn.IFNA(_xlfn.XLOOKUP(1,([1]!readmissions[Facility ID] = clean[[#This Row],[Facility ID]]) * ([1]!readmissions[Measure ID] = "Hybrid_HWR"), [1]!readmissions[Score]), "No Match")</f>
        <v>14.3</v>
      </c>
    </row>
    <row r="4489" spans="1:6" x14ac:dyDescent="0.2">
      <c r="A4489">
        <f>[1]!hospitalinfo[[#This Row],[Facility ID]]</f>
        <v>450040</v>
      </c>
      <c r="B4489" t="str">
        <f>[1]!hospitalinfo[[#This Row],[State]]</f>
        <v>TX</v>
      </c>
      <c r="C4489" t="str">
        <f>[1]!hospitalinfo[[#This Row],[Hospital Type]]</f>
        <v>Acute Care Hospitals</v>
      </c>
      <c r="D4489" t="str">
        <f>[1]!hospitalinfo[[#This Row],[Hospital Ownership]]</f>
        <v>Voluntary non-profit - Private</v>
      </c>
      <c r="E4489" cm="1">
        <f t="array" ref="E4489">_xlfn.IFNA(_xlfn.XLOOKUP(1,([1]!hcahps[Facility ID] = clean[[#This Row],[Facility ID]]) * ([1]!hcahps[HCAHPS Measure ID] = "H_HSP_RATING_LINEAR_SCORE"), [1]!hcahps[HCAHPS Linear Mean Value]), "No Match")</f>
        <v>88</v>
      </c>
      <c r="F4489" cm="1">
        <f t="array" ref="F4489">_xlfn.IFNA(_xlfn.XLOOKUP(1,([1]!readmissions[Facility ID] = clean[[#This Row],[Facility ID]]) * ([1]!readmissions[Measure ID] = "Hybrid_HWR"), [1]!readmissions[Score]), "No Match")</f>
        <v>13.5</v>
      </c>
    </row>
    <row r="4490" spans="1:6" x14ac:dyDescent="0.2">
      <c r="A4490">
        <f>[1]!hospitalinfo[[#This Row],[Facility ID]]</f>
        <v>450042</v>
      </c>
      <c r="B4490" t="str">
        <f>[1]!hospitalinfo[[#This Row],[State]]</f>
        <v>TX</v>
      </c>
      <c r="C4490" t="str">
        <f>[1]!hospitalinfo[[#This Row],[Hospital Type]]</f>
        <v>Acute Care Hospitals</v>
      </c>
      <c r="D4490" t="str">
        <f>[1]!hospitalinfo[[#This Row],[Hospital Ownership]]</f>
        <v>Voluntary non-profit - Private</v>
      </c>
      <c r="E4490" cm="1">
        <f t="array" ref="E4490">_xlfn.IFNA(_xlfn.XLOOKUP(1,([1]!hcahps[Facility ID] = clean[[#This Row],[Facility ID]]) * ([1]!hcahps[HCAHPS Measure ID] = "H_HSP_RATING_LINEAR_SCORE"), [1]!hcahps[HCAHPS Linear Mean Value]), "No Match")</f>
        <v>89</v>
      </c>
      <c r="F4490" cm="1">
        <f t="array" ref="F4490">_xlfn.IFNA(_xlfn.XLOOKUP(1,([1]!readmissions[Facility ID] = clean[[#This Row],[Facility ID]]) * ([1]!readmissions[Measure ID] = "Hybrid_HWR"), [1]!readmissions[Score]), "No Match")</f>
        <v>14.2</v>
      </c>
    </row>
    <row r="4491" spans="1:6" x14ac:dyDescent="0.2">
      <c r="A4491">
        <f>[1]!hospitalinfo[[#This Row],[Facility ID]]</f>
        <v>450044</v>
      </c>
      <c r="B4491" t="str">
        <f>[1]!hospitalinfo[[#This Row],[State]]</f>
        <v>TX</v>
      </c>
      <c r="C4491" t="str">
        <f>[1]!hospitalinfo[[#This Row],[Hospital Type]]</f>
        <v>Acute Care Hospitals</v>
      </c>
      <c r="D4491" t="str">
        <f>[1]!hospitalinfo[[#This Row],[Hospital Ownership]]</f>
        <v>Government - State</v>
      </c>
      <c r="E4491" cm="1">
        <f t="array" ref="E4491">_xlfn.IFNA(_xlfn.XLOOKUP(1,([1]!hcahps[Facility ID] = clean[[#This Row],[Facility ID]]) * ([1]!hcahps[HCAHPS Measure ID] = "H_HSP_RATING_LINEAR_SCORE"), [1]!hcahps[HCAHPS Linear Mean Value]), "No Match")</f>
        <v>93</v>
      </c>
      <c r="F4491" cm="1">
        <f t="array" ref="F4491">_xlfn.IFNA(_xlfn.XLOOKUP(1,([1]!readmissions[Facility ID] = clean[[#This Row],[Facility ID]]) * ([1]!readmissions[Measure ID] = "Hybrid_HWR"), [1]!readmissions[Score]), "No Match")</f>
        <v>15.9</v>
      </c>
    </row>
    <row r="4492" spans="1:6" x14ac:dyDescent="0.2">
      <c r="A4492">
        <f>[1]!hospitalinfo[[#This Row],[Facility ID]]</f>
        <v>450046</v>
      </c>
      <c r="B4492" t="str">
        <f>[1]!hospitalinfo[[#This Row],[State]]</f>
        <v>TX</v>
      </c>
      <c r="C4492" t="str">
        <f>[1]!hospitalinfo[[#This Row],[Hospital Type]]</f>
        <v>Acute Care Hospitals</v>
      </c>
      <c r="D4492" t="str">
        <f>[1]!hospitalinfo[[#This Row],[Hospital Ownership]]</f>
        <v>Voluntary non-profit - Private</v>
      </c>
      <c r="E4492" cm="1">
        <f t="array" ref="E4492">_xlfn.IFNA(_xlfn.XLOOKUP(1,([1]!hcahps[Facility ID] = clean[[#This Row],[Facility ID]]) * ([1]!hcahps[HCAHPS Measure ID] = "H_HSP_RATING_LINEAR_SCORE"), [1]!hcahps[HCAHPS Linear Mean Value]), "No Match")</f>
        <v>87</v>
      </c>
      <c r="F4492" cm="1">
        <f t="array" ref="F4492">_xlfn.IFNA(_xlfn.XLOOKUP(1,([1]!readmissions[Facility ID] = clean[[#This Row],[Facility ID]]) * ([1]!readmissions[Measure ID] = "Hybrid_HWR"), [1]!readmissions[Score]), "No Match")</f>
        <v>14.4</v>
      </c>
    </row>
    <row r="4493" spans="1:6" x14ac:dyDescent="0.2">
      <c r="A4493">
        <f>[1]!hospitalinfo[[#This Row],[Facility ID]]</f>
        <v>450051</v>
      </c>
      <c r="B4493" t="str">
        <f>[1]!hospitalinfo[[#This Row],[State]]</f>
        <v>TX</v>
      </c>
      <c r="C4493" t="str">
        <f>[1]!hospitalinfo[[#This Row],[Hospital Type]]</f>
        <v>Acute Care Hospitals</v>
      </c>
      <c r="D4493" t="str">
        <f>[1]!hospitalinfo[[#This Row],[Hospital Ownership]]</f>
        <v>Voluntary non-profit - Other</v>
      </c>
      <c r="E4493" cm="1">
        <f t="array" ref="E4493">_xlfn.IFNA(_xlfn.XLOOKUP(1,([1]!hcahps[Facility ID] = clean[[#This Row],[Facility ID]]) * ([1]!hcahps[HCAHPS Measure ID] = "H_HSP_RATING_LINEAR_SCORE"), [1]!hcahps[HCAHPS Linear Mean Value]), "No Match")</f>
        <v>90</v>
      </c>
      <c r="F4493" cm="1">
        <f t="array" ref="F4493">_xlfn.IFNA(_xlfn.XLOOKUP(1,([1]!readmissions[Facility ID] = clean[[#This Row],[Facility ID]]) * ([1]!readmissions[Measure ID] = "Hybrid_HWR"), [1]!readmissions[Score]), "No Match")</f>
        <v>14.1</v>
      </c>
    </row>
    <row r="4494" spans="1:6" x14ac:dyDescent="0.2">
      <c r="A4494">
        <f>[1]!hospitalinfo[[#This Row],[Facility ID]]</f>
        <v>450054</v>
      </c>
      <c r="B4494" t="str">
        <f>[1]!hospitalinfo[[#This Row],[State]]</f>
        <v>TX</v>
      </c>
      <c r="C4494" t="str">
        <f>[1]!hospitalinfo[[#This Row],[Hospital Type]]</f>
        <v>Acute Care Hospitals</v>
      </c>
      <c r="D4494" t="str">
        <f>[1]!hospitalinfo[[#This Row],[Hospital Ownership]]</f>
        <v>Voluntary non-profit - Private</v>
      </c>
      <c r="E4494" cm="1">
        <f t="array" ref="E4494">_xlfn.IFNA(_xlfn.XLOOKUP(1,([1]!hcahps[Facility ID] = clean[[#This Row],[Facility ID]]) * ([1]!hcahps[HCAHPS Measure ID] = "H_HSP_RATING_LINEAR_SCORE"), [1]!hcahps[HCAHPS Linear Mean Value]), "No Match")</f>
        <v>90</v>
      </c>
      <c r="F4494" cm="1">
        <f t="array" ref="F4494">_xlfn.IFNA(_xlfn.XLOOKUP(1,([1]!readmissions[Facility ID] = clean[[#This Row],[Facility ID]]) * ([1]!readmissions[Measure ID] = "Hybrid_HWR"), [1]!readmissions[Score]), "No Match")</f>
        <v>14.9</v>
      </c>
    </row>
    <row r="4495" spans="1:6" x14ac:dyDescent="0.2">
      <c r="A4495">
        <f>[1]!hospitalinfo[[#This Row],[Facility ID]]</f>
        <v>450055</v>
      </c>
      <c r="B4495" t="str">
        <f>[1]!hospitalinfo[[#This Row],[State]]</f>
        <v>TX</v>
      </c>
      <c r="C4495" t="str">
        <f>[1]!hospitalinfo[[#This Row],[Hospital Type]]</f>
        <v>Acute Care Hospitals</v>
      </c>
      <c r="D4495" t="str">
        <f>[1]!hospitalinfo[[#This Row],[Hospital Ownership]]</f>
        <v>Government - Hospital District or Authority</v>
      </c>
      <c r="E4495" cm="1">
        <f t="array" ref="E4495">_xlfn.IFNA(_xlfn.XLOOKUP(1,([1]!hcahps[Facility ID] = clean[[#This Row],[Facility ID]]) * ([1]!hcahps[HCAHPS Measure ID] = "H_HSP_RATING_LINEAR_SCORE"), [1]!hcahps[HCAHPS Linear Mean Value]), "No Match")</f>
        <v>92</v>
      </c>
      <c r="F4495" cm="1">
        <f t="array" ref="F4495">_xlfn.IFNA(_xlfn.XLOOKUP(1,([1]!readmissions[Facility ID] = clean[[#This Row],[Facility ID]]) * ([1]!readmissions[Measure ID] = "Hybrid_HWR"), [1]!readmissions[Score]), "No Match")</f>
        <v>15.2</v>
      </c>
    </row>
    <row r="4496" spans="1:6" x14ac:dyDescent="0.2">
      <c r="A4496">
        <f>[1]!hospitalinfo[[#This Row],[Facility ID]]</f>
        <v>450056</v>
      </c>
      <c r="B4496" t="str">
        <f>[1]!hospitalinfo[[#This Row],[State]]</f>
        <v>TX</v>
      </c>
      <c r="C4496" t="str">
        <f>[1]!hospitalinfo[[#This Row],[Hospital Type]]</f>
        <v>Acute Care Hospitals</v>
      </c>
      <c r="D4496" t="str">
        <f>[1]!hospitalinfo[[#This Row],[Hospital Ownership]]</f>
        <v>Voluntary non-profit - Private</v>
      </c>
      <c r="E4496" cm="1">
        <f t="array" ref="E4496">_xlfn.IFNA(_xlfn.XLOOKUP(1,([1]!hcahps[Facility ID] = clean[[#This Row],[Facility ID]]) * ([1]!hcahps[HCAHPS Measure ID] = "H_HSP_RATING_LINEAR_SCORE"), [1]!hcahps[HCAHPS Linear Mean Value]), "No Match")</f>
        <v>85</v>
      </c>
      <c r="F4496" cm="1">
        <f t="array" ref="F4496">_xlfn.IFNA(_xlfn.XLOOKUP(1,([1]!readmissions[Facility ID] = clean[[#This Row],[Facility ID]]) * ([1]!readmissions[Measure ID] = "Hybrid_HWR"), [1]!readmissions[Score]), "No Match")</f>
        <v>14.3</v>
      </c>
    </row>
    <row r="4497" spans="1:6" x14ac:dyDescent="0.2">
      <c r="A4497">
        <f>[1]!hospitalinfo[[#This Row],[Facility ID]]</f>
        <v>450058</v>
      </c>
      <c r="B4497" t="str">
        <f>[1]!hospitalinfo[[#This Row],[State]]</f>
        <v>TX</v>
      </c>
      <c r="C4497" t="str">
        <f>[1]!hospitalinfo[[#This Row],[Hospital Type]]</f>
        <v>Acute Care Hospitals</v>
      </c>
      <c r="D4497" t="str">
        <f>[1]!hospitalinfo[[#This Row],[Hospital Ownership]]</f>
        <v>Proprietary</v>
      </c>
      <c r="E4497" cm="1">
        <f t="array" ref="E4497">_xlfn.IFNA(_xlfn.XLOOKUP(1,([1]!hcahps[Facility ID] = clean[[#This Row],[Facility ID]]) * ([1]!hcahps[HCAHPS Measure ID] = "H_HSP_RATING_LINEAR_SCORE"), [1]!hcahps[HCAHPS Linear Mean Value]), "No Match")</f>
        <v>85</v>
      </c>
      <c r="F4497" cm="1">
        <f t="array" ref="F4497">_xlfn.IFNA(_xlfn.XLOOKUP(1,([1]!readmissions[Facility ID] = clean[[#This Row],[Facility ID]]) * ([1]!readmissions[Measure ID] = "Hybrid_HWR"), [1]!readmissions[Score]), "No Match")</f>
        <v>14.3</v>
      </c>
    </row>
    <row r="4498" spans="1:6" x14ac:dyDescent="0.2">
      <c r="A4498">
        <f>[1]!hospitalinfo[[#This Row],[Facility ID]]</f>
        <v>450064</v>
      </c>
      <c r="B4498" t="str">
        <f>[1]!hospitalinfo[[#This Row],[State]]</f>
        <v>TX</v>
      </c>
      <c r="C4498" t="str">
        <f>[1]!hospitalinfo[[#This Row],[Hospital Type]]</f>
        <v>Acute Care Hospitals</v>
      </c>
      <c r="D4498" t="str">
        <f>[1]!hospitalinfo[[#This Row],[Hospital Ownership]]</f>
        <v>Voluntary non-profit - Private</v>
      </c>
      <c r="E4498" cm="1">
        <f t="array" ref="E4498">_xlfn.IFNA(_xlfn.XLOOKUP(1,([1]!hcahps[Facility ID] = clean[[#This Row],[Facility ID]]) * ([1]!hcahps[HCAHPS Measure ID] = "H_HSP_RATING_LINEAR_SCORE"), [1]!hcahps[HCAHPS Linear Mean Value]), "No Match")</f>
        <v>88</v>
      </c>
      <c r="F4498" cm="1">
        <f t="array" ref="F4498">_xlfn.IFNA(_xlfn.XLOOKUP(1,([1]!readmissions[Facility ID] = clean[[#This Row],[Facility ID]]) * ([1]!readmissions[Measure ID] = "Hybrid_HWR"), [1]!readmissions[Score]), "No Match")</f>
        <v>15.3</v>
      </c>
    </row>
    <row r="4499" spans="1:6" x14ac:dyDescent="0.2">
      <c r="A4499">
        <f>[1]!hospitalinfo[[#This Row],[Facility ID]]</f>
        <v>450068</v>
      </c>
      <c r="B4499" t="str">
        <f>[1]!hospitalinfo[[#This Row],[State]]</f>
        <v>TX</v>
      </c>
      <c r="C4499" t="str">
        <f>[1]!hospitalinfo[[#This Row],[Hospital Type]]</f>
        <v>Acute Care Hospitals</v>
      </c>
      <c r="D4499" t="str">
        <f>[1]!hospitalinfo[[#This Row],[Hospital Ownership]]</f>
        <v>Voluntary non-profit - Private</v>
      </c>
      <c r="E4499" cm="1">
        <f t="array" ref="E4499">_xlfn.IFNA(_xlfn.XLOOKUP(1,([1]!hcahps[Facility ID] = clean[[#This Row],[Facility ID]]) * ([1]!hcahps[HCAHPS Measure ID] = "H_HSP_RATING_LINEAR_SCORE"), [1]!hcahps[HCAHPS Linear Mean Value]), "No Match")</f>
        <v>88</v>
      </c>
      <c r="F4499" cm="1">
        <f t="array" ref="F4499">_xlfn.IFNA(_xlfn.XLOOKUP(1,([1]!readmissions[Facility ID] = clean[[#This Row],[Facility ID]]) * ([1]!readmissions[Measure ID] = "Hybrid_HWR"), [1]!readmissions[Score]), "No Match")</f>
        <v>14.6</v>
      </c>
    </row>
    <row r="4500" spans="1:6" x14ac:dyDescent="0.2">
      <c r="A4500">
        <f>[1]!hospitalinfo[[#This Row],[Facility ID]]</f>
        <v>450072</v>
      </c>
      <c r="B4500" t="str">
        <f>[1]!hospitalinfo[[#This Row],[State]]</f>
        <v>TX</v>
      </c>
      <c r="C4500" t="str">
        <f>[1]!hospitalinfo[[#This Row],[Hospital Type]]</f>
        <v>Acute Care Hospitals</v>
      </c>
      <c r="D4500" t="str">
        <f>[1]!hospitalinfo[[#This Row],[Hospital Ownership]]</f>
        <v>Voluntary non-profit - Private</v>
      </c>
      <c r="E4500" cm="1">
        <f t="array" ref="E4500">_xlfn.IFNA(_xlfn.XLOOKUP(1,([1]!hcahps[Facility ID] = clean[[#This Row],[Facility ID]]) * ([1]!hcahps[HCAHPS Measure ID] = "H_HSP_RATING_LINEAR_SCORE"), [1]!hcahps[HCAHPS Linear Mean Value]), "No Match")</f>
        <v>88</v>
      </c>
      <c r="F4500" cm="1">
        <f t="array" ref="F4500">_xlfn.IFNA(_xlfn.XLOOKUP(1,([1]!readmissions[Facility ID] = clean[[#This Row],[Facility ID]]) * ([1]!readmissions[Measure ID] = "Hybrid_HWR"), [1]!readmissions[Score]), "No Match")</f>
        <v>15.1</v>
      </c>
    </row>
    <row r="4501" spans="1:6" x14ac:dyDescent="0.2">
      <c r="A4501">
        <f>[1]!hospitalinfo[[#This Row],[Facility ID]]</f>
        <v>450079</v>
      </c>
      <c r="B4501" t="str">
        <f>[1]!hospitalinfo[[#This Row],[State]]</f>
        <v>TX</v>
      </c>
      <c r="C4501" t="str">
        <f>[1]!hospitalinfo[[#This Row],[Hospital Type]]</f>
        <v>Acute Care Hospitals</v>
      </c>
      <c r="D4501" t="str">
        <f>[1]!hospitalinfo[[#This Row],[Hospital Ownership]]</f>
        <v>Voluntary non-profit - Private</v>
      </c>
      <c r="E4501" cm="1">
        <f t="array" ref="E4501">_xlfn.IFNA(_xlfn.XLOOKUP(1,([1]!hcahps[Facility ID] = clean[[#This Row],[Facility ID]]) * ([1]!hcahps[HCAHPS Measure ID] = "H_HSP_RATING_LINEAR_SCORE"), [1]!hcahps[HCAHPS Linear Mean Value]), "No Match")</f>
        <v>90</v>
      </c>
      <c r="F4501" cm="1">
        <f t="array" ref="F4501">_xlfn.IFNA(_xlfn.XLOOKUP(1,([1]!readmissions[Facility ID] = clean[[#This Row],[Facility ID]]) * ([1]!readmissions[Measure ID] = "Hybrid_HWR"), [1]!readmissions[Score]), "No Match")</f>
        <v>14.8</v>
      </c>
    </row>
    <row r="4502" spans="1:6" x14ac:dyDescent="0.2">
      <c r="A4502">
        <f>[1]!hospitalinfo[[#This Row],[Facility ID]]</f>
        <v>450080</v>
      </c>
      <c r="B4502" t="str">
        <f>[1]!hospitalinfo[[#This Row],[State]]</f>
        <v>TX</v>
      </c>
      <c r="C4502" t="str">
        <f>[1]!hospitalinfo[[#This Row],[Hospital Type]]</f>
        <v>Acute Care Hospitals</v>
      </c>
      <c r="D4502" t="str">
        <f>[1]!hospitalinfo[[#This Row],[Hospital Ownership]]</f>
        <v>Government - Hospital District or Authority</v>
      </c>
      <c r="E4502" cm="1">
        <f t="array" ref="E4502">_xlfn.IFNA(_xlfn.XLOOKUP(1,([1]!hcahps[Facility ID] = clean[[#This Row],[Facility ID]]) * ([1]!hcahps[HCAHPS Measure ID] = "H_HSP_RATING_LINEAR_SCORE"), [1]!hcahps[HCAHPS Linear Mean Value]), "No Match")</f>
        <v>88</v>
      </c>
      <c r="F4502" cm="1">
        <f t="array" ref="F4502">_xlfn.IFNA(_xlfn.XLOOKUP(1,([1]!readmissions[Facility ID] = clean[[#This Row],[Facility ID]]) * ([1]!readmissions[Measure ID] = "Hybrid_HWR"), [1]!readmissions[Score]), "No Match")</f>
        <v>15.2</v>
      </c>
    </row>
    <row r="4503" spans="1:6" x14ac:dyDescent="0.2">
      <c r="A4503">
        <f>[1]!hospitalinfo[[#This Row],[Facility ID]]</f>
        <v>450082</v>
      </c>
      <c r="B4503" t="str">
        <f>[1]!hospitalinfo[[#This Row],[State]]</f>
        <v>TX</v>
      </c>
      <c r="C4503" t="str">
        <f>[1]!hospitalinfo[[#This Row],[Hospital Type]]</f>
        <v>Acute Care Hospitals</v>
      </c>
      <c r="D4503" t="str">
        <f>[1]!hospitalinfo[[#This Row],[Hospital Ownership]]</f>
        <v>Voluntary non-profit - Private</v>
      </c>
      <c r="E4503" cm="1">
        <f t="array" ref="E4503">_xlfn.IFNA(_xlfn.XLOOKUP(1,([1]!hcahps[Facility ID] = clean[[#This Row],[Facility ID]]) * ([1]!hcahps[HCAHPS Measure ID] = "H_HSP_RATING_LINEAR_SCORE"), [1]!hcahps[HCAHPS Linear Mean Value]), "No Match")</f>
        <v>84</v>
      </c>
      <c r="F4503" cm="1">
        <f t="array" ref="F4503">_xlfn.IFNA(_xlfn.XLOOKUP(1,([1]!readmissions[Facility ID] = clean[[#This Row],[Facility ID]]) * ([1]!readmissions[Measure ID] = "Hybrid_HWR"), [1]!readmissions[Score]), "No Match")</f>
        <v>15.4</v>
      </c>
    </row>
    <row r="4504" spans="1:6" x14ac:dyDescent="0.2">
      <c r="A4504">
        <f>[1]!hospitalinfo[[#This Row],[Facility ID]]</f>
        <v>450083</v>
      </c>
      <c r="B4504" t="str">
        <f>[1]!hospitalinfo[[#This Row],[State]]</f>
        <v>TX</v>
      </c>
      <c r="C4504" t="str">
        <f>[1]!hospitalinfo[[#This Row],[Hospital Type]]</f>
        <v>Acute Care Hospitals</v>
      </c>
      <c r="D4504" t="str">
        <f>[1]!hospitalinfo[[#This Row],[Hospital Ownership]]</f>
        <v>Proprietary</v>
      </c>
      <c r="E4504" cm="1">
        <f t="array" ref="E4504">_xlfn.IFNA(_xlfn.XLOOKUP(1,([1]!hcahps[Facility ID] = clean[[#This Row],[Facility ID]]) * ([1]!hcahps[HCAHPS Measure ID] = "H_HSP_RATING_LINEAR_SCORE"), [1]!hcahps[HCAHPS Linear Mean Value]), "No Match")</f>
        <v>85</v>
      </c>
      <c r="F4504" cm="1">
        <f t="array" ref="F4504">_xlfn.IFNA(_xlfn.XLOOKUP(1,([1]!readmissions[Facility ID] = clean[[#This Row],[Facility ID]]) * ([1]!readmissions[Measure ID] = "Hybrid_HWR"), [1]!readmissions[Score]), "No Match")</f>
        <v>15.4</v>
      </c>
    </row>
    <row r="4505" spans="1:6" x14ac:dyDescent="0.2">
      <c r="A4505">
        <f>[1]!hospitalinfo[[#This Row],[Facility ID]]</f>
        <v>450087</v>
      </c>
      <c r="B4505" t="str">
        <f>[1]!hospitalinfo[[#This Row],[State]]</f>
        <v>TX</v>
      </c>
      <c r="C4505" t="str">
        <f>[1]!hospitalinfo[[#This Row],[Hospital Type]]</f>
        <v>Acute Care Hospitals</v>
      </c>
      <c r="D4505" t="str">
        <f>[1]!hospitalinfo[[#This Row],[Hospital Ownership]]</f>
        <v>Proprietary</v>
      </c>
      <c r="E4505" cm="1">
        <f t="array" ref="E4505">_xlfn.IFNA(_xlfn.XLOOKUP(1,([1]!hcahps[Facility ID] = clean[[#This Row],[Facility ID]]) * ([1]!hcahps[HCAHPS Measure ID] = "H_HSP_RATING_LINEAR_SCORE"), [1]!hcahps[HCAHPS Linear Mean Value]), "No Match")</f>
        <v>87</v>
      </c>
      <c r="F4505" cm="1">
        <f t="array" ref="F4505">_xlfn.IFNA(_xlfn.XLOOKUP(1,([1]!readmissions[Facility ID] = clean[[#This Row],[Facility ID]]) * ([1]!readmissions[Measure ID] = "Hybrid_HWR"), [1]!readmissions[Score]), "No Match")</f>
        <v>15.3</v>
      </c>
    </row>
    <row r="4506" spans="1:6" x14ac:dyDescent="0.2">
      <c r="A4506">
        <f>[1]!hospitalinfo[[#This Row],[Facility ID]]</f>
        <v>450090</v>
      </c>
      <c r="B4506" t="str">
        <f>[1]!hospitalinfo[[#This Row],[State]]</f>
        <v>TX</v>
      </c>
      <c r="C4506" t="str">
        <f>[1]!hospitalinfo[[#This Row],[Hospital Type]]</f>
        <v>Acute Care Hospitals</v>
      </c>
      <c r="D4506" t="str">
        <f>[1]!hospitalinfo[[#This Row],[Hospital Ownership]]</f>
        <v>Voluntary non-profit - Private</v>
      </c>
      <c r="E4506" cm="1">
        <f t="array" ref="E4506">_xlfn.IFNA(_xlfn.XLOOKUP(1,([1]!hcahps[Facility ID] = clean[[#This Row],[Facility ID]]) * ([1]!hcahps[HCAHPS Measure ID] = "H_HSP_RATING_LINEAR_SCORE"), [1]!hcahps[HCAHPS Linear Mean Value]), "No Match")</f>
        <v>88</v>
      </c>
      <c r="F4506" cm="1">
        <f t="array" ref="F4506">_xlfn.IFNA(_xlfn.XLOOKUP(1,([1]!readmissions[Facility ID] = clean[[#This Row],[Facility ID]]) * ([1]!readmissions[Measure ID] = "Hybrid_HWR"), [1]!readmissions[Score]), "No Match")</f>
        <v>14.9</v>
      </c>
    </row>
    <row r="4507" spans="1:6" x14ac:dyDescent="0.2">
      <c r="A4507">
        <f>[1]!hospitalinfo[[#This Row],[Facility ID]]</f>
        <v>450092</v>
      </c>
      <c r="B4507" t="str">
        <f>[1]!hospitalinfo[[#This Row],[State]]</f>
        <v>TX</v>
      </c>
      <c r="C4507" t="str">
        <f>[1]!hospitalinfo[[#This Row],[Hospital Type]]</f>
        <v>Acute Care Hospitals</v>
      </c>
      <c r="D4507" t="str">
        <f>[1]!hospitalinfo[[#This Row],[Hospital Ownership]]</f>
        <v>Proprietary</v>
      </c>
      <c r="E4507" cm="1">
        <f t="array" ref="E4507">_xlfn.IFNA(_xlfn.XLOOKUP(1,([1]!hcahps[Facility ID] = clean[[#This Row],[Facility ID]]) * ([1]!hcahps[HCAHPS Measure ID] = "H_HSP_RATING_LINEAR_SCORE"), [1]!hcahps[HCAHPS Linear Mean Value]), "No Match")</f>
        <v>84</v>
      </c>
      <c r="F4507" cm="1">
        <f t="array" ref="F4507">_xlfn.IFNA(_xlfn.XLOOKUP(1,([1]!readmissions[Facility ID] = clean[[#This Row],[Facility ID]]) * ([1]!readmissions[Measure ID] = "Hybrid_HWR"), [1]!readmissions[Score]), "No Match")</f>
        <v>15</v>
      </c>
    </row>
    <row r="4508" spans="1:6" x14ac:dyDescent="0.2">
      <c r="A4508">
        <f>[1]!hospitalinfo[[#This Row],[Facility ID]]</f>
        <v>450097</v>
      </c>
      <c r="B4508" t="str">
        <f>[1]!hospitalinfo[[#This Row],[State]]</f>
        <v>TX</v>
      </c>
      <c r="C4508" t="str">
        <f>[1]!hospitalinfo[[#This Row],[Hospital Type]]</f>
        <v>Acute Care Hospitals</v>
      </c>
      <c r="D4508" t="str">
        <f>[1]!hospitalinfo[[#This Row],[Hospital Ownership]]</f>
        <v>Proprietary</v>
      </c>
      <c r="E4508" cm="1">
        <f t="array" ref="E4508">_xlfn.IFNA(_xlfn.XLOOKUP(1,([1]!hcahps[Facility ID] = clean[[#This Row],[Facility ID]]) * ([1]!hcahps[HCAHPS Measure ID] = "H_HSP_RATING_LINEAR_SCORE"), [1]!hcahps[HCAHPS Linear Mean Value]), "No Match")</f>
        <v>85</v>
      </c>
      <c r="F4508" cm="1">
        <f t="array" ref="F4508">_xlfn.IFNA(_xlfn.XLOOKUP(1,([1]!readmissions[Facility ID] = clean[[#This Row],[Facility ID]]) * ([1]!readmissions[Measure ID] = "Hybrid_HWR"), [1]!readmissions[Score]), "No Match")</f>
        <v>15.6</v>
      </c>
    </row>
    <row r="4509" spans="1:6" x14ac:dyDescent="0.2">
      <c r="A4509">
        <f>[1]!hospitalinfo[[#This Row],[Facility ID]]</f>
        <v>450101</v>
      </c>
      <c r="B4509" t="str">
        <f>[1]!hospitalinfo[[#This Row],[State]]</f>
        <v>TX</v>
      </c>
      <c r="C4509" t="str">
        <f>[1]!hospitalinfo[[#This Row],[Hospital Type]]</f>
        <v>Acute Care Hospitals</v>
      </c>
      <c r="D4509" t="str">
        <f>[1]!hospitalinfo[[#This Row],[Hospital Ownership]]</f>
        <v>Voluntary non-profit - Private</v>
      </c>
      <c r="E4509" cm="1">
        <f t="array" ref="E4509">_xlfn.IFNA(_xlfn.XLOOKUP(1,([1]!hcahps[Facility ID] = clean[[#This Row],[Facility ID]]) * ([1]!hcahps[HCAHPS Measure ID] = "H_HSP_RATING_LINEAR_SCORE"), [1]!hcahps[HCAHPS Linear Mean Value]), "No Match")</f>
        <v>91</v>
      </c>
      <c r="F4509" cm="1">
        <f t="array" ref="F4509">_xlfn.IFNA(_xlfn.XLOOKUP(1,([1]!readmissions[Facility ID] = clean[[#This Row],[Facility ID]]) * ([1]!readmissions[Measure ID] = "Hybrid_HWR"), [1]!readmissions[Score]), "No Match")</f>
        <v>14.7</v>
      </c>
    </row>
    <row r="4510" spans="1:6" x14ac:dyDescent="0.2">
      <c r="A4510">
        <f>[1]!hospitalinfo[[#This Row],[Facility ID]]</f>
        <v>450102</v>
      </c>
      <c r="B4510" t="str">
        <f>[1]!hospitalinfo[[#This Row],[State]]</f>
        <v>TX</v>
      </c>
      <c r="C4510" t="str">
        <f>[1]!hospitalinfo[[#This Row],[Hospital Type]]</f>
        <v>Acute Care Hospitals</v>
      </c>
      <c r="D4510" t="str">
        <f>[1]!hospitalinfo[[#This Row],[Hospital Ownership]]</f>
        <v>Voluntary non-profit - Private</v>
      </c>
      <c r="E4510" cm="1">
        <f t="array" ref="E4510">_xlfn.IFNA(_xlfn.XLOOKUP(1,([1]!hcahps[Facility ID] = clean[[#This Row],[Facility ID]]) * ([1]!hcahps[HCAHPS Measure ID] = "H_HSP_RATING_LINEAR_SCORE"), [1]!hcahps[HCAHPS Linear Mean Value]), "No Match")</f>
        <v>87</v>
      </c>
      <c r="F4510" cm="1">
        <f t="array" ref="F4510">_xlfn.IFNA(_xlfn.XLOOKUP(1,([1]!readmissions[Facility ID] = clean[[#This Row],[Facility ID]]) * ([1]!readmissions[Measure ID] = "Hybrid_HWR"), [1]!readmissions[Score]), "No Match")</f>
        <v>13.6</v>
      </c>
    </row>
    <row r="4511" spans="1:6" x14ac:dyDescent="0.2">
      <c r="A4511">
        <f>[1]!hospitalinfo[[#This Row],[Facility ID]]</f>
        <v>450104</v>
      </c>
      <c r="B4511" t="str">
        <f>[1]!hospitalinfo[[#This Row],[State]]</f>
        <v>TX</v>
      </c>
      <c r="C4511" t="str">
        <f>[1]!hospitalinfo[[#This Row],[Hospital Type]]</f>
        <v>Acute Care Hospitals</v>
      </c>
      <c r="D4511" t="str">
        <f>[1]!hospitalinfo[[#This Row],[Hospital Ownership]]</f>
        <v>Government - Local</v>
      </c>
      <c r="E4511" cm="1">
        <f t="array" ref="E4511">_xlfn.IFNA(_xlfn.XLOOKUP(1,([1]!hcahps[Facility ID] = clean[[#This Row],[Facility ID]]) * ([1]!hcahps[HCAHPS Measure ID] = "H_HSP_RATING_LINEAR_SCORE"), [1]!hcahps[HCAHPS Linear Mean Value]), "No Match")</f>
        <v>93</v>
      </c>
      <c r="F4511" cm="1">
        <f t="array" ref="F4511">_xlfn.IFNA(_xlfn.XLOOKUP(1,([1]!readmissions[Facility ID] = clean[[#This Row],[Facility ID]]) * ([1]!readmissions[Measure ID] = "Hybrid_HWR"), [1]!readmissions[Score]), "No Match")</f>
        <v>16</v>
      </c>
    </row>
    <row r="4512" spans="1:6" x14ac:dyDescent="0.2">
      <c r="A4512">
        <f>[1]!hospitalinfo[[#This Row],[Facility ID]]</f>
        <v>450107</v>
      </c>
      <c r="B4512" t="str">
        <f>[1]!hospitalinfo[[#This Row],[State]]</f>
        <v>TX</v>
      </c>
      <c r="C4512" t="str">
        <f>[1]!hospitalinfo[[#This Row],[Hospital Type]]</f>
        <v>Acute Care Hospitals</v>
      </c>
      <c r="D4512" t="str">
        <f>[1]!hospitalinfo[[#This Row],[Hospital Ownership]]</f>
        <v>Proprietary</v>
      </c>
      <c r="E4512" cm="1">
        <f t="array" ref="E4512">_xlfn.IFNA(_xlfn.XLOOKUP(1,([1]!hcahps[Facility ID] = clean[[#This Row],[Facility ID]]) * ([1]!hcahps[HCAHPS Measure ID] = "H_HSP_RATING_LINEAR_SCORE"), [1]!hcahps[HCAHPS Linear Mean Value]), "No Match")</f>
        <v>85</v>
      </c>
      <c r="F4512" cm="1">
        <f t="array" ref="F4512">_xlfn.IFNA(_xlfn.XLOOKUP(1,([1]!readmissions[Facility ID] = clean[[#This Row],[Facility ID]]) * ([1]!readmissions[Measure ID] = "Hybrid_HWR"), [1]!readmissions[Score]), "No Match")</f>
        <v>15.5</v>
      </c>
    </row>
    <row r="4513" spans="1:6" x14ac:dyDescent="0.2">
      <c r="A4513">
        <f>[1]!hospitalinfo[[#This Row],[Facility ID]]</f>
        <v>450108</v>
      </c>
      <c r="B4513" t="str">
        <f>[1]!hospitalinfo[[#This Row],[State]]</f>
        <v>TX</v>
      </c>
      <c r="C4513" t="str">
        <f>[1]!hospitalinfo[[#This Row],[Hospital Type]]</f>
        <v>Acute Care Hospitals</v>
      </c>
      <c r="D4513" t="str">
        <f>[1]!hospitalinfo[[#This Row],[Hospital Ownership]]</f>
        <v>Government - Hospital District or Authority</v>
      </c>
      <c r="E4513" t="str" cm="1">
        <f t="array" ref="E4513">_xlfn.IFNA(_xlfn.XLOOKUP(1,([1]!hcahps[Facility ID] = clean[[#This Row],[Facility ID]]) * ([1]!hcahps[HCAHPS Measure ID] = "H_HSP_RATING_LINEAR_SCORE"), [1]!hcahps[HCAHPS Linear Mean Value]), "No Match")</f>
        <v>Not Available</v>
      </c>
      <c r="F4513" cm="1">
        <f t="array" ref="F4513">_xlfn.IFNA(_xlfn.XLOOKUP(1,([1]!readmissions[Facility ID] = clean[[#This Row],[Facility ID]]) * ([1]!readmissions[Measure ID] = "Hybrid_HWR"), [1]!readmissions[Score]), "No Match")</f>
        <v>15.3</v>
      </c>
    </row>
    <row r="4514" spans="1:6" x14ac:dyDescent="0.2">
      <c r="A4514">
        <f>[1]!hospitalinfo[[#This Row],[Facility ID]]</f>
        <v>450119</v>
      </c>
      <c r="B4514" t="str">
        <f>[1]!hospitalinfo[[#This Row],[State]]</f>
        <v>TX</v>
      </c>
      <c r="C4514" t="str">
        <f>[1]!hospitalinfo[[#This Row],[Hospital Type]]</f>
        <v>Acute Care Hospitals</v>
      </c>
      <c r="D4514" t="str">
        <f>[1]!hospitalinfo[[#This Row],[Hospital Ownership]]</f>
        <v>Proprietary</v>
      </c>
      <c r="E4514" cm="1">
        <f t="array" ref="E4514">_xlfn.IFNA(_xlfn.XLOOKUP(1,([1]!hcahps[Facility ID] = clean[[#This Row],[Facility ID]]) * ([1]!hcahps[HCAHPS Measure ID] = "H_HSP_RATING_LINEAR_SCORE"), [1]!hcahps[HCAHPS Linear Mean Value]), "No Match")</f>
        <v>86</v>
      </c>
      <c r="F4514" cm="1">
        <f t="array" ref="F4514">_xlfn.IFNA(_xlfn.XLOOKUP(1,([1]!readmissions[Facility ID] = clean[[#This Row],[Facility ID]]) * ([1]!readmissions[Measure ID] = "Hybrid_HWR"), [1]!readmissions[Score]), "No Match")</f>
        <v>15.9</v>
      </c>
    </row>
    <row r="4515" spans="1:6" x14ac:dyDescent="0.2">
      <c r="A4515">
        <f>[1]!hospitalinfo[[#This Row],[Facility ID]]</f>
        <v>450124</v>
      </c>
      <c r="B4515" t="str">
        <f>[1]!hospitalinfo[[#This Row],[State]]</f>
        <v>TX</v>
      </c>
      <c r="C4515" t="str">
        <f>[1]!hospitalinfo[[#This Row],[Hospital Type]]</f>
        <v>Acute Care Hospitals</v>
      </c>
      <c r="D4515" t="str">
        <f>[1]!hospitalinfo[[#This Row],[Hospital Ownership]]</f>
        <v>Voluntary non-profit - Private</v>
      </c>
      <c r="E4515" cm="1">
        <f t="array" ref="E4515">_xlfn.IFNA(_xlfn.XLOOKUP(1,([1]!hcahps[Facility ID] = clean[[#This Row],[Facility ID]]) * ([1]!hcahps[HCAHPS Measure ID] = "H_HSP_RATING_LINEAR_SCORE"), [1]!hcahps[HCAHPS Linear Mean Value]), "No Match")</f>
        <v>91</v>
      </c>
      <c r="F4515" cm="1">
        <f t="array" ref="F4515">_xlfn.IFNA(_xlfn.XLOOKUP(1,([1]!readmissions[Facility ID] = clean[[#This Row],[Facility ID]]) * ([1]!readmissions[Measure ID] = "Hybrid_HWR"), [1]!readmissions[Score]), "No Match")</f>
        <v>14.9</v>
      </c>
    </row>
    <row r="4516" spans="1:6" x14ac:dyDescent="0.2">
      <c r="A4516">
        <f>[1]!hospitalinfo[[#This Row],[Facility ID]]</f>
        <v>450128</v>
      </c>
      <c r="B4516" t="str">
        <f>[1]!hospitalinfo[[#This Row],[State]]</f>
        <v>TX</v>
      </c>
      <c r="C4516" t="str">
        <f>[1]!hospitalinfo[[#This Row],[Hospital Type]]</f>
        <v>Acute Care Hospitals</v>
      </c>
      <c r="D4516" t="str">
        <f>[1]!hospitalinfo[[#This Row],[Hospital Ownership]]</f>
        <v>Voluntary non-profit - Private</v>
      </c>
      <c r="E4516" cm="1">
        <f t="array" ref="E4516">_xlfn.IFNA(_xlfn.XLOOKUP(1,([1]!hcahps[Facility ID] = clean[[#This Row],[Facility ID]]) * ([1]!hcahps[HCAHPS Measure ID] = "H_HSP_RATING_LINEAR_SCORE"), [1]!hcahps[HCAHPS Linear Mean Value]), "No Match")</f>
        <v>87</v>
      </c>
      <c r="F4516" cm="1">
        <f t="array" ref="F4516">_xlfn.IFNA(_xlfn.XLOOKUP(1,([1]!readmissions[Facility ID] = clean[[#This Row],[Facility ID]]) * ([1]!readmissions[Measure ID] = "Hybrid_HWR"), [1]!readmissions[Score]), "No Match")</f>
        <v>14.4</v>
      </c>
    </row>
    <row r="4517" spans="1:6" x14ac:dyDescent="0.2">
      <c r="A4517">
        <f>[1]!hospitalinfo[[#This Row],[Facility ID]]</f>
        <v>450132</v>
      </c>
      <c r="B4517" t="str">
        <f>[1]!hospitalinfo[[#This Row],[State]]</f>
        <v>TX</v>
      </c>
      <c r="C4517" t="str">
        <f>[1]!hospitalinfo[[#This Row],[Hospital Type]]</f>
        <v>Acute Care Hospitals</v>
      </c>
      <c r="D4517" t="str">
        <f>[1]!hospitalinfo[[#This Row],[Hospital Ownership]]</f>
        <v>Government - Hospital District or Authority</v>
      </c>
      <c r="E4517" cm="1">
        <f t="array" ref="E4517">_xlfn.IFNA(_xlfn.XLOOKUP(1,([1]!hcahps[Facility ID] = clean[[#This Row],[Facility ID]]) * ([1]!hcahps[HCAHPS Measure ID] = "H_HSP_RATING_LINEAR_SCORE"), [1]!hcahps[HCAHPS Linear Mean Value]), "No Match")</f>
        <v>88</v>
      </c>
      <c r="F4517" cm="1">
        <f t="array" ref="F4517">_xlfn.IFNA(_xlfn.XLOOKUP(1,([1]!readmissions[Facility ID] = clean[[#This Row],[Facility ID]]) * ([1]!readmissions[Measure ID] = "Hybrid_HWR"), [1]!readmissions[Score]), "No Match")</f>
        <v>15</v>
      </c>
    </row>
    <row r="4518" spans="1:6" x14ac:dyDescent="0.2">
      <c r="A4518">
        <f>[1]!hospitalinfo[[#This Row],[Facility ID]]</f>
        <v>450133</v>
      </c>
      <c r="B4518" t="str">
        <f>[1]!hospitalinfo[[#This Row],[State]]</f>
        <v>TX</v>
      </c>
      <c r="C4518" t="str">
        <f>[1]!hospitalinfo[[#This Row],[Hospital Type]]</f>
        <v>Acute Care Hospitals</v>
      </c>
      <c r="D4518" t="str">
        <f>[1]!hospitalinfo[[#This Row],[Hospital Ownership]]</f>
        <v>Government - Hospital District or Authority</v>
      </c>
      <c r="E4518" cm="1">
        <f t="array" ref="E4518">_xlfn.IFNA(_xlfn.XLOOKUP(1,([1]!hcahps[Facility ID] = clean[[#This Row],[Facility ID]]) * ([1]!hcahps[HCAHPS Measure ID] = "H_HSP_RATING_LINEAR_SCORE"), [1]!hcahps[HCAHPS Linear Mean Value]), "No Match")</f>
        <v>87</v>
      </c>
      <c r="F4518" cm="1">
        <f t="array" ref="F4518">_xlfn.IFNA(_xlfn.XLOOKUP(1,([1]!readmissions[Facility ID] = clean[[#This Row],[Facility ID]]) * ([1]!readmissions[Measure ID] = "Hybrid_HWR"), [1]!readmissions[Score]), "No Match")</f>
        <v>14.9</v>
      </c>
    </row>
    <row r="4519" spans="1:6" x14ac:dyDescent="0.2">
      <c r="A4519">
        <f>[1]!hospitalinfo[[#This Row],[Facility ID]]</f>
        <v>450135</v>
      </c>
      <c r="B4519" t="str">
        <f>[1]!hospitalinfo[[#This Row],[State]]</f>
        <v>TX</v>
      </c>
      <c r="C4519" t="str">
        <f>[1]!hospitalinfo[[#This Row],[Hospital Type]]</f>
        <v>Acute Care Hospitals</v>
      </c>
      <c r="D4519" t="str">
        <f>[1]!hospitalinfo[[#This Row],[Hospital Ownership]]</f>
        <v>Voluntary non-profit - Private</v>
      </c>
      <c r="E4519" cm="1">
        <f t="array" ref="E4519">_xlfn.IFNA(_xlfn.XLOOKUP(1,([1]!hcahps[Facility ID] = clean[[#This Row],[Facility ID]]) * ([1]!hcahps[HCAHPS Measure ID] = "H_HSP_RATING_LINEAR_SCORE"), [1]!hcahps[HCAHPS Linear Mean Value]), "No Match")</f>
        <v>89</v>
      </c>
      <c r="F4519" cm="1">
        <f t="array" ref="F4519">_xlfn.IFNA(_xlfn.XLOOKUP(1,([1]!readmissions[Facility ID] = clean[[#This Row],[Facility ID]]) * ([1]!readmissions[Measure ID] = "Hybrid_HWR"), [1]!readmissions[Score]), "No Match")</f>
        <v>14.4</v>
      </c>
    </row>
    <row r="4520" spans="1:6" x14ac:dyDescent="0.2">
      <c r="A4520">
        <f>[1]!hospitalinfo[[#This Row],[Facility ID]]</f>
        <v>450137</v>
      </c>
      <c r="B4520" t="str">
        <f>[1]!hospitalinfo[[#This Row],[State]]</f>
        <v>TX</v>
      </c>
      <c r="C4520" t="str">
        <f>[1]!hospitalinfo[[#This Row],[Hospital Type]]</f>
        <v>Acute Care Hospitals</v>
      </c>
      <c r="D4520" t="str">
        <f>[1]!hospitalinfo[[#This Row],[Hospital Ownership]]</f>
        <v>Voluntary non-profit - Private</v>
      </c>
      <c r="E4520" cm="1">
        <f t="array" ref="E4520">_xlfn.IFNA(_xlfn.XLOOKUP(1,([1]!hcahps[Facility ID] = clean[[#This Row],[Facility ID]]) * ([1]!hcahps[HCAHPS Measure ID] = "H_HSP_RATING_LINEAR_SCORE"), [1]!hcahps[HCAHPS Linear Mean Value]), "No Match")</f>
        <v>89</v>
      </c>
      <c r="F4520" cm="1">
        <f t="array" ref="F4520">_xlfn.IFNA(_xlfn.XLOOKUP(1,([1]!readmissions[Facility ID] = clean[[#This Row],[Facility ID]]) * ([1]!readmissions[Measure ID] = "Hybrid_HWR"), [1]!readmissions[Score]), "No Match")</f>
        <v>15.8</v>
      </c>
    </row>
    <row r="4521" spans="1:6" x14ac:dyDescent="0.2">
      <c r="A4521">
        <f>[1]!hospitalinfo[[#This Row],[Facility ID]]</f>
        <v>450144</v>
      </c>
      <c r="B4521" t="str">
        <f>[1]!hospitalinfo[[#This Row],[State]]</f>
        <v>TX</v>
      </c>
      <c r="C4521" t="str">
        <f>[1]!hospitalinfo[[#This Row],[Hospital Type]]</f>
        <v>Acute Care Hospitals</v>
      </c>
      <c r="D4521" t="str">
        <f>[1]!hospitalinfo[[#This Row],[Hospital Ownership]]</f>
        <v>Government - Hospital District or Authority</v>
      </c>
      <c r="E4521" t="str" cm="1">
        <f t="array" ref="E4521">_xlfn.IFNA(_xlfn.XLOOKUP(1,([1]!hcahps[Facility ID] = clean[[#This Row],[Facility ID]]) * ([1]!hcahps[HCAHPS Measure ID] = "H_HSP_RATING_LINEAR_SCORE"), [1]!hcahps[HCAHPS Linear Mean Value]), "No Match")</f>
        <v>Not Available</v>
      </c>
      <c r="F4521" cm="1">
        <f t="array" ref="F4521">_xlfn.IFNA(_xlfn.XLOOKUP(1,([1]!readmissions[Facility ID] = clean[[#This Row],[Facility ID]]) * ([1]!readmissions[Measure ID] = "Hybrid_HWR"), [1]!readmissions[Score]), "No Match")</f>
        <v>15</v>
      </c>
    </row>
    <row r="4522" spans="1:6" x14ac:dyDescent="0.2">
      <c r="A4522">
        <f>[1]!hospitalinfo[[#This Row],[Facility ID]]</f>
        <v>450147</v>
      </c>
      <c r="B4522" t="str">
        <f>[1]!hospitalinfo[[#This Row],[State]]</f>
        <v>TX</v>
      </c>
      <c r="C4522" t="str">
        <f>[1]!hospitalinfo[[#This Row],[Hospital Type]]</f>
        <v>Acute Care Hospitals</v>
      </c>
      <c r="D4522" t="str">
        <f>[1]!hospitalinfo[[#This Row],[Hospital Ownership]]</f>
        <v>Proprietary</v>
      </c>
      <c r="E4522" cm="1">
        <f t="array" ref="E4522">_xlfn.IFNA(_xlfn.XLOOKUP(1,([1]!hcahps[Facility ID] = clean[[#This Row],[Facility ID]]) * ([1]!hcahps[HCAHPS Measure ID] = "H_HSP_RATING_LINEAR_SCORE"), [1]!hcahps[HCAHPS Linear Mean Value]), "No Match")</f>
        <v>86</v>
      </c>
      <c r="F4522" cm="1">
        <f t="array" ref="F4522">_xlfn.IFNA(_xlfn.XLOOKUP(1,([1]!readmissions[Facility ID] = clean[[#This Row],[Facility ID]]) * ([1]!readmissions[Measure ID] = "Hybrid_HWR"), [1]!readmissions[Score]), "No Match")</f>
        <v>14.5</v>
      </c>
    </row>
    <row r="4523" spans="1:6" x14ac:dyDescent="0.2">
      <c r="A4523">
        <f>[1]!hospitalinfo[[#This Row],[Facility ID]]</f>
        <v>450148</v>
      </c>
      <c r="B4523" t="str">
        <f>[1]!hospitalinfo[[#This Row],[State]]</f>
        <v>TX</v>
      </c>
      <c r="C4523" t="str">
        <f>[1]!hospitalinfo[[#This Row],[Hospital Type]]</f>
        <v>Acute Care Hospitals</v>
      </c>
      <c r="D4523" t="str">
        <f>[1]!hospitalinfo[[#This Row],[Hospital Ownership]]</f>
        <v>Voluntary non-profit - Private</v>
      </c>
      <c r="E4523" cm="1">
        <f t="array" ref="E4523">_xlfn.IFNA(_xlfn.XLOOKUP(1,([1]!hcahps[Facility ID] = clean[[#This Row],[Facility ID]]) * ([1]!hcahps[HCAHPS Measure ID] = "H_HSP_RATING_LINEAR_SCORE"), [1]!hcahps[HCAHPS Linear Mean Value]), "No Match")</f>
        <v>89</v>
      </c>
      <c r="F4523" cm="1">
        <f t="array" ref="F4523">_xlfn.IFNA(_xlfn.XLOOKUP(1,([1]!readmissions[Facility ID] = clean[[#This Row],[Facility ID]]) * ([1]!readmissions[Measure ID] = "Hybrid_HWR"), [1]!readmissions[Score]), "No Match")</f>
        <v>14.5</v>
      </c>
    </row>
    <row r="4524" spans="1:6" x14ac:dyDescent="0.2">
      <c r="A4524">
        <f>[1]!hospitalinfo[[#This Row],[Facility ID]]</f>
        <v>450152</v>
      </c>
      <c r="B4524" t="str">
        <f>[1]!hospitalinfo[[#This Row],[State]]</f>
        <v>TX</v>
      </c>
      <c r="C4524" t="str">
        <f>[1]!hospitalinfo[[#This Row],[Hospital Type]]</f>
        <v>Acute Care Hospitals</v>
      </c>
      <c r="D4524" t="str">
        <f>[1]!hospitalinfo[[#This Row],[Hospital Ownership]]</f>
        <v>Voluntary non-profit - Church</v>
      </c>
      <c r="E4524" cm="1">
        <f t="array" ref="E4524">_xlfn.IFNA(_xlfn.XLOOKUP(1,([1]!hcahps[Facility ID] = clean[[#This Row],[Facility ID]]) * ([1]!hcahps[HCAHPS Measure ID] = "H_HSP_RATING_LINEAR_SCORE"), [1]!hcahps[HCAHPS Linear Mean Value]), "No Match")</f>
        <v>90</v>
      </c>
      <c r="F4524" cm="1">
        <f t="array" ref="F4524">_xlfn.IFNA(_xlfn.XLOOKUP(1,([1]!readmissions[Facility ID] = clean[[#This Row],[Facility ID]]) * ([1]!readmissions[Measure ID] = "Hybrid_HWR"), [1]!readmissions[Score]), "No Match")</f>
        <v>15.9</v>
      </c>
    </row>
    <row r="4525" spans="1:6" x14ac:dyDescent="0.2">
      <c r="A4525">
        <f>[1]!hospitalinfo[[#This Row],[Facility ID]]</f>
        <v>450154</v>
      </c>
      <c r="B4525" t="str">
        <f>[1]!hospitalinfo[[#This Row],[State]]</f>
        <v>TX</v>
      </c>
      <c r="C4525" t="str">
        <f>[1]!hospitalinfo[[#This Row],[Hospital Type]]</f>
        <v>Acute Care Hospitals</v>
      </c>
      <c r="D4525" t="str">
        <f>[1]!hospitalinfo[[#This Row],[Hospital Ownership]]</f>
        <v>Government - Hospital District or Authority</v>
      </c>
      <c r="E4525" t="str" cm="1">
        <f t="array" ref="E4525">_xlfn.IFNA(_xlfn.XLOOKUP(1,([1]!hcahps[Facility ID] = clean[[#This Row],[Facility ID]]) * ([1]!hcahps[HCAHPS Measure ID] = "H_HSP_RATING_LINEAR_SCORE"), [1]!hcahps[HCAHPS Linear Mean Value]), "No Match")</f>
        <v>Not Available</v>
      </c>
      <c r="F4525" cm="1">
        <f t="array" ref="F4525">_xlfn.IFNA(_xlfn.XLOOKUP(1,([1]!readmissions[Facility ID] = clean[[#This Row],[Facility ID]]) * ([1]!readmissions[Measure ID] = "Hybrid_HWR"), [1]!readmissions[Score]), "No Match")</f>
        <v>14.7</v>
      </c>
    </row>
    <row r="4526" spans="1:6" x14ac:dyDescent="0.2">
      <c r="A4526">
        <f>[1]!hospitalinfo[[#This Row],[Facility ID]]</f>
        <v>450155</v>
      </c>
      <c r="B4526" t="str">
        <f>[1]!hospitalinfo[[#This Row],[State]]</f>
        <v>TX</v>
      </c>
      <c r="C4526" t="str">
        <f>[1]!hospitalinfo[[#This Row],[Hospital Type]]</f>
        <v>Acute Care Hospitals</v>
      </c>
      <c r="D4526" t="str">
        <f>[1]!hospitalinfo[[#This Row],[Hospital Ownership]]</f>
        <v>Government - Hospital District or Authority</v>
      </c>
      <c r="E4526" t="str" cm="1">
        <f t="array" ref="E4526">_xlfn.IFNA(_xlfn.XLOOKUP(1,([1]!hcahps[Facility ID] = clean[[#This Row],[Facility ID]]) * ([1]!hcahps[HCAHPS Measure ID] = "H_HSP_RATING_LINEAR_SCORE"), [1]!hcahps[HCAHPS Linear Mean Value]), "No Match")</f>
        <v>Not Available</v>
      </c>
      <c r="F4526" cm="1">
        <f t="array" ref="F4526">_xlfn.IFNA(_xlfn.XLOOKUP(1,([1]!readmissions[Facility ID] = clean[[#This Row],[Facility ID]]) * ([1]!readmissions[Measure ID] = "Hybrid_HWR"), [1]!readmissions[Score]), "No Match")</f>
        <v>14.5</v>
      </c>
    </row>
    <row r="4527" spans="1:6" x14ac:dyDescent="0.2">
      <c r="A4527">
        <f>[1]!hospitalinfo[[#This Row],[Facility ID]]</f>
        <v>450162</v>
      </c>
      <c r="B4527" t="str">
        <f>[1]!hospitalinfo[[#This Row],[State]]</f>
        <v>TX</v>
      </c>
      <c r="C4527" t="str">
        <f>[1]!hospitalinfo[[#This Row],[Hospital Type]]</f>
        <v>Acute Care Hospitals</v>
      </c>
      <c r="D4527" t="str">
        <f>[1]!hospitalinfo[[#This Row],[Hospital Ownership]]</f>
        <v>Voluntary non-profit - Private</v>
      </c>
      <c r="E4527" t="str" cm="1">
        <f t="array" ref="E4527">_xlfn.IFNA(_xlfn.XLOOKUP(1,([1]!hcahps[Facility ID] = clean[[#This Row],[Facility ID]]) * ([1]!hcahps[HCAHPS Measure ID] = "H_HSP_RATING_LINEAR_SCORE"), [1]!hcahps[HCAHPS Linear Mean Value]), "No Match")</f>
        <v>Not Available</v>
      </c>
      <c r="F4527" cm="1">
        <f t="array" ref="F4527">_xlfn.IFNA(_xlfn.XLOOKUP(1,([1]!readmissions[Facility ID] = clean[[#This Row],[Facility ID]]) * ([1]!readmissions[Measure ID] = "Hybrid_HWR"), [1]!readmissions[Score]), "No Match")</f>
        <v>14.2</v>
      </c>
    </row>
    <row r="4528" spans="1:6" x14ac:dyDescent="0.2">
      <c r="A4528">
        <f>[1]!hospitalinfo[[#This Row],[Facility ID]]</f>
        <v>450163</v>
      </c>
      <c r="B4528" t="str">
        <f>[1]!hospitalinfo[[#This Row],[State]]</f>
        <v>TX</v>
      </c>
      <c r="C4528" t="str">
        <f>[1]!hospitalinfo[[#This Row],[Hospital Type]]</f>
        <v>Acute Care Hospitals</v>
      </c>
      <c r="D4528" t="str">
        <f>[1]!hospitalinfo[[#This Row],[Hospital Ownership]]</f>
        <v>Voluntary non-profit - Private</v>
      </c>
      <c r="E4528" cm="1">
        <f t="array" ref="E4528">_xlfn.IFNA(_xlfn.XLOOKUP(1,([1]!hcahps[Facility ID] = clean[[#This Row],[Facility ID]]) * ([1]!hcahps[HCAHPS Measure ID] = "H_HSP_RATING_LINEAR_SCORE"), [1]!hcahps[HCAHPS Linear Mean Value]), "No Match")</f>
        <v>87</v>
      </c>
      <c r="F4528" cm="1">
        <f t="array" ref="F4528">_xlfn.IFNA(_xlfn.XLOOKUP(1,([1]!readmissions[Facility ID] = clean[[#This Row],[Facility ID]]) * ([1]!readmissions[Measure ID] = "Hybrid_HWR"), [1]!readmissions[Score]), "No Match")</f>
        <v>14.9</v>
      </c>
    </row>
    <row r="4529" spans="1:6" x14ac:dyDescent="0.2">
      <c r="A4529">
        <f>[1]!hospitalinfo[[#This Row],[Facility ID]]</f>
        <v>450165</v>
      </c>
      <c r="B4529" t="str">
        <f>[1]!hospitalinfo[[#This Row],[State]]</f>
        <v>TX</v>
      </c>
      <c r="C4529" t="str">
        <f>[1]!hospitalinfo[[#This Row],[Hospital Type]]</f>
        <v>Acute Care Hospitals</v>
      </c>
      <c r="D4529" t="str">
        <f>[1]!hospitalinfo[[#This Row],[Hospital Ownership]]</f>
        <v>Proprietary</v>
      </c>
      <c r="E4529" cm="1">
        <f t="array" ref="E4529">_xlfn.IFNA(_xlfn.XLOOKUP(1,([1]!hcahps[Facility ID] = clean[[#This Row],[Facility ID]]) * ([1]!hcahps[HCAHPS Measure ID] = "H_HSP_RATING_LINEAR_SCORE"), [1]!hcahps[HCAHPS Linear Mean Value]), "No Match")</f>
        <v>89</v>
      </c>
      <c r="F4529" cm="1">
        <f t="array" ref="F4529">_xlfn.IFNA(_xlfn.XLOOKUP(1,([1]!readmissions[Facility ID] = clean[[#This Row],[Facility ID]]) * ([1]!readmissions[Measure ID] = "Hybrid_HWR"), [1]!readmissions[Score]), "No Match")</f>
        <v>14.5</v>
      </c>
    </row>
    <row r="4530" spans="1:6" x14ac:dyDescent="0.2">
      <c r="A4530">
        <f>[1]!hospitalinfo[[#This Row],[Facility ID]]</f>
        <v>450176</v>
      </c>
      <c r="B4530" t="str">
        <f>[1]!hospitalinfo[[#This Row],[State]]</f>
        <v>TX</v>
      </c>
      <c r="C4530" t="str">
        <f>[1]!hospitalinfo[[#This Row],[Hospital Type]]</f>
        <v>Acute Care Hospitals</v>
      </c>
      <c r="D4530" t="str">
        <f>[1]!hospitalinfo[[#This Row],[Hospital Ownership]]</f>
        <v>Voluntary non-profit - Private</v>
      </c>
      <c r="E4530" cm="1">
        <f t="array" ref="E4530">_xlfn.IFNA(_xlfn.XLOOKUP(1,([1]!hcahps[Facility ID] = clean[[#This Row],[Facility ID]]) * ([1]!hcahps[HCAHPS Measure ID] = "H_HSP_RATING_LINEAR_SCORE"), [1]!hcahps[HCAHPS Linear Mean Value]), "No Match")</f>
        <v>88</v>
      </c>
      <c r="F4530" cm="1">
        <f t="array" ref="F4530">_xlfn.IFNA(_xlfn.XLOOKUP(1,([1]!readmissions[Facility ID] = clean[[#This Row],[Facility ID]]) * ([1]!readmissions[Measure ID] = "Hybrid_HWR"), [1]!readmissions[Score]), "No Match")</f>
        <v>15.2</v>
      </c>
    </row>
    <row r="4531" spans="1:6" x14ac:dyDescent="0.2">
      <c r="A4531">
        <f>[1]!hospitalinfo[[#This Row],[Facility ID]]</f>
        <v>450184</v>
      </c>
      <c r="B4531" t="str">
        <f>[1]!hospitalinfo[[#This Row],[State]]</f>
        <v>TX</v>
      </c>
      <c r="C4531" t="str">
        <f>[1]!hospitalinfo[[#This Row],[Hospital Type]]</f>
        <v>Acute Care Hospitals</v>
      </c>
      <c r="D4531" t="str">
        <f>[1]!hospitalinfo[[#This Row],[Hospital Ownership]]</f>
        <v>Voluntary non-profit - Private</v>
      </c>
      <c r="E4531" cm="1">
        <f t="array" ref="E4531">_xlfn.IFNA(_xlfn.XLOOKUP(1,([1]!hcahps[Facility ID] = clean[[#This Row],[Facility ID]]) * ([1]!hcahps[HCAHPS Measure ID] = "H_HSP_RATING_LINEAR_SCORE"), [1]!hcahps[HCAHPS Linear Mean Value]), "No Match")</f>
        <v>88</v>
      </c>
      <c r="F4531" cm="1">
        <f t="array" ref="F4531">_xlfn.IFNA(_xlfn.XLOOKUP(1,([1]!readmissions[Facility ID] = clean[[#This Row],[Facility ID]]) * ([1]!readmissions[Measure ID] = "Hybrid_HWR"), [1]!readmissions[Score]), "No Match")</f>
        <v>14.8</v>
      </c>
    </row>
    <row r="4532" spans="1:6" x14ac:dyDescent="0.2">
      <c r="A4532">
        <f>[1]!hospitalinfo[[#This Row],[Facility ID]]</f>
        <v>450193</v>
      </c>
      <c r="B4532" t="str">
        <f>[1]!hospitalinfo[[#This Row],[State]]</f>
        <v>TX</v>
      </c>
      <c r="C4532" t="str">
        <f>[1]!hospitalinfo[[#This Row],[Hospital Type]]</f>
        <v>Acute Care Hospitals</v>
      </c>
      <c r="D4532" t="str">
        <f>[1]!hospitalinfo[[#This Row],[Hospital Ownership]]</f>
        <v>Voluntary non-profit - Church</v>
      </c>
      <c r="E4532" cm="1">
        <f t="array" ref="E4532">_xlfn.IFNA(_xlfn.XLOOKUP(1,([1]!hcahps[Facility ID] = clean[[#This Row],[Facility ID]]) * ([1]!hcahps[HCAHPS Measure ID] = "H_HSP_RATING_LINEAR_SCORE"), [1]!hcahps[HCAHPS Linear Mean Value]), "No Match")</f>
        <v>86</v>
      </c>
      <c r="F4532" cm="1">
        <f t="array" ref="F4532">_xlfn.IFNA(_xlfn.XLOOKUP(1,([1]!readmissions[Facility ID] = clean[[#This Row],[Facility ID]]) * ([1]!readmissions[Measure ID] = "Hybrid_HWR"), [1]!readmissions[Score]), "No Match")</f>
        <v>14.5</v>
      </c>
    </row>
    <row r="4533" spans="1:6" x14ac:dyDescent="0.2">
      <c r="A4533">
        <f>[1]!hospitalinfo[[#This Row],[Facility ID]]</f>
        <v>450194</v>
      </c>
      <c r="B4533" t="str">
        <f>[1]!hospitalinfo[[#This Row],[State]]</f>
        <v>TX</v>
      </c>
      <c r="C4533" t="str">
        <f>[1]!hospitalinfo[[#This Row],[Hospital Type]]</f>
        <v>Acute Care Hospitals</v>
      </c>
      <c r="D4533" t="str">
        <f>[1]!hospitalinfo[[#This Row],[Hospital Ownership]]</f>
        <v>Proprietary</v>
      </c>
      <c r="E4533" cm="1">
        <f t="array" ref="E4533">_xlfn.IFNA(_xlfn.XLOOKUP(1,([1]!hcahps[Facility ID] = clean[[#This Row],[Facility ID]]) * ([1]!hcahps[HCAHPS Measure ID] = "H_HSP_RATING_LINEAR_SCORE"), [1]!hcahps[HCAHPS Linear Mean Value]), "No Match")</f>
        <v>90</v>
      </c>
      <c r="F4533" cm="1">
        <f t="array" ref="F4533">_xlfn.IFNA(_xlfn.XLOOKUP(1,([1]!readmissions[Facility ID] = clean[[#This Row],[Facility ID]]) * ([1]!readmissions[Measure ID] = "Hybrid_HWR"), [1]!readmissions[Score]), "No Match")</f>
        <v>14.7</v>
      </c>
    </row>
    <row r="4534" spans="1:6" x14ac:dyDescent="0.2">
      <c r="A4534">
        <f>[1]!hospitalinfo[[#This Row],[Facility ID]]</f>
        <v>450196</v>
      </c>
      <c r="B4534" t="str">
        <f>[1]!hospitalinfo[[#This Row],[State]]</f>
        <v>TX</v>
      </c>
      <c r="C4534" t="str">
        <f>[1]!hospitalinfo[[#This Row],[Hospital Type]]</f>
        <v>Acute Care Hospitals</v>
      </c>
      <c r="D4534" t="str">
        <f>[1]!hospitalinfo[[#This Row],[Hospital Ownership]]</f>
        <v>Proprietary</v>
      </c>
      <c r="E4534" cm="1">
        <f t="array" ref="E4534">_xlfn.IFNA(_xlfn.XLOOKUP(1,([1]!hcahps[Facility ID] = clean[[#This Row],[Facility ID]]) * ([1]!hcahps[HCAHPS Measure ID] = "H_HSP_RATING_LINEAR_SCORE"), [1]!hcahps[HCAHPS Linear Mean Value]), "No Match")</f>
        <v>83</v>
      </c>
      <c r="F4534" cm="1">
        <f t="array" ref="F4534">_xlfn.IFNA(_xlfn.XLOOKUP(1,([1]!readmissions[Facility ID] = clean[[#This Row],[Facility ID]]) * ([1]!readmissions[Measure ID] = "Hybrid_HWR"), [1]!readmissions[Score]), "No Match")</f>
        <v>15.4</v>
      </c>
    </row>
    <row r="4535" spans="1:6" x14ac:dyDescent="0.2">
      <c r="A4535">
        <f>[1]!hospitalinfo[[#This Row],[Facility ID]]</f>
        <v>450200</v>
      </c>
      <c r="B4535" t="str">
        <f>[1]!hospitalinfo[[#This Row],[State]]</f>
        <v>TX</v>
      </c>
      <c r="C4535" t="str">
        <f>[1]!hospitalinfo[[#This Row],[Hospital Type]]</f>
        <v>Acute Care Hospitals</v>
      </c>
      <c r="D4535" t="str">
        <f>[1]!hospitalinfo[[#This Row],[Hospital Ownership]]</f>
        <v>Physician</v>
      </c>
      <c r="E4535" t="str" cm="1">
        <f t="array" ref="E4535">_xlfn.IFNA(_xlfn.XLOOKUP(1,([1]!hcahps[Facility ID] = clean[[#This Row],[Facility ID]]) * ([1]!hcahps[HCAHPS Measure ID] = "H_HSP_RATING_LINEAR_SCORE"), [1]!hcahps[HCAHPS Linear Mean Value]), "No Match")</f>
        <v>Not Available</v>
      </c>
      <c r="F4535" t="str" cm="1">
        <f t="array" ref="F4535">_xlfn.IFNA(_xlfn.XLOOKUP(1,([1]!readmissions[Facility ID] = clean[[#This Row],[Facility ID]]) * ([1]!readmissions[Measure ID] = "Hybrid_HWR"), [1]!readmissions[Score]), "No Match")</f>
        <v>Not Available</v>
      </c>
    </row>
    <row r="4536" spans="1:6" x14ac:dyDescent="0.2">
      <c r="A4536">
        <f>[1]!hospitalinfo[[#This Row],[Facility ID]]</f>
        <v>450203</v>
      </c>
      <c r="B4536" t="str">
        <f>[1]!hospitalinfo[[#This Row],[State]]</f>
        <v>TX</v>
      </c>
      <c r="C4536" t="str">
        <f>[1]!hospitalinfo[[#This Row],[Hospital Type]]</f>
        <v>Acute Care Hospitals</v>
      </c>
      <c r="D4536" t="str">
        <f>[1]!hospitalinfo[[#This Row],[Hospital Ownership]]</f>
        <v>Proprietary</v>
      </c>
      <c r="E4536" cm="1">
        <f t="array" ref="E4536">_xlfn.IFNA(_xlfn.XLOOKUP(1,([1]!hcahps[Facility ID] = clean[[#This Row],[Facility ID]]) * ([1]!hcahps[HCAHPS Measure ID] = "H_HSP_RATING_LINEAR_SCORE"), [1]!hcahps[HCAHPS Linear Mean Value]), "No Match")</f>
        <v>86</v>
      </c>
      <c r="F4536" cm="1">
        <f t="array" ref="F4536">_xlfn.IFNA(_xlfn.XLOOKUP(1,([1]!readmissions[Facility ID] = clean[[#This Row],[Facility ID]]) * ([1]!readmissions[Measure ID] = "Hybrid_HWR"), [1]!readmissions[Score]), "No Match")</f>
        <v>15</v>
      </c>
    </row>
    <row r="4537" spans="1:6" x14ac:dyDescent="0.2">
      <c r="A4537">
        <f>[1]!hospitalinfo[[#This Row],[Facility ID]]</f>
        <v>450209</v>
      </c>
      <c r="B4537" t="str">
        <f>[1]!hospitalinfo[[#This Row],[State]]</f>
        <v>TX</v>
      </c>
      <c r="C4537" t="str">
        <f>[1]!hospitalinfo[[#This Row],[Hospital Type]]</f>
        <v>Acute Care Hospitals</v>
      </c>
      <c r="D4537" t="str">
        <f>[1]!hospitalinfo[[#This Row],[Hospital Ownership]]</f>
        <v>Voluntary non-profit - Private</v>
      </c>
      <c r="E4537" cm="1">
        <f t="array" ref="E4537">_xlfn.IFNA(_xlfn.XLOOKUP(1,([1]!hcahps[Facility ID] = clean[[#This Row],[Facility ID]]) * ([1]!hcahps[HCAHPS Measure ID] = "H_HSP_RATING_LINEAR_SCORE"), [1]!hcahps[HCAHPS Linear Mean Value]), "No Match")</f>
        <v>85</v>
      </c>
      <c r="F4537" cm="1">
        <f t="array" ref="F4537">_xlfn.IFNA(_xlfn.XLOOKUP(1,([1]!readmissions[Facility ID] = clean[[#This Row],[Facility ID]]) * ([1]!readmissions[Measure ID] = "Hybrid_HWR"), [1]!readmissions[Score]), "No Match")</f>
        <v>14.2</v>
      </c>
    </row>
    <row r="4538" spans="1:6" x14ac:dyDescent="0.2">
      <c r="A4538">
        <f>[1]!hospitalinfo[[#This Row],[Facility ID]]</f>
        <v>450210</v>
      </c>
      <c r="B4538" t="str">
        <f>[1]!hospitalinfo[[#This Row],[State]]</f>
        <v>TX</v>
      </c>
      <c r="C4538" t="str">
        <f>[1]!hospitalinfo[[#This Row],[Hospital Type]]</f>
        <v>Acute Care Hospitals</v>
      </c>
      <c r="D4538" t="str">
        <f>[1]!hospitalinfo[[#This Row],[Hospital Ownership]]</f>
        <v>Proprietary</v>
      </c>
      <c r="E4538" t="str" cm="1">
        <f t="array" ref="E4538">_xlfn.IFNA(_xlfn.XLOOKUP(1,([1]!hcahps[Facility ID] = clean[[#This Row],[Facility ID]]) * ([1]!hcahps[HCAHPS Measure ID] = "H_HSP_RATING_LINEAR_SCORE"), [1]!hcahps[HCAHPS Linear Mean Value]), "No Match")</f>
        <v>Not Available</v>
      </c>
      <c r="F4538" cm="1">
        <f t="array" ref="F4538">_xlfn.IFNA(_xlfn.XLOOKUP(1,([1]!readmissions[Facility ID] = clean[[#This Row],[Facility ID]]) * ([1]!readmissions[Measure ID] = "Hybrid_HWR"), [1]!readmissions[Score]), "No Match")</f>
        <v>14.4</v>
      </c>
    </row>
    <row r="4539" spans="1:6" x14ac:dyDescent="0.2">
      <c r="A4539">
        <f>[1]!hospitalinfo[[#This Row],[Facility ID]]</f>
        <v>450211</v>
      </c>
      <c r="B4539" t="str">
        <f>[1]!hospitalinfo[[#This Row],[State]]</f>
        <v>TX</v>
      </c>
      <c r="C4539" t="str">
        <f>[1]!hospitalinfo[[#This Row],[Hospital Type]]</f>
        <v>Acute Care Hospitals</v>
      </c>
      <c r="D4539" t="str">
        <f>[1]!hospitalinfo[[#This Row],[Hospital Ownership]]</f>
        <v>Voluntary non-profit - Private</v>
      </c>
      <c r="E4539" cm="1">
        <f t="array" ref="E4539">_xlfn.IFNA(_xlfn.XLOOKUP(1,([1]!hcahps[Facility ID] = clean[[#This Row],[Facility ID]]) * ([1]!hcahps[HCAHPS Measure ID] = "H_HSP_RATING_LINEAR_SCORE"), [1]!hcahps[HCAHPS Linear Mean Value]), "No Match")</f>
        <v>88</v>
      </c>
      <c r="F4539" cm="1">
        <f t="array" ref="F4539">_xlfn.IFNA(_xlfn.XLOOKUP(1,([1]!readmissions[Facility ID] = clean[[#This Row],[Facility ID]]) * ([1]!readmissions[Measure ID] = "Hybrid_HWR"), [1]!readmissions[Score]), "No Match")</f>
        <v>16</v>
      </c>
    </row>
    <row r="4540" spans="1:6" x14ac:dyDescent="0.2">
      <c r="A4540">
        <f>[1]!hospitalinfo[[#This Row],[Facility ID]]</f>
        <v>450213</v>
      </c>
      <c r="B4540" t="str">
        <f>[1]!hospitalinfo[[#This Row],[State]]</f>
        <v>TX</v>
      </c>
      <c r="C4540" t="str">
        <f>[1]!hospitalinfo[[#This Row],[Hospital Type]]</f>
        <v>Acute Care Hospitals</v>
      </c>
      <c r="D4540" t="str">
        <f>[1]!hospitalinfo[[#This Row],[Hospital Ownership]]</f>
        <v>Government - Hospital District or Authority</v>
      </c>
      <c r="E4540" cm="1">
        <f t="array" ref="E4540">_xlfn.IFNA(_xlfn.XLOOKUP(1,([1]!hcahps[Facility ID] = clean[[#This Row],[Facility ID]]) * ([1]!hcahps[HCAHPS Measure ID] = "H_HSP_RATING_LINEAR_SCORE"), [1]!hcahps[HCAHPS Linear Mean Value]), "No Match")</f>
        <v>90</v>
      </c>
      <c r="F4540" cm="1">
        <f t="array" ref="F4540">_xlfn.IFNA(_xlfn.XLOOKUP(1,([1]!readmissions[Facility ID] = clean[[#This Row],[Facility ID]]) * ([1]!readmissions[Measure ID] = "Hybrid_HWR"), [1]!readmissions[Score]), "No Match")</f>
        <v>15.1</v>
      </c>
    </row>
    <row r="4541" spans="1:6" x14ac:dyDescent="0.2">
      <c r="A4541">
        <f>[1]!hospitalinfo[[#This Row],[Facility ID]]</f>
        <v>450222</v>
      </c>
      <c r="B4541" t="str">
        <f>[1]!hospitalinfo[[#This Row],[State]]</f>
        <v>TX</v>
      </c>
      <c r="C4541" t="str">
        <f>[1]!hospitalinfo[[#This Row],[Hospital Type]]</f>
        <v>Acute Care Hospitals</v>
      </c>
      <c r="D4541" t="str">
        <f>[1]!hospitalinfo[[#This Row],[Hospital Ownership]]</f>
        <v>Proprietary</v>
      </c>
      <c r="E4541" cm="1">
        <f t="array" ref="E4541">_xlfn.IFNA(_xlfn.XLOOKUP(1,([1]!hcahps[Facility ID] = clean[[#This Row],[Facility ID]]) * ([1]!hcahps[HCAHPS Measure ID] = "H_HSP_RATING_LINEAR_SCORE"), [1]!hcahps[HCAHPS Linear Mean Value]), "No Match")</f>
        <v>82</v>
      </c>
      <c r="F4541" cm="1">
        <f t="array" ref="F4541">_xlfn.IFNA(_xlfn.XLOOKUP(1,([1]!readmissions[Facility ID] = clean[[#This Row],[Facility ID]]) * ([1]!readmissions[Measure ID] = "Hybrid_HWR"), [1]!readmissions[Score]), "No Match")</f>
        <v>16.899999999999999</v>
      </c>
    </row>
    <row r="4542" spans="1:6" x14ac:dyDescent="0.2">
      <c r="A4542">
        <f>[1]!hospitalinfo[[#This Row],[Facility ID]]</f>
        <v>450229</v>
      </c>
      <c r="B4542" t="str">
        <f>[1]!hospitalinfo[[#This Row],[State]]</f>
        <v>TX</v>
      </c>
      <c r="C4542" t="str">
        <f>[1]!hospitalinfo[[#This Row],[Hospital Type]]</f>
        <v>Acute Care Hospitals</v>
      </c>
      <c r="D4542" t="str">
        <f>[1]!hospitalinfo[[#This Row],[Hospital Ownership]]</f>
        <v>Voluntary non-profit - Private</v>
      </c>
      <c r="E4542" cm="1">
        <f t="array" ref="E4542">_xlfn.IFNA(_xlfn.XLOOKUP(1,([1]!hcahps[Facility ID] = clean[[#This Row],[Facility ID]]) * ([1]!hcahps[HCAHPS Measure ID] = "H_HSP_RATING_LINEAR_SCORE"), [1]!hcahps[HCAHPS Linear Mean Value]), "No Match")</f>
        <v>87</v>
      </c>
      <c r="F4542" cm="1">
        <f t="array" ref="F4542">_xlfn.IFNA(_xlfn.XLOOKUP(1,([1]!readmissions[Facility ID] = clean[[#This Row],[Facility ID]]) * ([1]!readmissions[Measure ID] = "Hybrid_HWR"), [1]!readmissions[Score]), "No Match")</f>
        <v>15.1</v>
      </c>
    </row>
    <row r="4543" spans="1:6" x14ac:dyDescent="0.2">
      <c r="A4543">
        <f>[1]!hospitalinfo[[#This Row],[Facility ID]]</f>
        <v>450231</v>
      </c>
      <c r="B4543" t="str">
        <f>[1]!hospitalinfo[[#This Row],[State]]</f>
        <v>TX</v>
      </c>
      <c r="C4543" t="str">
        <f>[1]!hospitalinfo[[#This Row],[Hospital Type]]</f>
        <v>Acute Care Hospitals</v>
      </c>
      <c r="D4543" t="str">
        <f>[1]!hospitalinfo[[#This Row],[Hospital Ownership]]</f>
        <v>Proprietary</v>
      </c>
      <c r="E4543" cm="1">
        <f t="array" ref="E4543">_xlfn.IFNA(_xlfn.XLOOKUP(1,([1]!hcahps[Facility ID] = clean[[#This Row],[Facility ID]]) * ([1]!hcahps[HCAHPS Measure ID] = "H_HSP_RATING_LINEAR_SCORE"), [1]!hcahps[HCAHPS Linear Mean Value]), "No Match")</f>
        <v>89</v>
      </c>
      <c r="F4543" cm="1">
        <f t="array" ref="F4543">_xlfn.IFNA(_xlfn.XLOOKUP(1,([1]!readmissions[Facility ID] = clean[[#This Row],[Facility ID]]) * ([1]!readmissions[Measure ID] = "Hybrid_HWR"), [1]!readmissions[Score]), "No Match")</f>
        <v>14.8</v>
      </c>
    </row>
    <row r="4544" spans="1:6" x14ac:dyDescent="0.2">
      <c r="A4544">
        <f>[1]!hospitalinfo[[#This Row],[Facility ID]]</f>
        <v>450235</v>
      </c>
      <c r="B4544" t="str">
        <f>[1]!hospitalinfo[[#This Row],[State]]</f>
        <v>TX</v>
      </c>
      <c r="C4544" t="str">
        <f>[1]!hospitalinfo[[#This Row],[Hospital Type]]</f>
        <v>Acute Care Hospitals</v>
      </c>
      <c r="D4544" t="str">
        <f>[1]!hospitalinfo[[#This Row],[Hospital Ownership]]</f>
        <v>Government - Hospital District or Authority</v>
      </c>
      <c r="E4544" t="str" cm="1">
        <f t="array" ref="E4544">_xlfn.IFNA(_xlfn.XLOOKUP(1,([1]!hcahps[Facility ID] = clean[[#This Row],[Facility ID]]) * ([1]!hcahps[HCAHPS Measure ID] = "H_HSP_RATING_LINEAR_SCORE"), [1]!hcahps[HCAHPS Linear Mean Value]), "No Match")</f>
        <v>Not Available</v>
      </c>
      <c r="F4544" cm="1">
        <f t="array" ref="F4544">_xlfn.IFNA(_xlfn.XLOOKUP(1,([1]!readmissions[Facility ID] = clean[[#This Row],[Facility ID]]) * ([1]!readmissions[Measure ID] = "Hybrid_HWR"), [1]!readmissions[Score]), "No Match")</f>
        <v>15.3</v>
      </c>
    </row>
    <row r="4545" spans="1:6" x14ac:dyDescent="0.2">
      <c r="A4545">
        <f>[1]!hospitalinfo[[#This Row],[Facility ID]]</f>
        <v>450236</v>
      </c>
      <c r="B4545" t="str">
        <f>[1]!hospitalinfo[[#This Row],[State]]</f>
        <v>TX</v>
      </c>
      <c r="C4545" t="str">
        <f>[1]!hospitalinfo[[#This Row],[Hospital Type]]</f>
        <v>Acute Care Hospitals</v>
      </c>
      <c r="D4545" t="str">
        <f>[1]!hospitalinfo[[#This Row],[Hospital Ownership]]</f>
        <v>Voluntary non-profit - Private</v>
      </c>
      <c r="E4545" cm="1">
        <f t="array" ref="E4545">_xlfn.IFNA(_xlfn.XLOOKUP(1,([1]!hcahps[Facility ID] = clean[[#This Row],[Facility ID]]) * ([1]!hcahps[HCAHPS Measure ID] = "H_HSP_RATING_LINEAR_SCORE"), [1]!hcahps[HCAHPS Linear Mean Value]), "No Match")</f>
        <v>92</v>
      </c>
      <c r="F4545" cm="1">
        <f t="array" ref="F4545">_xlfn.IFNA(_xlfn.XLOOKUP(1,([1]!readmissions[Facility ID] = clean[[#This Row],[Facility ID]]) * ([1]!readmissions[Measure ID] = "Hybrid_HWR"), [1]!readmissions[Score]), "No Match")</f>
        <v>13.7</v>
      </c>
    </row>
    <row r="4546" spans="1:6" x14ac:dyDescent="0.2">
      <c r="A4546">
        <f>[1]!hospitalinfo[[#This Row],[Facility ID]]</f>
        <v>450237</v>
      </c>
      <c r="B4546" t="str">
        <f>[1]!hospitalinfo[[#This Row],[State]]</f>
        <v>TX</v>
      </c>
      <c r="C4546" t="str">
        <f>[1]!hospitalinfo[[#This Row],[Hospital Type]]</f>
        <v>Acute Care Hospitals</v>
      </c>
      <c r="D4546" t="str">
        <f>[1]!hospitalinfo[[#This Row],[Hospital Ownership]]</f>
        <v>Voluntary non-profit - Private</v>
      </c>
      <c r="E4546" cm="1">
        <f t="array" ref="E4546">_xlfn.IFNA(_xlfn.XLOOKUP(1,([1]!hcahps[Facility ID] = clean[[#This Row],[Facility ID]]) * ([1]!hcahps[HCAHPS Measure ID] = "H_HSP_RATING_LINEAR_SCORE"), [1]!hcahps[HCAHPS Linear Mean Value]), "No Match")</f>
        <v>87</v>
      </c>
      <c r="F4546" cm="1">
        <f t="array" ref="F4546">_xlfn.IFNA(_xlfn.XLOOKUP(1,([1]!readmissions[Facility ID] = clean[[#This Row],[Facility ID]]) * ([1]!readmissions[Measure ID] = "Hybrid_HWR"), [1]!readmissions[Score]), "No Match")</f>
        <v>14.4</v>
      </c>
    </row>
    <row r="4547" spans="1:6" x14ac:dyDescent="0.2">
      <c r="A4547">
        <f>[1]!hospitalinfo[[#This Row],[Facility ID]]</f>
        <v>450241</v>
      </c>
      <c r="B4547" t="str">
        <f>[1]!hospitalinfo[[#This Row],[State]]</f>
        <v>TX</v>
      </c>
      <c r="C4547" t="str">
        <f>[1]!hospitalinfo[[#This Row],[Hospital Type]]</f>
        <v>Acute Care Hospitals</v>
      </c>
      <c r="D4547" t="str">
        <f>[1]!hospitalinfo[[#This Row],[Hospital Ownership]]</f>
        <v>Government - Hospital District or Authority</v>
      </c>
      <c r="E4547" t="str" cm="1">
        <f t="array" ref="E4547">_xlfn.IFNA(_xlfn.XLOOKUP(1,([1]!hcahps[Facility ID] = clean[[#This Row],[Facility ID]]) * ([1]!hcahps[HCAHPS Measure ID] = "H_HSP_RATING_LINEAR_SCORE"), [1]!hcahps[HCAHPS Linear Mean Value]), "No Match")</f>
        <v>Not Available</v>
      </c>
      <c r="F4547" cm="1">
        <f t="array" ref="F4547">_xlfn.IFNA(_xlfn.XLOOKUP(1,([1]!readmissions[Facility ID] = clean[[#This Row],[Facility ID]]) * ([1]!readmissions[Measure ID] = "Hybrid_HWR"), [1]!readmissions[Score]), "No Match")</f>
        <v>14.8</v>
      </c>
    </row>
    <row r="4548" spans="1:6" x14ac:dyDescent="0.2">
      <c r="A4548">
        <f>[1]!hospitalinfo[[#This Row],[Facility ID]]</f>
        <v>450253</v>
      </c>
      <c r="B4548" t="str">
        <f>[1]!hospitalinfo[[#This Row],[State]]</f>
        <v>TX</v>
      </c>
      <c r="C4548" t="str">
        <f>[1]!hospitalinfo[[#This Row],[Hospital Type]]</f>
        <v>Acute Care Hospitals</v>
      </c>
      <c r="D4548" t="str">
        <f>[1]!hospitalinfo[[#This Row],[Hospital Ownership]]</f>
        <v>Government - Hospital District or Authority</v>
      </c>
      <c r="E4548" t="str" cm="1">
        <f t="array" ref="E4548">_xlfn.IFNA(_xlfn.XLOOKUP(1,([1]!hcahps[Facility ID] = clean[[#This Row],[Facility ID]]) * ([1]!hcahps[HCAHPS Measure ID] = "H_HSP_RATING_LINEAR_SCORE"), [1]!hcahps[HCAHPS Linear Mean Value]), "No Match")</f>
        <v>Not Available</v>
      </c>
      <c r="F4548" cm="1">
        <f t="array" ref="F4548">_xlfn.IFNA(_xlfn.XLOOKUP(1,([1]!readmissions[Facility ID] = clean[[#This Row],[Facility ID]]) * ([1]!readmissions[Measure ID] = "Hybrid_HWR"), [1]!readmissions[Score]), "No Match")</f>
        <v>15.6</v>
      </c>
    </row>
    <row r="4549" spans="1:6" x14ac:dyDescent="0.2">
      <c r="A4549">
        <f>[1]!hospitalinfo[[#This Row],[Facility ID]]</f>
        <v>450272</v>
      </c>
      <c r="B4549" t="str">
        <f>[1]!hospitalinfo[[#This Row],[State]]</f>
        <v>TX</v>
      </c>
      <c r="C4549" t="str">
        <f>[1]!hospitalinfo[[#This Row],[Hospital Type]]</f>
        <v>Acute Care Hospitals</v>
      </c>
      <c r="D4549" t="str">
        <f>[1]!hospitalinfo[[#This Row],[Hospital Ownership]]</f>
        <v>Voluntary non-profit - Church</v>
      </c>
      <c r="E4549" cm="1">
        <f t="array" ref="E4549">_xlfn.IFNA(_xlfn.XLOOKUP(1,([1]!hcahps[Facility ID] = clean[[#This Row],[Facility ID]]) * ([1]!hcahps[HCAHPS Measure ID] = "H_HSP_RATING_LINEAR_SCORE"), [1]!hcahps[HCAHPS Linear Mean Value]), "No Match")</f>
        <v>87</v>
      </c>
      <c r="F4549" cm="1">
        <f t="array" ref="F4549">_xlfn.IFNA(_xlfn.XLOOKUP(1,([1]!readmissions[Facility ID] = clean[[#This Row],[Facility ID]]) * ([1]!readmissions[Measure ID] = "Hybrid_HWR"), [1]!readmissions[Score]), "No Match")</f>
        <v>14.2</v>
      </c>
    </row>
    <row r="4550" spans="1:6" x14ac:dyDescent="0.2">
      <c r="A4550">
        <f>[1]!hospitalinfo[[#This Row],[Facility ID]]</f>
        <v>450289</v>
      </c>
      <c r="B4550" t="str">
        <f>[1]!hospitalinfo[[#This Row],[State]]</f>
        <v>TX</v>
      </c>
      <c r="C4550" t="str">
        <f>[1]!hospitalinfo[[#This Row],[Hospital Type]]</f>
        <v>Acute Care Hospitals</v>
      </c>
      <c r="D4550" t="str">
        <f>[1]!hospitalinfo[[#This Row],[Hospital Ownership]]</f>
        <v>Government - Hospital District or Authority</v>
      </c>
      <c r="E4550" cm="1">
        <f t="array" ref="E4550">_xlfn.IFNA(_xlfn.XLOOKUP(1,([1]!hcahps[Facility ID] = clean[[#This Row],[Facility ID]]) * ([1]!hcahps[HCAHPS Measure ID] = "H_HSP_RATING_LINEAR_SCORE"), [1]!hcahps[HCAHPS Linear Mean Value]), "No Match")</f>
        <v>89</v>
      </c>
      <c r="F4550" cm="1">
        <f t="array" ref="F4550">_xlfn.IFNA(_xlfn.XLOOKUP(1,([1]!readmissions[Facility ID] = clean[[#This Row],[Facility ID]]) * ([1]!readmissions[Measure ID] = "Hybrid_HWR"), [1]!readmissions[Score]), "No Match")</f>
        <v>15.1</v>
      </c>
    </row>
    <row r="4551" spans="1:6" x14ac:dyDescent="0.2">
      <c r="A4551">
        <f>[1]!hospitalinfo[[#This Row],[Facility ID]]</f>
        <v>450292</v>
      </c>
      <c r="B4551" t="str">
        <f>[1]!hospitalinfo[[#This Row],[State]]</f>
        <v>TX</v>
      </c>
      <c r="C4551" t="str">
        <f>[1]!hospitalinfo[[#This Row],[Hospital Type]]</f>
        <v>Acute Care Hospitals</v>
      </c>
      <c r="D4551" t="str">
        <f>[1]!hospitalinfo[[#This Row],[Hospital Ownership]]</f>
        <v>Voluntary non-profit - Private</v>
      </c>
      <c r="E4551" cm="1">
        <f t="array" ref="E4551">_xlfn.IFNA(_xlfn.XLOOKUP(1,([1]!hcahps[Facility ID] = clean[[#This Row],[Facility ID]]) * ([1]!hcahps[HCAHPS Measure ID] = "H_HSP_RATING_LINEAR_SCORE"), [1]!hcahps[HCAHPS Linear Mean Value]), "No Match")</f>
        <v>92</v>
      </c>
      <c r="F4551" cm="1">
        <f t="array" ref="F4551">_xlfn.IFNA(_xlfn.XLOOKUP(1,([1]!readmissions[Facility ID] = clean[[#This Row],[Facility ID]]) * ([1]!readmissions[Measure ID] = "Hybrid_HWR"), [1]!readmissions[Score]), "No Match")</f>
        <v>14.9</v>
      </c>
    </row>
    <row r="4552" spans="1:6" x14ac:dyDescent="0.2">
      <c r="A4552">
        <f>[1]!hospitalinfo[[#This Row],[Facility ID]]</f>
        <v>450324</v>
      </c>
      <c r="B4552" t="str">
        <f>[1]!hospitalinfo[[#This Row],[State]]</f>
        <v>TX</v>
      </c>
      <c r="C4552" t="str">
        <f>[1]!hospitalinfo[[#This Row],[Hospital Type]]</f>
        <v>Acute Care Hospitals</v>
      </c>
      <c r="D4552" t="str">
        <f>[1]!hospitalinfo[[#This Row],[Hospital Ownership]]</f>
        <v>Proprietary</v>
      </c>
      <c r="E4552" cm="1">
        <f t="array" ref="E4552">_xlfn.IFNA(_xlfn.XLOOKUP(1,([1]!hcahps[Facility ID] = clean[[#This Row],[Facility ID]]) * ([1]!hcahps[HCAHPS Measure ID] = "H_HSP_RATING_LINEAR_SCORE"), [1]!hcahps[HCAHPS Linear Mean Value]), "No Match")</f>
        <v>86</v>
      </c>
      <c r="F4552" cm="1">
        <f t="array" ref="F4552">_xlfn.IFNA(_xlfn.XLOOKUP(1,([1]!readmissions[Facility ID] = clean[[#This Row],[Facility ID]]) * ([1]!readmissions[Measure ID] = "Hybrid_HWR"), [1]!readmissions[Score]), "No Match")</f>
        <v>16.100000000000001</v>
      </c>
    </row>
    <row r="4553" spans="1:6" x14ac:dyDescent="0.2">
      <c r="A4553">
        <f>[1]!hospitalinfo[[#This Row],[Facility ID]]</f>
        <v>450330</v>
      </c>
      <c r="B4553" t="str">
        <f>[1]!hospitalinfo[[#This Row],[State]]</f>
        <v>TX</v>
      </c>
      <c r="C4553" t="str">
        <f>[1]!hospitalinfo[[#This Row],[Hospital Type]]</f>
        <v>Acute Care Hospitals</v>
      </c>
      <c r="D4553" t="str">
        <f>[1]!hospitalinfo[[#This Row],[Hospital Ownership]]</f>
        <v>Government - Hospital District or Authority</v>
      </c>
      <c r="E4553" cm="1">
        <f t="array" ref="E4553">_xlfn.IFNA(_xlfn.XLOOKUP(1,([1]!hcahps[Facility ID] = clean[[#This Row],[Facility ID]]) * ([1]!hcahps[HCAHPS Measure ID] = "H_HSP_RATING_LINEAR_SCORE"), [1]!hcahps[HCAHPS Linear Mean Value]), "No Match")</f>
        <v>85</v>
      </c>
      <c r="F4553" cm="1">
        <f t="array" ref="F4553">_xlfn.IFNA(_xlfn.XLOOKUP(1,([1]!readmissions[Facility ID] = clean[[#This Row],[Facility ID]]) * ([1]!readmissions[Measure ID] = "Hybrid_HWR"), [1]!readmissions[Score]), "No Match")</f>
        <v>16.100000000000001</v>
      </c>
    </row>
    <row r="4554" spans="1:6" x14ac:dyDescent="0.2">
      <c r="A4554">
        <f>[1]!hospitalinfo[[#This Row],[Facility ID]]</f>
        <v>450346</v>
      </c>
      <c r="B4554" t="str">
        <f>[1]!hospitalinfo[[#This Row],[State]]</f>
        <v>TX</v>
      </c>
      <c r="C4554" t="str">
        <f>[1]!hospitalinfo[[#This Row],[Hospital Type]]</f>
        <v>Acute Care Hospitals</v>
      </c>
      <c r="D4554" t="str">
        <f>[1]!hospitalinfo[[#This Row],[Hospital Ownership]]</f>
        <v>Voluntary non-profit - Private</v>
      </c>
      <c r="E4554" cm="1">
        <f t="array" ref="E4554">_xlfn.IFNA(_xlfn.XLOOKUP(1,([1]!hcahps[Facility ID] = clean[[#This Row],[Facility ID]]) * ([1]!hcahps[HCAHPS Measure ID] = "H_HSP_RATING_LINEAR_SCORE"), [1]!hcahps[HCAHPS Linear Mean Value]), "No Match")</f>
        <v>87</v>
      </c>
      <c r="F4554" cm="1">
        <f t="array" ref="F4554">_xlfn.IFNA(_xlfn.XLOOKUP(1,([1]!readmissions[Facility ID] = clean[[#This Row],[Facility ID]]) * ([1]!readmissions[Measure ID] = "Hybrid_HWR"), [1]!readmissions[Score]), "No Match")</f>
        <v>15.8</v>
      </c>
    </row>
    <row r="4555" spans="1:6" x14ac:dyDescent="0.2">
      <c r="A4555">
        <f>[1]!hospitalinfo[[#This Row],[Facility ID]]</f>
        <v>450347</v>
      </c>
      <c r="B4555" t="str">
        <f>[1]!hospitalinfo[[#This Row],[State]]</f>
        <v>TX</v>
      </c>
      <c r="C4555" t="str">
        <f>[1]!hospitalinfo[[#This Row],[Hospital Type]]</f>
        <v>Acute Care Hospitals</v>
      </c>
      <c r="D4555" t="str">
        <f>[1]!hospitalinfo[[#This Row],[Hospital Ownership]]</f>
        <v>Voluntary non-profit - Private</v>
      </c>
      <c r="E4555" cm="1">
        <f t="array" ref="E4555">_xlfn.IFNA(_xlfn.XLOOKUP(1,([1]!hcahps[Facility ID] = clean[[#This Row],[Facility ID]]) * ([1]!hcahps[HCAHPS Measure ID] = "H_HSP_RATING_LINEAR_SCORE"), [1]!hcahps[HCAHPS Linear Mean Value]), "No Match")</f>
        <v>87</v>
      </c>
      <c r="F4555" cm="1">
        <f t="array" ref="F4555">_xlfn.IFNA(_xlfn.XLOOKUP(1,([1]!readmissions[Facility ID] = clean[[#This Row],[Facility ID]]) * ([1]!readmissions[Measure ID] = "Hybrid_HWR"), [1]!readmissions[Score]), "No Match")</f>
        <v>15.4</v>
      </c>
    </row>
    <row r="4556" spans="1:6" x14ac:dyDescent="0.2">
      <c r="A4556">
        <f>[1]!hospitalinfo[[#This Row],[Facility ID]]</f>
        <v>450351</v>
      </c>
      <c r="B4556" t="str">
        <f>[1]!hospitalinfo[[#This Row],[State]]</f>
        <v>TX</v>
      </c>
      <c r="C4556" t="str">
        <f>[1]!hospitalinfo[[#This Row],[Hospital Type]]</f>
        <v>Acute Care Hospitals</v>
      </c>
      <c r="D4556" t="str">
        <f>[1]!hospitalinfo[[#This Row],[Hospital Ownership]]</f>
        <v>Voluntary non-profit - Private</v>
      </c>
      <c r="E4556" cm="1">
        <f t="array" ref="E4556">_xlfn.IFNA(_xlfn.XLOOKUP(1,([1]!hcahps[Facility ID] = clean[[#This Row],[Facility ID]]) * ([1]!hcahps[HCAHPS Measure ID] = "H_HSP_RATING_LINEAR_SCORE"), [1]!hcahps[HCAHPS Linear Mean Value]), "No Match")</f>
        <v>91</v>
      </c>
      <c r="F4556" cm="1">
        <f t="array" ref="F4556">_xlfn.IFNA(_xlfn.XLOOKUP(1,([1]!readmissions[Facility ID] = clean[[#This Row],[Facility ID]]) * ([1]!readmissions[Measure ID] = "Hybrid_HWR"), [1]!readmissions[Score]), "No Match")</f>
        <v>14.8</v>
      </c>
    </row>
    <row r="4557" spans="1:6" x14ac:dyDescent="0.2">
      <c r="A4557">
        <f>[1]!hospitalinfo[[#This Row],[Facility ID]]</f>
        <v>450352</v>
      </c>
      <c r="B4557" t="str">
        <f>[1]!hospitalinfo[[#This Row],[State]]</f>
        <v>TX</v>
      </c>
      <c r="C4557" t="str">
        <f>[1]!hospitalinfo[[#This Row],[Hospital Type]]</f>
        <v>Acute Care Hospitals</v>
      </c>
      <c r="D4557" t="str">
        <f>[1]!hospitalinfo[[#This Row],[Hospital Ownership]]</f>
        <v>Government - Hospital District or Authority</v>
      </c>
      <c r="E4557" cm="1">
        <f t="array" ref="E4557">_xlfn.IFNA(_xlfn.XLOOKUP(1,([1]!hcahps[Facility ID] = clean[[#This Row],[Facility ID]]) * ([1]!hcahps[HCAHPS Measure ID] = "H_HSP_RATING_LINEAR_SCORE"), [1]!hcahps[HCAHPS Linear Mean Value]), "No Match")</f>
        <v>86</v>
      </c>
      <c r="F4557" cm="1">
        <f t="array" ref="F4557">_xlfn.IFNA(_xlfn.XLOOKUP(1,([1]!readmissions[Facility ID] = clean[[#This Row],[Facility ID]]) * ([1]!readmissions[Measure ID] = "Hybrid_HWR"), [1]!readmissions[Score]), "No Match")</f>
        <v>16.2</v>
      </c>
    </row>
    <row r="4558" spans="1:6" x14ac:dyDescent="0.2">
      <c r="A4558">
        <f>[1]!hospitalinfo[[#This Row],[Facility ID]]</f>
        <v>450358</v>
      </c>
      <c r="B4558" t="str">
        <f>[1]!hospitalinfo[[#This Row],[State]]</f>
        <v>TX</v>
      </c>
      <c r="C4558" t="str">
        <f>[1]!hospitalinfo[[#This Row],[Hospital Type]]</f>
        <v>Acute Care Hospitals</v>
      </c>
      <c r="D4558" t="str">
        <f>[1]!hospitalinfo[[#This Row],[Hospital Ownership]]</f>
        <v>Voluntary non-profit - Private</v>
      </c>
      <c r="E4558" cm="1">
        <f t="array" ref="E4558">_xlfn.IFNA(_xlfn.XLOOKUP(1,([1]!hcahps[Facility ID] = clean[[#This Row],[Facility ID]]) * ([1]!hcahps[HCAHPS Measure ID] = "H_HSP_RATING_LINEAR_SCORE"), [1]!hcahps[HCAHPS Linear Mean Value]), "No Match")</f>
        <v>91</v>
      </c>
      <c r="F4558" cm="1">
        <f t="array" ref="F4558">_xlfn.IFNA(_xlfn.XLOOKUP(1,([1]!readmissions[Facility ID] = clean[[#This Row],[Facility ID]]) * ([1]!readmissions[Measure ID] = "Hybrid_HWR"), [1]!readmissions[Score]), "No Match")</f>
        <v>14.2</v>
      </c>
    </row>
    <row r="4559" spans="1:6" x14ac:dyDescent="0.2">
      <c r="A4559">
        <f>[1]!hospitalinfo[[#This Row],[Facility ID]]</f>
        <v>450369</v>
      </c>
      <c r="B4559" t="str">
        <f>[1]!hospitalinfo[[#This Row],[State]]</f>
        <v>TX</v>
      </c>
      <c r="C4559" t="str">
        <f>[1]!hospitalinfo[[#This Row],[Hospital Type]]</f>
        <v>Acute Care Hospitals</v>
      </c>
      <c r="D4559" t="str">
        <f>[1]!hospitalinfo[[#This Row],[Hospital Ownership]]</f>
        <v>Government - Hospital District or Authority</v>
      </c>
      <c r="E4559" t="str" cm="1">
        <f t="array" ref="E4559">_xlfn.IFNA(_xlfn.XLOOKUP(1,([1]!hcahps[Facility ID] = clean[[#This Row],[Facility ID]]) * ([1]!hcahps[HCAHPS Measure ID] = "H_HSP_RATING_LINEAR_SCORE"), [1]!hcahps[HCAHPS Linear Mean Value]), "No Match")</f>
        <v>Not Available</v>
      </c>
      <c r="F4559" cm="1">
        <f t="array" ref="F4559">_xlfn.IFNA(_xlfn.XLOOKUP(1,([1]!readmissions[Facility ID] = clean[[#This Row],[Facility ID]]) * ([1]!readmissions[Measure ID] = "Hybrid_HWR"), [1]!readmissions[Score]), "No Match")</f>
        <v>14.5</v>
      </c>
    </row>
    <row r="4560" spans="1:6" x14ac:dyDescent="0.2">
      <c r="A4560">
        <f>[1]!hospitalinfo[[#This Row],[Facility ID]]</f>
        <v>450370</v>
      </c>
      <c r="B4560" t="str">
        <f>[1]!hospitalinfo[[#This Row],[State]]</f>
        <v>TX</v>
      </c>
      <c r="C4560" t="str">
        <f>[1]!hospitalinfo[[#This Row],[Hospital Type]]</f>
        <v>Acute Care Hospitals</v>
      </c>
      <c r="D4560" t="str">
        <f>[1]!hospitalinfo[[#This Row],[Hospital Ownership]]</f>
        <v>Voluntary non-profit - Private</v>
      </c>
      <c r="E4560" cm="1">
        <f t="array" ref="E4560">_xlfn.IFNA(_xlfn.XLOOKUP(1,([1]!hcahps[Facility ID] = clean[[#This Row],[Facility ID]]) * ([1]!hcahps[HCAHPS Measure ID] = "H_HSP_RATING_LINEAR_SCORE"), [1]!hcahps[HCAHPS Linear Mean Value]), "No Match")</f>
        <v>88</v>
      </c>
      <c r="F4560" cm="1">
        <f t="array" ref="F4560">_xlfn.IFNA(_xlfn.XLOOKUP(1,([1]!readmissions[Facility ID] = clean[[#This Row],[Facility ID]]) * ([1]!readmissions[Measure ID] = "Hybrid_HWR"), [1]!readmissions[Score]), "No Match")</f>
        <v>14.9</v>
      </c>
    </row>
    <row r="4561" spans="1:6" x14ac:dyDescent="0.2">
      <c r="A4561">
        <f>[1]!hospitalinfo[[#This Row],[Facility ID]]</f>
        <v>450372</v>
      </c>
      <c r="B4561" t="str">
        <f>[1]!hospitalinfo[[#This Row],[State]]</f>
        <v>TX</v>
      </c>
      <c r="C4561" t="str">
        <f>[1]!hospitalinfo[[#This Row],[Hospital Type]]</f>
        <v>Acute Care Hospitals</v>
      </c>
      <c r="D4561" t="str">
        <f>[1]!hospitalinfo[[#This Row],[Hospital Ownership]]</f>
        <v>Voluntary non-profit - Private</v>
      </c>
      <c r="E4561" cm="1">
        <f t="array" ref="E4561">_xlfn.IFNA(_xlfn.XLOOKUP(1,([1]!hcahps[Facility ID] = clean[[#This Row],[Facility ID]]) * ([1]!hcahps[HCAHPS Measure ID] = "H_HSP_RATING_LINEAR_SCORE"), [1]!hcahps[HCAHPS Linear Mean Value]), "No Match")</f>
        <v>91</v>
      </c>
      <c r="F4561" cm="1">
        <f t="array" ref="F4561">_xlfn.IFNA(_xlfn.XLOOKUP(1,([1]!readmissions[Facility ID] = clean[[#This Row],[Facility ID]]) * ([1]!readmissions[Measure ID] = "Hybrid_HWR"), [1]!readmissions[Score]), "No Match")</f>
        <v>15.6</v>
      </c>
    </row>
    <row r="4562" spans="1:6" x14ac:dyDescent="0.2">
      <c r="A4562">
        <f>[1]!hospitalinfo[[#This Row],[Facility ID]]</f>
        <v>450379</v>
      </c>
      <c r="B4562" t="str">
        <f>[1]!hospitalinfo[[#This Row],[State]]</f>
        <v>TX</v>
      </c>
      <c r="C4562" t="str">
        <f>[1]!hospitalinfo[[#This Row],[Hospital Type]]</f>
        <v>Acute Care Hospitals</v>
      </c>
      <c r="D4562" t="str">
        <f>[1]!hospitalinfo[[#This Row],[Hospital Ownership]]</f>
        <v>Proprietary</v>
      </c>
      <c r="E4562" cm="1">
        <f t="array" ref="E4562">_xlfn.IFNA(_xlfn.XLOOKUP(1,([1]!hcahps[Facility ID] = clean[[#This Row],[Facility ID]]) * ([1]!hcahps[HCAHPS Measure ID] = "H_HSP_RATING_LINEAR_SCORE"), [1]!hcahps[HCAHPS Linear Mean Value]), "No Match")</f>
        <v>87</v>
      </c>
      <c r="F4562" cm="1">
        <f t="array" ref="F4562">_xlfn.IFNA(_xlfn.XLOOKUP(1,([1]!readmissions[Facility ID] = clean[[#This Row],[Facility ID]]) * ([1]!readmissions[Measure ID] = "Hybrid_HWR"), [1]!readmissions[Score]), "No Match")</f>
        <v>13.7</v>
      </c>
    </row>
    <row r="4563" spans="1:6" x14ac:dyDescent="0.2">
      <c r="A4563">
        <f>[1]!hospitalinfo[[#This Row],[Facility ID]]</f>
        <v>450388</v>
      </c>
      <c r="B4563" t="str">
        <f>[1]!hospitalinfo[[#This Row],[State]]</f>
        <v>TX</v>
      </c>
      <c r="C4563" t="str">
        <f>[1]!hospitalinfo[[#This Row],[Hospital Type]]</f>
        <v>Acute Care Hospitals</v>
      </c>
      <c r="D4563" t="str">
        <f>[1]!hospitalinfo[[#This Row],[Hospital Ownership]]</f>
        <v>Proprietary</v>
      </c>
      <c r="E4563" cm="1">
        <f t="array" ref="E4563">_xlfn.IFNA(_xlfn.XLOOKUP(1,([1]!hcahps[Facility ID] = clean[[#This Row],[Facility ID]]) * ([1]!hcahps[HCAHPS Measure ID] = "H_HSP_RATING_LINEAR_SCORE"), [1]!hcahps[HCAHPS Linear Mean Value]), "No Match")</f>
        <v>86</v>
      </c>
      <c r="F4563" cm="1">
        <f t="array" ref="F4563">_xlfn.IFNA(_xlfn.XLOOKUP(1,([1]!readmissions[Facility ID] = clean[[#This Row],[Facility ID]]) * ([1]!readmissions[Measure ID] = "Hybrid_HWR"), [1]!readmissions[Score]), "No Match")</f>
        <v>15.8</v>
      </c>
    </row>
    <row r="4564" spans="1:6" x14ac:dyDescent="0.2">
      <c r="A4564">
        <f>[1]!hospitalinfo[[#This Row],[Facility ID]]</f>
        <v>450389</v>
      </c>
      <c r="B4564" t="str">
        <f>[1]!hospitalinfo[[#This Row],[State]]</f>
        <v>TX</v>
      </c>
      <c r="C4564" t="str">
        <f>[1]!hospitalinfo[[#This Row],[Hospital Type]]</f>
        <v>Acute Care Hospitals</v>
      </c>
      <c r="D4564" t="str">
        <f>[1]!hospitalinfo[[#This Row],[Hospital Ownership]]</f>
        <v>Proprietary</v>
      </c>
      <c r="E4564" cm="1">
        <f t="array" ref="E4564">_xlfn.IFNA(_xlfn.XLOOKUP(1,([1]!hcahps[Facility ID] = clean[[#This Row],[Facility ID]]) * ([1]!hcahps[HCAHPS Measure ID] = "H_HSP_RATING_LINEAR_SCORE"), [1]!hcahps[HCAHPS Linear Mean Value]), "No Match")</f>
        <v>88</v>
      </c>
      <c r="F4564" cm="1">
        <f t="array" ref="F4564">_xlfn.IFNA(_xlfn.XLOOKUP(1,([1]!readmissions[Facility ID] = clean[[#This Row],[Facility ID]]) * ([1]!readmissions[Measure ID] = "Hybrid_HWR"), [1]!readmissions[Score]), "No Match")</f>
        <v>16.2</v>
      </c>
    </row>
    <row r="4565" spans="1:6" x14ac:dyDescent="0.2">
      <c r="A4565">
        <f>[1]!hospitalinfo[[#This Row],[Facility ID]]</f>
        <v>450395</v>
      </c>
      <c r="B4565" t="str">
        <f>[1]!hospitalinfo[[#This Row],[State]]</f>
        <v>TX</v>
      </c>
      <c r="C4565" t="str">
        <f>[1]!hospitalinfo[[#This Row],[Hospital Type]]</f>
        <v>Acute Care Hospitals</v>
      </c>
      <c r="D4565" t="str">
        <f>[1]!hospitalinfo[[#This Row],[Hospital Ownership]]</f>
        <v>Voluntary non-profit - Private</v>
      </c>
      <c r="E4565" cm="1">
        <f t="array" ref="E4565">_xlfn.IFNA(_xlfn.XLOOKUP(1,([1]!hcahps[Facility ID] = clean[[#This Row],[Facility ID]]) * ([1]!hcahps[HCAHPS Measure ID] = "H_HSP_RATING_LINEAR_SCORE"), [1]!hcahps[HCAHPS Linear Mean Value]), "No Match")</f>
        <v>90</v>
      </c>
      <c r="F4565" cm="1">
        <f t="array" ref="F4565">_xlfn.IFNA(_xlfn.XLOOKUP(1,([1]!readmissions[Facility ID] = clean[[#This Row],[Facility ID]]) * ([1]!readmissions[Measure ID] = "Hybrid_HWR"), [1]!readmissions[Score]), "No Match")</f>
        <v>14.5</v>
      </c>
    </row>
    <row r="4566" spans="1:6" x14ac:dyDescent="0.2">
      <c r="A4566">
        <f>[1]!hospitalinfo[[#This Row],[Facility ID]]</f>
        <v>450399</v>
      </c>
      <c r="B4566" t="str">
        <f>[1]!hospitalinfo[[#This Row],[State]]</f>
        <v>TX</v>
      </c>
      <c r="C4566" t="str">
        <f>[1]!hospitalinfo[[#This Row],[Hospital Type]]</f>
        <v>Acute Care Hospitals</v>
      </c>
      <c r="D4566" t="str">
        <f>[1]!hospitalinfo[[#This Row],[Hospital Ownership]]</f>
        <v>Government - Hospital District or Authority</v>
      </c>
      <c r="E4566" t="str" cm="1">
        <f t="array" ref="E4566">_xlfn.IFNA(_xlfn.XLOOKUP(1,([1]!hcahps[Facility ID] = clean[[#This Row],[Facility ID]]) * ([1]!hcahps[HCAHPS Measure ID] = "H_HSP_RATING_LINEAR_SCORE"), [1]!hcahps[HCAHPS Linear Mean Value]), "No Match")</f>
        <v>Not Available</v>
      </c>
      <c r="F4566" cm="1">
        <f t="array" ref="F4566">_xlfn.IFNA(_xlfn.XLOOKUP(1,([1]!readmissions[Facility ID] = clean[[#This Row],[Facility ID]]) * ([1]!readmissions[Measure ID] = "Hybrid_HWR"), [1]!readmissions[Score]), "No Match")</f>
        <v>15</v>
      </c>
    </row>
    <row r="4567" spans="1:6" x14ac:dyDescent="0.2">
      <c r="A4567">
        <f>[1]!hospitalinfo[[#This Row],[Facility ID]]</f>
        <v>450400</v>
      </c>
      <c r="B4567" t="str">
        <f>[1]!hospitalinfo[[#This Row],[State]]</f>
        <v>TX</v>
      </c>
      <c r="C4567" t="str">
        <f>[1]!hospitalinfo[[#This Row],[Hospital Type]]</f>
        <v>Acute Care Hospitals</v>
      </c>
      <c r="D4567" t="str">
        <f>[1]!hospitalinfo[[#This Row],[Hospital Ownership]]</f>
        <v>Proprietary</v>
      </c>
      <c r="E4567" t="str" cm="1">
        <f t="array" ref="E4567">_xlfn.IFNA(_xlfn.XLOOKUP(1,([1]!hcahps[Facility ID] = clean[[#This Row],[Facility ID]]) * ([1]!hcahps[HCAHPS Measure ID] = "H_HSP_RATING_LINEAR_SCORE"), [1]!hcahps[HCAHPS Linear Mean Value]), "No Match")</f>
        <v>Not Available</v>
      </c>
      <c r="F4567" cm="1">
        <f t="array" ref="F4567">_xlfn.IFNA(_xlfn.XLOOKUP(1,([1]!readmissions[Facility ID] = clean[[#This Row],[Facility ID]]) * ([1]!readmissions[Measure ID] = "Hybrid_HWR"), [1]!readmissions[Score]), "No Match")</f>
        <v>14.9</v>
      </c>
    </row>
    <row r="4568" spans="1:6" x14ac:dyDescent="0.2">
      <c r="A4568">
        <f>[1]!hospitalinfo[[#This Row],[Facility ID]]</f>
        <v>450403</v>
      </c>
      <c r="B4568" t="str">
        <f>[1]!hospitalinfo[[#This Row],[State]]</f>
        <v>TX</v>
      </c>
      <c r="C4568" t="str">
        <f>[1]!hospitalinfo[[#This Row],[Hospital Type]]</f>
        <v>Acute Care Hospitals</v>
      </c>
      <c r="D4568" t="str">
        <f>[1]!hospitalinfo[[#This Row],[Hospital Ownership]]</f>
        <v>Proprietary</v>
      </c>
      <c r="E4568" cm="1">
        <f t="array" ref="E4568">_xlfn.IFNA(_xlfn.XLOOKUP(1,([1]!hcahps[Facility ID] = clean[[#This Row],[Facility ID]]) * ([1]!hcahps[HCAHPS Measure ID] = "H_HSP_RATING_LINEAR_SCORE"), [1]!hcahps[HCAHPS Linear Mean Value]), "No Match")</f>
        <v>86</v>
      </c>
      <c r="F4568" cm="1">
        <f t="array" ref="F4568">_xlfn.IFNA(_xlfn.XLOOKUP(1,([1]!readmissions[Facility ID] = clean[[#This Row],[Facility ID]]) * ([1]!readmissions[Measure ID] = "Hybrid_HWR"), [1]!readmissions[Score]), "No Match")</f>
        <v>15.7</v>
      </c>
    </row>
    <row r="4569" spans="1:6" x14ac:dyDescent="0.2">
      <c r="A4569">
        <f>[1]!hospitalinfo[[#This Row],[Facility ID]]</f>
        <v>450419</v>
      </c>
      <c r="B4569" t="str">
        <f>[1]!hospitalinfo[[#This Row],[State]]</f>
        <v>TX</v>
      </c>
      <c r="C4569" t="str">
        <f>[1]!hospitalinfo[[#This Row],[Hospital Type]]</f>
        <v>Acute Care Hospitals</v>
      </c>
      <c r="D4569" t="str">
        <f>[1]!hospitalinfo[[#This Row],[Hospital Ownership]]</f>
        <v>Voluntary non-profit - Private</v>
      </c>
      <c r="E4569" cm="1">
        <f t="array" ref="E4569">_xlfn.IFNA(_xlfn.XLOOKUP(1,([1]!hcahps[Facility ID] = clean[[#This Row],[Facility ID]]) * ([1]!hcahps[HCAHPS Measure ID] = "H_HSP_RATING_LINEAR_SCORE"), [1]!hcahps[HCAHPS Linear Mean Value]), "No Match")</f>
        <v>88</v>
      </c>
      <c r="F4569" cm="1">
        <f t="array" ref="F4569">_xlfn.IFNA(_xlfn.XLOOKUP(1,([1]!readmissions[Facility ID] = clean[[#This Row],[Facility ID]]) * ([1]!readmissions[Measure ID] = "Hybrid_HWR"), [1]!readmissions[Score]), "No Match")</f>
        <v>14.8</v>
      </c>
    </row>
    <row r="4570" spans="1:6" x14ac:dyDescent="0.2">
      <c r="A4570">
        <f>[1]!hospitalinfo[[#This Row],[Facility ID]]</f>
        <v>450422</v>
      </c>
      <c r="B4570" t="str">
        <f>[1]!hospitalinfo[[#This Row],[State]]</f>
        <v>TX</v>
      </c>
      <c r="C4570" t="str">
        <f>[1]!hospitalinfo[[#This Row],[Hospital Type]]</f>
        <v>Acute Care Hospitals</v>
      </c>
      <c r="D4570" t="str">
        <f>[1]!hospitalinfo[[#This Row],[Hospital Ownership]]</f>
        <v>Proprietary</v>
      </c>
      <c r="E4570" t="str" cm="1">
        <f t="array" ref="E4570">_xlfn.IFNA(_xlfn.XLOOKUP(1,([1]!hcahps[Facility ID] = clean[[#This Row],[Facility ID]]) * ([1]!hcahps[HCAHPS Measure ID] = "H_HSP_RATING_LINEAR_SCORE"), [1]!hcahps[HCAHPS Linear Mean Value]), "No Match")</f>
        <v>Not Available</v>
      </c>
      <c r="F4570" cm="1">
        <f t="array" ref="F4570">_xlfn.IFNA(_xlfn.XLOOKUP(1,([1]!readmissions[Facility ID] = clean[[#This Row],[Facility ID]]) * ([1]!readmissions[Measure ID] = "Hybrid_HWR"), [1]!readmissions[Score]), "No Match")</f>
        <v>14.7</v>
      </c>
    </row>
    <row r="4571" spans="1:6" x14ac:dyDescent="0.2">
      <c r="A4571">
        <f>[1]!hospitalinfo[[#This Row],[Facility ID]]</f>
        <v>450424</v>
      </c>
      <c r="B4571" t="str">
        <f>[1]!hospitalinfo[[#This Row],[State]]</f>
        <v>TX</v>
      </c>
      <c r="C4571" t="str">
        <f>[1]!hospitalinfo[[#This Row],[Hospital Type]]</f>
        <v>Acute Care Hospitals</v>
      </c>
      <c r="D4571" t="str">
        <f>[1]!hospitalinfo[[#This Row],[Hospital Ownership]]</f>
        <v>Voluntary non-profit - Private</v>
      </c>
      <c r="E4571" cm="1">
        <f t="array" ref="E4571">_xlfn.IFNA(_xlfn.XLOOKUP(1,([1]!hcahps[Facility ID] = clean[[#This Row],[Facility ID]]) * ([1]!hcahps[HCAHPS Measure ID] = "H_HSP_RATING_LINEAR_SCORE"), [1]!hcahps[HCAHPS Linear Mean Value]), "No Match")</f>
        <v>92</v>
      </c>
      <c r="F4571" cm="1">
        <f t="array" ref="F4571">_xlfn.IFNA(_xlfn.XLOOKUP(1,([1]!readmissions[Facility ID] = clean[[#This Row],[Facility ID]]) * ([1]!readmissions[Measure ID] = "Hybrid_HWR"), [1]!readmissions[Score]), "No Match")</f>
        <v>13.9</v>
      </c>
    </row>
    <row r="4572" spans="1:6" x14ac:dyDescent="0.2">
      <c r="A4572">
        <f>[1]!hospitalinfo[[#This Row],[Facility ID]]</f>
        <v>450431</v>
      </c>
      <c r="B4572" t="str">
        <f>[1]!hospitalinfo[[#This Row],[State]]</f>
        <v>TX</v>
      </c>
      <c r="C4572" t="str">
        <f>[1]!hospitalinfo[[#This Row],[Hospital Type]]</f>
        <v>Acute Care Hospitals</v>
      </c>
      <c r="D4572" t="str">
        <f>[1]!hospitalinfo[[#This Row],[Hospital Ownership]]</f>
        <v>Proprietary</v>
      </c>
      <c r="E4572" cm="1">
        <f t="array" ref="E4572">_xlfn.IFNA(_xlfn.XLOOKUP(1,([1]!hcahps[Facility ID] = clean[[#This Row],[Facility ID]]) * ([1]!hcahps[HCAHPS Measure ID] = "H_HSP_RATING_LINEAR_SCORE"), [1]!hcahps[HCAHPS Linear Mean Value]), "No Match")</f>
        <v>89</v>
      </c>
      <c r="F4572" cm="1">
        <f t="array" ref="F4572">_xlfn.IFNA(_xlfn.XLOOKUP(1,([1]!readmissions[Facility ID] = clean[[#This Row],[Facility ID]]) * ([1]!readmissions[Measure ID] = "Hybrid_HWR"), [1]!readmissions[Score]), "No Match")</f>
        <v>15</v>
      </c>
    </row>
    <row r="4573" spans="1:6" x14ac:dyDescent="0.2">
      <c r="A4573">
        <f>[1]!hospitalinfo[[#This Row],[Facility ID]]</f>
        <v>450447</v>
      </c>
      <c r="B4573" t="str">
        <f>[1]!hospitalinfo[[#This Row],[State]]</f>
        <v>TX</v>
      </c>
      <c r="C4573" t="str">
        <f>[1]!hospitalinfo[[#This Row],[Hospital Type]]</f>
        <v>Acute Care Hospitals</v>
      </c>
      <c r="D4573" t="str">
        <f>[1]!hospitalinfo[[#This Row],[Hospital Ownership]]</f>
        <v>Government - Hospital District or Authority</v>
      </c>
      <c r="E4573" cm="1">
        <f t="array" ref="E4573">_xlfn.IFNA(_xlfn.XLOOKUP(1,([1]!hcahps[Facility ID] = clean[[#This Row],[Facility ID]]) * ([1]!hcahps[HCAHPS Measure ID] = "H_HSP_RATING_LINEAR_SCORE"), [1]!hcahps[HCAHPS Linear Mean Value]), "No Match")</f>
        <v>86</v>
      </c>
      <c r="F4573" cm="1">
        <f t="array" ref="F4573">_xlfn.IFNA(_xlfn.XLOOKUP(1,([1]!readmissions[Facility ID] = clean[[#This Row],[Facility ID]]) * ([1]!readmissions[Measure ID] = "Hybrid_HWR"), [1]!readmissions[Score]), "No Match")</f>
        <v>16.600000000000001</v>
      </c>
    </row>
    <row r="4574" spans="1:6" x14ac:dyDescent="0.2">
      <c r="A4574">
        <f>[1]!hospitalinfo[[#This Row],[Facility ID]]</f>
        <v>450451</v>
      </c>
      <c r="B4574" t="str">
        <f>[1]!hospitalinfo[[#This Row],[State]]</f>
        <v>TX</v>
      </c>
      <c r="C4574" t="str">
        <f>[1]!hospitalinfo[[#This Row],[Hospital Type]]</f>
        <v>Acute Care Hospitals</v>
      </c>
      <c r="D4574" t="str">
        <f>[1]!hospitalinfo[[#This Row],[Hospital Ownership]]</f>
        <v>Government - Hospital District or Authority</v>
      </c>
      <c r="E4574" t="str" cm="1">
        <f t="array" ref="E4574">_xlfn.IFNA(_xlfn.XLOOKUP(1,([1]!hcahps[Facility ID] = clean[[#This Row],[Facility ID]]) * ([1]!hcahps[HCAHPS Measure ID] = "H_HSP_RATING_LINEAR_SCORE"), [1]!hcahps[HCAHPS Linear Mean Value]), "No Match")</f>
        <v>Not Available</v>
      </c>
      <c r="F4574" cm="1">
        <f t="array" ref="F4574">_xlfn.IFNA(_xlfn.XLOOKUP(1,([1]!readmissions[Facility ID] = clean[[#This Row],[Facility ID]]) * ([1]!readmissions[Measure ID] = "Hybrid_HWR"), [1]!readmissions[Score]), "No Match")</f>
        <v>14.7</v>
      </c>
    </row>
    <row r="4575" spans="1:6" x14ac:dyDescent="0.2">
      <c r="A4575">
        <f>[1]!hospitalinfo[[#This Row],[Facility ID]]</f>
        <v>450460</v>
      </c>
      <c r="B4575" t="str">
        <f>[1]!hospitalinfo[[#This Row],[State]]</f>
        <v>TX</v>
      </c>
      <c r="C4575" t="str">
        <f>[1]!hospitalinfo[[#This Row],[Hospital Type]]</f>
        <v>Acute Care Hospitals</v>
      </c>
      <c r="D4575" t="str">
        <f>[1]!hospitalinfo[[#This Row],[Hospital Ownership]]</f>
        <v>Government - Hospital District or Authority</v>
      </c>
      <c r="E4575" t="str" cm="1">
        <f t="array" ref="E4575">_xlfn.IFNA(_xlfn.XLOOKUP(1,([1]!hcahps[Facility ID] = clean[[#This Row],[Facility ID]]) * ([1]!hcahps[HCAHPS Measure ID] = "H_HSP_RATING_LINEAR_SCORE"), [1]!hcahps[HCAHPS Linear Mean Value]), "No Match")</f>
        <v>Not Available</v>
      </c>
      <c r="F4575" cm="1">
        <f t="array" ref="F4575">_xlfn.IFNA(_xlfn.XLOOKUP(1,([1]!readmissions[Facility ID] = clean[[#This Row],[Facility ID]]) * ([1]!readmissions[Measure ID] = "Hybrid_HWR"), [1]!readmissions[Score]), "No Match")</f>
        <v>14.9</v>
      </c>
    </row>
    <row r="4576" spans="1:6" x14ac:dyDescent="0.2">
      <c r="A4576">
        <f>[1]!hospitalinfo[[#This Row],[Facility ID]]</f>
        <v>450462</v>
      </c>
      <c r="B4576" t="str">
        <f>[1]!hospitalinfo[[#This Row],[State]]</f>
        <v>TX</v>
      </c>
      <c r="C4576" t="str">
        <f>[1]!hospitalinfo[[#This Row],[Hospital Type]]</f>
        <v>Acute Care Hospitals</v>
      </c>
      <c r="D4576" t="str">
        <f>[1]!hospitalinfo[[#This Row],[Hospital Ownership]]</f>
        <v>Voluntary non-profit - Private</v>
      </c>
      <c r="E4576" cm="1">
        <f t="array" ref="E4576">_xlfn.IFNA(_xlfn.XLOOKUP(1,([1]!hcahps[Facility ID] = clean[[#This Row],[Facility ID]]) * ([1]!hcahps[HCAHPS Measure ID] = "H_HSP_RATING_LINEAR_SCORE"), [1]!hcahps[HCAHPS Linear Mean Value]), "No Match")</f>
        <v>87</v>
      </c>
      <c r="F4576" cm="1">
        <f t="array" ref="F4576">_xlfn.IFNA(_xlfn.XLOOKUP(1,([1]!readmissions[Facility ID] = clean[[#This Row],[Facility ID]]) * ([1]!readmissions[Measure ID] = "Hybrid_HWR"), [1]!readmissions[Score]), "No Match")</f>
        <v>13.8</v>
      </c>
    </row>
    <row r="4577" spans="1:6" x14ac:dyDescent="0.2">
      <c r="A4577">
        <f>[1]!hospitalinfo[[#This Row],[Facility ID]]</f>
        <v>450465</v>
      </c>
      <c r="B4577" t="str">
        <f>[1]!hospitalinfo[[#This Row],[State]]</f>
        <v>TX</v>
      </c>
      <c r="C4577" t="str">
        <f>[1]!hospitalinfo[[#This Row],[Hospital Type]]</f>
        <v>Acute Care Hospitals</v>
      </c>
      <c r="D4577" t="str">
        <f>[1]!hospitalinfo[[#This Row],[Hospital Ownership]]</f>
        <v>Government - Hospital District or Authority</v>
      </c>
      <c r="E4577" cm="1">
        <f t="array" ref="E4577">_xlfn.IFNA(_xlfn.XLOOKUP(1,([1]!hcahps[Facility ID] = clean[[#This Row],[Facility ID]]) * ([1]!hcahps[HCAHPS Measure ID] = "H_HSP_RATING_LINEAR_SCORE"), [1]!hcahps[HCAHPS Linear Mean Value]), "No Match")</f>
        <v>90</v>
      </c>
      <c r="F4577" cm="1">
        <f t="array" ref="F4577">_xlfn.IFNA(_xlfn.XLOOKUP(1,([1]!readmissions[Facility ID] = clean[[#This Row],[Facility ID]]) * ([1]!readmissions[Measure ID] = "Hybrid_HWR"), [1]!readmissions[Score]), "No Match")</f>
        <v>14.2</v>
      </c>
    </row>
    <row r="4578" spans="1:6" x14ac:dyDescent="0.2">
      <c r="A4578">
        <f>[1]!hospitalinfo[[#This Row],[Facility ID]]</f>
        <v>450469</v>
      </c>
      <c r="B4578" t="str">
        <f>[1]!hospitalinfo[[#This Row],[State]]</f>
        <v>TX</v>
      </c>
      <c r="C4578" t="str">
        <f>[1]!hospitalinfo[[#This Row],[Hospital Type]]</f>
        <v>Acute Care Hospitals</v>
      </c>
      <c r="D4578" t="str">
        <f>[1]!hospitalinfo[[#This Row],[Hospital Ownership]]</f>
        <v>Proprietary</v>
      </c>
      <c r="E4578" cm="1">
        <f t="array" ref="E4578">_xlfn.IFNA(_xlfn.XLOOKUP(1,([1]!hcahps[Facility ID] = clean[[#This Row],[Facility ID]]) * ([1]!hcahps[HCAHPS Measure ID] = "H_HSP_RATING_LINEAR_SCORE"), [1]!hcahps[HCAHPS Linear Mean Value]), "No Match")</f>
        <v>83</v>
      </c>
      <c r="F4578" cm="1">
        <f t="array" ref="F4578">_xlfn.IFNA(_xlfn.XLOOKUP(1,([1]!readmissions[Facility ID] = clean[[#This Row],[Facility ID]]) * ([1]!readmissions[Measure ID] = "Hybrid_HWR"), [1]!readmissions[Score]), "No Match")</f>
        <v>14.6</v>
      </c>
    </row>
    <row r="4579" spans="1:6" x14ac:dyDescent="0.2">
      <c r="A4579">
        <f>[1]!hospitalinfo[[#This Row],[Facility ID]]</f>
        <v>450475</v>
      </c>
      <c r="B4579" t="str">
        <f>[1]!hospitalinfo[[#This Row],[State]]</f>
        <v>TX</v>
      </c>
      <c r="C4579" t="str">
        <f>[1]!hospitalinfo[[#This Row],[Hospital Type]]</f>
        <v>Acute Care Hospitals</v>
      </c>
      <c r="D4579" t="str">
        <f>[1]!hospitalinfo[[#This Row],[Hospital Ownership]]</f>
        <v>Proprietary</v>
      </c>
      <c r="E4579" cm="1">
        <f t="array" ref="E4579">_xlfn.IFNA(_xlfn.XLOOKUP(1,([1]!hcahps[Facility ID] = clean[[#This Row],[Facility ID]]) * ([1]!hcahps[HCAHPS Measure ID] = "H_HSP_RATING_LINEAR_SCORE"), [1]!hcahps[HCAHPS Linear Mean Value]), "No Match")</f>
        <v>89</v>
      </c>
      <c r="F4579" cm="1">
        <f t="array" ref="F4579">_xlfn.IFNA(_xlfn.XLOOKUP(1,([1]!readmissions[Facility ID] = clean[[#This Row],[Facility ID]]) * ([1]!readmissions[Measure ID] = "Hybrid_HWR"), [1]!readmissions[Score]), "No Match")</f>
        <v>14.3</v>
      </c>
    </row>
    <row r="4580" spans="1:6" x14ac:dyDescent="0.2">
      <c r="A4580">
        <f>[1]!hospitalinfo[[#This Row],[Facility ID]]</f>
        <v>450484</v>
      </c>
      <c r="B4580" t="str">
        <f>[1]!hospitalinfo[[#This Row],[State]]</f>
        <v>TX</v>
      </c>
      <c r="C4580" t="str">
        <f>[1]!hospitalinfo[[#This Row],[Hospital Type]]</f>
        <v>Acute Care Hospitals</v>
      </c>
      <c r="D4580" t="str">
        <f>[1]!hospitalinfo[[#This Row],[Hospital Ownership]]</f>
        <v>Proprietary</v>
      </c>
      <c r="E4580" cm="1">
        <f t="array" ref="E4580">_xlfn.IFNA(_xlfn.XLOOKUP(1,([1]!hcahps[Facility ID] = clean[[#This Row],[Facility ID]]) * ([1]!hcahps[HCAHPS Measure ID] = "H_HSP_RATING_LINEAR_SCORE"), [1]!hcahps[HCAHPS Linear Mean Value]), "No Match")</f>
        <v>84</v>
      </c>
      <c r="F4580" cm="1">
        <f t="array" ref="F4580">_xlfn.IFNA(_xlfn.XLOOKUP(1,([1]!readmissions[Facility ID] = clean[[#This Row],[Facility ID]]) * ([1]!readmissions[Measure ID] = "Hybrid_HWR"), [1]!readmissions[Score]), "No Match")</f>
        <v>16.399999999999999</v>
      </c>
    </row>
    <row r="4581" spans="1:6" x14ac:dyDescent="0.2">
      <c r="A4581">
        <f>[1]!hospitalinfo[[#This Row],[Facility ID]]</f>
        <v>450489</v>
      </c>
      <c r="B4581" t="str">
        <f>[1]!hospitalinfo[[#This Row],[State]]</f>
        <v>TX</v>
      </c>
      <c r="C4581" t="str">
        <f>[1]!hospitalinfo[[#This Row],[Hospital Type]]</f>
        <v>Acute Care Hospitals</v>
      </c>
      <c r="D4581" t="str">
        <f>[1]!hospitalinfo[[#This Row],[Hospital Ownership]]</f>
        <v>Government - Hospital District or Authority</v>
      </c>
      <c r="E4581" t="str" cm="1">
        <f t="array" ref="E4581">_xlfn.IFNA(_xlfn.XLOOKUP(1,([1]!hcahps[Facility ID] = clean[[#This Row],[Facility ID]]) * ([1]!hcahps[HCAHPS Measure ID] = "H_HSP_RATING_LINEAR_SCORE"), [1]!hcahps[HCAHPS Linear Mean Value]), "No Match")</f>
        <v>Not Available</v>
      </c>
      <c r="F4581" cm="1">
        <f t="array" ref="F4581">_xlfn.IFNA(_xlfn.XLOOKUP(1,([1]!readmissions[Facility ID] = clean[[#This Row],[Facility ID]]) * ([1]!readmissions[Measure ID] = "Hybrid_HWR"), [1]!readmissions[Score]), "No Match")</f>
        <v>14.6</v>
      </c>
    </row>
    <row r="4582" spans="1:6" x14ac:dyDescent="0.2">
      <c r="A4582">
        <f>[1]!hospitalinfo[[#This Row],[Facility ID]]</f>
        <v>450508</v>
      </c>
      <c r="B4582" t="str">
        <f>[1]!hospitalinfo[[#This Row],[State]]</f>
        <v>TX</v>
      </c>
      <c r="C4582" t="str">
        <f>[1]!hospitalinfo[[#This Row],[Hospital Type]]</f>
        <v>Acute Care Hospitals</v>
      </c>
      <c r="D4582" t="str">
        <f>[1]!hospitalinfo[[#This Row],[Hospital Ownership]]</f>
        <v>Proprietary</v>
      </c>
      <c r="E4582" cm="1">
        <f t="array" ref="E4582">_xlfn.IFNA(_xlfn.XLOOKUP(1,([1]!hcahps[Facility ID] = clean[[#This Row],[Facility ID]]) * ([1]!hcahps[HCAHPS Measure ID] = "H_HSP_RATING_LINEAR_SCORE"), [1]!hcahps[HCAHPS Linear Mean Value]), "No Match")</f>
        <v>88</v>
      </c>
      <c r="F4582" cm="1">
        <f t="array" ref="F4582">_xlfn.IFNA(_xlfn.XLOOKUP(1,([1]!readmissions[Facility ID] = clean[[#This Row],[Facility ID]]) * ([1]!readmissions[Measure ID] = "Hybrid_HWR"), [1]!readmissions[Score]), "No Match")</f>
        <v>15.4</v>
      </c>
    </row>
    <row r="4583" spans="1:6" x14ac:dyDescent="0.2">
      <c r="A4583">
        <f>[1]!hospitalinfo[[#This Row],[Facility ID]]</f>
        <v>450518</v>
      </c>
      <c r="B4583" t="str">
        <f>[1]!hospitalinfo[[#This Row],[State]]</f>
        <v>TX</v>
      </c>
      <c r="C4583" t="str">
        <f>[1]!hospitalinfo[[#This Row],[Hospital Type]]</f>
        <v>Acute Care Hospitals</v>
      </c>
      <c r="D4583" t="str">
        <f>[1]!hospitalinfo[[#This Row],[Hospital Ownership]]</f>
        <v>Physician</v>
      </c>
      <c r="E4583" cm="1">
        <f t="array" ref="E4583">_xlfn.IFNA(_xlfn.XLOOKUP(1,([1]!hcahps[Facility ID] = clean[[#This Row],[Facility ID]]) * ([1]!hcahps[HCAHPS Measure ID] = "H_HSP_RATING_LINEAR_SCORE"), [1]!hcahps[HCAHPS Linear Mean Value]), "No Match")</f>
        <v>84</v>
      </c>
      <c r="F4583" cm="1">
        <f t="array" ref="F4583">_xlfn.IFNA(_xlfn.XLOOKUP(1,([1]!readmissions[Facility ID] = clean[[#This Row],[Facility ID]]) * ([1]!readmissions[Measure ID] = "Hybrid_HWR"), [1]!readmissions[Score]), "No Match")</f>
        <v>15.2</v>
      </c>
    </row>
    <row r="4584" spans="1:6" x14ac:dyDescent="0.2">
      <c r="A4584">
        <f>[1]!hospitalinfo[[#This Row],[Facility ID]]</f>
        <v>450537</v>
      </c>
      <c r="B4584" t="str">
        <f>[1]!hospitalinfo[[#This Row],[State]]</f>
        <v>TX</v>
      </c>
      <c r="C4584" t="str">
        <f>[1]!hospitalinfo[[#This Row],[Hospital Type]]</f>
        <v>Acute Care Hospitals</v>
      </c>
      <c r="D4584" t="str">
        <f>[1]!hospitalinfo[[#This Row],[Hospital Ownership]]</f>
        <v>Government - Hospital District or Authority</v>
      </c>
      <c r="E4584" cm="1">
        <f t="array" ref="E4584">_xlfn.IFNA(_xlfn.XLOOKUP(1,([1]!hcahps[Facility ID] = clean[[#This Row],[Facility ID]]) * ([1]!hcahps[HCAHPS Measure ID] = "H_HSP_RATING_LINEAR_SCORE"), [1]!hcahps[HCAHPS Linear Mean Value]), "No Match")</f>
        <v>92</v>
      </c>
      <c r="F4584" cm="1">
        <f t="array" ref="F4584">_xlfn.IFNA(_xlfn.XLOOKUP(1,([1]!readmissions[Facility ID] = clean[[#This Row],[Facility ID]]) * ([1]!readmissions[Measure ID] = "Hybrid_HWR"), [1]!readmissions[Score]), "No Match")</f>
        <v>15.3</v>
      </c>
    </row>
    <row r="4585" spans="1:6" x14ac:dyDescent="0.2">
      <c r="A4585">
        <f>[1]!hospitalinfo[[#This Row],[Facility ID]]</f>
        <v>450539</v>
      </c>
      <c r="B4585" t="str">
        <f>[1]!hospitalinfo[[#This Row],[State]]</f>
        <v>TX</v>
      </c>
      <c r="C4585" t="str">
        <f>[1]!hospitalinfo[[#This Row],[Hospital Type]]</f>
        <v>Acute Care Hospitals</v>
      </c>
      <c r="D4585" t="str">
        <f>[1]!hospitalinfo[[#This Row],[Hospital Ownership]]</f>
        <v>Voluntary non-profit - Private</v>
      </c>
      <c r="E4585" cm="1">
        <f t="array" ref="E4585">_xlfn.IFNA(_xlfn.XLOOKUP(1,([1]!hcahps[Facility ID] = clean[[#This Row],[Facility ID]]) * ([1]!hcahps[HCAHPS Measure ID] = "H_HSP_RATING_LINEAR_SCORE"), [1]!hcahps[HCAHPS Linear Mean Value]), "No Match")</f>
        <v>87</v>
      </c>
      <c r="F4585" cm="1">
        <f t="array" ref="F4585">_xlfn.IFNA(_xlfn.XLOOKUP(1,([1]!readmissions[Facility ID] = clean[[#This Row],[Facility ID]]) * ([1]!readmissions[Measure ID] = "Hybrid_HWR"), [1]!readmissions[Score]), "No Match")</f>
        <v>14.4</v>
      </c>
    </row>
    <row r="4586" spans="1:6" x14ac:dyDescent="0.2">
      <c r="A4586">
        <f>[1]!hospitalinfo[[#This Row],[Facility ID]]</f>
        <v>450563</v>
      </c>
      <c r="B4586" t="str">
        <f>[1]!hospitalinfo[[#This Row],[State]]</f>
        <v>TX</v>
      </c>
      <c r="C4586" t="str">
        <f>[1]!hospitalinfo[[#This Row],[Hospital Type]]</f>
        <v>Acute Care Hospitals</v>
      </c>
      <c r="D4586" t="str">
        <f>[1]!hospitalinfo[[#This Row],[Hospital Ownership]]</f>
        <v>Voluntary non-profit - Private</v>
      </c>
      <c r="E4586" cm="1">
        <f t="array" ref="E4586">_xlfn.IFNA(_xlfn.XLOOKUP(1,([1]!hcahps[Facility ID] = clean[[#This Row],[Facility ID]]) * ([1]!hcahps[HCAHPS Measure ID] = "H_HSP_RATING_LINEAR_SCORE"), [1]!hcahps[HCAHPS Linear Mean Value]), "No Match")</f>
        <v>90</v>
      </c>
      <c r="F4586" cm="1">
        <f t="array" ref="F4586">_xlfn.IFNA(_xlfn.XLOOKUP(1,([1]!readmissions[Facility ID] = clean[[#This Row],[Facility ID]]) * ([1]!readmissions[Measure ID] = "Hybrid_HWR"), [1]!readmissions[Score]), "No Match")</f>
        <v>15</v>
      </c>
    </row>
    <row r="4587" spans="1:6" x14ac:dyDescent="0.2">
      <c r="A4587">
        <f>[1]!hospitalinfo[[#This Row],[Facility ID]]</f>
        <v>450565</v>
      </c>
      <c r="B4587" t="str">
        <f>[1]!hospitalinfo[[#This Row],[State]]</f>
        <v>TX</v>
      </c>
      <c r="C4587" t="str">
        <f>[1]!hospitalinfo[[#This Row],[Hospital Type]]</f>
        <v>Acute Care Hospitals</v>
      </c>
      <c r="D4587" t="str">
        <f>[1]!hospitalinfo[[#This Row],[Hospital Ownership]]</f>
        <v>Government - Hospital District or Authority</v>
      </c>
      <c r="E4587" cm="1">
        <f t="array" ref="E4587">_xlfn.IFNA(_xlfn.XLOOKUP(1,([1]!hcahps[Facility ID] = clean[[#This Row],[Facility ID]]) * ([1]!hcahps[HCAHPS Measure ID] = "H_HSP_RATING_LINEAR_SCORE"), [1]!hcahps[HCAHPS Linear Mean Value]), "No Match")</f>
        <v>87</v>
      </c>
      <c r="F4587" cm="1">
        <f t="array" ref="F4587">_xlfn.IFNA(_xlfn.XLOOKUP(1,([1]!readmissions[Facility ID] = clean[[#This Row],[Facility ID]]) * ([1]!readmissions[Measure ID] = "Hybrid_HWR"), [1]!readmissions[Score]), "No Match")</f>
        <v>15.1</v>
      </c>
    </row>
    <row r="4588" spans="1:6" x14ac:dyDescent="0.2">
      <c r="A4588">
        <f>[1]!hospitalinfo[[#This Row],[Facility ID]]</f>
        <v>450571</v>
      </c>
      <c r="B4588" t="str">
        <f>[1]!hospitalinfo[[#This Row],[State]]</f>
        <v>TX</v>
      </c>
      <c r="C4588" t="str">
        <f>[1]!hospitalinfo[[#This Row],[Hospital Type]]</f>
        <v>Acute Care Hospitals</v>
      </c>
      <c r="D4588" t="str">
        <f>[1]!hospitalinfo[[#This Row],[Hospital Ownership]]</f>
        <v>Voluntary non-profit - Private</v>
      </c>
      <c r="E4588" cm="1">
        <f t="array" ref="E4588">_xlfn.IFNA(_xlfn.XLOOKUP(1,([1]!hcahps[Facility ID] = clean[[#This Row],[Facility ID]]) * ([1]!hcahps[HCAHPS Measure ID] = "H_HSP_RATING_LINEAR_SCORE"), [1]!hcahps[HCAHPS Linear Mean Value]), "No Match")</f>
        <v>85</v>
      </c>
      <c r="F4588" cm="1">
        <f t="array" ref="F4588">_xlfn.IFNA(_xlfn.XLOOKUP(1,([1]!readmissions[Facility ID] = clean[[#This Row],[Facility ID]]) * ([1]!readmissions[Measure ID] = "Hybrid_HWR"), [1]!readmissions[Score]), "No Match")</f>
        <v>14.5</v>
      </c>
    </row>
    <row r="4589" spans="1:6" x14ac:dyDescent="0.2">
      <c r="A4589">
        <f>[1]!hospitalinfo[[#This Row],[Facility ID]]</f>
        <v>450573</v>
      </c>
      <c r="B4589" t="str">
        <f>[1]!hospitalinfo[[#This Row],[State]]</f>
        <v>TX</v>
      </c>
      <c r="C4589" t="str">
        <f>[1]!hospitalinfo[[#This Row],[Hospital Type]]</f>
        <v>Acute Care Hospitals</v>
      </c>
      <c r="D4589" t="str">
        <f>[1]!hospitalinfo[[#This Row],[Hospital Ownership]]</f>
        <v>Voluntary non-profit - Private</v>
      </c>
      <c r="E4589" t="str" cm="1">
        <f t="array" ref="E4589">_xlfn.IFNA(_xlfn.XLOOKUP(1,([1]!hcahps[Facility ID] = clean[[#This Row],[Facility ID]]) * ([1]!hcahps[HCAHPS Measure ID] = "H_HSP_RATING_LINEAR_SCORE"), [1]!hcahps[HCAHPS Linear Mean Value]), "No Match")</f>
        <v>Not Available</v>
      </c>
      <c r="F4589" cm="1">
        <f t="array" ref="F4589">_xlfn.IFNA(_xlfn.XLOOKUP(1,([1]!readmissions[Facility ID] = clean[[#This Row],[Facility ID]]) * ([1]!readmissions[Measure ID] = "Hybrid_HWR"), [1]!readmissions[Score]), "No Match")</f>
        <v>15</v>
      </c>
    </row>
    <row r="4590" spans="1:6" x14ac:dyDescent="0.2">
      <c r="A4590">
        <f>[1]!hospitalinfo[[#This Row],[Facility ID]]</f>
        <v>450584</v>
      </c>
      <c r="B4590" t="str">
        <f>[1]!hospitalinfo[[#This Row],[State]]</f>
        <v>TX</v>
      </c>
      <c r="C4590" t="str">
        <f>[1]!hospitalinfo[[#This Row],[Hospital Type]]</f>
        <v>Acute Care Hospitals</v>
      </c>
      <c r="D4590" t="str">
        <f>[1]!hospitalinfo[[#This Row],[Hospital Ownership]]</f>
        <v>Government - Hospital District or Authority</v>
      </c>
      <c r="E4590" t="str" cm="1">
        <f t="array" ref="E4590">_xlfn.IFNA(_xlfn.XLOOKUP(1,([1]!hcahps[Facility ID] = clean[[#This Row],[Facility ID]]) * ([1]!hcahps[HCAHPS Measure ID] = "H_HSP_RATING_LINEAR_SCORE"), [1]!hcahps[HCAHPS Linear Mean Value]), "No Match")</f>
        <v>Not Available</v>
      </c>
      <c r="F4590" cm="1">
        <f t="array" ref="F4590">_xlfn.IFNA(_xlfn.XLOOKUP(1,([1]!readmissions[Facility ID] = clean[[#This Row],[Facility ID]]) * ([1]!readmissions[Measure ID] = "Hybrid_HWR"), [1]!readmissions[Score]), "No Match")</f>
        <v>14.8</v>
      </c>
    </row>
    <row r="4591" spans="1:6" x14ac:dyDescent="0.2">
      <c r="A4591">
        <f>[1]!hospitalinfo[[#This Row],[Facility ID]]</f>
        <v>450587</v>
      </c>
      <c r="B4591" t="str">
        <f>[1]!hospitalinfo[[#This Row],[State]]</f>
        <v>TX</v>
      </c>
      <c r="C4591" t="str">
        <f>[1]!hospitalinfo[[#This Row],[Hospital Type]]</f>
        <v>Acute Care Hospitals</v>
      </c>
      <c r="D4591" t="str">
        <f>[1]!hospitalinfo[[#This Row],[Hospital Ownership]]</f>
        <v>Proprietary</v>
      </c>
      <c r="E4591" cm="1">
        <f t="array" ref="E4591">_xlfn.IFNA(_xlfn.XLOOKUP(1,([1]!hcahps[Facility ID] = clean[[#This Row],[Facility ID]]) * ([1]!hcahps[HCAHPS Measure ID] = "H_HSP_RATING_LINEAR_SCORE"), [1]!hcahps[HCAHPS Linear Mean Value]), "No Match")</f>
        <v>84</v>
      </c>
      <c r="F4591" cm="1">
        <f t="array" ref="F4591">_xlfn.IFNA(_xlfn.XLOOKUP(1,([1]!readmissions[Facility ID] = clean[[#This Row],[Facility ID]]) * ([1]!readmissions[Measure ID] = "Hybrid_HWR"), [1]!readmissions[Score]), "No Match")</f>
        <v>15.4</v>
      </c>
    </row>
    <row r="4592" spans="1:6" x14ac:dyDescent="0.2">
      <c r="A4592">
        <f>[1]!hospitalinfo[[#This Row],[Facility ID]]</f>
        <v>450596</v>
      </c>
      <c r="B4592" t="str">
        <f>[1]!hospitalinfo[[#This Row],[State]]</f>
        <v>TX</v>
      </c>
      <c r="C4592" t="str">
        <f>[1]!hospitalinfo[[#This Row],[Hospital Type]]</f>
        <v>Acute Care Hospitals</v>
      </c>
      <c r="D4592" t="str">
        <f>[1]!hospitalinfo[[#This Row],[Hospital Ownership]]</f>
        <v>Proprietary</v>
      </c>
      <c r="E4592" cm="1">
        <f t="array" ref="E4592">_xlfn.IFNA(_xlfn.XLOOKUP(1,([1]!hcahps[Facility ID] = clean[[#This Row],[Facility ID]]) * ([1]!hcahps[HCAHPS Measure ID] = "H_HSP_RATING_LINEAR_SCORE"), [1]!hcahps[HCAHPS Linear Mean Value]), "No Match")</f>
        <v>82</v>
      </c>
      <c r="F4592" cm="1">
        <f t="array" ref="F4592">_xlfn.IFNA(_xlfn.XLOOKUP(1,([1]!readmissions[Facility ID] = clean[[#This Row],[Facility ID]]) * ([1]!readmissions[Measure ID] = "Hybrid_HWR"), [1]!readmissions[Score]), "No Match")</f>
        <v>14.8</v>
      </c>
    </row>
    <row r="4593" spans="1:6" x14ac:dyDescent="0.2">
      <c r="A4593">
        <f>[1]!hospitalinfo[[#This Row],[Facility ID]]</f>
        <v>450597</v>
      </c>
      <c r="B4593" t="str">
        <f>[1]!hospitalinfo[[#This Row],[State]]</f>
        <v>TX</v>
      </c>
      <c r="C4593" t="str">
        <f>[1]!hospitalinfo[[#This Row],[Hospital Type]]</f>
        <v>Acute Care Hospitals</v>
      </c>
      <c r="D4593" t="str">
        <f>[1]!hospitalinfo[[#This Row],[Hospital Ownership]]</f>
        <v>Government - Hospital District or Authority</v>
      </c>
      <c r="E4593" t="str" cm="1">
        <f t="array" ref="E4593">_xlfn.IFNA(_xlfn.XLOOKUP(1,([1]!hcahps[Facility ID] = clean[[#This Row],[Facility ID]]) * ([1]!hcahps[HCAHPS Measure ID] = "H_HSP_RATING_LINEAR_SCORE"), [1]!hcahps[HCAHPS Linear Mean Value]), "No Match")</f>
        <v>Not Available</v>
      </c>
      <c r="F4593" cm="1">
        <f t="array" ref="F4593">_xlfn.IFNA(_xlfn.XLOOKUP(1,([1]!readmissions[Facility ID] = clean[[#This Row],[Facility ID]]) * ([1]!readmissions[Measure ID] = "Hybrid_HWR"), [1]!readmissions[Score]), "No Match")</f>
        <v>14.6</v>
      </c>
    </row>
    <row r="4594" spans="1:6" x14ac:dyDescent="0.2">
      <c r="A4594">
        <f>[1]!hospitalinfo[[#This Row],[Facility ID]]</f>
        <v>450604</v>
      </c>
      <c r="B4594" t="str">
        <f>[1]!hospitalinfo[[#This Row],[State]]</f>
        <v>TX</v>
      </c>
      <c r="C4594" t="str">
        <f>[1]!hospitalinfo[[#This Row],[Hospital Type]]</f>
        <v>Acute Care Hospitals</v>
      </c>
      <c r="D4594" t="str">
        <f>[1]!hospitalinfo[[#This Row],[Hospital Ownership]]</f>
        <v>Proprietary</v>
      </c>
      <c r="E4594" cm="1">
        <f t="array" ref="E4594">_xlfn.IFNA(_xlfn.XLOOKUP(1,([1]!hcahps[Facility ID] = clean[[#This Row],[Facility ID]]) * ([1]!hcahps[HCAHPS Measure ID] = "H_HSP_RATING_LINEAR_SCORE"), [1]!hcahps[HCAHPS Linear Mean Value]), "No Match")</f>
        <v>90</v>
      </c>
      <c r="F4594" cm="1">
        <f t="array" ref="F4594">_xlfn.IFNA(_xlfn.XLOOKUP(1,([1]!readmissions[Facility ID] = clean[[#This Row],[Facility ID]]) * ([1]!readmissions[Measure ID] = "Hybrid_HWR"), [1]!readmissions[Score]), "No Match")</f>
        <v>14.4</v>
      </c>
    </row>
    <row r="4595" spans="1:6" x14ac:dyDescent="0.2">
      <c r="A4595">
        <f>[1]!hospitalinfo[[#This Row],[Facility ID]]</f>
        <v>450610</v>
      </c>
      <c r="B4595" t="str">
        <f>[1]!hospitalinfo[[#This Row],[State]]</f>
        <v>TX</v>
      </c>
      <c r="C4595" t="str">
        <f>[1]!hospitalinfo[[#This Row],[Hospital Type]]</f>
        <v>Acute Care Hospitals</v>
      </c>
      <c r="D4595" t="str">
        <f>[1]!hospitalinfo[[#This Row],[Hospital Ownership]]</f>
        <v>Voluntary non-profit - Private</v>
      </c>
      <c r="E4595" cm="1">
        <f t="array" ref="E4595">_xlfn.IFNA(_xlfn.XLOOKUP(1,([1]!hcahps[Facility ID] = clean[[#This Row],[Facility ID]]) * ([1]!hcahps[HCAHPS Measure ID] = "H_HSP_RATING_LINEAR_SCORE"), [1]!hcahps[HCAHPS Linear Mean Value]), "No Match")</f>
        <v>87</v>
      </c>
      <c r="F4595" cm="1">
        <f t="array" ref="F4595">_xlfn.IFNA(_xlfn.XLOOKUP(1,([1]!readmissions[Facility ID] = clean[[#This Row],[Facility ID]]) * ([1]!readmissions[Measure ID] = "Hybrid_HWR"), [1]!readmissions[Score]), "No Match")</f>
        <v>14.5</v>
      </c>
    </row>
    <row r="4596" spans="1:6" x14ac:dyDescent="0.2">
      <c r="A4596">
        <f>[1]!hospitalinfo[[#This Row],[Facility ID]]</f>
        <v>450617</v>
      </c>
      <c r="B4596" t="str">
        <f>[1]!hospitalinfo[[#This Row],[State]]</f>
        <v>TX</v>
      </c>
      <c r="C4596" t="str">
        <f>[1]!hospitalinfo[[#This Row],[Hospital Type]]</f>
        <v>Acute Care Hospitals</v>
      </c>
      <c r="D4596" t="str">
        <f>[1]!hospitalinfo[[#This Row],[Hospital Ownership]]</f>
        <v>Proprietary</v>
      </c>
      <c r="E4596" cm="1">
        <f t="array" ref="E4596">_xlfn.IFNA(_xlfn.XLOOKUP(1,([1]!hcahps[Facility ID] = clean[[#This Row],[Facility ID]]) * ([1]!hcahps[HCAHPS Measure ID] = "H_HSP_RATING_LINEAR_SCORE"), [1]!hcahps[HCAHPS Linear Mean Value]), "No Match")</f>
        <v>84</v>
      </c>
      <c r="F4596" cm="1">
        <f t="array" ref="F4596">_xlfn.IFNA(_xlfn.XLOOKUP(1,([1]!readmissions[Facility ID] = clean[[#This Row],[Facility ID]]) * ([1]!readmissions[Measure ID] = "Hybrid_HWR"), [1]!readmissions[Score]), "No Match")</f>
        <v>16.2</v>
      </c>
    </row>
    <row r="4597" spans="1:6" x14ac:dyDescent="0.2">
      <c r="A4597">
        <f>[1]!hospitalinfo[[#This Row],[Facility ID]]</f>
        <v>450634</v>
      </c>
      <c r="B4597" t="str">
        <f>[1]!hospitalinfo[[#This Row],[State]]</f>
        <v>TX</v>
      </c>
      <c r="C4597" t="str">
        <f>[1]!hospitalinfo[[#This Row],[Hospital Type]]</f>
        <v>Acute Care Hospitals</v>
      </c>
      <c r="D4597" t="str">
        <f>[1]!hospitalinfo[[#This Row],[Hospital Ownership]]</f>
        <v>Proprietary</v>
      </c>
      <c r="E4597" cm="1">
        <f t="array" ref="E4597">_xlfn.IFNA(_xlfn.XLOOKUP(1,([1]!hcahps[Facility ID] = clean[[#This Row],[Facility ID]]) * ([1]!hcahps[HCAHPS Measure ID] = "H_HSP_RATING_LINEAR_SCORE"), [1]!hcahps[HCAHPS Linear Mean Value]), "No Match")</f>
        <v>85</v>
      </c>
      <c r="F4597" cm="1">
        <f t="array" ref="F4597">_xlfn.IFNA(_xlfn.XLOOKUP(1,([1]!readmissions[Facility ID] = clean[[#This Row],[Facility ID]]) * ([1]!readmissions[Measure ID] = "Hybrid_HWR"), [1]!readmissions[Score]), "No Match")</f>
        <v>15.5</v>
      </c>
    </row>
    <row r="4598" spans="1:6" x14ac:dyDescent="0.2">
      <c r="A4598">
        <f>[1]!hospitalinfo[[#This Row],[Facility ID]]</f>
        <v>450638</v>
      </c>
      <c r="B4598" t="str">
        <f>[1]!hospitalinfo[[#This Row],[State]]</f>
        <v>TX</v>
      </c>
      <c r="C4598" t="str">
        <f>[1]!hospitalinfo[[#This Row],[Hospital Type]]</f>
        <v>Acute Care Hospitals</v>
      </c>
      <c r="D4598" t="str">
        <f>[1]!hospitalinfo[[#This Row],[Hospital Ownership]]</f>
        <v>Proprietary</v>
      </c>
      <c r="E4598" cm="1">
        <f t="array" ref="E4598">_xlfn.IFNA(_xlfn.XLOOKUP(1,([1]!hcahps[Facility ID] = clean[[#This Row],[Facility ID]]) * ([1]!hcahps[HCAHPS Measure ID] = "H_HSP_RATING_LINEAR_SCORE"), [1]!hcahps[HCAHPS Linear Mean Value]), "No Match")</f>
        <v>82</v>
      </c>
      <c r="F4598" cm="1">
        <f t="array" ref="F4598">_xlfn.IFNA(_xlfn.XLOOKUP(1,([1]!readmissions[Facility ID] = clean[[#This Row],[Facility ID]]) * ([1]!readmissions[Measure ID] = "Hybrid_HWR"), [1]!readmissions[Score]), "No Match")</f>
        <v>15.6</v>
      </c>
    </row>
    <row r="4599" spans="1:6" x14ac:dyDescent="0.2">
      <c r="A4599">
        <f>[1]!hospitalinfo[[#This Row],[Facility ID]]</f>
        <v>450639</v>
      </c>
      <c r="B4599" t="str">
        <f>[1]!hospitalinfo[[#This Row],[State]]</f>
        <v>TX</v>
      </c>
      <c r="C4599" t="str">
        <f>[1]!hospitalinfo[[#This Row],[Hospital Type]]</f>
        <v>Acute Care Hospitals</v>
      </c>
      <c r="D4599" t="str">
        <f>[1]!hospitalinfo[[#This Row],[Hospital Ownership]]</f>
        <v>Voluntary non-profit - Private</v>
      </c>
      <c r="E4599" cm="1">
        <f t="array" ref="E4599">_xlfn.IFNA(_xlfn.XLOOKUP(1,([1]!hcahps[Facility ID] = clean[[#This Row],[Facility ID]]) * ([1]!hcahps[HCAHPS Measure ID] = "H_HSP_RATING_LINEAR_SCORE"), [1]!hcahps[HCAHPS Linear Mean Value]), "No Match")</f>
        <v>88</v>
      </c>
      <c r="F4599" cm="1">
        <f t="array" ref="F4599">_xlfn.IFNA(_xlfn.XLOOKUP(1,([1]!readmissions[Facility ID] = clean[[#This Row],[Facility ID]]) * ([1]!readmissions[Measure ID] = "Hybrid_HWR"), [1]!readmissions[Score]), "No Match")</f>
        <v>15.2</v>
      </c>
    </row>
    <row r="4600" spans="1:6" x14ac:dyDescent="0.2">
      <c r="A4600">
        <f>[1]!hospitalinfo[[#This Row],[Facility ID]]</f>
        <v>450641</v>
      </c>
      <c r="B4600" t="str">
        <f>[1]!hospitalinfo[[#This Row],[State]]</f>
        <v>TX</v>
      </c>
      <c r="C4600" t="str">
        <f>[1]!hospitalinfo[[#This Row],[Hospital Type]]</f>
        <v>Acute Care Hospitals</v>
      </c>
      <c r="D4600" t="str">
        <f>[1]!hospitalinfo[[#This Row],[Hospital Ownership]]</f>
        <v>Government - Hospital District or Authority</v>
      </c>
      <c r="E4600" t="str" cm="1">
        <f t="array" ref="E4600">_xlfn.IFNA(_xlfn.XLOOKUP(1,([1]!hcahps[Facility ID] = clean[[#This Row],[Facility ID]]) * ([1]!hcahps[HCAHPS Measure ID] = "H_HSP_RATING_LINEAR_SCORE"), [1]!hcahps[HCAHPS Linear Mean Value]), "No Match")</f>
        <v>Not Available</v>
      </c>
      <c r="F4600" cm="1">
        <f t="array" ref="F4600">_xlfn.IFNA(_xlfn.XLOOKUP(1,([1]!readmissions[Facility ID] = clean[[#This Row],[Facility ID]]) * ([1]!readmissions[Measure ID] = "Hybrid_HWR"), [1]!readmissions[Score]), "No Match")</f>
        <v>15.9</v>
      </c>
    </row>
    <row r="4601" spans="1:6" x14ac:dyDescent="0.2">
      <c r="A4601">
        <f>[1]!hospitalinfo[[#This Row],[Facility ID]]</f>
        <v>450643</v>
      </c>
      <c r="B4601" t="str">
        <f>[1]!hospitalinfo[[#This Row],[State]]</f>
        <v>TX</v>
      </c>
      <c r="C4601" t="str">
        <f>[1]!hospitalinfo[[#This Row],[Hospital Type]]</f>
        <v>Acute Care Hospitals</v>
      </c>
      <c r="D4601" t="str">
        <f>[1]!hospitalinfo[[#This Row],[Hospital Ownership]]</f>
        <v>Proprietary</v>
      </c>
      <c r="E4601" cm="1">
        <f t="array" ref="E4601">_xlfn.IFNA(_xlfn.XLOOKUP(1,([1]!hcahps[Facility ID] = clean[[#This Row],[Facility ID]]) * ([1]!hcahps[HCAHPS Measure ID] = "H_HSP_RATING_LINEAR_SCORE"), [1]!hcahps[HCAHPS Linear Mean Value]), "No Match")</f>
        <v>87</v>
      </c>
      <c r="F4601" cm="1">
        <f t="array" ref="F4601">_xlfn.IFNA(_xlfn.XLOOKUP(1,([1]!readmissions[Facility ID] = clean[[#This Row],[Facility ID]]) * ([1]!readmissions[Measure ID] = "Hybrid_HWR"), [1]!readmissions[Score]), "No Match")</f>
        <v>15.9</v>
      </c>
    </row>
    <row r="4602" spans="1:6" x14ac:dyDescent="0.2">
      <c r="A4602">
        <f>[1]!hospitalinfo[[#This Row],[Facility ID]]</f>
        <v>450644</v>
      </c>
      <c r="B4602" t="str">
        <f>[1]!hospitalinfo[[#This Row],[State]]</f>
        <v>TX</v>
      </c>
      <c r="C4602" t="str">
        <f>[1]!hospitalinfo[[#This Row],[Hospital Type]]</f>
        <v>Acute Care Hospitals</v>
      </c>
      <c r="D4602" t="str">
        <f>[1]!hospitalinfo[[#This Row],[Hospital Ownership]]</f>
        <v>Proprietary</v>
      </c>
      <c r="E4602" cm="1">
        <f t="array" ref="E4602">_xlfn.IFNA(_xlfn.XLOOKUP(1,([1]!hcahps[Facility ID] = clean[[#This Row],[Facility ID]]) * ([1]!hcahps[HCAHPS Measure ID] = "H_HSP_RATING_LINEAR_SCORE"), [1]!hcahps[HCAHPS Linear Mean Value]), "No Match")</f>
        <v>83</v>
      </c>
      <c r="F4602" cm="1">
        <f t="array" ref="F4602">_xlfn.IFNA(_xlfn.XLOOKUP(1,([1]!readmissions[Facility ID] = clean[[#This Row],[Facility ID]]) * ([1]!readmissions[Measure ID] = "Hybrid_HWR"), [1]!readmissions[Score]), "No Match")</f>
        <v>15.6</v>
      </c>
    </row>
    <row r="4603" spans="1:6" x14ac:dyDescent="0.2">
      <c r="A4603">
        <f>[1]!hospitalinfo[[#This Row],[Facility ID]]</f>
        <v>450647</v>
      </c>
      <c r="B4603" t="str">
        <f>[1]!hospitalinfo[[#This Row],[State]]</f>
        <v>TX</v>
      </c>
      <c r="C4603" t="str">
        <f>[1]!hospitalinfo[[#This Row],[Hospital Type]]</f>
        <v>Acute Care Hospitals</v>
      </c>
      <c r="D4603" t="str">
        <f>[1]!hospitalinfo[[#This Row],[Hospital Ownership]]</f>
        <v>Proprietary</v>
      </c>
      <c r="E4603" cm="1">
        <f t="array" ref="E4603">_xlfn.IFNA(_xlfn.XLOOKUP(1,([1]!hcahps[Facility ID] = clean[[#This Row],[Facility ID]]) * ([1]!hcahps[HCAHPS Measure ID] = "H_HSP_RATING_LINEAR_SCORE"), [1]!hcahps[HCAHPS Linear Mean Value]), "No Match")</f>
        <v>86</v>
      </c>
      <c r="F4603" cm="1">
        <f t="array" ref="F4603">_xlfn.IFNA(_xlfn.XLOOKUP(1,([1]!readmissions[Facility ID] = clean[[#This Row],[Facility ID]]) * ([1]!readmissions[Measure ID] = "Hybrid_HWR"), [1]!readmissions[Score]), "No Match")</f>
        <v>15.5</v>
      </c>
    </row>
    <row r="4604" spans="1:6" x14ac:dyDescent="0.2">
      <c r="A4604">
        <f>[1]!hospitalinfo[[#This Row],[Facility ID]]</f>
        <v>450651</v>
      </c>
      <c r="B4604" t="str">
        <f>[1]!hospitalinfo[[#This Row],[State]]</f>
        <v>TX</v>
      </c>
      <c r="C4604" t="str">
        <f>[1]!hospitalinfo[[#This Row],[Hospital Type]]</f>
        <v>Acute Care Hospitals</v>
      </c>
      <c r="D4604" t="str">
        <f>[1]!hospitalinfo[[#This Row],[Hospital Ownership]]</f>
        <v>Proprietary</v>
      </c>
      <c r="E4604" cm="1">
        <f t="array" ref="E4604">_xlfn.IFNA(_xlfn.XLOOKUP(1,([1]!hcahps[Facility ID] = clean[[#This Row],[Facility ID]]) * ([1]!hcahps[HCAHPS Measure ID] = "H_HSP_RATING_LINEAR_SCORE"), [1]!hcahps[HCAHPS Linear Mean Value]), "No Match")</f>
        <v>85</v>
      </c>
      <c r="F4604" cm="1">
        <f t="array" ref="F4604">_xlfn.IFNA(_xlfn.XLOOKUP(1,([1]!readmissions[Facility ID] = clean[[#This Row],[Facility ID]]) * ([1]!readmissions[Measure ID] = "Hybrid_HWR"), [1]!readmissions[Score]), "No Match")</f>
        <v>16.5</v>
      </c>
    </row>
    <row r="4605" spans="1:6" x14ac:dyDescent="0.2">
      <c r="A4605">
        <f>[1]!hospitalinfo[[#This Row],[Facility ID]]</f>
        <v>450653</v>
      </c>
      <c r="B4605" t="str">
        <f>[1]!hospitalinfo[[#This Row],[State]]</f>
        <v>TX</v>
      </c>
      <c r="C4605" t="str">
        <f>[1]!hospitalinfo[[#This Row],[Hospital Type]]</f>
        <v>Acute Care Hospitals</v>
      </c>
      <c r="D4605" t="str">
        <f>[1]!hospitalinfo[[#This Row],[Hospital Ownership]]</f>
        <v>Proprietary</v>
      </c>
      <c r="E4605" t="str" cm="1">
        <f t="array" ref="E4605">_xlfn.IFNA(_xlfn.XLOOKUP(1,([1]!hcahps[Facility ID] = clean[[#This Row],[Facility ID]]) * ([1]!hcahps[HCAHPS Measure ID] = "H_HSP_RATING_LINEAR_SCORE"), [1]!hcahps[HCAHPS Linear Mean Value]), "No Match")</f>
        <v>Not Available</v>
      </c>
      <c r="F4605" cm="1">
        <f t="array" ref="F4605">_xlfn.IFNA(_xlfn.XLOOKUP(1,([1]!readmissions[Facility ID] = clean[[#This Row],[Facility ID]]) * ([1]!readmissions[Measure ID] = "Hybrid_HWR"), [1]!readmissions[Score]), "No Match")</f>
        <v>15.1</v>
      </c>
    </row>
    <row r="4606" spans="1:6" x14ac:dyDescent="0.2">
      <c r="A4606">
        <f>[1]!hospitalinfo[[#This Row],[Facility ID]]</f>
        <v>450654</v>
      </c>
      <c r="B4606" t="str">
        <f>[1]!hospitalinfo[[#This Row],[State]]</f>
        <v>TX</v>
      </c>
      <c r="C4606" t="str">
        <f>[1]!hospitalinfo[[#This Row],[Hospital Type]]</f>
        <v>Acute Care Hospitals</v>
      </c>
      <c r="D4606" t="str">
        <f>[1]!hospitalinfo[[#This Row],[Hospital Ownership]]</f>
        <v>Government - Hospital District or Authority</v>
      </c>
      <c r="E4606" t="str" cm="1">
        <f t="array" ref="E4606">_xlfn.IFNA(_xlfn.XLOOKUP(1,([1]!hcahps[Facility ID] = clean[[#This Row],[Facility ID]]) * ([1]!hcahps[HCAHPS Measure ID] = "H_HSP_RATING_LINEAR_SCORE"), [1]!hcahps[HCAHPS Linear Mean Value]), "No Match")</f>
        <v>Not Available</v>
      </c>
      <c r="F4606" cm="1">
        <f t="array" ref="F4606">_xlfn.IFNA(_xlfn.XLOOKUP(1,([1]!readmissions[Facility ID] = clean[[#This Row],[Facility ID]]) * ([1]!readmissions[Measure ID] = "Hybrid_HWR"), [1]!readmissions[Score]), "No Match")</f>
        <v>15.1</v>
      </c>
    </row>
    <row r="4607" spans="1:6" x14ac:dyDescent="0.2">
      <c r="A4607">
        <f>[1]!hospitalinfo[[#This Row],[Facility ID]]</f>
        <v>450656</v>
      </c>
      <c r="B4607" t="str">
        <f>[1]!hospitalinfo[[#This Row],[State]]</f>
        <v>TX</v>
      </c>
      <c r="C4607" t="str">
        <f>[1]!hospitalinfo[[#This Row],[Hospital Type]]</f>
        <v>Acute Care Hospitals</v>
      </c>
      <c r="D4607" t="str">
        <f>[1]!hospitalinfo[[#This Row],[Hospital Ownership]]</f>
        <v>Voluntary non-profit - Other</v>
      </c>
      <c r="E4607" cm="1">
        <f t="array" ref="E4607">_xlfn.IFNA(_xlfn.XLOOKUP(1,([1]!hcahps[Facility ID] = clean[[#This Row],[Facility ID]]) * ([1]!hcahps[HCAHPS Measure ID] = "H_HSP_RATING_LINEAR_SCORE"), [1]!hcahps[HCAHPS Linear Mean Value]), "No Match")</f>
        <v>89</v>
      </c>
      <c r="F4607" cm="1">
        <f t="array" ref="F4607">_xlfn.IFNA(_xlfn.XLOOKUP(1,([1]!readmissions[Facility ID] = clean[[#This Row],[Facility ID]]) * ([1]!readmissions[Measure ID] = "Hybrid_HWR"), [1]!readmissions[Score]), "No Match")</f>
        <v>15.9</v>
      </c>
    </row>
    <row r="4608" spans="1:6" x14ac:dyDescent="0.2">
      <c r="A4608">
        <f>[1]!hospitalinfo[[#This Row],[Facility ID]]</f>
        <v>450658</v>
      </c>
      <c r="B4608" t="str">
        <f>[1]!hospitalinfo[[#This Row],[State]]</f>
        <v>TX</v>
      </c>
      <c r="C4608" t="str">
        <f>[1]!hospitalinfo[[#This Row],[Hospital Type]]</f>
        <v>Acute Care Hospitals</v>
      </c>
      <c r="D4608" t="str">
        <f>[1]!hospitalinfo[[#This Row],[Hospital Ownership]]</f>
        <v>Government - Hospital District or Authority</v>
      </c>
      <c r="E4608" t="str" cm="1">
        <f t="array" ref="E4608">_xlfn.IFNA(_xlfn.XLOOKUP(1,([1]!hcahps[Facility ID] = clean[[#This Row],[Facility ID]]) * ([1]!hcahps[HCAHPS Measure ID] = "H_HSP_RATING_LINEAR_SCORE"), [1]!hcahps[HCAHPS Linear Mean Value]), "No Match")</f>
        <v>Not Available</v>
      </c>
      <c r="F4608" cm="1">
        <f t="array" ref="F4608">_xlfn.IFNA(_xlfn.XLOOKUP(1,([1]!readmissions[Facility ID] = clean[[#This Row],[Facility ID]]) * ([1]!readmissions[Measure ID] = "Hybrid_HWR"), [1]!readmissions[Score]), "No Match")</f>
        <v>14.3</v>
      </c>
    </row>
    <row r="4609" spans="1:6" x14ac:dyDescent="0.2">
      <c r="A4609">
        <f>[1]!hospitalinfo[[#This Row],[Facility ID]]</f>
        <v>450659</v>
      </c>
      <c r="B4609" t="str">
        <f>[1]!hospitalinfo[[#This Row],[State]]</f>
        <v>TX</v>
      </c>
      <c r="C4609" t="str">
        <f>[1]!hospitalinfo[[#This Row],[Hospital Type]]</f>
        <v>Acute Care Hospitals</v>
      </c>
      <c r="D4609" t="str">
        <f>[1]!hospitalinfo[[#This Row],[Hospital Ownership]]</f>
        <v>Proprietary</v>
      </c>
      <c r="E4609" cm="1">
        <f t="array" ref="E4609">_xlfn.IFNA(_xlfn.XLOOKUP(1,([1]!hcahps[Facility ID] = clean[[#This Row],[Facility ID]]) * ([1]!hcahps[HCAHPS Measure ID] = "H_HSP_RATING_LINEAR_SCORE"), [1]!hcahps[HCAHPS Linear Mean Value]), "No Match")</f>
        <v>85</v>
      </c>
      <c r="F4609" cm="1">
        <f t="array" ref="F4609">_xlfn.IFNA(_xlfn.XLOOKUP(1,([1]!readmissions[Facility ID] = clean[[#This Row],[Facility ID]]) * ([1]!readmissions[Measure ID] = "Hybrid_HWR"), [1]!readmissions[Score]), "No Match")</f>
        <v>14.9</v>
      </c>
    </row>
    <row r="4610" spans="1:6" x14ac:dyDescent="0.2">
      <c r="A4610">
        <f>[1]!hospitalinfo[[#This Row],[Facility ID]]</f>
        <v>450661</v>
      </c>
      <c r="B4610" t="str">
        <f>[1]!hospitalinfo[[#This Row],[State]]</f>
        <v>TX</v>
      </c>
      <c r="C4610" t="str">
        <f>[1]!hospitalinfo[[#This Row],[Hospital Type]]</f>
        <v>Acute Care Hospitals</v>
      </c>
      <c r="D4610" t="str">
        <f>[1]!hospitalinfo[[#This Row],[Hospital Ownership]]</f>
        <v>Proprietary</v>
      </c>
      <c r="E4610" cm="1">
        <f t="array" ref="E4610">_xlfn.IFNA(_xlfn.XLOOKUP(1,([1]!hcahps[Facility ID] = clean[[#This Row],[Facility ID]]) * ([1]!hcahps[HCAHPS Measure ID] = "H_HSP_RATING_LINEAR_SCORE"), [1]!hcahps[HCAHPS Linear Mean Value]), "No Match")</f>
        <v>84</v>
      </c>
      <c r="F4610" cm="1">
        <f t="array" ref="F4610">_xlfn.IFNA(_xlfn.XLOOKUP(1,([1]!readmissions[Facility ID] = clean[[#This Row],[Facility ID]]) * ([1]!readmissions[Measure ID] = "Hybrid_HWR"), [1]!readmissions[Score]), "No Match")</f>
        <v>14.3</v>
      </c>
    </row>
    <row r="4611" spans="1:6" x14ac:dyDescent="0.2">
      <c r="A4611">
        <f>[1]!hospitalinfo[[#This Row],[Facility ID]]</f>
        <v>450662</v>
      </c>
      <c r="B4611" t="str">
        <f>[1]!hospitalinfo[[#This Row],[State]]</f>
        <v>TX</v>
      </c>
      <c r="C4611" t="str">
        <f>[1]!hospitalinfo[[#This Row],[Hospital Type]]</f>
        <v>Acute Care Hospitals</v>
      </c>
      <c r="D4611" t="str">
        <f>[1]!hospitalinfo[[#This Row],[Hospital Ownership]]</f>
        <v>Proprietary</v>
      </c>
      <c r="E4611" cm="1">
        <f t="array" ref="E4611">_xlfn.IFNA(_xlfn.XLOOKUP(1,([1]!hcahps[Facility ID] = clean[[#This Row],[Facility ID]]) * ([1]!hcahps[HCAHPS Measure ID] = "H_HSP_RATING_LINEAR_SCORE"), [1]!hcahps[HCAHPS Linear Mean Value]), "No Match")</f>
        <v>84</v>
      </c>
      <c r="F4611" cm="1">
        <f t="array" ref="F4611">_xlfn.IFNA(_xlfn.XLOOKUP(1,([1]!readmissions[Facility ID] = clean[[#This Row],[Facility ID]]) * ([1]!readmissions[Measure ID] = "Hybrid_HWR"), [1]!readmissions[Score]), "No Match")</f>
        <v>15</v>
      </c>
    </row>
    <row r="4612" spans="1:6" x14ac:dyDescent="0.2">
      <c r="A4612">
        <f>[1]!hospitalinfo[[#This Row],[Facility ID]]</f>
        <v>450668</v>
      </c>
      <c r="B4612" t="str">
        <f>[1]!hospitalinfo[[#This Row],[State]]</f>
        <v>TX</v>
      </c>
      <c r="C4612" t="str">
        <f>[1]!hospitalinfo[[#This Row],[Hospital Type]]</f>
        <v>Acute Care Hospitals</v>
      </c>
      <c r="D4612" t="str">
        <f>[1]!hospitalinfo[[#This Row],[Hospital Ownership]]</f>
        <v>Proprietary</v>
      </c>
      <c r="E4612" cm="1">
        <f t="array" ref="E4612">_xlfn.IFNA(_xlfn.XLOOKUP(1,([1]!hcahps[Facility ID] = clean[[#This Row],[Facility ID]]) * ([1]!hcahps[HCAHPS Measure ID] = "H_HSP_RATING_LINEAR_SCORE"), [1]!hcahps[HCAHPS Linear Mean Value]), "No Match")</f>
        <v>84</v>
      </c>
      <c r="F4612" cm="1">
        <f t="array" ref="F4612">_xlfn.IFNA(_xlfn.XLOOKUP(1,([1]!readmissions[Facility ID] = clean[[#This Row],[Facility ID]]) * ([1]!readmissions[Measure ID] = "Hybrid_HWR"), [1]!readmissions[Score]), "No Match")</f>
        <v>14.7</v>
      </c>
    </row>
    <row r="4613" spans="1:6" x14ac:dyDescent="0.2">
      <c r="A4613">
        <f>[1]!hospitalinfo[[#This Row],[Facility ID]]</f>
        <v>450669</v>
      </c>
      <c r="B4613" t="str">
        <f>[1]!hospitalinfo[[#This Row],[State]]</f>
        <v>TX</v>
      </c>
      <c r="C4613" t="str">
        <f>[1]!hospitalinfo[[#This Row],[Hospital Type]]</f>
        <v>Acute Care Hospitals</v>
      </c>
      <c r="D4613" t="str">
        <f>[1]!hospitalinfo[[#This Row],[Hospital Ownership]]</f>
        <v>Voluntary non-profit - Private</v>
      </c>
      <c r="E4613" cm="1">
        <f t="array" ref="E4613">_xlfn.IFNA(_xlfn.XLOOKUP(1,([1]!hcahps[Facility ID] = clean[[#This Row],[Facility ID]]) * ([1]!hcahps[HCAHPS Measure ID] = "H_HSP_RATING_LINEAR_SCORE"), [1]!hcahps[HCAHPS Linear Mean Value]), "No Match")</f>
        <v>88</v>
      </c>
      <c r="F4613" cm="1">
        <f t="array" ref="F4613">_xlfn.IFNA(_xlfn.XLOOKUP(1,([1]!readmissions[Facility ID] = clean[[#This Row],[Facility ID]]) * ([1]!readmissions[Measure ID] = "Hybrid_HWR"), [1]!readmissions[Score]), "No Match")</f>
        <v>15.4</v>
      </c>
    </row>
    <row r="4614" spans="1:6" x14ac:dyDescent="0.2">
      <c r="A4614">
        <f>[1]!hospitalinfo[[#This Row],[Facility ID]]</f>
        <v>450670</v>
      </c>
      <c r="B4614" t="str">
        <f>[1]!hospitalinfo[[#This Row],[State]]</f>
        <v>TX</v>
      </c>
      <c r="C4614" t="str">
        <f>[1]!hospitalinfo[[#This Row],[Hospital Type]]</f>
        <v>Acute Care Hospitals</v>
      </c>
      <c r="D4614" t="str">
        <f>[1]!hospitalinfo[[#This Row],[Hospital Ownership]]</f>
        <v>Proprietary</v>
      </c>
      <c r="E4614" cm="1">
        <f t="array" ref="E4614">_xlfn.IFNA(_xlfn.XLOOKUP(1,([1]!hcahps[Facility ID] = clean[[#This Row],[Facility ID]]) * ([1]!hcahps[HCAHPS Measure ID] = "H_HSP_RATING_LINEAR_SCORE"), [1]!hcahps[HCAHPS Linear Mean Value]), "No Match")</f>
        <v>84</v>
      </c>
      <c r="F4614" cm="1">
        <f t="array" ref="F4614">_xlfn.IFNA(_xlfn.XLOOKUP(1,([1]!readmissions[Facility ID] = clean[[#This Row],[Facility ID]]) * ([1]!readmissions[Measure ID] = "Hybrid_HWR"), [1]!readmissions[Score]), "No Match")</f>
        <v>15.6</v>
      </c>
    </row>
    <row r="4615" spans="1:6" x14ac:dyDescent="0.2">
      <c r="A4615">
        <f>[1]!hospitalinfo[[#This Row],[Facility ID]]</f>
        <v>450672</v>
      </c>
      <c r="B4615" t="str">
        <f>[1]!hospitalinfo[[#This Row],[State]]</f>
        <v>TX</v>
      </c>
      <c r="C4615" t="str">
        <f>[1]!hospitalinfo[[#This Row],[Hospital Type]]</f>
        <v>Acute Care Hospitals</v>
      </c>
      <c r="D4615" t="str">
        <f>[1]!hospitalinfo[[#This Row],[Hospital Ownership]]</f>
        <v>Proprietary</v>
      </c>
      <c r="E4615" cm="1">
        <f t="array" ref="E4615">_xlfn.IFNA(_xlfn.XLOOKUP(1,([1]!hcahps[Facility ID] = clean[[#This Row],[Facility ID]]) * ([1]!hcahps[HCAHPS Measure ID] = "H_HSP_RATING_LINEAR_SCORE"), [1]!hcahps[HCAHPS Linear Mean Value]), "No Match")</f>
        <v>84</v>
      </c>
      <c r="F4615" cm="1">
        <f t="array" ref="F4615">_xlfn.IFNA(_xlfn.XLOOKUP(1,([1]!readmissions[Facility ID] = clean[[#This Row],[Facility ID]]) * ([1]!readmissions[Measure ID] = "Hybrid_HWR"), [1]!readmissions[Score]), "No Match")</f>
        <v>16.899999999999999</v>
      </c>
    </row>
    <row r="4616" spans="1:6" x14ac:dyDescent="0.2">
      <c r="A4616">
        <f>[1]!hospitalinfo[[#This Row],[Facility ID]]</f>
        <v>450674</v>
      </c>
      <c r="B4616" t="str">
        <f>[1]!hospitalinfo[[#This Row],[State]]</f>
        <v>TX</v>
      </c>
      <c r="C4616" t="str">
        <f>[1]!hospitalinfo[[#This Row],[Hospital Type]]</f>
        <v>Acute Care Hospitals</v>
      </c>
      <c r="D4616" t="str">
        <f>[1]!hospitalinfo[[#This Row],[Hospital Ownership]]</f>
        <v>Proprietary</v>
      </c>
      <c r="E4616" cm="1">
        <f t="array" ref="E4616">_xlfn.IFNA(_xlfn.XLOOKUP(1,([1]!hcahps[Facility ID] = clean[[#This Row],[Facility ID]]) * ([1]!hcahps[HCAHPS Measure ID] = "H_HSP_RATING_LINEAR_SCORE"), [1]!hcahps[HCAHPS Linear Mean Value]), "No Match")</f>
        <v>87</v>
      </c>
      <c r="F4616" cm="1">
        <f t="array" ref="F4616">_xlfn.IFNA(_xlfn.XLOOKUP(1,([1]!readmissions[Facility ID] = clean[[#This Row],[Facility ID]]) * ([1]!readmissions[Measure ID] = "Hybrid_HWR"), [1]!readmissions[Score]), "No Match")</f>
        <v>14.7</v>
      </c>
    </row>
    <row r="4617" spans="1:6" x14ac:dyDescent="0.2">
      <c r="A4617">
        <f>[1]!hospitalinfo[[#This Row],[Facility ID]]</f>
        <v>450675</v>
      </c>
      <c r="B4617" t="str">
        <f>[1]!hospitalinfo[[#This Row],[State]]</f>
        <v>TX</v>
      </c>
      <c r="C4617" t="str">
        <f>[1]!hospitalinfo[[#This Row],[Hospital Type]]</f>
        <v>Acute Care Hospitals</v>
      </c>
      <c r="D4617" t="str">
        <f>[1]!hospitalinfo[[#This Row],[Hospital Ownership]]</f>
        <v>Proprietary</v>
      </c>
      <c r="E4617" cm="1">
        <f t="array" ref="E4617">_xlfn.IFNA(_xlfn.XLOOKUP(1,([1]!hcahps[Facility ID] = clean[[#This Row],[Facility ID]]) * ([1]!hcahps[HCAHPS Measure ID] = "H_HSP_RATING_LINEAR_SCORE"), [1]!hcahps[HCAHPS Linear Mean Value]), "No Match")</f>
        <v>83</v>
      </c>
      <c r="F4617" cm="1">
        <f t="array" ref="F4617">_xlfn.IFNA(_xlfn.XLOOKUP(1,([1]!readmissions[Facility ID] = clean[[#This Row],[Facility ID]]) * ([1]!readmissions[Measure ID] = "Hybrid_HWR"), [1]!readmissions[Score]), "No Match")</f>
        <v>16.2</v>
      </c>
    </row>
    <row r="4618" spans="1:6" x14ac:dyDescent="0.2">
      <c r="A4618">
        <f>[1]!hospitalinfo[[#This Row],[Facility ID]]</f>
        <v>450677</v>
      </c>
      <c r="B4618" t="str">
        <f>[1]!hospitalinfo[[#This Row],[State]]</f>
        <v>TX</v>
      </c>
      <c r="C4618" t="str">
        <f>[1]!hospitalinfo[[#This Row],[Hospital Type]]</f>
        <v>Acute Care Hospitals</v>
      </c>
      <c r="D4618" t="str">
        <f>[1]!hospitalinfo[[#This Row],[Hospital Ownership]]</f>
        <v>Voluntary non-profit - Church</v>
      </c>
      <c r="E4618" cm="1">
        <f t="array" ref="E4618">_xlfn.IFNA(_xlfn.XLOOKUP(1,([1]!hcahps[Facility ID] = clean[[#This Row],[Facility ID]]) * ([1]!hcahps[HCAHPS Measure ID] = "H_HSP_RATING_LINEAR_SCORE"), [1]!hcahps[HCAHPS Linear Mean Value]), "No Match")</f>
        <v>90</v>
      </c>
      <c r="F4618" cm="1">
        <f t="array" ref="F4618">_xlfn.IFNA(_xlfn.XLOOKUP(1,([1]!readmissions[Facility ID] = clean[[#This Row],[Facility ID]]) * ([1]!readmissions[Measure ID] = "Hybrid_HWR"), [1]!readmissions[Score]), "No Match")</f>
        <v>14.2</v>
      </c>
    </row>
    <row r="4619" spans="1:6" x14ac:dyDescent="0.2">
      <c r="A4619">
        <f>[1]!hospitalinfo[[#This Row],[Facility ID]]</f>
        <v>450678</v>
      </c>
      <c r="B4619" t="str">
        <f>[1]!hospitalinfo[[#This Row],[State]]</f>
        <v>TX</v>
      </c>
      <c r="C4619" t="str">
        <f>[1]!hospitalinfo[[#This Row],[Hospital Type]]</f>
        <v>Acute Care Hospitals</v>
      </c>
      <c r="D4619" t="str">
        <f>[1]!hospitalinfo[[#This Row],[Hospital Ownership]]</f>
        <v>Proprietary</v>
      </c>
      <c r="E4619" t="str" cm="1">
        <f t="array" ref="E4619">_xlfn.IFNA(_xlfn.XLOOKUP(1,([1]!hcahps[Facility ID] = clean[[#This Row],[Facility ID]]) * ([1]!hcahps[HCAHPS Measure ID] = "H_HSP_RATING_LINEAR_SCORE"), [1]!hcahps[HCAHPS Linear Mean Value]), "No Match")</f>
        <v>Not Available</v>
      </c>
      <c r="F4619" cm="1">
        <f t="array" ref="F4619">_xlfn.IFNA(_xlfn.XLOOKUP(1,([1]!readmissions[Facility ID] = clean[[#This Row],[Facility ID]]) * ([1]!readmissions[Measure ID] = "Hybrid_HWR"), [1]!readmissions[Score]), "No Match")</f>
        <v>16.399999999999999</v>
      </c>
    </row>
    <row r="4620" spans="1:6" x14ac:dyDescent="0.2">
      <c r="A4620">
        <f>[1]!hospitalinfo[[#This Row],[Facility ID]]</f>
        <v>450684</v>
      </c>
      <c r="B4620" t="str">
        <f>[1]!hospitalinfo[[#This Row],[State]]</f>
        <v>TX</v>
      </c>
      <c r="C4620" t="str">
        <f>[1]!hospitalinfo[[#This Row],[Hospital Type]]</f>
        <v>Acute Care Hospitals</v>
      </c>
      <c r="D4620" t="str">
        <f>[1]!hospitalinfo[[#This Row],[Hospital Ownership]]</f>
        <v>Voluntary non-profit - Private</v>
      </c>
      <c r="E4620" cm="1">
        <f t="array" ref="E4620">_xlfn.IFNA(_xlfn.XLOOKUP(1,([1]!hcahps[Facility ID] = clean[[#This Row],[Facility ID]]) * ([1]!hcahps[HCAHPS Measure ID] = "H_HSP_RATING_LINEAR_SCORE"), [1]!hcahps[HCAHPS Linear Mean Value]), "No Match")</f>
        <v>87</v>
      </c>
      <c r="F4620" cm="1">
        <f t="array" ref="F4620">_xlfn.IFNA(_xlfn.XLOOKUP(1,([1]!readmissions[Facility ID] = clean[[#This Row],[Facility ID]]) * ([1]!readmissions[Measure ID] = "Hybrid_HWR"), [1]!readmissions[Score]), "No Match")</f>
        <v>15</v>
      </c>
    </row>
    <row r="4621" spans="1:6" x14ac:dyDescent="0.2">
      <c r="A4621">
        <f>[1]!hospitalinfo[[#This Row],[Facility ID]]</f>
        <v>450686</v>
      </c>
      <c r="B4621" t="str">
        <f>[1]!hospitalinfo[[#This Row],[State]]</f>
        <v>TX</v>
      </c>
      <c r="C4621" t="str">
        <f>[1]!hospitalinfo[[#This Row],[Hospital Type]]</f>
        <v>Acute Care Hospitals</v>
      </c>
      <c r="D4621" t="str">
        <f>[1]!hospitalinfo[[#This Row],[Hospital Ownership]]</f>
        <v>Government - Hospital District or Authority</v>
      </c>
      <c r="E4621" cm="1">
        <f t="array" ref="E4621">_xlfn.IFNA(_xlfn.XLOOKUP(1,([1]!hcahps[Facility ID] = clean[[#This Row],[Facility ID]]) * ([1]!hcahps[HCAHPS Measure ID] = "H_HSP_RATING_LINEAR_SCORE"), [1]!hcahps[HCAHPS Linear Mean Value]), "No Match")</f>
        <v>90</v>
      </c>
      <c r="F4621" cm="1">
        <f t="array" ref="F4621">_xlfn.IFNA(_xlfn.XLOOKUP(1,([1]!readmissions[Facility ID] = clean[[#This Row],[Facility ID]]) * ([1]!readmissions[Measure ID] = "Hybrid_HWR"), [1]!readmissions[Score]), "No Match")</f>
        <v>14.6</v>
      </c>
    </row>
    <row r="4622" spans="1:6" x14ac:dyDescent="0.2">
      <c r="A4622">
        <f>[1]!hospitalinfo[[#This Row],[Facility ID]]</f>
        <v>450688</v>
      </c>
      <c r="B4622" t="str">
        <f>[1]!hospitalinfo[[#This Row],[State]]</f>
        <v>TX</v>
      </c>
      <c r="C4622" t="str">
        <f>[1]!hospitalinfo[[#This Row],[Hospital Type]]</f>
        <v>Acute Care Hospitals</v>
      </c>
      <c r="D4622" t="str">
        <f>[1]!hospitalinfo[[#This Row],[Hospital Ownership]]</f>
        <v>Proprietary</v>
      </c>
      <c r="E4622" cm="1">
        <f t="array" ref="E4622">_xlfn.IFNA(_xlfn.XLOOKUP(1,([1]!hcahps[Facility ID] = clean[[#This Row],[Facility ID]]) * ([1]!hcahps[HCAHPS Measure ID] = "H_HSP_RATING_LINEAR_SCORE"), [1]!hcahps[HCAHPS Linear Mean Value]), "No Match")</f>
        <v>86</v>
      </c>
      <c r="F4622" cm="1">
        <f t="array" ref="F4622">_xlfn.IFNA(_xlfn.XLOOKUP(1,([1]!readmissions[Facility ID] = clean[[#This Row],[Facility ID]]) * ([1]!readmissions[Measure ID] = "Hybrid_HWR"), [1]!readmissions[Score]), "No Match")</f>
        <v>14.8</v>
      </c>
    </row>
    <row r="4623" spans="1:6" x14ac:dyDescent="0.2">
      <c r="A4623">
        <f>[1]!hospitalinfo[[#This Row],[Facility ID]]</f>
        <v>450690</v>
      </c>
      <c r="B4623" t="str">
        <f>[1]!hospitalinfo[[#This Row],[State]]</f>
        <v>TX</v>
      </c>
      <c r="C4623" t="str">
        <f>[1]!hospitalinfo[[#This Row],[Hospital Type]]</f>
        <v>Acute Care Hospitals</v>
      </c>
      <c r="D4623" t="str">
        <f>[1]!hospitalinfo[[#This Row],[Hospital Ownership]]</f>
        <v>Government - State</v>
      </c>
      <c r="E4623" cm="1">
        <f t="array" ref="E4623">_xlfn.IFNA(_xlfn.XLOOKUP(1,([1]!hcahps[Facility ID] = clean[[#This Row],[Facility ID]]) * ([1]!hcahps[HCAHPS Measure ID] = "H_HSP_RATING_LINEAR_SCORE"), [1]!hcahps[HCAHPS Linear Mean Value]), "No Match")</f>
        <v>93</v>
      </c>
      <c r="F4623" cm="1">
        <f t="array" ref="F4623">_xlfn.IFNA(_xlfn.XLOOKUP(1,([1]!readmissions[Facility ID] = clean[[#This Row],[Facility ID]]) * ([1]!readmissions[Measure ID] = "Hybrid_HWR"), [1]!readmissions[Score]), "No Match")</f>
        <v>14.5</v>
      </c>
    </row>
    <row r="4624" spans="1:6" x14ac:dyDescent="0.2">
      <c r="A4624">
        <f>[1]!hospitalinfo[[#This Row],[Facility ID]]</f>
        <v>450694</v>
      </c>
      <c r="B4624" t="str">
        <f>[1]!hospitalinfo[[#This Row],[State]]</f>
        <v>TX</v>
      </c>
      <c r="C4624" t="str">
        <f>[1]!hospitalinfo[[#This Row],[Hospital Type]]</f>
        <v>Acute Care Hospitals</v>
      </c>
      <c r="D4624" t="str">
        <f>[1]!hospitalinfo[[#This Row],[Hospital Ownership]]</f>
        <v>Voluntary non-profit - Other</v>
      </c>
      <c r="E4624" cm="1">
        <f t="array" ref="E4624">_xlfn.IFNA(_xlfn.XLOOKUP(1,([1]!hcahps[Facility ID] = clean[[#This Row],[Facility ID]]) * ([1]!hcahps[HCAHPS Measure ID] = "H_HSP_RATING_LINEAR_SCORE"), [1]!hcahps[HCAHPS Linear Mean Value]), "No Match")</f>
        <v>80</v>
      </c>
      <c r="F4624" cm="1">
        <f t="array" ref="F4624">_xlfn.IFNA(_xlfn.XLOOKUP(1,([1]!readmissions[Facility ID] = clean[[#This Row],[Facility ID]]) * ([1]!readmissions[Measure ID] = "Hybrid_HWR"), [1]!readmissions[Score]), "No Match")</f>
        <v>14.7</v>
      </c>
    </row>
    <row r="4625" spans="1:6" x14ac:dyDescent="0.2">
      <c r="A4625">
        <f>[1]!hospitalinfo[[#This Row],[Facility ID]]</f>
        <v>450698</v>
      </c>
      <c r="B4625" t="str">
        <f>[1]!hospitalinfo[[#This Row],[State]]</f>
        <v>TX</v>
      </c>
      <c r="C4625" t="str">
        <f>[1]!hospitalinfo[[#This Row],[Hospital Type]]</f>
        <v>Acute Care Hospitals</v>
      </c>
      <c r="D4625" t="str">
        <f>[1]!hospitalinfo[[#This Row],[Hospital Ownership]]</f>
        <v>Government - Local</v>
      </c>
      <c r="E4625" t="str" cm="1">
        <f t="array" ref="E4625">_xlfn.IFNA(_xlfn.XLOOKUP(1,([1]!hcahps[Facility ID] = clean[[#This Row],[Facility ID]]) * ([1]!hcahps[HCAHPS Measure ID] = "H_HSP_RATING_LINEAR_SCORE"), [1]!hcahps[HCAHPS Linear Mean Value]), "No Match")</f>
        <v>Not Available</v>
      </c>
      <c r="F4625" t="str" cm="1">
        <f t="array" ref="F4625">_xlfn.IFNA(_xlfn.XLOOKUP(1,([1]!readmissions[Facility ID] = clean[[#This Row],[Facility ID]]) * ([1]!readmissions[Measure ID] = "Hybrid_HWR"), [1]!readmissions[Score]), "No Match")</f>
        <v>Not Available</v>
      </c>
    </row>
    <row r="4626" spans="1:6" x14ac:dyDescent="0.2">
      <c r="A4626">
        <f>[1]!hospitalinfo[[#This Row],[Facility ID]]</f>
        <v>450702</v>
      </c>
      <c r="B4626" t="str">
        <f>[1]!hospitalinfo[[#This Row],[State]]</f>
        <v>TX</v>
      </c>
      <c r="C4626" t="str">
        <f>[1]!hospitalinfo[[#This Row],[Hospital Type]]</f>
        <v>Acute Care Hospitals</v>
      </c>
      <c r="D4626" t="str">
        <f>[1]!hospitalinfo[[#This Row],[Hospital Ownership]]</f>
        <v>Proprietary</v>
      </c>
      <c r="E4626" cm="1">
        <f t="array" ref="E4626">_xlfn.IFNA(_xlfn.XLOOKUP(1,([1]!hcahps[Facility ID] = clean[[#This Row],[Facility ID]]) * ([1]!hcahps[HCAHPS Measure ID] = "H_HSP_RATING_LINEAR_SCORE"), [1]!hcahps[HCAHPS Linear Mean Value]), "No Match")</f>
        <v>88</v>
      </c>
      <c r="F4626" cm="1">
        <f t="array" ref="F4626">_xlfn.IFNA(_xlfn.XLOOKUP(1,([1]!readmissions[Facility ID] = clean[[#This Row],[Facility ID]]) * ([1]!readmissions[Measure ID] = "Hybrid_HWR"), [1]!readmissions[Score]), "No Match")</f>
        <v>15.9</v>
      </c>
    </row>
    <row r="4627" spans="1:6" x14ac:dyDescent="0.2">
      <c r="A4627">
        <f>[1]!hospitalinfo[[#This Row],[Facility ID]]</f>
        <v>450709</v>
      </c>
      <c r="B4627" t="str">
        <f>[1]!hospitalinfo[[#This Row],[State]]</f>
        <v>TX</v>
      </c>
      <c r="C4627" t="str">
        <f>[1]!hospitalinfo[[#This Row],[Hospital Type]]</f>
        <v>Acute Care Hospitals</v>
      </c>
      <c r="D4627" t="str">
        <f>[1]!hospitalinfo[[#This Row],[Hospital Ownership]]</f>
        <v>Voluntary non-profit - Private</v>
      </c>
      <c r="E4627" cm="1">
        <f t="array" ref="E4627">_xlfn.IFNA(_xlfn.XLOOKUP(1,([1]!hcahps[Facility ID] = clean[[#This Row],[Facility ID]]) * ([1]!hcahps[HCAHPS Measure ID] = "H_HSP_RATING_LINEAR_SCORE"), [1]!hcahps[HCAHPS Linear Mean Value]), "No Match")</f>
        <v>93</v>
      </c>
      <c r="F4627" cm="1">
        <f t="array" ref="F4627">_xlfn.IFNA(_xlfn.XLOOKUP(1,([1]!readmissions[Facility ID] = clean[[#This Row],[Facility ID]]) * ([1]!readmissions[Measure ID] = "Hybrid_HWR"), [1]!readmissions[Score]), "No Match")</f>
        <v>15.2</v>
      </c>
    </row>
    <row r="4628" spans="1:6" x14ac:dyDescent="0.2">
      <c r="A4628">
        <f>[1]!hospitalinfo[[#This Row],[Facility ID]]</f>
        <v>450711</v>
      </c>
      <c r="B4628" t="str">
        <f>[1]!hospitalinfo[[#This Row],[State]]</f>
        <v>TX</v>
      </c>
      <c r="C4628" t="str">
        <f>[1]!hospitalinfo[[#This Row],[Hospital Type]]</f>
        <v>Acute Care Hospitals</v>
      </c>
      <c r="D4628" t="str">
        <f>[1]!hospitalinfo[[#This Row],[Hospital Ownership]]</f>
        <v>Proprietary</v>
      </c>
      <c r="E4628" cm="1">
        <f t="array" ref="E4628">_xlfn.IFNA(_xlfn.XLOOKUP(1,([1]!hcahps[Facility ID] = clean[[#This Row],[Facility ID]]) * ([1]!hcahps[HCAHPS Measure ID] = "H_HSP_RATING_LINEAR_SCORE"), [1]!hcahps[HCAHPS Linear Mean Value]), "No Match")</f>
        <v>86</v>
      </c>
      <c r="F4628" cm="1">
        <f t="array" ref="F4628">_xlfn.IFNA(_xlfn.XLOOKUP(1,([1]!readmissions[Facility ID] = clean[[#This Row],[Facility ID]]) * ([1]!readmissions[Measure ID] = "Hybrid_HWR"), [1]!readmissions[Score]), "No Match")</f>
        <v>14.2</v>
      </c>
    </row>
    <row r="4629" spans="1:6" x14ac:dyDescent="0.2">
      <c r="A4629">
        <f>[1]!hospitalinfo[[#This Row],[Facility ID]]</f>
        <v>450713</v>
      </c>
      <c r="B4629" t="str">
        <f>[1]!hospitalinfo[[#This Row],[State]]</f>
        <v>TX</v>
      </c>
      <c r="C4629" t="str">
        <f>[1]!hospitalinfo[[#This Row],[Hospital Type]]</f>
        <v>Acute Care Hospitals</v>
      </c>
      <c r="D4629" t="str">
        <f>[1]!hospitalinfo[[#This Row],[Hospital Ownership]]</f>
        <v>Proprietary</v>
      </c>
      <c r="E4629" cm="1">
        <f t="array" ref="E4629">_xlfn.IFNA(_xlfn.XLOOKUP(1,([1]!hcahps[Facility ID] = clean[[#This Row],[Facility ID]]) * ([1]!hcahps[HCAHPS Measure ID] = "H_HSP_RATING_LINEAR_SCORE"), [1]!hcahps[HCAHPS Linear Mean Value]), "No Match")</f>
        <v>86</v>
      </c>
      <c r="F4629" cm="1">
        <f t="array" ref="F4629">_xlfn.IFNA(_xlfn.XLOOKUP(1,([1]!readmissions[Facility ID] = clean[[#This Row],[Facility ID]]) * ([1]!readmissions[Measure ID] = "Hybrid_HWR"), [1]!readmissions[Score]), "No Match")</f>
        <v>15.2</v>
      </c>
    </row>
    <row r="4630" spans="1:6" x14ac:dyDescent="0.2">
      <c r="A4630">
        <f>[1]!hospitalinfo[[#This Row],[Facility ID]]</f>
        <v>450718</v>
      </c>
      <c r="B4630" t="str">
        <f>[1]!hospitalinfo[[#This Row],[State]]</f>
        <v>TX</v>
      </c>
      <c r="C4630" t="str">
        <f>[1]!hospitalinfo[[#This Row],[Hospital Type]]</f>
        <v>Acute Care Hospitals</v>
      </c>
      <c r="D4630" t="str">
        <f>[1]!hospitalinfo[[#This Row],[Hospital Ownership]]</f>
        <v>Proprietary</v>
      </c>
      <c r="E4630" cm="1">
        <f t="array" ref="E4630">_xlfn.IFNA(_xlfn.XLOOKUP(1,([1]!hcahps[Facility ID] = clean[[#This Row],[Facility ID]]) * ([1]!hcahps[HCAHPS Measure ID] = "H_HSP_RATING_LINEAR_SCORE"), [1]!hcahps[HCAHPS Linear Mean Value]), "No Match")</f>
        <v>86</v>
      </c>
      <c r="F4630" cm="1">
        <f t="array" ref="F4630">_xlfn.IFNA(_xlfn.XLOOKUP(1,([1]!readmissions[Facility ID] = clean[[#This Row],[Facility ID]]) * ([1]!readmissions[Measure ID] = "Hybrid_HWR"), [1]!readmissions[Score]), "No Match")</f>
        <v>15</v>
      </c>
    </row>
    <row r="4631" spans="1:6" x14ac:dyDescent="0.2">
      <c r="A4631">
        <f>[1]!hospitalinfo[[#This Row],[Facility ID]]</f>
        <v>450723</v>
      </c>
      <c r="B4631" t="str">
        <f>[1]!hospitalinfo[[#This Row],[State]]</f>
        <v>TX</v>
      </c>
      <c r="C4631" t="str">
        <f>[1]!hospitalinfo[[#This Row],[Hospital Type]]</f>
        <v>Acute Care Hospitals</v>
      </c>
      <c r="D4631" t="str">
        <f>[1]!hospitalinfo[[#This Row],[Hospital Ownership]]</f>
        <v>Voluntary non-profit - Private</v>
      </c>
      <c r="E4631" cm="1">
        <f t="array" ref="E4631">_xlfn.IFNA(_xlfn.XLOOKUP(1,([1]!hcahps[Facility ID] = clean[[#This Row],[Facility ID]]) * ([1]!hcahps[HCAHPS Measure ID] = "H_HSP_RATING_LINEAR_SCORE"), [1]!hcahps[HCAHPS Linear Mean Value]), "No Match")</f>
        <v>87</v>
      </c>
      <c r="F4631" cm="1">
        <f t="array" ref="F4631">_xlfn.IFNA(_xlfn.XLOOKUP(1,([1]!readmissions[Facility ID] = clean[[#This Row],[Facility ID]]) * ([1]!readmissions[Measure ID] = "Hybrid_HWR"), [1]!readmissions[Score]), "No Match")</f>
        <v>15.5</v>
      </c>
    </row>
    <row r="4632" spans="1:6" x14ac:dyDescent="0.2">
      <c r="A4632">
        <f>[1]!hospitalinfo[[#This Row],[Facility ID]]</f>
        <v>450730</v>
      </c>
      <c r="B4632" t="str">
        <f>[1]!hospitalinfo[[#This Row],[State]]</f>
        <v>TX</v>
      </c>
      <c r="C4632" t="str">
        <f>[1]!hospitalinfo[[#This Row],[Hospital Type]]</f>
        <v>Acute Care Hospitals</v>
      </c>
      <c r="D4632" t="str">
        <f>[1]!hospitalinfo[[#This Row],[Hospital Ownership]]</f>
        <v>Proprietary</v>
      </c>
      <c r="E4632" cm="1">
        <f t="array" ref="E4632">_xlfn.IFNA(_xlfn.XLOOKUP(1,([1]!hcahps[Facility ID] = clean[[#This Row],[Facility ID]]) * ([1]!hcahps[HCAHPS Measure ID] = "H_HSP_RATING_LINEAR_SCORE"), [1]!hcahps[HCAHPS Linear Mean Value]), "No Match")</f>
        <v>84</v>
      </c>
      <c r="F4632" cm="1">
        <f t="array" ref="F4632">_xlfn.IFNA(_xlfn.XLOOKUP(1,([1]!readmissions[Facility ID] = clean[[#This Row],[Facility ID]]) * ([1]!readmissions[Measure ID] = "Hybrid_HWR"), [1]!readmissions[Score]), "No Match")</f>
        <v>16.5</v>
      </c>
    </row>
    <row r="4633" spans="1:6" x14ac:dyDescent="0.2">
      <c r="A4633">
        <f>[1]!hospitalinfo[[#This Row],[Facility ID]]</f>
        <v>450742</v>
      </c>
      <c r="B4633" t="str">
        <f>[1]!hospitalinfo[[#This Row],[State]]</f>
        <v>TX</v>
      </c>
      <c r="C4633" t="str">
        <f>[1]!hospitalinfo[[#This Row],[Hospital Type]]</f>
        <v>Acute Care Hospitals</v>
      </c>
      <c r="D4633" t="str">
        <f>[1]!hospitalinfo[[#This Row],[Hospital Ownership]]</f>
        <v>Voluntary non-profit - Private</v>
      </c>
      <c r="E4633" cm="1">
        <f t="array" ref="E4633">_xlfn.IFNA(_xlfn.XLOOKUP(1,([1]!hcahps[Facility ID] = clean[[#This Row],[Facility ID]]) * ([1]!hcahps[HCAHPS Measure ID] = "H_HSP_RATING_LINEAR_SCORE"), [1]!hcahps[HCAHPS Linear Mean Value]), "No Match")</f>
        <v>88</v>
      </c>
      <c r="F4633" cm="1">
        <f t="array" ref="F4633">_xlfn.IFNA(_xlfn.XLOOKUP(1,([1]!readmissions[Facility ID] = clean[[#This Row],[Facility ID]]) * ([1]!readmissions[Measure ID] = "Hybrid_HWR"), [1]!readmissions[Score]), "No Match")</f>
        <v>15.6</v>
      </c>
    </row>
    <row r="4634" spans="1:6" x14ac:dyDescent="0.2">
      <c r="A4634">
        <f>[1]!hospitalinfo[[#This Row],[Facility ID]]</f>
        <v>450743</v>
      </c>
      <c r="B4634" t="str">
        <f>[1]!hospitalinfo[[#This Row],[State]]</f>
        <v>TX</v>
      </c>
      <c r="C4634" t="str">
        <f>[1]!hospitalinfo[[#This Row],[Hospital Type]]</f>
        <v>Acute Care Hospitals</v>
      </c>
      <c r="D4634" t="str">
        <f>[1]!hospitalinfo[[#This Row],[Hospital Ownership]]</f>
        <v>Voluntary non-profit - Private</v>
      </c>
      <c r="E4634" cm="1">
        <f t="array" ref="E4634">_xlfn.IFNA(_xlfn.XLOOKUP(1,([1]!hcahps[Facility ID] = clean[[#This Row],[Facility ID]]) * ([1]!hcahps[HCAHPS Measure ID] = "H_HSP_RATING_LINEAR_SCORE"), [1]!hcahps[HCAHPS Linear Mean Value]), "No Match")</f>
        <v>90</v>
      </c>
      <c r="F4634" cm="1">
        <f t="array" ref="F4634">_xlfn.IFNA(_xlfn.XLOOKUP(1,([1]!readmissions[Facility ID] = clean[[#This Row],[Facility ID]]) * ([1]!readmissions[Measure ID] = "Hybrid_HWR"), [1]!readmissions[Score]), "No Match")</f>
        <v>14.5</v>
      </c>
    </row>
    <row r="4635" spans="1:6" x14ac:dyDescent="0.2">
      <c r="A4635">
        <f>[1]!hospitalinfo[[#This Row],[Facility ID]]</f>
        <v>450747</v>
      </c>
      <c r="B4635" t="str">
        <f>[1]!hospitalinfo[[#This Row],[State]]</f>
        <v>TX</v>
      </c>
      <c r="C4635" t="str">
        <f>[1]!hospitalinfo[[#This Row],[Hospital Type]]</f>
        <v>Acute Care Hospitals</v>
      </c>
      <c r="D4635" t="str">
        <f>[1]!hospitalinfo[[#This Row],[Hospital Ownership]]</f>
        <v>Proprietary</v>
      </c>
      <c r="E4635" cm="1">
        <f t="array" ref="E4635">_xlfn.IFNA(_xlfn.XLOOKUP(1,([1]!hcahps[Facility ID] = clean[[#This Row],[Facility ID]]) * ([1]!hcahps[HCAHPS Measure ID] = "H_HSP_RATING_LINEAR_SCORE"), [1]!hcahps[HCAHPS Linear Mean Value]), "No Match")</f>
        <v>87</v>
      </c>
      <c r="F4635" cm="1">
        <f t="array" ref="F4635">_xlfn.IFNA(_xlfn.XLOOKUP(1,([1]!readmissions[Facility ID] = clean[[#This Row],[Facility ID]]) * ([1]!readmissions[Measure ID] = "Hybrid_HWR"), [1]!readmissions[Score]), "No Match")</f>
        <v>15.5</v>
      </c>
    </row>
    <row r="4636" spans="1:6" x14ac:dyDescent="0.2">
      <c r="A4636">
        <f>[1]!hospitalinfo[[#This Row],[Facility ID]]</f>
        <v>450755</v>
      </c>
      <c r="B4636" t="str">
        <f>[1]!hospitalinfo[[#This Row],[State]]</f>
        <v>TX</v>
      </c>
      <c r="C4636" t="str">
        <f>[1]!hospitalinfo[[#This Row],[Hospital Type]]</f>
        <v>Acute Care Hospitals</v>
      </c>
      <c r="D4636" t="str">
        <f>[1]!hospitalinfo[[#This Row],[Hospital Ownership]]</f>
        <v>Voluntary non-profit - Private</v>
      </c>
      <c r="E4636" t="str" cm="1">
        <f t="array" ref="E4636">_xlfn.IFNA(_xlfn.XLOOKUP(1,([1]!hcahps[Facility ID] = clean[[#This Row],[Facility ID]]) * ([1]!hcahps[HCAHPS Measure ID] = "H_HSP_RATING_LINEAR_SCORE"), [1]!hcahps[HCAHPS Linear Mean Value]), "No Match")</f>
        <v>Not Available</v>
      </c>
      <c r="F4636" cm="1">
        <f t="array" ref="F4636">_xlfn.IFNA(_xlfn.XLOOKUP(1,([1]!readmissions[Facility ID] = clean[[#This Row],[Facility ID]]) * ([1]!readmissions[Measure ID] = "Hybrid_HWR"), [1]!readmissions[Score]), "No Match")</f>
        <v>14.6</v>
      </c>
    </row>
    <row r="4637" spans="1:6" x14ac:dyDescent="0.2">
      <c r="A4637">
        <f>[1]!hospitalinfo[[#This Row],[Facility ID]]</f>
        <v>450771</v>
      </c>
      <c r="B4637" t="str">
        <f>[1]!hospitalinfo[[#This Row],[State]]</f>
        <v>TX</v>
      </c>
      <c r="C4637" t="str">
        <f>[1]!hospitalinfo[[#This Row],[Hospital Type]]</f>
        <v>Acute Care Hospitals</v>
      </c>
      <c r="D4637" t="str">
        <f>[1]!hospitalinfo[[#This Row],[Hospital Ownership]]</f>
        <v>Voluntary non-profit - Private</v>
      </c>
      <c r="E4637" cm="1">
        <f t="array" ref="E4637">_xlfn.IFNA(_xlfn.XLOOKUP(1,([1]!hcahps[Facility ID] = clean[[#This Row],[Facility ID]]) * ([1]!hcahps[HCAHPS Measure ID] = "H_HSP_RATING_LINEAR_SCORE"), [1]!hcahps[HCAHPS Linear Mean Value]), "No Match")</f>
        <v>88</v>
      </c>
      <c r="F4637" cm="1">
        <f t="array" ref="F4637">_xlfn.IFNA(_xlfn.XLOOKUP(1,([1]!readmissions[Facility ID] = clean[[#This Row],[Facility ID]]) * ([1]!readmissions[Measure ID] = "Hybrid_HWR"), [1]!readmissions[Score]), "No Match")</f>
        <v>14.9</v>
      </c>
    </row>
    <row r="4638" spans="1:6" x14ac:dyDescent="0.2">
      <c r="A4638">
        <f>[1]!hospitalinfo[[#This Row],[Facility ID]]</f>
        <v>450774</v>
      </c>
      <c r="B4638" t="str">
        <f>[1]!hospitalinfo[[#This Row],[State]]</f>
        <v>TX</v>
      </c>
      <c r="C4638" t="str">
        <f>[1]!hospitalinfo[[#This Row],[Hospital Type]]</f>
        <v>Acute Care Hospitals</v>
      </c>
      <c r="D4638" t="str">
        <f>[1]!hospitalinfo[[#This Row],[Hospital Ownership]]</f>
        <v>Physician</v>
      </c>
      <c r="E4638" cm="1">
        <f t="array" ref="E4638">_xlfn.IFNA(_xlfn.XLOOKUP(1,([1]!hcahps[Facility ID] = clean[[#This Row],[Facility ID]]) * ([1]!hcahps[HCAHPS Measure ID] = "H_HSP_RATING_LINEAR_SCORE"), [1]!hcahps[HCAHPS Linear Mean Value]), "No Match")</f>
        <v>91</v>
      </c>
      <c r="F4638" cm="1">
        <f t="array" ref="F4638">_xlfn.IFNA(_xlfn.XLOOKUP(1,([1]!readmissions[Facility ID] = clean[[#This Row],[Facility ID]]) * ([1]!readmissions[Measure ID] = "Hybrid_HWR"), [1]!readmissions[Score]), "No Match")</f>
        <v>14.4</v>
      </c>
    </row>
    <row r="4639" spans="1:6" x14ac:dyDescent="0.2">
      <c r="A4639">
        <f>[1]!hospitalinfo[[#This Row],[Facility ID]]</f>
        <v>450775</v>
      </c>
      <c r="B4639" t="str">
        <f>[1]!hospitalinfo[[#This Row],[State]]</f>
        <v>TX</v>
      </c>
      <c r="C4639" t="str">
        <f>[1]!hospitalinfo[[#This Row],[Hospital Type]]</f>
        <v>Acute Care Hospitals</v>
      </c>
      <c r="D4639" t="str">
        <f>[1]!hospitalinfo[[#This Row],[Hospital Ownership]]</f>
        <v>Proprietary</v>
      </c>
      <c r="E4639" cm="1">
        <f t="array" ref="E4639">_xlfn.IFNA(_xlfn.XLOOKUP(1,([1]!hcahps[Facility ID] = clean[[#This Row],[Facility ID]]) * ([1]!hcahps[HCAHPS Measure ID] = "H_HSP_RATING_LINEAR_SCORE"), [1]!hcahps[HCAHPS Linear Mean Value]), "No Match")</f>
        <v>79</v>
      </c>
      <c r="F4639" cm="1">
        <f t="array" ref="F4639">_xlfn.IFNA(_xlfn.XLOOKUP(1,([1]!readmissions[Facility ID] = clean[[#This Row],[Facility ID]]) * ([1]!readmissions[Measure ID] = "Hybrid_HWR"), [1]!readmissions[Score]), "No Match")</f>
        <v>15.8</v>
      </c>
    </row>
    <row r="4640" spans="1:6" x14ac:dyDescent="0.2">
      <c r="A4640">
        <f>[1]!hospitalinfo[[#This Row],[Facility ID]]</f>
        <v>450779</v>
      </c>
      <c r="B4640" t="str">
        <f>[1]!hospitalinfo[[#This Row],[State]]</f>
        <v>TX</v>
      </c>
      <c r="C4640" t="str">
        <f>[1]!hospitalinfo[[#This Row],[Hospital Type]]</f>
        <v>Acute Care Hospitals</v>
      </c>
      <c r="D4640" t="str">
        <f>[1]!hospitalinfo[[#This Row],[Hospital Ownership]]</f>
        <v>Voluntary non-profit - Private</v>
      </c>
      <c r="E4640" cm="1">
        <f t="array" ref="E4640">_xlfn.IFNA(_xlfn.XLOOKUP(1,([1]!hcahps[Facility ID] = clean[[#This Row],[Facility ID]]) * ([1]!hcahps[HCAHPS Measure ID] = "H_HSP_RATING_LINEAR_SCORE"), [1]!hcahps[HCAHPS Linear Mean Value]), "No Match")</f>
        <v>91</v>
      </c>
      <c r="F4640" cm="1">
        <f t="array" ref="F4640">_xlfn.IFNA(_xlfn.XLOOKUP(1,([1]!readmissions[Facility ID] = clean[[#This Row],[Facility ID]]) * ([1]!readmissions[Measure ID] = "Hybrid_HWR"), [1]!readmissions[Score]), "No Match")</f>
        <v>13.8</v>
      </c>
    </row>
    <row r="4641" spans="1:6" x14ac:dyDescent="0.2">
      <c r="A4641">
        <f>[1]!hospitalinfo[[#This Row],[Facility ID]]</f>
        <v>450788</v>
      </c>
      <c r="B4641" t="str">
        <f>[1]!hospitalinfo[[#This Row],[State]]</f>
        <v>TX</v>
      </c>
      <c r="C4641" t="str">
        <f>[1]!hospitalinfo[[#This Row],[Hospital Type]]</f>
        <v>Acute Care Hospitals</v>
      </c>
      <c r="D4641" t="str">
        <f>[1]!hospitalinfo[[#This Row],[Hospital Ownership]]</f>
        <v>Voluntary non-profit - Other</v>
      </c>
      <c r="E4641" cm="1">
        <f t="array" ref="E4641">_xlfn.IFNA(_xlfn.XLOOKUP(1,([1]!hcahps[Facility ID] = clean[[#This Row],[Facility ID]]) * ([1]!hcahps[HCAHPS Measure ID] = "H_HSP_RATING_LINEAR_SCORE"), [1]!hcahps[HCAHPS Linear Mean Value]), "No Match")</f>
        <v>85</v>
      </c>
      <c r="F4641" cm="1">
        <f t="array" ref="F4641">_xlfn.IFNA(_xlfn.XLOOKUP(1,([1]!readmissions[Facility ID] = clean[[#This Row],[Facility ID]]) * ([1]!readmissions[Measure ID] = "Hybrid_HWR"), [1]!readmissions[Score]), "No Match")</f>
        <v>14.5</v>
      </c>
    </row>
    <row r="4642" spans="1:6" x14ac:dyDescent="0.2">
      <c r="A4642">
        <f>[1]!hospitalinfo[[#This Row],[Facility ID]]</f>
        <v>450801</v>
      </c>
      <c r="B4642" t="str">
        <f>[1]!hospitalinfo[[#This Row],[State]]</f>
        <v>TX</v>
      </c>
      <c r="C4642" t="str">
        <f>[1]!hospitalinfo[[#This Row],[Hospital Type]]</f>
        <v>Acute Care Hospitals</v>
      </c>
      <c r="D4642" t="str">
        <f>[1]!hospitalinfo[[#This Row],[Hospital Ownership]]</f>
        <v>Voluntary non-profit - Church</v>
      </c>
      <c r="E4642" cm="1">
        <f t="array" ref="E4642">_xlfn.IFNA(_xlfn.XLOOKUP(1,([1]!hcahps[Facility ID] = clean[[#This Row],[Facility ID]]) * ([1]!hcahps[HCAHPS Measure ID] = "H_HSP_RATING_LINEAR_SCORE"), [1]!hcahps[HCAHPS Linear Mean Value]), "No Match")</f>
        <v>87</v>
      </c>
      <c r="F4642" cm="1">
        <f t="array" ref="F4642">_xlfn.IFNA(_xlfn.XLOOKUP(1,([1]!readmissions[Facility ID] = clean[[#This Row],[Facility ID]]) * ([1]!readmissions[Measure ID] = "Hybrid_HWR"), [1]!readmissions[Score]), "No Match")</f>
        <v>14.8</v>
      </c>
    </row>
    <row r="4643" spans="1:6" x14ac:dyDescent="0.2">
      <c r="A4643">
        <f>[1]!hospitalinfo[[#This Row],[Facility ID]]</f>
        <v>450804</v>
      </c>
      <c r="B4643" t="str">
        <f>[1]!hospitalinfo[[#This Row],[State]]</f>
        <v>TX</v>
      </c>
      <c r="C4643" t="str">
        <f>[1]!hospitalinfo[[#This Row],[Hospital Type]]</f>
        <v>Acute Care Hospitals</v>
      </c>
      <c r="D4643" t="str">
        <f>[1]!hospitalinfo[[#This Row],[Hospital Ownership]]</f>
        <v>Voluntary non-profit - Other</v>
      </c>
      <c r="E4643" cm="1">
        <f t="array" ref="E4643">_xlfn.IFNA(_xlfn.XLOOKUP(1,([1]!hcahps[Facility ID] = clean[[#This Row],[Facility ID]]) * ([1]!hcahps[HCAHPS Measure ID] = "H_HSP_RATING_LINEAR_SCORE"), [1]!hcahps[HCAHPS Linear Mean Value]), "No Match")</f>
        <v>92</v>
      </c>
      <c r="F4643" cm="1">
        <f t="array" ref="F4643">_xlfn.IFNA(_xlfn.XLOOKUP(1,([1]!readmissions[Facility ID] = clean[[#This Row],[Facility ID]]) * ([1]!readmissions[Measure ID] = "Hybrid_HWR"), [1]!readmissions[Score]), "No Match")</f>
        <v>14.1</v>
      </c>
    </row>
    <row r="4644" spans="1:6" x14ac:dyDescent="0.2">
      <c r="A4644">
        <f>[1]!hospitalinfo[[#This Row],[Facility ID]]</f>
        <v>450808</v>
      </c>
      <c r="B4644" t="str">
        <f>[1]!hospitalinfo[[#This Row],[State]]</f>
        <v>TX</v>
      </c>
      <c r="C4644" t="str">
        <f>[1]!hospitalinfo[[#This Row],[Hospital Type]]</f>
        <v>Acute Care Hospitals</v>
      </c>
      <c r="D4644" t="str">
        <f>[1]!hospitalinfo[[#This Row],[Hospital Ownership]]</f>
        <v>Voluntary non-profit - Private</v>
      </c>
      <c r="E4644" t="str" cm="1">
        <f t="array" ref="E4644">_xlfn.IFNA(_xlfn.XLOOKUP(1,([1]!hcahps[Facility ID] = clean[[#This Row],[Facility ID]]) * ([1]!hcahps[HCAHPS Measure ID] = "H_HSP_RATING_LINEAR_SCORE"), [1]!hcahps[HCAHPS Linear Mean Value]), "No Match")</f>
        <v>Not Available</v>
      </c>
      <c r="F4644" cm="1">
        <f t="array" ref="F4644">_xlfn.IFNA(_xlfn.XLOOKUP(1,([1]!readmissions[Facility ID] = clean[[#This Row],[Facility ID]]) * ([1]!readmissions[Measure ID] = "Hybrid_HWR"), [1]!readmissions[Score]), "No Match")</f>
        <v>14.4</v>
      </c>
    </row>
    <row r="4645" spans="1:6" x14ac:dyDescent="0.2">
      <c r="A4645">
        <f>[1]!hospitalinfo[[#This Row],[Facility ID]]</f>
        <v>450809</v>
      </c>
      <c r="B4645" t="str">
        <f>[1]!hospitalinfo[[#This Row],[State]]</f>
        <v>TX</v>
      </c>
      <c r="C4645" t="str">
        <f>[1]!hospitalinfo[[#This Row],[Hospital Type]]</f>
        <v>Acute Care Hospitals</v>
      </c>
      <c r="D4645" t="str">
        <f>[1]!hospitalinfo[[#This Row],[Hospital Ownership]]</f>
        <v>Proprietary</v>
      </c>
      <c r="E4645" cm="1">
        <f t="array" ref="E4645">_xlfn.IFNA(_xlfn.XLOOKUP(1,([1]!hcahps[Facility ID] = clean[[#This Row],[Facility ID]]) * ([1]!hcahps[HCAHPS Measure ID] = "H_HSP_RATING_LINEAR_SCORE"), [1]!hcahps[HCAHPS Linear Mean Value]), "No Match")</f>
        <v>86</v>
      </c>
      <c r="F4645" cm="1">
        <f t="array" ref="F4645">_xlfn.IFNA(_xlfn.XLOOKUP(1,([1]!readmissions[Facility ID] = clean[[#This Row],[Facility ID]]) * ([1]!readmissions[Measure ID] = "Hybrid_HWR"), [1]!readmissions[Score]), "No Match")</f>
        <v>14.4</v>
      </c>
    </row>
    <row r="4646" spans="1:6" x14ac:dyDescent="0.2">
      <c r="A4646">
        <f>[1]!hospitalinfo[[#This Row],[Facility ID]]</f>
        <v>450820</v>
      </c>
      <c r="B4646" t="str">
        <f>[1]!hospitalinfo[[#This Row],[State]]</f>
        <v>TX</v>
      </c>
      <c r="C4646" t="str">
        <f>[1]!hospitalinfo[[#This Row],[Hospital Type]]</f>
        <v>Acute Care Hospitals</v>
      </c>
      <c r="D4646" t="str">
        <f>[1]!hospitalinfo[[#This Row],[Hospital Ownership]]</f>
        <v>Voluntary non-profit - Private</v>
      </c>
      <c r="E4646" cm="1">
        <f t="array" ref="E4646">_xlfn.IFNA(_xlfn.XLOOKUP(1,([1]!hcahps[Facility ID] = clean[[#This Row],[Facility ID]]) * ([1]!hcahps[HCAHPS Measure ID] = "H_HSP_RATING_LINEAR_SCORE"), [1]!hcahps[HCAHPS Linear Mean Value]), "No Match")</f>
        <v>91</v>
      </c>
      <c r="F4646" cm="1">
        <f t="array" ref="F4646">_xlfn.IFNA(_xlfn.XLOOKUP(1,([1]!readmissions[Facility ID] = clean[[#This Row],[Facility ID]]) * ([1]!readmissions[Measure ID] = "Hybrid_HWR"), [1]!readmissions[Score]), "No Match")</f>
        <v>14.6</v>
      </c>
    </row>
    <row r="4647" spans="1:6" x14ac:dyDescent="0.2">
      <c r="A4647">
        <f>[1]!hospitalinfo[[#This Row],[Facility ID]]</f>
        <v>450822</v>
      </c>
      <c r="B4647" t="str">
        <f>[1]!hospitalinfo[[#This Row],[State]]</f>
        <v>TX</v>
      </c>
      <c r="C4647" t="str">
        <f>[1]!hospitalinfo[[#This Row],[Hospital Type]]</f>
        <v>Acute Care Hospitals</v>
      </c>
      <c r="D4647" t="str">
        <f>[1]!hospitalinfo[[#This Row],[Hospital Ownership]]</f>
        <v>Proprietary</v>
      </c>
      <c r="E4647" cm="1">
        <f t="array" ref="E4647">_xlfn.IFNA(_xlfn.XLOOKUP(1,([1]!hcahps[Facility ID] = clean[[#This Row],[Facility ID]]) * ([1]!hcahps[HCAHPS Measure ID] = "H_HSP_RATING_LINEAR_SCORE"), [1]!hcahps[HCAHPS Linear Mean Value]), "No Match")</f>
        <v>86</v>
      </c>
      <c r="F4647" cm="1">
        <f t="array" ref="F4647">_xlfn.IFNA(_xlfn.XLOOKUP(1,([1]!readmissions[Facility ID] = clean[[#This Row],[Facility ID]]) * ([1]!readmissions[Measure ID] = "Hybrid_HWR"), [1]!readmissions[Score]), "No Match")</f>
        <v>14.7</v>
      </c>
    </row>
    <row r="4648" spans="1:6" x14ac:dyDescent="0.2">
      <c r="A4648">
        <f>[1]!hospitalinfo[[#This Row],[Facility ID]]</f>
        <v>450825</v>
      </c>
      <c r="B4648" t="str">
        <f>[1]!hospitalinfo[[#This Row],[State]]</f>
        <v>TX</v>
      </c>
      <c r="C4648" t="str">
        <f>[1]!hospitalinfo[[#This Row],[Hospital Type]]</f>
        <v>Acute Care Hospitals</v>
      </c>
      <c r="D4648" t="str">
        <f>[1]!hospitalinfo[[#This Row],[Hospital Ownership]]</f>
        <v>Proprietary</v>
      </c>
      <c r="E4648" t="str" cm="1">
        <f t="array" ref="E4648">_xlfn.IFNA(_xlfn.XLOOKUP(1,([1]!hcahps[Facility ID] = clean[[#This Row],[Facility ID]]) * ([1]!hcahps[HCAHPS Measure ID] = "H_HSP_RATING_LINEAR_SCORE"), [1]!hcahps[HCAHPS Linear Mean Value]), "No Match")</f>
        <v>Not Available</v>
      </c>
      <c r="F4648" t="str" cm="1">
        <f t="array" ref="F4648">_xlfn.IFNA(_xlfn.XLOOKUP(1,([1]!readmissions[Facility ID] = clean[[#This Row],[Facility ID]]) * ([1]!readmissions[Measure ID] = "Hybrid_HWR"), [1]!readmissions[Score]), "No Match")</f>
        <v>Not Available</v>
      </c>
    </row>
    <row r="4649" spans="1:6" x14ac:dyDescent="0.2">
      <c r="A4649">
        <f>[1]!hospitalinfo[[#This Row],[Facility ID]]</f>
        <v>450827</v>
      </c>
      <c r="B4649" t="str">
        <f>[1]!hospitalinfo[[#This Row],[State]]</f>
        <v>TX</v>
      </c>
      <c r="C4649" t="str">
        <f>[1]!hospitalinfo[[#This Row],[Hospital Type]]</f>
        <v>Acute Care Hospitals</v>
      </c>
      <c r="D4649" t="str">
        <f>[1]!hospitalinfo[[#This Row],[Hospital Ownership]]</f>
        <v>Proprietary</v>
      </c>
      <c r="E4649" t="str" cm="1">
        <f t="array" ref="E4649">_xlfn.IFNA(_xlfn.XLOOKUP(1,([1]!hcahps[Facility ID] = clean[[#This Row],[Facility ID]]) * ([1]!hcahps[HCAHPS Measure ID] = "H_HSP_RATING_LINEAR_SCORE"), [1]!hcahps[HCAHPS Linear Mean Value]), "No Match")</f>
        <v>Not Available</v>
      </c>
      <c r="F4649" cm="1">
        <f t="array" ref="F4649">_xlfn.IFNA(_xlfn.XLOOKUP(1,([1]!readmissions[Facility ID] = clean[[#This Row],[Facility ID]]) * ([1]!readmissions[Measure ID] = "Hybrid_HWR"), [1]!readmissions[Score]), "No Match")</f>
        <v>14.4</v>
      </c>
    </row>
    <row r="4650" spans="1:6" x14ac:dyDescent="0.2">
      <c r="A4650">
        <f>[1]!hospitalinfo[[#This Row],[Facility ID]]</f>
        <v>450828</v>
      </c>
      <c r="B4650" t="str">
        <f>[1]!hospitalinfo[[#This Row],[State]]</f>
        <v>TX</v>
      </c>
      <c r="C4650" t="str">
        <f>[1]!hospitalinfo[[#This Row],[Hospital Type]]</f>
        <v>Acute Care Hospitals</v>
      </c>
      <c r="D4650" t="str">
        <f>[1]!hospitalinfo[[#This Row],[Hospital Ownership]]</f>
        <v>Voluntary non-profit - Private</v>
      </c>
      <c r="E4650" cm="1">
        <f t="array" ref="E4650">_xlfn.IFNA(_xlfn.XLOOKUP(1,([1]!hcahps[Facility ID] = clean[[#This Row],[Facility ID]]) * ([1]!hcahps[HCAHPS Measure ID] = "H_HSP_RATING_LINEAR_SCORE"), [1]!hcahps[HCAHPS Linear Mean Value]), "No Match")</f>
        <v>88</v>
      </c>
      <c r="F4650" cm="1">
        <f t="array" ref="F4650">_xlfn.IFNA(_xlfn.XLOOKUP(1,([1]!readmissions[Facility ID] = clean[[#This Row],[Facility ID]]) * ([1]!readmissions[Measure ID] = "Hybrid_HWR"), [1]!readmissions[Score]), "No Match")</f>
        <v>14.4</v>
      </c>
    </row>
    <row r="4651" spans="1:6" x14ac:dyDescent="0.2">
      <c r="A4651">
        <f>[1]!hospitalinfo[[#This Row],[Facility ID]]</f>
        <v>450831</v>
      </c>
      <c r="B4651" t="str">
        <f>[1]!hospitalinfo[[#This Row],[State]]</f>
        <v>TX</v>
      </c>
      <c r="C4651" t="str">
        <f>[1]!hospitalinfo[[#This Row],[Hospital Type]]</f>
        <v>Acute Care Hospitals</v>
      </c>
      <c r="D4651" t="str">
        <f>[1]!hospitalinfo[[#This Row],[Hospital Ownership]]</f>
        <v>Proprietary</v>
      </c>
      <c r="E4651" t="str" cm="1">
        <f t="array" ref="E4651">_xlfn.IFNA(_xlfn.XLOOKUP(1,([1]!hcahps[Facility ID] = clean[[#This Row],[Facility ID]]) * ([1]!hcahps[HCAHPS Measure ID] = "H_HSP_RATING_LINEAR_SCORE"), [1]!hcahps[HCAHPS Linear Mean Value]), "No Match")</f>
        <v>Not Available</v>
      </c>
      <c r="F4651" t="str" cm="1">
        <f t="array" ref="F4651">_xlfn.IFNA(_xlfn.XLOOKUP(1,([1]!readmissions[Facility ID] = clean[[#This Row],[Facility ID]]) * ([1]!readmissions[Measure ID] = "Hybrid_HWR"), [1]!readmissions[Score]), "No Match")</f>
        <v>Not Available</v>
      </c>
    </row>
    <row r="4652" spans="1:6" x14ac:dyDescent="0.2">
      <c r="A4652">
        <f>[1]!hospitalinfo[[#This Row],[Facility ID]]</f>
        <v>450833</v>
      </c>
      <c r="B4652" t="str">
        <f>[1]!hospitalinfo[[#This Row],[State]]</f>
        <v>TX</v>
      </c>
      <c r="C4652" t="str">
        <f>[1]!hospitalinfo[[#This Row],[Hospital Type]]</f>
        <v>Acute Care Hospitals</v>
      </c>
      <c r="D4652" t="str">
        <f>[1]!hospitalinfo[[#This Row],[Hospital Ownership]]</f>
        <v>Proprietary</v>
      </c>
      <c r="E4652" t="str" cm="1">
        <f t="array" ref="E4652">_xlfn.IFNA(_xlfn.XLOOKUP(1,([1]!hcahps[Facility ID] = clean[[#This Row],[Facility ID]]) * ([1]!hcahps[HCAHPS Measure ID] = "H_HSP_RATING_LINEAR_SCORE"), [1]!hcahps[HCAHPS Linear Mean Value]), "No Match")</f>
        <v>Not Available</v>
      </c>
      <c r="F4652" cm="1">
        <f t="array" ref="F4652">_xlfn.IFNA(_xlfn.XLOOKUP(1,([1]!readmissions[Facility ID] = clean[[#This Row],[Facility ID]]) * ([1]!readmissions[Measure ID] = "Hybrid_HWR"), [1]!readmissions[Score]), "No Match")</f>
        <v>14.8</v>
      </c>
    </row>
    <row r="4653" spans="1:6" x14ac:dyDescent="0.2">
      <c r="A4653">
        <f>[1]!hospitalinfo[[#This Row],[Facility ID]]</f>
        <v>450834</v>
      </c>
      <c r="B4653" t="str">
        <f>[1]!hospitalinfo[[#This Row],[State]]</f>
        <v>TX</v>
      </c>
      <c r="C4653" t="str">
        <f>[1]!hospitalinfo[[#This Row],[Hospital Type]]</f>
        <v>Acute Care Hospitals</v>
      </c>
      <c r="D4653" t="str">
        <f>[1]!hospitalinfo[[#This Row],[Hospital Ownership]]</f>
        <v>Proprietary</v>
      </c>
      <c r="E4653" cm="1">
        <f t="array" ref="E4653">_xlfn.IFNA(_xlfn.XLOOKUP(1,([1]!hcahps[Facility ID] = clean[[#This Row],[Facility ID]]) * ([1]!hcahps[HCAHPS Measure ID] = "H_HSP_RATING_LINEAR_SCORE"), [1]!hcahps[HCAHPS Linear Mean Value]), "No Match")</f>
        <v>92</v>
      </c>
      <c r="F4653" cm="1">
        <f t="array" ref="F4653">_xlfn.IFNA(_xlfn.XLOOKUP(1,([1]!readmissions[Facility ID] = clean[[#This Row],[Facility ID]]) * ([1]!readmissions[Measure ID] = "Hybrid_HWR"), [1]!readmissions[Score]), "No Match")</f>
        <v>15.1</v>
      </c>
    </row>
    <row r="4654" spans="1:6" x14ac:dyDescent="0.2">
      <c r="A4654">
        <f>[1]!hospitalinfo[[#This Row],[Facility ID]]</f>
        <v>450840</v>
      </c>
      <c r="B4654" t="str">
        <f>[1]!hospitalinfo[[#This Row],[State]]</f>
        <v>TX</v>
      </c>
      <c r="C4654" t="str">
        <f>[1]!hospitalinfo[[#This Row],[Hospital Type]]</f>
        <v>Acute Care Hospitals</v>
      </c>
      <c r="D4654" t="str">
        <f>[1]!hospitalinfo[[#This Row],[Hospital Ownership]]</f>
        <v>Voluntary non-profit - Private</v>
      </c>
      <c r="E4654" cm="1">
        <f t="array" ref="E4654">_xlfn.IFNA(_xlfn.XLOOKUP(1,([1]!hcahps[Facility ID] = clean[[#This Row],[Facility ID]]) * ([1]!hcahps[HCAHPS Measure ID] = "H_HSP_RATING_LINEAR_SCORE"), [1]!hcahps[HCAHPS Linear Mean Value]), "No Match")</f>
        <v>91</v>
      </c>
      <c r="F4654" cm="1">
        <f t="array" ref="F4654">_xlfn.IFNA(_xlfn.XLOOKUP(1,([1]!readmissions[Facility ID] = clean[[#This Row],[Facility ID]]) * ([1]!readmissions[Measure ID] = "Hybrid_HWR"), [1]!readmissions[Score]), "No Match")</f>
        <v>14.6</v>
      </c>
    </row>
    <row r="4655" spans="1:6" x14ac:dyDescent="0.2">
      <c r="A4655">
        <f>[1]!hospitalinfo[[#This Row],[Facility ID]]</f>
        <v>450844</v>
      </c>
      <c r="B4655" t="str">
        <f>[1]!hospitalinfo[[#This Row],[State]]</f>
        <v>TX</v>
      </c>
      <c r="C4655" t="str">
        <f>[1]!hospitalinfo[[#This Row],[Hospital Type]]</f>
        <v>Acute Care Hospitals</v>
      </c>
      <c r="D4655" t="str">
        <f>[1]!hospitalinfo[[#This Row],[Hospital Ownership]]</f>
        <v>Voluntary non-profit - Private</v>
      </c>
      <c r="E4655" cm="1">
        <f t="array" ref="E4655">_xlfn.IFNA(_xlfn.XLOOKUP(1,([1]!hcahps[Facility ID] = clean[[#This Row],[Facility ID]]) * ([1]!hcahps[HCAHPS Measure ID] = "H_HSP_RATING_LINEAR_SCORE"), [1]!hcahps[HCAHPS Linear Mean Value]), "No Match")</f>
        <v>91</v>
      </c>
      <c r="F4655" cm="1">
        <f t="array" ref="F4655">_xlfn.IFNA(_xlfn.XLOOKUP(1,([1]!readmissions[Facility ID] = clean[[#This Row],[Facility ID]]) * ([1]!readmissions[Measure ID] = "Hybrid_HWR"), [1]!readmissions[Score]), "No Match")</f>
        <v>14.8</v>
      </c>
    </row>
    <row r="4656" spans="1:6" x14ac:dyDescent="0.2">
      <c r="A4656">
        <f>[1]!hospitalinfo[[#This Row],[Facility ID]]</f>
        <v>450847</v>
      </c>
      <c r="B4656" t="str">
        <f>[1]!hospitalinfo[[#This Row],[State]]</f>
        <v>TX</v>
      </c>
      <c r="C4656" t="str">
        <f>[1]!hospitalinfo[[#This Row],[Hospital Type]]</f>
        <v>Acute Care Hospitals</v>
      </c>
      <c r="D4656" t="str">
        <f>[1]!hospitalinfo[[#This Row],[Hospital Ownership]]</f>
        <v>Voluntary non-profit - Private</v>
      </c>
      <c r="E4656" cm="1">
        <f t="array" ref="E4656">_xlfn.IFNA(_xlfn.XLOOKUP(1,([1]!hcahps[Facility ID] = clean[[#This Row],[Facility ID]]) * ([1]!hcahps[HCAHPS Measure ID] = "H_HSP_RATING_LINEAR_SCORE"), [1]!hcahps[HCAHPS Linear Mean Value]), "No Match")</f>
        <v>87</v>
      </c>
      <c r="F4656" cm="1">
        <f t="array" ref="F4656">_xlfn.IFNA(_xlfn.XLOOKUP(1,([1]!readmissions[Facility ID] = clean[[#This Row],[Facility ID]]) * ([1]!readmissions[Measure ID] = "Hybrid_HWR"), [1]!readmissions[Score]), "No Match")</f>
        <v>15.2</v>
      </c>
    </row>
    <row r="4657" spans="1:6" x14ac:dyDescent="0.2">
      <c r="A4657">
        <f>[1]!hospitalinfo[[#This Row],[Facility ID]]</f>
        <v>450848</v>
      </c>
      <c r="B4657" t="str">
        <f>[1]!hospitalinfo[[#This Row],[State]]</f>
        <v>TX</v>
      </c>
      <c r="C4657" t="str">
        <f>[1]!hospitalinfo[[#This Row],[Hospital Type]]</f>
        <v>Acute Care Hospitals</v>
      </c>
      <c r="D4657" t="str">
        <f>[1]!hospitalinfo[[#This Row],[Hospital Ownership]]</f>
        <v>Voluntary non-profit - Private</v>
      </c>
      <c r="E4657" cm="1">
        <f t="array" ref="E4657">_xlfn.IFNA(_xlfn.XLOOKUP(1,([1]!hcahps[Facility ID] = clean[[#This Row],[Facility ID]]) * ([1]!hcahps[HCAHPS Measure ID] = "H_HSP_RATING_LINEAR_SCORE"), [1]!hcahps[HCAHPS Linear Mean Value]), "No Match")</f>
        <v>87</v>
      </c>
      <c r="F4657" cm="1">
        <f t="array" ref="F4657">_xlfn.IFNA(_xlfn.XLOOKUP(1,([1]!readmissions[Facility ID] = clean[[#This Row],[Facility ID]]) * ([1]!readmissions[Measure ID] = "Hybrid_HWR"), [1]!readmissions[Score]), "No Match")</f>
        <v>16.100000000000001</v>
      </c>
    </row>
    <row r="4658" spans="1:6" x14ac:dyDescent="0.2">
      <c r="A4658">
        <f>[1]!hospitalinfo[[#This Row],[Facility ID]]</f>
        <v>450851</v>
      </c>
      <c r="B4658" t="str">
        <f>[1]!hospitalinfo[[#This Row],[State]]</f>
        <v>TX</v>
      </c>
      <c r="C4658" t="str">
        <f>[1]!hospitalinfo[[#This Row],[Hospital Type]]</f>
        <v>Acute Care Hospitals</v>
      </c>
      <c r="D4658" t="str">
        <f>[1]!hospitalinfo[[#This Row],[Hospital Ownership]]</f>
        <v>Proprietary</v>
      </c>
      <c r="E4658" cm="1">
        <f t="array" ref="E4658">_xlfn.IFNA(_xlfn.XLOOKUP(1,([1]!hcahps[Facility ID] = clean[[#This Row],[Facility ID]]) * ([1]!hcahps[HCAHPS Measure ID] = "H_HSP_RATING_LINEAR_SCORE"), [1]!hcahps[HCAHPS Linear Mean Value]), "No Match")</f>
        <v>95</v>
      </c>
      <c r="F4658" cm="1">
        <f t="array" ref="F4658">_xlfn.IFNA(_xlfn.XLOOKUP(1,([1]!readmissions[Facility ID] = clean[[#This Row],[Facility ID]]) * ([1]!readmissions[Measure ID] = "Hybrid_HWR"), [1]!readmissions[Score]), "No Match")</f>
        <v>15.2</v>
      </c>
    </row>
    <row r="4659" spans="1:6" x14ac:dyDescent="0.2">
      <c r="A4659">
        <f>[1]!hospitalinfo[[#This Row],[Facility ID]]</f>
        <v>450853</v>
      </c>
      <c r="B4659" t="str">
        <f>[1]!hospitalinfo[[#This Row],[State]]</f>
        <v>TX</v>
      </c>
      <c r="C4659" t="str">
        <f>[1]!hospitalinfo[[#This Row],[Hospital Type]]</f>
        <v>Acute Care Hospitals</v>
      </c>
      <c r="D4659" t="str">
        <f>[1]!hospitalinfo[[#This Row],[Hospital Ownership]]</f>
        <v>Proprietary</v>
      </c>
      <c r="E4659" cm="1">
        <f t="array" ref="E4659">_xlfn.IFNA(_xlfn.XLOOKUP(1,([1]!hcahps[Facility ID] = clean[[#This Row],[Facility ID]]) * ([1]!hcahps[HCAHPS Measure ID] = "H_HSP_RATING_LINEAR_SCORE"), [1]!hcahps[HCAHPS Linear Mean Value]), "No Match")</f>
        <v>92</v>
      </c>
      <c r="F4659" cm="1">
        <f t="array" ref="F4659">_xlfn.IFNA(_xlfn.XLOOKUP(1,([1]!readmissions[Facility ID] = clean[[#This Row],[Facility ID]]) * ([1]!readmissions[Measure ID] = "Hybrid_HWR"), [1]!readmissions[Score]), "No Match")</f>
        <v>15.1</v>
      </c>
    </row>
    <row r="4660" spans="1:6" x14ac:dyDescent="0.2">
      <c r="A4660">
        <f>[1]!hospitalinfo[[#This Row],[Facility ID]]</f>
        <v>450855</v>
      </c>
      <c r="B4660" t="str">
        <f>[1]!hospitalinfo[[#This Row],[State]]</f>
        <v>TX</v>
      </c>
      <c r="C4660" t="str">
        <f>[1]!hospitalinfo[[#This Row],[Hospital Type]]</f>
        <v>Acute Care Hospitals</v>
      </c>
      <c r="D4660" t="str">
        <f>[1]!hospitalinfo[[#This Row],[Hospital Ownership]]</f>
        <v>Proprietary</v>
      </c>
      <c r="E4660" cm="1">
        <f t="array" ref="E4660">_xlfn.IFNA(_xlfn.XLOOKUP(1,([1]!hcahps[Facility ID] = clean[[#This Row],[Facility ID]]) * ([1]!hcahps[HCAHPS Measure ID] = "H_HSP_RATING_LINEAR_SCORE"), [1]!hcahps[HCAHPS Linear Mean Value]), "No Match")</f>
        <v>90</v>
      </c>
      <c r="F4660" cm="1">
        <f t="array" ref="F4660">_xlfn.IFNA(_xlfn.XLOOKUP(1,([1]!readmissions[Facility ID] = clean[[#This Row],[Facility ID]]) * ([1]!readmissions[Measure ID] = "Hybrid_HWR"), [1]!readmissions[Score]), "No Match")</f>
        <v>14.6</v>
      </c>
    </row>
    <row r="4661" spans="1:6" x14ac:dyDescent="0.2">
      <c r="A4661">
        <f>[1]!hospitalinfo[[#This Row],[Facility ID]]</f>
        <v>450856</v>
      </c>
      <c r="B4661" t="str">
        <f>[1]!hospitalinfo[[#This Row],[State]]</f>
        <v>TX</v>
      </c>
      <c r="C4661" t="str">
        <f>[1]!hospitalinfo[[#This Row],[Hospital Type]]</f>
        <v>Acute Care Hospitals</v>
      </c>
      <c r="D4661" t="str">
        <f>[1]!hospitalinfo[[#This Row],[Hospital Ownership]]</f>
        <v>Physician</v>
      </c>
      <c r="E4661" cm="1">
        <f t="array" ref="E4661">_xlfn.IFNA(_xlfn.XLOOKUP(1,([1]!hcahps[Facility ID] = clean[[#This Row],[Facility ID]]) * ([1]!hcahps[HCAHPS Measure ID] = "H_HSP_RATING_LINEAR_SCORE"), [1]!hcahps[HCAHPS Linear Mean Value]), "No Match")</f>
        <v>93</v>
      </c>
      <c r="F4661" cm="1">
        <f t="array" ref="F4661">_xlfn.IFNA(_xlfn.XLOOKUP(1,([1]!readmissions[Facility ID] = clean[[#This Row],[Facility ID]]) * ([1]!readmissions[Measure ID] = "Hybrid_HWR"), [1]!readmissions[Score]), "No Match")</f>
        <v>14.4</v>
      </c>
    </row>
    <row r="4662" spans="1:6" x14ac:dyDescent="0.2">
      <c r="A4662">
        <f>[1]!hospitalinfo[[#This Row],[Facility ID]]</f>
        <v>450860</v>
      </c>
      <c r="B4662" t="str">
        <f>[1]!hospitalinfo[[#This Row],[State]]</f>
        <v>TX</v>
      </c>
      <c r="C4662" t="str">
        <f>[1]!hospitalinfo[[#This Row],[Hospital Type]]</f>
        <v>Acute Care Hospitals</v>
      </c>
      <c r="D4662" t="str">
        <f>[1]!hospitalinfo[[#This Row],[Hospital Ownership]]</f>
        <v>Physician</v>
      </c>
      <c r="E4662" t="str" cm="1">
        <f t="array" ref="E4662">_xlfn.IFNA(_xlfn.XLOOKUP(1,([1]!hcahps[Facility ID] = clean[[#This Row],[Facility ID]]) * ([1]!hcahps[HCAHPS Measure ID] = "H_HSP_RATING_LINEAR_SCORE"), [1]!hcahps[HCAHPS Linear Mean Value]), "No Match")</f>
        <v>Not Available</v>
      </c>
      <c r="F4662" t="str" cm="1">
        <f t="array" ref="F4662">_xlfn.IFNA(_xlfn.XLOOKUP(1,([1]!readmissions[Facility ID] = clean[[#This Row],[Facility ID]]) * ([1]!readmissions[Measure ID] = "Hybrid_HWR"), [1]!readmissions[Score]), "No Match")</f>
        <v>Not Available</v>
      </c>
    </row>
    <row r="4663" spans="1:6" x14ac:dyDescent="0.2">
      <c r="A4663">
        <f>[1]!hospitalinfo[[#This Row],[Facility ID]]</f>
        <v>450862</v>
      </c>
      <c r="B4663" t="str">
        <f>[1]!hospitalinfo[[#This Row],[State]]</f>
        <v>TX</v>
      </c>
      <c r="C4663" t="str">
        <f>[1]!hospitalinfo[[#This Row],[Hospital Type]]</f>
        <v>Acute Care Hospitals</v>
      </c>
      <c r="D4663" t="str">
        <f>[1]!hospitalinfo[[#This Row],[Hospital Ownership]]</f>
        <v>Voluntary non-profit - Private</v>
      </c>
      <c r="E4663" cm="1">
        <f t="array" ref="E4663">_xlfn.IFNA(_xlfn.XLOOKUP(1,([1]!hcahps[Facility ID] = clean[[#This Row],[Facility ID]]) * ([1]!hcahps[HCAHPS Measure ID] = "H_HSP_RATING_LINEAR_SCORE"), [1]!hcahps[HCAHPS Linear Mean Value]), "No Match")</f>
        <v>91</v>
      </c>
      <c r="F4663" cm="1">
        <f t="array" ref="F4663">_xlfn.IFNA(_xlfn.XLOOKUP(1,([1]!readmissions[Facility ID] = clean[[#This Row],[Facility ID]]) * ([1]!readmissions[Measure ID] = "Hybrid_HWR"), [1]!readmissions[Score]), "No Match")</f>
        <v>14.6</v>
      </c>
    </row>
    <row r="4664" spans="1:6" x14ac:dyDescent="0.2">
      <c r="A4664">
        <f>[1]!hospitalinfo[[#This Row],[Facility ID]]</f>
        <v>450864</v>
      </c>
      <c r="B4664" t="str">
        <f>[1]!hospitalinfo[[#This Row],[State]]</f>
        <v>TX</v>
      </c>
      <c r="C4664" t="str">
        <f>[1]!hospitalinfo[[#This Row],[Hospital Type]]</f>
        <v>Acute Care Hospitals</v>
      </c>
      <c r="D4664" t="str">
        <f>[1]!hospitalinfo[[#This Row],[Hospital Ownership]]</f>
        <v>Physician</v>
      </c>
      <c r="E4664" cm="1">
        <f t="array" ref="E4664">_xlfn.IFNA(_xlfn.XLOOKUP(1,([1]!hcahps[Facility ID] = clean[[#This Row],[Facility ID]]) * ([1]!hcahps[HCAHPS Measure ID] = "H_HSP_RATING_LINEAR_SCORE"), [1]!hcahps[HCAHPS Linear Mean Value]), "No Match")</f>
        <v>92</v>
      </c>
      <c r="F4664" cm="1">
        <f t="array" ref="F4664">_xlfn.IFNA(_xlfn.XLOOKUP(1,([1]!readmissions[Facility ID] = clean[[#This Row],[Facility ID]]) * ([1]!readmissions[Measure ID] = "Hybrid_HWR"), [1]!readmissions[Score]), "No Match")</f>
        <v>13.4</v>
      </c>
    </row>
    <row r="4665" spans="1:6" x14ac:dyDescent="0.2">
      <c r="A4665">
        <f>[1]!hospitalinfo[[#This Row],[Facility ID]]</f>
        <v>450865</v>
      </c>
      <c r="B4665" t="str">
        <f>[1]!hospitalinfo[[#This Row],[State]]</f>
        <v>TX</v>
      </c>
      <c r="C4665" t="str">
        <f>[1]!hospitalinfo[[#This Row],[Hospital Type]]</f>
        <v>Acute Care Hospitals</v>
      </c>
      <c r="D4665" t="str">
        <f>[1]!hospitalinfo[[#This Row],[Hospital Ownership]]</f>
        <v>Voluntary non-profit - Private</v>
      </c>
      <c r="E4665" t="str" cm="1">
        <f t="array" ref="E4665">_xlfn.IFNA(_xlfn.XLOOKUP(1,([1]!hcahps[Facility ID] = clean[[#This Row],[Facility ID]]) * ([1]!hcahps[HCAHPS Measure ID] = "H_HSP_RATING_LINEAR_SCORE"), [1]!hcahps[HCAHPS Linear Mean Value]), "No Match")</f>
        <v>Not Available</v>
      </c>
      <c r="F4665" cm="1">
        <f t="array" ref="F4665">_xlfn.IFNA(_xlfn.XLOOKUP(1,([1]!readmissions[Facility ID] = clean[[#This Row],[Facility ID]]) * ([1]!readmissions[Measure ID] = "Hybrid_HWR"), [1]!readmissions[Score]), "No Match")</f>
        <v>14.8</v>
      </c>
    </row>
    <row r="4666" spans="1:6" x14ac:dyDescent="0.2">
      <c r="A4666">
        <f>[1]!hospitalinfo[[#This Row],[Facility ID]]</f>
        <v>450867</v>
      </c>
      <c r="B4666" t="str">
        <f>[1]!hospitalinfo[[#This Row],[State]]</f>
        <v>TX</v>
      </c>
      <c r="C4666" t="str">
        <f>[1]!hospitalinfo[[#This Row],[Hospital Type]]</f>
        <v>Acute Care Hospitals</v>
      </c>
      <c r="D4666" t="str">
        <f>[1]!hospitalinfo[[#This Row],[Hospital Ownership]]</f>
        <v>Voluntary non-profit - Private</v>
      </c>
      <c r="E4666" cm="1">
        <f t="array" ref="E4666">_xlfn.IFNA(_xlfn.XLOOKUP(1,([1]!hcahps[Facility ID] = clean[[#This Row],[Facility ID]]) * ([1]!hcahps[HCAHPS Measure ID] = "H_HSP_RATING_LINEAR_SCORE"), [1]!hcahps[HCAHPS Linear Mean Value]), "No Match")</f>
        <v>87</v>
      </c>
      <c r="F4666" cm="1">
        <f t="array" ref="F4666">_xlfn.IFNA(_xlfn.XLOOKUP(1,([1]!readmissions[Facility ID] = clean[[#This Row],[Facility ID]]) * ([1]!readmissions[Measure ID] = "Hybrid_HWR"), [1]!readmissions[Score]), "No Match")</f>
        <v>14.4</v>
      </c>
    </row>
    <row r="4667" spans="1:6" x14ac:dyDescent="0.2">
      <c r="A4667">
        <f>[1]!hospitalinfo[[#This Row],[Facility ID]]</f>
        <v>450869</v>
      </c>
      <c r="B4667" t="str">
        <f>[1]!hospitalinfo[[#This Row],[State]]</f>
        <v>TX</v>
      </c>
      <c r="C4667" t="str">
        <f>[1]!hospitalinfo[[#This Row],[Hospital Type]]</f>
        <v>Acute Care Hospitals</v>
      </c>
      <c r="D4667" t="str">
        <f>[1]!hospitalinfo[[#This Row],[Hospital Ownership]]</f>
        <v>Physician</v>
      </c>
      <c r="E4667" cm="1">
        <f t="array" ref="E4667">_xlfn.IFNA(_xlfn.XLOOKUP(1,([1]!hcahps[Facility ID] = clean[[#This Row],[Facility ID]]) * ([1]!hcahps[HCAHPS Measure ID] = "H_HSP_RATING_LINEAR_SCORE"), [1]!hcahps[HCAHPS Linear Mean Value]), "No Match")</f>
        <v>89</v>
      </c>
      <c r="F4667" cm="1">
        <f t="array" ref="F4667">_xlfn.IFNA(_xlfn.XLOOKUP(1,([1]!readmissions[Facility ID] = clean[[#This Row],[Facility ID]]) * ([1]!readmissions[Measure ID] = "Hybrid_HWR"), [1]!readmissions[Score]), "No Match")</f>
        <v>15.6</v>
      </c>
    </row>
    <row r="4668" spans="1:6" x14ac:dyDescent="0.2">
      <c r="A4668">
        <f>[1]!hospitalinfo[[#This Row],[Facility ID]]</f>
        <v>450872</v>
      </c>
      <c r="B4668" t="str">
        <f>[1]!hospitalinfo[[#This Row],[State]]</f>
        <v>TX</v>
      </c>
      <c r="C4668" t="str">
        <f>[1]!hospitalinfo[[#This Row],[Hospital Type]]</f>
        <v>Acute Care Hospitals</v>
      </c>
      <c r="D4668" t="str">
        <f>[1]!hospitalinfo[[#This Row],[Hospital Ownership]]</f>
        <v>Physician</v>
      </c>
      <c r="E4668" cm="1">
        <f t="array" ref="E4668">_xlfn.IFNA(_xlfn.XLOOKUP(1,([1]!hcahps[Facility ID] = clean[[#This Row],[Facility ID]]) * ([1]!hcahps[HCAHPS Measure ID] = "H_HSP_RATING_LINEAR_SCORE"), [1]!hcahps[HCAHPS Linear Mean Value]), "No Match")</f>
        <v>87</v>
      </c>
      <c r="F4668" cm="1">
        <f t="array" ref="F4668">_xlfn.IFNA(_xlfn.XLOOKUP(1,([1]!readmissions[Facility ID] = clean[[#This Row],[Facility ID]]) * ([1]!readmissions[Measure ID] = "Hybrid_HWR"), [1]!readmissions[Score]), "No Match")</f>
        <v>14.8</v>
      </c>
    </row>
    <row r="4669" spans="1:6" x14ac:dyDescent="0.2">
      <c r="A4669">
        <f>[1]!hospitalinfo[[#This Row],[Facility ID]]</f>
        <v>450874</v>
      </c>
      <c r="B4669" t="str">
        <f>[1]!hospitalinfo[[#This Row],[State]]</f>
        <v>TX</v>
      </c>
      <c r="C4669" t="str">
        <f>[1]!hospitalinfo[[#This Row],[Hospital Type]]</f>
        <v>Acute Care Hospitals</v>
      </c>
      <c r="D4669" t="str">
        <f>[1]!hospitalinfo[[#This Row],[Hospital Ownership]]</f>
        <v>Proprietary</v>
      </c>
      <c r="E4669" cm="1">
        <f t="array" ref="E4669">_xlfn.IFNA(_xlfn.XLOOKUP(1,([1]!hcahps[Facility ID] = clean[[#This Row],[Facility ID]]) * ([1]!hcahps[HCAHPS Measure ID] = "H_HSP_RATING_LINEAR_SCORE"), [1]!hcahps[HCAHPS Linear Mean Value]), "No Match")</f>
        <v>89</v>
      </c>
      <c r="F4669" cm="1">
        <f t="array" ref="F4669">_xlfn.IFNA(_xlfn.XLOOKUP(1,([1]!readmissions[Facility ID] = clean[[#This Row],[Facility ID]]) * ([1]!readmissions[Measure ID] = "Hybrid_HWR"), [1]!readmissions[Score]), "No Match")</f>
        <v>14.9</v>
      </c>
    </row>
    <row r="4670" spans="1:6" x14ac:dyDescent="0.2">
      <c r="A4670">
        <f>[1]!hospitalinfo[[#This Row],[Facility ID]]</f>
        <v>450875</v>
      </c>
      <c r="B4670" t="str">
        <f>[1]!hospitalinfo[[#This Row],[State]]</f>
        <v>TX</v>
      </c>
      <c r="C4670" t="str">
        <f>[1]!hospitalinfo[[#This Row],[Hospital Type]]</f>
        <v>Acute Care Hospitals</v>
      </c>
      <c r="D4670" t="str">
        <f>[1]!hospitalinfo[[#This Row],[Hospital Ownership]]</f>
        <v>Proprietary</v>
      </c>
      <c r="E4670" cm="1">
        <f t="array" ref="E4670">_xlfn.IFNA(_xlfn.XLOOKUP(1,([1]!hcahps[Facility ID] = clean[[#This Row],[Facility ID]]) * ([1]!hcahps[HCAHPS Measure ID] = "H_HSP_RATING_LINEAR_SCORE"), [1]!hcahps[HCAHPS Linear Mean Value]), "No Match")</f>
        <v>95</v>
      </c>
      <c r="F4670" cm="1">
        <f t="array" ref="F4670">_xlfn.IFNA(_xlfn.XLOOKUP(1,([1]!readmissions[Facility ID] = clean[[#This Row],[Facility ID]]) * ([1]!readmissions[Measure ID] = "Hybrid_HWR"), [1]!readmissions[Score]), "No Match")</f>
        <v>14.3</v>
      </c>
    </row>
    <row r="4671" spans="1:6" x14ac:dyDescent="0.2">
      <c r="A4671">
        <f>[1]!hospitalinfo[[#This Row],[Facility ID]]</f>
        <v>450876</v>
      </c>
      <c r="B4671" t="str">
        <f>[1]!hospitalinfo[[#This Row],[State]]</f>
        <v>TX</v>
      </c>
      <c r="C4671" t="str">
        <f>[1]!hospitalinfo[[#This Row],[Hospital Type]]</f>
        <v>Acute Care Hospitals</v>
      </c>
      <c r="D4671" t="str">
        <f>[1]!hospitalinfo[[#This Row],[Hospital Ownership]]</f>
        <v>Government - Hospital District or Authority</v>
      </c>
      <c r="E4671" cm="1">
        <f t="array" ref="E4671">_xlfn.IFNA(_xlfn.XLOOKUP(1,([1]!hcahps[Facility ID] = clean[[#This Row],[Facility ID]]) * ([1]!hcahps[HCAHPS Measure ID] = "H_HSP_RATING_LINEAR_SCORE"), [1]!hcahps[HCAHPS Linear Mean Value]), "No Match")</f>
        <v>92</v>
      </c>
      <c r="F4671" cm="1">
        <f t="array" ref="F4671">_xlfn.IFNA(_xlfn.XLOOKUP(1,([1]!readmissions[Facility ID] = clean[[#This Row],[Facility ID]]) * ([1]!readmissions[Measure ID] = "Hybrid_HWR"), [1]!readmissions[Score]), "No Match")</f>
        <v>15.4</v>
      </c>
    </row>
    <row r="4672" spans="1:6" x14ac:dyDescent="0.2">
      <c r="A4672">
        <f>[1]!hospitalinfo[[#This Row],[Facility ID]]</f>
        <v>450880</v>
      </c>
      <c r="B4672" t="str">
        <f>[1]!hospitalinfo[[#This Row],[State]]</f>
        <v>TX</v>
      </c>
      <c r="C4672" t="str">
        <f>[1]!hospitalinfo[[#This Row],[Hospital Type]]</f>
        <v>Acute Care Hospitals</v>
      </c>
      <c r="D4672" t="str">
        <f>[1]!hospitalinfo[[#This Row],[Hospital Ownership]]</f>
        <v>Physician</v>
      </c>
      <c r="E4672" cm="1">
        <f t="array" ref="E4672">_xlfn.IFNA(_xlfn.XLOOKUP(1,([1]!hcahps[Facility ID] = clean[[#This Row],[Facility ID]]) * ([1]!hcahps[HCAHPS Measure ID] = "H_HSP_RATING_LINEAR_SCORE"), [1]!hcahps[HCAHPS Linear Mean Value]), "No Match")</f>
        <v>90</v>
      </c>
      <c r="F4672" cm="1">
        <f t="array" ref="F4672">_xlfn.IFNA(_xlfn.XLOOKUP(1,([1]!readmissions[Facility ID] = clean[[#This Row],[Facility ID]]) * ([1]!readmissions[Measure ID] = "Hybrid_HWR"), [1]!readmissions[Score]), "No Match")</f>
        <v>14.8</v>
      </c>
    </row>
    <row r="4673" spans="1:6" x14ac:dyDescent="0.2">
      <c r="A4673">
        <f>[1]!hospitalinfo[[#This Row],[Facility ID]]</f>
        <v>450883</v>
      </c>
      <c r="B4673" t="str">
        <f>[1]!hospitalinfo[[#This Row],[State]]</f>
        <v>TX</v>
      </c>
      <c r="C4673" t="str">
        <f>[1]!hospitalinfo[[#This Row],[Hospital Type]]</f>
        <v>Acute Care Hospitals</v>
      </c>
      <c r="D4673" t="str">
        <f>[1]!hospitalinfo[[#This Row],[Hospital Ownership]]</f>
        <v>Proprietary</v>
      </c>
      <c r="E4673" cm="1">
        <f t="array" ref="E4673">_xlfn.IFNA(_xlfn.XLOOKUP(1,([1]!hcahps[Facility ID] = clean[[#This Row],[Facility ID]]) * ([1]!hcahps[HCAHPS Measure ID] = "H_HSP_RATING_LINEAR_SCORE"), [1]!hcahps[HCAHPS Linear Mean Value]), "No Match")</f>
        <v>88</v>
      </c>
      <c r="F4673" cm="1">
        <f t="array" ref="F4673">_xlfn.IFNA(_xlfn.XLOOKUP(1,([1]!readmissions[Facility ID] = clean[[#This Row],[Facility ID]]) * ([1]!readmissions[Measure ID] = "Hybrid_HWR"), [1]!readmissions[Score]), "No Match")</f>
        <v>14.6</v>
      </c>
    </row>
    <row r="4674" spans="1:6" x14ac:dyDescent="0.2">
      <c r="A4674">
        <f>[1]!hospitalinfo[[#This Row],[Facility ID]]</f>
        <v>450885</v>
      </c>
      <c r="B4674" t="str">
        <f>[1]!hospitalinfo[[#This Row],[State]]</f>
        <v>TX</v>
      </c>
      <c r="C4674" t="str">
        <f>[1]!hospitalinfo[[#This Row],[Hospital Type]]</f>
        <v>Acute Care Hospitals</v>
      </c>
      <c r="D4674" t="str">
        <f>[1]!hospitalinfo[[#This Row],[Hospital Ownership]]</f>
        <v>Voluntary non-profit - Other</v>
      </c>
      <c r="E4674" cm="1">
        <f t="array" ref="E4674">_xlfn.IFNA(_xlfn.XLOOKUP(1,([1]!hcahps[Facility ID] = clean[[#This Row],[Facility ID]]) * ([1]!hcahps[HCAHPS Measure ID] = "H_HSP_RATING_LINEAR_SCORE"), [1]!hcahps[HCAHPS Linear Mean Value]), "No Match")</f>
        <v>90</v>
      </c>
      <c r="F4674" cm="1">
        <f t="array" ref="F4674">_xlfn.IFNA(_xlfn.XLOOKUP(1,([1]!readmissions[Facility ID] = clean[[#This Row],[Facility ID]]) * ([1]!readmissions[Measure ID] = "Hybrid_HWR"), [1]!readmissions[Score]), "No Match")</f>
        <v>13.9</v>
      </c>
    </row>
    <row r="4675" spans="1:6" x14ac:dyDescent="0.2">
      <c r="A4675">
        <f>[1]!hospitalinfo[[#This Row],[Facility ID]]</f>
        <v>450888</v>
      </c>
      <c r="B4675" t="str">
        <f>[1]!hospitalinfo[[#This Row],[State]]</f>
        <v>TX</v>
      </c>
      <c r="C4675" t="str">
        <f>[1]!hospitalinfo[[#This Row],[Hospital Type]]</f>
        <v>Acute Care Hospitals</v>
      </c>
      <c r="D4675" t="str">
        <f>[1]!hospitalinfo[[#This Row],[Hospital Ownership]]</f>
        <v>Proprietary</v>
      </c>
      <c r="E4675" cm="1">
        <f t="array" ref="E4675">_xlfn.IFNA(_xlfn.XLOOKUP(1,([1]!hcahps[Facility ID] = clean[[#This Row],[Facility ID]]) * ([1]!hcahps[HCAHPS Measure ID] = "H_HSP_RATING_LINEAR_SCORE"), [1]!hcahps[HCAHPS Linear Mean Value]), "No Match")</f>
        <v>94</v>
      </c>
      <c r="F4675" cm="1">
        <f t="array" ref="F4675">_xlfn.IFNA(_xlfn.XLOOKUP(1,([1]!readmissions[Facility ID] = clean[[#This Row],[Facility ID]]) * ([1]!readmissions[Measure ID] = "Hybrid_HWR"), [1]!readmissions[Score]), "No Match")</f>
        <v>15</v>
      </c>
    </row>
    <row r="4676" spans="1:6" x14ac:dyDescent="0.2">
      <c r="A4676">
        <f>[1]!hospitalinfo[[#This Row],[Facility ID]]</f>
        <v>450889</v>
      </c>
      <c r="B4676" t="str">
        <f>[1]!hospitalinfo[[#This Row],[State]]</f>
        <v>TX</v>
      </c>
      <c r="C4676" t="str">
        <f>[1]!hospitalinfo[[#This Row],[Hospital Type]]</f>
        <v>Acute Care Hospitals</v>
      </c>
      <c r="D4676" t="str">
        <f>[1]!hospitalinfo[[#This Row],[Hospital Ownership]]</f>
        <v>Physician</v>
      </c>
      <c r="E4676" cm="1">
        <f t="array" ref="E4676">_xlfn.IFNA(_xlfn.XLOOKUP(1,([1]!hcahps[Facility ID] = clean[[#This Row],[Facility ID]]) * ([1]!hcahps[HCAHPS Measure ID] = "H_HSP_RATING_LINEAR_SCORE"), [1]!hcahps[HCAHPS Linear Mean Value]), "No Match")</f>
        <v>94</v>
      </c>
      <c r="F4676" cm="1">
        <f t="array" ref="F4676">_xlfn.IFNA(_xlfn.XLOOKUP(1,([1]!readmissions[Facility ID] = clean[[#This Row],[Facility ID]]) * ([1]!readmissions[Measure ID] = "Hybrid_HWR"), [1]!readmissions[Score]), "No Match")</f>
        <v>14.6</v>
      </c>
    </row>
    <row r="4677" spans="1:6" x14ac:dyDescent="0.2">
      <c r="A4677">
        <f>[1]!hospitalinfo[[#This Row],[Facility ID]]</f>
        <v>450890</v>
      </c>
      <c r="B4677" t="str">
        <f>[1]!hospitalinfo[[#This Row],[State]]</f>
        <v>TX</v>
      </c>
      <c r="C4677" t="str">
        <f>[1]!hospitalinfo[[#This Row],[Hospital Type]]</f>
        <v>Acute Care Hospitals</v>
      </c>
      <c r="D4677" t="str">
        <f>[1]!hospitalinfo[[#This Row],[Hospital Ownership]]</f>
        <v>Voluntary non-profit - Other</v>
      </c>
      <c r="E4677" cm="1">
        <f t="array" ref="E4677">_xlfn.IFNA(_xlfn.XLOOKUP(1,([1]!hcahps[Facility ID] = clean[[#This Row],[Facility ID]]) * ([1]!hcahps[HCAHPS Measure ID] = "H_HSP_RATING_LINEAR_SCORE"), [1]!hcahps[HCAHPS Linear Mean Value]), "No Match")</f>
        <v>92</v>
      </c>
      <c r="F4677" cm="1">
        <f t="array" ref="F4677">_xlfn.IFNA(_xlfn.XLOOKUP(1,([1]!readmissions[Facility ID] = clean[[#This Row],[Facility ID]]) * ([1]!readmissions[Measure ID] = "Hybrid_HWR"), [1]!readmissions[Score]), "No Match")</f>
        <v>15.1</v>
      </c>
    </row>
    <row r="4678" spans="1:6" x14ac:dyDescent="0.2">
      <c r="A4678">
        <f>[1]!hospitalinfo[[#This Row],[Facility ID]]</f>
        <v>450891</v>
      </c>
      <c r="B4678" t="str">
        <f>[1]!hospitalinfo[[#This Row],[State]]</f>
        <v>TX</v>
      </c>
      <c r="C4678" t="str">
        <f>[1]!hospitalinfo[[#This Row],[Hospital Type]]</f>
        <v>Acute Care Hospitals</v>
      </c>
      <c r="D4678" t="str">
        <f>[1]!hospitalinfo[[#This Row],[Hospital Ownership]]</f>
        <v>Physician</v>
      </c>
      <c r="E4678" cm="1">
        <f t="array" ref="E4678">_xlfn.IFNA(_xlfn.XLOOKUP(1,([1]!hcahps[Facility ID] = clean[[#This Row],[Facility ID]]) * ([1]!hcahps[HCAHPS Measure ID] = "H_HSP_RATING_LINEAR_SCORE"), [1]!hcahps[HCAHPS Linear Mean Value]), "No Match")</f>
        <v>95</v>
      </c>
      <c r="F4678" cm="1">
        <f t="array" ref="F4678">_xlfn.IFNA(_xlfn.XLOOKUP(1,([1]!readmissions[Facility ID] = clean[[#This Row],[Facility ID]]) * ([1]!readmissions[Measure ID] = "Hybrid_HWR"), [1]!readmissions[Score]), "No Match")</f>
        <v>15</v>
      </c>
    </row>
    <row r="4679" spans="1:6" x14ac:dyDescent="0.2">
      <c r="A4679">
        <f>[1]!hospitalinfo[[#This Row],[Facility ID]]</f>
        <v>450893</v>
      </c>
      <c r="B4679" t="str">
        <f>[1]!hospitalinfo[[#This Row],[State]]</f>
        <v>TX</v>
      </c>
      <c r="C4679" t="str">
        <f>[1]!hospitalinfo[[#This Row],[Hospital Type]]</f>
        <v>Acute Care Hospitals</v>
      </c>
      <c r="D4679" t="str">
        <f>[1]!hospitalinfo[[#This Row],[Hospital Ownership]]</f>
        <v>Physician</v>
      </c>
      <c r="E4679" cm="1">
        <f t="array" ref="E4679">_xlfn.IFNA(_xlfn.XLOOKUP(1,([1]!hcahps[Facility ID] = clean[[#This Row],[Facility ID]]) * ([1]!hcahps[HCAHPS Measure ID] = "H_HSP_RATING_LINEAR_SCORE"), [1]!hcahps[HCAHPS Linear Mean Value]), "No Match")</f>
        <v>94</v>
      </c>
      <c r="F4679" cm="1">
        <f t="array" ref="F4679">_xlfn.IFNA(_xlfn.XLOOKUP(1,([1]!readmissions[Facility ID] = clean[[#This Row],[Facility ID]]) * ([1]!readmissions[Measure ID] = "Hybrid_HWR"), [1]!readmissions[Score]), "No Match")</f>
        <v>15</v>
      </c>
    </row>
    <row r="4680" spans="1:6" x14ac:dyDescent="0.2">
      <c r="A4680">
        <f>[1]!hospitalinfo[[#This Row],[Facility ID]]</f>
        <v>450895</v>
      </c>
      <c r="B4680" t="str">
        <f>[1]!hospitalinfo[[#This Row],[State]]</f>
        <v>TX</v>
      </c>
      <c r="C4680" t="str">
        <f>[1]!hospitalinfo[[#This Row],[Hospital Type]]</f>
        <v>Acute Care Hospitals</v>
      </c>
      <c r="D4680" t="str">
        <f>[1]!hospitalinfo[[#This Row],[Hospital Ownership]]</f>
        <v>Proprietary</v>
      </c>
      <c r="E4680" t="str" cm="1">
        <f t="array" ref="E4680">_xlfn.IFNA(_xlfn.XLOOKUP(1,([1]!hcahps[Facility ID] = clean[[#This Row],[Facility ID]]) * ([1]!hcahps[HCAHPS Measure ID] = "H_HSP_RATING_LINEAR_SCORE"), [1]!hcahps[HCAHPS Linear Mean Value]), "No Match")</f>
        <v>Not Available</v>
      </c>
      <c r="F4680" t="str" cm="1">
        <f t="array" ref="F4680">_xlfn.IFNA(_xlfn.XLOOKUP(1,([1]!readmissions[Facility ID] = clean[[#This Row],[Facility ID]]) * ([1]!readmissions[Measure ID] = "Hybrid_HWR"), [1]!readmissions[Score]), "No Match")</f>
        <v>Not Available</v>
      </c>
    </row>
    <row r="4681" spans="1:6" x14ac:dyDescent="0.2">
      <c r="A4681">
        <f>[1]!hospitalinfo[[#This Row],[Facility ID]]</f>
        <v>451300</v>
      </c>
      <c r="B4681" t="str">
        <f>[1]!hospitalinfo[[#This Row],[State]]</f>
        <v>TX</v>
      </c>
      <c r="C4681" t="str">
        <f>[1]!hospitalinfo[[#This Row],[Hospital Type]]</f>
        <v>Critical Access Hospitals</v>
      </c>
      <c r="D4681" t="str">
        <f>[1]!hospitalinfo[[#This Row],[Hospital Ownership]]</f>
        <v>Voluntary non-profit - Private</v>
      </c>
      <c r="E4681" t="str" cm="1">
        <f t="array" ref="E4681">_xlfn.IFNA(_xlfn.XLOOKUP(1,([1]!hcahps[Facility ID] = clean[[#This Row],[Facility ID]]) * ([1]!hcahps[HCAHPS Measure ID] = "H_HSP_RATING_LINEAR_SCORE"), [1]!hcahps[HCAHPS Linear Mean Value]), "No Match")</f>
        <v>Not Available</v>
      </c>
      <c r="F4681" t="str" cm="1">
        <f t="array" ref="F4681">_xlfn.IFNA(_xlfn.XLOOKUP(1,([1]!readmissions[Facility ID] = clean[[#This Row],[Facility ID]]) * ([1]!readmissions[Measure ID] = "Hybrid_HWR"), [1]!readmissions[Score]), "No Match")</f>
        <v>Not Available</v>
      </c>
    </row>
    <row r="4682" spans="1:6" x14ac:dyDescent="0.2">
      <c r="A4682">
        <f>[1]!hospitalinfo[[#This Row],[Facility ID]]</f>
        <v>451301</v>
      </c>
      <c r="B4682" t="str">
        <f>[1]!hospitalinfo[[#This Row],[State]]</f>
        <v>TX</v>
      </c>
      <c r="C4682" t="str">
        <f>[1]!hospitalinfo[[#This Row],[Hospital Type]]</f>
        <v>Critical Access Hospitals</v>
      </c>
      <c r="D4682" t="str">
        <f>[1]!hospitalinfo[[#This Row],[Hospital Ownership]]</f>
        <v>Government - Hospital District or Authority</v>
      </c>
      <c r="E4682" t="str" cm="1">
        <f t="array" ref="E4682">_xlfn.IFNA(_xlfn.XLOOKUP(1,([1]!hcahps[Facility ID] = clean[[#This Row],[Facility ID]]) * ([1]!hcahps[HCAHPS Measure ID] = "H_HSP_RATING_LINEAR_SCORE"), [1]!hcahps[HCAHPS Linear Mean Value]), "No Match")</f>
        <v>Not Available</v>
      </c>
      <c r="F4682" t="str" cm="1">
        <f t="array" ref="F4682">_xlfn.IFNA(_xlfn.XLOOKUP(1,([1]!readmissions[Facility ID] = clean[[#This Row],[Facility ID]]) * ([1]!readmissions[Measure ID] = "Hybrid_HWR"), [1]!readmissions[Score]), "No Match")</f>
        <v>Not Available</v>
      </c>
    </row>
    <row r="4683" spans="1:6" x14ac:dyDescent="0.2">
      <c r="A4683">
        <f>[1]!hospitalinfo[[#This Row],[Facility ID]]</f>
        <v>451303</v>
      </c>
      <c r="B4683" t="str">
        <f>[1]!hospitalinfo[[#This Row],[State]]</f>
        <v>TX</v>
      </c>
      <c r="C4683" t="str">
        <f>[1]!hospitalinfo[[#This Row],[Hospital Type]]</f>
        <v>Critical Access Hospitals</v>
      </c>
      <c r="D4683" t="str">
        <f>[1]!hospitalinfo[[#This Row],[Hospital Ownership]]</f>
        <v>Government - Hospital District or Authority</v>
      </c>
      <c r="E4683" t="str" cm="1">
        <f t="array" ref="E4683">_xlfn.IFNA(_xlfn.XLOOKUP(1,([1]!hcahps[Facility ID] = clean[[#This Row],[Facility ID]]) * ([1]!hcahps[HCAHPS Measure ID] = "H_HSP_RATING_LINEAR_SCORE"), [1]!hcahps[HCAHPS Linear Mean Value]), "No Match")</f>
        <v>Not Available</v>
      </c>
      <c r="F4683" cm="1">
        <f t="array" ref="F4683">_xlfn.IFNA(_xlfn.XLOOKUP(1,([1]!readmissions[Facility ID] = clean[[#This Row],[Facility ID]]) * ([1]!readmissions[Measure ID] = "Hybrid_HWR"), [1]!readmissions[Score]), "No Match")</f>
        <v>14.8</v>
      </c>
    </row>
    <row r="4684" spans="1:6" x14ac:dyDescent="0.2">
      <c r="A4684">
        <f>[1]!hospitalinfo[[#This Row],[Facility ID]]</f>
        <v>451304</v>
      </c>
      <c r="B4684" t="str">
        <f>[1]!hospitalinfo[[#This Row],[State]]</f>
        <v>TX</v>
      </c>
      <c r="C4684" t="str">
        <f>[1]!hospitalinfo[[#This Row],[Hospital Type]]</f>
        <v>Critical Access Hospitals</v>
      </c>
      <c r="D4684" t="str">
        <f>[1]!hospitalinfo[[#This Row],[Hospital Ownership]]</f>
        <v>Proprietary</v>
      </c>
      <c r="E4684" t="str" cm="1">
        <f t="array" ref="E4684">_xlfn.IFNA(_xlfn.XLOOKUP(1,([1]!hcahps[Facility ID] = clean[[#This Row],[Facility ID]]) * ([1]!hcahps[HCAHPS Measure ID] = "H_HSP_RATING_LINEAR_SCORE"), [1]!hcahps[HCAHPS Linear Mean Value]), "No Match")</f>
        <v>Not Available</v>
      </c>
      <c r="F4684" t="str" cm="1">
        <f t="array" ref="F4684">_xlfn.IFNA(_xlfn.XLOOKUP(1,([1]!readmissions[Facility ID] = clean[[#This Row],[Facility ID]]) * ([1]!readmissions[Measure ID] = "Hybrid_HWR"), [1]!readmissions[Score]), "No Match")</f>
        <v>Not Available</v>
      </c>
    </row>
    <row r="4685" spans="1:6" x14ac:dyDescent="0.2">
      <c r="A4685">
        <f>[1]!hospitalinfo[[#This Row],[Facility ID]]</f>
        <v>451305</v>
      </c>
      <c r="B4685" t="str">
        <f>[1]!hospitalinfo[[#This Row],[State]]</f>
        <v>TX</v>
      </c>
      <c r="C4685" t="str">
        <f>[1]!hospitalinfo[[#This Row],[Hospital Type]]</f>
        <v>Critical Access Hospitals</v>
      </c>
      <c r="D4685" t="str">
        <f>[1]!hospitalinfo[[#This Row],[Hospital Ownership]]</f>
        <v>Voluntary non-profit - Private</v>
      </c>
      <c r="E4685" t="str" cm="1">
        <f t="array" ref="E4685">_xlfn.IFNA(_xlfn.XLOOKUP(1,([1]!hcahps[Facility ID] = clean[[#This Row],[Facility ID]]) * ([1]!hcahps[HCAHPS Measure ID] = "H_HSP_RATING_LINEAR_SCORE"), [1]!hcahps[HCAHPS Linear Mean Value]), "No Match")</f>
        <v>Not Available</v>
      </c>
      <c r="F4685" t="str" cm="1">
        <f t="array" ref="F4685">_xlfn.IFNA(_xlfn.XLOOKUP(1,([1]!readmissions[Facility ID] = clean[[#This Row],[Facility ID]]) * ([1]!readmissions[Measure ID] = "Hybrid_HWR"), [1]!readmissions[Score]), "No Match")</f>
        <v>Not Available</v>
      </c>
    </row>
    <row r="4686" spans="1:6" x14ac:dyDescent="0.2">
      <c r="A4686">
        <f>[1]!hospitalinfo[[#This Row],[Facility ID]]</f>
        <v>451306</v>
      </c>
      <c r="B4686" t="str">
        <f>[1]!hospitalinfo[[#This Row],[State]]</f>
        <v>TX</v>
      </c>
      <c r="C4686" t="str">
        <f>[1]!hospitalinfo[[#This Row],[Hospital Type]]</f>
        <v>Critical Access Hospitals</v>
      </c>
      <c r="D4686" t="str">
        <f>[1]!hospitalinfo[[#This Row],[Hospital Ownership]]</f>
        <v>Proprietary</v>
      </c>
      <c r="E4686" t="str" cm="1">
        <f t="array" ref="E4686">_xlfn.IFNA(_xlfn.XLOOKUP(1,([1]!hcahps[Facility ID] = clean[[#This Row],[Facility ID]]) * ([1]!hcahps[HCAHPS Measure ID] = "H_HSP_RATING_LINEAR_SCORE"), [1]!hcahps[HCAHPS Linear Mean Value]), "No Match")</f>
        <v>Not Available</v>
      </c>
      <c r="F4686" cm="1">
        <f t="array" ref="F4686">_xlfn.IFNA(_xlfn.XLOOKUP(1,([1]!readmissions[Facility ID] = clean[[#This Row],[Facility ID]]) * ([1]!readmissions[Measure ID] = "Hybrid_HWR"), [1]!readmissions[Score]), "No Match")</f>
        <v>15.2</v>
      </c>
    </row>
    <row r="4687" spans="1:6" x14ac:dyDescent="0.2">
      <c r="A4687">
        <f>[1]!hospitalinfo[[#This Row],[Facility ID]]</f>
        <v>451307</v>
      </c>
      <c r="B4687" t="str">
        <f>[1]!hospitalinfo[[#This Row],[State]]</f>
        <v>TX</v>
      </c>
      <c r="C4687" t="str">
        <f>[1]!hospitalinfo[[#This Row],[Hospital Type]]</f>
        <v>Critical Access Hospitals</v>
      </c>
      <c r="D4687" t="str">
        <f>[1]!hospitalinfo[[#This Row],[Hospital Ownership]]</f>
        <v>Government - Hospital District or Authority</v>
      </c>
      <c r="E4687" t="str" cm="1">
        <f t="array" ref="E4687">_xlfn.IFNA(_xlfn.XLOOKUP(1,([1]!hcahps[Facility ID] = clean[[#This Row],[Facility ID]]) * ([1]!hcahps[HCAHPS Measure ID] = "H_HSP_RATING_LINEAR_SCORE"), [1]!hcahps[HCAHPS Linear Mean Value]), "No Match")</f>
        <v>Not Available</v>
      </c>
      <c r="F4687" t="str" cm="1">
        <f t="array" ref="F4687">_xlfn.IFNA(_xlfn.XLOOKUP(1,([1]!readmissions[Facility ID] = clean[[#This Row],[Facility ID]]) * ([1]!readmissions[Measure ID] = "Hybrid_HWR"), [1]!readmissions[Score]), "No Match")</f>
        <v>Not Available</v>
      </c>
    </row>
    <row r="4688" spans="1:6" x14ac:dyDescent="0.2">
      <c r="A4688">
        <f>[1]!hospitalinfo[[#This Row],[Facility ID]]</f>
        <v>451308</v>
      </c>
      <c r="B4688" t="str">
        <f>[1]!hospitalinfo[[#This Row],[State]]</f>
        <v>TX</v>
      </c>
      <c r="C4688" t="str">
        <f>[1]!hospitalinfo[[#This Row],[Hospital Type]]</f>
        <v>Critical Access Hospitals</v>
      </c>
      <c r="D4688" t="str">
        <f>[1]!hospitalinfo[[#This Row],[Hospital Ownership]]</f>
        <v>Voluntary non-profit - Other</v>
      </c>
      <c r="E4688" cm="1">
        <f t="array" ref="E4688">_xlfn.IFNA(_xlfn.XLOOKUP(1,([1]!hcahps[Facility ID] = clean[[#This Row],[Facility ID]]) * ([1]!hcahps[HCAHPS Measure ID] = "H_HSP_RATING_LINEAR_SCORE"), [1]!hcahps[HCAHPS Linear Mean Value]), "No Match")</f>
        <v>90</v>
      </c>
      <c r="F4688" cm="1">
        <f t="array" ref="F4688">_xlfn.IFNA(_xlfn.XLOOKUP(1,([1]!readmissions[Facility ID] = clean[[#This Row],[Facility ID]]) * ([1]!readmissions[Measure ID] = "Hybrid_HWR"), [1]!readmissions[Score]), "No Match")</f>
        <v>14.9</v>
      </c>
    </row>
    <row r="4689" spans="1:6" x14ac:dyDescent="0.2">
      <c r="A4689">
        <f>[1]!hospitalinfo[[#This Row],[Facility ID]]</f>
        <v>451309</v>
      </c>
      <c r="B4689" t="str">
        <f>[1]!hospitalinfo[[#This Row],[State]]</f>
        <v>TX</v>
      </c>
      <c r="C4689" t="str">
        <f>[1]!hospitalinfo[[#This Row],[Hospital Type]]</f>
        <v>Critical Access Hospitals</v>
      </c>
      <c r="D4689" t="str">
        <f>[1]!hospitalinfo[[#This Row],[Hospital Ownership]]</f>
        <v>Government - Hospital District or Authority</v>
      </c>
      <c r="E4689" t="str" cm="1">
        <f t="array" ref="E4689">_xlfn.IFNA(_xlfn.XLOOKUP(1,([1]!hcahps[Facility ID] = clean[[#This Row],[Facility ID]]) * ([1]!hcahps[HCAHPS Measure ID] = "H_HSP_RATING_LINEAR_SCORE"), [1]!hcahps[HCAHPS Linear Mean Value]), "No Match")</f>
        <v>Not Available</v>
      </c>
      <c r="F4689" t="str" cm="1">
        <f t="array" ref="F4689">_xlfn.IFNA(_xlfn.XLOOKUP(1,([1]!readmissions[Facility ID] = clean[[#This Row],[Facility ID]]) * ([1]!readmissions[Measure ID] = "Hybrid_HWR"), [1]!readmissions[Score]), "No Match")</f>
        <v>Not Available</v>
      </c>
    </row>
    <row r="4690" spans="1:6" x14ac:dyDescent="0.2">
      <c r="A4690">
        <f>[1]!hospitalinfo[[#This Row],[Facility ID]]</f>
        <v>451310</v>
      </c>
      <c r="B4690" t="str">
        <f>[1]!hospitalinfo[[#This Row],[State]]</f>
        <v>TX</v>
      </c>
      <c r="C4690" t="str">
        <f>[1]!hospitalinfo[[#This Row],[Hospital Type]]</f>
        <v>Critical Access Hospitals</v>
      </c>
      <c r="D4690" t="str">
        <f>[1]!hospitalinfo[[#This Row],[Hospital Ownership]]</f>
        <v>Government - Hospital District or Authority</v>
      </c>
      <c r="E4690" t="str" cm="1">
        <f t="array" ref="E4690">_xlfn.IFNA(_xlfn.XLOOKUP(1,([1]!hcahps[Facility ID] = clean[[#This Row],[Facility ID]]) * ([1]!hcahps[HCAHPS Measure ID] = "H_HSP_RATING_LINEAR_SCORE"), [1]!hcahps[HCAHPS Linear Mean Value]), "No Match")</f>
        <v>Not Available</v>
      </c>
      <c r="F4690" cm="1">
        <f t="array" ref="F4690">_xlfn.IFNA(_xlfn.XLOOKUP(1,([1]!readmissions[Facility ID] = clean[[#This Row],[Facility ID]]) * ([1]!readmissions[Measure ID] = "Hybrid_HWR"), [1]!readmissions[Score]), "No Match")</f>
        <v>15.4</v>
      </c>
    </row>
    <row r="4691" spans="1:6" x14ac:dyDescent="0.2">
      <c r="A4691">
        <f>[1]!hospitalinfo[[#This Row],[Facility ID]]</f>
        <v>451311</v>
      </c>
      <c r="B4691" t="str">
        <f>[1]!hospitalinfo[[#This Row],[State]]</f>
        <v>TX</v>
      </c>
      <c r="C4691" t="str">
        <f>[1]!hospitalinfo[[#This Row],[Hospital Type]]</f>
        <v>Critical Access Hospitals</v>
      </c>
      <c r="D4691" t="str">
        <f>[1]!hospitalinfo[[#This Row],[Hospital Ownership]]</f>
        <v>Government - Hospital District or Authority</v>
      </c>
      <c r="E4691" t="str" cm="1">
        <f t="array" ref="E4691">_xlfn.IFNA(_xlfn.XLOOKUP(1,([1]!hcahps[Facility ID] = clean[[#This Row],[Facility ID]]) * ([1]!hcahps[HCAHPS Measure ID] = "H_HSP_RATING_LINEAR_SCORE"), [1]!hcahps[HCAHPS Linear Mean Value]), "No Match")</f>
        <v>Not Available</v>
      </c>
      <c r="F4691" cm="1">
        <f t="array" ref="F4691">_xlfn.IFNA(_xlfn.XLOOKUP(1,([1]!readmissions[Facility ID] = clean[[#This Row],[Facility ID]]) * ([1]!readmissions[Measure ID] = "Hybrid_HWR"), [1]!readmissions[Score]), "No Match")</f>
        <v>14.6</v>
      </c>
    </row>
    <row r="4692" spans="1:6" x14ac:dyDescent="0.2">
      <c r="A4692">
        <f>[1]!hospitalinfo[[#This Row],[Facility ID]]</f>
        <v>451312</v>
      </c>
      <c r="B4692" t="str">
        <f>[1]!hospitalinfo[[#This Row],[State]]</f>
        <v>TX</v>
      </c>
      <c r="C4692" t="str">
        <f>[1]!hospitalinfo[[#This Row],[Hospital Type]]</f>
        <v>Critical Access Hospitals</v>
      </c>
      <c r="D4692" t="str">
        <f>[1]!hospitalinfo[[#This Row],[Hospital Ownership]]</f>
        <v>Proprietary</v>
      </c>
      <c r="E4692" t="str" cm="1">
        <f t="array" ref="E4692">_xlfn.IFNA(_xlfn.XLOOKUP(1,([1]!hcahps[Facility ID] = clean[[#This Row],[Facility ID]]) * ([1]!hcahps[HCAHPS Measure ID] = "H_HSP_RATING_LINEAR_SCORE"), [1]!hcahps[HCAHPS Linear Mean Value]), "No Match")</f>
        <v>Not Available</v>
      </c>
      <c r="F4692" t="str" cm="1">
        <f t="array" ref="F4692">_xlfn.IFNA(_xlfn.XLOOKUP(1,([1]!readmissions[Facility ID] = clean[[#This Row],[Facility ID]]) * ([1]!readmissions[Measure ID] = "Hybrid_HWR"), [1]!readmissions[Score]), "No Match")</f>
        <v>Not Available</v>
      </c>
    </row>
    <row r="4693" spans="1:6" x14ac:dyDescent="0.2">
      <c r="A4693">
        <f>[1]!hospitalinfo[[#This Row],[Facility ID]]</f>
        <v>451313</v>
      </c>
      <c r="B4693" t="str">
        <f>[1]!hospitalinfo[[#This Row],[State]]</f>
        <v>TX</v>
      </c>
      <c r="C4693" t="str">
        <f>[1]!hospitalinfo[[#This Row],[Hospital Type]]</f>
        <v>Critical Access Hospitals</v>
      </c>
      <c r="D4693" t="str">
        <f>[1]!hospitalinfo[[#This Row],[Hospital Ownership]]</f>
        <v>Government - Hospital District or Authority</v>
      </c>
      <c r="E4693" t="str" cm="1">
        <f t="array" ref="E4693">_xlfn.IFNA(_xlfn.XLOOKUP(1,([1]!hcahps[Facility ID] = clean[[#This Row],[Facility ID]]) * ([1]!hcahps[HCAHPS Measure ID] = "H_HSP_RATING_LINEAR_SCORE"), [1]!hcahps[HCAHPS Linear Mean Value]), "No Match")</f>
        <v>Not Available</v>
      </c>
      <c r="F4693" t="str" cm="1">
        <f t="array" ref="F4693">_xlfn.IFNA(_xlfn.XLOOKUP(1,([1]!readmissions[Facility ID] = clean[[#This Row],[Facility ID]]) * ([1]!readmissions[Measure ID] = "Hybrid_HWR"), [1]!readmissions[Score]), "No Match")</f>
        <v>Not Available</v>
      </c>
    </row>
    <row r="4694" spans="1:6" x14ac:dyDescent="0.2">
      <c r="A4694">
        <f>[1]!hospitalinfo[[#This Row],[Facility ID]]</f>
        <v>451314</v>
      </c>
      <c r="B4694" t="str">
        <f>[1]!hospitalinfo[[#This Row],[State]]</f>
        <v>TX</v>
      </c>
      <c r="C4694" t="str">
        <f>[1]!hospitalinfo[[#This Row],[Hospital Type]]</f>
        <v>Critical Access Hospitals</v>
      </c>
      <c r="D4694" t="str">
        <f>[1]!hospitalinfo[[#This Row],[Hospital Ownership]]</f>
        <v>Government - Local</v>
      </c>
      <c r="E4694" t="str" cm="1">
        <f t="array" ref="E4694">_xlfn.IFNA(_xlfn.XLOOKUP(1,([1]!hcahps[Facility ID] = clean[[#This Row],[Facility ID]]) * ([1]!hcahps[HCAHPS Measure ID] = "H_HSP_RATING_LINEAR_SCORE"), [1]!hcahps[HCAHPS Linear Mean Value]), "No Match")</f>
        <v>Not Available</v>
      </c>
      <c r="F4694" t="str" cm="1">
        <f t="array" ref="F4694">_xlfn.IFNA(_xlfn.XLOOKUP(1,([1]!readmissions[Facility ID] = clean[[#This Row],[Facility ID]]) * ([1]!readmissions[Measure ID] = "Hybrid_HWR"), [1]!readmissions[Score]), "No Match")</f>
        <v>Not Available</v>
      </c>
    </row>
    <row r="4695" spans="1:6" x14ac:dyDescent="0.2">
      <c r="A4695">
        <f>[1]!hospitalinfo[[#This Row],[Facility ID]]</f>
        <v>451315</v>
      </c>
      <c r="B4695" t="str">
        <f>[1]!hospitalinfo[[#This Row],[State]]</f>
        <v>TX</v>
      </c>
      <c r="C4695" t="str">
        <f>[1]!hospitalinfo[[#This Row],[Hospital Type]]</f>
        <v>Critical Access Hospitals</v>
      </c>
      <c r="D4695" t="str">
        <f>[1]!hospitalinfo[[#This Row],[Hospital Ownership]]</f>
        <v>Government - Hospital District or Authority</v>
      </c>
      <c r="E4695" t="str" cm="1">
        <f t="array" ref="E4695">_xlfn.IFNA(_xlfn.XLOOKUP(1,([1]!hcahps[Facility ID] = clean[[#This Row],[Facility ID]]) * ([1]!hcahps[HCAHPS Measure ID] = "H_HSP_RATING_LINEAR_SCORE"), [1]!hcahps[HCAHPS Linear Mean Value]), "No Match")</f>
        <v>Not Available</v>
      </c>
      <c r="F4695" cm="1">
        <f t="array" ref="F4695">_xlfn.IFNA(_xlfn.XLOOKUP(1,([1]!readmissions[Facility ID] = clean[[#This Row],[Facility ID]]) * ([1]!readmissions[Measure ID] = "Hybrid_HWR"), [1]!readmissions[Score]), "No Match")</f>
        <v>15.1</v>
      </c>
    </row>
    <row r="4696" spans="1:6" x14ac:dyDescent="0.2">
      <c r="A4696">
        <f>[1]!hospitalinfo[[#This Row],[Facility ID]]</f>
        <v>451316</v>
      </c>
      <c r="B4696" t="str">
        <f>[1]!hospitalinfo[[#This Row],[State]]</f>
        <v>TX</v>
      </c>
      <c r="C4696" t="str">
        <f>[1]!hospitalinfo[[#This Row],[Hospital Type]]</f>
        <v>Critical Access Hospitals</v>
      </c>
      <c r="D4696" t="str">
        <f>[1]!hospitalinfo[[#This Row],[Hospital Ownership]]</f>
        <v>Voluntary non-profit - Private</v>
      </c>
      <c r="E4696" t="str" cm="1">
        <f t="array" ref="E4696">_xlfn.IFNA(_xlfn.XLOOKUP(1,([1]!hcahps[Facility ID] = clean[[#This Row],[Facility ID]]) * ([1]!hcahps[HCAHPS Measure ID] = "H_HSP_RATING_LINEAR_SCORE"), [1]!hcahps[HCAHPS Linear Mean Value]), "No Match")</f>
        <v>Not Available</v>
      </c>
      <c r="F4696" t="str" cm="1">
        <f t="array" ref="F4696">_xlfn.IFNA(_xlfn.XLOOKUP(1,([1]!readmissions[Facility ID] = clean[[#This Row],[Facility ID]]) * ([1]!readmissions[Measure ID] = "Hybrid_HWR"), [1]!readmissions[Score]), "No Match")</f>
        <v>Not Available</v>
      </c>
    </row>
    <row r="4697" spans="1:6" x14ac:dyDescent="0.2">
      <c r="A4697">
        <f>[1]!hospitalinfo[[#This Row],[Facility ID]]</f>
        <v>451317</v>
      </c>
      <c r="B4697" t="str">
        <f>[1]!hospitalinfo[[#This Row],[State]]</f>
        <v>TX</v>
      </c>
      <c r="C4697" t="str">
        <f>[1]!hospitalinfo[[#This Row],[Hospital Type]]</f>
        <v>Critical Access Hospitals</v>
      </c>
      <c r="D4697" t="str">
        <f>[1]!hospitalinfo[[#This Row],[Hospital Ownership]]</f>
        <v>Government - Hospital District or Authority</v>
      </c>
      <c r="E4697" t="str" cm="1">
        <f t="array" ref="E4697">_xlfn.IFNA(_xlfn.XLOOKUP(1,([1]!hcahps[Facility ID] = clean[[#This Row],[Facility ID]]) * ([1]!hcahps[HCAHPS Measure ID] = "H_HSP_RATING_LINEAR_SCORE"), [1]!hcahps[HCAHPS Linear Mean Value]), "No Match")</f>
        <v>Not Available</v>
      </c>
      <c r="F4697" t="str" cm="1">
        <f t="array" ref="F4697">_xlfn.IFNA(_xlfn.XLOOKUP(1,([1]!readmissions[Facility ID] = clean[[#This Row],[Facility ID]]) * ([1]!readmissions[Measure ID] = "Hybrid_HWR"), [1]!readmissions[Score]), "No Match")</f>
        <v>Not Available</v>
      </c>
    </row>
    <row r="4698" spans="1:6" x14ac:dyDescent="0.2">
      <c r="A4698">
        <f>[1]!hospitalinfo[[#This Row],[Facility ID]]</f>
        <v>451318</v>
      </c>
      <c r="B4698" t="str">
        <f>[1]!hospitalinfo[[#This Row],[State]]</f>
        <v>TX</v>
      </c>
      <c r="C4698" t="str">
        <f>[1]!hospitalinfo[[#This Row],[Hospital Type]]</f>
        <v>Critical Access Hospitals</v>
      </c>
      <c r="D4698" t="str">
        <f>[1]!hospitalinfo[[#This Row],[Hospital Ownership]]</f>
        <v>Government - Hospital District or Authority</v>
      </c>
      <c r="E4698" t="str" cm="1">
        <f t="array" ref="E4698">_xlfn.IFNA(_xlfn.XLOOKUP(1,([1]!hcahps[Facility ID] = clean[[#This Row],[Facility ID]]) * ([1]!hcahps[HCAHPS Measure ID] = "H_HSP_RATING_LINEAR_SCORE"), [1]!hcahps[HCAHPS Linear Mean Value]), "No Match")</f>
        <v>Not Available</v>
      </c>
      <c r="F4698" t="str" cm="1">
        <f t="array" ref="F4698">_xlfn.IFNA(_xlfn.XLOOKUP(1,([1]!readmissions[Facility ID] = clean[[#This Row],[Facility ID]]) * ([1]!readmissions[Measure ID] = "Hybrid_HWR"), [1]!readmissions[Score]), "No Match")</f>
        <v>Not Available</v>
      </c>
    </row>
    <row r="4699" spans="1:6" x14ac:dyDescent="0.2">
      <c r="A4699">
        <f>[1]!hospitalinfo[[#This Row],[Facility ID]]</f>
        <v>451319</v>
      </c>
      <c r="B4699" t="str">
        <f>[1]!hospitalinfo[[#This Row],[State]]</f>
        <v>TX</v>
      </c>
      <c r="C4699" t="str">
        <f>[1]!hospitalinfo[[#This Row],[Hospital Type]]</f>
        <v>Critical Access Hospitals</v>
      </c>
      <c r="D4699" t="str">
        <f>[1]!hospitalinfo[[#This Row],[Hospital Ownership]]</f>
        <v>Voluntary non-profit - Private</v>
      </c>
      <c r="E4699" cm="1">
        <f t="array" ref="E4699">_xlfn.IFNA(_xlfn.XLOOKUP(1,([1]!hcahps[Facility ID] = clean[[#This Row],[Facility ID]]) * ([1]!hcahps[HCAHPS Measure ID] = "H_HSP_RATING_LINEAR_SCORE"), [1]!hcahps[HCAHPS Linear Mean Value]), "No Match")</f>
        <v>96</v>
      </c>
      <c r="F4699" cm="1">
        <f t="array" ref="F4699">_xlfn.IFNA(_xlfn.XLOOKUP(1,([1]!readmissions[Facility ID] = clean[[#This Row],[Facility ID]]) * ([1]!readmissions[Measure ID] = "Hybrid_HWR"), [1]!readmissions[Score]), "No Match")</f>
        <v>14.8</v>
      </c>
    </row>
    <row r="4700" spans="1:6" x14ac:dyDescent="0.2">
      <c r="A4700">
        <f>[1]!hospitalinfo[[#This Row],[Facility ID]]</f>
        <v>451320</v>
      </c>
      <c r="B4700" t="str">
        <f>[1]!hospitalinfo[[#This Row],[State]]</f>
        <v>TX</v>
      </c>
      <c r="C4700" t="str">
        <f>[1]!hospitalinfo[[#This Row],[Hospital Type]]</f>
        <v>Critical Access Hospitals</v>
      </c>
      <c r="D4700" t="str">
        <f>[1]!hospitalinfo[[#This Row],[Hospital Ownership]]</f>
        <v>Government - Hospital District or Authority</v>
      </c>
      <c r="E4700" t="str" cm="1">
        <f t="array" ref="E4700">_xlfn.IFNA(_xlfn.XLOOKUP(1,([1]!hcahps[Facility ID] = clean[[#This Row],[Facility ID]]) * ([1]!hcahps[HCAHPS Measure ID] = "H_HSP_RATING_LINEAR_SCORE"), [1]!hcahps[HCAHPS Linear Mean Value]), "No Match")</f>
        <v>Not Available</v>
      </c>
      <c r="F4700" t="str" cm="1">
        <f t="array" ref="F4700">_xlfn.IFNA(_xlfn.XLOOKUP(1,([1]!readmissions[Facility ID] = clean[[#This Row],[Facility ID]]) * ([1]!readmissions[Measure ID] = "Hybrid_HWR"), [1]!readmissions[Score]), "No Match")</f>
        <v>Not Available</v>
      </c>
    </row>
    <row r="4701" spans="1:6" x14ac:dyDescent="0.2">
      <c r="A4701">
        <f>[1]!hospitalinfo[[#This Row],[Facility ID]]</f>
        <v>451322</v>
      </c>
      <c r="B4701" t="str">
        <f>[1]!hospitalinfo[[#This Row],[State]]</f>
        <v>TX</v>
      </c>
      <c r="C4701" t="str">
        <f>[1]!hospitalinfo[[#This Row],[Hospital Type]]</f>
        <v>Critical Access Hospitals</v>
      </c>
      <c r="D4701" t="str">
        <f>[1]!hospitalinfo[[#This Row],[Hospital Ownership]]</f>
        <v>Voluntary non-profit - Private</v>
      </c>
      <c r="E4701" t="str" cm="1">
        <f t="array" ref="E4701">_xlfn.IFNA(_xlfn.XLOOKUP(1,([1]!hcahps[Facility ID] = clean[[#This Row],[Facility ID]]) * ([1]!hcahps[HCAHPS Measure ID] = "H_HSP_RATING_LINEAR_SCORE"), [1]!hcahps[HCAHPS Linear Mean Value]), "No Match")</f>
        <v>Not Available</v>
      </c>
      <c r="F4701" t="str" cm="1">
        <f t="array" ref="F4701">_xlfn.IFNA(_xlfn.XLOOKUP(1,([1]!readmissions[Facility ID] = clean[[#This Row],[Facility ID]]) * ([1]!readmissions[Measure ID] = "Hybrid_HWR"), [1]!readmissions[Score]), "No Match")</f>
        <v>Not Available</v>
      </c>
    </row>
    <row r="4702" spans="1:6" x14ac:dyDescent="0.2">
      <c r="A4702">
        <f>[1]!hospitalinfo[[#This Row],[Facility ID]]</f>
        <v>451323</v>
      </c>
      <c r="B4702" t="str">
        <f>[1]!hospitalinfo[[#This Row],[State]]</f>
        <v>TX</v>
      </c>
      <c r="C4702" t="str">
        <f>[1]!hospitalinfo[[#This Row],[Hospital Type]]</f>
        <v>Critical Access Hospitals</v>
      </c>
      <c r="D4702" t="str">
        <f>[1]!hospitalinfo[[#This Row],[Hospital Ownership]]</f>
        <v>Voluntary non-profit - Church</v>
      </c>
      <c r="E4702" t="str" cm="1">
        <f t="array" ref="E4702">_xlfn.IFNA(_xlfn.XLOOKUP(1,([1]!hcahps[Facility ID] = clean[[#This Row],[Facility ID]]) * ([1]!hcahps[HCAHPS Measure ID] = "H_HSP_RATING_LINEAR_SCORE"), [1]!hcahps[HCAHPS Linear Mean Value]), "No Match")</f>
        <v>Not Available</v>
      </c>
      <c r="F4702" cm="1">
        <f t="array" ref="F4702">_xlfn.IFNA(_xlfn.XLOOKUP(1,([1]!readmissions[Facility ID] = clean[[#This Row],[Facility ID]]) * ([1]!readmissions[Measure ID] = "Hybrid_HWR"), [1]!readmissions[Score]), "No Match")</f>
        <v>14.4</v>
      </c>
    </row>
    <row r="4703" spans="1:6" x14ac:dyDescent="0.2">
      <c r="A4703">
        <f>[1]!hospitalinfo[[#This Row],[Facility ID]]</f>
        <v>451324</v>
      </c>
      <c r="B4703" t="str">
        <f>[1]!hospitalinfo[[#This Row],[State]]</f>
        <v>TX</v>
      </c>
      <c r="C4703" t="str">
        <f>[1]!hospitalinfo[[#This Row],[Hospital Type]]</f>
        <v>Critical Access Hospitals</v>
      </c>
      <c r="D4703" t="str">
        <f>[1]!hospitalinfo[[#This Row],[Hospital Ownership]]</f>
        <v>Government - Hospital District or Authority</v>
      </c>
      <c r="E4703" t="str" cm="1">
        <f t="array" ref="E4703">_xlfn.IFNA(_xlfn.XLOOKUP(1,([1]!hcahps[Facility ID] = clean[[#This Row],[Facility ID]]) * ([1]!hcahps[HCAHPS Measure ID] = "H_HSP_RATING_LINEAR_SCORE"), [1]!hcahps[HCAHPS Linear Mean Value]), "No Match")</f>
        <v>Not Available</v>
      </c>
      <c r="F4703" t="str" cm="1">
        <f t="array" ref="F4703">_xlfn.IFNA(_xlfn.XLOOKUP(1,([1]!readmissions[Facility ID] = clean[[#This Row],[Facility ID]]) * ([1]!readmissions[Measure ID] = "Hybrid_HWR"), [1]!readmissions[Score]), "No Match")</f>
        <v>Not Available</v>
      </c>
    </row>
    <row r="4704" spans="1:6" x14ac:dyDescent="0.2">
      <c r="A4704">
        <f>[1]!hospitalinfo[[#This Row],[Facility ID]]</f>
        <v>451325</v>
      </c>
      <c r="B4704" t="str">
        <f>[1]!hospitalinfo[[#This Row],[State]]</f>
        <v>TX</v>
      </c>
      <c r="C4704" t="str">
        <f>[1]!hospitalinfo[[#This Row],[Hospital Type]]</f>
        <v>Critical Access Hospitals</v>
      </c>
      <c r="D4704" t="str">
        <f>[1]!hospitalinfo[[#This Row],[Hospital Ownership]]</f>
        <v>Government - Local</v>
      </c>
      <c r="E4704" t="str" cm="1">
        <f t="array" ref="E4704">_xlfn.IFNA(_xlfn.XLOOKUP(1,([1]!hcahps[Facility ID] = clean[[#This Row],[Facility ID]]) * ([1]!hcahps[HCAHPS Measure ID] = "H_HSP_RATING_LINEAR_SCORE"), [1]!hcahps[HCAHPS Linear Mean Value]), "No Match")</f>
        <v>Not Available</v>
      </c>
      <c r="F4704" t="str" cm="1">
        <f t="array" ref="F4704">_xlfn.IFNA(_xlfn.XLOOKUP(1,([1]!readmissions[Facility ID] = clean[[#This Row],[Facility ID]]) * ([1]!readmissions[Measure ID] = "Hybrid_HWR"), [1]!readmissions[Score]), "No Match")</f>
        <v>Not Available</v>
      </c>
    </row>
    <row r="4705" spans="1:6" x14ac:dyDescent="0.2">
      <c r="A4705">
        <f>[1]!hospitalinfo[[#This Row],[Facility ID]]</f>
        <v>451328</v>
      </c>
      <c r="B4705" t="str">
        <f>[1]!hospitalinfo[[#This Row],[State]]</f>
        <v>TX</v>
      </c>
      <c r="C4705" t="str">
        <f>[1]!hospitalinfo[[#This Row],[Hospital Type]]</f>
        <v>Critical Access Hospitals</v>
      </c>
      <c r="D4705" t="str">
        <f>[1]!hospitalinfo[[#This Row],[Hospital Ownership]]</f>
        <v>Proprietary</v>
      </c>
      <c r="E4705" t="str" cm="1">
        <f t="array" ref="E4705">_xlfn.IFNA(_xlfn.XLOOKUP(1,([1]!hcahps[Facility ID] = clean[[#This Row],[Facility ID]]) * ([1]!hcahps[HCAHPS Measure ID] = "H_HSP_RATING_LINEAR_SCORE"), [1]!hcahps[HCAHPS Linear Mean Value]), "No Match")</f>
        <v>Not Available</v>
      </c>
      <c r="F4705" t="str" cm="1">
        <f t="array" ref="F4705">_xlfn.IFNA(_xlfn.XLOOKUP(1,([1]!readmissions[Facility ID] = clean[[#This Row],[Facility ID]]) * ([1]!readmissions[Measure ID] = "Hybrid_HWR"), [1]!readmissions[Score]), "No Match")</f>
        <v>Not Available</v>
      </c>
    </row>
    <row r="4706" spans="1:6" x14ac:dyDescent="0.2">
      <c r="A4706">
        <f>[1]!hospitalinfo[[#This Row],[Facility ID]]</f>
        <v>451329</v>
      </c>
      <c r="B4706" t="str">
        <f>[1]!hospitalinfo[[#This Row],[State]]</f>
        <v>TX</v>
      </c>
      <c r="C4706" t="str">
        <f>[1]!hospitalinfo[[#This Row],[Hospital Type]]</f>
        <v>Critical Access Hospitals</v>
      </c>
      <c r="D4706" t="str">
        <f>[1]!hospitalinfo[[#This Row],[Hospital Ownership]]</f>
        <v>Government - Hospital District or Authority</v>
      </c>
      <c r="E4706" t="str" cm="1">
        <f t="array" ref="E4706">_xlfn.IFNA(_xlfn.XLOOKUP(1,([1]!hcahps[Facility ID] = clean[[#This Row],[Facility ID]]) * ([1]!hcahps[HCAHPS Measure ID] = "H_HSP_RATING_LINEAR_SCORE"), [1]!hcahps[HCAHPS Linear Mean Value]), "No Match")</f>
        <v>Not Available</v>
      </c>
      <c r="F4706" t="str" cm="1">
        <f t="array" ref="F4706">_xlfn.IFNA(_xlfn.XLOOKUP(1,([1]!readmissions[Facility ID] = clean[[#This Row],[Facility ID]]) * ([1]!readmissions[Measure ID] = "Hybrid_HWR"), [1]!readmissions[Score]), "No Match")</f>
        <v>Not Available</v>
      </c>
    </row>
    <row r="4707" spans="1:6" x14ac:dyDescent="0.2">
      <c r="A4707">
        <f>[1]!hospitalinfo[[#This Row],[Facility ID]]</f>
        <v>451330</v>
      </c>
      <c r="B4707" t="str">
        <f>[1]!hospitalinfo[[#This Row],[State]]</f>
        <v>TX</v>
      </c>
      <c r="C4707" t="str">
        <f>[1]!hospitalinfo[[#This Row],[Hospital Type]]</f>
        <v>Critical Access Hospitals</v>
      </c>
      <c r="D4707" t="str">
        <f>[1]!hospitalinfo[[#This Row],[Hospital Ownership]]</f>
        <v>Government - Hospital District or Authority</v>
      </c>
      <c r="E4707" t="str" cm="1">
        <f t="array" ref="E4707">_xlfn.IFNA(_xlfn.XLOOKUP(1,([1]!hcahps[Facility ID] = clean[[#This Row],[Facility ID]]) * ([1]!hcahps[HCAHPS Measure ID] = "H_HSP_RATING_LINEAR_SCORE"), [1]!hcahps[HCAHPS Linear Mean Value]), "No Match")</f>
        <v>Not Available</v>
      </c>
      <c r="F4707" cm="1">
        <f t="array" ref="F4707">_xlfn.IFNA(_xlfn.XLOOKUP(1,([1]!readmissions[Facility ID] = clean[[#This Row],[Facility ID]]) * ([1]!readmissions[Measure ID] = "Hybrid_HWR"), [1]!readmissions[Score]), "No Match")</f>
        <v>15.2</v>
      </c>
    </row>
    <row r="4708" spans="1:6" x14ac:dyDescent="0.2">
      <c r="A4708">
        <f>[1]!hospitalinfo[[#This Row],[Facility ID]]</f>
        <v>451331</v>
      </c>
      <c r="B4708" t="str">
        <f>[1]!hospitalinfo[[#This Row],[State]]</f>
        <v>TX</v>
      </c>
      <c r="C4708" t="str">
        <f>[1]!hospitalinfo[[#This Row],[Hospital Type]]</f>
        <v>Critical Access Hospitals</v>
      </c>
      <c r="D4708" t="str">
        <f>[1]!hospitalinfo[[#This Row],[Hospital Ownership]]</f>
        <v>Government - Hospital District or Authority</v>
      </c>
      <c r="E4708" t="str" cm="1">
        <f t="array" ref="E4708">_xlfn.IFNA(_xlfn.XLOOKUP(1,([1]!hcahps[Facility ID] = clean[[#This Row],[Facility ID]]) * ([1]!hcahps[HCAHPS Measure ID] = "H_HSP_RATING_LINEAR_SCORE"), [1]!hcahps[HCAHPS Linear Mean Value]), "No Match")</f>
        <v>Not Available</v>
      </c>
      <c r="F4708" cm="1">
        <f t="array" ref="F4708">_xlfn.IFNA(_xlfn.XLOOKUP(1,([1]!readmissions[Facility ID] = clean[[#This Row],[Facility ID]]) * ([1]!readmissions[Measure ID] = "Hybrid_HWR"), [1]!readmissions[Score]), "No Match")</f>
        <v>15</v>
      </c>
    </row>
    <row r="4709" spans="1:6" x14ac:dyDescent="0.2">
      <c r="A4709">
        <f>[1]!hospitalinfo[[#This Row],[Facility ID]]</f>
        <v>451332</v>
      </c>
      <c r="B4709" t="str">
        <f>[1]!hospitalinfo[[#This Row],[State]]</f>
        <v>TX</v>
      </c>
      <c r="C4709" t="str">
        <f>[1]!hospitalinfo[[#This Row],[Hospital Type]]</f>
        <v>Critical Access Hospitals</v>
      </c>
      <c r="D4709" t="str">
        <f>[1]!hospitalinfo[[#This Row],[Hospital Ownership]]</f>
        <v>Voluntary non-profit - Private</v>
      </c>
      <c r="E4709" t="str" cm="1">
        <f t="array" ref="E4709">_xlfn.IFNA(_xlfn.XLOOKUP(1,([1]!hcahps[Facility ID] = clean[[#This Row],[Facility ID]]) * ([1]!hcahps[HCAHPS Measure ID] = "H_HSP_RATING_LINEAR_SCORE"), [1]!hcahps[HCAHPS Linear Mean Value]), "No Match")</f>
        <v>Not Available</v>
      </c>
      <c r="F4709" t="str" cm="1">
        <f t="array" ref="F4709">_xlfn.IFNA(_xlfn.XLOOKUP(1,([1]!readmissions[Facility ID] = clean[[#This Row],[Facility ID]]) * ([1]!readmissions[Measure ID] = "Hybrid_HWR"), [1]!readmissions[Score]), "No Match")</f>
        <v>Not Available</v>
      </c>
    </row>
    <row r="4710" spans="1:6" x14ac:dyDescent="0.2">
      <c r="A4710">
        <f>[1]!hospitalinfo[[#This Row],[Facility ID]]</f>
        <v>451333</v>
      </c>
      <c r="B4710" t="str">
        <f>[1]!hospitalinfo[[#This Row],[State]]</f>
        <v>TX</v>
      </c>
      <c r="C4710" t="str">
        <f>[1]!hospitalinfo[[#This Row],[Hospital Type]]</f>
        <v>Critical Access Hospitals</v>
      </c>
      <c r="D4710" t="str">
        <f>[1]!hospitalinfo[[#This Row],[Hospital Ownership]]</f>
        <v>Government - Hospital District or Authority</v>
      </c>
      <c r="E4710" t="str" cm="1">
        <f t="array" ref="E4710">_xlfn.IFNA(_xlfn.XLOOKUP(1,([1]!hcahps[Facility ID] = clean[[#This Row],[Facility ID]]) * ([1]!hcahps[HCAHPS Measure ID] = "H_HSP_RATING_LINEAR_SCORE"), [1]!hcahps[HCAHPS Linear Mean Value]), "No Match")</f>
        <v>Not Available</v>
      </c>
      <c r="F4710" cm="1">
        <f t="array" ref="F4710">_xlfn.IFNA(_xlfn.XLOOKUP(1,([1]!readmissions[Facility ID] = clean[[#This Row],[Facility ID]]) * ([1]!readmissions[Measure ID] = "Hybrid_HWR"), [1]!readmissions[Score]), "No Match")</f>
        <v>15</v>
      </c>
    </row>
    <row r="4711" spans="1:6" x14ac:dyDescent="0.2">
      <c r="A4711">
        <f>[1]!hospitalinfo[[#This Row],[Facility ID]]</f>
        <v>451334</v>
      </c>
      <c r="B4711" t="str">
        <f>[1]!hospitalinfo[[#This Row],[State]]</f>
        <v>TX</v>
      </c>
      <c r="C4711" t="str">
        <f>[1]!hospitalinfo[[#This Row],[Hospital Type]]</f>
        <v>Critical Access Hospitals</v>
      </c>
      <c r="D4711" t="str">
        <f>[1]!hospitalinfo[[#This Row],[Hospital Ownership]]</f>
        <v>Government - Hospital District or Authority</v>
      </c>
      <c r="E4711" t="str" cm="1">
        <f t="array" ref="E4711">_xlfn.IFNA(_xlfn.XLOOKUP(1,([1]!hcahps[Facility ID] = clean[[#This Row],[Facility ID]]) * ([1]!hcahps[HCAHPS Measure ID] = "H_HSP_RATING_LINEAR_SCORE"), [1]!hcahps[HCAHPS Linear Mean Value]), "No Match")</f>
        <v>Not Available</v>
      </c>
      <c r="F4711" cm="1">
        <f t="array" ref="F4711">_xlfn.IFNA(_xlfn.XLOOKUP(1,([1]!readmissions[Facility ID] = clean[[#This Row],[Facility ID]]) * ([1]!readmissions[Measure ID] = "Hybrid_HWR"), [1]!readmissions[Score]), "No Match")</f>
        <v>15</v>
      </c>
    </row>
    <row r="4712" spans="1:6" x14ac:dyDescent="0.2">
      <c r="A4712">
        <f>[1]!hospitalinfo[[#This Row],[Facility ID]]</f>
        <v>451335</v>
      </c>
      <c r="B4712" t="str">
        <f>[1]!hospitalinfo[[#This Row],[State]]</f>
        <v>TX</v>
      </c>
      <c r="C4712" t="str">
        <f>[1]!hospitalinfo[[#This Row],[Hospital Type]]</f>
        <v>Critical Access Hospitals</v>
      </c>
      <c r="D4712" t="str">
        <f>[1]!hospitalinfo[[#This Row],[Hospital Ownership]]</f>
        <v>Government - Hospital District or Authority</v>
      </c>
      <c r="E4712" t="str" cm="1">
        <f t="array" ref="E4712">_xlfn.IFNA(_xlfn.XLOOKUP(1,([1]!hcahps[Facility ID] = clean[[#This Row],[Facility ID]]) * ([1]!hcahps[HCAHPS Measure ID] = "H_HSP_RATING_LINEAR_SCORE"), [1]!hcahps[HCAHPS Linear Mean Value]), "No Match")</f>
        <v>Not Available</v>
      </c>
      <c r="F4712" t="str" cm="1">
        <f t="array" ref="F4712">_xlfn.IFNA(_xlfn.XLOOKUP(1,([1]!readmissions[Facility ID] = clean[[#This Row],[Facility ID]]) * ([1]!readmissions[Measure ID] = "Hybrid_HWR"), [1]!readmissions[Score]), "No Match")</f>
        <v>Not Available</v>
      </c>
    </row>
    <row r="4713" spans="1:6" x14ac:dyDescent="0.2">
      <c r="A4713">
        <f>[1]!hospitalinfo[[#This Row],[Facility ID]]</f>
        <v>451337</v>
      </c>
      <c r="B4713" t="str">
        <f>[1]!hospitalinfo[[#This Row],[State]]</f>
        <v>TX</v>
      </c>
      <c r="C4713" t="str">
        <f>[1]!hospitalinfo[[#This Row],[Hospital Type]]</f>
        <v>Critical Access Hospitals</v>
      </c>
      <c r="D4713" t="str">
        <f>[1]!hospitalinfo[[#This Row],[Hospital Ownership]]</f>
        <v>Physician</v>
      </c>
      <c r="E4713" t="str" cm="1">
        <f t="array" ref="E4713">_xlfn.IFNA(_xlfn.XLOOKUP(1,([1]!hcahps[Facility ID] = clean[[#This Row],[Facility ID]]) * ([1]!hcahps[HCAHPS Measure ID] = "H_HSP_RATING_LINEAR_SCORE"), [1]!hcahps[HCAHPS Linear Mean Value]), "No Match")</f>
        <v>Not Available</v>
      </c>
      <c r="F4713" cm="1">
        <f t="array" ref="F4713">_xlfn.IFNA(_xlfn.XLOOKUP(1,([1]!readmissions[Facility ID] = clean[[#This Row],[Facility ID]]) * ([1]!readmissions[Measure ID] = "Hybrid_HWR"), [1]!readmissions[Score]), "No Match")</f>
        <v>15.2</v>
      </c>
    </row>
    <row r="4714" spans="1:6" x14ac:dyDescent="0.2">
      <c r="A4714">
        <f>[1]!hospitalinfo[[#This Row],[Facility ID]]</f>
        <v>451338</v>
      </c>
      <c r="B4714" t="str">
        <f>[1]!hospitalinfo[[#This Row],[State]]</f>
        <v>TX</v>
      </c>
      <c r="C4714" t="str">
        <f>[1]!hospitalinfo[[#This Row],[Hospital Type]]</f>
        <v>Critical Access Hospitals</v>
      </c>
      <c r="D4714" t="str">
        <f>[1]!hospitalinfo[[#This Row],[Hospital Ownership]]</f>
        <v>Voluntary non-profit - Other</v>
      </c>
      <c r="E4714" t="str" cm="1">
        <f t="array" ref="E4714">_xlfn.IFNA(_xlfn.XLOOKUP(1,([1]!hcahps[Facility ID] = clean[[#This Row],[Facility ID]]) * ([1]!hcahps[HCAHPS Measure ID] = "H_HSP_RATING_LINEAR_SCORE"), [1]!hcahps[HCAHPS Linear Mean Value]), "No Match")</f>
        <v>Not Available</v>
      </c>
      <c r="F4714" t="str" cm="1">
        <f t="array" ref="F4714">_xlfn.IFNA(_xlfn.XLOOKUP(1,([1]!readmissions[Facility ID] = clean[[#This Row],[Facility ID]]) * ([1]!readmissions[Measure ID] = "Hybrid_HWR"), [1]!readmissions[Score]), "No Match")</f>
        <v>Not Available</v>
      </c>
    </row>
    <row r="4715" spans="1:6" x14ac:dyDescent="0.2">
      <c r="A4715">
        <f>[1]!hospitalinfo[[#This Row],[Facility ID]]</f>
        <v>451339</v>
      </c>
      <c r="B4715" t="str">
        <f>[1]!hospitalinfo[[#This Row],[State]]</f>
        <v>TX</v>
      </c>
      <c r="C4715" t="str">
        <f>[1]!hospitalinfo[[#This Row],[Hospital Type]]</f>
        <v>Critical Access Hospitals</v>
      </c>
      <c r="D4715" t="str">
        <f>[1]!hospitalinfo[[#This Row],[Hospital Ownership]]</f>
        <v>Government - Local</v>
      </c>
      <c r="E4715" t="str" cm="1">
        <f t="array" ref="E4715">_xlfn.IFNA(_xlfn.XLOOKUP(1,([1]!hcahps[Facility ID] = clean[[#This Row],[Facility ID]]) * ([1]!hcahps[HCAHPS Measure ID] = "H_HSP_RATING_LINEAR_SCORE"), [1]!hcahps[HCAHPS Linear Mean Value]), "No Match")</f>
        <v>Not Available</v>
      </c>
      <c r="F4715" t="str" cm="1">
        <f t="array" ref="F4715">_xlfn.IFNA(_xlfn.XLOOKUP(1,([1]!readmissions[Facility ID] = clean[[#This Row],[Facility ID]]) * ([1]!readmissions[Measure ID] = "Hybrid_HWR"), [1]!readmissions[Score]), "No Match")</f>
        <v>Not Available</v>
      </c>
    </row>
    <row r="4716" spans="1:6" x14ac:dyDescent="0.2">
      <c r="A4716">
        <f>[1]!hospitalinfo[[#This Row],[Facility ID]]</f>
        <v>451340</v>
      </c>
      <c r="B4716" t="str">
        <f>[1]!hospitalinfo[[#This Row],[State]]</f>
        <v>TX</v>
      </c>
      <c r="C4716" t="str">
        <f>[1]!hospitalinfo[[#This Row],[Hospital Type]]</f>
        <v>Critical Access Hospitals</v>
      </c>
      <c r="D4716" t="str">
        <f>[1]!hospitalinfo[[#This Row],[Hospital Ownership]]</f>
        <v>Government - Hospital District or Authority</v>
      </c>
      <c r="E4716" t="str" cm="1">
        <f t="array" ref="E4716">_xlfn.IFNA(_xlfn.XLOOKUP(1,([1]!hcahps[Facility ID] = clean[[#This Row],[Facility ID]]) * ([1]!hcahps[HCAHPS Measure ID] = "H_HSP_RATING_LINEAR_SCORE"), [1]!hcahps[HCAHPS Linear Mean Value]), "No Match")</f>
        <v>Not Available</v>
      </c>
      <c r="F4716" t="str" cm="1">
        <f t="array" ref="F4716">_xlfn.IFNA(_xlfn.XLOOKUP(1,([1]!readmissions[Facility ID] = clean[[#This Row],[Facility ID]]) * ([1]!readmissions[Measure ID] = "Hybrid_HWR"), [1]!readmissions[Score]), "No Match")</f>
        <v>Not Available</v>
      </c>
    </row>
    <row r="4717" spans="1:6" x14ac:dyDescent="0.2">
      <c r="A4717">
        <f>[1]!hospitalinfo[[#This Row],[Facility ID]]</f>
        <v>451341</v>
      </c>
      <c r="B4717" t="str">
        <f>[1]!hospitalinfo[[#This Row],[State]]</f>
        <v>TX</v>
      </c>
      <c r="C4717" t="str">
        <f>[1]!hospitalinfo[[#This Row],[Hospital Type]]</f>
        <v>Critical Access Hospitals</v>
      </c>
      <c r="D4717" t="str">
        <f>[1]!hospitalinfo[[#This Row],[Hospital Ownership]]</f>
        <v>Government - Hospital District or Authority</v>
      </c>
      <c r="E4717" t="str" cm="1">
        <f t="array" ref="E4717">_xlfn.IFNA(_xlfn.XLOOKUP(1,([1]!hcahps[Facility ID] = clean[[#This Row],[Facility ID]]) * ([1]!hcahps[HCAHPS Measure ID] = "H_HSP_RATING_LINEAR_SCORE"), [1]!hcahps[HCAHPS Linear Mean Value]), "No Match")</f>
        <v>Not Available</v>
      </c>
      <c r="F4717" cm="1">
        <f t="array" ref="F4717">_xlfn.IFNA(_xlfn.XLOOKUP(1,([1]!readmissions[Facility ID] = clean[[#This Row],[Facility ID]]) * ([1]!readmissions[Measure ID] = "Hybrid_HWR"), [1]!readmissions[Score]), "No Match")</f>
        <v>14.7</v>
      </c>
    </row>
    <row r="4718" spans="1:6" x14ac:dyDescent="0.2">
      <c r="A4718">
        <f>[1]!hospitalinfo[[#This Row],[Facility ID]]</f>
        <v>451342</v>
      </c>
      <c r="B4718" t="str">
        <f>[1]!hospitalinfo[[#This Row],[State]]</f>
        <v>TX</v>
      </c>
      <c r="C4718" t="str">
        <f>[1]!hospitalinfo[[#This Row],[Hospital Type]]</f>
        <v>Critical Access Hospitals</v>
      </c>
      <c r="D4718" t="str">
        <f>[1]!hospitalinfo[[#This Row],[Hospital Ownership]]</f>
        <v>Government - Hospital District or Authority</v>
      </c>
      <c r="E4718" t="str" cm="1">
        <f t="array" ref="E4718">_xlfn.IFNA(_xlfn.XLOOKUP(1,([1]!hcahps[Facility ID] = clean[[#This Row],[Facility ID]]) * ([1]!hcahps[HCAHPS Measure ID] = "H_HSP_RATING_LINEAR_SCORE"), [1]!hcahps[HCAHPS Linear Mean Value]), "No Match")</f>
        <v>Not Available</v>
      </c>
      <c r="F4718" cm="1">
        <f t="array" ref="F4718">_xlfn.IFNA(_xlfn.XLOOKUP(1,([1]!readmissions[Facility ID] = clean[[#This Row],[Facility ID]]) * ([1]!readmissions[Measure ID] = "Hybrid_HWR"), [1]!readmissions[Score]), "No Match")</f>
        <v>14.8</v>
      </c>
    </row>
    <row r="4719" spans="1:6" x14ac:dyDescent="0.2">
      <c r="A4719">
        <f>[1]!hospitalinfo[[#This Row],[Facility ID]]</f>
        <v>451343</v>
      </c>
      <c r="B4719" t="str">
        <f>[1]!hospitalinfo[[#This Row],[State]]</f>
        <v>TX</v>
      </c>
      <c r="C4719" t="str">
        <f>[1]!hospitalinfo[[#This Row],[Hospital Type]]</f>
        <v>Critical Access Hospitals</v>
      </c>
      <c r="D4719" t="str">
        <f>[1]!hospitalinfo[[#This Row],[Hospital Ownership]]</f>
        <v>Government - Hospital District or Authority</v>
      </c>
      <c r="E4719" t="str" cm="1">
        <f t="array" ref="E4719">_xlfn.IFNA(_xlfn.XLOOKUP(1,([1]!hcahps[Facility ID] = clean[[#This Row],[Facility ID]]) * ([1]!hcahps[HCAHPS Measure ID] = "H_HSP_RATING_LINEAR_SCORE"), [1]!hcahps[HCAHPS Linear Mean Value]), "No Match")</f>
        <v>Not Available</v>
      </c>
      <c r="F4719" cm="1">
        <f t="array" ref="F4719">_xlfn.IFNA(_xlfn.XLOOKUP(1,([1]!readmissions[Facility ID] = clean[[#This Row],[Facility ID]]) * ([1]!readmissions[Measure ID] = "Hybrid_HWR"), [1]!readmissions[Score]), "No Match")</f>
        <v>15.1</v>
      </c>
    </row>
    <row r="4720" spans="1:6" x14ac:dyDescent="0.2">
      <c r="A4720">
        <f>[1]!hospitalinfo[[#This Row],[Facility ID]]</f>
        <v>451344</v>
      </c>
      <c r="B4720" t="str">
        <f>[1]!hospitalinfo[[#This Row],[State]]</f>
        <v>TX</v>
      </c>
      <c r="C4720" t="str">
        <f>[1]!hospitalinfo[[#This Row],[Hospital Type]]</f>
        <v>Critical Access Hospitals</v>
      </c>
      <c r="D4720" t="str">
        <f>[1]!hospitalinfo[[#This Row],[Hospital Ownership]]</f>
        <v>Government - Hospital District or Authority</v>
      </c>
      <c r="E4720" t="str" cm="1">
        <f t="array" ref="E4720">_xlfn.IFNA(_xlfn.XLOOKUP(1,([1]!hcahps[Facility ID] = clean[[#This Row],[Facility ID]]) * ([1]!hcahps[HCAHPS Measure ID] = "H_HSP_RATING_LINEAR_SCORE"), [1]!hcahps[HCAHPS Linear Mean Value]), "No Match")</f>
        <v>Not Available</v>
      </c>
      <c r="F4720" cm="1">
        <f t="array" ref="F4720">_xlfn.IFNA(_xlfn.XLOOKUP(1,([1]!readmissions[Facility ID] = clean[[#This Row],[Facility ID]]) * ([1]!readmissions[Measure ID] = "Hybrid_HWR"), [1]!readmissions[Score]), "No Match")</f>
        <v>15.3</v>
      </c>
    </row>
    <row r="4721" spans="1:6" x14ac:dyDescent="0.2">
      <c r="A4721">
        <f>[1]!hospitalinfo[[#This Row],[Facility ID]]</f>
        <v>451346</v>
      </c>
      <c r="B4721" t="str">
        <f>[1]!hospitalinfo[[#This Row],[State]]</f>
        <v>TX</v>
      </c>
      <c r="C4721" t="str">
        <f>[1]!hospitalinfo[[#This Row],[Hospital Type]]</f>
        <v>Critical Access Hospitals</v>
      </c>
      <c r="D4721" t="str">
        <f>[1]!hospitalinfo[[#This Row],[Hospital Ownership]]</f>
        <v>Voluntary non-profit - Private</v>
      </c>
      <c r="E4721" t="str" cm="1">
        <f t="array" ref="E4721">_xlfn.IFNA(_xlfn.XLOOKUP(1,([1]!hcahps[Facility ID] = clean[[#This Row],[Facility ID]]) * ([1]!hcahps[HCAHPS Measure ID] = "H_HSP_RATING_LINEAR_SCORE"), [1]!hcahps[HCAHPS Linear Mean Value]), "No Match")</f>
        <v>Not Available</v>
      </c>
      <c r="F4721" cm="1">
        <f t="array" ref="F4721">_xlfn.IFNA(_xlfn.XLOOKUP(1,([1]!readmissions[Facility ID] = clean[[#This Row],[Facility ID]]) * ([1]!readmissions[Measure ID] = "Hybrid_HWR"), [1]!readmissions[Score]), "No Match")</f>
        <v>14.4</v>
      </c>
    </row>
    <row r="4722" spans="1:6" x14ac:dyDescent="0.2">
      <c r="A4722">
        <f>[1]!hospitalinfo[[#This Row],[Facility ID]]</f>
        <v>451347</v>
      </c>
      <c r="B4722" t="str">
        <f>[1]!hospitalinfo[[#This Row],[State]]</f>
        <v>TX</v>
      </c>
      <c r="C4722" t="str">
        <f>[1]!hospitalinfo[[#This Row],[Hospital Type]]</f>
        <v>Critical Access Hospitals</v>
      </c>
      <c r="D4722" t="str">
        <f>[1]!hospitalinfo[[#This Row],[Hospital Ownership]]</f>
        <v>Proprietary</v>
      </c>
      <c r="E4722" t="str" cm="1">
        <f t="array" ref="E4722">_xlfn.IFNA(_xlfn.XLOOKUP(1,([1]!hcahps[Facility ID] = clean[[#This Row],[Facility ID]]) * ([1]!hcahps[HCAHPS Measure ID] = "H_HSP_RATING_LINEAR_SCORE"), [1]!hcahps[HCAHPS Linear Mean Value]), "No Match")</f>
        <v>Not Available</v>
      </c>
      <c r="F4722" cm="1">
        <f t="array" ref="F4722">_xlfn.IFNA(_xlfn.XLOOKUP(1,([1]!readmissions[Facility ID] = clean[[#This Row],[Facility ID]]) * ([1]!readmissions[Measure ID] = "Hybrid_HWR"), [1]!readmissions[Score]), "No Match")</f>
        <v>15.5</v>
      </c>
    </row>
    <row r="4723" spans="1:6" x14ac:dyDescent="0.2">
      <c r="A4723">
        <f>[1]!hospitalinfo[[#This Row],[Facility ID]]</f>
        <v>451348</v>
      </c>
      <c r="B4723" t="str">
        <f>[1]!hospitalinfo[[#This Row],[State]]</f>
        <v>TX</v>
      </c>
      <c r="C4723" t="str">
        <f>[1]!hospitalinfo[[#This Row],[Hospital Type]]</f>
        <v>Critical Access Hospitals</v>
      </c>
      <c r="D4723" t="str">
        <f>[1]!hospitalinfo[[#This Row],[Hospital Ownership]]</f>
        <v>Voluntary non-profit - Private</v>
      </c>
      <c r="E4723" t="str" cm="1">
        <f t="array" ref="E4723">_xlfn.IFNA(_xlfn.XLOOKUP(1,([1]!hcahps[Facility ID] = clean[[#This Row],[Facility ID]]) * ([1]!hcahps[HCAHPS Measure ID] = "H_HSP_RATING_LINEAR_SCORE"), [1]!hcahps[HCAHPS Linear Mean Value]), "No Match")</f>
        <v>Not Available</v>
      </c>
      <c r="F4723" t="str" cm="1">
        <f t="array" ref="F4723">_xlfn.IFNA(_xlfn.XLOOKUP(1,([1]!readmissions[Facility ID] = clean[[#This Row],[Facility ID]]) * ([1]!readmissions[Measure ID] = "Hybrid_HWR"), [1]!readmissions[Score]), "No Match")</f>
        <v>Not Available</v>
      </c>
    </row>
    <row r="4724" spans="1:6" x14ac:dyDescent="0.2">
      <c r="A4724">
        <f>[1]!hospitalinfo[[#This Row],[Facility ID]]</f>
        <v>451349</v>
      </c>
      <c r="B4724" t="str">
        <f>[1]!hospitalinfo[[#This Row],[State]]</f>
        <v>TX</v>
      </c>
      <c r="C4724" t="str">
        <f>[1]!hospitalinfo[[#This Row],[Hospital Type]]</f>
        <v>Critical Access Hospitals</v>
      </c>
      <c r="D4724" t="str">
        <f>[1]!hospitalinfo[[#This Row],[Hospital Ownership]]</f>
        <v>Voluntary non-profit - Private</v>
      </c>
      <c r="E4724" t="str" cm="1">
        <f t="array" ref="E4724">_xlfn.IFNA(_xlfn.XLOOKUP(1,([1]!hcahps[Facility ID] = clean[[#This Row],[Facility ID]]) * ([1]!hcahps[HCAHPS Measure ID] = "H_HSP_RATING_LINEAR_SCORE"), [1]!hcahps[HCAHPS Linear Mean Value]), "No Match")</f>
        <v>Not Available</v>
      </c>
      <c r="F4724" t="str" cm="1">
        <f t="array" ref="F4724">_xlfn.IFNA(_xlfn.XLOOKUP(1,([1]!readmissions[Facility ID] = clean[[#This Row],[Facility ID]]) * ([1]!readmissions[Measure ID] = "Hybrid_HWR"), [1]!readmissions[Score]), "No Match")</f>
        <v>Not Available</v>
      </c>
    </row>
    <row r="4725" spans="1:6" x14ac:dyDescent="0.2">
      <c r="A4725">
        <f>[1]!hospitalinfo[[#This Row],[Facility ID]]</f>
        <v>451350</v>
      </c>
      <c r="B4725" t="str">
        <f>[1]!hospitalinfo[[#This Row],[State]]</f>
        <v>TX</v>
      </c>
      <c r="C4725" t="str">
        <f>[1]!hospitalinfo[[#This Row],[Hospital Type]]</f>
        <v>Critical Access Hospitals</v>
      </c>
      <c r="D4725" t="str">
        <f>[1]!hospitalinfo[[#This Row],[Hospital Ownership]]</f>
        <v>Government - Local</v>
      </c>
      <c r="E4725" t="str" cm="1">
        <f t="array" ref="E4725">_xlfn.IFNA(_xlfn.XLOOKUP(1,([1]!hcahps[Facility ID] = clean[[#This Row],[Facility ID]]) * ([1]!hcahps[HCAHPS Measure ID] = "H_HSP_RATING_LINEAR_SCORE"), [1]!hcahps[HCAHPS Linear Mean Value]), "No Match")</f>
        <v>Not Available</v>
      </c>
      <c r="F4725" t="str" cm="1">
        <f t="array" ref="F4725">_xlfn.IFNA(_xlfn.XLOOKUP(1,([1]!readmissions[Facility ID] = clean[[#This Row],[Facility ID]]) * ([1]!readmissions[Measure ID] = "Hybrid_HWR"), [1]!readmissions[Score]), "No Match")</f>
        <v>Not Available</v>
      </c>
    </row>
    <row r="4726" spans="1:6" x14ac:dyDescent="0.2">
      <c r="A4726">
        <f>[1]!hospitalinfo[[#This Row],[Facility ID]]</f>
        <v>451351</v>
      </c>
      <c r="B4726" t="str">
        <f>[1]!hospitalinfo[[#This Row],[State]]</f>
        <v>TX</v>
      </c>
      <c r="C4726" t="str">
        <f>[1]!hospitalinfo[[#This Row],[Hospital Type]]</f>
        <v>Critical Access Hospitals</v>
      </c>
      <c r="D4726" t="str">
        <f>[1]!hospitalinfo[[#This Row],[Hospital Ownership]]</f>
        <v>Government - Hospital District or Authority</v>
      </c>
      <c r="E4726" t="str" cm="1">
        <f t="array" ref="E4726">_xlfn.IFNA(_xlfn.XLOOKUP(1,([1]!hcahps[Facility ID] = clean[[#This Row],[Facility ID]]) * ([1]!hcahps[HCAHPS Measure ID] = "H_HSP_RATING_LINEAR_SCORE"), [1]!hcahps[HCAHPS Linear Mean Value]), "No Match")</f>
        <v>Not Available</v>
      </c>
      <c r="F4726" cm="1">
        <f t="array" ref="F4726">_xlfn.IFNA(_xlfn.XLOOKUP(1,([1]!readmissions[Facility ID] = clean[[#This Row],[Facility ID]]) * ([1]!readmissions[Measure ID] = "Hybrid_HWR"), [1]!readmissions[Score]), "No Match")</f>
        <v>15.3</v>
      </c>
    </row>
    <row r="4727" spans="1:6" x14ac:dyDescent="0.2">
      <c r="A4727">
        <f>[1]!hospitalinfo[[#This Row],[Facility ID]]</f>
        <v>451352</v>
      </c>
      <c r="B4727" t="str">
        <f>[1]!hospitalinfo[[#This Row],[State]]</f>
        <v>TX</v>
      </c>
      <c r="C4727" t="str">
        <f>[1]!hospitalinfo[[#This Row],[Hospital Type]]</f>
        <v>Critical Access Hospitals</v>
      </c>
      <c r="D4727" t="str">
        <f>[1]!hospitalinfo[[#This Row],[Hospital Ownership]]</f>
        <v>Government - Hospital District or Authority</v>
      </c>
      <c r="E4727" t="str" cm="1">
        <f t="array" ref="E4727">_xlfn.IFNA(_xlfn.XLOOKUP(1,([1]!hcahps[Facility ID] = clean[[#This Row],[Facility ID]]) * ([1]!hcahps[HCAHPS Measure ID] = "H_HSP_RATING_LINEAR_SCORE"), [1]!hcahps[HCAHPS Linear Mean Value]), "No Match")</f>
        <v>Not Available</v>
      </c>
      <c r="F4727" t="str" cm="1">
        <f t="array" ref="F4727">_xlfn.IFNA(_xlfn.XLOOKUP(1,([1]!readmissions[Facility ID] = clean[[#This Row],[Facility ID]]) * ([1]!readmissions[Measure ID] = "Hybrid_HWR"), [1]!readmissions[Score]), "No Match")</f>
        <v>Not Available</v>
      </c>
    </row>
    <row r="4728" spans="1:6" x14ac:dyDescent="0.2">
      <c r="A4728">
        <f>[1]!hospitalinfo[[#This Row],[Facility ID]]</f>
        <v>451353</v>
      </c>
      <c r="B4728" t="str">
        <f>[1]!hospitalinfo[[#This Row],[State]]</f>
        <v>TX</v>
      </c>
      <c r="C4728" t="str">
        <f>[1]!hospitalinfo[[#This Row],[Hospital Type]]</f>
        <v>Critical Access Hospitals</v>
      </c>
      <c r="D4728" t="str">
        <f>[1]!hospitalinfo[[#This Row],[Hospital Ownership]]</f>
        <v>Government - Hospital District or Authority</v>
      </c>
      <c r="E4728" t="str" cm="1">
        <f t="array" ref="E4728">_xlfn.IFNA(_xlfn.XLOOKUP(1,([1]!hcahps[Facility ID] = clean[[#This Row],[Facility ID]]) * ([1]!hcahps[HCAHPS Measure ID] = "H_HSP_RATING_LINEAR_SCORE"), [1]!hcahps[HCAHPS Linear Mean Value]), "No Match")</f>
        <v>Not Available</v>
      </c>
      <c r="F4728" t="str" cm="1">
        <f t="array" ref="F4728">_xlfn.IFNA(_xlfn.XLOOKUP(1,([1]!readmissions[Facility ID] = clean[[#This Row],[Facility ID]]) * ([1]!readmissions[Measure ID] = "Hybrid_HWR"), [1]!readmissions[Score]), "No Match")</f>
        <v>Not Available</v>
      </c>
    </row>
    <row r="4729" spans="1:6" x14ac:dyDescent="0.2">
      <c r="A4729">
        <f>[1]!hospitalinfo[[#This Row],[Facility ID]]</f>
        <v>451354</v>
      </c>
      <c r="B4729" t="str">
        <f>[1]!hospitalinfo[[#This Row],[State]]</f>
        <v>TX</v>
      </c>
      <c r="C4729" t="str">
        <f>[1]!hospitalinfo[[#This Row],[Hospital Type]]</f>
        <v>Critical Access Hospitals</v>
      </c>
      <c r="D4729" t="str">
        <f>[1]!hospitalinfo[[#This Row],[Hospital Ownership]]</f>
        <v>Government - Hospital District or Authority</v>
      </c>
      <c r="E4729" t="str" cm="1">
        <f t="array" ref="E4729">_xlfn.IFNA(_xlfn.XLOOKUP(1,([1]!hcahps[Facility ID] = clean[[#This Row],[Facility ID]]) * ([1]!hcahps[HCAHPS Measure ID] = "H_HSP_RATING_LINEAR_SCORE"), [1]!hcahps[HCAHPS Linear Mean Value]), "No Match")</f>
        <v>Not Available</v>
      </c>
      <c r="F4729" cm="1">
        <f t="array" ref="F4729">_xlfn.IFNA(_xlfn.XLOOKUP(1,([1]!readmissions[Facility ID] = clean[[#This Row],[Facility ID]]) * ([1]!readmissions[Measure ID] = "Hybrid_HWR"), [1]!readmissions[Score]), "No Match")</f>
        <v>15.5</v>
      </c>
    </row>
    <row r="4730" spans="1:6" x14ac:dyDescent="0.2">
      <c r="A4730">
        <f>[1]!hospitalinfo[[#This Row],[Facility ID]]</f>
        <v>451355</v>
      </c>
      <c r="B4730" t="str">
        <f>[1]!hospitalinfo[[#This Row],[State]]</f>
        <v>TX</v>
      </c>
      <c r="C4730" t="str">
        <f>[1]!hospitalinfo[[#This Row],[Hospital Type]]</f>
        <v>Critical Access Hospitals</v>
      </c>
      <c r="D4730" t="str">
        <f>[1]!hospitalinfo[[#This Row],[Hospital Ownership]]</f>
        <v>Proprietary</v>
      </c>
      <c r="E4730" t="str" cm="1">
        <f t="array" ref="E4730">_xlfn.IFNA(_xlfn.XLOOKUP(1,([1]!hcahps[Facility ID] = clean[[#This Row],[Facility ID]]) * ([1]!hcahps[HCAHPS Measure ID] = "H_HSP_RATING_LINEAR_SCORE"), [1]!hcahps[HCAHPS Linear Mean Value]), "No Match")</f>
        <v>Not Available</v>
      </c>
      <c r="F4730" cm="1">
        <f t="array" ref="F4730">_xlfn.IFNA(_xlfn.XLOOKUP(1,([1]!readmissions[Facility ID] = clean[[#This Row],[Facility ID]]) * ([1]!readmissions[Measure ID] = "Hybrid_HWR"), [1]!readmissions[Score]), "No Match")</f>
        <v>15.2</v>
      </c>
    </row>
    <row r="4731" spans="1:6" x14ac:dyDescent="0.2">
      <c r="A4731">
        <f>[1]!hospitalinfo[[#This Row],[Facility ID]]</f>
        <v>451356</v>
      </c>
      <c r="B4731" t="str">
        <f>[1]!hospitalinfo[[#This Row],[State]]</f>
        <v>TX</v>
      </c>
      <c r="C4731" t="str">
        <f>[1]!hospitalinfo[[#This Row],[Hospital Type]]</f>
        <v>Critical Access Hospitals</v>
      </c>
      <c r="D4731" t="str">
        <f>[1]!hospitalinfo[[#This Row],[Hospital Ownership]]</f>
        <v>Government - Local</v>
      </c>
      <c r="E4731" t="str" cm="1">
        <f t="array" ref="E4731">_xlfn.IFNA(_xlfn.XLOOKUP(1,([1]!hcahps[Facility ID] = clean[[#This Row],[Facility ID]]) * ([1]!hcahps[HCAHPS Measure ID] = "H_HSP_RATING_LINEAR_SCORE"), [1]!hcahps[HCAHPS Linear Mean Value]), "No Match")</f>
        <v>Not Available</v>
      </c>
      <c r="F4731" cm="1">
        <f t="array" ref="F4731">_xlfn.IFNA(_xlfn.XLOOKUP(1,([1]!readmissions[Facility ID] = clean[[#This Row],[Facility ID]]) * ([1]!readmissions[Measure ID] = "Hybrid_HWR"), [1]!readmissions[Score]), "No Match")</f>
        <v>15</v>
      </c>
    </row>
    <row r="4732" spans="1:6" x14ac:dyDescent="0.2">
      <c r="A4732">
        <f>[1]!hospitalinfo[[#This Row],[Facility ID]]</f>
        <v>451358</v>
      </c>
      <c r="B4732" t="str">
        <f>[1]!hospitalinfo[[#This Row],[State]]</f>
        <v>TX</v>
      </c>
      <c r="C4732" t="str">
        <f>[1]!hospitalinfo[[#This Row],[Hospital Type]]</f>
        <v>Critical Access Hospitals</v>
      </c>
      <c r="D4732" t="str">
        <f>[1]!hospitalinfo[[#This Row],[Hospital Ownership]]</f>
        <v>Government - Hospital District or Authority</v>
      </c>
      <c r="E4732" t="str" cm="1">
        <f t="array" ref="E4732">_xlfn.IFNA(_xlfn.XLOOKUP(1,([1]!hcahps[Facility ID] = clean[[#This Row],[Facility ID]]) * ([1]!hcahps[HCAHPS Measure ID] = "H_HSP_RATING_LINEAR_SCORE"), [1]!hcahps[HCAHPS Linear Mean Value]), "No Match")</f>
        <v>Not Available</v>
      </c>
      <c r="F4732" t="str" cm="1">
        <f t="array" ref="F4732">_xlfn.IFNA(_xlfn.XLOOKUP(1,([1]!readmissions[Facility ID] = clean[[#This Row],[Facility ID]]) * ([1]!readmissions[Measure ID] = "Hybrid_HWR"), [1]!readmissions[Score]), "No Match")</f>
        <v>Not Available</v>
      </c>
    </row>
    <row r="4733" spans="1:6" x14ac:dyDescent="0.2">
      <c r="A4733">
        <f>[1]!hospitalinfo[[#This Row],[Facility ID]]</f>
        <v>451359</v>
      </c>
      <c r="B4733" t="str">
        <f>[1]!hospitalinfo[[#This Row],[State]]</f>
        <v>TX</v>
      </c>
      <c r="C4733" t="str">
        <f>[1]!hospitalinfo[[#This Row],[Hospital Type]]</f>
        <v>Critical Access Hospitals</v>
      </c>
      <c r="D4733" t="str">
        <f>[1]!hospitalinfo[[#This Row],[Hospital Ownership]]</f>
        <v>Government - Hospital District or Authority</v>
      </c>
      <c r="E4733" t="str" cm="1">
        <f t="array" ref="E4733">_xlfn.IFNA(_xlfn.XLOOKUP(1,([1]!hcahps[Facility ID] = clean[[#This Row],[Facility ID]]) * ([1]!hcahps[HCAHPS Measure ID] = "H_HSP_RATING_LINEAR_SCORE"), [1]!hcahps[HCAHPS Linear Mean Value]), "No Match")</f>
        <v>Not Available</v>
      </c>
      <c r="F4733" cm="1">
        <f t="array" ref="F4733">_xlfn.IFNA(_xlfn.XLOOKUP(1,([1]!readmissions[Facility ID] = clean[[#This Row],[Facility ID]]) * ([1]!readmissions[Measure ID] = "Hybrid_HWR"), [1]!readmissions[Score]), "No Match")</f>
        <v>14.8</v>
      </c>
    </row>
    <row r="4734" spans="1:6" x14ac:dyDescent="0.2">
      <c r="A4734">
        <f>[1]!hospitalinfo[[#This Row],[Facility ID]]</f>
        <v>451361</v>
      </c>
      <c r="B4734" t="str">
        <f>[1]!hospitalinfo[[#This Row],[State]]</f>
        <v>TX</v>
      </c>
      <c r="C4734" t="str">
        <f>[1]!hospitalinfo[[#This Row],[Hospital Type]]</f>
        <v>Critical Access Hospitals</v>
      </c>
      <c r="D4734" t="str">
        <f>[1]!hospitalinfo[[#This Row],[Hospital Ownership]]</f>
        <v>Proprietary</v>
      </c>
      <c r="E4734" t="str" cm="1">
        <f t="array" ref="E4734">_xlfn.IFNA(_xlfn.XLOOKUP(1,([1]!hcahps[Facility ID] = clean[[#This Row],[Facility ID]]) * ([1]!hcahps[HCAHPS Measure ID] = "H_HSP_RATING_LINEAR_SCORE"), [1]!hcahps[HCAHPS Linear Mean Value]), "No Match")</f>
        <v>Not Available</v>
      </c>
      <c r="F4734" cm="1">
        <f t="array" ref="F4734">_xlfn.IFNA(_xlfn.XLOOKUP(1,([1]!readmissions[Facility ID] = clean[[#This Row],[Facility ID]]) * ([1]!readmissions[Measure ID] = "Hybrid_HWR"), [1]!readmissions[Score]), "No Match")</f>
        <v>14.7</v>
      </c>
    </row>
    <row r="4735" spans="1:6" x14ac:dyDescent="0.2">
      <c r="A4735">
        <f>[1]!hospitalinfo[[#This Row],[Facility ID]]</f>
        <v>451362</v>
      </c>
      <c r="B4735" t="str">
        <f>[1]!hospitalinfo[[#This Row],[State]]</f>
        <v>TX</v>
      </c>
      <c r="C4735" t="str">
        <f>[1]!hospitalinfo[[#This Row],[Hospital Type]]</f>
        <v>Critical Access Hospitals</v>
      </c>
      <c r="D4735" t="str">
        <f>[1]!hospitalinfo[[#This Row],[Hospital Ownership]]</f>
        <v>Government - Local</v>
      </c>
      <c r="E4735" t="str" cm="1">
        <f t="array" ref="E4735">_xlfn.IFNA(_xlfn.XLOOKUP(1,([1]!hcahps[Facility ID] = clean[[#This Row],[Facility ID]]) * ([1]!hcahps[HCAHPS Measure ID] = "H_HSP_RATING_LINEAR_SCORE"), [1]!hcahps[HCAHPS Linear Mean Value]), "No Match")</f>
        <v>Not Available</v>
      </c>
      <c r="F4735" cm="1">
        <f t="array" ref="F4735">_xlfn.IFNA(_xlfn.XLOOKUP(1,([1]!readmissions[Facility ID] = clean[[#This Row],[Facility ID]]) * ([1]!readmissions[Measure ID] = "Hybrid_HWR"), [1]!readmissions[Score]), "No Match")</f>
        <v>14.9</v>
      </c>
    </row>
    <row r="4736" spans="1:6" x14ac:dyDescent="0.2">
      <c r="A4736">
        <f>[1]!hospitalinfo[[#This Row],[Facility ID]]</f>
        <v>451363</v>
      </c>
      <c r="B4736" t="str">
        <f>[1]!hospitalinfo[[#This Row],[State]]</f>
        <v>TX</v>
      </c>
      <c r="C4736" t="str">
        <f>[1]!hospitalinfo[[#This Row],[Hospital Type]]</f>
        <v>Critical Access Hospitals</v>
      </c>
      <c r="D4736" t="str">
        <f>[1]!hospitalinfo[[#This Row],[Hospital Ownership]]</f>
        <v>Government - Hospital District or Authority</v>
      </c>
      <c r="E4736" t="str" cm="1">
        <f t="array" ref="E4736">_xlfn.IFNA(_xlfn.XLOOKUP(1,([1]!hcahps[Facility ID] = clean[[#This Row],[Facility ID]]) * ([1]!hcahps[HCAHPS Measure ID] = "H_HSP_RATING_LINEAR_SCORE"), [1]!hcahps[HCAHPS Linear Mean Value]), "No Match")</f>
        <v>Not Available</v>
      </c>
      <c r="F4736" cm="1">
        <f t="array" ref="F4736">_xlfn.IFNA(_xlfn.XLOOKUP(1,([1]!readmissions[Facility ID] = clean[[#This Row],[Facility ID]]) * ([1]!readmissions[Measure ID] = "Hybrid_HWR"), [1]!readmissions[Score]), "No Match")</f>
        <v>15.3</v>
      </c>
    </row>
    <row r="4737" spans="1:6" x14ac:dyDescent="0.2">
      <c r="A4737">
        <f>[1]!hospitalinfo[[#This Row],[Facility ID]]</f>
        <v>451364</v>
      </c>
      <c r="B4737" t="str">
        <f>[1]!hospitalinfo[[#This Row],[State]]</f>
        <v>TX</v>
      </c>
      <c r="C4737" t="str">
        <f>[1]!hospitalinfo[[#This Row],[Hospital Type]]</f>
        <v>Critical Access Hospitals</v>
      </c>
      <c r="D4737" t="str">
        <f>[1]!hospitalinfo[[#This Row],[Hospital Ownership]]</f>
        <v>Government - Hospital District or Authority</v>
      </c>
      <c r="E4737" t="str" cm="1">
        <f t="array" ref="E4737">_xlfn.IFNA(_xlfn.XLOOKUP(1,([1]!hcahps[Facility ID] = clean[[#This Row],[Facility ID]]) * ([1]!hcahps[HCAHPS Measure ID] = "H_HSP_RATING_LINEAR_SCORE"), [1]!hcahps[HCAHPS Linear Mean Value]), "No Match")</f>
        <v>Not Available</v>
      </c>
      <c r="F4737" t="str" cm="1">
        <f t="array" ref="F4737">_xlfn.IFNA(_xlfn.XLOOKUP(1,([1]!readmissions[Facility ID] = clean[[#This Row],[Facility ID]]) * ([1]!readmissions[Measure ID] = "Hybrid_HWR"), [1]!readmissions[Score]), "No Match")</f>
        <v>Not Available</v>
      </c>
    </row>
    <row r="4738" spans="1:6" x14ac:dyDescent="0.2">
      <c r="A4738">
        <f>[1]!hospitalinfo[[#This Row],[Facility ID]]</f>
        <v>451365</v>
      </c>
      <c r="B4738" t="str">
        <f>[1]!hospitalinfo[[#This Row],[State]]</f>
        <v>TX</v>
      </c>
      <c r="C4738" t="str">
        <f>[1]!hospitalinfo[[#This Row],[Hospital Type]]</f>
        <v>Critical Access Hospitals</v>
      </c>
      <c r="D4738" t="str">
        <f>[1]!hospitalinfo[[#This Row],[Hospital Ownership]]</f>
        <v>Voluntary non-profit - Private</v>
      </c>
      <c r="E4738" t="str" cm="1">
        <f t="array" ref="E4738">_xlfn.IFNA(_xlfn.XLOOKUP(1,([1]!hcahps[Facility ID] = clean[[#This Row],[Facility ID]]) * ([1]!hcahps[HCAHPS Measure ID] = "H_HSP_RATING_LINEAR_SCORE"), [1]!hcahps[HCAHPS Linear Mean Value]), "No Match")</f>
        <v>Not Available</v>
      </c>
      <c r="F4738" cm="1">
        <f t="array" ref="F4738">_xlfn.IFNA(_xlfn.XLOOKUP(1,([1]!readmissions[Facility ID] = clean[[#This Row],[Facility ID]]) * ([1]!readmissions[Measure ID] = "Hybrid_HWR"), [1]!readmissions[Score]), "No Match")</f>
        <v>14.7</v>
      </c>
    </row>
    <row r="4739" spans="1:6" x14ac:dyDescent="0.2">
      <c r="A4739">
        <f>[1]!hospitalinfo[[#This Row],[Facility ID]]</f>
        <v>451366</v>
      </c>
      <c r="B4739" t="str">
        <f>[1]!hospitalinfo[[#This Row],[State]]</f>
        <v>TX</v>
      </c>
      <c r="C4739" t="str">
        <f>[1]!hospitalinfo[[#This Row],[Hospital Type]]</f>
        <v>Critical Access Hospitals</v>
      </c>
      <c r="D4739" t="str">
        <f>[1]!hospitalinfo[[#This Row],[Hospital Ownership]]</f>
        <v>Government - Local</v>
      </c>
      <c r="E4739" t="str" cm="1">
        <f t="array" ref="E4739">_xlfn.IFNA(_xlfn.XLOOKUP(1,([1]!hcahps[Facility ID] = clean[[#This Row],[Facility ID]]) * ([1]!hcahps[HCAHPS Measure ID] = "H_HSP_RATING_LINEAR_SCORE"), [1]!hcahps[HCAHPS Linear Mean Value]), "No Match")</f>
        <v>Not Available</v>
      </c>
      <c r="F4739" t="str" cm="1">
        <f t="array" ref="F4739">_xlfn.IFNA(_xlfn.XLOOKUP(1,([1]!readmissions[Facility ID] = clean[[#This Row],[Facility ID]]) * ([1]!readmissions[Measure ID] = "Hybrid_HWR"), [1]!readmissions[Score]), "No Match")</f>
        <v>Not Available</v>
      </c>
    </row>
    <row r="4740" spans="1:6" x14ac:dyDescent="0.2">
      <c r="A4740">
        <f>[1]!hospitalinfo[[#This Row],[Facility ID]]</f>
        <v>451367</v>
      </c>
      <c r="B4740" t="str">
        <f>[1]!hospitalinfo[[#This Row],[State]]</f>
        <v>TX</v>
      </c>
      <c r="C4740" t="str">
        <f>[1]!hospitalinfo[[#This Row],[Hospital Type]]</f>
        <v>Critical Access Hospitals</v>
      </c>
      <c r="D4740" t="str">
        <f>[1]!hospitalinfo[[#This Row],[Hospital Ownership]]</f>
        <v>Proprietary</v>
      </c>
      <c r="E4740" cm="1">
        <f t="array" ref="E4740">_xlfn.IFNA(_xlfn.XLOOKUP(1,([1]!hcahps[Facility ID] = clean[[#This Row],[Facility ID]]) * ([1]!hcahps[HCAHPS Measure ID] = "H_HSP_RATING_LINEAR_SCORE"), [1]!hcahps[HCAHPS Linear Mean Value]), "No Match")</f>
        <v>94</v>
      </c>
      <c r="F4740" cm="1">
        <f t="array" ref="F4740">_xlfn.IFNA(_xlfn.XLOOKUP(1,([1]!readmissions[Facility ID] = clean[[#This Row],[Facility ID]]) * ([1]!readmissions[Measure ID] = "Hybrid_HWR"), [1]!readmissions[Score]), "No Match")</f>
        <v>14.5</v>
      </c>
    </row>
    <row r="4741" spans="1:6" x14ac:dyDescent="0.2">
      <c r="A4741">
        <f>[1]!hospitalinfo[[#This Row],[Facility ID]]</f>
        <v>451369</v>
      </c>
      <c r="B4741" t="str">
        <f>[1]!hospitalinfo[[#This Row],[State]]</f>
        <v>TX</v>
      </c>
      <c r="C4741" t="str">
        <f>[1]!hospitalinfo[[#This Row],[Hospital Type]]</f>
        <v>Critical Access Hospitals</v>
      </c>
      <c r="D4741" t="str">
        <f>[1]!hospitalinfo[[#This Row],[Hospital Ownership]]</f>
        <v>Proprietary</v>
      </c>
      <c r="E4741" t="str" cm="1">
        <f t="array" ref="E4741">_xlfn.IFNA(_xlfn.XLOOKUP(1,([1]!hcahps[Facility ID] = clean[[#This Row],[Facility ID]]) * ([1]!hcahps[HCAHPS Measure ID] = "H_HSP_RATING_LINEAR_SCORE"), [1]!hcahps[HCAHPS Linear Mean Value]), "No Match")</f>
        <v>Not Available</v>
      </c>
      <c r="F4741" cm="1">
        <f t="array" ref="F4741">_xlfn.IFNA(_xlfn.XLOOKUP(1,([1]!readmissions[Facility ID] = clean[[#This Row],[Facility ID]]) * ([1]!readmissions[Measure ID] = "Hybrid_HWR"), [1]!readmissions[Score]), "No Match")</f>
        <v>15.3</v>
      </c>
    </row>
    <row r="4742" spans="1:6" x14ac:dyDescent="0.2">
      <c r="A4742">
        <f>[1]!hospitalinfo[[#This Row],[Facility ID]]</f>
        <v>451370</v>
      </c>
      <c r="B4742" t="str">
        <f>[1]!hospitalinfo[[#This Row],[State]]</f>
        <v>TX</v>
      </c>
      <c r="C4742" t="str">
        <f>[1]!hospitalinfo[[#This Row],[Hospital Type]]</f>
        <v>Critical Access Hospitals</v>
      </c>
      <c r="D4742" t="str">
        <f>[1]!hospitalinfo[[#This Row],[Hospital Ownership]]</f>
        <v>Government - Hospital District or Authority</v>
      </c>
      <c r="E4742" t="str" cm="1">
        <f t="array" ref="E4742">_xlfn.IFNA(_xlfn.XLOOKUP(1,([1]!hcahps[Facility ID] = clean[[#This Row],[Facility ID]]) * ([1]!hcahps[HCAHPS Measure ID] = "H_HSP_RATING_LINEAR_SCORE"), [1]!hcahps[HCAHPS Linear Mean Value]), "No Match")</f>
        <v>Not Available</v>
      </c>
      <c r="F4742" cm="1">
        <f t="array" ref="F4742">_xlfn.IFNA(_xlfn.XLOOKUP(1,([1]!readmissions[Facility ID] = clean[[#This Row],[Facility ID]]) * ([1]!readmissions[Measure ID] = "Hybrid_HWR"), [1]!readmissions[Score]), "No Match")</f>
        <v>15</v>
      </c>
    </row>
    <row r="4743" spans="1:6" x14ac:dyDescent="0.2">
      <c r="A4743">
        <f>[1]!hospitalinfo[[#This Row],[Facility ID]]</f>
        <v>451371</v>
      </c>
      <c r="B4743" t="str">
        <f>[1]!hospitalinfo[[#This Row],[State]]</f>
        <v>TX</v>
      </c>
      <c r="C4743" t="str">
        <f>[1]!hospitalinfo[[#This Row],[Hospital Type]]</f>
        <v>Critical Access Hospitals</v>
      </c>
      <c r="D4743" t="str">
        <f>[1]!hospitalinfo[[#This Row],[Hospital Ownership]]</f>
        <v>Voluntary non-profit - Private</v>
      </c>
      <c r="E4743" t="str" cm="1">
        <f t="array" ref="E4743">_xlfn.IFNA(_xlfn.XLOOKUP(1,([1]!hcahps[Facility ID] = clean[[#This Row],[Facility ID]]) * ([1]!hcahps[HCAHPS Measure ID] = "H_HSP_RATING_LINEAR_SCORE"), [1]!hcahps[HCAHPS Linear Mean Value]), "No Match")</f>
        <v>Not Available</v>
      </c>
      <c r="F4743" cm="1">
        <f t="array" ref="F4743">_xlfn.IFNA(_xlfn.XLOOKUP(1,([1]!readmissions[Facility ID] = clean[[#This Row],[Facility ID]]) * ([1]!readmissions[Measure ID] = "Hybrid_HWR"), [1]!readmissions[Score]), "No Match")</f>
        <v>14.2</v>
      </c>
    </row>
    <row r="4744" spans="1:6" x14ac:dyDescent="0.2">
      <c r="A4744">
        <f>[1]!hospitalinfo[[#This Row],[Facility ID]]</f>
        <v>451372</v>
      </c>
      <c r="B4744" t="str">
        <f>[1]!hospitalinfo[[#This Row],[State]]</f>
        <v>TX</v>
      </c>
      <c r="C4744" t="str">
        <f>[1]!hospitalinfo[[#This Row],[Hospital Type]]</f>
        <v>Critical Access Hospitals</v>
      </c>
      <c r="D4744" t="str">
        <f>[1]!hospitalinfo[[#This Row],[Hospital Ownership]]</f>
        <v>Proprietary</v>
      </c>
      <c r="E4744" t="str" cm="1">
        <f t="array" ref="E4744">_xlfn.IFNA(_xlfn.XLOOKUP(1,([1]!hcahps[Facility ID] = clean[[#This Row],[Facility ID]]) * ([1]!hcahps[HCAHPS Measure ID] = "H_HSP_RATING_LINEAR_SCORE"), [1]!hcahps[HCAHPS Linear Mean Value]), "No Match")</f>
        <v>Not Available</v>
      </c>
      <c r="F4744" t="str" cm="1">
        <f t="array" ref="F4744">_xlfn.IFNA(_xlfn.XLOOKUP(1,([1]!readmissions[Facility ID] = clean[[#This Row],[Facility ID]]) * ([1]!readmissions[Measure ID] = "Hybrid_HWR"), [1]!readmissions[Score]), "No Match")</f>
        <v>Not Available</v>
      </c>
    </row>
    <row r="4745" spans="1:6" x14ac:dyDescent="0.2">
      <c r="A4745">
        <f>[1]!hospitalinfo[[#This Row],[Facility ID]]</f>
        <v>451373</v>
      </c>
      <c r="B4745" t="str">
        <f>[1]!hospitalinfo[[#This Row],[State]]</f>
        <v>TX</v>
      </c>
      <c r="C4745" t="str">
        <f>[1]!hospitalinfo[[#This Row],[Hospital Type]]</f>
        <v>Critical Access Hospitals</v>
      </c>
      <c r="D4745" t="str">
        <f>[1]!hospitalinfo[[#This Row],[Hospital Ownership]]</f>
        <v>Government - Local</v>
      </c>
      <c r="E4745" t="str" cm="1">
        <f t="array" ref="E4745">_xlfn.IFNA(_xlfn.XLOOKUP(1,([1]!hcahps[Facility ID] = clean[[#This Row],[Facility ID]]) * ([1]!hcahps[HCAHPS Measure ID] = "H_HSP_RATING_LINEAR_SCORE"), [1]!hcahps[HCAHPS Linear Mean Value]), "No Match")</f>
        <v>Not Available</v>
      </c>
      <c r="F4745" cm="1">
        <f t="array" ref="F4745">_xlfn.IFNA(_xlfn.XLOOKUP(1,([1]!readmissions[Facility ID] = clean[[#This Row],[Facility ID]]) * ([1]!readmissions[Measure ID] = "Hybrid_HWR"), [1]!readmissions[Score]), "No Match")</f>
        <v>15.2</v>
      </c>
    </row>
    <row r="4746" spans="1:6" x14ac:dyDescent="0.2">
      <c r="A4746">
        <f>[1]!hospitalinfo[[#This Row],[Facility ID]]</f>
        <v>451374</v>
      </c>
      <c r="B4746" t="str">
        <f>[1]!hospitalinfo[[#This Row],[State]]</f>
        <v>TX</v>
      </c>
      <c r="C4746" t="str">
        <f>[1]!hospitalinfo[[#This Row],[Hospital Type]]</f>
        <v>Critical Access Hospitals</v>
      </c>
      <c r="D4746" t="str">
        <f>[1]!hospitalinfo[[#This Row],[Hospital Ownership]]</f>
        <v>Voluntary non-profit - Private</v>
      </c>
      <c r="E4746" t="str" cm="1">
        <f t="array" ref="E4746">_xlfn.IFNA(_xlfn.XLOOKUP(1,([1]!hcahps[Facility ID] = clean[[#This Row],[Facility ID]]) * ([1]!hcahps[HCAHPS Measure ID] = "H_HSP_RATING_LINEAR_SCORE"), [1]!hcahps[HCAHPS Linear Mean Value]), "No Match")</f>
        <v>Not Available</v>
      </c>
      <c r="F4746" cm="1">
        <f t="array" ref="F4746">_xlfn.IFNA(_xlfn.XLOOKUP(1,([1]!readmissions[Facility ID] = clean[[#This Row],[Facility ID]]) * ([1]!readmissions[Measure ID] = "Hybrid_HWR"), [1]!readmissions[Score]), "No Match")</f>
        <v>14.7</v>
      </c>
    </row>
    <row r="4747" spans="1:6" x14ac:dyDescent="0.2">
      <c r="A4747">
        <f>[1]!hospitalinfo[[#This Row],[Facility ID]]</f>
        <v>451375</v>
      </c>
      <c r="B4747" t="str">
        <f>[1]!hospitalinfo[[#This Row],[State]]</f>
        <v>TX</v>
      </c>
      <c r="C4747" t="str">
        <f>[1]!hospitalinfo[[#This Row],[Hospital Type]]</f>
        <v>Critical Access Hospitals</v>
      </c>
      <c r="D4747" t="str">
        <f>[1]!hospitalinfo[[#This Row],[Hospital Ownership]]</f>
        <v>Government - Hospital District or Authority</v>
      </c>
      <c r="E4747" t="str" cm="1">
        <f t="array" ref="E4747">_xlfn.IFNA(_xlfn.XLOOKUP(1,([1]!hcahps[Facility ID] = clean[[#This Row],[Facility ID]]) * ([1]!hcahps[HCAHPS Measure ID] = "H_HSP_RATING_LINEAR_SCORE"), [1]!hcahps[HCAHPS Linear Mean Value]), "No Match")</f>
        <v>Not Available</v>
      </c>
      <c r="F4747" cm="1">
        <f t="array" ref="F4747">_xlfn.IFNA(_xlfn.XLOOKUP(1,([1]!readmissions[Facility ID] = clean[[#This Row],[Facility ID]]) * ([1]!readmissions[Measure ID] = "Hybrid_HWR"), [1]!readmissions[Score]), "No Match")</f>
        <v>14.8</v>
      </c>
    </row>
    <row r="4748" spans="1:6" x14ac:dyDescent="0.2">
      <c r="A4748">
        <f>[1]!hospitalinfo[[#This Row],[Facility ID]]</f>
        <v>451376</v>
      </c>
      <c r="B4748" t="str">
        <f>[1]!hospitalinfo[[#This Row],[State]]</f>
        <v>TX</v>
      </c>
      <c r="C4748" t="str">
        <f>[1]!hospitalinfo[[#This Row],[Hospital Type]]</f>
        <v>Critical Access Hospitals</v>
      </c>
      <c r="D4748" t="str">
        <f>[1]!hospitalinfo[[#This Row],[Hospital Ownership]]</f>
        <v>Government - Hospital District or Authority</v>
      </c>
      <c r="E4748" t="str" cm="1">
        <f t="array" ref="E4748">_xlfn.IFNA(_xlfn.XLOOKUP(1,([1]!hcahps[Facility ID] = clean[[#This Row],[Facility ID]]) * ([1]!hcahps[HCAHPS Measure ID] = "H_HSP_RATING_LINEAR_SCORE"), [1]!hcahps[HCAHPS Linear Mean Value]), "No Match")</f>
        <v>Not Available</v>
      </c>
      <c r="F4748" cm="1">
        <f t="array" ref="F4748">_xlfn.IFNA(_xlfn.XLOOKUP(1,([1]!readmissions[Facility ID] = clean[[#This Row],[Facility ID]]) * ([1]!readmissions[Measure ID] = "Hybrid_HWR"), [1]!readmissions[Score]), "No Match")</f>
        <v>14.4</v>
      </c>
    </row>
    <row r="4749" spans="1:6" x14ac:dyDescent="0.2">
      <c r="A4749">
        <f>[1]!hospitalinfo[[#This Row],[Facility ID]]</f>
        <v>451377</v>
      </c>
      <c r="B4749" t="str">
        <f>[1]!hospitalinfo[[#This Row],[State]]</f>
        <v>TX</v>
      </c>
      <c r="C4749" t="str">
        <f>[1]!hospitalinfo[[#This Row],[Hospital Type]]</f>
        <v>Critical Access Hospitals</v>
      </c>
      <c r="D4749" t="str">
        <f>[1]!hospitalinfo[[#This Row],[Hospital Ownership]]</f>
        <v>Government - Hospital District or Authority</v>
      </c>
      <c r="E4749" t="str" cm="1">
        <f t="array" ref="E4749">_xlfn.IFNA(_xlfn.XLOOKUP(1,([1]!hcahps[Facility ID] = clean[[#This Row],[Facility ID]]) * ([1]!hcahps[HCAHPS Measure ID] = "H_HSP_RATING_LINEAR_SCORE"), [1]!hcahps[HCAHPS Linear Mean Value]), "No Match")</f>
        <v>Not Available</v>
      </c>
      <c r="F4749" cm="1">
        <f t="array" ref="F4749">_xlfn.IFNA(_xlfn.XLOOKUP(1,([1]!readmissions[Facility ID] = clean[[#This Row],[Facility ID]]) * ([1]!readmissions[Measure ID] = "Hybrid_HWR"), [1]!readmissions[Score]), "No Match")</f>
        <v>15.7</v>
      </c>
    </row>
    <row r="4750" spans="1:6" x14ac:dyDescent="0.2">
      <c r="A4750">
        <f>[1]!hospitalinfo[[#This Row],[Facility ID]]</f>
        <v>451378</v>
      </c>
      <c r="B4750" t="str">
        <f>[1]!hospitalinfo[[#This Row],[State]]</f>
        <v>TX</v>
      </c>
      <c r="C4750" t="str">
        <f>[1]!hospitalinfo[[#This Row],[Hospital Type]]</f>
        <v>Critical Access Hospitals</v>
      </c>
      <c r="D4750" t="str">
        <f>[1]!hospitalinfo[[#This Row],[Hospital Ownership]]</f>
        <v>Proprietary</v>
      </c>
      <c r="E4750" cm="1">
        <f t="array" ref="E4750">_xlfn.IFNA(_xlfn.XLOOKUP(1,([1]!hcahps[Facility ID] = clean[[#This Row],[Facility ID]]) * ([1]!hcahps[HCAHPS Measure ID] = "H_HSP_RATING_LINEAR_SCORE"), [1]!hcahps[HCAHPS Linear Mean Value]), "No Match")</f>
        <v>89</v>
      </c>
      <c r="F4750" cm="1">
        <f t="array" ref="F4750">_xlfn.IFNA(_xlfn.XLOOKUP(1,([1]!readmissions[Facility ID] = clean[[#This Row],[Facility ID]]) * ([1]!readmissions[Measure ID] = "Hybrid_HWR"), [1]!readmissions[Score]), "No Match")</f>
        <v>14.9</v>
      </c>
    </row>
    <row r="4751" spans="1:6" x14ac:dyDescent="0.2">
      <c r="A4751">
        <f>[1]!hospitalinfo[[#This Row],[Facility ID]]</f>
        <v>451379</v>
      </c>
      <c r="B4751" t="str">
        <f>[1]!hospitalinfo[[#This Row],[State]]</f>
        <v>TX</v>
      </c>
      <c r="C4751" t="str">
        <f>[1]!hospitalinfo[[#This Row],[Hospital Type]]</f>
        <v>Critical Access Hospitals</v>
      </c>
      <c r="D4751" t="str">
        <f>[1]!hospitalinfo[[#This Row],[Hospital Ownership]]</f>
        <v>Government - Hospital District or Authority</v>
      </c>
      <c r="E4751" cm="1">
        <f t="array" ref="E4751">_xlfn.IFNA(_xlfn.XLOOKUP(1,([1]!hcahps[Facility ID] = clean[[#This Row],[Facility ID]]) * ([1]!hcahps[HCAHPS Measure ID] = "H_HSP_RATING_LINEAR_SCORE"), [1]!hcahps[HCAHPS Linear Mean Value]), "No Match")</f>
        <v>94</v>
      </c>
      <c r="F4751" cm="1">
        <f t="array" ref="F4751">_xlfn.IFNA(_xlfn.XLOOKUP(1,([1]!readmissions[Facility ID] = clean[[#This Row],[Facility ID]]) * ([1]!readmissions[Measure ID] = "Hybrid_HWR"), [1]!readmissions[Score]), "No Match")</f>
        <v>15.3</v>
      </c>
    </row>
    <row r="4752" spans="1:6" x14ac:dyDescent="0.2">
      <c r="A4752">
        <f>[1]!hospitalinfo[[#This Row],[Facility ID]]</f>
        <v>451380</v>
      </c>
      <c r="B4752" t="str">
        <f>[1]!hospitalinfo[[#This Row],[State]]</f>
        <v>TX</v>
      </c>
      <c r="C4752" t="str">
        <f>[1]!hospitalinfo[[#This Row],[Hospital Type]]</f>
        <v>Critical Access Hospitals</v>
      </c>
      <c r="D4752" t="str">
        <f>[1]!hospitalinfo[[#This Row],[Hospital Ownership]]</f>
        <v>Voluntary non-profit - Other</v>
      </c>
      <c r="E4752" cm="1">
        <f t="array" ref="E4752">_xlfn.IFNA(_xlfn.XLOOKUP(1,([1]!hcahps[Facility ID] = clean[[#This Row],[Facility ID]]) * ([1]!hcahps[HCAHPS Measure ID] = "H_HSP_RATING_LINEAR_SCORE"), [1]!hcahps[HCAHPS Linear Mean Value]), "No Match")</f>
        <v>92</v>
      </c>
      <c r="F4752" cm="1">
        <f t="array" ref="F4752">_xlfn.IFNA(_xlfn.XLOOKUP(1,([1]!readmissions[Facility ID] = clean[[#This Row],[Facility ID]]) * ([1]!readmissions[Measure ID] = "Hybrid_HWR"), [1]!readmissions[Score]), "No Match")</f>
        <v>14.8</v>
      </c>
    </row>
    <row r="4753" spans="1:6" x14ac:dyDescent="0.2">
      <c r="A4753">
        <f>[1]!hospitalinfo[[#This Row],[Facility ID]]</f>
        <v>451381</v>
      </c>
      <c r="B4753" t="str">
        <f>[1]!hospitalinfo[[#This Row],[State]]</f>
        <v>TX</v>
      </c>
      <c r="C4753" t="str">
        <f>[1]!hospitalinfo[[#This Row],[Hospital Type]]</f>
        <v>Critical Access Hospitals</v>
      </c>
      <c r="D4753" t="str">
        <f>[1]!hospitalinfo[[#This Row],[Hospital Ownership]]</f>
        <v>Voluntary non-profit - Private</v>
      </c>
      <c r="E4753" t="str" cm="1">
        <f t="array" ref="E4753">_xlfn.IFNA(_xlfn.XLOOKUP(1,([1]!hcahps[Facility ID] = clean[[#This Row],[Facility ID]]) * ([1]!hcahps[HCAHPS Measure ID] = "H_HSP_RATING_LINEAR_SCORE"), [1]!hcahps[HCAHPS Linear Mean Value]), "No Match")</f>
        <v>Not Available</v>
      </c>
      <c r="F4753" t="str" cm="1">
        <f t="array" ref="F4753">_xlfn.IFNA(_xlfn.XLOOKUP(1,([1]!readmissions[Facility ID] = clean[[#This Row],[Facility ID]]) * ([1]!readmissions[Measure ID] = "Hybrid_HWR"), [1]!readmissions[Score]), "No Match")</f>
        <v>Not Available</v>
      </c>
    </row>
    <row r="4754" spans="1:6" x14ac:dyDescent="0.2">
      <c r="A4754">
        <f>[1]!hospitalinfo[[#This Row],[Facility ID]]</f>
        <v>451382</v>
      </c>
      <c r="B4754" t="str">
        <f>[1]!hospitalinfo[[#This Row],[State]]</f>
        <v>TX</v>
      </c>
      <c r="C4754" t="str">
        <f>[1]!hospitalinfo[[#This Row],[Hospital Type]]</f>
        <v>Critical Access Hospitals</v>
      </c>
      <c r="D4754" t="str">
        <f>[1]!hospitalinfo[[#This Row],[Hospital Ownership]]</f>
        <v>Voluntary non-profit - Private</v>
      </c>
      <c r="E4754" t="str" cm="1">
        <f t="array" ref="E4754">_xlfn.IFNA(_xlfn.XLOOKUP(1,([1]!hcahps[Facility ID] = clean[[#This Row],[Facility ID]]) * ([1]!hcahps[HCAHPS Measure ID] = "H_HSP_RATING_LINEAR_SCORE"), [1]!hcahps[HCAHPS Linear Mean Value]), "No Match")</f>
        <v>Not Available</v>
      </c>
      <c r="F4754" cm="1">
        <f t="array" ref="F4754">_xlfn.IFNA(_xlfn.XLOOKUP(1,([1]!readmissions[Facility ID] = clean[[#This Row],[Facility ID]]) * ([1]!readmissions[Measure ID] = "Hybrid_HWR"), [1]!readmissions[Score]), "No Match")</f>
        <v>15.5</v>
      </c>
    </row>
    <row r="4755" spans="1:6" x14ac:dyDescent="0.2">
      <c r="A4755">
        <f>[1]!hospitalinfo[[#This Row],[Facility ID]]</f>
        <v>451384</v>
      </c>
      <c r="B4755" t="str">
        <f>[1]!hospitalinfo[[#This Row],[State]]</f>
        <v>TX</v>
      </c>
      <c r="C4755" t="str">
        <f>[1]!hospitalinfo[[#This Row],[Hospital Type]]</f>
        <v>Critical Access Hospitals</v>
      </c>
      <c r="D4755" t="str">
        <f>[1]!hospitalinfo[[#This Row],[Hospital Ownership]]</f>
        <v>Government - Hospital District or Authority</v>
      </c>
      <c r="E4755" t="str" cm="1">
        <f t="array" ref="E4755">_xlfn.IFNA(_xlfn.XLOOKUP(1,([1]!hcahps[Facility ID] = clean[[#This Row],[Facility ID]]) * ([1]!hcahps[HCAHPS Measure ID] = "H_HSP_RATING_LINEAR_SCORE"), [1]!hcahps[HCAHPS Linear Mean Value]), "No Match")</f>
        <v>Not Available</v>
      </c>
      <c r="F4755" cm="1">
        <f t="array" ref="F4755">_xlfn.IFNA(_xlfn.XLOOKUP(1,([1]!readmissions[Facility ID] = clean[[#This Row],[Facility ID]]) * ([1]!readmissions[Measure ID] = "Hybrid_HWR"), [1]!readmissions[Score]), "No Match")</f>
        <v>15.3</v>
      </c>
    </row>
    <row r="4756" spans="1:6" x14ac:dyDescent="0.2">
      <c r="A4756">
        <f>[1]!hospitalinfo[[#This Row],[Facility ID]]</f>
        <v>451385</v>
      </c>
      <c r="B4756" t="str">
        <f>[1]!hospitalinfo[[#This Row],[State]]</f>
        <v>TX</v>
      </c>
      <c r="C4756" t="str">
        <f>[1]!hospitalinfo[[#This Row],[Hospital Type]]</f>
        <v>Critical Access Hospitals</v>
      </c>
      <c r="D4756" t="str">
        <f>[1]!hospitalinfo[[#This Row],[Hospital Ownership]]</f>
        <v>Government - Hospital District or Authority</v>
      </c>
      <c r="E4756" t="str" cm="1">
        <f t="array" ref="E4756">_xlfn.IFNA(_xlfn.XLOOKUP(1,([1]!hcahps[Facility ID] = clean[[#This Row],[Facility ID]]) * ([1]!hcahps[HCAHPS Measure ID] = "H_HSP_RATING_LINEAR_SCORE"), [1]!hcahps[HCAHPS Linear Mean Value]), "No Match")</f>
        <v>Not Available</v>
      </c>
      <c r="F4756" cm="1">
        <f t="array" ref="F4756">_xlfn.IFNA(_xlfn.XLOOKUP(1,([1]!readmissions[Facility ID] = clean[[#This Row],[Facility ID]]) * ([1]!readmissions[Measure ID] = "Hybrid_HWR"), [1]!readmissions[Score]), "No Match")</f>
        <v>14.9</v>
      </c>
    </row>
    <row r="4757" spans="1:6" x14ac:dyDescent="0.2">
      <c r="A4757">
        <f>[1]!hospitalinfo[[#This Row],[Facility ID]]</f>
        <v>451386</v>
      </c>
      <c r="B4757" t="str">
        <f>[1]!hospitalinfo[[#This Row],[State]]</f>
        <v>TX</v>
      </c>
      <c r="C4757" t="str">
        <f>[1]!hospitalinfo[[#This Row],[Hospital Type]]</f>
        <v>Critical Access Hospitals</v>
      </c>
      <c r="D4757" t="str">
        <f>[1]!hospitalinfo[[#This Row],[Hospital Ownership]]</f>
        <v>Government - Hospital District or Authority</v>
      </c>
      <c r="E4757" t="str" cm="1">
        <f t="array" ref="E4757">_xlfn.IFNA(_xlfn.XLOOKUP(1,([1]!hcahps[Facility ID] = clean[[#This Row],[Facility ID]]) * ([1]!hcahps[HCAHPS Measure ID] = "H_HSP_RATING_LINEAR_SCORE"), [1]!hcahps[HCAHPS Linear Mean Value]), "No Match")</f>
        <v>Not Available</v>
      </c>
      <c r="F4757" cm="1">
        <f t="array" ref="F4757">_xlfn.IFNA(_xlfn.XLOOKUP(1,([1]!readmissions[Facility ID] = clean[[#This Row],[Facility ID]]) * ([1]!readmissions[Measure ID] = "Hybrid_HWR"), [1]!readmissions[Score]), "No Match")</f>
        <v>15.5</v>
      </c>
    </row>
    <row r="4758" spans="1:6" x14ac:dyDescent="0.2">
      <c r="A4758">
        <f>[1]!hospitalinfo[[#This Row],[Facility ID]]</f>
        <v>451387</v>
      </c>
      <c r="B4758" t="str">
        <f>[1]!hospitalinfo[[#This Row],[State]]</f>
        <v>TX</v>
      </c>
      <c r="C4758" t="str">
        <f>[1]!hospitalinfo[[#This Row],[Hospital Type]]</f>
        <v>Critical Access Hospitals</v>
      </c>
      <c r="D4758" t="str">
        <f>[1]!hospitalinfo[[#This Row],[Hospital Ownership]]</f>
        <v>Government - Hospital District or Authority</v>
      </c>
      <c r="E4758" cm="1">
        <f t="array" ref="E4758">_xlfn.IFNA(_xlfn.XLOOKUP(1,([1]!hcahps[Facility ID] = clean[[#This Row],[Facility ID]]) * ([1]!hcahps[HCAHPS Measure ID] = "H_HSP_RATING_LINEAR_SCORE"), [1]!hcahps[HCAHPS Linear Mean Value]), "No Match")</f>
        <v>92</v>
      </c>
      <c r="F4758" cm="1">
        <f t="array" ref="F4758">_xlfn.IFNA(_xlfn.XLOOKUP(1,([1]!readmissions[Facility ID] = clean[[#This Row],[Facility ID]]) * ([1]!readmissions[Measure ID] = "Hybrid_HWR"), [1]!readmissions[Score]), "No Match")</f>
        <v>14.7</v>
      </c>
    </row>
    <row r="4759" spans="1:6" x14ac:dyDescent="0.2">
      <c r="A4759">
        <f>[1]!hospitalinfo[[#This Row],[Facility ID]]</f>
        <v>451389</v>
      </c>
      <c r="B4759" t="str">
        <f>[1]!hospitalinfo[[#This Row],[State]]</f>
        <v>TX</v>
      </c>
      <c r="C4759" t="str">
        <f>[1]!hospitalinfo[[#This Row],[Hospital Type]]</f>
        <v>Critical Access Hospitals</v>
      </c>
      <c r="D4759" t="str">
        <f>[1]!hospitalinfo[[#This Row],[Hospital Ownership]]</f>
        <v>Government - Local</v>
      </c>
      <c r="E4759" t="str" cm="1">
        <f t="array" ref="E4759">_xlfn.IFNA(_xlfn.XLOOKUP(1,([1]!hcahps[Facility ID] = clean[[#This Row],[Facility ID]]) * ([1]!hcahps[HCAHPS Measure ID] = "H_HSP_RATING_LINEAR_SCORE"), [1]!hcahps[HCAHPS Linear Mean Value]), "No Match")</f>
        <v>Not Available</v>
      </c>
      <c r="F4759" t="str" cm="1">
        <f t="array" ref="F4759">_xlfn.IFNA(_xlfn.XLOOKUP(1,([1]!readmissions[Facility ID] = clean[[#This Row],[Facility ID]]) * ([1]!readmissions[Measure ID] = "Hybrid_HWR"), [1]!readmissions[Score]), "No Match")</f>
        <v>Not Available</v>
      </c>
    </row>
    <row r="4760" spans="1:6" x14ac:dyDescent="0.2">
      <c r="A4760">
        <f>[1]!hospitalinfo[[#This Row],[Facility ID]]</f>
        <v>451390</v>
      </c>
      <c r="B4760" t="str">
        <f>[1]!hospitalinfo[[#This Row],[State]]</f>
        <v>TX</v>
      </c>
      <c r="C4760" t="str">
        <f>[1]!hospitalinfo[[#This Row],[Hospital Type]]</f>
        <v>Critical Access Hospitals</v>
      </c>
      <c r="D4760" t="str">
        <f>[1]!hospitalinfo[[#This Row],[Hospital Ownership]]</f>
        <v>Voluntary non-profit - Private</v>
      </c>
      <c r="E4760" t="str" cm="1">
        <f t="array" ref="E4760">_xlfn.IFNA(_xlfn.XLOOKUP(1,([1]!hcahps[Facility ID] = clean[[#This Row],[Facility ID]]) * ([1]!hcahps[HCAHPS Measure ID] = "H_HSP_RATING_LINEAR_SCORE"), [1]!hcahps[HCAHPS Linear Mean Value]), "No Match")</f>
        <v>Not Available</v>
      </c>
      <c r="F4760" t="str" cm="1">
        <f t="array" ref="F4760">_xlfn.IFNA(_xlfn.XLOOKUP(1,([1]!readmissions[Facility ID] = clean[[#This Row],[Facility ID]]) * ([1]!readmissions[Measure ID] = "Hybrid_HWR"), [1]!readmissions[Score]), "No Match")</f>
        <v>Not Available</v>
      </c>
    </row>
    <row r="4761" spans="1:6" x14ac:dyDescent="0.2">
      <c r="A4761">
        <f>[1]!hospitalinfo[[#This Row],[Facility ID]]</f>
        <v>451391</v>
      </c>
      <c r="B4761" t="str">
        <f>[1]!hospitalinfo[[#This Row],[State]]</f>
        <v>TX</v>
      </c>
      <c r="C4761" t="str">
        <f>[1]!hospitalinfo[[#This Row],[Hospital Type]]</f>
        <v>Critical Access Hospitals</v>
      </c>
      <c r="D4761" t="str">
        <f>[1]!hospitalinfo[[#This Row],[Hospital Ownership]]</f>
        <v>Voluntary non-profit - Private</v>
      </c>
      <c r="E4761" t="str" cm="1">
        <f t="array" ref="E4761">_xlfn.IFNA(_xlfn.XLOOKUP(1,([1]!hcahps[Facility ID] = clean[[#This Row],[Facility ID]]) * ([1]!hcahps[HCAHPS Measure ID] = "H_HSP_RATING_LINEAR_SCORE"), [1]!hcahps[HCAHPS Linear Mean Value]), "No Match")</f>
        <v>Not Available</v>
      </c>
      <c r="F4761" cm="1">
        <f t="array" ref="F4761">_xlfn.IFNA(_xlfn.XLOOKUP(1,([1]!readmissions[Facility ID] = clean[[#This Row],[Facility ID]]) * ([1]!readmissions[Measure ID] = "Hybrid_HWR"), [1]!readmissions[Score]), "No Match")</f>
        <v>15.1</v>
      </c>
    </row>
    <row r="4762" spans="1:6" x14ac:dyDescent="0.2">
      <c r="A4762">
        <f>[1]!hospitalinfo[[#This Row],[Facility ID]]</f>
        <v>451392</v>
      </c>
      <c r="B4762" t="str">
        <f>[1]!hospitalinfo[[#This Row],[State]]</f>
        <v>TX</v>
      </c>
      <c r="C4762" t="str">
        <f>[1]!hospitalinfo[[#This Row],[Hospital Type]]</f>
        <v>Critical Access Hospitals</v>
      </c>
      <c r="D4762" t="str">
        <f>[1]!hospitalinfo[[#This Row],[Hospital Ownership]]</f>
        <v>Government - Hospital District or Authority</v>
      </c>
      <c r="E4762" t="str" cm="1">
        <f t="array" ref="E4762">_xlfn.IFNA(_xlfn.XLOOKUP(1,([1]!hcahps[Facility ID] = clean[[#This Row],[Facility ID]]) * ([1]!hcahps[HCAHPS Measure ID] = "H_HSP_RATING_LINEAR_SCORE"), [1]!hcahps[HCAHPS Linear Mean Value]), "No Match")</f>
        <v>Not Available</v>
      </c>
      <c r="F4762" cm="1">
        <f t="array" ref="F4762">_xlfn.IFNA(_xlfn.XLOOKUP(1,([1]!readmissions[Facility ID] = clean[[#This Row],[Facility ID]]) * ([1]!readmissions[Measure ID] = "Hybrid_HWR"), [1]!readmissions[Score]), "No Match")</f>
        <v>14.8</v>
      </c>
    </row>
    <row r="4763" spans="1:6" x14ac:dyDescent="0.2">
      <c r="A4763">
        <f>[1]!hospitalinfo[[#This Row],[Facility ID]]</f>
        <v>451393</v>
      </c>
      <c r="B4763" t="str">
        <f>[1]!hospitalinfo[[#This Row],[State]]</f>
        <v>TX</v>
      </c>
      <c r="C4763" t="str">
        <f>[1]!hospitalinfo[[#This Row],[Hospital Type]]</f>
        <v>Critical Access Hospitals</v>
      </c>
      <c r="D4763" t="str">
        <f>[1]!hospitalinfo[[#This Row],[Hospital Ownership]]</f>
        <v>Physician</v>
      </c>
      <c r="E4763" t="str" cm="1">
        <f t="array" ref="E4763">_xlfn.IFNA(_xlfn.XLOOKUP(1,([1]!hcahps[Facility ID] = clean[[#This Row],[Facility ID]]) * ([1]!hcahps[HCAHPS Measure ID] = "H_HSP_RATING_LINEAR_SCORE"), [1]!hcahps[HCAHPS Linear Mean Value]), "No Match")</f>
        <v>Not Available</v>
      </c>
      <c r="F4763" t="str" cm="1">
        <f t="array" ref="F4763">_xlfn.IFNA(_xlfn.XLOOKUP(1,([1]!readmissions[Facility ID] = clean[[#This Row],[Facility ID]]) * ([1]!readmissions[Measure ID] = "Hybrid_HWR"), [1]!readmissions[Score]), "No Match")</f>
        <v>Not Available</v>
      </c>
    </row>
    <row r="4764" spans="1:6" x14ac:dyDescent="0.2">
      <c r="A4764">
        <f>[1]!hospitalinfo[[#This Row],[Facility ID]]</f>
        <v>451394</v>
      </c>
      <c r="B4764" t="str">
        <f>[1]!hospitalinfo[[#This Row],[State]]</f>
        <v>TX</v>
      </c>
      <c r="C4764" t="str">
        <f>[1]!hospitalinfo[[#This Row],[Hospital Type]]</f>
        <v>Critical Access Hospitals</v>
      </c>
      <c r="D4764" t="str">
        <f>[1]!hospitalinfo[[#This Row],[Hospital Ownership]]</f>
        <v>Government - Local</v>
      </c>
      <c r="E4764" t="str" cm="1">
        <f t="array" ref="E4764">_xlfn.IFNA(_xlfn.XLOOKUP(1,([1]!hcahps[Facility ID] = clean[[#This Row],[Facility ID]]) * ([1]!hcahps[HCAHPS Measure ID] = "H_HSP_RATING_LINEAR_SCORE"), [1]!hcahps[HCAHPS Linear Mean Value]), "No Match")</f>
        <v>Not Available</v>
      </c>
      <c r="F4764" t="str" cm="1">
        <f t="array" ref="F4764">_xlfn.IFNA(_xlfn.XLOOKUP(1,([1]!readmissions[Facility ID] = clean[[#This Row],[Facility ID]]) * ([1]!readmissions[Measure ID] = "Hybrid_HWR"), [1]!readmissions[Score]), "No Match")</f>
        <v>Not Available</v>
      </c>
    </row>
    <row r="4765" spans="1:6" x14ac:dyDescent="0.2">
      <c r="A4765">
        <f>[1]!hospitalinfo[[#This Row],[Facility ID]]</f>
        <v>451395</v>
      </c>
      <c r="B4765" t="str">
        <f>[1]!hospitalinfo[[#This Row],[State]]</f>
        <v>TX</v>
      </c>
      <c r="C4765" t="str">
        <f>[1]!hospitalinfo[[#This Row],[Hospital Type]]</f>
        <v>Critical Access Hospitals</v>
      </c>
      <c r="D4765" t="str">
        <f>[1]!hospitalinfo[[#This Row],[Hospital Ownership]]</f>
        <v>Voluntary non-profit - Private</v>
      </c>
      <c r="E4765" cm="1">
        <f t="array" ref="E4765">_xlfn.IFNA(_xlfn.XLOOKUP(1,([1]!hcahps[Facility ID] = clean[[#This Row],[Facility ID]]) * ([1]!hcahps[HCAHPS Measure ID] = "H_HSP_RATING_LINEAR_SCORE"), [1]!hcahps[HCAHPS Linear Mean Value]), "No Match")</f>
        <v>88</v>
      </c>
      <c r="F4765" cm="1">
        <f t="array" ref="F4765">_xlfn.IFNA(_xlfn.XLOOKUP(1,([1]!readmissions[Facility ID] = clean[[#This Row],[Facility ID]]) * ([1]!readmissions[Measure ID] = "Hybrid_HWR"), [1]!readmissions[Score]), "No Match")</f>
        <v>15.1</v>
      </c>
    </row>
    <row r="4766" spans="1:6" x14ac:dyDescent="0.2">
      <c r="A4766">
        <f>[1]!hospitalinfo[[#This Row],[Facility ID]]</f>
        <v>451396</v>
      </c>
      <c r="B4766" t="str">
        <f>[1]!hospitalinfo[[#This Row],[State]]</f>
        <v>TX</v>
      </c>
      <c r="C4766" t="str">
        <f>[1]!hospitalinfo[[#This Row],[Hospital Type]]</f>
        <v>Critical Access Hospitals</v>
      </c>
      <c r="D4766" t="str">
        <f>[1]!hospitalinfo[[#This Row],[Hospital Ownership]]</f>
        <v>Physician</v>
      </c>
      <c r="E4766" t="str" cm="1">
        <f t="array" ref="E4766">_xlfn.IFNA(_xlfn.XLOOKUP(1,([1]!hcahps[Facility ID] = clean[[#This Row],[Facility ID]]) * ([1]!hcahps[HCAHPS Measure ID] = "H_HSP_RATING_LINEAR_SCORE"), [1]!hcahps[HCAHPS Linear Mean Value]), "No Match")</f>
        <v>Not Available</v>
      </c>
      <c r="F4766" t="str" cm="1">
        <f t="array" ref="F4766">_xlfn.IFNA(_xlfn.XLOOKUP(1,([1]!readmissions[Facility ID] = clean[[#This Row],[Facility ID]]) * ([1]!readmissions[Measure ID] = "Hybrid_HWR"), [1]!readmissions[Score]), "No Match")</f>
        <v>Not Available</v>
      </c>
    </row>
    <row r="4767" spans="1:6" x14ac:dyDescent="0.2">
      <c r="A4767">
        <f>[1]!hospitalinfo[[#This Row],[Facility ID]]</f>
        <v>451397</v>
      </c>
      <c r="B4767" t="str">
        <f>[1]!hospitalinfo[[#This Row],[State]]</f>
        <v>TX</v>
      </c>
      <c r="C4767" t="str">
        <f>[1]!hospitalinfo[[#This Row],[Hospital Type]]</f>
        <v>Critical Access Hospitals</v>
      </c>
      <c r="D4767" t="str">
        <f>[1]!hospitalinfo[[#This Row],[Hospital Ownership]]</f>
        <v>Voluntary non-profit - Private</v>
      </c>
      <c r="E4767" cm="1">
        <f t="array" ref="E4767">_xlfn.IFNA(_xlfn.XLOOKUP(1,([1]!hcahps[Facility ID] = clean[[#This Row],[Facility ID]]) * ([1]!hcahps[HCAHPS Measure ID] = "H_HSP_RATING_LINEAR_SCORE"), [1]!hcahps[HCAHPS Linear Mean Value]), "No Match")</f>
        <v>90</v>
      </c>
      <c r="F4767" cm="1">
        <f t="array" ref="F4767">_xlfn.IFNA(_xlfn.XLOOKUP(1,([1]!readmissions[Facility ID] = clean[[#This Row],[Facility ID]]) * ([1]!readmissions[Measure ID] = "Hybrid_HWR"), [1]!readmissions[Score]), "No Match")</f>
        <v>14.3</v>
      </c>
    </row>
    <row r="4768" spans="1:6" x14ac:dyDescent="0.2">
      <c r="A4768">
        <f>[1]!hospitalinfo[[#This Row],[Facility ID]]</f>
        <v>451398</v>
      </c>
      <c r="B4768" t="str">
        <f>[1]!hospitalinfo[[#This Row],[State]]</f>
        <v>TX</v>
      </c>
      <c r="C4768" t="str">
        <f>[1]!hospitalinfo[[#This Row],[Hospital Type]]</f>
        <v>Critical Access Hospitals</v>
      </c>
      <c r="D4768" t="str">
        <f>[1]!hospitalinfo[[#This Row],[Hospital Ownership]]</f>
        <v>Voluntary non-profit - Private</v>
      </c>
      <c r="E4768" t="str" cm="1">
        <f t="array" ref="E4768">_xlfn.IFNA(_xlfn.XLOOKUP(1,([1]!hcahps[Facility ID] = clean[[#This Row],[Facility ID]]) * ([1]!hcahps[HCAHPS Measure ID] = "H_HSP_RATING_LINEAR_SCORE"), [1]!hcahps[HCAHPS Linear Mean Value]), "No Match")</f>
        <v>Not Available</v>
      </c>
      <c r="F4768" t="str" cm="1">
        <f t="array" ref="F4768">_xlfn.IFNA(_xlfn.XLOOKUP(1,([1]!readmissions[Facility ID] = clean[[#This Row],[Facility ID]]) * ([1]!readmissions[Measure ID] = "Hybrid_HWR"), [1]!readmissions[Score]), "No Match")</f>
        <v>Not Available</v>
      </c>
    </row>
    <row r="4769" spans="1:6" x14ac:dyDescent="0.2">
      <c r="A4769">
        <f>[1]!hospitalinfo[[#This Row],[Facility ID]]</f>
        <v>451399</v>
      </c>
      <c r="B4769" t="str">
        <f>[1]!hospitalinfo[[#This Row],[State]]</f>
        <v>TX</v>
      </c>
      <c r="C4769" t="str">
        <f>[1]!hospitalinfo[[#This Row],[Hospital Type]]</f>
        <v>Critical Access Hospitals</v>
      </c>
      <c r="D4769" t="str">
        <f>[1]!hospitalinfo[[#This Row],[Hospital Ownership]]</f>
        <v>Government - Hospital District or Authority</v>
      </c>
      <c r="E4769" t="str" cm="1">
        <f t="array" ref="E4769">_xlfn.IFNA(_xlfn.XLOOKUP(1,([1]!hcahps[Facility ID] = clean[[#This Row],[Facility ID]]) * ([1]!hcahps[HCAHPS Measure ID] = "H_HSP_RATING_LINEAR_SCORE"), [1]!hcahps[HCAHPS Linear Mean Value]), "No Match")</f>
        <v>Not Available</v>
      </c>
      <c r="F4769" cm="1">
        <f t="array" ref="F4769">_xlfn.IFNA(_xlfn.XLOOKUP(1,([1]!readmissions[Facility ID] = clean[[#This Row],[Facility ID]]) * ([1]!readmissions[Measure ID] = "Hybrid_HWR"), [1]!readmissions[Score]), "No Match")</f>
        <v>14.7</v>
      </c>
    </row>
    <row r="4770" spans="1:6" x14ac:dyDescent="0.2">
      <c r="A4770">
        <f>[1]!hospitalinfo[[#This Row],[Facility ID]]</f>
        <v>452114</v>
      </c>
      <c r="B4770" t="str">
        <f>[1]!hospitalinfo[[#This Row],[State]]</f>
        <v>TX</v>
      </c>
      <c r="C4770" t="str">
        <f>[1]!hospitalinfo[[#This Row],[Hospital Type]]</f>
        <v>Long-term</v>
      </c>
      <c r="D4770" t="str">
        <f>[1]!hospitalinfo[[#This Row],[Hospital Ownership]]</f>
        <v>Physician</v>
      </c>
      <c r="E4770" t="str" cm="1">
        <f t="array" ref="E4770">_xlfn.IFNA(_xlfn.XLOOKUP(1,([1]!hcahps[Facility ID] = clean[[#This Row],[Facility ID]]) * ([1]!hcahps[HCAHPS Measure ID] = "H_HSP_RATING_LINEAR_SCORE"), [1]!hcahps[HCAHPS Linear Mean Value]), "No Match")</f>
        <v>No Match</v>
      </c>
      <c r="F4770" t="str" cm="1">
        <f t="array" ref="F4770">_xlfn.IFNA(_xlfn.XLOOKUP(1,([1]!readmissions[Facility ID] = clean[[#This Row],[Facility ID]]) * ([1]!readmissions[Measure ID] = "Hybrid_HWR"), [1]!readmissions[Score]), "No Match")</f>
        <v>No Match</v>
      </c>
    </row>
    <row r="4771" spans="1:6" x14ac:dyDescent="0.2">
      <c r="A4771">
        <f>[1]!hospitalinfo[[#This Row],[Facility ID]]</f>
        <v>453300</v>
      </c>
      <c r="B4771" t="str">
        <f>[1]!hospitalinfo[[#This Row],[State]]</f>
        <v>TX</v>
      </c>
      <c r="C4771" t="str">
        <f>[1]!hospitalinfo[[#This Row],[Hospital Type]]</f>
        <v>Childrens</v>
      </c>
      <c r="D4771" t="str">
        <f>[1]!hospitalinfo[[#This Row],[Hospital Ownership]]</f>
        <v>Voluntary non-profit - Private</v>
      </c>
      <c r="E4771" t="str" cm="1">
        <f t="array" ref="E4771">_xlfn.IFNA(_xlfn.XLOOKUP(1,([1]!hcahps[Facility ID] = clean[[#This Row],[Facility ID]]) * ([1]!hcahps[HCAHPS Measure ID] = "H_HSP_RATING_LINEAR_SCORE"), [1]!hcahps[HCAHPS Linear Mean Value]), "No Match")</f>
        <v>Not Available</v>
      </c>
      <c r="F4771" t="str" cm="1">
        <f t="array" ref="F4771">_xlfn.IFNA(_xlfn.XLOOKUP(1,([1]!readmissions[Facility ID] = clean[[#This Row],[Facility ID]]) * ([1]!readmissions[Measure ID] = "Hybrid_HWR"), [1]!readmissions[Score]), "No Match")</f>
        <v>Not Available</v>
      </c>
    </row>
    <row r="4772" spans="1:6" x14ac:dyDescent="0.2">
      <c r="A4772">
        <f>[1]!hospitalinfo[[#This Row],[Facility ID]]</f>
        <v>453301</v>
      </c>
      <c r="B4772" t="str">
        <f>[1]!hospitalinfo[[#This Row],[State]]</f>
        <v>TX</v>
      </c>
      <c r="C4772" t="str">
        <f>[1]!hospitalinfo[[#This Row],[Hospital Type]]</f>
        <v>Childrens</v>
      </c>
      <c r="D4772" t="str">
        <f>[1]!hospitalinfo[[#This Row],[Hospital Ownership]]</f>
        <v>Voluntary non-profit - Private</v>
      </c>
      <c r="E4772" t="str" cm="1">
        <f t="array" ref="E4772">_xlfn.IFNA(_xlfn.XLOOKUP(1,([1]!hcahps[Facility ID] = clean[[#This Row],[Facility ID]]) * ([1]!hcahps[HCAHPS Measure ID] = "H_HSP_RATING_LINEAR_SCORE"), [1]!hcahps[HCAHPS Linear Mean Value]), "No Match")</f>
        <v>Not Available</v>
      </c>
      <c r="F4772" t="str" cm="1">
        <f t="array" ref="F4772">_xlfn.IFNA(_xlfn.XLOOKUP(1,([1]!readmissions[Facility ID] = clean[[#This Row],[Facility ID]]) * ([1]!readmissions[Measure ID] = "Hybrid_HWR"), [1]!readmissions[Score]), "No Match")</f>
        <v>Not Available</v>
      </c>
    </row>
    <row r="4773" spans="1:6" x14ac:dyDescent="0.2">
      <c r="A4773">
        <f>[1]!hospitalinfo[[#This Row],[Facility ID]]</f>
        <v>453302</v>
      </c>
      <c r="B4773" t="str">
        <f>[1]!hospitalinfo[[#This Row],[State]]</f>
        <v>TX</v>
      </c>
      <c r="C4773" t="str">
        <f>[1]!hospitalinfo[[#This Row],[Hospital Type]]</f>
        <v>Childrens</v>
      </c>
      <c r="D4773" t="str">
        <f>[1]!hospitalinfo[[#This Row],[Hospital Ownership]]</f>
        <v>Voluntary non-profit - Private</v>
      </c>
      <c r="E4773" t="str" cm="1">
        <f t="array" ref="E4773">_xlfn.IFNA(_xlfn.XLOOKUP(1,([1]!hcahps[Facility ID] = clean[[#This Row],[Facility ID]]) * ([1]!hcahps[HCAHPS Measure ID] = "H_HSP_RATING_LINEAR_SCORE"), [1]!hcahps[HCAHPS Linear Mean Value]), "No Match")</f>
        <v>Not Available</v>
      </c>
      <c r="F4773" t="str" cm="1">
        <f t="array" ref="F4773">_xlfn.IFNA(_xlfn.XLOOKUP(1,([1]!readmissions[Facility ID] = clean[[#This Row],[Facility ID]]) * ([1]!readmissions[Measure ID] = "Hybrid_HWR"), [1]!readmissions[Score]), "No Match")</f>
        <v>Not Available</v>
      </c>
    </row>
    <row r="4774" spans="1:6" x14ac:dyDescent="0.2">
      <c r="A4774">
        <f>[1]!hospitalinfo[[#This Row],[Facility ID]]</f>
        <v>453304</v>
      </c>
      <c r="B4774" t="str">
        <f>[1]!hospitalinfo[[#This Row],[State]]</f>
        <v>TX</v>
      </c>
      <c r="C4774" t="str">
        <f>[1]!hospitalinfo[[#This Row],[Hospital Type]]</f>
        <v>Childrens</v>
      </c>
      <c r="D4774" t="str">
        <f>[1]!hospitalinfo[[#This Row],[Hospital Ownership]]</f>
        <v>Voluntary non-profit - Private</v>
      </c>
      <c r="E4774" t="str" cm="1">
        <f t="array" ref="E4774">_xlfn.IFNA(_xlfn.XLOOKUP(1,([1]!hcahps[Facility ID] = clean[[#This Row],[Facility ID]]) * ([1]!hcahps[HCAHPS Measure ID] = "H_HSP_RATING_LINEAR_SCORE"), [1]!hcahps[HCAHPS Linear Mean Value]), "No Match")</f>
        <v>Not Available</v>
      </c>
      <c r="F4774" t="str" cm="1">
        <f t="array" ref="F4774">_xlfn.IFNA(_xlfn.XLOOKUP(1,([1]!readmissions[Facility ID] = clean[[#This Row],[Facility ID]]) * ([1]!readmissions[Measure ID] = "Hybrid_HWR"), [1]!readmissions[Score]), "No Match")</f>
        <v>Not Available</v>
      </c>
    </row>
    <row r="4775" spans="1:6" x14ac:dyDescent="0.2">
      <c r="A4775">
        <f>[1]!hospitalinfo[[#This Row],[Facility ID]]</f>
        <v>453306</v>
      </c>
      <c r="B4775" t="str">
        <f>[1]!hospitalinfo[[#This Row],[State]]</f>
        <v>TX</v>
      </c>
      <c r="C4775" t="str">
        <f>[1]!hospitalinfo[[#This Row],[Hospital Type]]</f>
        <v>Childrens</v>
      </c>
      <c r="D4775" t="str">
        <f>[1]!hospitalinfo[[#This Row],[Hospital Ownership]]</f>
        <v>Voluntary non-profit - Private</v>
      </c>
      <c r="E4775" t="str" cm="1">
        <f t="array" ref="E4775">_xlfn.IFNA(_xlfn.XLOOKUP(1,([1]!hcahps[Facility ID] = clean[[#This Row],[Facility ID]]) * ([1]!hcahps[HCAHPS Measure ID] = "H_HSP_RATING_LINEAR_SCORE"), [1]!hcahps[HCAHPS Linear Mean Value]), "No Match")</f>
        <v>Not Available</v>
      </c>
      <c r="F4775" t="str" cm="1">
        <f t="array" ref="F4775">_xlfn.IFNA(_xlfn.XLOOKUP(1,([1]!readmissions[Facility ID] = clean[[#This Row],[Facility ID]]) * ([1]!readmissions[Measure ID] = "Hybrid_HWR"), [1]!readmissions[Score]), "No Match")</f>
        <v>Not Available</v>
      </c>
    </row>
    <row r="4776" spans="1:6" x14ac:dyDescent="0.2">
      <c r="A4776">
        <f>[1]!hospitalinfo[[#This Row],[Facility ID]]</f>
        <v>453309</v>
      </c>
      <c r="B4776" t="str">
        <f>[1]!hospitalinfo[[#This Row],[State]]</f>
        <v>TX</v>
      </c>
      <c r="C4776" t="str">
        <f>[1]!hospitalinfo[[#This Row],[Hospital Type]]</f>
        <v>Childrens</v>
      </c>
      <c r="D4776" t="str">
        <f>[1]!hospitalinfo[[#This Row],[Hospital Ownership]]</f>
        <v>Voluntary non-profit - Private</v>
      </c>
      <c r="E4776" t="str" cm="1">
        <f t="array" ref="E4776">_xlfn.IFNA(_xlfn.XLOOKUP(1,([1]!hcahps[Facility ID] = clean[[#This Row],[Facility ID]]) * ([1]!hcahps[HCAHPS Measure ID] = "H_HSP_RATING_LINEAR_SCORE"), [1]!hcahps[HCAHPS Linear Mean Value]), "No Match")</f>
        <v>Not Available</v>
      </c>
      <c r="F4776" t="str" cm="1">
        <f t="array" ref="F4776">_xlfn.IFNA(_xlfn.XLOOKUP(1,([1]!readmissions[Facility ID] = clean[[#This Row],[Facility ID]]) * ([1]!readmissions[Measure ID] = "Hybrid_HWR"), [1]!readmissions[Score]), "No Match")</f>
        <v>Not Available</v>
      </c>
    </row>
    <row r="4777" spans="1:6" x14ac:dyDescent="0.2">
      <c r="A4777">
        <f>[1]!hospitalinfo[[#This Row],[Facility ID]]</f>
        <v>453310</v>
      </c>
      <c r="B4777" t="str">
        <f>[1]!hospitalinfo[[#This Row],[State]]</f>
        <v>TX</v>
      </c>
      <c r="C4777" t="str">
        <f>[1]!hospitalinfo[[#This Row],[Hospital Type]]</f>
        <v>Childrens</v>
      </c>
      <c r="D4777" t="str">
        <f>[1]!hospitalinfo[[#This Row],[Hospital Ownership]]</f>
        <v>Voluntary non-profit - Private</v>
      </c>
      <c r="E4777" t="str" cm="1">
        <f t="array" ref="E4777">_xlfn.IFNA(_xlfn.XLOOKUP(1,([1]!hcahps[Facility ID] = clean[[#This Row],[Facility ID]]) * ([1]!hcahps[HCAHPS Measure ID] = "H_HSP_RATING_LINEAR_SCORE"), [1]!hcahps[HCAHPS Linear Mean Value]), "No Match")</f>
        <v>Not Available</v>
      </c>
      <c r="F4777" t="str" cm="1">
        <f t="array" ref="F4777">_xlfn.IFNA(_xlfn.XLOOKUP(1,([1]!readmissions[Facility ID] = clean[[#This Row],[Facility ID]]) * ([1]!readmissions[Measure ID] = "Hybrid_HWR"), [1]!readmissions[Score]), "No Match")</f>
        <v>Not Available</v>
      </c>
    </row>
    <row r="4778" spans="1:6" x14ac:dyDescent="0.2">
      <c r="A4778">
        <f>[1]!hospitalinfo[[#This Row],[Facility ID]]</f>
        <v>453311</v>
      </c>
      <c r="B4778" t="str">
        <f>[1]!hospitalinfo[[#This Row],[State]]</f>
        <v>TX</v>
      </c>
      <c r="C4778" t="str">
        <f>[1]!hospitalinfo[[#This Row],[Hospital Type]]</f>
        <v>Childrens</v>
      </c>
      <c r="D4778" t="str">
        <f>[1]!hospitalinfo[[#This Row],[Hospital Ownership]]</f>
        <v>Voluntary non-profit - Private</v>
      </c>
      <c r="E4778" t="str" cm="1">
        <f t="array" ref="E4778">_xlfn.IFNA(_xlfn.XLOOKUP(1,([1]!hcahps[Facility ID] = clean[[#This Row],[Facility ID]]) * ([1]!hcahps[HCAHPS Measure ID] = "H_HSP_RATING_LINEAR_SCORE"), [1]!hcahps[HCAHPS Linear Mean Value]), "No Match")</f>
        <v>Not Available</v>
      </c>
      <c r="F4778" t="str" cm="1">
        <f t="array" ref="F4778">_xlfn.IFNA(_xlfn.XLOOKUP(1,([1]!readmissions[Facility ID] = clean[[#This Row],[Facility ID]]) * ([1]!readmissions[Measure ID] = "Hybrid_HWR"), [1]!readmissions[Score]), "No Match")</f>
        <v>Not Available</v>
      </c>
    </row>
    <row r="4779" spans="1:6" x14ac:dyDescent="0.2">
      <c r="A4779">
        <f>[1]!hospitalinfo[[#This Row],[Facility ID]]</f>
        <v>453313</v>
      </c>
      <c r="B4779" t="str">
        <f>[1]!hospitalinfo[[#This Row],[State]]</f>
        <v>TX</v>
      </c>
      <c r="C4779" t="str">
        <f>[1]!hospitalinfo[[#This Row],[Hospital Type]]</f>
        <v>Childrens</v>
      </c>
      <c r="D4779" t="str">
        <f>[1]!hospitalinfo[[#This Row],[Hospital Ownership]]</f>
        <v>Voluntary non-profit - Private</v>
      </c>
      <c r="E4779" t="str" cm="1">
        <f t="array" ref="E4779">_xlfn.IFNA(_xlfn.XLOOKUP(1,([1]!hcahps[Facility ID] = clean[[#This Row],[Facility ID]]) * ([1]!hcahps[HCAHPS Measure ID] = "H_HSP_RATING_LINEAR_SCORE"), [1]!hcahps[HCAHPS Linear Mean Value]), "No Match")</f>
        <v>Not Available</v>
      </c>
      <c r="F4779" t="str" cm="1">
        <f t="array" ref="F4779">_xlfn.IFNA(_xlfn.XLOOKUP(1,([1]!readmissions[Facility ID] = clean[[#This Row],[Facility ID]]) * ([1]!readmissions[Measure ID] = "Hybrid_HWR"), [1]!readmissions[Score]), "No Match")</f>
        <v>Not Available</v>
      </c>
    </row>
    <row r="4780" spans="1:6" x14ac:dyDescent="0.2">
      <c r="A4780">
        <f>[1]!hospitalinfo[[#This Row],[Facility ID]]</f>
        <v>453314</v>
      </c>
      <c r="B4780" t="str">
        <f>[1]!hospitalinfo[[#This Row],[State]]</f>
        <v>TX</v>
      </c>
      <c r="C4780" t="str">
        <f>[1]!hospitalinfo[[#This Row],[Hospital Type]]</f>
        <v>Childrens</v>
      </c>
      <c r="D4780" t="str">
        <f>[1]!hospitalinfo[[#This Row],[Hospital Ownership]]</f>
        <v>Voluntary non-profit - Private</v>
      </c>
      <c r="E4780" t="str" cm="1">
        <f t="array" ref="E4780">_xlfn.IFNA(_xlfn.XLOOKUP(1,([1]!hcahps[Facility ID] = clean[[#This Row],[Facility ID]]) * ([1]!hcahps[HCAHPS Measure ID] = "H_HSP_RATING_LINEAR_SCORE"), [1]!hcahps[HCAHPS Linear Mean Value]), "No Match")</f>
        <v>Not Available</v>
      </c>
      <c r="F4780" t="str" cm="1">
        <f t="array" ref="F4780">_xlfn.IFNA(_xlfn.XLOOKUP(1,([1]!readmissions[Facility ID] = clean[[#This Row],[Facility ID]]) * ([1]!readmissions[Measure ID] = "Hybrid_HWR"), [1]!readmissions[Score]), "No Match")</f>
        <v>Not Available</v>
      </c>
    </row>
    <row r="4781" spans="1:6" x14ac:dyDescent="0.2">
      <c r="A4781">
        <f>[1]!hospitalinfo[[#This Row],[Facility ID]]</f>
        <v>453315</v>
      </c>
      <c r="B4781" t="str">
        <f>[1]!hospitalinfo[[#This Row],[State]]</f>
        <v>TX</v>
      </c>
      <c r="C4781" t="str">
        <f>[1]!hospitalinfo[[#This Row],[Hospital Type]]</f>
        <v>Childrens</v>
      </c>
      <c r="D4781" t="str">
        <f>[1]!hospitalinfo[[#This Row],[Hospital Ownership]]</f>
        <v>Voluntary non-profit - Church</v>
      </c>
      <c r="E4781" t="str" cm="1">
        <f t="array" ref="E4781">_xlfn.IFNA(_xlfn.XLOOKUP(1,([1]!hcahps[Facility ID] = clean[[#This Row],[Facility ID]]) * ([1]!hcahps[HCAHPS Measure ID] = "H_HSP_RATING_LINEAR_SCORE"), [1]!hcahps[HCAHPS Linear Mean Value]), "No Match")</f>
        <v>Not Available</v>
      </c>
      <c r="F4781" t="str" cm="1">
        <f t="array" ref="F4781">_xlfn.IFNA(_xlfn.XLOOKUP(1,([1]!readmissions[Facility ID] = clean[[#This Row],[Facility ID]]) * ([1]!readmissions[Measure ID] = "Hybrid_HWR"), [1]!readmissions[Score]), "No Match")</f>
        <v>Not Available</v>
      </c>
    </row>
    <row r="4782" spans="1:6" x14ac:dyDescent="0.2">
      <c r="A4782">
        <f>[1]!hospitalinfo[[#This Row],[Facility ID]]</f>
        <v>453316</v>
      </c>
      <c r="B4782" t="str">
        <f>[1]!hospitalinfo[[#This Row],[State]]</f>
        <v>TX</v>
      </c>
      <c r="C4782" t="str">
        <f>[1]!hospitalinfo[[#This Row],[Hospital Type]]</f>
        <v>Childrens</v>
      </c>
      <c r="D4782" t="str">
        <f>[1]!hospitalinfo[[#This Row],[Hospital Ownership]]</f>
        <v>Voluntary non-profit - Private</v>
      </c>
      <c r="E4782" t="str" cm="1">
        <f t="array" ref="E4782">_xlfn.IFNA(_xlfn.XLOOKUP(1,([1]!hcahps[Facility ID] = clean[[#This Row],[Facility ID]]) * ([1]!hcahps[HCAHPS Measure ID] = "H_HSP_RATING_LINEAR_SCORE"), [1]!hcahps[HCAHPS Linear Mean Value]), "No Match")</f>
        <v>Not Available</v>
      </c>
      <c r="F4782" t="str" cm="1">
        <f t="array" ref="F4782">_xlfn.IFNA(_xlfn.XLOOKUP(1,([1]!readmissions[Facility ID] = clean[[#This Row],[Facility ID]]) * ([1]!readmissions[Measure ID] = "Hybrid_HWR"), [1]!readmissions[Score]), "No Match")</f>
        <v>Not Available</v>
      </c>
    </row>
    <row r="4783" spans="1:6" x14ac:dyDescent="0.2">
      <c r="A4783">
        <f>[1]!hospitalinfo[[#This Row],[Facility ID]]</f>
        <v>453317</v>
      </c>
      <c r="B4783" t="str">
        <f>[1]!hospitalinfo[[#This Row],[State]]</f>
        <v>TX</v>
      </c>
      <c r="C4783" t="str">
        <f>[1]!hospitalinfo[[#This Row],[Hospital Type]]</f>
        <v>Childrens</v>
      </c>
      <c r="D4783" t="str">
        <f>[1]!hospitalinfo[[#This Row],[Hospital Ownership]]</f>
        <v>Voluntary non-profit - Private</v>
      </c>
      <c r="E4783" t="str" cm="1">
        <f t="array" ref="E4783">_xlfn.IFNA(_xlfn.XLOOKUP(1,([1]!hcahps[Facility ID] = clean[[#This Row],[Facility ID]]) * ([1]!hcahps[HCAHPS Measure ID] = "H_HSP_RATING_LINEAR_SCORE"), [1]!hcahps[HCAHPS Linear Mean Value]), "No Match")</f>
        <v>Not Available</v>
      </c>
      <c r="F4783" t="str" cm="1">
        <f t="array" ref="F4783">_xlfn.IFNA(_xlfn.XLOOKUP(1,([1]!readmissions[Facility ID] = clean[[#This Row],[Facility ID]]) * ([1]!readmissions[Measure ID] = "Hybrid_HWR"), [1]!readmissions[Score]), "No Match")</f>
        <v>Not Available</v>
      </c>
    </row>
    <row r="4784" spans="1:6" x14ac:dyDescent="0.2">
      <c r="A4784">
        <f>[1]!hospitalinfo[[#This Row],[Facility ID]]</f>
        <v>453318</v>
      </c>
      <c r="B4784" t="str">
        <f>[1]!hospitalinfo[[#This Row],[State]]</f>
        <v>TX</v>
      </c>
      <c r="C4784" t="str">
        <f>[1]!hospitalinfo[[#This Row],[Hospital Type]]</f>
        <v>Childrens</v>
      </c>
      <c r="D4784" t="str">
        <f>[1]!hospitalinfo[[#This Row],[Hospital Ownership]]</f>
        <v>Proprietary</v>
      </c>
      <c r="E4784" t="str" cm="1">
        <f t="array" ref="E4784">_xlfn.IFNA(_xlfn.XLOOKUP(1,([1]!hcahps[Facility ID] = clean[[#This Row],[Facility ID]]) * ([1]!hcahps[HCAHPS Measure ID] = "H_HSP_RATING_LINEAR_SCORE"), [1]!hcahps[HCAHPS Linear Mean Value]), "No Match")</f>
        <v>Not Available</v>
      </c>
      <c r="F4784" t="str" cm="1">
        <f t="array" ref="F4784">_xlfn.IFNA(_xlfn.XLOOKUP(1,([1]!readmissions[Facility ID] = clean[[#This Row],[Facility ID]]) * ([1]!readmissions[Measure ID] = "Hybrid_HWR"), [1]!readmissions[Score]), "No Match")</f>
        <v>Not Available</v>
      </c>
    </row>
    <row r="4785" spans="1:6" x14ac:dyDescent="0.2">
      <c r="A4785">
        <f>[1]!hospitalinfo[[#This Row],[Facility ID]]</f>
        <v>453319</v>
      </c>
      <c r="B4785" t="str">
        <f>[1]!hospitalinfo[[#This Row],[State]]</f>
        <v>TX</v>
      </c>
      <c r="C4785" t="str">
        <f>[1]!hospitalinfo[[#This Row],[Hospital Type]]</f>
        <v>Childrens</v>
      </c>
      <c r="D4785" t="str">
        <f>[1]!hospitalinfo[[#This Row],[Hospital Ownership]]</f>
        <v>Voluntary non-profit - Private</v>
      </c>
      <c r="E4785" t="str" cm="1">
        <f t="array" ref="E4785">_xlfn.IFNA(_xlfn.XLOOKUP(1,([1]!hcahps[Facility ID] = clean[[#This Row],[Facility ID]]) * ([1]!hcahps[HCAHPS Measure ID] = "H_HSP_RATING_LINEAR_SCORE"), [1]!hcahps[HCAHPS Linear Mean Value]), "No Match")</f>
        <v>Not Available</v>
      </c>
      <c r="F4785" t="str" cm="1">
        <f t="array" ref="F4785">_xlfn.IFNA(_xlfn.XLOOKUP(1,([1]!readmissions[Facility ID] = clean[[#This Row],[Facility ID]]) * ([1]!readmissions[Measure ID] = "Hybrid_HWR"), [1]!readmissions[Score]), "No Match")</f>
        <v>Not Available</v>
      </c>
    </row>
    <row r="4786" spans="1:6" x14ac:dyDescent="0.2">
      <c r="A4786">
        <f>[1]!hospitalinfo[[#This Row],[Facility ID]]</f>
        <v>453321</v>
      </c>
      <c r="B4786" t="str">
        <f>[1]!hospitalinfo[[#This Row],[State]]</f>
        <v>TX</v>
      </c>
      <c r="C4786" t="str">
        <f>[1]!hospitalinfo[[#This Row],[Hospital Type]]</f>
        <v>Childrens</v>
      </c>
      <c r="D4786" t="str">
        <f>[1]!hospitalinfo[[#This Row],[Hospital Ownership]]</f>
        <v>Voluntary non-profit - Private</v>
      </c>
      <c r="E4786" t="str" cm="1">
        <f t="array" ref="E4786">_xlfn.IFNA(_xlfn.XLOOKUP(1,([1]!hcahps[Facility ID] = clean[[#This Row],[Facility ID]]) * ([1]!hcahps[HCAHPS Measure ID] = "H_HSP_RATING_LINEAR_SCORE"), [1]!hcahps[HCAHPS Linear Mean Value]), "No Match")</f>
        <v>Not Available</v>
      </c>
      <c r="F4786" t="str" cm="1">
        <f t="array" ref="F4786">_xlfn.IFNA(_xlfn.XLOOKUP(1,([1]!readmissions[Facility ID] = clean[[#This Row],[Facility ID]]) * ([1]!readmissions[Measure ID] = "Hybrid_HWR"), [1]!readmissions[Score]), "No Match")</f>
        <v>Not Available</v>
      </c>
    </row>
    <row r="4787" spans="1:6" x14ac:dyDescent="0.2">
      <c r="A4787">
        <f>[1]!hospitalinfo[[#This Row],[Facility ID]]</f>
        <v>454000</v>
      </c>
      <c r="B4787" t="str">
        <f>[1]!hospitalinfo[[#This Row],[State]]</f>
        <v>TX</v>
      </c>
      <c r="C4787" t="str">
        <f>[1]!hospitalinfo[[#This Row],[Hospital Type]]</f>
        <v>Psychiatric</v>
      </c>
      <c r="D4787" t="str">
        <f>[1]!hospitalinfo[[#This Row],[Hospital Ownership]]</f>
        <v>Government - State</v>
      </c>
      <c r="E4787" t="str" cm="1">
        <f t="array" ref="E4787">_xlfn.IFNA(_xlfn.XLOOKUP(1,([1]!hcahps[Facility ID] = clean[[#This Row],[Facility ID]]) * ([1]!hcahps[HCAHPS Measure ID] = "H_HSP_RATING_LINEAR_SCORE"), [1]!hcahps[HCAHPS Linear Mean Value]), "No Match")</f>
        <v>No Match</v>
      </c>
      <c r="F4787" t="str" cm="1">
        <f t="array" ref="F4787">_xlfn.IFNA(_xlfn.XLOOKUP(1,([1]!readmissions[Facility ID] = clean[[#This Row],[Facility ID]]) * ([1]!readmissions[Measure ID] = "Hybrid_HWR"), [1]!readmissions[Score]), "No Match")</f>
        <v>No Match</v>
      </c>
    </row>
    <row r="4788" spans="1:6" x14ac:dyDescent="0.2">
      <c r="A4788">
        <f>[1]!hospitalinfo[[#This Row],[Facility ID]]</f>
        <v>454006</v>
      </c>
      <c r="B4788" t="str">
        <f>[1]!hospitalinfo[[#This Row],[State]]</f>
        <v>TX</v>
      </c>
      <c r="C4788" t="str">
        <f>[1]!hospitalinfo[[#This Row],[Hospital Type]]</f>
        <v>Psychiatric</v>
      </c>
      <c r="D4788" t="str">
        <f>[1]!hospitalinfo[[#This Row],[Hospital Ownership]]</f>
        <v>Government - State</v>
      </c>
      <c r="E4788" t="str" cm="1">
        <f t="array" ref="E4788">_xlfn.IFNA(_xlfn.XLOOKUP(1,([1]!hcahps[Facility ID] = clean[[#This Row],[Facility ID]]) * ([1]!hcahps[HCAHPS Measure ID] = "H_HSP_RATING_LINEAR_SCORE"), [1]!hcahps[HCAHPS Linear Mean Value]), "No Match")</f>
        <v>No Match</v>
      </c>
      <c r="F4788" t="str" cm="1">
        <f t="array" ref="F4788">_xlfn.IFNA(_xlfn.XLOOKUP(1,([1]!readmissions[Facility ID] = clean[[#This Row],[Facility ID]]) * ([1]!readmissions[Measure ID] = "Hybrid_HWR"), [1]!readmissions[Score]), "No Match")</f>
        <v>No Match</v>
      </c>
    </row>
    <row r="4789" spans="1:6" x14ac:dyDescent="0.2">
      <c r="A4789">
        <f>[1]!hospitalinfo[[#This Row],[Facility ID]]</f>
        <v>454008</v>
      </c>
      <c r="B4789" t="str">
        <f>[1]!hospitalinfo[[#This Row],[State]]</f>
        <v>TX</v>
      </c>
      <c r="C4789" t="str">
        <f>[1]!hospitalinfo[[#This Row],[Hospital Type]]</f>
        <v>Psychiatric</v>
      </c>
      <c r="D4789" t="str">
        <f>[1]!hospitalinfo[[#This Row],[Hospital Ownership]]</f>
        <v>Government - State</v>
      </c>
      <c r="E4789" t="str" cm="1">
        <f t="array" ref="E4789">_xlfn.IFNA(_xlfn.XLOOKUP(1,([1]!hcahps[Facility ID] = clean[[#This Row],[Facility ID]]) * ([1]!hcahps[HCAHPS Measure ID] = "H_HSP_RATING_LINEAR_SCORE"), [1]!hcahps[HCAHPS Linear Mean Value]), "No Match")</f>
        <v>No Match</v>
      </c>
      <c r="F4789" t="str" cm="1">
        <f t="array" ref="F4789">_xlfn.IFNA(_xlfn.XLOOKUP(1,([1]!readmissions[Facility ID] = clean[[#This Row],[Facility ID]]) * ([1]!readmissions[Measure ID] = "Hybrid_HWR"), [1]!readmissions[Score]), "No Match")</f>
        <v>No Match</v>
      </c>
    </row>
    <row r="4790" spans="1:6" x14ac:dyDescent="0.2">
      <c r="A4790">
        <f>[1]!hospitalinfo[[#This Row],[Facility ID]]</f>
        <v>454009</v>
      </c>
      <c r="B4790" t="str">
        <f>[1]!hospitalinfo[[#This Row],[State]]</f>
        <v>TX</v>
      </c>
      <c r="C4790" t="str">
        <f>[1]!hospitalinfo[[#This Row],[Hospital Type]]</f>
        <v>Psychiatric</v>
      </c>
      <c r="D4790" t="str">
        <f>[1]!hospitalinfo[[#This Row],[Hospital Ownership]]</f>
        <v>Government - State</v>
      </c>
      <c r="E4790" t="str" cm="1">
        <f t="array" ref="E4790">_xlfn.IFNA(_xlfn.XLOOKUP(1,([1]!hcahps[Facility ID] = clean[[#This Row],[Facility ID]]) * ([1]!hcahps[HCAHPS Measure ID] = "H_HSP_RATING_LINEAR_SCORE"), [1]!hcahps[HCAHPS Linear Mean Value]), "No Match")</f>
        <v>No Match</v>
      </c>
      <c r="F4790" t="str" cm="1">
        <f t="array" ref="F4790">_xlfn.IFNA(_xlfn.XLOOKUP(1,([1]!readmissions[Facility ID] = clean[[#This Row],[Facility ID]]) * ([1]!readmissions[Measure ID] = "Hybrid_HWR"), [1]!readmissions[Score]), "No Match")</f>
        <v>No Match</v>
      </c>
    </row>
    <row r="4791" spans="1:6" x14ac:dyDescent="0.2">
      <c r="A4791">
        <f>[1]!hospitalinfo[[#This Row],[Facility ID]]</f>
        <v>454011</v>
      </c>
      <c r="B4791" t="str">
        <f>[1]!hospitalinfo[[#This Row],[State]]</f>
        <v>TX</v>
      </c>
      <c r="C4791" t="str">
        <f>[1]!hospitalinfo[[#This Row],[Hospital Type]]</f>
        <v>Psychiatric</v>
      </c>
      <c r="D4791" t="str">
        <f>[1]!hospitalinfo[[#This Row],[Hospital Ownership]]</f>
        <v>Government - State</v>
      </c>
      <c r="E4791" t="str" cm="1">
        <f t="array" ref="E4791">_xlfn.IFNA(_xlfn.XLOOKUP(1,([1]!hcahps[Facility ID] = clean[[#This Row],[Facility ID]]) * ([1]!hcahps[HCAHPS Measure ID] = "H_HSP_RATING_LINEAR_SCORE"), [1]!hcahps[HCAHPS Linear Mean Value]), "No Match")</f>
        <v>No Match</v>
      </c>
      <c r="F4791" t="str" cm="1">
        <f t="array" ref="F4791">_xlfn.IFNA(_xlfn.XLOOKUP(1,([1]!readmissions[Facility ID] = clean[[#This Row],[Facility ID]]) * ([1]!readmissions[Measure ID] = "Hybrid_HWR"), [1]!readmissions[Score]), "No Match")</f>
        <v>No Match</v>
      </c>
    </row>
    <row r="4792" spans="1:6" x14ac:dyDescent="0.2">
      <c r="A4792">
        <f>[1]!hospitalinfo[[#This Row],[Facility ID]]</f>
        <v>454012</v>
      </c>
      <c r="B4792" t="str">
        <f>[1]!hospitalinfo[[#This Row],[State]]</f>
        <v>TX</v>
      </c>
      <c r="C4792" t="str">
        <f>[1]!hospitalinfo[[#This Row],[Hospital Type]]</f>
        <v>Psychiatric</v>
      </c>
      <c r="D4792" t="str">
        <f>[1]!hospitalinfo[[#This Row],[Hospital Ownership]]</f>
        <v>Proprietary</v>
      </c>
      <c r="E4792" t="str" cm="1">
        <f t="array" ref="E4792">_xlfn.IFNA(_xlfn.XLOOKUP(1,([1]!hcahps[Facility ID] = clean[[#This Row],[Facility ID]]) * ([1]!hcahps[HCAHPS Measure ID] = "H_HSP_RATING_LINEAR_SCORE"), [1]!hcahps[HCAHPS Linear Mean Value]), "No Match")</f>
        <v>No Match</v>
      </c>
      <c r="F4792" t="str" cm="1">
        <f t="array" ref="F4792">_xlfn.IFNA(_xlfn.XLOOKUP(1,([1]!readmissions[Facility ID] = clean[[#This Row],[Facility ID]]) * ([1]!readmissions[Measure ID] = "Hybrid_HWR"), [1]!readmissions[Score]), "No Match")</f>
        <v>No Match</v>
      </c>
    </row>
    <row r="4793" spans="1:6" x14ac:dyDescent="0.2">
      <c r="A4793">
        <f>[1]!hospitalinfo[[#This Row],[Facility ID]]</f>
        <v>454018</v>
      </c>
      <c r="B4793" t="str">
        <f>[1]!hospitalinfo[[#This Row],[State]]</f>
        <v>TX</v>
      </c>
      <c r="C4793" t="str">
        <f>[1]!hospitalinfo[[#This Row],[Hospital Type]]</f>
        <v>Psychiatric</v>
      </c>
      <c r="D4793" t="str">
        <f>[1]!hospitalinfo[[#This Row],[Hospital Ownership]]</f>
        <v>Proprietary</v>
      </c>
      <c r="E4793" t="str" cm="1">
        <f t="array" ref="E4793">_xlfn.IFNA(_xlfn.XLOOKUP(1,([1]!hcahps[Facility ID] = clean[[#This Row],[Facility ID]]) * ([1]!hcahps[HCAHPS Measure ID] = "H_HSP_RATING_LINEAR_SCORE"), [1]!hcahps[HCAHPS Linear Mean Value]), "No Match")</f>
        <v>No Match</v>
      </c>
      <c r="F4793" t="str" cm="1">
        <f t="array" ref="F4793">_xlfn.IFNA(_xlfn.XLOOKUP(1,([1]!readmissions[Facility ID] = clean[[#This Row],[Facility ID]]) * ([1]!readmissions[Measure ID] = "Hybrid_HWR"), [1]!readmissions[Score]), "No Match")</f>
        <v>No Match</v>
      </c>
    </row>
    <row r="4794" spans="1:6" x14ac:dyDescent="0.2">
      <c r="A4794">
        <f>[1]!hospitalinfo[[#This Row],[Facility ID]]</f>
        <v>454026</v>
      </c>
      <c r="B4794" t="str">
        <f>[1]!hospitalinfo[[#This Row],[State]]</f>
        <v>TX</v>
      </c>
      <c r="C4794" t="str">
        <f>[1]!hospitalinfo[[#This Row],[Hospital Type]]</f>
        <v>Psychiatric</v>
      </c>
      <c r="D4794" t="str">
        <f>[1]!hospitalinfo[[#This Row],[Hospital Ownership]]</f>
        <v>Proprietary</v>
      </c>
      <c r="E4794" t="str" cm="1">
        <f t="array" ref="E4794">_xlfn.IFNA(_xlfn.XLOOKUP(1,([1]!hcahps[Facility ID] = clean[[#This Row],[Facility ID]]) * ([1]!hcahps[HCAHPS Measure ID] = "H_HSP_RATING_LINEAR_SCORE"), [1]!hcahps[HCAHPS Linear Mean Value]), "No Match")</f>
        <v>No Match</v>
      </c>
      <c r="F4794" t="str" cm="1">
        <f t="array" ref="F4794">_xlfn.IFNA(_xlfn.XLOOKUP(1,([1]!readmissions[Facility ID] = clean[[#This Row],[Facility ID]]) * ([1]!readmissions[Measure ID] = "Hybrid_HWR"), [1]!readmissions[Score]), "No Match")</f>
        <v>No Match</v>
      </c>
    </row>
    <row r="4795" spans="1:6" x14ac:dyDescent="0.2">
      <c r="A4795">
        <f>[1]!hospitalinfo[[#This Row],[Facility ID]]</f>
        <v>454050</v>
      </c>
      <c r="B4795" t="str">
        <f>[1]!hospitalinfo[[#This Row],[State]]</f>
        <v>TX</v>
      </c>
      <c r="C4795" t="str">
        <f>[1]!hospitalinfo[[#This Row],[Hospital Type]]</f>
        <v>Psychiatric</v>
      </c>
      <c r="D4795" t="str">
        <f>[1]!hospitalinfo[[#This Row],[Hospital Ownership]]</f>
        <v>Proprietary</v>
      </c>
      <c r="E4795" t="str" cm="1">
        <f t="array" ref="E4795">_xlfn.IFNA(_xlfn.XLOOKUP(1,([1]!hcahps[Facility ID] = clean[[#This Row],[Facility ID]]) * ([1]!hcahps[HCAHPS Measure ID] = "H_HSP_RATING_LINEAR_SCORE"), [1]!hcahps[HCAHPS Linear Mean Value]), "No Match")</f>
        <v>No Match</v>
      </c>
      <c r="F4795" t="str" cm="1">
        <f t="array" ref="F4795">_xlfn.IFNA(_xlfn.XLOOKUP(1,([1]!readmissions[Facility ID] = clean[[#This Row],[Facility ID]]) * ([1]!readmissions[Measure ID] = "Hybrid_HWR"), [1]!readmissions[Score]), "No Match")</f>
        <v>No Match</v>
      </c>
    </row>
    <row r="4796" spans="1:6" x14ac:dyDescent="0.2">
      <c r="A4796">
        <f>[1]!hospitalinfo[[#This Row],[Facility ID]]</f>
        <v>454060</v>
      </c>
      <c r="B4796" t="str">
        <f>[1]!hospitalinfo[[#This Row],[State]]</f>
        <v>TX</v>
      </c>
      <c r="C4796" t="str">
        <f>[1]!hospitalinfo[[#This Row],[Hospital Type]]</f>
        <v>Psychiatric</v>
      </c>
      <c r="D4796" t="str">
        <f>[1]!hospitalinfo[[#This Row],[Hospital Ownership]]</f>
        <v>Proprietary</v>
      </c>
      <c r="E4796" t="str" cm="1">
        <f t="array" ref="E4796">_xlfn.IFNA(_xlfn.XLOOKUP(1,([1]!hcahps[Facility ID] = clean[[#This Row],[Facility ID]]) * ([1]!hcahps[HCAHPS Measure ID] = "H_HSP_RATING_LINEAR_SCORE"), [1]!hcahps[HCAHPS Linear Mean Value]), "No Match")</f>
        <v>No Match</v>
      </c>
      <c r="F4796" t="str" cm="1">
        <f t="array" ref="F4796">_xlfn.IFNA(_xlfn.XLOOKUP(1,([1]!readmissions[Facility ID] = clean[[#This Row],[Facility ID]]) * ([1]!readmissions[Measure ID] = "Hybrid_HWR"), [1]!readmissions[Score]), "No Match")</f>
        <v>No Match</v>
      </c>
    </row>
    <row r="4797" spans="1:6" x14ac:dyDescent="0.2">
      <c r="A4797">
        <f>[1]!hospitalinfo[[#This Row],[Facility ID]]</f>
        <v>454064</v>
      </c>
      <c r="B4797" t="str">
        <f>[1]!hospitalinfo[[#This Row],[State]]</f>
        <v>TX</v>
      </c>
      <c r="C4797" t="str">
        <f>[1]!hospitalinfo[[#This Row],[Hospital Type]]</f>
        <v>Psychiatric</v>
      </c>
      <c r="D4797" t="str">
        <f>[1]!hospitalinfo[[#This Row],[Hospital Ownership]]</f>
        <v>Proprietary</v>
      </c>
      <c r="E4797" t="str" cm="1">
        <f t="array" ref="E4797">_xlfn.IFNA(_xlfn.XLOOKUP(1,([1]!hcahps[Facility ID] = clean[[#This Row],[Facility ID]]) * ([1]!hcahps[HCAHPS Measure ID] = "H_HSP_RATING_LINEAR_SCORE"), [1]!hcahps[HCAHPS Linear Mean Value]), "No Match")</f>
        <v>No Match</v>
      </c>
      <c r="F4797" t="str" cm="1">
        <f t="array" ref="F4797">_xlfn.IFNA(_xlfn.XLOOKUP(1,([1]!readmissions[Facility ID] = clean[[#This Row],[Facility ID]]) * ([1]!readmissions[Measure ID] = "Hybrid_HWR"), [1]!readmissions[Score]), "No Match")</f>
        <v>No Match</v>
      </c>
    </row>
    <row r="4798" spans="1:6" x14ac:dyDescent="0.2">
      <c r="A4798">
        <f>[1]!hospitalinfo[[#This Row],[Facility ID]]</f>
        <v>454065</v>
      </c>
      <c r="B4798" t="str">
        <f>[1]!hospitalinfo[[#This Row],[State]]</f>
        <v>TX</v>
      </c>
      <c r="C4798" t="str">
        <f>[1]!hospitalinfo[[#This Row],[Hospital Type]]</f>
        <v>Psychiatric</v>
      </c>
      <c r="D4798" t="str">
        <f>[1]!hospitalinfo[[#This Row],[Hospital Ownership]]</f>
        <v>Proprietary</v>
      </c>
      <c r="E4798" t="str" cm="1">
        <f t="array" ref="E4798">_xlfn.IFNA(_xlfn.XLOOKUP(1,([1]!hcahps[Facility ID] = clean[[#This Row],[Facility ID]]) * ([1]!hcahps[HCAHPS Measure ID] = "H_HSP_RATING_LINEAR_SCORE"), [1]!hcahps[HCAHPS Linear Mean Value]), "No Match")</f>
        <v>No Match</v>
      </c>
      <c r="F4798" t="str" cm="1">
        <f t="array" ref="F4798">_xlfn.IFNA(_xlfn.XLOOKUP(1,([1]!readmissions[Facility ID] = clean[[#This Row],[Facility ID]]) * ([1]!readmissions[Measure ID] = "Hybrid_HWR"), [1]!readmissions[Score]), "No Match")</f>
        <v>No Match</v>
      </c>
    </row>
    <row r="4799" spans="1:6" x14ac:dyDescent="0.2">
      <c r="A4799">
        <f>[1]!hospitalinfo[[#This Row],[Facility ID]]</f>
        <v>454076</v>
      </c>
      <c r="B4799" t="str">
        <f>[1]!hospitalinfo[[#This Row],[State]]</f>
        <v>TX</v>
      </c>
      <c r="C4799" t="str">
        <f>[1]!hospitalinfo[[#This Row],[Hospital Type]]</f>
        <v>Psychiatric</v>
      </c>
      <c r="D4799" t="str">
        <f>[1]!hospitalinfo[[#This Row],[Hospital Ownership]]</f>
        <v>Government - State</v>
      </c>
      <c r="E4799" t="str" cm="1">
        <f t="array" ref="E4799">_xlfn.IFNA(_xlfn.XLOOKUP(1,([1]!hcahps[Facility ID] = clean[[#This Row],[Facility ID]]) * ([1]!hcahps[HCAHPS Measure ID] = "H_HSP_RATING_LINEAR_SCORE"), [1]!hcahps[HCAHPS Linear Mean Value]), "No Match")</f>
        <v>No Match</v>
      </c>
      <c r="F4799" t="str" cm="1">
        <f t="array" ref="F4799">_xlfn.IFNA(_xlfn.XLOOKUP(1,([1]!readmissions[Facility ID] = clean[[#This Row],[Facility ID]]) * ([1]!readmissions[Measure ID] = "Hybrid_HWR"), [1]!readmissions[Score]), "No Match")</f>
        <v>No Match</v>
      </c>
    </row>
    <row r="4800" spans="1:6" x14ac:dyDescent="0.2">
      <c r="A4800">
        <f>[1]!hospitalinfo[[#This Row],[Facility ID]]</f>
        <v>454079</v>
      </c>
      <c r="B4800" t="str">
        <f>[1]!hospitalinfo[[#This Row],[State]]</f>
        <v>TX</v>
      </c>
      <c r="C4800" t="str">
        <f>[1]!hospitalinfo[[#This Row],[Hospital Type]]</f>
        <v>Psychiatric</v>
      </c>
      <c r="D4800" t="str">
        <f>[1]!hospitalinfo[[#This Row],[Hospital Ownership]]</f>
        <v>Proprietary</v>
      </c>
      <c r="E4800" t="str" cm="1">
        <f t="array" ref="E4800">_xlfn.IFNA(_xlfn.XLOOKUP(1,([1]!hcahps[Facility ID] = clean[[#This Row],[Facility ID]]) * ([1]!hcahps[HCAHPS Measure ID] = "H_HSP_RATING_LINEAR_SCORE"), [1]!hcahps[HCAHPS Linear Mean Value]), "No Match")</f>
        <v>No Match</v>
      </c>
      <c r="F4800" t="str" cm="1">
        <f t="array" ref="F4800">_xlfn.IFNA(_xlfn.XLOOKUP(1,([1]!readmissions[Facility ID] = clean[[#This Row],[Facility ID]]) * ([1]!readmissions[Measure ID] = "Hybrid_HWR"), [1]!readmissions[Score]), "No Match")</f>
        <v>No Match</v>
      </c>
    </row>
    <row r="4801" spans="1:6" x14ac:dyDescent="0.2">
      <c r="A4801">
        <f>[1]!hospitalinfo[[#This Row],[Facility ID]]</f>
        <v>454084</v>
      </c>
      <c r="B4801" t="str">
        <f>[1]!hospitalinfo[[#This Row],[State]]</f>
        <v>TX</v>
      </c>
      <c r="C4801" t="str">
        <f>[1]!hospitalinfo[[#This Row],[Hospital Type]]</f>
        <v>Psychiatric</v>
      </c>
      <c r="D4801" t="str">
        <f>[1]!hospitalinfo[[#This Row],[Hospital Ownership]]</f>
        <v>Government - State</v>
      </c>
      <c r="E4801" t="str" cm="1">
        <f t="array" ref="E4801">_xlfn.IFNA(_xlfn.XLOOKUP(1,([1]!hcahps[Facility ID] = clean[[#This Row],[Facility ID]]) * ([1]!hcahps[HCAHPS Measure ID] = "H_HSP_RATING_LINEAR_SCORE"), [1]!hcahps[HCAHPS Linear Mean Value]), "No Match")</f>
        <v>No Match</v>
      </c>
      <c r="F4801" t="str" cm="1">
        <f t="array" ref="F4801">_xlfn.IFNA(_xlfn.XLOOKUP(1,([1]!readmissions[Facility ID] = clean[[#This Row],[Facility ID]]) * ([1]!readmissions[Measure ID] = "Hybrid_HWR"), [1]!readmissions[Score]), "No Match")</f>
        <v>No Match</v>
      </c>
    </row>
    <row r="4802" spans="1:6" x14ac:dyDescent="0.2">
      <c r="A4802">
        <f>[1]!hospitalinfo[[#This Row],[Facility ID]]</f>
        <v>454088</v>
      </c>
      <c r="B4802" t="str">
        <f>[1]!hospitalinfo[[#This Row],[State]]</f>
        <v>TX</v>
      </c>
      <c r="C4802" t="str">
        <f>[1]!hospitalinfo[[#This Row],[Hospital Type]]</f>
        <v>Psychiatric</v>
      </c>
      <c r="D4802" t="str">
        <f>[1]!hospitalinfo[[#This Row],[Hospital Ownership]]</f>
        <v>Government - State</v>
      </c>
      <c r="E4802" t="str" cm="1">
        <f t="array" ref="E4802">_xlfn.IFNA(_xlfn.XLOOKUP(1,([1]!hcahps[Facility ID] = clean[[#This Row],[Facility ID]]) * ([1]!hcahps[HCAHPS Measure ID] = "H_HSP_RATING_LINEAR_SCORE"), [1]!hcahps[HCAHPS Linear Mean Value]), "No Match")</f>
        <v>No Match</v>
      </c>
      <c r="F4802" t="str" cm="1">
        <f t="array" ref="F4802">_xlfn.IFNA(_xlfn.XLOOKUP(1,([1]!readmissions[Facility ID] = clean[[#This Row],[Facility ID]]) * ([1]!readmissions[Measure ID] = "Hybrid_HWR"), [1]!readmissions[Score]), "No Match")</f>
        <v>No Match</v>
      </c>
    </row>
    <row r="4803" spans="1:6" x14ac:dyDescent="0.2">
      <c r="A4803">
        <f>[1]!hospitalinfo[[#This Row],[Facility ID]]</f>
        <v>454093</v>
      </c>
      <c r="B4803" t="str">
        <f>[1]!hospitalinfo[[#This Row],[State]]</f>
        <v>TX</v>
      </c>
      <c r="C4803" t="str">
        <f>[1]!hospitalinfo[[#This Row],[Hospital Type]]</f>
        <v>Psychiatric</v>
      </c>
      <c r="D4803" t="str">
        <f>[1]!hospitalinfo[[#This Row],[Hospital Ownership]]</f>
        <v>Voluntary non-profit - Other</v>
      </c>
      <c r="E4803" t="str" cm="1">
        <f t="array" ref="E4803">_xlfn.IFNA(_xlfn.XLOOKUP(1,([1]!hcahps[Facility ID] = clean[[#This Row],[Facility ID]]) * ([1]!hcahps[HCAHPS Measure ID] = "H_HSP_RATING_LINEAR_SCORE"), [1]!hcahps[HCAHPS Linear Mean Value]), "No Match")</f>
        <v>No Match</v>
      </c>
      <c r="F4803" t="str" cm="1">
        <f t="array" ref="F4803">_xlfn.IFNA(_xlfn.XLOOKUP(1,([1]!readmissions[Facility ID] = clean[[#This Row],[Facility ID]]) * ([1]!readmissions[Measure ID] = "Hybrid_HWR"), [1]!readmissions[Score]), "No Match")</f>
        <v>No Match</v>
      </c>
    </row>
    <row r="4804" spans="1:6" x14ac:dyDescent="0.2">
      <c r="A4804">
        <f>[1]!hospitalinfo[[#This Row],[Facility ID]]</f>
        <v>454094</v>
      </c>
      <c r="B4804" t="str">
        <f>[1]!hospitalinfo[[#This Row],[State]]</f>
        <v>TX</v>
      </c>
      <c r="C4804" t="str">
        <f>[1]!hospitalinfo[[#This Row],[Hospital Type]]</f>
        <v>Psychiatric</v>
      </c>
      <c r="D4804" t="str">
        <f>[1]!hospitalinfo[[#This Row],[Hospital Ownership]]</f>
        <v>Voluntary non-profit - Other</v>
      </c>
      <c r="E4804" t="str" cm="1">
        <f t="array" ref="E4804">_xlfn.IFNA(_xlfn.XLOOKUP(1,([1]!hcahps[Facility ID] = clean[[#This Row],[Facility ID]]) * ([1]!hcahps[HCAHPS Measure ID] = "H_HSP_RATING_LINEAR_SCORE"), [1]!hcahps[HCAHPS Linear Mean Value]), "No Match")</f>
        <v>No Match</v>
      </c>
      <c r="F4804" t="str" cm="1">
        <f t="array" ref="F4804">_xlfn.IFNA(_xlfn.XLOOKUP(1,([1]!readmissions[Facility ID] = clean[[#This Row],[Facility ID]]) * ([1]!readmissions[Measure ID] = "Hybrid_HWR"), [1]!readmissions[Score]), "No Match")</f>
        <v>No Match</v>
      </c>
    </row>
    <row r="4805" spans="1:6" x14ac:dyDescent="0.2">
      <c r="A4805">
        <f>[1]!hospitalinfo[[#This Row],[Facility ID]]</f>
        <v>454100</v>
      </c>
      <c r="B4805" t="str">
        <f>[1]!hospitalinfo[[#This Row],[State]]</f>
        <v>TX</v>
      </c>
      <c r="C4805" t="str">
        <f>[1]!hospitalinfo[[#This Row],[Hospital Type]]</f>
        <v>Psychiatric</v>
      </c>
      <c r="D4805" t="str">
        <f>[1]!hospitalinfo[[#This Row],[Hospital Ownership]]</f>
        <v>Government - State</v>
      </c>
      <c r="E4805" t="str" cm="1">
        <f t="array" ref="E4805">_xlfn.IFNA(_xlfn.XLOOKUP(1,([1]!hcahps[Facility ID] = clean[[#This Row],[Facility ID]]) * ([1]!hcahps[HCAHPS Measure ID] = "H_HSP_RATING_LINEAR_SCORE"), [1]!hcahps[HCAHPS Linear Mean Value]), "No Match")</f>
        <v>No Match</v>
      </c>
      <c r="F4805" t="str" cm="1">
        <f t="array" ref="F4805">_xlfn.IFNA(_xlfn.XLOOKUP(1,([1]!readmissions[Facility ID] = clean[[#This Row],[Facility ID]]) * ([1]!readmissions[Measure ID] = "Hybrid_HWR"), [1]!readmissions[Score]), "No Match")</f>
        <v>No Match</v>
      </c>
    </row>
    <row r="4806" spans="1:6" x14ac:dyDescent="0.2">
      <c r="A4806">
        <f>[1]!hospitalinfo[[#This Row],[Facility ID]]</f>
        <v>454101</v>
      </c>
      <c r="B4806" t="str">
        <f>[1]!hospitalinfo[[#This Row],[State]]</f>
        <v>TX</v>
      </c>
      <c r="C4806" t="str">
        <f>[1]!hospitalinfo[[#This Row],[Hospital Type]]</f>
        <v>Psychiatric</v>
      </c>
      <c r="D4806" t="str">
        <f>[1]!hospitalinfo[[#This Row],[Hospital Ownership]]</f>
        <v>Proprietary</v>
      </c>
      <c r="E4806" t="str" cm="1">
        <f t="array" ref="E4806">_xlfn.IFNA(_xlfn.XLOOKUP(1,([1]!hcahps[Facility ID] = clean[[#This Row],[Facility ID]]) * ([1]!hcahps[HCAHPS Measure ID] = "H_HSP_RATING_LINEAR_SCORE"), [1]!hcahps[HCAHPS Linear Mean Value]), "No Match")</f>
        <v>No Match</v>
      </c>
      <c r="F4806" t="str" cm="1">
        <f t="array" ref="F4806">_xlfn.IFNA(_xlfn.XLOOKUP(1,([1]!readmissions[Facility ID] = clean[[#This Row],[Facility ID]]) * ([1]!readmissions[Measure ID] = "Hybrid_HWR"), [1]!readmissions[Score]), "No Match")</f>
        <v>No Match</v>
      </c>
    </row>
    <row r="4807" spans="1:6" x14ac:dyDescent="0.2">
      <c r="A4807">
        <f>[1]!hospitalinfo[[#This Row],[Facility ID]]</f>
        <v>454103</v>
      </c>
      <c r="B4807" t="str">
        <f>[1]!hospitalinfo[[#This Row],[State]]</f>
        <v>TX</v>
      </c>
      <c r="C4807" t="str">
        <f>[1]!hospitalinfo[[#This Row],[Hospital Type]]</f>
        <v>Psychiatric</v>
      </c>
      <c r="D4807" t="str">
        <f>[1]!hospitalinfo[[#This Row],[Hospital Ownership]]</f>
        <v>Proprietary</v>
      </c>
      <c r="E4807" t="str" cm="1">
        <f t="array" ref="E4807">_xlfn.IFNA(_xlfn.XLOOKUP(1,([1]!hcahps[Facility ID] = clean[[#This Row],[Facility ID]]) * ([1]!hcahps[HCAHPS Measure ID] = "H_HSP_RATING_LINEAR_SCORE"), [1]!hcahps[HCAHPS Linear Mean Value]), "No Match")</f>
        <v>No Match</v>
      </c>
      <c r="F4807" t="str" cm="1">
        <f t="array" ref="F4807">_xlfn.IFNA(_xlfn.XLOOKUP(1,([1]!readmissions[Facility ID] = clean[[#This Row],[Facility ID]]) * ([1]!readmissions[Measure ID] = "Hybrid_HWR"), [1]!readmissions[Score]), "No Match")</f>
        <v>No Match</v>
      </c>
    </row>
    <row r="4808" spans="1:6" x14ac:dyDescent="0.2">
      <c r="A4808">
        <f>[1]!hospitalinfo[[#This Row],[Facility ID]]</f>
        <v>454104</v>
      </c>
      <c r="B4808" t="str">
        <f>[1]!hospitalinfo[[#This Row],[State]]</f>
        <v>TX</v>
      </c>
      <c r="C4808" t="str">
        <f>[1]!hospitalinfo[[#This Row],[Hospital Type]]</f>
        <v>Psychiatric</v>
      </c>
      <c r="D4808" t="str">
        <f>[1]!hospitalinfo[[#This Row],[Hospital Ownership]]</f>
        <v>Government - State</v>
      </c>
      <c r="E4808" t="str" cm="1">
        <f t="array" ref="E4808">_xlfn.IFNA(_xlfn.XLOOKUP(1,([1]!hcahps[Facility ID] = clean[[#This Row],[Facility ID]]) * ([1]!hcahps[HCAHPS Measure ID] = "H_HSP_RATING_LINEAR_SCORE"), [1]!hcahps[HCAHPS Linear Mean Value]), "No Match")</f>
        <v>No Match</v>
      </c>
      <c r="F4808" t="str" cm="1">
        <f t="array" ref="F4808">_xlfn.IFNA(_xlfn.XLOOKUP(1,([1]!readmissions[Facility ID] = clean[[#This Row],[Facility ID]]) * ([1]!readmissions[Measure ID] = "Hybrid_HWR"), [1]!readmissions[Score]), "No Match")</f>
        <v>No Match</v>
      </c>
    </row>
    <row r="4809" spans="1:6" x14ac:dyDescent="0.2">
      <c r="A4809">
        <f>[1]!hospitalinfo[[#This Row],[Facility ID]]</f>
        <v>454107</v>
      </c>
      <c r="B4809" t="str">
        <f>[1]!hospitalinfo[[#This Row],[State]]</f>
        <v>TX</v>
      </c>
      <c r="C4809" t="str">
        <f>[1]!hospitalinfo[[#This Row],[Hospital Type]]</f>
        <v>Psychiatric</v>
      </c>
      <c r="D4809" t="str">
        <f>[1]!hospitalinfo[[#This Row],[Hospital Ownership]]</f>
        <v>Proprietary</v>
      </c>
      <c r="E4809" t="str" cm="1">
        <f t="array" ref="E4809">_xlfn.IFNA(_xlfn.XLOOKUP(1,([1]!hcahps[Facility ID] = clean[[#This Row],[Facility ID]]) * ([1]!hcahps[HCAHPS Measure ID] = "H_HSP_RATING_LINEAR_SCORE"), [1]!hcahps[HCAHPS Linear Mean Value]), "No Match")</f>
        <v>No Match</v>
      </c>
      <c r="F4809" t="str" cm="1">
        <f t="array" ref="F4809">_xlfn.IFNA(_xlfn.XLOOKUP(1,([1]!readmissions[Facility ID] = clean[[#This Row],[Facility ID]]) * ([1]!readmissions[Measure ID] = "Hybrid_HWR"), [1]!readmissions[Score]), "No Match")</f>
        <v>No Match</v>
      </c>
    </row>
    <row r="4810" spans="1:6" x14ac:dyDescent="0.2">
      <c r="A4810">
        <f>[1]!hospitalinfo[[#This Row],[Facility ID]]</f>
        <v>454108</v>
      </c>
      <c r="B4810" t="str">
        <f>[1]!hospitalinfo[[#This Row],[State]]</f>
        <v>TX</v>
      </c>
      <c r="C4810" t="str">
        <f>[1]!hospitalinfo[[#This Row],[Hospital Type]]</f>
        <v>Psychiatric</v>
      </c>
      <c r="D4810" t="str">
        <f>[1]!hospitalinfo[[#This Row],[Hospital Ownership]]</f>
        <v>Proprietary</v>
      </c>
      <c r="E4810" t="str" cm="1">
        <f t="array" ref="E4810">_xlfn.IFNA(_xlfn.XLOOKUP(1,([1]!hcahps[Facility ID] = clean[[#This Row],[Facility ID]]) * ([1]!hcahps[HCAHPS Measure ID] = "H_HSP_RATING_LINEAR_SCORE"), [1]!hcahps[HCAHPS Linear Mean Value]), "No Match")</f>
        <v>No Match</v>
      </c>
      <c r="F4810" t="str" cm="1">
        <f t="array" ref="F4810">_xlfn.IFNA(_xlfn.XLOOKUP(1,([1]!readmissions[Facility ID] = clean[[#This Row],[Facility ID]]) * ([1]!readmissions[Measure ID] = "Hybrid_HWR"), [1]!readmissions[Score]), "No Match")</f>
        <v>No Match</v>
      </c>
    </row>
    <row r="4811" spans="1:6" x14ac:dyDescent="0.2">
      <c r="A4811">
        <f>[1]!hospitalinfo[[#This Row],[Facility ID]]</f>
        <v>454109</v>
      </c>
      <c r="B4811" t="str">
        <f>[1]!hospitalinfo[[#This Row],[State]]</f>
        <v>TX</v>
      </c>
      <c r="C4811" t="str">
        <f>[1]!hospitalinfo[[#This Row],[Hospital Type]]</f>
        <v>Psychiatric</v>
      </c>
      <c r="D4811" t="str">
        <f>[1]!hospitalinfo[[#This Row],[Hospital Ownership]]</f>
        <v>Proprietary</v>
      </c>
      <c r="E4811" t="str" cm="1">
        <f t="array" ref="E4811">_xlfn.IFNA(_xlfn.XLOOKUP(1,([1]!hcahps[Facility ID] = clean[[#This Row],[Facility ID]]) * ([1]!hcahps[HCAHPS Measure ID] = "H_HSP_RATING_LINEAR_SCORE"), [1]!hcahps[HCAHPS Linear Mean Value]), "No Match")</f>
        <v>No Match</v>
      </c>
      <c r="F4811" t="str" cm="1">
        <f t="array" ref="F4811">_xlfn.IFNA(_xlfn.XLOOKUP(1,([1]!readmissions[Facility ID] = clean[[#This Row],[Facility ID]]) * ([1]!readmissions[Measure ID] = "Hybrid_HWR"), [1]!readmissions[Score]), "No Match")</f>
        <v>No Match</v>
      </c>
    </row>
    <row r="4812" spans="1:6" x14ac:dyDescent="0.2">
      <c r="A4812">
        <f>[1]!hospitalinfo[[#This Row],[Facility ID]]</f>
        <v>454110</v>
      </c>
      <c r="B4812" t="str">
        <f>[1]!hospitalinfo[[#This Row],[State]]</f>
        <v>TX</v>
      </c>
      <c r="C4812" t="str">
        <f>[1]!hospitalinfo[[#This Row],[Hospital Type]]</f>
        <v>Psychiatric</v>
      </c>
      <c r="D4812" t="str">
        <f>[1]!hospitalinfo[[#This Row],[Hospital Ownership]]</f>
        <v>Proprietary</v>
      </c>
      <c r="E4812" t="str" cm="1">
        <f t="array" ref="E4812">_xlfn.IFNA(_xlfn.XLOOKUP(1,([1]!hcahps[Facility ID] = clean[[#This Row],[Facility ID]]) * ([1]!hcahps[HCAHPS Measure ID] = "H_HSP_RATING_LINEAR_SCORE"), [1]!hcahps[HCAHPS Linear Mean Value]), "No Match")</f>
        <v>No Match</v>
      </c>
      <c r="F4812" t="str" cm="1">
        <f t="array" ref="F4812">_xlfn.IFNA(_xlfn.XLOOKUP(1,([1]!readmissions[Facility ID] = clean[[#This Row],[Facility ID]]) * ([1]!readmissions[Measure ID] = "Hybrid_HWR"), [1]!readmissions[Score]), "No Match")</f>
        <v>No Match</v>
      </c>
    </row>
    <row r="4813" spans="1:6" x14ac:dyDescent="0.2">
      <c r="A4813">
        <f>[1]!hospitalinfo[[#This Row],[Facility ID]]</f>
        <v>454114</v>
      </c>
      <c r="B4813" t="str">
        <f>[1]!hospitalinfo[[#This Row],[State]]</f>
        <v>TX</v>
      </c>
      <c r="C4813" t="str">
        <f>[1]!hospitalinfo[[#This Row],[Hospital Type]]</f>
        <v>Psychiatric</v>
      </c>
      <c r="D4813" t="str">
        <f>[1]!hospitalinfo[[#This Row],[Hospital Ownership]]</f>
        <v>Proprietary</v>
      </c>
      <c r="E4813" t="str" cm="1">
        <f t="array" ref="E4813">_xlfn.IFNA(_xlfn.XLOOKUP(1,([1]!hcahps[Facility ID] = clean[[#This Row],[Facility ID]]) * ([1]!hcahps[HCAHPS Measure ID] = "H_HSP_RATING_LINEAR_SCORE"), [1]!hcahps[HCAHPS Linear Mean Value]), "No Match")</f>
        <v>No Match</v>
      </c>
      <c r="F4813" t="str" cm="1">
        <f t="array" ref="F4813">_xlfn.IFNA(_xlfn.XLOOKUP(1,([1]!readmissions[Facility ID] = clean[[#This Row],[Facility ID]]) * ([1]!readmissions[Measure ID] = "Hybrid_HWR"), [1]!readmissions[Score]), "No Match")</f>
        <v>No Match</v>
      </c>
    </row>
    <row r="4814" spans="1:6" x14ac:dyDescent="0.2">
      <c r="A4814">
        <f>[1]!hospitalinfo[[#This Row],[Facility ID]]</f>
        <v>454117</v>
      </c>
      <c r="B4814" t="str">
        <f>[1]!hospitalinfo[[#This Row],[State]]</f>
        <v>TX</v>
      </c>
      <c r="C4814" t="str">
        <f>[1]!hospitalinfo[[#This Row],[Hospital Type]]</f>
        <v>Psychiatric</v>
      </c>
      <c r="D4814" t="str">
        <f>[1]!hospitalinfo[[#This Row],[Hospital Ownership]]</f>
        <v>Proprietary</v>
      </c>
      <c r="E4814" t="str" cm="1">
        <f t="array" ref="E4814">_xlfn.IFNA(_xlfn.XLOOKUP(1,([1]!hcahps[Facility ID] = clean[[#This Row],[Facility ID]]) * ([1]!hcahps[HCAHPS Measure ID] = "H_HSP_RATING_LINEAR_SCORE"), [1]!hcahps[HCAHPS Linear Mean Value]), "No Match")</f>
        <v>No Match</v>
      </c>
      <c r="F4814" t="str" cm="1">
        <f t="array" ref="F4814">_xlfn.IFNA(_xlfn.XLOOKUP(1,([1]!readmissions[Facility ID] = clean[[#This Row],[Facility ID]]) * ([1]!readmissions[Measure ID] = "Hybrid_HWR"), [1]!readmissions[Score]), "No Match")</f>
        <v>No Match</v>
      </c>
    </row>
    <row r="4815" spans="1:6" x14ac:dyDescent="0.2">
      <c r="A4815">
        <f>[1]!hospitalinfo[[#This Row],[Facility ID]]</f>
        <v>454118</v>
      </c>
      <c r="B4815" t="str">
        <f>[1]!hospitalinfo[[#This Row],[State]]</f>
        <v>TX</v>
      </c>
      <c r="C4815" t="str">
        <f>[1]!hospitalinfo[[#This Row],[Hospital Type]]</f>
        <v>Psychiatric</v>
      </c>
      <c r="D4815" t="str">
        <f>[1]!hospitalinfo[[#This Row],[Hospital Ownership]]</f>
        <v>Proprietary</v>
      </c>
      <c r="E4815" t="str" cm="1">
        <f t="array" ref="E4815">_xlfn.IFNA(_xlfn.XLOOKUP(1,([1]!hcahps[Facility ID] = clean[[#This Row],[Facility ID]]) * ([1]!hcahps[HCAHPS Measure ID] = "H_HSP_RATING_LINEAR_SCORE"), [1]!hcahps[HCAHPS Linear Mean Value]), "No Match")</f>
        <v>No Match</v>
      </c>
      <c r="F4815" t="str" cm="1">
        <f t="array" ref="F4815">_xlfn.IFNA(_xlfn.XLOOKUP(1,([1]!readmissions[Facility ID] = clean[[#This Row],[Facility ID]]) * ([1]!readmissions[Measure ID] = "Hybrid_HWR"), [1]!readmissions[Score]), "No Match")</f>
        <v>No Match</v>
      </c>
    </row>
    <row r="4816" spans="1:6" x14ac:dyDescent="0.2">
      <c r="A4816">
        <f>[1]!hospitalinfo[[#This Row],[Facility ID]]</f>
        <v>454119</v>
      </c>
      <c r="B4816" t="str">
        <f>[1]!hospitalinfo[[#This Row],[State]]</f>
        <v>TX</v>
      </c>
      <c r="C4816" t="str">
        <f>[1]!hospitalinfo[[#This Row],[Hospital Type]]</f>
        <v>Psychiatric</v>
      </c>
      <c r="D4816" t="str">
        <f>[1]!hospitalinfo[[#This Row],[Hospital Ownership]]</f>
        <v>Proprietary</v>
      </c>
      <c r="E4816" t="str" cm="1">
        <f t="array" ref="E4816">_xlfn.IFNA(_xlfn.XLOOKUP(1,([1]!hcahps[Facility ID] = clean[[#This Row],[Facility ID]]) * ([1]!hcahps[HCAHPS Measure ID] = "H_HSP_RATING_LINEAR_SCORE"), [1]!hcahps[HCAHPS Linear Mean Value]), "No Match")</f>
        <v>No Match</v>
      </c>
      <c r="F4816" t="str" cm="1">
        <f t="array" ref="F4816">_xlfn.IFNA(_xlfn.XLOOKUP(1,([1]!readmissions[Facility ID] = clean[[#This Row],[Facility ID]]) * ([1]!readmissions[Measure ID] = "Hybrid_HWR"), [1]!readmissions[Score]), "No Match")</f>
        <v>No Match</v>
      </c>
    </row>
    <row r="4817" spans="1:6" x14ac:dyDescent="0.2">
      <c r="A4817">
        <f>[1]!hospitalinfo[[#This Row],[Facility ID]]</f>
        <v>454121</v>
      </c>
      <c r="B4817" t="str">
        <f>[1]!hospitalinfo[[#This Row],[State]]</f>
        <v>TX</v>
      </c>
      <c r="C4817" t="str">
        <f>[1]!hospitalinfo[[#This Row],[Hospital Type]]</f>
        <v>Psychiatric</v>
      </c>
      <c r="D4817" t="str">
        <f>[1]!hospitalinfo[[#This Row],[Hospital Ownership]]</f>
        <v>Proprietary</v>
      </c>
      <c r="E4817" t="str" cm="1">
        <f t="array" ref="E4817">_xlfn.IFNA(_xlfn.XLOOKUP(1,([1]!hcahps[Facility ID] = clean[[#This Row],[Facility ID]]) * ([1]!hcahps[HCAHPS Measure ID] = "H_HSP_RATING_LINEAR_SCORE"), [1]!hcahps[HCAHPS Linear Mean Value]), "No Match")</f>
        <v>No Match</v>
      </c>
      <c r="F4817" t="str" cm="1">
        <f t="array" ref="F4817">_xlfn.IFNA(_xlfn.XLOOKUP(1,([1]!readmissions[Facility ID] = clean[[#This Row],[Facility ID]]) * ([1]!readmissions[Measure ID] = "Hybrid_HWR"), [1]!readmissions[Score]), "No Match")</f>
        <v>No Match</v>
      </c>
    </row>
    <row r="4818" spans="1:6" x14ac:dyDescent="0.2">
      <c r="A4818">
        <f>[1]!hospitalinfo[[#This Row],[Facility ID]]</f>
        <v>454122</v>
      </c>
      <c r="B4818" t="str">
        <f>[1]!hospitalinfo[[#This Row],[State]]</f>
        <v>TX</v>
      </c>
      <c r="C4818" t="str">
        <f>[1]!hospitalinfo[[#This Row],[Hospital Type]]</f>
        <v>Psychiatric</v>
      </c>
      <c r="D4818" t="str">
        <f>[1]!hospitalinfo[[#This Row],[Hospital Ownership]]</f>
        <v>Proprietary</v>
      </c>
      <c r="E4818" t="str" cm="1">
        <f t="array" ref="E4818">_xlfn.IFNA(_xlfn.XLOOKUP(1,([1]!hcahps[Facility ID] = clean[[#This Row],[Facility ID]]) * ([1]!hcahps[HCAHPS Measure ID] = "H_HSP_RATING_LINEAR_SCORE"), [1]!hcahps[HCAHPS Linear Mean Value]), "No Match")</f>
        <v>No Match</v>
      </c>
      <c r="F4818" t="str" cm="1">
        <f t="array" ref="F4818">_xlfn.IFNA(_xlfn.XLOOKUP(1,([1]!readmissions[Facility ID] = clean[[#This Row],[Facility ID]]) * ([1]!readmissions[Measure ID] = "Hybrid_HWR"), [1]!readmissions[Score]), "No Match")</f>
        <v>No Match</v>
      </c>
    </row>
    <row r="4819" spans="1:6" x14ac:dyDescent="0.2">
      <c r="A4819">
        <f>[1]!hospitalinfo[[#This Row],[Facility ID]]</f>
        <v>454123</v>
      </c>
      <c r="B4819" t="str">
        <f>[1]!hospitalinfo[[#This Row],[State]]</f>
        <v>TX</v>
      </c>
      <c r="C4819" t="str">
        <f>[1]!hospitalinfo[[#This Row],[Hospital Type]]</f>
        <v>Psychiatric</v>
      </c>
      <c r="D4819" t="str">
        <f>[1]!hospitalinfo[[#This Row],[Hospital Ownership]]</f>
        <v>Proprietary</v>
      </c>
      <c r="E4819" t="str" cm="1">
        <f t="array" ref="E4819">_xlfn.IFNA(_xlfn.XLOOKUP(1,([1]!hcahps[Facility ID] = clean[[#This Row],[Facility ID]]) * ([1]!hcahps[HCAHPS Measure ID] = "H_HSP_RATING_LINEAR_SCORE"), [1]!hcahps[HCAHPS Linear Mean Value]), "No Match")</f>
        <v>No Match</v>
      </c>
      <c r="F4819" t="str" cm="1">
        <f t="array" ref="F4819">_xlfn.IFNA(_xlfn.XLOOKUP(1,([1]!readmissions[Facility ID] = clean[[#This Row],[Facility ID]]) * ([1]!readmissions[Measure ID] = "Hybrid_HWR"), [1]!readmissions[Score]), "No Match")</f>
        <v>No Match</v>
      </c>
    </row>
    <row r="4820" spans="1:6" x14ac:dyDescent="0.2">
      <c r="A4820">
        <f>[1]!hospitalinfo[[#This Row],[Facility ID]]</f>
        <v>454124</v>
      </c>
      <c r="B4820" t="str">
        <f>[1]!hospitalinfo[[#This Row],[State]]</f>
        <v>TX</v>
      </c>
      <c r="C4820" t="str">
        <f>[1]!hospitalinfo[[#This Row],[Hospital Type]]</f>
        <v>Psychiatric</v>
      </c>
      <c r="D4820" t="str">
        <f>[1]!hospitalinfo[[#This Row],[Hospital Ownership]]</f>
        <v>Proprietary</v>
      </c>
      <c r="E4820" t="str" cm="1">
        <f t="array" ref="E4820">_xlfn.IFNA(_xlfn.XLOOKUP(1,([1]!hcahps[Facility ID] = clean[[#This Row],[Facility ID]]) * ([1]!hcahps[HCAHPS Measure ID] = "H_HSP_RATING_LINEAR_SCORE"), [1]!hcahps[HCAHPS Linear Mean Value]), "No Match")</f>
        <v>No Match</v>
      </c>
      <c r="F4820" t="str" cm="1">
        <f t="array" ref="F4820">_xlfn.IFNA(_xlfn.XLOOKUP(1,([1]!readmissions[Facility ID] = clean[[#This Row],[Facility ID]]) * ([1]!readmissions[Measure ID] = "Hybrid_HWR"), [1]!readmissions[Score]), "No Match")</f>
        <v>No Match</v>
      </c>
    </row>
    <row r="4821" spans="1:6" x14ac:dyDescent="0.2">
      <c r="A4821">
        <f>[1]!hospitalinfo[[#This Row],[Facility ID]]</f>
        <v>454126</v>
      </c>
      <c r="B4821" t="str">
        <f>[1]!hospitalinfo[[#This Row],[State]]</f>
        <v>TX</v>
      </c>
      <c r="C4821" t="str">
        <f>[1]!hospitalinfo[[#This Row],[Hospital Type]]</f>
        <v>Psychiatric</v>
      </c>
      <c r="D4821" t="str">
        <f>[1]!hospitalinfo[[#This Row],[Hospital Ownership]]</f>
        <v>Voluntary non-profit - Other</v>
      </c>
      <c r="E4821" t="str" cm="1">
        <f t="array" ref="E4821">_xlfn.IFNA(_xlfn.XLOOKUP(1,([1]!hcahps[Facility ID] = clean[[#This Row],[Facility ID]]) * ([1]!hcahps[HCAHPS Measure ID] = "H_HSP_RATING_LINEAR_SCORE"), [1]!hcahps[HCAHPS Linear Mean Value]), "No Match")</f>
        <v>No Match</v>
      </c>
      <c r="F4821" t="str" cm="1">
        <f t="array" ref="F4821">_xlfn.IFNA(_xlfn.XLOOKUP(1,([1]!readmissions[Facility ID] = clean[[#This Row],[Facility ID]]) * ([1]!readmissions[Measure ID] = "Hybrid_HWR"), [1]!readmissions[Score]), "No Match")</f>
        <v>No Match</v>
      </c>
    </row>
    <row r="4822" spans="1:6" x14ac:dyDescent="0.2">
      <c r="A4822">
        <f>[1]!hospitalinfo[[#This Row],[Facility ID]]</f>
        <v>454127</v>
      </c>
      <c r="B4822" t="str">
        <f>[1]!hospitalinfo[[#This Row],[State]]</f>
        <v>TX</v>
      </c>
      <c r="C4822" t="str">
        <f>[1]!hospitalinfo[[#This Row],[Hospital Type]]</f>
        <v>Psychiatric</v>
      </c>
      <c r="D4822" t="str">
        <f>[1]!hospitalinfo[[#This Row],[Hospital Ownership]]</f>
        <v>Proprietary</v>
      </c>
      <c r="E4822" t="str" cm="1">
        <f t="array" ref="E4822">_xlfn.IFNA(_xlfn.XLOOKUP(1,([1]!hcahps[Facility ID] = clean[[#This Row],[Facility ID]]) * ([1]!hcahps[HCAHPS Measure ID] = "H_HSP_RATING_LINEAR_SCORE"), [1]!hcahps[HCAHPS Linear Mean Value]), "No Match")</f>
        <v>No Match</v>
      </c>
      <c r="F4822" t="str" cm="1">
        <f t="array" ref="F4822">_xlfn.IFNA(_xlfn.XLOOKUP(1,([1]!readmissions[Facility ID] = clean[[#This Row],[Facility ID]]) * ([1]!readmissions[Measure ID] = "Hybrid_HWR"), [1]!readmissions[Score]), "No Match")</f>
        <v>No Match</v>
      </c>
    </row>
    <row r="4823" spans="1:6" x14ac:dyDescent="0.2">
      <c r="A4823">
        <f>[1]!hospitalinfo[[#This Row],[Facility ID]]</f>
        <v>454128</v>
      </c>
      <c r="B4823" t="str">
        <f>[1]!hospitalinfo[[#This Row],[State]]</f>
        <v>TX</v>
      </c>
      <c r="C4823" t="str">
        <f>[1]!hospitalinfo[[#This Row],[Hospital Type]]</f>
        <v>Psychiatric</v>
      </c>
      <c r="D4823" t="str">
        <f>[1]!hospitalinfo[[#This Row],[Hospital Ownership]]</f>
        <v>Proprietary</v>
      </c>
      <c r="E4823" t="str" cm="1">
        <f t="array" ref="E4823">_xlfn.IFNA(_xlfn.XLOOKUP(1,([1]!hcahps[Facility ID] = clean[[#This Row],[Facility ID]]) * ([1]!hcahps[HCAHPS Measure ID] = "H_HSP_RATING_LINEAR_SCORE"), [1]!hcahps[HCAHPS Linear Mean Value]), "No Match")</f>
        <v>No Match</v>
      </c>
      <c r="F4823" t="str" cm="1">
        <f t="array" ref="F4823">_xlfn.IFNA(_xlfn.XLOOKUP(1,([1]!readmissions[Facility ID] = clean[[#This Row],[Facility ID]]) * ([1]!readmissions[Measure ID] = "Hybrid_HWR"), [1]!readmissions[Score]), "No Match")</f>
        <v>No Match</v>
      </c>
    </row>
    <row r="4824" spans="1:6" x14ac:dyDescent="0.2">
      <c r="A4824">
        <f>[1]!hospitalinfo[[#This Row],[Facility ID]]</f>
        <v>454129</v>
      </c>
      <c r="B4824" t="str">
        <f>[1]!hospitalinfo[[#This Row],[State]]</f>
        <v>TX</v>
      </c>
      <c r="C4824" t="str">
        <f>[1]!hospitalinfo[[#This Row],[Hospital Type]]</f>
        <v>Psychiatric</v>
      </c>
      <c r="D4824" t="str">
        <f>[1]!hospitalinfo[[#This Row],[Hospital Ownership]]</f>
        <v>Proprietary</v>
      </c>
      <c r="E4824" t="str" cm="1">
        <f t="array" ref="E4824">_xlfn.IFNA(_xlfn.XLOOKUP(1,([1]!hcahps[Facility ID] = clean[[#This Row],[Facility ID]]) * ([1]!hcahps[HCAHPS Measure ID] = "H_HSP_RATING_LINEAR_SCORE"), [1]!hcahps[HCAHPS Linear Mean Value]), "No Match")</f>
        <v>No Match</v>
      </c>
      <c r="F4824" t="str" cm="1">
        <f t="array" ref="F4824">_xlfn.IFNA(_xlfn.XLOOKUP(1,([1]!readmissions[Facility ID] = clean[[#This Row],[Facility ID]]) * ([1]!readmissions[Measure ID] = "Hybrid_HWR"), [1]!readmissions[Score]), "No Match")</f>
        <v>No Match</v>
      </c>
    </row>
    <row r="4825" spans="1:6" x14ac:dyDescent="0.2">
      <c r="A4825">
        <f>[1]!hospitalinfo[[#This Row],[Facility ID]]</f>
        <v>454131</v>
      </c>
      <c r="B4825" t="str">
        <f>[1]!hospitalinfo[[#This Row],[State]]</f>
        <v>TX</v>
      </c>
      <c r="C4825" t="str">
        <f>[1]!hospitalinfo[[#This Row],[Hospital Type]]</f>
        <v>Psychiatric</v>
      </c>
      <c r="D4825" t="str">
        <f>[1]!hospitalinfo[[#This Row],[Hospital Ownership]]</f>
        <v>Proprietary</v>
      </c>
      <c r="E4825" t="str" cm="1">
        <f t="array" ref="E4825">_xlfn.IFNA(_xlfn.XLOOKUP(1,([1]!hcahps[Facility ID] = clean[[#This Row],[Facility ID]]) * ([1]!hcahps[HCAHPS Measure ID] = "H_HSP_RATING_LINEAR_SCORE"), [1]!hcahps[HCAHPS Linear Mean Value]), "No Match")</f>
        <v>No Match</v>
      </c>
      <c r="F4825" t="str" cm="1">
        <f t="array" ref="F4825">_xlfn.IFNA(_xlfn.XLOOKUP(1,([1]!readmissions[Facility ID] = clean[[#This Row],[Facility ID]]) * ([1]!readmissions[Measure ID] = "Hybrid_HWR"), [1]!readmissions[Score]), "No Match")</f>
        <v>No Match</v>
      </c>
    </row>
    <row r="4826" spans="1:6" x14ac:dyDescent="0.2">
      <c r="A4826">
        <f>[1]!hospitalinfo[[#This Row],[Facility ID]]</f>
        <v>454132</v>
      </c>
      <c r="B4826" t="str">
        <f>[1]!hospitalinfo[[#This Row],[State]]</f>
        <v>TX</v>
      </c>
      <c r="C4826" t="str">
        <f>[1]!hospitalinfo[[#This Row],[Hospital Type]]</f>
        <v>Psychiatric</v>
      </c>
      <c r="D4826" t="str">
        <f>[1]!hospitalinfo[[#This Row],[Hospital Ownership]]</f>
        <v>Proprietary</v>
      </c>
      <c r="E4826" t="str" cm="1">
        <f t="array" ref="E4826">_xlfn.IFNA(_xlfn.XLOOKUP(1,([1]!hcahps[Facility ID] = clean[[#This Row],[Facility ID]]) * ([1]!hcahps[HCAHPS Measure ID] = "H_HSP_RATING_LINEAR_SCORE"), [1]!hcahps[HCAHPS Linear Mean Value]), "No Match")</f>
        <v>No Match</v>
      </c>
      <c r="F4826" t="str" cm="1">
        <f t="array" ref="F4826">_xlfn.IFNA(_xlfn.XLOOKUP(1,([1]!readmissions[Facility ID] = clean[[#This Row],[Facility ID]]) * ([1]!readmissions[Measure ID] = "Hybrid_HWR"), [1]!readmissions[Score]), "No Match")</f>
        <v>No Match</v>
      </c>
    </row>
    <row r="4827" spans="1:6" x14ac:dyDescent="0.2">
      <c r="A4827">
        <f>[1]!hospitalinfo[[#This Row],[Facility ID]]</f>
        <v>454133</v>
      </c>
      <c r="B4827" t="str">
        <f>[1]!hospitalinfo[[#This Row],[State]]</f>
        <v>TX</v>
      </c>
      <c r="C4827" t="str">
        <f>[1]!hospitalinfo[[#This Row],[Hospital Type]]</f>
        <v>Psychiatric</v>
      </c>
      <c r="D4827" t="str">
        <f>[1]!hospitalinfo[[#This Row],[Hospital Ownership]]</f>
        <v>Proprietary</v>
      </c>
      <c r="E4827" t="str" cm="1">
        <f t="array" ref="E4827">_xlfn.IFNA(_xlfn.XLOOKUP(1,([1]!hcahps[Facility ID] = clean[[#This Row],[Facility ID]]) * ([1]!hcahps[HCAHPS Measure ID] = "H_HSP_RATING_LINEAR_SCORE"), [1]!hcahps[HCAHPS Linear Mean Value]), "No Match")</f>
        <v>No Match</v>
      </c>
      <c r="F4827" t="str" cm="1">
        <f t="array" ref="F4827">_xlfn.IFNA(_xlfn.XLOOKUP(1,([1]!readmissions[Facility ID] = clean[[#This Row],[Facility ID]]) * ([1]!readmissions[Measure ID] = "Hybrid_HWR"), [1]!readmissions[Score]), "No Match")</f>
        <v>No Match</v>
      </c>
    </row>
    <row r="4828" spans="1:6" x14ac:dyDescent="0.2">
      <c r="A4828">
        <f>[1]!hospitalinfo[[#This Row],[Facility ID]]</f>
        <v>454135</v>
      </c>
      <c r="B4828" t="str">
        <f>[1]!hospitalinfo[[#This Row],[State]]</f>
        <v>TX</v>
      </c>
      <c r="C4828" t="str">
        <f>[1]!hospitalinfo[[#This Row],[Hospital Type]]</f>
        <v>Psychiatric</v>
      </c>
      <c r="D4828" t="str">
        <f>[1]!hospitalinfo[[#This Row],[Hospital Ownership]]</f>
        <v>Proprietary</v>
      </c>
      <c r="E4828" t="str" cm="1">
        <f t="array" ref="E4828">_xlfn.IFNA(_xlfn.XLOOKUP(1,([1]!hcahps[Facility ID] = clean[[#This Row],[Facility ID]]) * ([1]!hcahps[HCAHPS Measure ID] = "H_HSP_RATING_LINEAR_SCORE"), [1]!hcahps[HCAHPS Linear Mean Value]), "No Match")</f>
        <v>No Match</v>
      </c>
      <c r="F4828" t="str" cm="1">
        <f t="array" ref="F4828">_xlfn.IFNA(_xlfn.XLOOKUP(1,([1]!readmissions[Facility ID] = clean[[#This Row],[Facility ID]]) * ([1]!readmissions[Measure ID] = "Hybrid_HWR"), [1]!readmissions[Score]), "No Match")</f>
        <v>No Match</v>
      </c>
    </row>
    <row r="4829" spans="1:6" x14ac:dyDescent="0.2">
      <c r="A4829">
        <f>[1]!hospitalinfo[[#This Row],[Facility ID]]</f>
        <v>454136</v>
      </c>
      <c r="B4829" t="str">
        <f>[1]!hospitalinfo[[#This Row],[State]]</f>
        <v>TX</v>
      </c>
      <c r="C4829" t="str">
        <f>[1]!hospitalinfo[[#This Row],[Hospital Type]]</f>
        <v>Psychiatric</v>
      </c>
      <c r="D4829" t="str">
        <f>[1]!hospitalinfo[[#This Row],[Hospital Ownership]]</f>
        <v>Proprietary</v>
      </c>
      <c r="E4829" t="str" cm="1">
        <f t="array" ref="E4829">_xlfn.IFNA(_xlfn.XLOOKUP(1,([1]!hcahps[Facility ID] = clean[[#This Row],[Facility ID]]) * ([1]!hcahps[HCAHPS Measure ID] = "H_HSP_RATING_LINEAR_SCORE"), [1]!hcahps[HCAHPS Linear Mean Value]), "No Match")</f>
        <v>No Match</v>
      </c>
      <c r="F4829" t="str" cm="1">
        <f t="array" ref="F4829">_xlfn.IFNA(_xlfn.XLOOKUP(1,([1]!readmissions[Facility ID] = clean[[#This Row],[Facility ID]]) * ([1]!readmissions[Measure ID] = "Hybrid_HWR"), [1]!readmissions[Score]), "No Match")</f>
        <v>No Match</v>
      </c>
    </row>
    <row r="4830" spans="1:6" x14ac:dyDescent="0.2">
      <c r="A4830">
        <f>[1]!hospitalinfo[[#This Row],[Facility ID]]</f>
        <v>454139</v>
      </c>
      <c r="B4830" t="str">
        <f>[1]!hospitalinfo[[#This Row],[State]]</f>
        <v>TX</v>
      </c>
      <c r="C4830" t="str">
        <f>[1]!hospitalinfo[[#This Row],[Hospital Type]]</f>
        <v>Psychiatric</v>
      </c>
      <c r="D4830" t="str">
        <f>[1]!hospitalinfo[[#This Row],[Hospital Ownership]]</f>
        <v>Proprietary</v>
      </c>
      <c r="E4830" t="str" cm="1">
        <f t="array" ref="E4830">_xlfn.IFNA(_xlfn.XLOOKUP(1,([1]!hcahps[Facility ID] = clean[[#This Row],[Facility ID]]) * ([1]!hcahps[HCAHPS Measure ID] = "H_HSP_RATING_LINEAR_SCORE"), [1]!hcahps[HCAHPS Linear Mean Value]), "No Match")</f>
        <v>No Match</v>
      </c>
      <c r="F4830" t="str" cm="1">
        <f t="array" ref="F4830">_xlfn.IFNA(_xlfn.XLOOKUP(1,([1]!readmissions[Facility ID] = clean[[#This Row],[Facility ID]]) * ([1]!readmissions[Measure ID] = "Hybrid_HWR"), [1]!readmissions[Score]), "No Match")</f>
        <v>No Match</v>
      </c>
    </row>
    <row r="4831" spans="1:6" x14ac:dyDescent="0.2">
      <c r="A4831">
        <f>[1]!hospitalinfo[[#This Row],[Facility ID]]</f>
        <v>454141</v>
      </c>
      <c r="B4831" t="str">
        <f>[1]!hospitalinfo[[#This Row],[State]]</f>
        <v>TX</v>
      </c>
      <c r="C4831" t="str">
        <f>[1]!hospitalinfo[[#This Row],[Hospital Type]]</f>
        <v>Psychiatric</v>
      </c>
      <c r="D4831" t="str">
        <f>[1]!hospitalinfo[[#This Row],[Hospital Ownership]]</f>
        <v>Proprietary</v>
      </c>
      <c r="E4831" t="str" cm="1">
        <f t="array" ref="E4831">_xlfn.IFNA(_xlfn.XLOOKUP(1,([1]!hcahps[Facility ID] = clean[[#This Row],[Facility ID]]) * ([1]!hcahps[HCAHPS Measure ID] = "H_HSP_RATING_LINEAR_SCORE"), [1]!hcahps[HCAHPS Linear Mean Value]), "No Match")</f>
        <v>No Match</v>
      </c>
      <c r="F4831" t="str" cm="1">
        <f t="array" ref="F4831">_xlfn.IFNA(_xlfn.XLOOKUP(1,([1]!readmissions[Facility ID] = clean[[#This Row],[Facility ID]]) * ([1]!readmissions[Measure ID] = "Hybrid_HWR"), [1]!readmissions[Score]), "No Match")</f>
        <v>No Match</v>
      </c>
    </row>
    <row r="4832" spans="1:6" x14ac:dyDescent="0.2">
      <c r="A4832">
        <f>[1]!hospitalinfo[[#This Row],[Facility ID]]</f>
        <v>454144</v>
      </c>
      <c r="B4832" t="str">
        <f>[1]!hospitalinfo[[#This Row],[State]]</f>
        <v>TX</v>
      </c>
      <c r="C4832" t="str">
        <f>[1]!hospitalinfo[[#This Row],[Hospital Type]]</f>
        <v>Psychiatric</v>
      </c>
      <c r="D4832" t="str">
        <f>[1]!hospitalinfo[[#This Row],[Hospital Ownership]]</f>
        <v>Proprietary</v>
      </c>
      <c r="E4832" t="str" cm="1">
        <f t="array" ref="E4832">_xlfn.IFNA(_xlfn.XLOOKUP(1,([1]!hcahps[Facility ID] = clean[[#This Row],[Facility ID]]) * ([1]!hcahps[HCAHPS Measure ID] = "H_HSP_RATING_LINEAR_SCORE"), [1]!hcahps[HCAHPS Linear Mean Value]), "No Match")</f>
        <v>No Match</v>
      </c>
      <c r="F4832" t="str" cm="1">
        <f t="array" ref="F4832">_xlfn.IFNA(_xlfn.XLOOKUP(1,([1]!readmissions[Facility ID] = clean[[#This Row],[Facility ID]]) * ([1]!readmissions[Measure ID] = "Hybrid_HWR"), [1]!readmissions[Score]), "No Match")</f>
        <v>No Match</v>
      </c>
    </row>
    <row r="4833" spans="1:6" x14ac:dyDescent="0.2">
      <c r="A4833">
        <f>[1]!hospitalinfo[[#This Row],[Facility ID]]</f>
        <v>454146</v>
      </c>
      <c r="B4833" t="str">
        <f>[1]!hospitalinfo[[#This Row],[State]]</f>
        <v>TX</v>
      </c>
      <c r="C4833" t="str">
        <f>[1]!hospitalinfo[[#This Row],[Hospital Type]]</f>
        <v>Psychiatric</v>
      </c>
      <c r="D4833" t="str">
        <f>[1]!hospitalinfo[[#This Row],[Hospital Ownership]]</f>
        <v>Proprietary</v>
      </c>
      <c r="E4833" t="str" cm="1">
        <f t="array" ref="E4833">_xlfn.IFNA(_xlfn.XLOOKUP(1,([1]!hcahps[Facility ID] = clean[[#This Row],[Facility ID]]) * ([1]!hcahps[HCAHPS Measure ID] = "H_HSP_RATING_LINEAR_SCORE"), [1]!hcahps[HCAHPS Linear Mean Value]), "No Match")</f>
        <v>No Match</v>
      </c>
      <c r="F4833" t="str" cm="1">
        <f t="array" ref="F4833">_xlfn.IFNA(_xlfn.XLOOKUP(1,([1]!readmissions[Facility ID] = clean[[#This Row],[Facility ID]]) * ([1]!readmissions[Measure ID] = "Hybrid_HWR"), [1]!readmissions[Score]), "No Match")</f>
        <v>No Match</v>
      </c>
    </row>
    <row r="4834" spans="1:6" x14ac:dyDescent="0.2">
      <c r="A4834">
        <f>[1]!hospitalinfo[[#This Row],[Facility ID]]</f>
        <v>454147</v>
      </c>
      <c r="B4834" t="str">
        <f>[1]!hospitalinfo[[#This Row],[State]]</f>
        <v>TX</v>
      </c>
      <c r="C4834" t="str">
        <f>[1]!hospitalinfo[[#This Row],[Hospital Type]]</f>
        <v>Psychiatric</v>
      </c>
      <c r="D4834" t="str">
        <f>[1]!hospitalinfo[[#This Row],[Hospital Ownership]]</f>
        <v>Proprietary</v>
      </c>
      <c r="E4834" t="str" cm="1">
        <f t="array" ref="E4834">_xlfn.IFNA(_xlfn.XLOOKUP(1,([1]!hcahps[Facility ID] = clean[[#This Row],[Facility ID]]) * ([1]!hcahps[HCAHPS Measure ID] = "H_HSP_RATING_LINEAR_SCORE"), [1]!hcahps[HCAHPS Linear Mean Value]), "No Match")</f>
        <v>No Match</v>
      </c>
      <c r="F4834" t="str" cm="1">
        <f t="array" ref="F4834">_xlfn.IFNA(_xlfn.XLOOKUP(1,([1]!readmissions[Facility ID] = clean[[#This Row],[Facility ID]]) * ([1]!readmissions[Measure ID] = "Hybrid_HWR"), [1]!readmissions[Score]), "No Match")</f>
        <v>No Match</v>
      </c>
    </row>
    <row r="4835" spans="1:6" x14ac:dyDescent="0.2">
      <c r="A4835">
        <f>[1]!hospitalinfo[[#This Row],[Facility ID]]</f>
        <v>454148</v>
      </c>
      <c r="B4835" t="str">
        <f>[1]!hospitalinfo[[#This Row],[State]]</f>
        <v>TX</v>
      </c>
      <c r="C4835" t="str">
        <f>[1]!hospitalinfo[[#This Row],[Hospital Type]]</f>
        <v>Psychiatric</v>
      </c>
      <c r="D4835" t="str">
        <f>[1]!hospitalinfo[[#This Row],[Hospital Ownership]]</f>
        <v>Proprietary</v>
      </c>
      <c r="E4835" t="str" cm="1">
        <f t="array" ref="E4835">_xlfn.IFNA(_xlfn.XLOOKUP(1,([1]!hcahps[Facility ID] = clean[[#This Row],[Facility ID]]) * ([1]!hcahps[HCAHPS Measure ID] = "H_HSP_RATING_LINEAR_SCORE"), [1]!hcahps[HCAHPS Linear Mean Value]), "No Match")</f>
        <v>No Match</v>
      </c>
      <c r="F4835" t="str" cm="1">
        <f t="array" ref="F4835">_xlfn.IFNA(_xlfn.XLOOKUP(1,([1]!readmissions[Facility ID] = clean[[#This Row],[Facility ID]]) * ([1]!readmissions[Measure ID] = "Hybrid_HWR"), [1]!readmissions[Score]), "No Match")</f>
        <v>No Match</v>
      </c>
    </row>
    <row r="4836" spans="1:6" x14ac:dyDescent="0.2">
      <c r="A4836">
        <f>[1]!hospitalinfo[[#This Row],[Facility ID]]</f>
        <v>454149</v>
      </c>
      <c r="B4836" t="str">
        <f>[1]!hospitalinfo[[#This Row],[State]]</f>
        <v>TX</v>
      </c>
      <c r="C4836" t="str">
        <f>[1]!hospitalinfo[[#This Row],[Hospital Type]]</f>
        <v>Psychiatric</v>
      </c>
      <c r="D4836" t="str">
        <f>[1]!hospitalinfo[[#This Row],[Hospital Ownership]]</f>
        <v>Proprietary</v>
      </c>
      <c r="E4836" t="str" cm="1">
        <f t="array" ref="E4836">_xlfn.IFNA(_xlfn.XLOOKUP(1,([1]!hcahps[Facility ID] = clean[[#This Row],[Facility ID]]) * ([1]!hcahps[HCAHPS Measure ID] = "H_HSP_RATING_LINEAR_SCORE"), [1]!hcahps[HCAHPS Linear Mean Value]), "No Match")</f>
        <v>No Match</v>
      </c>
      <c r="F4836" t="str" cm="1">
        <f t="array" ref="F4836">_xlfn.IFNA(_xlfn.XLOOKUP(1,([1]!readmissions[Facility ID] = clean[[#This Row],[Facility ID]]) * ([1]!readmissions[Measure ID] = "Hybrid_HWR"), [1]!readmissions[Score]), "No Match")</f>
        <v>No Match</v>
      </c>
    </row>
    <row r="4837" spans="1:6" x14ac:dyDescent="0.2">
      <c r="A4837">
        <f>[1]!hospitalinfo[[#This Row],[Facility ID]]</f>
        <v>454150</v>
      </c>
      <c r="B4837" t="str">
        <f>[1]!hospitalinfo[[#This Row],[State]]</f>
        <v>TX</v>
      </c>
      <c r="C4837" t="str">
        <f>[1]!hospitalinfo[[#This Row],[Hospital Type]]</f>
        <v>Psychiatric</v>
      </c>
      <c r="D4837" t="str">
        <f>[1]!hospitalinfo[[#This Row],[Hospital Ownership]]</f>
        <v>Proprietary</v>
      </c>
      <c r="E4837" t="str" cm="1">
        <f t="array" ref="E4837">_xlfn.IFNA(_xlfn.XLOOKUP(1,([1]!hcahps[Facility ID] = clean[[#This Row],[Facility ID]]) * ([1]!hcahps[HCAHPS Measure ID] = "H_HSP_RATING_LINEAR_SCORE"), [1]!hcahps[HCAHPS Linear Mean Value]), "No Match")</f>
        <v>No Match</v>
      </c>
      <c r="F4837" t="str" cm="1">
        <f t="array" ref="F4837">_xlfn.IFNA(_xlfn.XLOOKUP(1,([1]!readmissions[Facility ID] = clean[[#This Row],[Facility ID]]) * ([1]!readmissions[Measure ID] = "Hybrid_HWR"), [1]!readmissions[Score]), "No Match")</f>
        <v>No Match</v>
      </c>
    </row>
    <row r="4838" spans="1:6" x14ac:dyDescent="0.2">
      <c r="A4838">
        <f>[1]!hospitalinfo[[#This Row],[Facility ID]]</f>
        <v>454151</v>
      </c>
      <c r="B4838" t="str">
        <f>[1]!hospitalinfo[[#This Row],[State]]</f>
        <v>TX</v>
      </c>
      <c r="C4838" t="str">
        <f>[1]!hospitalinfo[[#This Row],[Hospital Type]]</f>
        <v>Psychiatric</v>
      </c>
      <c r="D4838" t="str">
        <f>[1]!hospitalinfo[[#This Row],[Hospital Ownership]]</f>
        <v>Proprietary</v>
      </c>
      <c r="E4838" t="str" cm="1">
        <f t="array" ref="E4838">_xlfn.IFNA(_xlfn.XLOOKUP(1,([1]!hcahps[Facility ID] = clean[[#This Row],[Facility ID]]) * ([1]!hcahps[HCAHPS Measure ID] = "H_HSP_RATING_LINEAR_SCORE"), [1]!hcahps[HCAHPS Linear Mean Value]), "No Match")</f>
        <v>No Match</v>
      </c>
      <c r="F4838" t="str" cm="1">
        <f t="array" ref="F4838">_xlfn.IFNA(_xlfn.XLOOKUP(1,([1]!readmissions[Facility ID] = clean[[#This Row],[Facility ID]]) * ([1]!readmissions[Measure ID] = "Hybrid_HWR"), [1]!readmissions[Score]), "No Match")</f>
        <v>No Match</v>
      </c>
    </row>
    <row r="4839" spans="1:6" x14ac:dyDescent="0.2">
      <c r="A4839">
        <f>[1]!hospitalinfo[[#This Row],[Facility ID]]</f>
        <v>454152</v>
      </c>
      <c r="B4839" t="str">
        <f>[1]!hospitalinfo[[#This Row],[State]]</f>
        <v>TX</v>
      </c>
      <c r="C4839" t="str">
        <f>[1]!hospitalinfo[[#This Row],[Hospital Type]]</f>
        <v>Psychiatric</v>
      </c>
      <c r="D4839" t="str">
        <f>[1]!hospitalinfo[[#This Row],[Hospital Ownership]]</f>
        <v>Proprietary</v>
      </c>
      <c r="E4839" t="str" cm="1">
        <f t="array" ref="E4839">_xlfn.IFNA(_xlfn.XLOOKUP(1,([1]!hcahps[Facility ID] = clean[[#This Row],[Facility ID]]) * ([1]!hcahps[HCAHPS Measure ID] = "H_HSP_RATING_LINEAR_SCORE"), [1]!hcahps[HCAHPS Linear Mean Value]), "No Match")</f>
        <v>No Match</v>
      </c>
      <c r="F4839" t="str" cm="1">
        <f t="array" ref="F4839">_xlfn.IFNA(_xlfn.XLOOKUP(1,([1]!readmissions[Facility ID] = clean[[#This Row],[Facility ID]]) * ([1]!readmissions[Measure ID] = "Hybrid_HWR"), [1]!readmissions[Score]), "No Match")</f>
        <v>No Match</v>
      </c>
    </row>
    <row r="4840" spans="1:6" x14ac:dyDescent="0.2">
      <c r="A4840">
        <f>[1]!hospitalinfo[[#This Row],[Facility ID]]</f>
        <v>454153</v>
      </c>
      <c r="B4840" t="str">
        <f>[1]!hospitalinfo[[#This Row],[State]]</f>
        <v>TX</v>
      </c>
      <c r="C4840" t="str">
        <f>[1]!hospitalinfo[[#This Row],[Hospital Type]]</f>
        <v>Psychiatric</v>
      </c>
      <c r="D4840" t="str">
        <f>[1]!hospitalinfo[[#This Row],[Hospital Ownership]]</f>
        <v>Proprietary</v>
      </c>
      <c r="E4840" t="str" cm="1">
        <f t="array" ref="E4840">_xlfn.IFNA(_xlfn.XLOOKUP(1,([1]!hcahps[Facility ID] = clean[[#This Row],[Facility ID]]) * ([1]!hcahps[HCAHPS Measure ID] = "H_HSP_RATING_LINEAR_SCORE"), [1]!hcahps[HCAHPS Linear Mean Value]), "No Match")</f>
        <v>No Match</v>
      </c>
      <c r="F4840" t="str" cm="1">
        <f t="array" ref="F4840">_xlfn.IFNA(_xlfn.XLOOKUP(1,([1]!readmissions[Facility ID] = clean[[#This Row],[Facility ID]]) * ([1]!readmissions[Measure ID] = "Hybrid_HWR"), [1]!readmissions[Score]), "No Match")</f>
        <v>No Match</v>
      </c>
    </row>
    <row r="4841" spans="1:6" x14ac:dyDescent="0.2">
      <c r="A4841">
        <f>[1]!hospitalinfo[[#This Row],[Facility ID]]</f>
        <v>454154</v>
      </c>
      <c r="B4841" t="str">
        <f>[1]!hospitalinfo[[#This Row],[State]]</f>
        <v>TX</v>
      </c>
      <c r="C4841" t="str">
        <f>[1]!hospitalinfo[[#This Row],[Hospital Type]]</f>
        <v>Psychiatric</v>
      </c>
      <c r="D4841" t="str">
        <f>[1]!hospitalinfo[[#This Row],[Hospital Ownership]]</f>
        <v>Proprietary</v>
      </c>
      <c r="E4841" t="str" cm="1">
        <f t="array" ref="E4841">_xlfn.IFNA(_xlfn.XLOOKUP(1,([1]!hcahps[Facility ID] = clean[[#This Row],[Facility ID]]) * ([1]!hcahps[HCAHPS Measure ID] = "H_HSP_RATING_LINEAR_SCORE"), [1]!hcahps[HCAHPS Linear Mean Value]), "No Match")</f>
        <v>No Match</v>
      </c>
      <c r="F4841" t="str" cm="1">
        <f t="array" ref="F4841">_xlfn.IFNA(_xlfn.XLOOKUP(1,([1]!readmissions[Facility ID] = clean[[#This Row],[Facility ID]]) * ([1]!readmissions[Measure ID] = "Hybrid_HWR"), [1]!readmissions[Score]), "No Match")</f>
        <v>No Match</v>
      </c>
    </row>
    <row r="4842" spans="1:6" x14ac:dyDescent="0.2">
      <c r="A4842">
        <f>[1]!hospitalinfo[[#This Row],[Facility ID]]</f>
        <v>454155</v>
      </c>
      <c r="B4842" t="str">
        <f>[1]!hospitalinfo[[#This Row],[State]]</f>
        <v>TX</v>
      </c>
      <c r="C4842" t="str">
        <f>[1]!hospitalinfo[[#This Row],[Hospital Type]]</f>
        <v>Psychiatric</v>
      </c>
      <c r="D4842" t="str">
        <f>[1]!hospitalinfo[[#This Row],[Hospital Ownership]]</f>
        <v>Proprietary</v>
      </c>
      <c r="E4842" t="str" cm="1">
        <f t="array" ref="E4842">_xlfn.IFNA(_xlfn.XLOOKUP(1,([1]!hcahps[Facility ID] = clean[[#This Row],[Facility ID]]) * ([1]!hcahps[HCAHPS Measure ID] = "H_HSP_RATING_LINEAR_SCORE"), [1]!hcahps[HCAHPS Linear Mean Value]), "No Match")</f>
        <v>No Match</v>
      </c>
      <c r="F4842" t="str" cm="1">
        <f t="array" ref="F4842">_xlfn.IFNA(_xlfn.XLOOKUP(1,([1]!readmissions[Facility ID] = clean[[#This Row],[Facility ID]]) * ([1]!readmissions[Measure ID] = "Hybrid_HWR"), [1]!readmissions[Score]), "No Match")</f>
        <v>No Match</v>
      </c>
    </row>
    <row r="4843" spans="1:6" x14ac:dyDescent="0.2">
      <c r="A4843">
        <f>[1]!hospitalinfo[[#This Row],[Facility ID]]</f>
        <v>454156</v>
      </c>
      <c r="B4843" t="str">
        <f>[1]!hospitalinfo[[#This Row],[State]]</f>
        <v>TX</v>
      </c>
      <c r="C4843" t="str">
        <f>[1]!hospitalinfo[[#This Row],[Hospital Type]]</f>
        <v>Psychiatric</v>
      </c>
      <c r="D4843" t="str">
        <f>[1]!hospitalinfo[[#This Row],[Hospital Ownership]]</f>
        <v>Proprietary</v>
      </c>
      <c r="E4843" t="str" cm="1">
        <f t="array" ref="E4843">_xlfn.IFNA(_xlfn.XLOOKUP(1,([1]!hcahps[Facility ID] = clean[[#This Row],[Facility ID]]) * ([1]!hcahps[HCAHPS Measure ID] = "H_HSP_RATING_LINEAR_SCORE"), [1]!hcahps[HCAHPS Linear Mean Value]), "No Match")</f>
        <v>No Match</v>
      </c>
      <c r="F4843" t="str" cm="1">
        <f t="array" ref="F4843">_xlfn.IFNA(_xlfn.XLOOKUP(1,([1]!readmissions[Facility ID] = clean[[#This Row],[Facility ID]]) * ([1]!readmissions[Measure ID] = "Hybrid_HWR"), [1]!readmissions[Score]), "No Match")</f>
        <v>No Match</v>
      </c>
    </row>
    <row r="4844" spans="1:6" x14ac:dyDescent="0.2">
      <c r="A4844">
        <f>[1]!hospitalinfo[[#This Row],[Facility ID]]</f>
        <v>454157</v>
      </c>
      <c r="B4844" t="str">
        <f>[1]!hospitalinfo[[#This Row],[State]]</f>
        <v>TX</v>
      </c>
      <c r="C4844" t="str">
        <f>[1]!hospitalinfo[[#This Row],[Hospital Type]]</f>
        <v>Psychiatric</v>
      </c>
      <c r="D4844" t="str">
        <f>[1]!hospitalinfo[[#This Row],[Hospital Ownership]]</f>
        <v>Proprietary</v>
      </c>
      <c r="E4844" t="str" cm="1">
        <f t="array" ref="E4844">_xlfn.IFNA(_xlfn.XLOOKUP(1,([1]!hcahps[Facility ID] = clean[[#This Row],[Facility ID]]) * ([1]!hcahps[HCAHPS Measure ID] = "H_HSP_RATING_LINEAR_SCORE"), [1]!hcahps[HCAHPS Linear Mean Value]), "No Match")</f>
        <v>No Match</v>
      </c>
      <c r="F4844" t="str" cm="1">
        <f t="array" ref="F4844">_xlfn.IFNA(_xlfn.XLOOKUP(1,([1]!readmissions[Facility ID] = clean[[#This Row],[Facility ID]]) * ([1]!readmissions[Measure ID] = "Hybrid_HWR"), [1]!readmissions[Score]), "No Match")</f>
        <v>No Match</v>
      </c>
    </row>
    <row r="4845" spans="1:6" x14ac:dyDescent="0.2">
      <c r="A4845">
        <f>[1]!hospitalinfo[[#This Row],[Facility ID]]</f>
        <v>454158</v>
      </c>
      <c r="B4845" t="str">
        <f>[1]!hospitalinfo[[#This Row],[State]]</f>
        <v>TX</v>
      </c>
      <c r="C4845" t="str">
        <f>[1]!hospitalinfo[[#This Row],[Hospital Type]]</f>
        <v>Psychiatric</v>
      </c>
      <c r="D4845" t="str">
        <f>[1]!hospitalinfo[[#This Row],[Hospital Ownership]]</f>
        <v>Proprietary</v>
      </c>
      <c r="E4845" t="str" cm="1">
        <f t="array" ref="E4845">_xlfn.IFNA(_xlfn.XLOOKUP(1,([1]!hcahps[Facility ID] = clean[[#This Row],[Facility ID]]) * ([1]!hcahps[HCAHPS Measure ID] = "H_HSP_RATING_LINEAR_SCORE"), [1]!hcahps[HCAHPS Linear Mean Value]), "No Match")</f>
        <v>No Match</v>
      </c>
      <c r="F4845" t="str" cm="1">
        <f t="array" ref="F4845">_xlfn.IFNA(_xlfn.XLOOKUP(1,([1]!readmissions[Facility ID] = clean[[#This Row],[Facility ID]]) * ([1]!readmissions[Measure ID] = "Hybrid_HWR"), [1]!readmissions[Score]), "No Match")</f>
        <v>No Match</v>
      </c>
    </row>
    <row r="4846" spans="1:6" x14ac:dyDescent="0.2">
      <c r="A4846">
        <f>[1]!hospitalinfo[[#This Row],[Facility ID]]</f>
        <v>454159</v>
      </c>
      <c r="B4846" t="str">
        <f>[1]!hospitalinfo[[#This Row],[State]]</f>
        <v>TX</v>
      </c>
      <c r="C4846" t="str">
        <f>[1]!hospitalinfo[[#This Row],[Hospital Type]]</f>
        <v>Psychiatric</v>
      </c>
      <c r="D4846" t="str">
        <f>[1]!hospitalinfo[[#This Row],[Hospital Ownership]]</f>
        <v>Voluntary non-profit - Other</v>
      </c>
      <c r="E4846" t="str" cm="1">
        <f t="array" ref="E4846">_xlfn.IFNA(_xlfn.XLOOKUP(1,([1]!hcahps[Facility ID] = clean[[#This Row],[Facility ID]]) * ([1]!hcahps[HCAHPS Measure ID] = "H_HSP_RATING_LINEAR_SCORE"), [1]!hcahps[HCAHPS Linear Mean Value]), "No Match")</f>
        <v>No Match</v>
      </c>
      <c r="F4846" t="str" cm="1">
        <f t="array" ref="F4846">_xlfn.IFNA(_xlfn.XLOOKUP(1,([1]!readmissions[Facility ID] = clean[[#This Row],[Facility ID]]) * ([1]!readmissions[Measure ID] = "Hybrid_HWR"), [1]!readmissions[Score]), "No Match")</f>
        <v>No Match</v>
      </c>
    </row>
    <row r="4847" spans="1:6" x14ac:dyDescent="0.2">
      <c r="A4847">
        <f>[1]!hospitalinfo[[#This Row],[Facility ID]]</f>
        <v>454161</v>
      </c>
      <c r="B4847" t="str">
        <f>[1]!hospitalinfo[[#This Row],[State]]</f>
        <v>TX</v>
      </c>
      <c r="C4847" t="str">
        <f>[1]!hospitalinfo[[#This Row],[Hospital Type]]</f>
        <v>Psychiatric</v>
      </c>
      <c r="D4847" t="str">
        <f>[1]!hospitalinfo[[#This Row],[Hospital Ownership]]</f>
        <v>Proprietary</v>
      </c>
      <c r="E4847" t="str" cm="1">
        <f t="array" ref="E4847">_xlfn.IFNA(_xlfn.XLOOKUP(1,([1]!hcahps[Facility ID] = clean[[#This Row],[Facility ID]]) * ([1]!hcahps[HCAHPS Measure ID] = "H_HSP_RATING_LINEAR_SCORE"), [1]!hcahps[HCAHPS Linear Mean Value]), "No Match")</f>
        <v>No Match</v>
      </c>
      <c r="F4847" t="str" cm="1">
        <f t="array" ref="F4847">_xlfn.IFNA(_xlfn.XLOOKUP(1,([1]!readmissions[Facility ID] = clean[[#This Row],[Facility ID]]) * ([1]!readmissions[Measure ID] = "Hybrid_HWR"), [1]!readmissions[Score]), "No Match")</f>
        <v>No Match</v>
      </c>
    </row>
    <row r="4848" spans="1:6" x14ac:dyDescent="0.2">
      <c r="A4848">
        <f>[1]!hospitalinfo[[#This Row],[Facility ID]]</f>
        <v>670005</v>
      </c>
      <c r="B4848" t="str">
        <f>[1]!hospitalinfo[[#This Row],[State]]</f>
        <v>TX</v>
      </c>
      <c r="C4848" t="str">
        <f>[1]!hospitalinfo[[#This Row],[Hospital Type]]</f>
        <v>Acute Care Hospitals</v>
      </c>
      <c r="D4848" t="str">
        <f>[1]!hospitalinfo[[#This Row],[Hospital Ownership]]</f>
        <v>Proprietary</v>
      </c>
      <c r="E4848" t="str" cm="1">
        <f t="array" ref="E4848">_xlfn.IFNA(_xlfn.XLOOKUP(1,([1]!hcahps[Facility ID] = clean[[#This Row],[Facility ID]]) * ([1]!hcahps[HCAHPS Measure ID] = "H_HSP_RATING_LINEAR_SCORE"), [1]!hcahps[HCAHPS Linear Mean Value]), "No Match")</f>
        <v>Not Available</v>
      </c>
      <c r="F4848" cm="1">
        <f t="array" ref="F4848">_xlfn.IFNA(_xlfn.XLOOKUP(1,([1]!readmissions[Facility ID] = clean[[#This Row],[Facility ID]]) * ([1]!readmissions[Measure ID] = "Hybrid_HWR"), [1]!readmissions[Score]), "No Match")</f>
        <v>14.8</v>
      </c>
    </row>
    <row r="4849" spans="1:6" x14ac:dyDescent="0.2">
      <c r="A4849">
        <f>[1]!hospitalinfo[[#This Row],[Facility ID]]</f>
        <v>670006</v>
      </c>
      <c r="B4849" t="str">
        <f>[1]!hospitalinfo[[#This Row],[State]]</f>
        <v>TX</v>
      </c>
      <c r="C4849" t="str">
        <f>[1]!hospitalinfo[[#This Row],[Hospital Type]]</f>
        <v>Acute Care Hospitals</v>
      </c>
      <c r="D4849" t="str">
        <f>[1]!hospitalinfo[[#This Row],[Hospital Ownership]]</f>
        <v>Physician</v>
      </c>
      <c r="E4849" cm="1">
        <f t="array" ref="E4849">_xlfn.IFNA(_xlfn.XLOOKUP(1,([1]!hcahps[Facility ID] = clean[[#This Row],[Facility ID]]) * ([1]!hcahps[HCAHPS Measure ID] = "H_HSP_RATING_LINEAR_SCORE"), [1]!hcahps[HCAHPS Linear Mean Value]), "No Match")</f>
        <v>85</v>
      </c>
      <c r="F4849" cm="1">
        <f t="array" ref="F4849">_xlfn.IFNA(_xlfn.XLOOKUP(1,([1]!readmissions[Facility ID] = clean[[#This Row],[Facility ID]]) * ([1]!readmissions[Measure ID] = "Hybrid_HWR"), [1]!readmissions[Score]), "No Match")</f>
        <v>14.2</v>
      </c>
    </row>
    <row r="4850" spans="1:6" x14ac:dyDescent="0.2">
      <c r="A4850">
        <f>[1]!hospitalinfo[[#This Row],[Facility ID]]</f>
        <v>670008</v>
      </c>
      <c r="B4850" t="str">
        <f>[1]!hospitalinfo[[#This Row],[State]]</f>
        <v>TX</v>
      </c>
      <c r="C4850" t="str">
        <f>[1]!hospitalinfo[[#This Row],[Hospital Type]]</f>
        <v>Acute Care Hospitals</v>
      </c>
      <c r="D4850" t="str">
        <f>[1]!hospitalinfo[[#This Row],[Hospital Ownership]]</f>
        <v>Physician</v>
      </c>
      <c r="E4850" cm="1">
        <f t="array" ref="E4850">_xlfn.IFNA(_xlfn.XLOOKUP(1,([1]!hcahps[Facility ID] = clean[[#This Row],[Facility ID]]) * ([1]!hcahps[HCAHPS Measure ID] = "H_HSP_RATING_LINEAR_SCORE"), [1]!hcahps[HCAHPS Linear Mean Value]), "No Match")</f>
        <v>93</v>
      </c>
      <c r="F4850" cm="1">
        <f t="array" ref="F4850">_xlfn.IFNA(_xlfn.XLOOKUP(1,([1]!readmissions[Facility ID] = clean[[#This Row],[Facility ID]]) * ([1]!readmissions[Measure ID] = "Hybrid_HWR"), [1]!readmissions[Score]), "No Match")</f>
        <v>13.8</v>
      </c>
    </row>
    <row r="4851" spans="1:6" x14ac:dyDescent="0.2">
      <c r="A4851">
        <f>[1]!hospitalinfo[[#This Row],[Facility ID]]</f>
        <v>670010</v>
      </c>
      <c r="B4851" t="str">
        <f>[1]!hospitalinfo[[#This Row],[State]]</f>
        <v>TX</v>
      </c>
      <c r="C4851" t="str">
        <f>[1]!hospitalinfo[[#This Row],[Hospital Type]]</f>
        <v>Acute Care Hospitals</v>
      </c>
      <c r="D4851" t="str">
        <f>[1]!hospitalinfo[[#This Row],[Hospital Ownership]]</f>
        <v>Proprietary</v>
      </c>
      <c r="E4851" t="str" cm="1">
        <f t="array" ref="E4851">_xlfn.IFNA(_xlfn.XLOOKUP(1,([1]!hcahps[Facility ID] = clean[[#This Row],[Facility ID]]) * ([1]!hcahps[HCAHPS Measure ID] = "H_HSP_RATING_LINEAR_SCORE"), [1]!hcahps[HCAHPS Linear Mean Value]), "No Match")</f>
        <v>Not Available</v>
      </c>
      <c r="F4851" t="str" cm="1">
        <f t="array" ref="F4851">_xlfn.IFNA(_xlfn.XLOOKUP(1,([1]!readmissions[Facility ID] = clean[[#This Row],[Facility ID]]) * ([1]!readmissions[Measure ID] = "Hybrid_HWR"), [1]!readmissions[Score]), "No Match")</f>
        <v>Not Available</v>
      </c>
    </row>
    <row r="4852" spans="1:6" x14ac:dyDescent="0.2">
      <c r="A4852">
        <f>[1]!hospitalinfo[[#This Row],[Facility ID]]</f>
        <v>670023</v>
      </c>
      <c r="B4852" t="str">
        <f>[1]!hospitalinfo[[#This Row],[State]]</f>
        <v>TX</v>
      </c>
      <c r="C4852" t="str">
        <f>[1]!hospitalinfo[[#This Row],[Hospital Type]]</f>
        <v>Acute Care Hospitals</v>
      </c>
      <c r="D4852" t="str">
        <f>[1]!hospitalinfo[[#This Row],[Hospital Ownership]]</f>
        <v>Voluntary non-profit - Private</v>
      </c>
      <c r="E4852" cm="1">
        <f t="array" ref="E4852">_xlfn.IFNA(_xlfn.XLOOKUP(1,([1]!hcahps[Facility ID] = clean[[#This Row],[Facility ID]]) * ([1]!hcahps[HCAHPS Measure ID] = "H_HSP_RATING_LINEAR_SCORE"), [1]!hcahps[HCAHPS Linear Mean Value]), "No Match")</f>
        <v>92</v>
      </c>
      <c r="F4852" cm="1">
        <f t="array" ref="F4852">_xlfn.IFNA(_xlfn.XLOOKUP(1,([1]!readmissions[Facility ID] = clean[[#This Row],[Facility ID]]) * ([1]!readmissions[Measure ID] = "Hybrid_HWR"), [1]!readmissions[Score]), "No Match")</f>
        <v>15</v>
      </c>
    </row>
    <row r="4853" spans="1:6" x14ac:dyDescent="0.2">
      <c r="A4853">
        <f>[1]!hospitalinfo[[#This Row],[Facility ID]]</f>
        <v>670025</v>
      </c>
      <c r="B4853" t="str">
        <f>[1]!hospitalinfo[[#This Row],[State]]</f>
        <v>TX</v>
      </c>
      <c r="C4853" t="str">
        <f>[1]!hospitalinfo[[#This Row],[Hospital Type]]</f>
        <v>Acute Care Hospitals</v>
      </c>
      <c r="D4853" t="str">
        <f>[1]!hospitalinfo[[#This Row],[Hospital Ownership]]</f>
        <v>Physician</v>
      </c>
      <c r="E4853" cm="1">
        <f t="array" ref="E4853">_xlfn.IFNA(_xlfn.XLOOKUP(1,([1]!hcahps[Facility ID] = clean[[#This Row],[Facility ID]]) * ([1]!hcahps[HCAHPS Measure ID] = "H_HSP_RATING_LINEAR_SCORE"), [1]!hcahps[HCAHPS Linear Mean Value]), "No Match")</f>
        <v>94</v>
      </c>
      <c r="F4853" cm="1">
        <f t="array" ref="F4853">_xlfn.IFNA(_xlfn.XLOOKUP(1,([1]!readmissions[Facility ID] = clean[[#This Row],[Facility ID]]) * ([1]!readmissions[Measure ID] = "Hybrid_HWR"), [1]!readmissions[Score]), "No Match")</f>
        <v>14.1</v>
      </c>
    </row>
    <row r="4854" spans="1:6" x14ac:dyDescent="0.2">
      <c r="A4854">
        <f>[1]!hospitalinfo[[#This Row],[Facility ID]]</f>
        <v>670031</v>
      </c>
      <c r="B4854" t="str">
        <f>[1]!hospitalinfo[[#This Row],[State]]</f>
        <v>TX</v>
      </c>
      <c r="C4854" t="str">
        <f>[1]!hospitalinfo[[#This Row],[Hospital Type]]</f>
        <v>Acute Care Hospitals</v>
      </c>
      <c r="D4854" t="str">
        <f>[1]!hospitalinfo[[#This Row],[Hospital Ownership]]</f>
        <v>Proprietary</v>
      </c>
      <c r="E4854" cm="1">
        <f t="array" ref="E4854">_xlfn.IFNA(_xlfn.XLOOKUP(1,([1]!hcahps[Facility ID] = clean[[#This Row],[Facility ID]]) * ([1]!hcahps[HCAHPS Measure ID] = "H_HSP_RATING_LINEAR_SCORE"), [1]!hcahps[HCAHPS Linear Mean Value]), "No Match")</f>
        <v>85</v>
      </c>
      <c r="F4854" cm="1">
        <f t="array" ref="F4854">_xlfn.IFNA(_xlfn.XLOOKUP(1,([1]!readmissions[Facility ID] = clean[[#This Row],[Facility ID]]) * ([1]!readmissions[Measure ID] = "Hybrid_HWR"), [1]!readmissions[Score]), "No Match")</f>
        <v>14.6</v>
      </c>
    </row>
    <row r="4855" spans="1:6" x14ac:dyDescent="0.2">
      <c r="A4855">
        <f>[1]!hospitalinfo[[#This Row],[Facility ID]]</f>
        <v>670034</v>
      </c>
      <c r="B4855" t="str">
        <f>[1]!hospitalinfo[[#This Row],[State]]</f>
        <v>TX</v>
      </c>
      <c r="C4855" t="str">
        <f>[1]!hospitalinfo[[#This Row],[Hospital Type]]</f>
        <v>Acute Care Hospitals</v>
      </c>
      <c r="D4855" t="str">
        <f>[1]!hospitalinfo[[#This Row],[Hospital Ownership]]</f>
        <v>Voluntary non-profit - Private</v>
      </c>
      <c r="E4855" cm="1">
        <f t="array" ref="E4855">_xlfn.IFNA(_xlfn.XLOOKUP(1,([1]!hcahps[Facility ID] = clean[[#This Row],[Facility ID]]) * ([1]!hcahps[HCAHPS Measure ID] = "H_HSP_RATING_LINEAR_SCORE"), [1]!hcahps[HCAHPS Linear Mean Value]), "No Match")</f>
        <v>90</v>
      </c>
      <c r="F4855" cm="1">
        <f t="array" ref="F4855">_xlfn.IFNA(_xlfn.XLOOKUP(1,([1]!readmissions[Facility ID] = clean[[#This Row],[Facility ID]]) * ([1]!readmissions[Measure ID] = "Hybrid_HWR"), [1]!readmissions[Score]), "No Match")</f>
        <v>13.9</v>
      </c>
    </row>
    <row r="4856" spans="1:6" x14ac:dyDescent="0.2">
      <c r="A4856">
        <f>[1]!hospitalinfo[[#This Row],[Facility ID]]</f>
        <v>670041</v>
      </c>
      <c r="B4856" t="str">
        <f>[1]!hospitalinfo[[#This Row],[State]]</f>
        <v>TX</v>
      </c>
      <c r="C4856" t="str">
        <f>[1]!hospitalinfo[[#This Row],[Hospital Type]]</f>
        <v>Acute Care Hospitals</v>
      </c>
      <c r="D4856" t="str">
        <f>[1]!hospitalinfo[[#This Row],[Hospital Ownership]]</f>
        <v>Voluntary non-profit - Private</v>
      </c>
      <c r="E4856" cm="1">
        <f t="array" ref="E4856">_xlfn.IFNA(_xlfn.XLOOKUP(1,([1]!hcahps[Facility ID] = clean[[#This Row],[Facility ID]]) * ([1]!hcahps[HCAHPS Measure ID] = "H_HSP_RATING_LINEAR_SCORE"), [1]!hcahps[HCAHPS Linear Mean Value]), "No Match")</f>
        <v>88</v>
      </c>
      <c r="F4856" cm="1">
        <f t="array" ref="F4856">_xlfn.IFNA(_xlfn.XLOOKUP(1,([1]!readmissions[Facility ID] = clean[[#This Row],[Facility ID]]) * ([1]!readmissions[Measure ID] = "Hybrid_HWR"), [1]!readmissions[Score]), "No Match")</f>
        <v>14.4</v>
      </c>
    </row>
    <row r="4857" spans="1:6" x14ac:dyDescent="0.2">
      <c r="A4857">
        <f>[1]!hospitalinfo[[#This Row],[Facility ID]]</f>
        <v>670043</v>
      </c>
      <c r="B4857" t="str">
        <f>[1]!hospitalinfo[[#This Row],[State]]</f>
        <v>TX</v>
      </c>
      <c r="C4857" t="str">
        <f>[1]!hospitalinfo[[#This Row],[Hospital Type]]</f>
        <v>Acute Care Hospitals</v>
      </c>
      <c r="D4857" t="str">
        <f>[1]!hospitalinfo[[#This Row],[Hospital Ownership]]</f>
        <v>Voluntary non-profit - Other</v>
      </c>
      <c r="E4857" cm="1">
        <f t="array" ref="E4857">_xlfn.IFNA(_xlfn.XLOOKUP(1,([1]!hcahps[Facility ID] = clean[[#This Row],[Facility ID]]) * ([1]!hcahps[HCAHPS Measure ID] = "H_HSP_RATING_LINEAR_SCORE"), [1]!hcahps[HCAHPS Linear Mean Value]), "No Match")</f>
        <v>85</v>
      </c>
      <c r="F4857" cm="1">
        <f t="array" ref="F4857">_xlfn.IFNA(_xlfn.XLOOKUP(1,([1]!readmissions[Facility ID] = clean[[#This Row],[Facility ID]]) * ([1]!readmissions[Measure ID] = "Hybrid_HWR"), [1]!readmissions[Score]), "No Match")</f>
        <v>15.6</v>
      </c>
    </row>
    <row r="4858" spans="1:6" x14ac:dyDescent="0.2">
      <c r="A4858">
        <f>[1]!hospitalinfo[[#This Row],[Facility ID]]</f>
        <v>670044</v>
      </c>
      <c r="B4858" t="str">
        <f>[1]!hospitalinfo[[#This Row],[State]]</f>
        <v>TX</v>
      </c>
      <c r="C4858" t="str">
        <f>[1]!hospitalinfo[[#This Row],[Hospital Type]]</f>
        <v>Acute Care Hospitals</v>
      </c>
      <c r="D4858" t="str">
        <f>[1]!hospitalinfo[[#This Row],[Hospital Ownership]]</f>
        <v>Proprietary</v>
      </c>
      <c r="E4858" cm="1">
        <f t="array" ref="E4858">_xlfn.IFNA(_xlfn.XLOOKUP(1,([1]!hcahps[Facility ID] = clean[[#This Row],[Facility ID]]) * ([1]!hcahps[HCAHPS Measure ID] = "H_HSP_RATING_LINEAR_SCORE"), [1]!hcahps[HCAHPS Linear Mean Value]), "No Match")</f>
        <v>91</v>
      </c>
      <c r="F4858" cm="1">
        <f t="array" ref="F4858">_xlfn.IFNA(_xlfn.XLOOKUP(1,([1]!readmissions[Facility ID] = clean[[#This Row],[Facility ID]]) * ([1]!readmissions[Measure ID] = "Hybrid_HWR"), [1]!readmissions[Score]), "No Match")</f>
        <v>14.6</v>
      </c>
    </row>
    <row r="4859" spans="1:6" x14ac:dyDescent="0.2">
      <c r="A4859">
        <f>[1]!hospitalinfo[[#This Row],[Facility ID]]</f>
        <v>670047</v>
      </c>
      <c r="B4859" t="str">
        <f>[1]!hospitalinfo[[#This Row],[State]]</f>
        <v>TX</v>
      </c>
      <c r="C4859" t="str">
        <f>[1]!hospitalinfo[[#This Row],[Hospital Type]]</f>
        <v>Acute Care Hospitals</v>
      </c>
      <c r="D4859" t="str">
        <f>[1]!hospitalinfo[[#This Row],[Hospital Ownership]]</f>
        <v>Proprietary</v>
      </c>
      <c r="E4859" cm="1">
        <f t="array" ref="E4859">_xlfn.IFNA(_xlfn.XLOOKUP(1,([1]!hcahps[Facility ID] = clean[[#This Row],[Facility ID]]) * ([1]!hcahps[HCAHPS Measure ID] = "H_HSP_RATING_LINEAR_SCORE"), [1]!hcahps[HCAHPS Linear Mean Value]), "No Match")</f>
        <v>81</v>
      </c>
      <c r="F4859" cm="1">
        <f t="array" ref="F4859">_xlfn.IFNA(_xlfn.XLOOKUP(1,([1]!readmissions[Facility ID] = clean[[#This Row],[Facility ID]]) * ([1]!readmissions[Measure ID] = "Hybrid_HWR"), [1]!readmissions[Score]), "No Match")</f>
        <v>15.1</v>
      </c>
    </row>
    <row r="4860" spans="1:6" x14ac:dyDescent="0.2">
      <c r="A4860">
        <f>[1]!hospitalinfo[[#This Row],[Facility ID]]</f>
        <v>670049</v>
      </c>
      <c r="B4860" t="str">
        <f>[1]!hospitalinfo[[#This Row],[State]]</f>
        <v>TX</v>
      </c>
      <c r="C4860" t="str">
        <f>[1]!hospitalinfo[[#This Row],[Hospital Type]]</f>
        <v>Acute Care Hospitals</v>
      </c>
      <c r="D4860" t="str">
        <f>[1]!hospitalinfo[[#This Row],[Hospital Ownership]]</f>
        <v>Voluntary non-profit - Other</v>
      </c>
      <c r="E4860" cm="1">
        <f t="array" ref="E4860">_xlfn.IFNA(_xlfn.XLOOKUP(1,([1]!hcahps[Facility ID] = clean[[#This Row],[Facility ID]]) * ([1]!hcahps[HCAHPS Measure ID] = "H_HSP_RATING_LINEAR_SCORE"), [1]!hcahps[HCAHPS Linear Mean Value]), "No Match")</f>
        <v>90</v>
      </c>
      <c r="F4860" cm="1">
        <f t="array" ref="F4860">_xlfn.IFNA(_xlfn.XLOOKUP(1,([1]!readmissions[Facility ID] = clean[[#This Row],[Facility ID]]) * ([1]!readmissions[Measure ID] = "Hybrid_HWR"), [1]!readmissions[Score]), "No Match")</f>
        <v>14.2</v>
      </c>
    </row>
    <row r="4861" spans="1:6" x14ac:dyDescent="0.2">
      <c r="A4861">
        <f>[1]!hospitalinfo[[#This Row],[Facility ID]]</f>
        <v>670053</v>
      </c>
      <c r="B4861" t="str">
        <f>[1]!hospitalinfo[[#This Row],[State]]</f>
        <v>TX</v>
      </c>
      <c r="C4861" t="str">
        <f>[1]!hospitalinfo[[#This Row],[Hospital Type]]</f>
        <v>Acute Care Hospitals</v>
      </c>
      <c r="D4861" t="str">
        <f>[1]!hospitalinfo[[#This Row],[Hospital Ownership]]</f>
        <v>Voluntary non-profit - Private</v>
      </c>
      <c r="E4861" cm="1">
        <f t="array" ref="E4861">_xlfn.IFNA(_xlfn.XLOOKUP(1,([1]!hcahps[Facility ID] = clean[[#This Row],[Facility ID]]) * ([1]!hcahps[HCAHPS Measure ID] = "H_HSP_RATING_LINEAR_SCORE"), [1]!hcahps[HCAHPS Linear Mean Value]), "No Match")</f>
        <v>85</v>
      </c>
      <c r="F4861" cm="1">
        <f t="array" ref="F4861">_xlfn.IFNA(_xlfn.XLOOKUP(1,([1]!readmissions[Facility ID] = clean[[#This Row],[Facility ID]]) * ([1]!readmissions[Measure ID] = "Hybrid_HWR"), [1]!readmissions[Score]), "No Match")</f>
        <v>15.5</v>
      </c>
    </row>
    <row r="4862" spans="1:6" x14ac:dyDescent="0.2">
      <c r="A4862">
        <f>[1]!hospitalinfo[[#This Row],[Facility ID]]</f>
        <v>670054</v>
      </c>
      <c r="B4862" t="str">
        <f>[1]!hospitalinfo[[#This Row],[State]]</f>
        <v>TX</v>
      </c>
      <c r="C4862" t="str">
        <f>[1]!hospitalinfo[[#This Row],[Hospital Type]]</f>
        <v>Acute Care Hospitals</v>
      </c>
      <c r="D4862" t="str">
        <f>[1]!hospitalinfo[[#This Row],[Hospital Ownership]]</f>
        <v>Proprietary</v>
      </c>
      <c r="E4862" t="str" cm="1">
        <f t="array" ref="E4862">_xlfn.IFNA(_xlfn.XLOOKUP(1,([1]!hcahps[Facility ID] = clean[[#This Row],[Facility ID]]) * ([1]!hcahps[HCAHPS Measure ID] = "H_HSP_RATING_LINEAR_SCORE"), [1]!hcahps[HCAHPS Linear Mean Value]), "No Match")</f>
        <v>Not Available</v>
      </c>
      <c r="F4862" cm="1">
        <f t="array" ref="F4862">_xlfn.IFNA(_xlfn.XLOOKUP(1,([1]!readmissions[Facility ID] = clean[[#This Row],[Facility ID]]) * ([1]!readmissions[Measure ID] = "Hybrid_HWR"), [1]!readmissions[Score]), "No Match")</f>
        <v>14.2</v>
      </c>
    </row>
    <row r="4863" spans="1:6" x14ac:dyDescent="0.2">
      <c r="A4863">
        <f>[1]!hospitalinfo[[#This Row],[Facility ID]]</f>
        <v>670055</v>
      </c>
      <c r="B4863" t="str">
        <f>[1]!hospitalinfo[[#This Row],[State]]</f>
        <v>TX</v>
      </c>
      <c r="C4863" t="str">
        <f>[1]!hospitalinfo[[#This Row],[Hospital Type]]</f>
        <v>Acute Care Hospitals</v>
      </c>
      <c r="D4863" t="str">
        <f>[1]!hospitalinfo[[#This Row],[Hospital Ownership]]</f>
        <v>Proprietary</v>
      </c>
      <c r="E4863" cm="1">
        <f t="array" ref="E4863">_xlfn.IFNA(_xlfn.XLOOKUP(1,([1]!hcahps[Facility ID] = clean[[#This Row],[Facility ID]]) * ([1]!hcahps[HCAHPS Measure ID] = "H_HSP_RATING_LINEAR_SCORE"), [1]!hcahps[HCAHPS Linear Mean Value]), "No Match")</f>
        <v>86</v>
      </c>
      <c r="F4863" cm="1">
        <f t="array" ref="F4863">_xlfn.IFNA(_xlfn.XLOOKUP(1,([1]!readmissions[Facility ID] = clean[[#This Row],[Facility ID]]) * ([1]!readmissions[Measure ID] = "Hybrid_HWR"), [1]!readmissions[Score]), "No Match")</f>
        <v>15.4</v>
      </c>
    </row>
    <row r="4864" spans="1:6" x14ac:dyDescent="0.2">
      <c r="A4864">
        <f>[1]!hospitalinfo[[#This Row],[Facility ID]]</f>
        <v>670056</v>
      </c>
      <c r="B4864" t="str">
        <f>[1]!hospitalinfo[[#This Row],[State]]</f>
        <v>TX</v>
      </c>
      <c r="C4864" t="str">
        <f>[1]!hospitalinfo[[#This Row],[Hospital Type]]</f>
        <v>Acute Care Hospitals</v>
      </c>
      <c r="D4864" t="str">
        <f>[1]!hospitalinfo[[#This Row],[Hospital Ownership]]</f>
        <v>Voluntary non-profit - Private</v>
      </c>
      <c r="E4864" cm="1">
        <f t="array" ref="E4864">_xlfn.IFNA(_xlfn.XLOOKUP(1,([1]!hcahps[Facility ID] = clean[[#This Row],[Facility ID]]) * ([1]!hcahps[HCAHPS Measure ID] = "H_HSP_RATING_LINEAR_SCORE"), [1]!hcahps[HCAHPS Linear Mean Value]), "No Match")</f>
        <v>85</v>
      </c>
      <c r="F4864" cm="1">
        <f t="array" ref="F4864">_xlfn.IFNA(_xlfn.XLOOKUP(1,([1]!readmissions[Facility ID] = clean[[#This Row],[Facility ID]]) * ([1]!readmissions[Measure ID] = "Hybrid_HWR"), [1]!readmissions[Score]), "No Match")</f>
        <v>14.4</v>
      </c>
    </row>
    <row r="4865" spans="1:6" x14ac:dyDescent="0.2">
      <c r="A4865">
        <f>[1]!hospitalinfo[[#This Row],[Facility ID]]</f>
        <v>670059</v>
      </c>
      <c r="B4865" t="str">
        <f>[1]!hospitalinfo[[#This Row],[State]]</f>
        <v>TX</v>
      </c>
      <c r="C4865" t="str">
        <f>[1]!hospitalinfo[[#This Row],[Hospital Type]]</f>
        <v>Acute Care Hospitals</v>
      </c>
      <c r="D4865" t="str">
        <f>[1]!hospitalinfo[[#This Row],[Hospital Ownership]]</f>
        <v>Voluntary non-profit - Other</v>
      </c>
      <c r="E4865" cm="1">
        <f t="array" ref="E4865">_xlfn.IFNA(_xlfn.XLOOKUP(1,([1]!hcahps[Facility ID] = clean[[#This Row],[Facility ID]]) * ([1]!hcahps[HCAHPS Measure ID] = "H_HSP_RATING_LINEAR_SCORE"), [1]!hcahps[HCAHPS Linear Mean Value]), "No Match")</f>
        <v>91</v>
      </c>
      <c r="F4865" cm="1">
        <f t="array" ref="F4865">_xlfn.IFNA(_xlfn.XLOOKUP(1,([1]!readmissions[Facility ID] = clean[[#This Row],[Facility ID]]) * ([1]!readmissions[Measure ID] = "Hybrid_HWR"), [1]!readmissions[Score]), "No Match")</f>
        <v>14.4</v>
      </c>
    </row>
    <row r="4866" spans="1:6" x14ac:dyDescent="0.2">
      <c r="A4866">
        <f>[1]!hospitalinfo[[#This Row],[Facility ID]]</f>
        <v>670060</v>
      </c>
      <c r="B4866" t="str">
        <f>[1]!hospitalinfo[[#This Row],[State]]</f>
        <v>TX</v>
      </c>
      <c r="C4866" t="str">
        <f>[1]!hospitalinfo[[#This Row],[Hospital Type]]</f>
        <v>Acute Care Hospitals</v>
      </c>
      <c r="D4866" t="str">
        <f>[1]!hospitalinfo[[#This Row],[Hospital Ownership]]</f>
        <v>Voluntary non-profit - Private</v>
      </c>
      <c r="E4866" cm="1">
        <f t="array" ref="E4866">_xlfn.IFNA(_xlfn.XLOOKUP(1,([1]!hcahps[Facility ID] = clean[[#This Row],[Facility ID]]) * ([1]!hcahps[HCAHPS Measure ID] = "H_HSP_RATING_LINEAR_SCORE"), [1]!hcahps[HCAHPS Linear Mean Value]), "No Match")</f>
        <v>78</v>
      </c>
      <c r="F4866" cm="1">
        <f t="array" ref="F4866">_xlfn.IFNA(_xlfn.XLOOKUP(1,([1]!readmissions[Facility ID] = clean[[#This Row],[Facility ID]]) * ([1]!readmissions[Measure ID] = "Hybrid_HWR"), [1]!readmissions[Score]), "No Match")</f>
        <v>15.4</v>
      </c>
    </row>
    <row r="4867" spans="1:6" x14ac:dyDescent="0.2">
      <c r="A4867">
        <f>[1]!hospitalinfo[[#This Row],[Facility ID]]</f>
        <v>670062</v>
      </c>
      <c r="B4867" t="str">
        <f>[1]!hospitalinfo[[#This Row],[State]]</f>
        <v>TX</v>
      </c>
      <c r="C4867" t="str">
        <f>[1]!hospitalinfo[[#This Row],[Hospital Type]]</f>
        <v>Acute Care Hospitals</v>
      </c>
      <c r="D4867" t="str">
        <f>[1]!hospitalinfo[[#This Row],[Hospital Ownership]]</f>
        <v>Proprietary</v>
      </c>
      <c r="E4867" t="str" cm="1">
        <f t="array" ref="E4867">_xlfn.IFNA(_xlfn.XLOOKUP(1,([1]!hcahps[Facility ID] = clean[[#This Row],[Facility ID]]) * ([1]!hcahps[HCAHPS Measure ID] = "H_HSP_RATING_LINEAR_SCORE"), [1]!hcahps[HCAHPS Linear Mean Value]), "No Match")</f>
        <v>Not Available</v>
      </c>
      <c r="F4867" cm="1">
        <f t="array" ref="F4867">_xlfn.IFNA(_xlfn.XLOOKUP(1,([1]!readmissions[Facility ID] = clean[[#This Row],[Facility ID]]) * ([1]!readmissions[Measure ID] = "Hybrid_HWR"), [1]!readmissions[Score]), "No Match")</f>
        <v>15.1</v>
      </c>
    </row>
    <row r="4868" spans="1:6" x14ac:dyDescent="0.2">
      <c r="A4868">
        <f>[1]!hospitalinfo[[#This Row],[Facility ID]]</f>
        <v>670067</v>
      </c>
      <c r="B4868" t="str">
        <f>[1]!hospitalinfo[[#This Row],[State]]</f>
        <v>TX</v>
      </c>
      <c r="C4868" t="str">
        <f>[1]!hospitalinfo[[#This Row],[Hospital Type]]</f>
        <v>Acute Care Hospitals</v>
      </c>
      <c r="D4868" t="str">
        <f>[1]!hospitalinfo[[#This Row],[Hospital Ownership]]</f>
        <v>Proprietary</v>
      </c>
      <c r="E4868" cm="1">
        <f t="array" ref="E4868">_xlfn.IFNA(_xlfn.XLOOKUP(1,([1]!hcahps[Facility ID] = clean[[#This Row],[Facility ID]]) * ([1]!hcahps[HCAHPS Measure ID] = "H_HSP_RATING_LINEAR_SCORE"), [1]!hcahps[HCAHPS Linear Mean Value]), "No Match")</f>
        <v>92</v>
      </c>
      <c r="F4868" cm="1">
        <f t="array" ref="F4868">_xlfn.IFNA(_xlfn.XLOOKUP(1,([1]!readmissions[Facility ID] = clean[[#This Row],[Facility ID]]) * ([1]!readmissions[Measure ID] = "Hybrid_HWR"), [1]!readmissions[Score]), "No Match")</f>
        <v>14.6</v>
      </c>
    </row>
    <row r="4869" spans="1:6" x14ac:dyDescent="0.2">
      <c r="A4869">
        <f>[1]!hospitalinfo[[#This Row],[Facility ID]]</f>
        <v>670068</v>
      </c>
      <c r="B4869" t="str">
        <f>[1]!hospitalinfo[[#This Row],[State]]</f>
        <v>TX</v>
      </c>
      <c r="C4869" t="str">
        <f>[1]!hospitalinfo[[#This Row],[Hospital Type]]</f>
        <v>Acute Care Hospitals</v>
      </c>
      <c r="D4869" t="str">
        <f>[1]!hospitalinfo[[#This Row],[Hospital Ownership]]</f>
        <v>Proprietary</v>
      </c>
      <c r="E4869" cm="1">
        <f t="array" ref="E4869">_xlfn.IFNA(_xlfn.XLOOKUP(1,([1]!hcahps[Facility ID] = clean[[#This Row],[Facility ID]]) * ([1]!hcahps[HCAHPS Measure ID] = "H_HSP_RATING_LINEAR_SCORE"), [1]!hcahps[HCAHPS Linear Mean Value]), "No Match")</f>
        <v>90</v>
      </c>
      <c r="F4869" cm="1">
        <f t="array" ref="F4869">_xlfn.IFNA(_xlfn.XLOOKUP(1,([1]!readmissions[Facility ID] = clean[[#This Row],[Facility ID]]) * ([1]!readmissions[Measure ID] = "Hybrid_HWR"), [1]!readmissions[Score]), "No Match")</f>
        <v>13.9</v>
      </c>
    </row>
    <row r="4870" spans="1:6" x14ac:dyDescent="0.2">
      <c r="A4870">
        <f>[1]!hospitalinfo[[#This Row],[Facility ID]]</f>
        <v>670069</v>
      </c>
      <c r="B4870" t="str">
        <f>[1]!hospitalinfo[[#This Row],[State]]</f>
        <v>TX</v>
      </c>
      <c r="C4870" t="str">
        <f>[1]!hospitalinfo[[#This Row],[Hospital Type]]</f>
        <v>Acute Care Hospitals</v>
      </c>
      <c r="D4870" t="str">
        <f>[1]!hospitalinfo[[#This Row],[Hospital Ownership]]</f>
        <v>Physician</v>
      </c>
      <c r="E4870" t="str" cm="1">
        <f t="array" ref="E4870">_xlfn.IFNA(_xlfn.XLOOKUP(1,([1]!hcahps[Facility ID] = clean[[#This Row],[Facility ID]]) * ([1]!hcahps[HCAHPS Measure ID] = "H_HSP_RATING_LINEAR_SCORE"), [1]!hcahps[HCAHPS Linear Mean Value]), "No Match")</f>
        <v>Not Available</v>
      </c>
      <c r="F4870" cm="1">
        <f t="array" ref="F4870">_xlfn.IFNA(_xlfn.XLOOKUP(1,([1]!readmissions[Facility ID] = clean[[#This Row],[Facility ID]]) * ([1]!readmissions[Measure ID] = "Hybrid_HWR"), [1]!readmissions[Score]), "No Match")</f>
        <v>15.4</v>
      </c>
    </row>
    <row r="4871" spans="1:6" x14ac:dyDescent="0.2">
      <c r="A4871">
        <f>[1]!hospitalinfo[[#This Row],[Facility ID]]</f>
        <v>670071</v>
      </c>
      <c r="B4871" t="str">
        <f>[1]!hospitalinfo[[#This Row],[State]]</f>
        <v>TX</v>
      </c>
      <c r="C4871" t="str">
        <f>[1]!hospitalinfo[[#This Row],[Hospital Type]]</f>
        <v>Acute Care Hospitals</v>
      </c>
      <c r="D4871" t="str">
        <f>[1]!hospitalinfo[[#This Row],[Hospital Ownership]]</f>
        <v>Physician</v>
      </c>
      <c r="E4871" cm="1">
        <f t="array" ref="E4871">_xlfn.IFNA(_xlfn.XLOOKUP(1,([1]!hcahps[Facility ID] = clean[[#This Row],[Facility ID]]) * ([1]!hcahps[HCAHPS Measure ID] = "H_HSP_RATING_LINEAR_SCORE"), [1]!hcahps[HCAHPS Linear Mean Value]), "No Match")</f>
        <v>93</v>
      </c>
      <c r="F4871" cm="1">
        <f t="array" ref="F4871">_xlfn.IFNA(_xlfn.XLOOKUP(1,([1]!readmissions[Facility ID] = clean[[#This Row],[Facility ID]]) * ([1]!readmissions[Measure ID] = "Hybrid_HWR"), [1]!readmissions[Score]), "No Match")</f>
        <v>14.3</v>
      </c>
    </row>
    <row r="4872" spans="1:6" x14ac:dyDescent="0.2">
      <c r="A4872">
        <f>[1]!hospitalinfo[[#This Row],[Facility ID]]</f>
        <v>670073</v>
      </c>
      <c r="B4872" t="str">
        <f>[1]!hospitalinfo[[#This Row],[State]]</f>
        <v>TX</v>
      </c>
      <c r="C4872" t="str">
        <f>[1]!hospitalinfo[[#This Row],[Hospital Type]]</f>
        <v>Acute Care Hospitals</v>
      </c>
      <c r="D4872" t="str">
        <f>[1]!hospitalinfo[[#This Row],[Hospital Ownership]]</f>
        <v>Proprietary</v>
      </c>
      <c r="E4872" cm="1">
        <f t="array" ref="E4872">_xlfn.IFNA(_xlfn.XLOOKUP(1,([1]!hcahps[Facility ID] = clean[[#This Row],[Facility ID]]) * ([1]!hcahps[HCAHPS Measure ID] = "H_HSP_RATING_LINEAR_SCORE"), [1]!hcahps[HCAHPS Linear Mean Value]), "No Match")</f>
        <v>92</v>
      </c>
      <c r="F4872" cm="1">
        <f t="array" ref="F4872">_xlfn.IFNA(_xlfn.XLOOKUP(1,([1]!readmissions[Facility ID] = clean[[#This Row],[Facility ID]]) * ([1]!readmissions[Measure ID] = "Hybrid_HWR"), [1]!readmissions[Score]), "No Match")</f>
        <v>14.4</v>
      </c>
    </row>
    <row r="4873" spans="1:6" x14ac:dyDescent="0.2">
      <c r="A4873">
        <f>[1]!hospitalinfo[[#This Row],[Facility ID]]</f>
        <v>670075</v>
      </c>
      <c r="B4873" t="str">
        <f>[1]!hospitalinfo[[#This Row],[State]]</f>
        <v>TX</v>
      </c>
      <c r="C4873" t="str">
        <f>[1]!hospitalinfo[[#This Row],[Hospital Type]]</f>
        <v>Acute Care Hospitals</v>
      </c>
      <c r="D4873" t="str">
        <f>[1]!hospitalinfo[[#This Row],[Hospital Ownership]]</f>
        <v>Voluntary non-profit - Private</v>
      </c>
      <c r="E4873" cm="1">
        <f t="array" ref="E4873">_xlfn.IFNA(_xlfn.XLOOKUP(1,([1]!hcahps[Facility ID] = clean[[#This Row],[Facility ID]]) * ([1]!hcahps[HCAHPS Measure ID] = "H_HSP_RATING_LINEAR_SCORE"), [1]!hcahps[HCAHPS Linear Mean Value]), "No Match")</f>
        <v>92</v>
      </c>
      <c r="F4873" cm="1">
        <f t="array" ref="F4873">_xlfn.IFNA(_xlfn.XLOOKUP(1,([1]!readmissions[Facility ID] = clean[[#This Row],[Facility ID]]) * ([1]!readmissions[Measure ID] = "Hybrid_HWR"), [1]!readmissions[Score]), "No Match")</f>
        <v>15</v>
      </c>
    </row>
    <row r="4874" spans="1:6" x14ac:dyDescent="0.2">
      <c r="A4874">
        <f>[1]!hospitalinfo[[#This Row],[Facility ID]]</f>
        <v>670076</v>
      </c>
      <c r="B4874" t="str">
        <f>[1]!hospitalinfo[[#This Row],[State]]</f>
        <v>TX</v>
      </c>
      <c r="C4874" t="str">
        <f>[1]!hospitalinfo[[#This Row],[Hospital Type]]</f>
        <v>Acute Care Hospitals</v>
      </c>
      <c r="D4874" t="str">
        <f>[1]!hospitalinfo[[#This Row],[Hospital Ownership]]</f>
        <v>Physician</v>
      </c>
      <c r="E4874" t="str" cm="1">
        <f t="array" ref="E4874">_xlfn.IFNA(_xlfn.XLOOKUP(1,([1]!hcahps[Facility ID] = clean[[#This Row],[Facility ID]]) * ([1]!hcahps[HCAHPS Measure ID] = "H_HSP_RATING_LINEAR_SCORE"), [1]!hcahps[HCAHPS Linear Mean Value]), "No Match")</f>
        <v>Not Available</v>
      </c>
      <c r="F4874" cm="1">
        <f t="array" ref="F4874">_xlfn.IFNA(_xlfn.XLOOKUP(1,([1]!readmissions[Facility ID] = clean[[#This Row],[Facility ID]]) * ([1]!readmissions[Measure ID] = "Hybrid_HWR"), [1]!readmissions[Score]), "No Match")</f>
        <v>14.9</v>
      </c>
    </row>
    <row r="4875" spans="1:6" x14ac:dyDescent="0.2">
      <c r="A4875">
        <f>[1]!hospitalinfo[[#This Row],[Facility ID]]</f>
        <v>670077</v>
      </c>
      <c r="B4875" t="str">
        <f>[1]!hospitalinfo[[#This Row],[State]]</f>
        <v>TX</v>
      </c>
      <c r="C4875" t="str">
        <f>[1]!hospitalinfo[[#This Row],[Hospital Type]]</f>
        <v>Acute Care Hospitals</v>
      </c>
      <c r="D4875" t="str">
        <f>[1]!hospitalinfo[[#This Row],[Hospital Ownership]]</f>
        <v>Voluntary non-profit - Private</v>
      </c>
      <c r="E4875" cm="1">
        <f t="array" ref="E4875">_xlfn.IFNA(_xlfn.XLOOKUP(1,([1]!hcahps[Facility ID] = clean[[#This Row],[Facility ID]]) * ([1]!hcahps[HCAHPS Measure ID] = "H_HSP_RATING_LINEAR_SCORE"), [1]!hcahps[HCAHPS Linear Mean Value]), "No Match")</f>
        <v>92</v>
      </c>
      <c r="F4875" cm="1">
        <f t="array" ref="F4875">_xlfn.IFNA(_xlfn.XLOOKUP(1,([1]!readmissions[Facility ID] = clean[[#This Row],[Facility ID]]) * ([1]!readmissions[Measure ID] = "Hybrid_HWR"), [1]!readmissions[Score]), "No Match")</f>
        <v>15.1</v>
      </c>
    </row>
    <row r="4876" spans="1:6" x14ac:dyDescent="0.2">
      <c r="A4876">
        <f>[1]!hospitalinfo[[#This Row],[Facility ID]]</f>
        <v>670078</v>
      </c>
      <c r="B4876" t="str">
        <f>[1]!hospitalinfo[[#This Row],[State]]</f>
        <v>TX</v>
      </c>
      <c r="C4876" t="str">
        <f>[1]!hospitalinfo[[#This Row],[Hospital Type]]</f>
        <v>Acute Care Hospitals</v>
      </c>
      <c r="D4876" t="str">
        <f>[1]!hospitalinfo[[#This Row],[Hospital Ownership]]</f>
        <v>Proprietary</v>
      </c>
      <c r="E4876" cm="1">
        <f t="array" ref="E4876">_xlfn.IFNA(_xlfn.XLOOKUP(1,([1]!hcahps[Facility ID] = clean[[#This Row],[Facility ID]]) * ([1]!hcahps[HCAHPS Measure ID] = "H_HSP_RATING_LINEAR_SCORE"), [1]!hcahps[HCAHPS Linear Mean Value]), "No Match")</f>
        <v>91</v>
      </c>
      <c r="F4876" cm="1">
        <f t="array" ref="F4876">_xlfn.IFNA(_xlfn.XLOOKUP(1,([1]!readmissions[Facility ID] = clean[[#This Row],[Facility ID]]) * ([1]!readmissions[Measure ID] = "Hybrid_HWR"), [1]!readmissions[Score]), "No Match")</f>
        <v>15</v>
      </c>
    </row>
    <row r="4877" spans="1:6" x14ac:dyDescent="0.2">
      <c r="A4877">
        <f>[1]!hospitalinfo[[#This Row],[Facility ID]]</f>
        <v>670080</v>
      </c>
      <c r="B4877" t="str">
        <f>[1]!hospitalinfo[[#This Row],[State]]</f>
        <v>TX</v>
      </c>
      <c r="C4877" t="str">
        <f>[1]!hospitalinfo[[#This Row],[Hospital Type]]</f>
        <v>Acute Care Hospitals</v>
      </c>
      <c r="D4877" t="str">
        <f>[1]!hospitalinfo[[#This Row],[Hospital Ownership]]</f>
        <v>Proprietary</v>
      </c>
      <c r="E4877" cm="1">
        <f t="array" ref="E4877">_xlfn.IFNA(_xlfn.XLOOKUP(1,([1]!hcahps[Facility ID] = clean[[#This Row],[Facility ID]]) * ([1]!hcahps[HCAHPS Measure ID] = "H_HSP_RATING_LINEAR_SCORE"), [1]!hcahps[HCAHPS Linear Mean Value]), "No Match")</f>
        <v>89</v>
      </c>
      <c r="F4877" cm="1">
        <f t="array" ref="F4877">_xlfn.IFNA(_xlfn.XLOOKUP(1,([1]!readmissions[Facility ID] = clean[[#This Row],[Facility ID]]) * ([1]!readmissions[Measure ID] = "Hybrid_HWR"), [1]!readmissions[Score]), "No Match")</f>
        <v>16.3</v>
      </c>
    </row>
    <row r="4878" spans="1:6" x14ac:dyDescent="0.2">
      <c r="A4878">
        <f>[1]!hospitalinfo[[#This Row],[Facility ID]]</f>
        <v>670082</v>
      </c>
      <c r="B4878" t="str">
        <f>[1]!hospitalinfo[[#This Row],[State]]</f>
        <v>TX</v>
      </c>
      <c r="C4878" t="str">
        <f>[1]!hospitalinfo[[#This Row],[Hospital Type]]</f>
        <v>Acute Care Hospitals</v>
      </c>
      <c r="D4878" t="str">
        <f>[1]!hospitalinfo[[#This Row],[Hospital Ownership]]</f>
        <v>Voluntary non-profit - Private</v>
      </c>
      <c r="E4878" cm="1">
        <f t="array" ref="E4878">_xlfn.IFNA(_xlfn.XLOOKUP(1,([1]!hcahps[Facility ID] = clean[[#This Row],[Facility ID]]) * ([1]!hcahps[HCAHPS Measure ID] = "H_HSP_RATING_LINEAR_SCORE"), [1]!hcahps[HCAHPS Linear Mean Value]), "No Match")</f>
        <v>91</v>
      </c>
      <c r="F4878" cm="1">
        <f t="array" ref="F4878">_xlfn.IFNA(_xlfn.XLOOKUP(1,([1]!readmissions[Facility ID] = clean[[#This Row],[Facility ID]]) * ([1]!readmissions[Measure ID] = "Hybrid_HWR"), [1]!readmissions[Score]), "No Match")</f>
        <v>15.5</v>
      </c>
    </row>
    <row r="4879" spans="1:6" x14ac:dyDescent="0.2">
      <c r="A4879">
        <f>[1]!hospitalinfo[[#This Row],[Facility ID]]</f>
        <v>670085</v>
      </c>
      <c r="B4879" t="str">
        <f>[1]!hospitalinfo[[#This Row],[State]]</f>
        <v>TX</v>
      </c>
      <c r="C4879" t="str">
        <f>[1]!hospitalinfo[[#This Row],[Hospital Type]]</f>
        <v>Acute Care Hospitals</v>
      </c>
      <c r="D4879" t="str">
        <f>[1]!hospitalinfo[[#This Row],[Hospital Ownership]]</f>
        <v>Voluntary non-profit - Private</v>
      </c>
      <c r="E4879" cm="1">
        <f t="array" ref="E4879">_xlfn.IFNA(_xlfn.XLOOKUP(1,([1]!hcahps[Facility ID] = clean[[#This Row],[Facility ID]]) * ([1]!hcahps[HCAHPS Measure ID] = "H_HSP_RATING_LINEAR_SCORE"), [1]!hcahps[HCAHPS Linear Mean Value]), "No Match")</f>
        <v>90</v>
      </c>
      <c r="F4879" cm="1">
        <f t="array" ref="F4879">_xlfn.IFNA(_xlfn.XLOOKUP(1,([1]!readmissions[Facility ID] = clean[[#This Row],[Facility ID]]) * ([1]!readmissions[Measure ID] = "Hybrid_HWR"), [1]!readmissions[Score]), "No Match")</f>
        <v>13.9</v>
      </c>
    </row>
    <row r="4880" spans="1:6" x14ac:dyDescent="0.2">
      <c r="A4880">
        <f>[1]!hospitalinfo[[#This Row],[Facility ID]]</f>
        <v>670088</v>
      </c>
      <c r="B4880" t="str">
        <f>[1]!hospitalinfo[[#This Row],[State]]</f>
        <v>TX</v>
      </c>
      <c r="C4880" t="str">
        <f>[1]!hospitalinfo[[#This Row],[Hospital Type]]</f>
        <v>Acute Care Hospitals</v>
      </c>
      <c r="D4880" t="str">
        <f>[1]!hospitalinfo[[#This Row],[Hospital Ownership]]</f>
        <v>Voluntary non-profit - Private</v>
      </c>
      <c r="E4880" cm="1">
        <f t="array" ref="E4880">_xlfn.IFNA(_xlfn.XLOOKUP(1,([1]!hcahps[Facility ID] = clean[[#This Row],[Facility ID]]) * ([1]!hcahps[HCAHPS Measure ID] = "H_HSP_RATING_LINEAR_SCORE"), [1]!hcahps[HCAHPS Linear Mean Value]), "No Match")</f>
        <v>92</v>
      </c>
      <c r="F4880" cm="1">
        <f t="array" ref="F4880">_xlfn.IFNA(_xlfn.XLOOKUP(1,([1]!readmissions[Facility ID] = clean[[#This Row],[Facility ID]]) * ([1]!readmissions[Measure ID] = "Hybrid_HWR"), [1]!readmissions[Score]), "No Match")</f>
        <v>14.9</v>
      </c>
    </row>
    <row r="4881" spans="1:6" x14ac:dyDescent="0.2">
      <c r="A4881">
        <f>[1]!hospitalinfo[[#This Row],[Facility ID]]</f>
        <v>670090</v>
      </c>
      <c r="B4881" t="str">
        <f>[1]!hospitalinfo[[#This Row],[State]]</f>
        <v>TX</v>
      </c>
      <c r="C4881" t="str">
        <f>[1]!hospitalinfo[[#This Row],[Hospital Type]]</f>
        <v>Acute Care Hospitals</v>
      </c>
      <c r="D4881" t="str">
        <f>[1]!hospitalinfo[[#This Row],[Hospital Ownership]]</f>
        <v>Physician</v>
      </c>
      <c r="E4881" t="str" cm="1">
        <f t="array" ref="E4881">_xlfn.IFNA(_xlfn.XLOOKUP(1,([1]!hcahps[Facility ID] = clean[[#This Row],[Facility ID]]) * ([1]!hcahps[HCAHPS Measure ID] = "H_HSP_RATING_LINEAR_SCORE"), [1]!hcahps[HCAHPS Linear Mean Value]), "No Match")</f>
        <v>Not Available</v>
      </c>
      <c r="F4881" cm="1">
        <f t="array" ref="F4881">_xlfn.IFNA(_xlfn.XLOOKUP(1,([1]!readmissions[Facility ID] = clean[[#This Row],[Facility ID]]) * ([1]!readmissions[Measure ID] = "Hybrid_HWR"), [1]!readmissions[Score]), "No Match")</f>
        <v>14.9</v>
      </c>
    </row>
    <row r="4882" spans="1:6" x14ac:dyDescent="0.2">
      <c r="A4882">
        <f>[1]!hospitalinfo[[#This Row],[Facility ID]]</f>
        <v>670093</v>
      </c>
      <c r="B4882" t="str">
        <f>[1]!hospitalinfo[[#This Row],[State]]</f>
        <v>TX</v>
      </c>
      <c r="C4882" t="str">
        <f>[1]!hospitalinfo[[#This Row],[Hospital Type]]</f>
        <v>Acute Care Hospitals</v>
      </c>
      <c r="D4882" t="str">
        <f>[1]!hospitalinfo[[#This Row],[Hospital Ownership]]</f>
        <v>Physician</v>
      </c>
      <c r="E4882" t="str" cm="1">
        <f t="array" ref="E4882">_xlfn.IFNA(_xlfn.XLOOKUP(1,([1]!hcahps[Facility ID] = clean[[#This Row],[Facility ID]]) * ([1]!hcahps[HCAHPS Measure ID] = "H_HSP_RATING_LINEAR_SCORE"), [1]!hcahps[HCAHPS Linear Mean Value]), "No Match")</f>
        <v>Not Available</v>
      </c>
      <c r="F4882" t="str" cm="1">
        <f t="array" ref="F4882">_xlfn.IFNA(_xlfn.XLOOKUP(1,([1]!readmissions[Facility ID] = clean[[#This Row],[Facility ID]]) * ([1]!readmissions[Measure ID] = "Hybrid_HWR"), [1]!readmissions[Score]), "No Match")</f>
        <v>Not Available</v>
      </c>
    </row>
    <row r="4883" spans="1:6" x14ac:dyDescent="0.2">
      <c r="A4883">
        <f>[1]!hospitalinfo[[#This Row],[Facility ID]]</f>
        <v>670098</v>
      </c>
      <c r="B4883" t="str">
        <f>[1]!hospitalinfo[[#This Row],[State]]</f>
        <v>TX</v>
      </c>
      <c r="C4883" t="str">
        <f>[1]!hospitalinfo[[#This Row],[Hospital Type]]</f>
        <v>Acute Care Hospitals</v>
      </c>
      <c r="D4883" t="str">
        <f>[1]!hospitalinfo[[#This Row],[Hospital Ownership]]</f>
        <v>Proprietary</v>
      </c>
      <c r="E4883" cm="1">
        <f t="array" ref="E4883">_xlfn.IFNA(_xlfn.XLOOKUP(1,([1]!hcahps[Facility ID] = clean[[#This Row],[Facility ID]]) * ([1]!hcahps[HCAHPS Measure ID] = "H_HSP_RATING_LINEAR_SCORE"), [1]!hcahps[HCAHPS Linear Mean Value]), "No Match")</f>
        <v>89</v>
      </c>
      <c r="F4883" cm="1">
        <f t="array" ref="F4883">_xlfn.IFNA(_xlfn.XLOOKUP(1,([1]!readmissions[Facility ID] = clean[[#This Row],[Facility ID]]) * ([1]!readmissions[Measure ID] = "Hybrid_HWR"), [1]!readmissions[Score]), "No Match")</f>
        <v>15.3</v>
      </c>
    </row>
    <row r="4884" spans="1:6" x14ac:dyDescent="0.2">
      <c r="A4884">
        <f>[1]!hospitalinfo[[#This Row],[Facility ID]]</f>
        <v>670102</v>
      </c>
      <c r="B4884" t="str">
        <f>[1]!hospitalinfo[[#This Row],[State]]</f>
        <v>TX</v>
      </c>
      <c r="C4884" t="str">
        <f>[1]!hospitalinfo[[#This Row],[Hospital Type]]</f>
        <v>Acute Care Hospitals</v>
      </c>
      <c r="D4884" t="str">
        <f>[1]!hospitalinfo[[#This Row],[Hospital Ownership]]</f>
        <v>Proprietary</v>
      </c>
      <c r="E4884" t="str" cm="1">
        <f t="array" ref="E4884">_xlfn.IFNA(_xlfn.XLOOKUP(1,([1]!hcahps[Facility ID] = clean[[#This Row],[Facility ID]]) * ([1]!hcahps[HCAHPS Measure ID] = "H_HSP_RATING_LINEAR_SCORE"), [1]!hcahps[HCAHPS Linear Mean Value]), "No Match")</f>
        <v>Not Available</v>
      </c>
      <c r="F4884" cm="1">
        <f t="array" ref="F4884">_xlfn.IFNA(_xlfn.XLOOKUP(1,([1]!readmissions[Facility ID] = clean[[#This Row],[Facility ID]]) * ([1]!readmissions[Measure ID] = "Hybrid_HWR"), [1]!readmissions[Score]), "No Match")</f>
        <v>15.3</v>
      </c>
    </row>
    <row r="4885" spans="1:6" x14ac:dyDescent="0.2">
      <c r="A4885">
        <f>[1]!hospitalinfo[[#This Row],[Facility ID]]</f>
        <v>670103</v>
      </c>
      <c r="B4885" t="str">
        <f>[1]!hospitalinfo[[#This Row],[State]]</f>
        <v>TX</v>
      </c>
      <c r="C4885" t="str">
        <f>[1]!hospitalinfo[[#This Row],[Hospital Type]]</f>
        <v>Acute Care Hospitals</v>
      </c>
      <c r="D4885" t="str">
        <f>[1]!hospitalinfo[[#This Row],[Hospital Ownership]]</f>
        <v>Voluntary non-profit - Private</v>
      </c>
      <c r="E4885" cm="1">
        <f t="array" ref="E4885">_xlfn.IFNA(_xlfn.XLOOKUP(1,([1]!hcahps[Facility ID] = clean[[#This Row],[Facility ID]]) * ([1]!hcahps[HCAHPS Measure ID] = "H_HSP_RATING_LINEAR_SCORE"), [1]!hcahps[HCAHPS Linear Mean Value]), "No Match")</f>
        <v>87</v>
      </c>
      <c r="F4885" cm="1">
        <f t="array" ref="F4885">_xlfn.IFNA(_xlfn.XLOOKUP(1,([1]!readmissions[Facility ID] = clean[[#This Row],[Facility ID]]) * ([1]!readmissions[Measure ID] = "Hybrid_HWR"), [1]!readmissions[Score]), "No Match")</f>
        <v>15.9</v>
      </c>
    </row>
    <row r="4886" spans="1:6" x14ac:dyDescent="0.2">
      <c r="A4886">
        <f>[1]!hospitalinfo[[#This Row],[Facility ID]]</f>
        <v>670106</v>
      </c>
      <c r="B4886" t="str">
        <f>[1]!hospitalinfo[[#This Row],[State]]</f>
        <v>TX</v>
      </c>
      <c r="C4886" t="str">
        <f>[1]!hospitalinfo[[#This Row],[Hospital Type]]</f>
        <v>Acute Care Hospitals</v>
      </c>
      <c r="D4886" t="str">
        <f>[1]!hospitalinfo[[#This Row],[Hospital Ownership]]</f>
        <v>Proprietary</v>
      </c>
      <c r="E4886" cm="1">
        <f t="array" ref="E4886">_xlfn.IFNA(_xlfn.XLOOKUP(1,([1]!hcahps[Facility ID] = clean[[#This Row],[Facility ID]]) * ([1]!hcahps[HCAHPS Measure ID] = "H_HSP_RATING_LINEAR_SCORE"), [1]!hcahps[HCAHPS Linear Mean Value]), "No Match")</f>
        <v>82</v>
      </c>
      <c r="F4886" cm="1">
        <f t="array" ref="F4886">_xlfn.IFNA(_xlfn.XLOOKUP(1,([1]!readmissions[Facility ID] = clean[[#This Row],[Facility ID]]) * ([1]!readmissions[Measure ID] = "Hybrid_HWR"), [1]!readmissions[Score]), "No Match")</f>
        <v>15.2</v>
      </c>
    </row>
    <row r="4887" spans="1:6" x14ac:dyDescent="0.2">
      <c r="A4887">
        <f>[1]!hospitalinfo[[#This Row],[Facility ID]]</f>
        <v>670107</v>
      </c>
      <c r="B4887" t="str">
        <f>[1]!hospitalinfo[[#This Row],[State]]</f>
        <v>TX</v>
      </c>
      <c r="C4887" t="str">
        <f>[1]!hospitalinfo[[#This Row],[Hospital Type]]</f>
        <v>Acute Care Hospitals</v>
      </c>
      <c r="D4887" t="str">
        <f>[1]!hospitalinfo[[#This Row],[Hospital Ownership]]</f>
        <v>Proprietary</v>
      </c>
      <c r="E4887" t="str" cm="1">
        <f t="array" ref="E4887">_xlfn.IFNA(_xlfn.XLOOKUP(1,([1]!hcahps[Facility ID] = clean[[#This Row],[Facility ID]]) * ([1]!hcahps[HCAHPS Measure ID] = "H_HSP_RATING_LINEAR_SCORE"), [1]!hcahps[HCAHPS Linear Mean Value]), "No Match")</f>
        <v>Not Available</v>
      </c>
      <c r="F4887" t="str" cm="1">
        <f t="array" ref="F4887">_xlfn.IFNA(_xlfn.XLOOKUP(1,([1]!readmissions[Facility ID] = clean[[#This Row],[Facility ID]]) * ([1]!readmissions[Measure ID] = "Hybrid_HWR"), [1]!readmissions[Score]), "No Match")</f>
        <v>Not Available</v>
      </c>
    </row>
    <row r="4888" spans="1:6" x14ac:dyDescent="0.2">
      <c r="A4888">
        <f>[1]!hospitalinfo[[#This Row],[Facility ID]]</f>
        <v>670108</v>
      </c>
      <c r="B4888" t="str">
        <f>[1]!hospitalinfo[[#This Row],[State]]</f>
        <v>TX</v>
      </c>
      <c r="C4888" t="str">
        <f>[1]!hospitalinfo[[#This Row],[Hospital Type]]</f>
        <v>Acute Care Hospitals</v>
      </c>
      <c r="D4888" t="str">
        <f>[1]!hospitalinfo[[#This Row],[Hospital Ownership]]</f>
        <v>Voluntary non-profit - Private</v>
      </c>
      <c r="E4888" cm="1">
        <f t="array" ref="E4888">_xlfn.IFNA(_xlfn.XLOOKUP(1,([1]!hcahps[Facility ID] = clean[[#This Row],[Facility ID]]) * ([1]!hcahps[HCAHPS Measure ID] = "H_HSP_RATING_LINEAR_SCORE"), [1]!hcahps[HCAHPS Linear Mean Value]), "No Match")</f>
        <v>91</v>
      </c>
      <c r="F4888" cm="1">
        <f t="array" ref="F4888">_xlfn.IFNA(_xlfn.XLOOKUP(1,([1]!readmissions[Facility ID] = clean[[#This Row],[Facility ID]]) * ([1]!readmissions[Measure ID] = "Hybrid_HWR"), [1]!readmissions[Score]), "No Match")</f>
        <v>14.1</v>
      </c>
    </row>
    <row r="4889" spans="1:6" x14ac:dyDescent="0.2">
      <c r="A4889">
        <f>[1]!hospitalinfo[[#This Row],[Facility ID]]</f>
        <v>670109</v>
      </c>
      <c r="B4889" t="str">
        <f>[1]!hospitalinfo[[#This Row],[State]]</f>
        <v>TX</v>
      </c>
      <c r="C4889" t="str">
        <f>[1]!hospitalinfo[[#This Row],[Hospital Type]]</f>
        <v>Acute Care Hospitals</v>
      </c>
      <c r="D4889" t="str">
        <f>[1]!hospitalinfo[[#This Row],[Hospital Ownership]]</f>
        <v>Proprietary</v>
      </c>
      <c r="E4889" t="str" cm="1">
        <f t="array" ref="E4889">_xlfn.IFNA(_xlfn.XLOOKUP(1,([1]!hcahps[Facility ID] = clean[[#This Row],[Facility ID]]) * ([1]!hcahps[HCAHPS Measure ID] = "H_HSP_RATING_LINEAR_SCORE"), [1]!hcahps[HCAHPS Linear Mean Value]), "No Match")</f>
        <v>Not Available</v>
      </c>
      <c r="F4889" t="str" cm="1">
        <f t="array" ref="F4889">_xlfn.IFNA(_xlfn.XLOOKUP(1,([1]!readmissions[Facility ID] = clean[[#This Row],[Facility ID]]) * ([1]!readmissions[Measure ID] = "Hybrid_HWR"), [1]!readmissions[Score]), "No Match")</f>
        <v>Not Available</v>
      </c>
    </row>
    <row r="4890" spans="1:6" x14ac:dyDescent="0.2">
      <c r="A4890">
        <f>[1]!hospitalinfo[[#This Row],[Facility ID]]</f>
        <v>670112</v>
      </c>
      <c r="B4890" t="str">
        <f>[1]!hospitalinfo[[#This Row],[State]]</f>
        <v>TX</v>
      </c>
      <c r="C4890" t="str">
        <f>[1]!hospitalinfo[[#This Row],[Hospital Type]]</f>
        <v>Acute Care Hospitals</v>
      </c>
      <c r="D4890" t="str">
        <f>[1]!hospitalinfo[[#This Row],[Hospital Ownership]]</f>
        <v>Proprietary</v>
      </c>
      <c r="E4890" cm="1">
        <f t="array" ref="E4890">_xlfn.IFNA(_xlfn.XLOOKUP(1,([1]!hcahps[Facility ID] = clean[[#This Row],[Facility ID]]) * ([1]!hcahps[HCAHPS Measure ID] = "H_HSP_RATING_LINEAR_SCORE"), [1]!hcahps[HCAHPS Linear Mean Value]), "No Match")</f>
        <v>93</v>
      </c>
      <c r="F4890" cm="1">
        <f t="array" ref="F4890">_xlfn.IFNA(_xlfn.XLOOKUP(1,([1]!readmissions[Facility ID] = clean[[#This Row],[Facility ID]]) * ([1]!readmissions[Measure ID] = "Hybrid_HWR"), [1]!readmissions[Score]), "No Match")</f>
        <v>14.4</v>
      </c>
    </row>
    <row r="4891" spans="1:6" x14ac:dyDescent="0.2">
      <c r="A4891">
        <f>[1]!hospitalinfo[[#This Row],[Facility ID]]</f>
        <v>670115</v>
      </c>
      <c r="B4891" t="str">
        <f>[1]!hospitalinfo[[#This Row],[State]]</f>
        <v>TX</v>
      </c>
      <c r="C4891" t="str">
        <f>[1]!hospitalinfo[[#This Row],[Hospital Type]]</f>
        <v>Acute Care Hospitals</v>
      </c>
      <c r="D4891" t="str">
        <f>[1]!hospitalinfo[[#This Row],[Hospital Ownership]]</f>
        <v>Proprietary</v>
      </c>
      <c r="E4891" t="str" cm="1">
        <f t="array" ref="E4891">_xlfn.IFNA(_xlfn.XLOOKUP(1,([1]!hcahps[Facility ID] = clean[[#This Row],[Facility ID]]) * ([1]!hcahps[HCAHPS Measure ID] = "H_HSP_RATING_LINEAR_SCORE"), [1]!hcahps[HCAHPS Linear Mean Value]), "No Match")</f>
        <v>Not Available</v>
      </c>
      <c r="F4891" t="str" cm="1">
        <f t="array" ref="F4891">_xlfn.IFNA(_xlfn.XLOOKUP(1,([1]!readmissions[Facility ID] = clean[[#This Row],[Facility ID]]) * ([1]!readmissions[Measure ID] = "Hybrid_HWR"), [1]!readmissions[Score]), "No Match")</f>
        <v>Not Available</v>
      </c>
    </row>
    <row r="4892" spans="1:6" x14ac:dyDescent="0.2">
      <c r="A4892">
        <f>[1]!hospitalinfo[[#This Row],[Facility ID]]</f>
        <v>670120</v>
      </c>
      <c r="B4892" t="str">
        <f>[1]!hospitalinfo[[#This Row],[State]]</f>
        <v>TX</v>
      </c>
      <c r="C4892" t="str">
        <f>[1]!hospitalinfo[[#This Row],[Hospital Type]]</f>
        <v>Acute Care Hospitals</v>
      </c>
      <c r="D4892" t="str">
        <f>[1]!hospitalinfo[[#This Row],[Hospital Ownership]]</f>
        <v>Proprietary</v>
      </c>
      <c r="E4892" cm="1">
        <f t="array" ref="E4892">_xlfn.IFNA(_xlfn.XLOOKUP(1,([1]!hcahps[Facility ID] = clean[[#This Row],[Facility ID]]) * ([1]!hcahps[HCAHPS Measure ID] = "H_HSP_RATING_LINEAR_SCORE"), [1]!hcahps[HCAHPS Linear Mean Value]), "No Match")</f>
        <v>86</v>
      </c>
      <c r="F4892" cm="1">
        <f t="array" ref="F4892">_xlfn.IFNA(_xlfn.XLOOKUP(1,([1]!readmissions[Facility ID] = clean[[#This Row],[Facility ID]]) * ([1]!readmissions[Measure ID] = "Hybrid_HWR"), [1]!readmissions[Score]), "No Match")</f>
        <v>15.3</v>
      </c>
    </row>
    <row r="4893" spans="1:6" x14ac:dyDescent="0.2">
      <c r="A4893">
        <f>[1]!hospitalinfo[[#This Row],[Facility ID]]</f>
        <v>670121</v>
      </c>
      <c r="B4893" t="str">
        <f>[1]!hospitalinfo[[#This Row],[State]]</f>
        <v>TX</v>
      </c>
      <c r="C4893" t="str">
        <f>[1]!hospitalinfo[[#This Row],[Hospital Type]]</f>
        <v>Acute Care Hospitals</v>
      </c>
      <c r="D4893" t="str">
        <f>[1]!hospitalinfo[[#This Row],[Hospital Ownership]]</f>
        <v>Proprietary</v>
      </c>
      <c r="E4893" t="str" cm="1">
        <f t="array" ref="E4893">_xlfn.IFNA(_xlfn.XLOOKUP(1,([1]!hcahps[Facility ID] = clean[[#This Row],[Facility ID]]) * ([1]!hcahps[HCAHPS Measure ID] = "H_HSP_RATING_LINEAR_SCORE"), [1]!hcahps[HCAHPS Linear Mean Value]), "No Match")</f>
        <v>Not Available</v>
      </c>
      <c r="F4893" t="str" cm="1">
        <f t="array" ref="F4893">_xlfn.IFNA(_xlfn.XLOOKUP(1,([1]!readmissions[Facility ID] = clean[[#This Row],[Facility ID]]) * ([1]!readmissions[Measure ID] = "Hybrid_HWR"), [1]!readmissions[Score]), "No Match")</f>
        <v>Not Available</v>
      </c>
    </row>
    <row r="4894" spans="1:6" x14ac:dyDescent="0.2">
      <c r="A4894">
        <f>[1]!hospitalinfo[[#This Row],[Facility ID]]</f>
        <v>670122</v>
      </c>
      <c r="B4894" t="str">
        <f>[1]!hospitalinfo[[#This Row],[State]]</f>
        <v>TX</v>
      </c>
      <c r="C4894" t="str">
        <f>[1]!hospitalinfo[[#This Row],[Hospital Type]]</f>
        <v>Acute Care Hospitals</v>
      </c>
      <c r="D4894" t="str">
        <f>[1]!hospitalinfo[[#This Row],[Hospital Ownership]]</f>
        <v>Voluntary non-profit - Private</v>
      </c>
      <c r="E4894" cm="1">
        <f t="array" ref="E4894">_xlfn.IFNA(_xlfn.XLOOKUP(1,([1]!hcahps[Facility ID] = clean[[#This Row],[Facility ID]]) * ([1]!hcahps[HCAHPS Measure ID] = "H_HSP_RATING_LINEAR_SCORE"), [1]!hcahps[HCAHPS Linear Mean Value]), "No Match")</f>
        <v>92</v>
      </c>
      <c r="F4894" cm="1">
        <f t="array" ref="F4894">_xlfn.IFNA(_xlfn.XLOOKUP(1,([1]!readmissions[Facility ID] = clean[[#This Row],[Facility ID]]) * ([1]!readmissions[Measure ID] = "Hybrid_HWR"), [1]!readmissions[Score]), "No Match")</f>
        <v>13.6</v>
      </c>
    </row>
    <row r="4895" spans="1:6" x14ac:dyDescent="0.2">
      <c r="A4895">
        <f>[1]!hospitalinfo[[#This Row],[Facility ID]]</f>
        <v>670124</v>
      </c>
      <c r="B4895" t="str">
        <f>[1]!hospitalinfo[[#This Row],[State]]</f>
        <v>TX</v>
      </c>
      <c r="C4895" t="str">
        <f>[1]!hospitalinfo[[#This Row],[Hospital Type]]</f>
        <v>Acute Care Hospitals</v>
      </c>
      <c r="D4895" t="str">
        <f>[1]!hospitalinfo[[#This Row],[Hospital Ownership]]</f>
        <v>Proprietary</v>
      </c>
      <c r="E4895" t="str" cm="1">
        <f t="array" ref="E4895">_xlfn.IFNA(_xlfn.XLOOKUP(1,([1]!hcahps[Facility ID] = clean[[#This Row],[Facility ID]]) * ([1]!hcahps[HCAHPS Measure ID] = "H_HSP_RATING_LINEAR_SCORE"), [1]!hcahps[HCAHPS Linear Mean Value]), "No Match")</f>
        <v>Not Available</v>
      </c>
      <c r="F4895" cm="1">
        <f t="array" ref="F4895">_xlfn.IFNA(_xlfn.XLOOKUP(1,([1]!readmissions[Facility ID] = clean[[#This Row],[Facility ID]]) * ([1]!readmissions[Measure ID] = "Hybrid_HWR"), [1]!readmissions[Score]), "No Match")</f>
        <v>14.8</v>
      </c>
    </row>
    <row r="4896" spans="1:6" x14ac:dyDescent="0.2">
      <c r="A4896">
        <f>[1]!hospitalinfo[[#This Row],[Facility ID]]</f>
        <v>670125</v>
      </c>
      <c r="B4896" t="str">
        <f>[1]!hospitalinfo[[#This Row],[State]]</f>
        <v>TX</v>
      </c>
      <c r="C4896" t="str">
        <f>[1]!hospitalinfo[[#This Row],[Hospital Type]]</f>
        <v>Acute Care Hospitals</v>
      </c>
      <c r="D4896" t="str">
        <f>[1]!hospitalinfo[[#This Row],[Hospital Ownership]]</f>
        <v>Government - State</v>
      </c>
      <c r="E4896" t="str" cm="1">
        <f t="array" ref="E4896">_xlfn.IFNA(_xlfn.XLOOKUP(1,([1]!hcahps[Facility ID] = clean[[#This Row],[Facility ID]]) * ([1]!hcahps[HCAHPS Measure ID] = "H_HSP_RATING_LINEAR_SCORE"), [1]!hcahps[HCAHPS Linear Mean Value]), "No Match")</f>
        <v>Not Available</v>
      </c>
      <c r="F4896" t="str" cm="1">
        <f t="array" ref="F4896">_xlfn.IFNA(_xlfn.XLOOKUP(1,([1]!readmissions[Facility ID] = clean[[#This Row],[Facility ID]]) * ([1]!readmissions[Measure ID] = "Hybrid_HWR"), [1]!readmissions[Score]), "No Match")</f>
        <v>Not Available</v>
      </c>
    </row>
    <row r="4897" spans="1:6" x14ac:dyDescent="0.2">
      <c r="A4897">
        <f>[1]!hospitalinfo[[#This Row],[Facility ID]]</f>
        <v>670128</v>
      </c>
      <c r="B4897" t="str">
        <f>[1]!hospitalinfo[[#This Row],[State]]</f>
        <v>TX</v>
      </c>
      <c r="C4897" t="str">
        <f>[1]!hospitalinfo[[#This Row],[Hospital Type]]</f>
        <v>Acute Care Hospitals</v>
      </c>
      <c r="D4897" t="str">
        <f>[1]!hospitalinfo[[#This Row],[Hospital Ownership]]</f>
        <v>Voluntary non-profit - Private</v>
      </c>
      <c r="E4897" cm="1">
        <f t="array" ref="E4897">_xlfn.IFNA(_xlfn.XLOOKUP(1,([1]!hcahps[Facility ID] = clean[[#This Row],[Facility ID]]) * ([1]!hcahps[HCAHPS Measure ID] = "H_HSP_RATING_LINEAR_SCORE"), [1]!hcahps[HCAHPS Linear Mean Value]), "No Match")</f>
        <v>92</v>
      </c>
      <c r="F4897" cm="1">
        <f t="array" ref="F4897">_xlfn.IFNA(_xlfn.XLOOKUP(1,([1]!readmissions[Facility ID] = clean[[#This Row],[Facility ID]]) * ([1]!readmissions[Measure ID] = "Hybrid_HWR"), [1]!readmissions[Score]), "No Match")</f>
        <v>14.8</v>
      </c>
    </row>
    <row r="4898" spans="1:6" x14ac:dyDescent="0.2">
      <c r="A4898">
        <f>[1]!hospitalinfo[[#This Row],[Facility ID]]</f>
        <v>670131</v>
      </c>
      <c r="B4898" t="str">
        <f>[1]!hospitalinfo[[#This Row],[State]]</f>
        <v>TX</v>
      </c>
      <c r="C4898" t="str">
        <f>[1]!hospitalinfo[[#This Row],[Hospital Type]]</f>
        <v>Acute Care Hospitals</v>
      </c>
      <c r="D4898" t="str">
        <f>[1]!hospitalinfo[[#This Row],[Hospital Ownership]]</f>
        <v>Voluntary non-profit - Private</v>
      </c>
      <c r="E4898" t="str" cm="1">
        <f t="array" ref="E4898">_xlfn.IFNA(_xlfn.XLOOKUP(1,([1]!hcahps[Facility ID] = clean[[#This Row],[Facility ID]]) * ([1]!hcahps[HCAHPS Measure ID] = "H_HSP_RATING_LINEAR_SCORE"), [1]!hcahps[HCAHPS Linear Mean Value]), "No Match")</f>
        <v>Not Available</v>
      </c>
      <c r="F4898" cm="1">
        <f t="array" ref="F4898">_xlfn.IFNA(_xlfn.XLOOKUP(1,([1]!readmissions[Facility ID] = clean[[#This Row],[Facility ID]]) * ([1]!readmissions[Measure ID] = "Hybrid_HWR"), [1]!readmissions[Score]), "No Match")</f>
        <v>14.8</v>
      </c>
    </row>
    <row r="4899" spans="1:6" x14ac:dyDescent="0.2">
      <c r="A4899">
        <f>[1]!hospitalinfo[[#This Row],[Facility ID]]</f>
        <v>670132</v>
      </c>
      <c r="B4899" t="str">
        <f>[1]!hospitalinfo[[#This Row],[State]]</f>
        <v>TX</v>
      </c>
      <c r="C4899" t="str">
        <f>[1]!hospitalinfo[[#This Row],[Hospital Type]]</f>
        <v>Acute Care Hospitals</v>
      </c>
      <c r="D4899" t="str">
        <f>[1]!hospitalinfo[[#This Row],[Hospital Ownership]]</f>
        <v>Proprietary</v>
      </c>
      <c r="E4899" t="str" cm="1">
        <f t="array" ref="E4899">_xlfn.IFNA(_xlfn.XLOOKUP(1,([1]!hcahps[Facility ID] = clean[[#This Row],[Facility ID]]) * ([1]!hcahps[HCAHPS Measure ID] = "H_HSP_RATING_LINEAR_SCORE"), [1]!hcahps[HCAHPS Linear Mean Value]), "No Match")</f>
        <v>Not Available</v>
      </c>
      <c r="F4899" cm="1">
        <f t="array" ref="F4899">_xlfn.IFNA(_xlfn.XLOOKUP(1,([1]!readmissions[Facility ID] = clean[[#This Row],[Facility ID]]) * ([1]!readmissions[Measure ID] = "Hybrid_HWR"), [1]!readmissions[Score]), "No Match")</f>
        <v>15.1</v>
      </c>
    </row>
    <row r="4900" spans="1:6" x14ac:dyDescent="0.2">
      <c r="A4900">
        <f>[1]!hospitalinfo[[#This Row],[Facility ID]]</f>
        <v>670134</v>
      </c>
      <c r="B4900" t="str">
        <f>[1]!hospitalinfo[[#This Row],[State]]</f>
        <v>TX</v>
      </c>
      <c r="C4900" t="str">
        <f>[1]!hospitalinfo[[#This Row],[Hospital Type]]</f>
        <v>Acute Care Hospitals</v>
      </c>
      <c r="D4900" t="str">
        <f>[1]!hospitalinfo[[#This Row],[Hospital Ownership]]</f>
        <v>Proprietary</v>
      </c>
      <c r="E4900" t="str" cm="1">
        <f t="array" ref="E4900">_xlfn.IFNA(_xlfn.XLOOKUP(1,([1]!hcahps[Facility ID] = clean[[#This Row],[Facility ID]]) * ([1]!hcahps[HCAHPS Measure ID] = "H_HSP_RATING_LINEAR_SCORE"), [1]!hcahps[HCAHPS Linear Mean Value]), "No Match")</f>
        <v>Not Available</v>
      </c>
      <c r="F4900" cm="1">
        <f t="array" ref="F4900">_xlfn.IFNA(_xlfn.XLOOKUP(1,([1]!readmissions[Facility ID] = clean[[#This Row],[Facility ID]]) * ([1]!readmissions[Measure ID] = "Hybrid_HWR"), [1]!readmissions[Score]), "No Match")</f>
        <v>14.8</v>
      </c>
    </row>
    <row r="4901" spans="1:6" x14ac:dyDescent="0.2">
      <c r="A4901">
        <f>[1]!hospitalinfo[[#This Row],[Facility ID]]</f>
        <v>670135</v>
      </c>
      <c r="B4901" t="str">
        <f>[1]!hospitalinfo[[#This Row],[State]]</f>
        <v>TX</v>
      </c>
      <c r="C4901" t="str">
        <f>[1]!hospitalinfo[[#This Row],[Hospital Type]]</f>
        <v>Acute Care Hospitals</v>
      </c>
      <c r="D4901" t="str">
        <f>[1]!hospitalinfo[[#This Row],[Hospital Ownership]]</f>
        <v>Proprietary</v>
      </c>
      <c r="E4901" t="str" cm="1">
        <f t="array" ref="E4901">_xlfn.IFNA(_xlfn.XLOOKUP(1,([1]!hcahps[Facility ID] = clean[[#This Row],[Facility ID]]) * ([1]!hcahps[HCAHPS Measure ID] = "H_HSP_RATING_LINEAR_SCORE"), [1]!hcahps[HCAHPS Linear Mean Value]), "No Match")</f>
        <v>Not Available</v>
      </c>
      <c r="F4901" t="str" cm="1">
        <f t="array" ref="F4901">_xlfn.IFNA(_xlfn.XLOOKUP(1,([1]!readmissions[Facility ID] = clean[[#This Row],[Facility ID]]) * ([1]!readmissions[Measure ID] = "Hybrid_HWR"), [1]!readmissions[Score]), "No Match")</f>
        <v>Not Available</v>
      </c>
    </row>
    <row r="4902" spans="1:6" x14ac:dyDescent="0.2">
      <c r="A4902">
        <f>[1]!hospitalinfo[[#This Row],[Facility ID]]</f>
        <v>670136</v>
      </c>
      <c r="B4902" t="str">
        <f>[1]!hospitalinfo[[#This Row],[State]]</f>
        <v>TX</v>
      </c>
      <c r="C4902" t="str">
        <f>[1]!hospitalinfo[[#This Row],[Hospital Type]]</f>
        <v>Acute Care Hospitals</v>
      </c>
      <c r="D4902" t="str">
        <f>[1]!hospitalinfo[[#This Row],[Hospital Ownership]]</f>
        <v>Voluntary non-profit - Private</v>
      </c>
      <c r="E4902" t="str" cm="1">
        <f t="array" ref="E4902">_xlfn.IFNA(_xlfn.XLOOKUP(1,([1]!hcahps[Facility ID] = clean[[#This Row],[Facility ID]]) * ([1]!hcahps[HCAHPS Measure ID] = "H_HSP_RATING_LINEAR_SCORE"), [1]!hcahps[HCAHPS Linear Mean Value]), "No Match")</f>
        <v>Not Available</v>
      </c>
      <c r="F4902" cm="1">
        <f t="array" ref="F4902">_xlfn.IFNA(_xlfn.XLOOKUP(1,([1]!readmissions[Facility ID] = clean[[#This Row],[Facility ID]]) * ([1]!readmissions[Measure ID] = "Hybrid_HWR"), [1]!readmissions[Score]), "No Match")</f>
        <v>15.3</v>
      </c>
    </row>
    <row r="4903" spans="1:6" x14ac:dyDescent="0.2">
      <c r="A4903">
        <f>[1]!hospitalinfo[[#This Row],[Facility ID]]</f>
        <v>670260</v>
      </c>
      <c r="B4903" t="str">
        <f>[1]!hospitalinfo[[#This Row],[State]]</f>
        <v>TX</v>
      </c>
      <c r="C4903" t="str">
        <f>[1]!hospitalinfo[[#This Row],[Hospital Type]]</f>
        <v>Acute Care Hospitals</v>
      </c>
      <c r="D4903" t="str">
        <f>[1]!hospitalinfo[[#This Row],[Hospital Ownership]]</f>
        <v>Voluntary non-profit - Private</v>
      </c>
      <c r="E4903" cm="1">
        <f t="array" ref="E4903">_xlfn.IFNA(_xlfn.XLOOKUP(1,([1]!hcahps[Facility ID] = clean[[#This Row],[Facility ID]]) * ([1]!hcahps[HCAHPS Measure ID] = "H_HSP_RATING_LINEAR_SCORE"), [1]!hcahps[HCAHPS Linear Mean Value]), "No Match")</f>
        <v>91</v>
      </c>
      <c r="F4903" cm="1">
        <f t="array" ref="F4903">_xlfn.IFNA(_xlfn.XLOOKUP(1,([1]!readmissions[Facility ID] = clean[[#This Row],[Facility ID]]) * ([1]!readmissions[Measure ID] = "Hybrid_HWR"), [1]!readmissions[Score]), "No Match")</f>
        <v>15.2</v>
      </c>
    </row>
    <row r="4904" spans="1:6" x14ac:dyDescent="0.2">
      <c r="A4904">
        <f>[1]!hospitalinfo[[#This Row],[Facility ID]]</f>
        <v>670265</v>
      </c>
      <c r="B4904" t="str">
        <f>[1]!hospitalinfo[[#This Row],[State]]</f>
        <v>TX</v>
      </c>
      <c r="C4904" t="str">
        <f>[1]!hospitalinfo[[#This Row],[Hospital Type]]</f>
        <v>Acute Care Hospitals</v>
      </c>
      <c r="D4904" t="str">
        <f>[1]!hospitalinfo[[#This Row],[Hospital Ownership]]</f>
        <v>Proprietary</v>
      </c>
      <c r="E4904" cm="1">
        <f t="array" ref="E4904">_xlfn.IFNA(_xlfn.XLOOKUP(1,([1]!hcahps[Facility ID] = clean[[#This Row],[Facility ID]]) * ([1]!hcahps[HCAHPS Measure ID] = "H_HSP_RATING_LINEAR_SCORE"), [1]!hcahps[HCAHPS Linear Mean Value]), "No Match")</f>
        <v>88</v>
      </c>
      <c r="F4904" cm="1">
        <f t="array" ref="F4904">_xlfn.IFNA(_xlfn.XLOOKUP(1,([1]!readmissions[Facility ID] = clean[[#This Row],[Facility ID]]) * ([1]!readmissions[Measure ID] = "Hybrid_HWR"), [1]!readmissions[Score]), "No Match")</f>
        <v>15.3</v>
      </c>
    </row>
    <row r="4905" spans="1:6" x14ac:dyDescent="0.2">
      <c r="A4905">
        <f>[1]!hospitalinfo[[#This Row],[Facility ID]]</f>
        <v>670266</v>
      </c>
      <c r="B4905" t="str">
        <f>[1]!hospitalinfo[[#This Row],[State]]</f>
        <v>TX</v>
      </c>
      <c r="C4905" t="str">
        <f>[1]!hospitalinfo[[#This Row],[Hospital Type]]</f>
        <v>Acute Care Hospitals</v>
      </c>
      <c r="D4905" t="str">
        <f>[1]!hospitalinfo[[#This Row],[Hospital Ownership]]</f>
        <v>Proprietary</v>
      </c>
      <c r="E4905" t="str" cm="1">
        <f t="array" ref="E4905">_xlfn.IFNA(_xlfn.XLOOKUP(1,([1]!hcahps[Facility ID] = clean[[#This Row],[Facility ID]]) * ([1]!hcahps[HCAHPS Measure ID] = "H_HSP_RATING_LINEAR_SCORE"), [1]!hcahps[HCAHPS Linear Mean Value]), "No Match")</f>
        <v>Not Available</v>
      </c>
      <c r="F4905" t="str" cm="1">
        <f t="array" ref="F4905">_xlfn.IFNA(_xlfn.XLOOKUP(1,([1]!readmissions[Facility ID] = clean[[#This Row],[Facility ID]]) * ([1]!readmissions[Measure ID] = "Hybrid_HWR"), [1]!readmissions[Score]), "No Match")</f>
        <v>Not Available</v>
      </c>
    </row>
    <row r="4906" spans="1:6" x14ac:dyDescent="0.2">
      <c r="A4906">
        <f>[1]!hospitalinfo[[#This Row],[Facility ID]]</f>
        <v>670267</v>
      </c>
      <c r="B4906" t="str">
        <f>[1]!hospitalinfo[[#This Row],[State]]</f>
        <v>TX</v>
      </c>
      <c r="C4906" t="str">
        <f>[1]!hospitalinfo[[#This Row],[Hospital Type]]</f>
        <v>Acute Care Hospitals</v>
      </c>
      <c r="D4906" t="str">
        <f>[1]!hospitalinfo[[#This Row],[Hospital Ownership]]</f>
        <v>Proprietary</v>
      </c>
      <c r="E4906" t="str" cm="1">
        <f t="array" ref="E4906">_xlfn.IFNA(_xlfn.XLOOKUP(1,([1]!hcahps[Facility ID] = clean[[#This Row],[Facility ID]]) * ([1]!hcahps[HCAHPS Measure ID] = "H_HSP_RATING_LINEAR_SCORE"), [1]!hcahps[HCAHPS Linear Mean Value]), "No Match")</f>
        <v>Not Available</v>
      </c>
      <c r="F4906" cm="1">
        <f t="array" ref="F4906">_xlfn.IFNA(_xlfn.XLOOKUP(1,([1]!readmissions[Facility ID] = clean[[#This Row],[Facility ID]]) * ([1]!readmissions[Measure ID] = "Hybrid_HWR"), [1]!readmissions[Score]), "No Match")</f>
        <v>15</v>
      </c>
    </row>
    <row r="4907" spans="1:6" x14ac:dyDescent="0.2">
      <c r="A4907">
        <f>[1]!hospitalinfo[[#This Row],[Facility ID]]</f>
        <v>670285</v>
      </c>
      <c r="B4907" t="str">
        <f>[1]!hospitalinfo[[#This Row],[State]]</f>
        <v>TX</v>
      </c>
      <c r="C4907" t="str">
        <f>[1]!hospitalinfo[[#This Row],[Hospital Type]]</f>
        <v>Acute Care Hospitals</v>
      </c>
      <c r="D4907" t="str">
        <f>[1]!hospitalinfo[[#This Row],[Hospital Ownership]]</f>
        <v>Proprietary</v>
      </c>
      <c r="E4907" t="str" cm="1">
        <f t="array" ref="E4907">_xlfn.IFNA(_xlfn.XLOOKUP(1,([1]!hcahps[Facility ID] = clean[[#This Row],[Facility ID]]) * ([1]!hcahps[HCAHPS Measure ID] = "H_HSP_RATING_LINEAR_SCORE"), [1]!hcahps[HCAHPS Linear Mean Value]), "No Match")</f>
        <v>Not Available</v>
      </c>
      <c r="F4907" t="str" cm="1">
        <f t="array" ref="F4907">_xlfn.IFNA(_xlfn.XLOOKUP(1,([1]!readmissions[Facility ID] = clean[[#This Row],[Facility ID]]) * ([1]!readmissions[Measure ID] = "Hybrid_HWR"), [1]!readmissions[Score]), "No Match")</f>
        <v>Not Available</v>
      </c>
    </row>
    <row r="4908" spans="1:6" x14ac:dyDescent="0.2">
      <c r="A4908">
        <f>[1]!hospitalinfo[[#This Row],[Facility ID]]</f>
        <v>670300</v>
      </c>
      <c r="B4908" t="str">
        <f>[1]!hospitalinfo[[#This Row],[State]]</f>
        <v>TX</v>
      </c>
      <c r="C4908" t="str">
        <f>[1]!hospitalinfo[[#This Row],[Hospital Type]]</f>
        <v>Acute Care Hospitals</v>
      </c>
      <c r="D4908" t="str">
        <f>[1]!hospitalinfo[[#This Row],[Hospital Ownership]]</f>
        <v>Voluntary non-profit - Private</v>
      </c>
      <c r="E4908" cm="1">
        <f t="array" ref="E4908">_xlfn.IFNA(_xlfn.XLOOKUP(1,([1]!hcahps[Facility ID] = clean[[#This Row],[Facility ID]]) * ([1]!hcahps[HCAHPS Measure ID] = "H_HSP_RATING_LINEAR_SCORE"), [1]!hcahps[HCAHPS Linear Mean Value]), "No Match")</f>
        <v>92</v>
      </c>
      <c r="F4908" cm="1">
        <f t="array" ref="F4908">_xlfn.IFNA(_xlfn.XLOOKUP(1,([1]!readmissions[Facility ID] = clean[[#This Row],[Facility ID]]) * ([1]!readmissions[Measure ID] = "Hybrid_HWR"), [1]!readmissions[Score]), "No Match")</f>
        <v>14.4</v>
      </c>
    </row>
    <row r="4909" spans="1:6" x14ac:dyDescent="0.2">
      <c r="A4909">
        <f>[1]!hospitalinfo[[#This Row],[Facility ID]]</f>
        <v>670309</v>
      </c>
      <c r="B4909" t="str">
        <f>[1]!hospitalinfo[[#This Row],[State]]</f>
        <v>TX</v>
      </c>
      <c r="C4909" t="str">
        <f>[1]!hospitalinfo[[#This Row],[Hospital Type]]</f>
        <v>Acute Care Hospitals</v>
      </c>
      <c r="D4909" t="str">
        <f>[1]!hospitalinfo[[#This Row],[Hospital Ownership]]</f>
        <v>Proprietary</v>
      </c>
      <c r="E4909" cm="1">
        <f t="array" ref="E4909">_xlfn.IFNA(_xlfn.XLOOKUP(1,([1]!hcahps[Facility ID] = clean[[#This Row],[Facility ID]]) * ([1]!hcahps[HCAHPS Measure ID] = "H_HSP_RATING_LINEAR_SCORE"), [1]!hcahps[HCAHPS Linear Mean Value]), "No Match")</f>
        <v>91</v>
      </c>
      <c r="F4909" cm="1">
        <f t="array" ref="F4909">_xlfn.IFNA(_xlfn.XLOOKUP(1,([1]!readmissions[Facility ID] = clean[[#This Row],[Facility ID]]) * ([1]!readmissions[Measure ID] = "Hybrid_HWR"), [1]!readmissions[Score]), "No Match")</f>
        <v>15.3</v>
      </c>
    </row>
    <row r="4910" spans="1:6" x14ac:dyDescent="0.2">
      <c r="A4910">
        <f>[1]!hospitalinfo[[#This Row],[Facility ID]]</f>
        <v>670314</v>
      </c>
      <c r="B4910" t="str">
        <f>[1]!hospitalinfo[[#This Row],[State]]</f>
        <v>TX</v>
      </c>
      <c r="C4910" t="str">
        <f>[1]!hospitalinfo[[#This Row],[Hospital Type]]</f>
        <v>Acute Care Hospitals</v>
      </c>
      <c r="D4910" t="str">
        <f>[1]!hospitalinfo[[#This Row],[Hospital Ownership]]</f>
        <v>Proprietary</v>
      </c>
      <c r="E4910" t="str" cm="1">
        <f t="array" ref="E4910">_xlfn.IFNA(_xlfn.XLOOKUP(1,([1]!hcahps[Facility ID] = clean[[#This Row],[Facility ID]]) * ([1]!hcahps[HCAHPS Measure ID] = "H_HSP_RATING_LINEAR_SCORE"), [1]!hcahps[HCAHPS Linear Mean Value]), "No Match")</f>
        <v>Not Available</v>
      </c>
      <c r="F4910" t="str" cm="1">
        <f t="array" ref="F4910">_xlfn.IFNA(_xlfn.XLOOKUP(1,([1]!readmissions[Facility ID] = clean[[#This Row],[Facility ID]]) * ([1]!readmissions[Measure ID] = "Hybrid_HWR"), [1]!readmissions[Score]), "No Match")</f>
        <v>Not Available</v>
      </c>
    </row>
    <row r="4911" spans="1:6" x14ac:dyDescent="0.2">
      <c r="A4911">
        <f>[1]!hospitalinfo[[#This Row],[Facility ID]]</f>
        <v>670320</v>
      </c>
      <c r="B4911" t="str">
        <f>[1]!hospitalinfo[[#This Row],[State]]</f>
        <v>TX</v>
      </c>
      <c r="C4911" t="str">
        <f>[1]!hospitalinfo[[#This Row],[Hospital Type]]</f>
        <v>Acute Care Hospitals</v>
      </c>
      <c r="D4911" t="str">
        <f>[1]!hospitalinfo[[#This Row],[Hospital Ownership]]</f>
        <v>Proprietary</v>
      </c>
      <c r="E4911" t="str" cm="1">
        <f t="array" ref="E4911">_xlfn.IFNA(_xlfn.XLOOKUP(1,([1]!hcahps[Facility ID] = clean[[#This Row],[Facility ID]]) * ([1]!hcahps[HCAHPS Measure ID] = "H_HSP_RATING_LINEAR_SCORE"), [1]!hcahps[HCAHPS Linear Mean Value]), "No Match")</f>
        <v>Not Available</v>
      </c>
      <c r="F4911" t="str" cm="1">
        <f t="array" ref="F4911">_xlfn.IFNA(_xlfn.XLOOKUP(1,([1]!readmissions[Facility ID] = clean[[#This Row],[Facility ID]]) * ([1]!readmissions[Measure ID] = "Hybrid_HWR"), [1]!readmissions[Score]), "No Match")</f>
        <v>Not Available</v>
      </c>
    </row>
    <row r="4912" spans="1:6" x14ac:dyDescent="0.2">
      <c r="A4912">
        <f>[1]!hospitalinfo[[#This Row],[Facility ID]]</f>
        <v>670321</v>
      </c>
      <c r="B4912" t="str">
        <f>[1]!hospitalinfo[[#This Row],[State]]</f>
        <v>TX</v>
      </c>
      <c r="C4912" t="str">
        <f>[1]!hospitalinfo[[#This Row],[Hospital Type]]</f>
        <v>Acute Care Hospitals</v>
      </c>
      <c r="D4912" t="str">
        <f>[1]!hospitalinfo[[#This Row],[Hospital Ownership]]</f>
        <v>Proprietary</v>
      </c>
      <c r="E4912" t="str" cm="1">
        <f t="array" ref="E4912">_xlfn.IFNA(_xlfn.XLOOKUP(1,([1]!hcahps[Facility ID] = clean[[#This Row],[Facility ID]]) * ([1]!hcahps[HCAHPS Measure ID] = "H_HSP_RATING_LINEAR_SCORE"), [1]!hcahps[HCAHPS Linear Mean Value]), "No Match")</f>
        <v>Not Available</v>
      </c>
      <c r="F4912" t="str" cm="1">
        <f t="array" ref="F4912">_xlfn.IFNA(_xlfn.XLOOKUP(1,([1]!readmissions[Facility ID] = clean[[#This Row],[Facility ID]]) * ([1]!readmissions[Measure ID] = "Hybrid_HWR"), [1]!readmissions[Score]), "No Match")</f>
        <v>Not Available</v>
      </c>
    </row>
    <row r="4913" spans="1:6" x14ac:dyDescent="0.2">
      <c r="A4913">
        <f>[1]!hospitalinfo[[#This Row],[Facility ID]]</f>
        <v>670322</v>
      </c>
      <c r="B4913" t="str">
        <f>[1]!hospitalinfo[[#This Row],[State]]</f>
        <v>TX</v>
      </c>
      <c r="C4913" t="str">
        <f>[1]!hospitalinfo[[#This Row],[Hospital Type]]</f>
        <v>Acute Care Hospitals</v>
      </c>
      <c r="D4913" t="str">
        <f>[1]!hospitalinfo[[#This Row],[Hospital Ownership]]</f>
        <v>Proprietary</v>
      </c>
      <c r="E4913" t="str" cm="1">
        <f t="array" ref="E4913">_xlfn.IFNA(_xlfn.XLOOKUP(1,([1]!hcahps[Facility ID] = clean[[#This Row],[Facility ID]]) * ([1]!hcahps[HCAHPS Measure ID] = "H_HSP_RATING_LINEAR_SCORE"), [1]!hcahps[HCAHPS Linear Mean Value]), "No Match")</f>
        <v>Not Available</v>
      </c>
      <c r="F4913" t="str" cm="1">
        <f t="array" ref="F4913">_xlfn.IFNA(_xlfn.XLOOKUP(1,([1]!readmissions[Facility ID] = clean[[#This Row],[Facility ID]]) * ([1]!readmissions[Measure ID] = "Hybrid_HWR"), [1]!readmissions[Score]), "No Match")</f>
        <v>Not Available</v>
      </c>
    </row>
    <row r="4914" spans="1:6" x14ac:dyDescent="0.2">
      <c r="A4914">
        <f>[1]!hospitalinfo[[#This Row],[Facility ID]]</f>
        <v>670326</v>
      </c>
      <c r="B4914" t="str">
        <f>[1]!hospitalinfo[[#This Row],[State]]</f>
        <v>TX</v>
      </c>
      <c r="C4914" t="str">
        <f>[1]!hospitalinfo[[#This Row],[Hospital Type]]</f>
        <v>Acute Care Hospitals</v>
      </c>
      <c r="D4914" t="str">
        <f>[1]!hospitalinfo[[#This Row],[Hospital Ownership]]</f>
        <v>Proprietary</v>
      </c>
      <c r="E4914" t="str" cm="1">
        <f t="array" ref="E4914">_xlfn.IFNA(_xlfn.XLOOKUP(1,([1]!hcahps[Facility ID] = clean[[#This Row],[Facility ID]]) * ([1]!hcahps[HCAHPS Measure ID] = "H_HSP_RATING_LINEAR_SCORE"), [1]!hcahps[HCAHPS Linear Mean Value]), "No Match")</f>
        <v>Not Available</v>
      </c>
      <c r="F4914" t="str" cm="1">
        <f t="array" ref="F4914">_xlfn.IFNA(_xlfn.XLOOKUP(1,([1]!readmissions[Facility ID] = clean[[#This Row],[Facility ID]]) * ([1]!readmissions[Measure ID] = "Hybrid_HWR"), [1]!readmissions[Score]), "No Match")</f>
        <v>Not Available</v>
      </c>
    </row>
    <row r="4915" spans="1:6" x14ac:dyDescent="0.2">
      <c r="A4915">
        <f>[1]!hospitalinfo[[#This Row],[Facility ID]]</f>
        <v>670327</v>
      </c>
      <c r="B4915" t="str">
        <f>[1]!hospitalinfo[[#This Row],[State]]</f>
        <v>TX</v>
      </c>
      <c r="C4915" t="str">
        <f>[1]!hospitalinfo[[#This Row],[Hospital Type]]</f>
        <v>Acute Care Hospitals</v>
      </c>
      <c r="D4915" t="str">
        <f>[1]!hospitalinfo[[#This Row],[Hospital Ownership]]</f>
        <v>Proprietary</v>
      </c>
      <c r="E4915" t="str" cm="1">
        <f t="array" ref="E4915">_xlfn.IFNA(_xlfn.XLOOKUP(1,([1]!hcahps[Facility ID] = clean[[#This Row],[Facility ID]]) * ([1]!hcahps[HCAHPS Measure ID] = "H_HSP_RATING_LINEAR_SCORE"), [1]!hcahps[HCAHPS Linear Mean Value]), "No Match")</f>
        <v>Not Available</v>
      </c>
      <c r="F4915" t="str" cm="1">
        <f t="array" ref="F4915">_xlfn.IFNA(_xlfn.XLOOKUP(1,([1]!readmissions[Facility ID] = clean[[#This Row],[Facility ID]]) * ([1]!readmissions[Measure ID] = "Hybrid_HWR"), [1]!readmissions[Score]), "No Match")</f>
        <v>Not Available</v>
      </c>
    </row>
    <row r="4916" spans="1:6" x14ac:dyDescent="0.2">
      <c r="A4916">
        <f>[1]!hospitalinfo[[#This Row],[Facility ID]]</f>
        <v>670331</v>
      </c>
      <c r="B4916" t="str">
        <f>[1]!hospitalinfo[[#This Row],[State]]</f>
        <v>TX</v>
      </c>
      <c r="C4916" t="str">
        <f>[1]!hospitalinfo[[#This Row],[Hospital Type]]</f>
        <v>Acute Care Hospitals</v>
      </c>
      <c r="D4916" t="str">
        <f>[1]!hospitalinfo[[#This Row],[Hospital Ownership]]</f>
        <v>Voluntary non-profit - Other</v>
      </c>
      <c r="E4916" t="str" cm="1">
        <f t="array" ref="E4916">_xlfn.IFNA(_xlfn.XLOOKUP(1,([1]!hcahps[Facility ID] = clean[[#This Row],[Facility ID]]) * ([1]!hcahps[HCAHPS Measure ID] = "H_HSP_RATING_LINEAR_SCORE"), [1]!hcahps[HCAHPS Linear Mean Value]), "No Match")</f>
        <v>Not Available</v>
      </c>
      <c r="F4916" t="str" cm="1">
        <f t="array" ref="F4916">_xlfn.IFNA(_xlfn.XLOOKUP(1,([1]!readmissions[Facility ID] = clean[[#This Row],[Facility ID]]) * ([1]!readmissions[Measure ID] = "Hybrid_HWR"), [1]!readmissions[Score]), "No Match")</f>
        <v>Not Available</v>
      </c>
    </row>
    <row r="4917" spans="1:6" x14ac:dyDescent="0.2">
      <c r="A4917">
        <f>[1]!hospitalinfo[[#This Row],[Facility ID]]</f>
        <v>670333</v>
      </c>
      <c r="B4917" t="str">
        <f>[1]!hospitalinfo[[#This Row],[State]]</f>
        <v>TX</v>
      </c>
      <c r="C4917" t="str">
        <f>[1]!hospitalinfo[[#This Row],[Hospital Type]]</f>
        <v>Acute Care Hospitals</v>
      </c>
      <c r="D4917" t="str">
        <f>[1]!hospitalinfo[[#This Row],[Hospital Ownership]]</f>
        <v>Proprietary</v>
      </c>
      <c r="E4917" t="str" cm="1">
        <f t="array" ref="E4917">_xlfn.IFNA(_xlfn.XLOOKUP(1,([1]!hcahps[Facility ID] = clean[[#This Row],[Facility ID]]) * ([1]!hcahps[HCAHPS Measure ID] = "H_HSP_RATING_LINEAR_SCORE"), [1]!hcahps[HCAHPS Linear Mean Value]), "No Match")</f>
        <v>Not Available</v>
      </c>
      <c r="F4917" t="str" cm="1">
        <f t="array" ref="F4917">_xlfn.IFNA(_xlfn.XLOOKUP(1,([1]!readmissions[Facility ID] = clean[[#This Row],[Facility ID]]) * ([1]!readmissions[Measure ID] = "Hybrid_HWR"), [1]!readmissions[Score]), "No Match")</f>
        <v>Not Available</v>
      </c>
    </row>
    <row r="4918" spans="1:6" x14ac:dyDescent="0.2">
      <c r="A4918">
        <f>[1]!hospitalinfo[[#This Row],[Facility ID]]</f>
        <v>670335</v>
      </c>
      <c r="B4918" t="str">
        <f>[1]!hospitalinfo[[#This Row],[State]]</f>
        <v>TX</v>
      </c>
      <c r="C4918" t="str">
        <f>[1]!hospitalinfo[[#This Row],[Hospital Type]]</f>
        <v>Acute Care Hospitals</v>
      </c>
      <c r="D4918" t="str">
        <f>[1]!hospitalinfo[[#This Row],[Hospital Ownership]]</f>
        <v>Government - State</v>
      </c>
      <c r="E4918" t="str" cm="1">
        <f t="array" ref="E4918">_xlfn.IFNA(_xlfn.XLOOKUP(1,([1]!hcahps[Facility ID] = clean[[#This Row],[Facility ID]]) * ([1]!hcahps[HCAHPS Measure ID] = "H_HSP_RATING_LINEAR_SCORE"), [1]!hcahps[HCAHPS Linear Mean Value]), "No Match")</f>
        <v>Not Available</v>
      </c>
      <c r="F4918" t="str" cm="1">
        <f t="array" ref="F4918">_xlfn.IFNA(_xlfn.XLOOKUP(1,([1]!readmissions[Facility ID] = clean[[#This Row],[Facility ID]]) * ([1]!readmissions[Measure ID] = "Hybrid_HWR"), [1]!readmissions[Score]), "No Match")</f>
        <v>Not Available</v>
      </c>
    </row>
    <row r="4919" spans="1:6" x14ac:dyDescent="0.2">
      <c r="A4919">
        <f>[1]!hospitalinfo[[#This Row],[Facility ID]]</f>
        <v>670336</v>
      </c>
      <c r="B4919" t="str">
        <f>[1]!hospitalinfo[[#This Row],[State]]</f>
        <v>TX</v>
      </c>
      <c r="C4919" t="str">
        <f>[1]!hospitalinfo[[#This Row],[Hospital Type]]</f>
        <v>Acute Care Hospitals</v>
      </c>
      <c r="D4919" t="str">
        <f>[1]!hospitalinfo[[#This Row],[Hospital Ownership]]</f>
        <v>Proprietary</v>
      </c>
      <c r="E4919" t="str" cm="1">
        <f t="array" ref="E4919">_xlfn.IFNA(_xlfn.XLOOKUP(1,([1]!hcahps[Facility ID] = clean[[#This Row],[Facility ID]]) * ([1]!hcahps[HCAHPS Measure ID] = "H_HSP_RATING_LINEAR_SCORE"), [1]!hcahps[HCAHPS Linear Mean Value]), "No Match")</f>
        <v>Not Available</v>
      </c>
      <c r="F4919" t="str" cm="1">
        <f t="array" ref="F4919">_xlfn.IFNA(_xlfn.XLOOKUP(1,([1]!readmissions[Facility ID] = clean[[#This Row],[Facility ID]]) * ([1]!readmissions[Measure ID] = "Hybrid_HWR"), [1]!readmissions[Score]), "No Match")</f>
        <v>Not Available</v>
      </c>
    </row>
    <row r="4920" spans="1:6" x14ac:dyDescent="0.2">
      <c r="A4920">
        <f>[1]!hospitalinfo[[#This Row],[Facility ID]]</f>
        <v>670340</v>
      </c>
      <c r="B4920" t="str">
        <f>[1]!hospitalinfo[[#This Row],[State]]</f>
        <v>TX</v>
      </c>
      <c r="C4920" t="str">
        <f>[1]!hospitalinfo[[#This Row],[Hospital Type]]</f>
        <v>Acute Care Hospitals</v>
      </c>
      <c r="D4920" t="str">
        <f>[1]!hospitalinfo[[#This Row],[Hospital Ownership]]</f>
        <v>Voluntary non-profit - Private</v>
      </c>
      <c r="E4920" t="str" cm="1">
        <f t="array" ref="E4920">_xlfn.IFNA(_xlfn.XLOOKUP(1,([1]!hcahps[Facility ID] = clean[[#This Row],[Facility ID]]) * ([1]!hcahps[HCAHPS Measure ID] = "H_HSP_RATING_LINEAR_SCORE"), [1]!hcahps[HCAHPS Linear Mean Value]), "No Match")</f>
        <v>Not Available</v>
      </c>
      <c r="F4920" t="str" cm="1">
        <f t="array" ref="F4920">_xlfn.IFNA(_xlfn.XLOOKUP(1,([1]!readmissions[Facility ID] = clean[[#This Row],[Facility ID]]) * ([1]!readmissions[Measure ID] = "Hybrid_HWR"), [1]!readmissions[Score]), "No Match")</f>
        <v>Not Available</v>
      </c>
    </row>
    <row r="4921" spans="1:6" x14ac:dyDescent="0.2">
      <c r="A4921">
        <f>[1]!hospitalinfo[[#This Row],[Facility ID]]</f>
        <v>670342</v>
      </c>
      <c r="B4921" t="str">
        <f>[1]!hospitalinfo[[#This Row],[State]]</f>
        <v>TX</v>
      </c>
      <c r="C4921" t="str">
        <f>[1]!hospitalinfo[[#This Row],[Hospital Type]]</f>
        <v>Acute Care Hospitals</v>
      </c>
      <c r="D4921" t="str">
        <f>[1]!hospitalinfo[[#This Row],[Hospital Ownership]]</f>
        <v>Voluntary non-profit - Private</v>
      </c>
      <c r="E4921" t="str" cm="1">
        <f t="array" ref="E4921">_xlfn.IFNA(_xlfn.XLOOKUP(1,([1]!hcahps[Facility ID] = clean[[#This Row],[Facility ID]]) * ([1]!hcahps[HCAHPS Measure ID] = "H_HSP_RATING_LINEAR_SCORE"), [1]!hcahps[HCAHPS Linear Mean Value]), "No Match")</f>
        <v>Not Available</v>
      </c>
      <c r="F4921" t="str" cm="1">
        <f t="array" ref="F4921">_xlfn.IFNA(_xlfn.XLOOKUP(1,([1]!readmissions[Facility ID] = clean[[#This Row],[Facility ID]]) * ([1]!readmissions[Measure ID] = "Hybrid_HWR"), [1]!readmissions[Score]), "No Match")</f>
        <v>Not Available</v>
      </c>
    </row>
    <row r="4922" spans="1:6" x14ac:dyDescent="0.2">
      <c r="A4922">
        <f>[1]!hospitalinfo[[#This Row],[Facility ID]]</f>
        <v>670343</v>
      </c>
      <c r="B4922" t="str">
        <f>[1]!hospitalinfo[[#This Row],[State]]</f>
        <v>TX</v>
      </c>
      <c r="C4922" t="str">
        <f>[1]!hospitalinfo[[#This Row],[Hospital Type]]</f>
        <v>Acute Care Hospitals</v>
      </c>
      <c r="D4922" t="str">
        <f>[1]!hospitalinfo[[#This Row],[Hospital Ownership]]</f>
        <v>Voluntary non-profit - Private</v>
      </c>
      <c r="E4922" t="str" cm="1">
        <f t="array" ref="E4922">_xlfn.IFNA(_xlfn.XLOOKUP(1,([1]!hcahps[Facility ID] = clean[[#This Row],[Facility ID]]) * ([1]!hcahps[HCAHPS Measure ID] = "H_HSP_RATING_LINEAR_SCORE"), [1]!hcahps[HCAHPS Linear Mean Value]), "No Match")</f>
        <v>Not Available</v>
      </c>
      <c r="F4922" t="str" cm="1">
        <f t="array" ref="F4922">_xlfn.IFNA(_xlfn.XLOOKUP(1,([1]!readmissions[Facility ID] = clean[[#This Row],[Facility ID]]) * ([1]!readmissions[Measure ID] = "Hybrid_HWR"), [1]!readmissions[Score]), "No Match")</f>
        <v>Not Available</v>
      </c>
    </row>
    <row r="4923" spans="1:6" x14ac:dyDescent="0.2">
      <c r="A4923">
        <f>[1]!hospitalinfo[[#This Row],[Facility ID]]</f>
        <v>670345</v>
      </c>
      <c r="B4923" t="str">
        <f>[1]!hospitalinfo[[#This Row],[State]]</f>
        <v>TX</v>
      </c>
      <c r="C4923" t="str">
        <f>[1]!hospitalinfo[[#This Row],[Hospital Type]]</f>
        <v>Acute Care Hospitals</v>
      </c>
      <c r="D4923" t="str">
        <f>[1]!hospitalinfo[[#This Row],[Hospital Ownership]]</f>
        <v>Physician</v>
      </c>
      <c r="E4923" t="str" cm="1">
        <f t="array" ref="E4923">_xlfn.IFNA(_xlfn.XLOOKUP(1,([1]!hcahps[Facility ID] = clean[[#This Row],[Facility ID]]) * ([1]!hcahps[HCAHPS Measure ID] = "H_HSP_RATING_LINEAR_SCORE"), [1]!hcahps[HCAHPS Linear Mean Value]), "No Match")</f>
        <v>Not Available</v>
      </c>
      <c r="F4923" t="str" cm="1">
        <f t="array" ref="F4923">_xlfn.IFNA(_xlfn.XLOOKUP(1,([1]!readmissions[Facility ID] = clean[[#This Row],[Facility ID]]) * ([1]!readmissions[Measure ID] = "Hybrid_HWR"), [1]!readmissions[Score]), "No Match")</f>
        <v>Not Available</v>
      </c>
    </row>
    <row r="4924" spans="1:6" x14ac:dyDescent="0.2">
      <c r="A4924">
        <f>[1]!hospitalinfo[[#This Row],[Facility ID]]</f>
        <v>670346</v>
      </c>
      <c r="B4924" t="str">
        <f>[1]!hospitalinfo[[#This Row],[State]]</f>
        <v>TX</v>
      </c>
      <c r="C4924" t="str">
        <f>[1]!hospitalinfo[[#This Row],[Hospital Type]]</f>
        <v>Acute Care Hospitals</v>
      </c>
      <c r="D4924" t="str">
        <f>[1]!hospitalinfo[[#This Row],[Hospital Ownership]]</f>
        <v>Voluntary non-profit - Private</v>
      </c>
      <c r="E4924" t="str" cm="1">
        <f t="array" ref="E4924">_xlfn.IFNA(_xlfn.XLOOKUP(1,([1]!hcahps[Facility ID] = clean[[#This Row],[Facility ID]]) * ([1]!hcahps[HCAHPS Measure ID] = "H_HSP_RATING_LINEAR_SCORE"), [1]!hcahps[HCAHPS Linear Mean Value]), "No Match")</f>
        <v>Not Available</v>
      </c>
      <c r="F4924" t="str" cm="1">
        <f t="array" ref="F4924">_xlfn.IFNA(_xlfn.XLOOKUP(1,([1]!readmissions[Facility ID] = clean[[#This Row],[Facility ID]]) * ([1]!readmissions[Measure ID] = "Hybrid_HWR"), [1]!readmissions[Score]), "No Match")</f>
        <v>Not Available</v>
      </c>
    </row>
    <row r="4925" spans="1:6" x14ac:dyDescent="0.2">
      <c r="A4925">
        <f>[1]!hospitalinfo[[#This Row],[Facility ID]]</f>
        <v>670779</v>
      </c>
      <c r="B4925" t="str">
        <f>[1]!hospitalinfo[[#This Row],[State]]</f>
        <v>TX</v>
      </c>
      <c r="C4925" t="str">
        <f>[1]!hospitalinfo[[#This Row],[Hospital Type]]</f>
        <v>Rural Emergency Hospital</v>
      </c>
      <c r="D4925" t="str">
        <f>[1]!hospitalinfo[[#This Row],[Hospital Ownership]]</f>
        <v>Voluntary non-profit - Private</v>
      </c>
      <c r="E4925" t="str" cm="1">
        <f t="array" ref="E4925">_xlfn.IFNA(_xlfn.XLOOKUP(1,([1]!hcahps[Facility ID] = clean[[#This Row],[Facility ID]]) * ([1]!hcahps[HCAHPS Measure ID] = "H_HSP_RATING_LINEAR_SCORE"), [1]!hcahps[HCAHPS Linear Mean Value]), "No Match")</f>
        <v>Not Available</v>
      </c>
      <c r="F4925" t="str" cm="1">
        <f t="array" ref="F4925">_xlfn.IFNA(_xlfn.XLOOKUP(1,([1]!readmissions[Facility ID] = clean[[#This Row],[Facility ID]]) * ([1]!readmissions[Measure ID] = "Hybrid_HWR"), [1]!readmissions[Score]), "No Match")</f>
        <v>Not Available</v>
      </c>
    </row>
    <row r="4926" spans="1:6" x14ac:dyDescent="0.2">
      <c r="A4926">
        <f>[1]!hospitalinfo[[#This Row],[Facility ID]]</f>
        <v>670780</v>
      </c>
      <c r="B4926" t="str">
        <f>[1]!hospitalinfo[[#This Row],[State]]</f>
        <v>TX</v>
      </c>
      <c r="C4926" t="str">
        <f>[1]!hospitalinfo[[#This Row],[Hospital Type]]</f>
        <v>Rural Emergency Hospital</v>
      </c>
      <c r="D4926" t="str">
        <f>[1]!hospitalinfo[[#This Row],[Hospital Ownership]]</f>
        <v>Voluntary non-profit - Private</v>
      </c>
      <c r="E4926" t="str" cm="1">
        <f t="array" ref="E4926">_xlfn.IFNA(_xlfn.XLOOKUP(1,([1]!hcahps[Facility ID] = clean[[#This Row],[Facility ID]]) * ([1]!hcahps[HCAHPS Measure ID] = "H_HSP_RATING_LINEAR_SCORE"), [1]!hcahps[HCAHPS Linear Mean Value]), "No Match")</f>
        <v>Not Available</v>
      </c>
      <c r="F4926" t="str" cm="1">
        <f t="array" ref="F4926">_xlfn.IFNA(_xlfn.XLOOKUP(1,([1]!readmissions[Facility ID] = clean[[#This Row],[Facility ID]]) * ([1]!readmissions[Measure ID] = "Hybrid_HWR"), [1]!readmissions[Score]), "No Match")</f>
        <v>Not Available</v>
      </c>
    </row>
    <row r="4927" spans="1:6" x14ac:dyDescent="0.2">
      <c r="A4927">
        <f>[1]!hospitalinfo[[#This Row],[Facility ID]]</f>
        <v>670781</v>
      </c>
      <c r="B4927" t="str">
        <f>[1]!hospitalinfo[[#This Row],[State]]</f>
        <v>TX</v>
      </c>
      <c r="C4927" t="str">
        <f>[1]!hospitalinfo[[#This Row],[Hospital Type]]</f>
        <v>Rural Emergency Hospital</v>
      </c>
      <c r="D4927" t="str">
        <f>[1]!hospitalinfo[[#This Row],[Hospital Ownership]]</f>
        <v>Government - Hospital District or Authority</v>
      </c>
      <c r="E4927" t="str" cm="1">
        <f t="array" ref="E4927">_xlfn.IFNA(_xlfn.XLOOKUP(1,([1]!hcahps[Facility ID] = clean[[#This Row],[Facility ID]]) * ([1]!hcahps[HCAHPS Measure ID] = "H_HSP_RATING_LINEAR_SCORE"), [1]!hcahps[HCAHPS Linear Mean Value]), "No Match")</f>
        <v>Not Available</v>
      </c>
      <c r="F4927" t="str" cm="1">
        <f t="array" ref="F4927">_xlfn.IFNA(_xlfn.XLOOKUP(1,([1]!readmissions[Facility ID] = clean[[#This Row],[Facility ID]]) * ([1]!readmissions[Measure ID] = "Hybrid_HWR"), [1]!readmissions[Score]), "No Match")</f>
        <v>Not Available</v>
      </c>
    </row>
    <row r="4928" spans="1:6" x14ac:dyDescent="0.2">
      <c r="A4928">
        <f>[1]!hospitalinfo[[#This Row],[Facility ID]]</f>
        <v>670783</v>
      </c>
      <c r="B4928" t="str">
        <f>[1]!hospitalinfo[[#This Row],[State]]</f>
        <v>TX</v>
      </c>
      <c r="C4928" t="str">
        <f>[1]!hospitalinfo[[#This Row],[Hospital Type]]</f>
        <v>Rural Emergency Hospital</v>
      </c>
      <c r="D4928" t="str">
        <f>[1]!hospitalinfo[[#This Row],[Hospital Ownership]]</f>
        <v>Voluntary non-profit - Private</v>
      </c>
      <c r="E4928" t="str" cm="1">
        <f t="array" ref="E4928">_xlfn.IFNA(_xlfn.XLOOKUP(1,([1]!hcahps[Facility ID] = clean[[#This Row],[Facility ID]]) * ([1]!hcahps[HCAHPS Measure ID] = "H_HSP_RATING_LINEAR_SCORE"), [1]!hcahps[HCAHPS Linear Mean Value]), "No Match")</f>
        <v>Not Available</v>
      </c>
      <c r="F4928" t="str" cm="1">
        <f t="array" ref="F4928">_xlfn.IFNA(_xlfn.XLOOKUP(1,([1]!readmissions[Facility ID] = clean[[#This Row],[Facility ID]]) * ([1]!readmissions[Measure ID] = "Hybrid_HWR"), [1]!readmissions[Score]), "No Match")</f>
        <v>Not Available</v>
      </c>
    </row>
    <row r="4929" spans="1:6" x14ac:dyDescent="0.2">
      <c r="A4929">
        <f>[1]!hospitalinfo[[#This Row],[Facility ID]]</f>
        <v>671300</v>
      </c>
      <c r="B4929" t="str">
        <f>[1]!hospitalinfo[[#This Row],[State]]</f>
        <v>TX</v>
      </c>
      <c r="C4929" t="str">
        <f>[1]!hospitalinfo[[#This Row],[Hospital Type]]</f>
        <v>Critical Access Hospitals</v>
      </c>
      <c r="D4929" t="str">
        <f>[1]!hospitalinfo[[#This Row],[Hospital Ownership]]</f>
        <v>Government - Hospital District or Authority</v>
      </c>
      <c r="E4929" t="str" cm="1">
        <f t="array" ref="E4929">_xlfn.IFNA(_xlfn.XLOOKUP(1,([1]!hcahps[Facility ID] = clean[[#This Row],[Facility ID]]) * ([1]!hcahps[HCAHPS Measure ID] = "H_HSP_RATING_LINEAR_SCORE"), [1]!hcahps[HCAHPS Linear Mean Value]), "No Match")</f>
        <v>Not Available</v>
      </c>
      <c r="F4929" cm="1">
        <f t="array" ref="F4929">_xlfn.IFNA(_xlfn.XLOOKUP(1,([1]!readmissions[Facility ID] = clean[[#This Row],[Facility ID]]) * ([1]!readmissions[Measure ID] = "Hybrid_HWR"), [1]!readmissions[Score]), "No Match")</f>
        <v>15.1</v>
      </c>
    </row>
    <row r="4930" spans="1:6" x14ac:dyDescent="0.2">
      <c r="A4930">
        <f>[1]!hospitalinfo[[#This Row],[Facility ID]]</f>
        <v>671301</v>
      </c>
      <c r="B4930" t="str">
        <f>[1]!hospitalinfo[[#This Row],[State]]</f>
        <v>TX</v>
      </c>
      <c r="C4930" t="str">
        <f>[1]!hospitalinfo[[#This Row],[Hospital Type]]</f>
        <v>Critical Access Hospitals</v>
      </c>
      <c r="D4930" t="str">
        <f>[1]!hospitalinfo[[#This Row],[Hospital Ownership]]</f>
        <v>Government - Hospital District or Authority</v>
      </c>
      <c r="E4930" t="str" cm="1">
        <f t="array" ref="E4930">_xlfn.IFNA(_xlfn.XLOOKUP(1,([1]!hcahps[Facility ID] = clean[[#This Row],[Facility ID]]) * ([1]!hcahps[HCAHPS Measure ID] = "H_HSP_RATING_LINEAR_SCORE"), [1]!hcahps[HCAHPS Linear Mean Value]), "No Match")</f>
        <v>Not Available</v>
      </c>
      <c r="F4930" t="str" cm="1">
        <f t="array" ref="F4930">_xlfn.IFNA(_xlfn.XLOOKUP(1,([1]!readmissions[Facility ID] = clean[[#This Row],[Facility ID]]) * ([1]!readmissions[Measure ID] = "Hybrid_HWR"), [1]!readmissions[Score]), "No Match")</f>
        <v>Not Available</v>
      </c>
    </row>
    <row r="4931" spans="1:6" x14ac:dyDescent="0.2">
      <c r="A4931">
        <f>[1]!hospitalinfo[[#This Row],[Facility ID]]</f>
        <v>671302</v>
      </c>
      <c r="B4931" t="str">
        <f>[1]!hospitalinfo[[#This Row],[State]]</f>
        <v>TX</v>
      </c>
      <c r="C4931" t="str">
        <f>[1]!hospitalinfo[[#This Row],[Hospital Type]]</f>
        <v>Critical Access Hospitals</v>
      </c>
      <c r="D4931" t="str">
        <f>[1]!hospitalinfo[[#This Row],[Hospital Ownership]]</f>
        <v>Government - Hospital District or Authority</v>
      </c>
      <c r="E4931" t="str" cm="1">
        <f t="array" ref="E4931">_xlfn.IFNA(_xlfn.XLOOKUP(1,([1]!hcahps[Facility ID] = clean[[#This Row],[Facility ID]]) * ([1]!hcahps[HCAHPS Measure ID] = "H_HSP_RATING_LINEAR_SCORE"), [1]!hcahps[HCAHPS Linear Mean Value]), "No Match")</f>
        <v>Not Available</v>
      </c>
      <c r="F4931" t="str" cm="1">
        <f t="array" ref="F4931">_xlfn.IFNA(_xlfn.XLOOKUP(1,([1]!readmissions[Facility ID] = clean[[#This Row],[Facility ID]]) * ([1]!readmissions[Measure ID] = "Hybrid_HWR"), [1]!readmissions[Score]), "No Match")</f>
        <v>Not Available</v>
      </c>
    </row>
    <row r="4932" spans="1:6" x14ac:dyDescent="0.2">
      <c r="A4932">
        <f>[1]!hospitalinfo[[#This Row],[Facility ID]]</f>
        <v>671303</v>
      </c>
      <c r="B4932" t="str">
        <f>[1]!hospitalinfo[[#This Row],[State]]</f>
        <v>TX</v>
      </c>
      <c r="C4932" t="str">
        <f>[1]!hospitalinfo[[#This Row],[Hospital Type]]</f>
        <v>Critical Access Hospitals</v>
      </c>
      <c r="D4932" t="str">
        <f>[1]!hospitalinfo[[#This Row],[Hospital Ownership]]</f>
        <v>Government - Hospital District or Authority</v>
      </c>
      <c r="E4932" t="str" cm="1">
        <f t="array" ref="E4932">_xlfn.IFNA(_xlfn.XLOOKUP(1,([1]!hcahps[Facility ID] = clean[[#This Row],[Facility ID]]) * ([1]!hcahps[HCAHPS Measure ID] = "H_HSP_RATING_LINEAR_SCORE"), [1]!hcahps[HCAHPS Linear Mean Value]), "No Match")</f>
        <v>Not Available</v>
      </c>
      <c r="F4932" t="str" cm="1">
        <f t="array" ref="F4932">_xlfn.IFNA(_xlfn.XLOOKUP(1,([1]!readmissions[Facility ID] = clean[[#This Row],[Facility ID]]) * ([1]!readmissions[Measure ID] = "Hybrid_HWR"), [1]!readmissions[Score]), "No Match")</f>
        <v>Not Available</v>
      </c>
    </row>
    <row r="4933" spans="1:6" x14ac:dyDescent="0.2">
      <c r="A4933" t="str">
        <f>[1]!hospitalinfo[[#This Row],[Facility ID]]</f>
        <v>45060F</v>
      </c>
      <c r="B4933" t="str">
        <f>[1]!hospitalinfo[[#This Row],[State]]</f>
        <v>TX</v>
      </c>
      <c r="C4933" t="str">
        <f>[1]!hospitalinfo[[#This Row],[Hospital Type]]</f>
        <v>Acute Care - Veterans Administration</v>
      </c>
      <c r="D4933" t="str">
        <f>[1]!hospitalinfo[[#This Row],[Hospital Ownership]]</f>
        <v>Veterans Health Administration</v>
      </c>
      <c r="E4933" cm="1">
        <f t="array" ref="E4933">_xlfn.IFNA(_xlfn.XLOOKUP(1,([1]!hcahps[Facility ID] = clean[[#This Row],[Facility ID]]) * ([1]!hcahps[HCAHPS Measure ID] = "H_HSP_RATING_LINEAR_SCORE"), [1]!hcahps[HCAHPS Linear Mean Value]), "No Match")</f>
        <v>93</v>
      </c>
      <c r="F4933" cm="1">
        <f t="array" ref="F4933">_xlfn.IFNA(_xlfn.XLOOKUP(1,([1]!readmissions[Facility ID] = clean[[#This Row],[Facility ID]]) * ([1]!readmissions[Measure ID] = "Hybrid_HWR"), [1]!readmissions[Score]), "No Match")</f>
        <v>15.4</v>
      </c>
    </row>
    <row r="4934" spans="1:6" x14ac:dyDescent="0.2">
      <c r="A4934" t="str">
        <f>[1]!hospitalinfo[[#This Row],[Facility ID]]</f>
        <v>45066F</v>
      </c>
      <c r="B4934" t="str">
        <f>[1]!hospitalinfo[[#This Row],[State]]</f>
        <v>TX</v>
      </c>
      <c r="C4934" t="str">
        <f>[1]!hospitalinfo[[#This Row],[Hospital Type]]</f>
        <v>Acute Care - Veterans Administration</v>
      </c>
      <c r="D4934" t="str">
        <f>[1]!hospitalinfo[[#This Row],[Hospital Ownership]]</f>
        <v>Veterans Health Administration</v>
      </c>
      <c r="E4934" cm="1">
        <f t="array" ref="E4934">_xlfn.IFNA(_xlfn.XLOOKUP(1,([1]!hcahps[Facility ID] = clean[[#This Row],[Facility ID]]) * ([1]!hcahps[HCAHPS Measure ID] = "H_HSP_RATING_LINEAR_SCORE"), [1]!hcahps[HCAHPS Linear Mean Value]), "No Match")</f>
        <v>87</v>
      </c>
      <c r="F4934" cm="1">
        <f t="array" ref="F4934">_xlfn.IFNA(_xlfn.XLOOKUP(1,([1]!readmissions[Facility ID] = clean[[#This Row],[Facility ID]]) * ([1]!readmissions[Measure ID] = "Hybrid_HWR"), [1]!readmissions[Score]), "No Match")</f>
        <v>15.3</v>
      </c>
    </row>
    <row r="4935" spans="1:6" x14ac:dyDescent="0.2">
      <c r="A4935" t="str">
        <f>[1]!hospitalinfo[[#This Row],[Facility ID]]</f>
        <v>45068F</v>
      </c>
      <c r="B4935" t="str">
        <f>[1]!hospitalinfo[[#This Row],[State]]</f>
        <v>TX</v>
      </c>
      <c r="C4935" t="str">
        <f>[1]!hospitalinfo[[#This Row],[Hospital Type]]</f>
        <v>Acute Care - Department of Defense</v>
      </c>
      <c r="D4935" t="str">
        <f>[1]!hospitalinfo[[#This Row],[Hospital Ownership]]</f>
        <v>Department of Defense</v>
      </c>
      <c r="E4935" cm="1">
        <f t="array" ref="E4935">_xlfn.IFNA(_xlfn.XLOOKUP(1,([1]!hcahps[Facility ID] = clean[[#This Row],[Facility ID]]) * ([1]!hcahps[HCAHPS Measure ID] = "H_HSP_RATING_LINEAR_SCORE"), [1]!hcahps[HCAHPS Linear Mean Value]), "No Match")</f>
        <v>94</v>
      </c>
      <c r="F4935" t="str" cm="1">
        <f t="array" ref="F4935">_xlfn.IFNA(_xlfn.XLOOKUP(1,([1]!readmissions[Facility ID] = clean[[#This Row],[Facility ID]]) * ([1]!readmissions[Measure ID] = "Hybrid_HWR"), [1]!readmissions[Score]), "No Match")</f>
        <v>Not Available</v>
      </c>
    </row>
    <row r="4936" spans="1:6" x14ac:dyDescent="0.2">
      <c r="A4936" t="str">
        <f>[1]!hospitalinfo[[#This Row],[Facility ID]]</f>
        <v>45069F</v>
      </c>
      <c r="B4936" t="str">
        <f>[1]!hospitalinfo[[#This Row],[State]]</f>
        <v>TX</v>
      </c>
      <c r="C4936" t="str">
        <f>[1]!hospitalinfo[[#This Row],[Hospital Type]]</f>
        <v>Acute Care - Department of Defense</v>
      </c>
      <c r="D4936" t="str">
        <f>[1]!hospitalinfo[[#This Row],[Hospital Ownership]]</f>
        <v>Department of Defense</v>
      </c>
      <c r="E4936" cm="1">
        <f t="array" ref="E4936">_xlfn.IFNA(_xlfn.XLOOKUP(1,([1]!hcahps[Facility ID] = clean[[#This Row],[Facility ID]]) * ([1]!hcahps[HCAHPS Measure ID] = "H_HSP_RATING_LINEAR_SCORE"), [1]!hcahps[HCAHPS Linear Mean Value]), "No Match")</f>
        <v>94</v>
      </c>
      <c r="F4936" t="str" cm="1">
        <f t="array" ref="F4936">_xlfn.IFNA(_xlfn.XLOOKUP(1,([1]!readmissions[Facility ID] = clean[[#This Row],[Facility ID]]) * ([1]!readmissions[Measure ID] = "Hybrid_HWR"), [1]!readmissions[Score]), "No Match")</f>
        <v>Not Available</v>
      </c>
    </row>
    <row r="4937" spans="1:6" x14ac:dyDescent="0.2">
      <c r="A4937" t="str">
        <f>[1]!hospitalinfo[[#This Row],[Facility ID]]</f>
        <v>45070F</v>
      </c>
      <c r="B4937" t="str">
        <f>[1]!hospitalinfo[[#This Row],[State]]</f>
        <v>TX</v>
      </c>
      <c r="C4937" t="str">
        <f>[1]!hospitalinfo[[#This Row],[Hospital Type]]</f>
        <v>Acute Care - Department of Defense</v>
      </c>
      <c r="D4937" t="str">
        <f>[1]!hospitalinfo[[#This Row],[Hospital Ownership]]</f>
        <v>Department of Defense</v>
      </c>
      <c r="E4937" cm="1">
        <f t="array" ref="E4937">_xlfn.IFNA(_xlfn.XLOOKUP(1,([1]!hcahps[Facility ID] = clean[[#This Row],[Facility ID]]) * ([1]!hcahps[HCAHPS Measure ID] = "H_HSP_RATING_LINEAR_SCORE"), [1]!hcahps[HCAHPS Linear Mean Value]), "No Match")</f>
        <v>92</v>
      </c>
      <c r="F4937" t="str" cm="1">
        <f t="array" ref="F4937">_xlfn.IFNA(_xlfn.XLOOKUP(1,([1]!readmissions[Facility ID] = clean[[#This Row],[Facility ID]]) * ([1]!readmissions[Measure ID] = "Hybrid_HWR"), [1]!readmissions[Score]), "No Match")</f>
        <v>Not Available</v>
      </c>
    </row>
    <row r="4938" spans="1:6" x14ac:dyDescent="0.2">
      <c r="A4938" t="str">
        <f>[1]!hospitalinfo[[#This Row],[Facility ID]]</f>
        <v>45074F</v>
      </c>
      <c r="B4938" t="str">
        <f>[1]!hospitalinfo[[#This Row],[State]]</f>
        <v>TX</v>
      </c>
      <c r="C4938" t="str">
        <f>[1]!hospitalinfo[[#This Row],[Hospital Type]]</f>
        <v>Acute Care - Veterans Administration</v>
      </c>
      <c r="D4938" t="str">
        <f>[1]!hospitalinfo[[#This Row],[Hospital Ownership]]</f>
        <v>Veterans Health Administration</v>
      </c>
      <c r="E4938" cm="1">
        <f t="array" ref="E4938">_xlfn.IFNA(_xlfn.XLOOKUP(1,([1]!hcahps[Facility ID] = clean[[#This Row],[Facility ID]]) * ([1]!hcahps[HCAHPS Measure ID] = "H_HSP_RATING_LINEAR_SCORE"), [1]!hcahps[HCAHPS Linear Mean Value]), "No Match")</f>
        <v>88</v>
      </c>
      <c r="F4938" cm="1">
        <f t="array" ref="F4938">_xlfn.IFNA(_xlfn.XLOOKUP(1,([1]!readmissions[Facility ID] = clean[[#This Row],[Facility ID]]) * ([1]!readmissions[Measure ID] = "Hybrid_HWR"), [1]!readmissions[Score]), "No Match")</f>
        <v>15.1</v>
      </c>
    </row>
    <row r="4939" spans="1:6" x14ac:dyDescent="0.2">
      <c r="A4939" t="str">
        <f>[1]!hospitalinfo[[#This Row],[Facility ID]]</f>
        <v>45086F</v>
      </c>
      <c r="B4939" t="str">
        <f>[1]!hospitalinfo[[#This Row],[State]]</f>
        <v>TX</v>
      </c>
      <c r="C4939" t="str">
        <f>[1]!hospitalinfo[[#This Row],[Hospital Type]]</f>
        <v>Acute Care - Veterans Administration</v>
      </c>
      <c r="D4939" t="str">
        <f>[1]!hospitalinfo[[#This Row],[Hospital Ownership]]</f>
        <v>Veterans Health Administration</v>
      </c>
      <c r="E4939" cm="1">
        <f t="array" ref="E4939">_xlfn.IFNA(_xlfn.XLOOKUP(1,([1]!hcahps[Facility ID] = clean[[#This Row],[Facility ID]]) * ([1]!hcahps[HCAHPS Measure ID] = "H_HSP_RATING_LINEAR_SCORE"), [1]!hcahps[HCAHPS Linear Mean Value]), "No Match")</f>
        <v>92</v>
      </c>
      <c r="F4939" cm="1">
        <f t="array" ref="F4939">_xlfn.IFNA(_xlfn.XLOOKUP(1,([1]!readmissions[Facility ID] = clean[[#This Row],[Facility ID]]) * ([1]!readmissions[Measure ID] = "Hybrid_HWR"), [1]!readmissions[Score]), "No Match")</f>
        <v>14.4</v>
      </c>
    </row>
    <row r="4940" spans="1:6" x14ac:dyDescent="0.2">
      <c r="A4940" t="str">
        <f>[1]!hospitalinfo[[#This Row],[Facility ID]]</f>
        <v>45090F</v>
      </c>
      <c r="B4940" t="str">
        <f>[1]!hospitalinfo[[#This Row],[State]]</f>
        <v>TX</v>
      </c>
      <c r="C4940" t="str">
        <f>[1]!hospitalinfo[[#This Row],[Hospital Type]]</f>
        <v>Acute Care - Veterans Administration</v>
      </c>
      <c r="D4940" t="str">
        <f>[1]!hospitalinfo[[#This Row],[Hospital Ownership]]</f>
        <v>Veterans Health Administration</v>
      </c>
      <c r="E4940" cm="1">
        <f t="array" ref="E4940">_xlfn.IFNA(_xlfn.XLOOKUP(1,([1]!hcahps[Facility ID] = clean[[#This Row],[Facility ID]]) * ([1]!hcahps[HCAHPS Measure ID] = "H_HSP_RATING_LINEAR_SCORE"), [1]!hcahps[HCAHPS Linear Mean Value]), "No Match")</f>
        <v>91</v>
      </c>
      <c r="F4940" cm="1">
        <f t="array" ref="F4940">_xlfn.IFNA(_xlfn.XLOOKUP(1,([1]!readmissions[Facility ID] = clean[[#This Row],[Facility ID]]) * ([1]!readmissions[Measure ID] = "Hybrid_HWR"), [1]!readmissions[Score]), "No Match")</f>
        <v>15.3</v>
      </c>
    </row>
    <row r="4941" spans="1:6" x14ac:dyDescent="0.2">
      <c r="A4941">
        <f>[1]!hospitalinfo[[#This Row],[Facility ID]]</f>
        <v>460001</v>
      </c>
      <c r="B4941" t="str">
        <f>[1]!hospitalinfo[[#This Row],[State]]</f>
        <v>UT</v>
      </c>
      <c r="C4941" t="str">
        <f>[1]!hospitalinfo[[#This Row],[Hospital Type]]</f>
        <v>Acute Care Hospitals</v>
      </c>
      <c r="D4941" t="str">
        <f>[1]!hospitalinfo[[#This Row],[Hospital Ownership]]</f>
        <v>Voluntary non-profit - Private</v>
      </c>
      <c r="E4941" cm="1">
        <f t="array" ref="E4941">_xlfn.IFNA(_xlfn.XLOOKUP(1,([1]!hcahps[Facility ID] = clean[[#This Row],[Facility ID]]) * ([1]!hcahps[HCAHPS Measure ID] = "H_HSP_RATING_LINEAR_SCORE"), [1]!hcahps[HCAHPS Linear Mean Value]), "No Match")</f>
        <v>92</v>
      </c>
      <c r="F4941" cm="1">
        <f t="array" ref="F4941">_xlfn.IFNA(_xlfn.XLOOKUP(1,([1]!readmissions[Facility ID] = clean[[#This Row],[Facility ID]]) * ([1]!readmissions[Measure ID] = "Hybrid_HWR"), [1]!readmissions[Score]), "No Match")</f>
        <v>13.3</v>
      </c>
    </row>
    <row r="4942" spans="1:6" x14ac:dyDescent="0.2">
      <c r="A4942">
        <f>[1]!hospitalinfo[[#This Row],[Facility ID]]</f>
        <v>460003</v>
      </c>
      <c r="B4942" t="str">
        <f>[1]!hospitalinfo[[#This Row],[State]]</f>
        <v>UT</v>
      </c>
      <c r="C4942" t="str">
        <f>[1]!hospitalinfo[[#This Row],[Hospital Type]]</f>
        <v>Acute Care Hospitals</v>
      </c>
      <c r="D4942" t="str">
        <f>[1]!hospitalinfo[[#This Row],[Hospital Ownership]]</f>
        <v>Proprietary</v>
      </c>
      <c r="E4942" cm="1">
        <f t="array" ref="E4942">_xlfn.IFNA(_xlfn.XLOOKUP(1,([1]!hcahps[Facility ID] = clean[[#This Row],[Facility ID]]) * ([1]!hcahps[HCAHPS Measure ID] = "H_HSP_RATING_LINEAR_SCORE"), [1]!hcahps[HCAHPS Linear Mean Value]), "No Match")</f>
        <v>85</v>
      </c>
      <c r="F4942" cm="1">
        <f t="array" ref="F4942">_xlfn.IFNA(_xlfn.XLOOKUP(1,([1]!readmissions[Facility ID] = clean[[#This Row],[Facility ID]]) * ([1]!readmissions[Measure ID] = "Hybrid_HWR"), [1]!readmissions[Score]), "No Match")</f>
        <v>14.5</v>
      </c>
    </row>
    <row r="4943" spans="1:6" x14ac:dyDescent="0.2">
      <c r="A4943">
        <f>[1]!hospitalinfo[[#This Row],[Facility ID]]</f>
        <v>460004</v>
      </c>
      <c r="B4943" t="str">
        <f>[1]!hospitalinfo[[#This Row],[State]]</f>
        <v>UT</v>
      </c>
      <c r="C4943" t="str">
        <f>[1]!hospitalinfo[[#This Row],[Hospital Type]]</f>
        <v>Acute Care Hospitals</v>
      </c>
      <c r="D4943" t="str">
        <f>[1]!hospitalinfo[[#This Row],[Hospital Ownership]]</f>
        <v>Voluntary non-profit - Private</v>
      </c>
      <c r="E4943" cm="1">
        <f t="array" ref="E4943">_xlfn.IFNA(_xlfn.XLOOKUP(1,([1]!hcahps[Facility ID] = clean[[#This Row],[Facility ID]]) * ([1]!hcahps[HCAHPS Measure ID] = "H_HSP_RATING_LINEAR_SCORE"), [1]!hcahps[HCAHPS Linear Mean Value]), "No Match")</f>
        <v>90</v>
      </c>
      <c r="F4943" cm="1">
        <f t="array" ref="F4943">_xlfn.IFNA(_xlfn.XLOOKUP(1,([1]!readmissions[Facility ID] = clean[[#This Row],[Facility ID]]) * ([1]!readmissions[Measure ID] = "Hybrid_HWR"), [1]!readmissions[Score]), "No Match")</f>
        <v>13.5</v>
      </c>
    </row>
    <row r="4944" spans="1:6" x14ac:dyDescent="0.2">
      <c r="A4944">
        <f>[1]!hospitalinfo[[#This Row],[Facility ID]]</f>
        <v>460005</v>
      </c>
      <c r="B4944" t="str">
        <f>[1]!hospitalinfo[[#This Row],[State]]</f>
        <v>UT</v>
      </c>
      <c r="C4944" t="str">
        <f>[1]!hospitalinfo[[#This Row],[Hospital Type]]</f>
        <v>Acute Care Hospitals</v>
      </c>
      <c r="D4944" t="str">
        <f>[1]!hospitalinfo[[#This Row],[Hospital Ownership]]</f>
        <v>Proprietary</v>
      </c>
      <c r="E4944" cm="1">
        <f t="array" ref="E4944">_xlfn.IFNA(_xlfn.XLOOKUP(1,([1]!hcahps[Facility ID] = clean[[#This Row],[Facility ID]]) * ([1]!hcahps[HCAHPS Measure ID] = "H_HSP_RATING_LINEAR_SCORE"), [1]!hcahps[HCAHPS Linear Mean Value]), "No Match")</f>
        <v>87</v>
      </c>
      <c r="F4944" cm="1">
        <f t="array" ref="F4944">_xlfn.IFNA(_xlfn.XLOOKUP(1,([1]!readmissions[Facility ID] = clean[[#This Row],[Facility ID]]) * ([1]!readmissions[Measure ID] = "Hybrid_HWR"), [1]!readmissions[Score]), "No Match")</f>
        <v>14.6</v>
      </c>
    </row>
    <row r="4945" spans="1:6" x14ac:dyDescent="0.2">
      <c r="A4945">
        <f>[1]!hospitalinfo[[#This Row],[Facility ID]]</f>
        <v>460006</v>
      </c>
      <c r="B4945" t="str">
        <f>[1]!hospitalinfo[[#This Row],[State]]</f>
        <v>UT</v>
      </c>
      <c r="C4945" t="str">
        <f>[1]!hospitalinfo[[#This Row],[Hospital Type]]</f>
        <v>Acute Care Hospitals</v>
      </c>
      <c r="D4945" t="str">
        <f>[1]!hospitalinfo[[#This Row],[Hospital Ownership]]</f>
        <v>Voluntary non-profit - Private</v>
      </c>
      <c r="E4945" cm="1">
        <f t="array" ref="E4945">_xlfn.IFNA(_xlfn.XLOOKUP(1,([1]!hcahps[Facility ID] = clean[[#This Row],[Facility ID]]) * ([1]!hcahps[HCAHPS Measure ID] = "H_HSP_RATING_LINEAR_SCORE"), [1]!hcahps[HCAHPS Linear Mean Value]), "No Match")</f>
        <v>90</v>
      </c>
      <c r="F4945" cm="1">
        <f t="array" ref="F4945">_xlfn.IFNA(_xlfn.XLOOKUP(1,([1]!readmissions[Facility ID] = clean[[#This Row],[Facility ID]]) * ([1]!readmissions[Measure ID] = "Hybrid_HWR"), [1]!readmissions[Score]), "No Match")</f>
        <v>13.9</v>
      </c>
    </row>
    <row r="4946" spans="1:6" x14ac:dyDescent="0.2">
      <c r="A4946">
        <f>[1]!hospitalinfo[[#This Row],[Facility ID]]</f>
        <v>460007</v>
      </c>
      <c r="B4946" t="str">
        <f>[1]!hospitalinfo[[#This Row],[State]]</f>
        <v>UT</v>
      </c>
      <c r="C4946" t="str">
        <f>[1]!hospitalinfo[[#This Row],[Hospital Type]]</f>
        <v>Acute Care Hospitals</v>
      </c>
      <c r="D4946" t="str">
        <f>[1]!hospitalinfo[[#This Row],[Hospital Ownership]]</f>
        <v>Voluntary non-profit - Private</v>
      </c>
      <c r="E4946" cm="1">
        <f t="array" ref="E4946">_xlfn.IFNA(_xlfn.XLOOKUP(1,([1]!hcahps[Facility ID] = clean[[#This Row],[Facility ID]]) * ([1]!hcahps[HCAHPS Measure ID] = "H_HSP_RATING_LINEAR_SCORE"), [1]!hcahps[HCAHPS Linear Mean Value]), "No Match")</f>
        <v>94</v>
      </c>
      <c r="F4946" cm="1">
        <f t="array" ref="F4946">_xlfn.IFNA(_xlfn.XLOOKUP(1,([1]!readmissions[Facility ID] = clean[[#This Row],[Facility ID]]) * ([1]!readmissions[Measure ID] = "Hybrid_HWR"), [1]!readmissions[Score]), "No Match")</f>
        <v>14.9</v>
      </c>
    </row>
    <row r="4947" spans="1:6" x14ac:dyDescent="0.2">
      <c r="A4947">
        <f>[1]!hospitalinfo[[#This Row],[Facility ID]]</f>
        <v>460009</v>
      </c>
      <c r="B4947" t="str">
        <f>[1]!hospitalinfo[[#This Row],[State]]</f>
        <v>UT</v>
      </c>
      <c r="C4947" t="str">
        <f>[1]!hospitalinfo[[#This Row],[Hospital Type]]</f>
        <v>Acute Care Hospitals</v>
      </c>
      <c r="D4947" t="str">
        <f>[1]!hospitalinfo[[#This Row],[Hospital Ownership]]</f>
        <v>Government - State</v>
      </c>
      <c r="E4947" cm="1">
        <f t="array" ref="E4947">_xlfn.IFNA(_xlfn.XLOOKUP(1,([1]!hcahps[Facility ID] = clean[[#This Row],[Facility ID]]) * ([1]!hcahps[HCAHPS Measure ID] = "H_HSP_RATING_LINEAR_SCORE"), [1]!hcahps[HCAHPS Linear Mean Value]), "No Match")</f>
        <v>91</v>
      </c>
      <c r="F4947" cm="1">
        <f t="array" ref="F4947">_xlfn.IFNA(_xlfn.XLOOKUP(1,([1]!readmissions[Facility ID] = clean[[#This Row],[Facility ID]]) * ([1]!readmissions[Measure ID] = "Hybrid_HWR"), [1]!readmissions[Score]), "No Match")</f>
        <v>14.7</v>
      </c>
    </row>
    <row r="4948" spans="1:6" x14ac:dyDescent="0.2">
      <c r="A4948">
        <f>[1]!hospitalinfo[[#This Row],[Facility ID]]</f>
        <v>460010</v>
      </c>
      <c r="B4948" t="str">
        <f>[1]!hospitalinfo[[#This Row],[State]]</f>
        <v>UT</v>
      </c>
      <c r="C4948" t="str">
        <f>[1]!hospitalinfo[[#This Row],[Hospital Type]]</f>
        <v>Acute Care Hospitals</v>
      </c>
      <c r="D4948" t="str">
        <f>[1]!hospitalinfo[[#This Row],[Hospital Ownership]]</f>
        <v>Voluntary non-profit - Private</v>
      </c>
      <c r="E4948" cm="1">
        <f t="array" ref="E4948">_xlfn.IFNA(_xlfn.XLOOKUP(1,([1]!hcahps[Facility ID] = clean[[#This Row],[Facility ID]]) * ([1]!hcahps[HCAHPS Measure ID] = "H_HSP_RATING_LINEAR_SCORE"), [1]!hcahps[HCAHPS Linear Mean Value]), "No Match")</f>
        <v>90</v>
      </c>
      <c r="F4948" cm="1">
        <f t="array" ref="F4948">_xlfn.IFNA(_xlfn.XLOOKUP(1,([1]!readmissions[Facility ID] = clean[[#This Row],[Facility ID]]) * ([1]!readmissions[Measure ID] = "Hybrid_HWR"), [1]!readmissions[Score]), "No Match")</f>
        <v>13.1</v>
      </c>
    </row>
    <row r="4949" spans="1:6" x14ac:dyDescent="0.2">
      <c r="A4949">
        <f>[1]!hospitalinfo[[#This Row],[Facility ID]]</f>
        <v>460011</v>
      </c>
      <c r="B4949" t="str">
        <f>[1]!hospitalinfo[[#This Row],[State]]</f>
        <v>UT</v>
      </c>
      <c r="C4949" t="str">
        <f>[1]!hospitalinfo[[#This Row],[Hospital Type]]</f>
        <v>Acute Care Hospitals</v>
      </c>
      <c r="D4949" t="str">
        <f>[1]!hospitalinfo[[#This Row],[Hospital Ownership]]</f>
        <v>Proprietary</v>
      </c>
      <c r="E4949" cm="1">
        <f t="array" ref="E4949">_xlfn.IFNA(_xlfn.XLOOKUP(1,([1]!hcahps[Facility ID] = clean[[#This Row],[Facility ID]]) * ([1]!hcahps[HCAHPS Measure ID] = "H_HSP_RATING_LINEAR_SCORE"), [1]!hcahps[HCAHPS Linear Mean Value]), "No Match")</f>
        <v>84</v>
      </c>
      <c r="F4949" cm="1">
        <f t="array" ref="F4949">_xlfn.IFNA(_xlfn.XLOOKUP(1,([1]!readmissions[Facility ID] = clean[[#This Row],[Facility ID]]) * ([1]!readmissions[Measure ID] = "Hybrid_HWR"), [1]!readmissions[Score]), "No Match")</f>
        <v>15</v>
      </c>
    </row>
    <row r="4950" spans="1:6" x14ac:dyDescent="0.2">
      <c r="A4950">
        <f>[1]!hospitalinfo[[#This Row],[Facility ID]]</f>
        <v>460013</v>
      </c>
      <c r="B4950" t="str">
        <f>[1]!hospitalinfo[[#This Row],[State]]</f>
        <v>UT</v>
      </c>
      <c r="C4950" t="str">
        <f>[1]!hospitalinfo[[#This Row],[Hospital Type]]</f>
        <v>Acute Care Hospitals</v>
      </c>
      <c r="D4950" t="str">
        <f>[1]!hospitalinfo[[#This Row],[Hospital Ownership]]</f>
        <v>Proprietary</v>
      </c>
      <c r="E4950" cm="1">
        <f t="array" ref="E4950">_xlfn.IFNA(_xlfn.XLOOKUP(1,([1]!hcahps[Facility ID] = clean[[#This Row],[Facility ID]]) * ([1]!hcahps[HCAHPS Measure ID] = "H_HSP_RATING_LINEAR_SCORE"), [1]!hcahps[HCAHPS Linear Mean Value]), "No Match")</f>
        <v>90</v>
      </c>
      <c r="F4950" cm="1">
        <f t="array" ref="F4950">_xlfn.IFNA(_xlfn.XLOOKUP(1,([1]!readmissions[Facility ID] = clean[[#This Row],[Facility ID]]) * ([1]!readmissions[Measure ID] = "Hybrid_HWR"), [1]!readmissions[Score]), "No Match")</f>
        <v>15</v>
      </c>
    </row>
    <row r="4951" spans="1:6" x14ac:dyDescent="0.2">
      <c r="A4951">
        <f>[1]!hospitalinfo[[#This Row],[Facility ID]]</f>
        <v>460014</v>
      </c>
      <c r="B4951" t="str">
        <f>[1]!hospitalinfo[[#This Row],[State]]</f>
        <v>UT</v>
      </c>
      <c r="C4951" t="str">
        <f>[1]!hospitalinfo[[#This Row],[Hospital Type]]</f>
        <v>Acute Care Hospitals</v>
      </c>
      <c r="D4951" t="str">
        <f>[1]!hospitalinfo[[#This Row],[Hospital Ownership]]</f>
        <v>Proprietary</v>
      </c>
      <c r="E4951" cm="1">
        <f t="array" ref="E4951">_xlfn.IFNA(_xlfn.XLOOKUP(1,([1]!hcahps[Facility ID] = clean[[#This Row],[Facility ID]]) * ([1]!hcahps[HCAHPS Measure ID] = "H_HSP_RATING_LINEAR_SCORE"), [1]!hcahps[HCAHPS Linear Mean Value]), "No Match")</f>
        <v>89</v>
      </c>
      <c r="F4951" cm="1">
        <f t="array" ref="F4951">_xlfn.IFNA(_xlfn.XLOOKUP(1,([1]!readmissions[Facility ID] = clean[[#This Row],[Facility ID]]) * ([1]!readmissions[Measure ID] = "Hybrid_HWR"), [1]!readmissions[Score]), "No Match")</f>
        <v>14.4</v>
      </c>
    </row>
    <row r="4952" spans="1:6" x14ac:dyDescent="0.2">
      <c r="A4952">
        <f>[1]!hospitalinfo[[#This Row],[Facility ID]]</f>
        <v>460015</v>
      </c>
      <c r="B4952" t="str">
        <f>[1]!hospitalinfo[[#This Row],[State]]</f>
        <v>UT</v>
      </c>
      <c r="C4952" t="str">
        <f>[1]!hospitalinfo[[#This Row],[Hospital Type]]</f>
        <v>Acute Care Hospitals</v>
      </c>
      <c r="D4952" t="str">
        <f>[1]!hospitalinfo[[#This Row],[Hospital Ownership]]</f>
        <v>Voluntary non-profit - Private</v>
      </c>
      <c r="E4952" cm="1">
        <f t="array" ref="E4952">_xlfn.IFNA(_xlfn.XLOOKUP(1,([1]!hcahps[Facility ID] = clean[[#This Row],[Facility ID]]) * ([1]!hcahps[HCAHPS Measure ID] = "H_HSP_RATING_LINEAR_SCORE"), [1]!hcahps[HCAHPS Linear Mean Value]), "No Match")</f>
        <v>90</v>
      </c>
      <c r="F4952" cm="1">
        <f t="array" ref="F4952">_xlfn.IFNA(_xlfn.XLOOKUP(1,([1]!readmissions[Facility ID] = clean[[#This Row],[Facility ID]]) * ([1]!readmissions[Measure ID] = "Hybrid_HWR"), [1]!readmissions[Score]), "No Match")</f>
        <v>13.6</v>
      </c>
    </row>
    <row r="4953" spans="1:6" x14ac:dyDescent="0.2">
      <c r="A4953">
        <f>[1]!hospitalinfo[[#This Row],[Facility ID]]</f>
        <v>460017</v>
      </c>
      <c r="B4953" t="str">
        <f>[1]!hospitalinfo[[#This Row],[State]]</f>
        <v>UT</v>
      </c>
      <c r="C4953" t="str">
        <f>[1]!hospitalinfo[[#This Row],[Hospital Type]]</f>
        <v>Acute Care Hospitals</v>
      </c>
      <c r="D4953" t="str">
        <f>[1]!hospitalinfo[[#This Row],[Hospital Ownership]]</f>
        <v>Proprietary</v>
      </c>
      <c r="E4953" cm="1">
        <f t="array" ref="E4953">_xlfn.IFNA(_xlfn.XLOOKUP(1,([1]!hcahps[Facility ID] = clean[[#This Row],[Facility ID]]) * ([1]!hcahps[HCAHPS Measure ID] = "H_HSP_RATING_LINEAR_SCORE"), [1]!hcahps[HCAHPS Linear Mean Value]), "No Match")</f>
        <v>89</v>
      </c>
      <c r="F4953" cm="1">
        <f t="array" ref="F4953">_xlfn.IFNA(_xlfn.XLOOKUP(1,([1]!readmissions[Facility ID] = clean[[#This Row],[Facility ID]]) * ([1]!readmissions[Measure ID] = "Hybrid_HWR"), [1]!readmissions[Score]), "No Match")</f>
        <v>14.7</v>
      </c>
    </row>
    <row r="4954" spans="1:6" x14ac:dyDescent="0.2">
      <c r="A4954">
        <f>[1]!hospitalinfo[[#This Row],[Facility ID]]</f>
        <v>460019</v>
      </c>
      <c r="B4954" t="str">
        <f>[1]!hospitalinfo[[#This Row],[State]]</f>
        <v>UT</v>
      </c>
      <c r="C4954" t="str">
        <f>[1]!hospitalinfo[[#This Row],[Hospital Type]]</f>
        <v>Acute Care Hospitals</v>
      </c>
      <c r="D4954" t="str">
        <f>[1]!hospitalinfo[[#This Row],[Hospital Ownership]]</f>
        <v>Voluntary non-profit - Other</v>
      </c>
      <c r="E4954" cm="1">
        <f t="array" ref="E4954">_xlfn.IFNA(_xlfn.XLOOKUP(1,([1]!hcahps[Facility ID] = clean[[#This Row],[Facility ID]]) * ([1]!hcahps[HCAHPS Measure ID] = "H_HSP_RATING_LINEAR_SCORE"), [1]!hcahps[HCAHPS Linear Mean Value]), "No Match")</f>
        <v>85</v>
      </c>
      <c r="F4954" cm="1">
        <f t="array" ref="F4954">_xlfn.IFNA(_xlfn.XLOOKUP(1,([1]!readmissions[Facility ID] = clean[[#This Row],[Facility ID]]) * ([1]!readmissions[Measure ID] = "Hybrid_HWR"), [1]!readmissions[Score]), "No Match")</f>
        <v>14.4</v>
      </c>
    </row>
    <row r="4955" spans="1:6" x14ac:dyDescent="0.2">
      <c r="A4955">
        <f>[1]!hospitalinfo[[#This Row],[Facility ID]]</f>
        <v>460021</v>
      </c>
      <c r="B4955" t="str">
        <f>[1]!hospitalinfo[[#This Row],[State]]</f>
        <v>UT</v>
      </c>
      <c r="C4955" t="str">
        <f>[1]!hospitalinfo[[#This Row],[Hospital Type]]</f>
        <v>Acute Care Hospitals</v>
      </c>
      <c r="D4955" t="str">
        <f>[1]!hospitalinfo[[#This Row],[Hospital Ownership]]</f>
        <v>Voluntary non-profit - Private</v>
      </c>
      <c r="E4955" cm="1">
        <f t="array" ref="E4955">_xlfn.IFNA(_xlfn.XLOOKUP(1,([1]!hcahps[Facility ID] = clean[[#This Row],[Facility ID]]) * ([1]!hcahps[HCAHPS Measure ID] = "H_HSP_RATING_LINEAR_SCORE"), [1]!hcahps[HCAHPS Linear Mean Value]), "No Match")</f>
        <v>92</v>
      </c>
      <c r="F4955" cm="1">
        <f t="array" ref="F4955">_xlfn.IFNA(_xlfn.XLOOKUP(1,([1]!readmissions[Facility ID] = clean[[#This Row],[Facility ID]]) * ([1]!readmissions[Measure ID] = "Hybrid_HWR"), [1]!readmissions[Score]), "No Match")</f>
        <v>13.5</v>
      </c>
    </row>
    <row r="4956" spans="1:6" x14ac:dyDescent="0.2">
      <c r="A4956">
        <f>[1]!hospitalinfo[[#This Row],[Facility ID]]</f>
        <v>460023</v>
      </c>
      <c r="B4956" t="str">
        <f>[1]!hospitalinfo[[#This Row],[State]]</f>
        <v>UT</v>
      </c>
      <c r="C4956" t="str">
        <f>[1]!hospitalinfo[[#This Row],[Hospital Type]]</f>
        <v>Acute Care Hospitals</v>
      </c>
      <c r="D4956" t="str">
        <f>[1]!hospitalinfo[[#This Row],[Hospital Ownership]]</f>
        <v>Voluntary non-profit - Private</v>
      </c>
      <c r="E4956" cm="1">
        <f t="array" ref="E4956">_xlfn.IFNA(_xlfn.XLOOKUP(1,([1]!hcahps[Facility ID] = clean[[#This Row],[Facility ID]]) * ([1]!hcahps[HCAHPS Measure ID] = "H_HSP_RATING_LINEAR_SCORE"), [1]!hcahps[HCAHPS Linear Mean Value]), "No Match")</f>
        <v>90</v>
      </c>
      <c r="F4956" cm="1">
        <f t="array" ref="F4956">_xlfn.IFNA(_xlfn.XLOOKUP(1,([1]!readmissions[Facility ID] = clean[[#This Row],[Facility ID]]) * ([1]!readmissions[Measure ID] = "Hybrid_HWR"), [1]!readmissions[Score]), "No Match")</f>
        <v>14.1</v>
      </c>
    </row>
    <row r="4957" spans="1:6" x14ac:dyDescent="0.2">
      <c r="A4957">
        <f>[1]!hospitalinfo[[#This Row],[Facility ID]]</f>
        <v>460026</v>
      </c>
      <c r="B4957" t="str">
        <f>[1]!hospitalinfo[[#This Row],[State]]</f>
        <v>UT</v>
      </c>
      <c r="C4957" t="str">
        <f>[1]!hospitalinfo[[#This Row],[Hospital Type]]</f>
        <v>Acute Care Hospitals</v>
      </c>
      <c r="D4957" t="str">
        <f>[1]!hospitalinfo[[#This Row],[Hospital Ownership]]</f>
        <v>Voluntary non-profit - Private</v>
      </c>
      <c r="E4957" cm="1">
        <f t="array" ref="E4957">_xlfn.IFNA(_xlfn.XLOOKUP(1,([1]!hcahps[Facility ID] = clean[[#This Row],[Facility ID]]) * ([1]!hcahps[HCAHPS Measure ID] = "H_HSP_RATING_LINEAR_SCORE"), [1]!hcahps[HCAHPS Linear Mean Value]), "No Match")</f>
        <v>93</v>
      </c>
      <c r="F4957" cm="1">
        <f t="array" ref="F4957">_xlfn.IFNA(_xlfn.XLOOKUP(1,([1]!readmissions[Facility ID] = clean[[#This Row],[Facility ID]]) * ([1]!readmissions[Measure ID] = "Hybrid_HWR"), [1]!readmissions[Score]), "No Match")</f>
        <v>14.3</v>
      </c>
    </row>
    <row r="4958" spans="1:6" x14ac:dyDescent="0.2">
      <c r="A4958">
        <f>[1]!hospitalinfo[[#This Row],[Facility ID]]</f>
        <v>460030</v>
      </c>
      <c r="B4958" t="str">
        <f>[1]!hospitalinfo[[#This Row],[State]]</f>
        <v>UT</v>
      </c>
      <c r="C4958" t="str">
        <f>[1]!hospitalinfo[[#This Row],[Hospital Type]]</f>
        <v>Acute Care Hospitals</v>
      </c>
      <c r="D4958" t="str">
        <f>[1]!hospitalinfo[[#This Row],[Hospital Ownership]]</f>
        <v>Proprietary</v>
      </c>
      <c r="E4958" cm="1">
        <f t="array" ref="E4958">_xlfn.IFNA(_xlfn.XLOOKUP(1,([1]!hcahps[Facility ID] = clean[[#This Row],[Facility ID]]) * ([1]!hcahps[HCAHPS Measure ID] = "H_HSP_RATING_LINEAR_SCORE"), [1]!hcahps[HCAHPS Linear Mean Value]), "No Match")</f>
        <v>89</v>
      </c>
      <c r="F4958" cm="1">
        <f t="array" ref="F4958">_xlfn.IFNA(_xlfn.XLOOKUP(1,([1]!readmissions[Facility ID] = clean[[#This Row],[Facility ID]]) * ([1]!readmissions[Measure ID] = "Hybrid_HWR"), [1]!readmissions[Score]), "No Match")</f>
        <v>14.4</v>
      </c>
    </row>
    <row r="4959" spans="1:6" x14ac:dyDescent="0.2">
      <c r="A4959">
        <f>[1]!hospitalinfo[[#This Row],[Facility ID]]</f>
        <v>460039</v>
      </c>
      <c r="B4959" t="str">
        <f>[1]!hospitalinfo[[#This Row],[State]]</f>
        <v>UT</v>
      </c>
      <c r="C4959" t="str">
        <f>[1]!hospitalinfo[[#This Row],[Hospital Type]]</f>
        <v>Acute Care Hospitals</v>
      </c>
      <c r="D4959" t="str">
        <f>[1]!hospitalinfo[[#This Row],[Hospital Ownership]]</f>
        <v>Voluntary non-profit - Private</v>
      </c>
      <c r="E4959" t="str" cm="1">
        <f t="array" ref="E4959">_xlfn.IFNA(_xlfn.XLOOKUP(1,([1]!hcahps[Facility ID] = clean[[#This Row],[Facility ID]]) * ([1]!hcahps[HCAHPS Measure ID] = "H_HSP_RATING_LINEAR_SCORE"), [1]!hcahps[HCAHPS Linear Mean Value]), "No Match")</f>
        <v>Not Available</v>
      </c>
      <c r="F4959" cm="1">
        <f t="array" ref="F4959">_xlfn.IFNA(_xlfn.XLOOKUP(1,([1]!readmissions[Facility ID] = clean[[#This Row],[Facility ID]]) * ([1]!readmissions[Measure ID] = "Hybrid_HWR"), [1]!readmissions[Score]), "No Match")</f>
        <v>14.8</v>
      </c>
    </row>
    <row r="4960" spans="1:6" x14ac:dyDescent="0.2">
      <c r="A4960">
        <f>[1]!hospitalinfo[[#This Row],[Facility ID]]</f>
        <v>460041</v>
      </c>
      <c r="B4960" t="str">
        <f>[1]!hospitalinfo[[#This Row],[State]]</f>
        <v>UT</v>
      </c>
      <c r="C4960" t="str">
        <f>[1]!hospitalinfo[[#This Row],[Hospital Type]]</f>
        <v>Acute Care Hospitals</v>
      </c>
      <c r="D4960" t="str">
        <f>[1]!hospitalinfo[[#This Row],[Hospital Ownership]]</f>
        <v>Voluntary non-profit - Private</v>
      </c>
      <c r="E4960" cm="1">
        <f t="array" ref="E4960">_xlfn.IFNA(_xlfn.XLOOKUP(1,([1]!hcahps[Facility ID] = clean[[#This Row],[Facility ID]]) * ([1]!hcahps[HCAHPS Measure ID] = "H_HSP_RATING_LINEAR_SCORE"), [1]!hcahps[HCAHPS Linear Mean Value]), "No Match")</f>
        <v>83</v>
      </c>
      <c r="F4960" cm="1">
        <f t="array" ref="F4960">_xlfn.IFNA(_xlfn.XLOOKUP(1,([1]!readmissions[Facility ID] = clean[[#This Row],[Facility ID]]) * ([1]!readmissions[Measure ID] = "Hybrid_HWR"), [1]!readmissions[Score]), "No Match")</f>
        <v>15.1</v>
      </c>
    </row>
    <row r="4961" spans="1:6" x14ac:dyDescent="0.2">
      <c r="A4961">
        <f>[1]!hospitalinfo[[#This Row],[Facility ID]]</f>
        <v>460042</v>
      </c>
      <c r="B4961" t="str">
        <f>[1]!hospitalinfo[[#This Row],[State]]</f>
        <v>UT</v>
      </c>
      <c r="C4961" t="str">
        <f>[1]!hospitalinfo[[#This Row],[Hospital Type]]</f>
        <v>Acute Care Hospitals</v>
      </c>
      <c r="D4961" t="str">
        <f>[1]!hospitalinfo[[#This Row],[Hospital Ownership]]</f>
        <v>Voluntary non-profit - Other</v>
      </c>
      <c r="E4961" cm="1">
        <f t="array" ref="E4961">_xlfn.IFNA(_xlfn.XLOOKUP(1,([1]!hcahps[Facility ID] = clean[[#This Row],[Facility ID]]) * ([1]!hcahps[HCAHPS Measure ID] = "H_HSP_RATING_LINEAR_SCORE"), [1]!hcahps[HCAHPS Linear Mean Value]), "No Match")</f>
        <v>89</v>
      </c>
      <c r="F4961" cm="1">
        <f t="array" ref="F4961">_xlfn.IFNA(_xlfn.XLOOKUP(1,([1]!readmissions[Facility ID] = clean[[#This Row],[Facility ID]]) * ([1]!readmissions[Measure ID] = "Hybrid_HWR"), [1]!readmissions[Score]), "No Match")</f>
        <v>14.4</v>
      </c>
    </row>
    <row r="4962" spans="1:6" x14ac:dyDescent="0.2">
      <c r="A4962">
        <f>[1]!hospitalinfo[[#This Row],[Facility ID]]</f>
        <v>460043</v>
      </c>
      <c r="B4962" t="str">
        <f>[1]!hospitalinfo[[#This Row],[State]]</f>
        <v>UT</v>
      </c>
      <c r="C4962" t="str">
        <f>[1]!hospitalinfo[[#This Row],[Hospital Type]]</f>
        <v>Acute Care Hospitals</v>
      </c>
      <c r="D4962" t="str">
        <f>[1]!hospitalinfo[[#This Row],[Hospital Ownership]]</f>
        <v>Voluntary non-profit - Private</v>
      </c>
      <c r="E4962" t="str" cm="1">
        <f t="array" ref="E4962">_xlfn.IFNA(_xlfn.XLOOKUP(1,([1]!hcahps[Facility ID] = clean[[#This Row],[Facility ID]]) * ([1]!hcahps[HCAHPS Measure ID] = "H_HSP_RATING_LINEAR_SCORE"), [1]!hcahps[HCAHPS Linear Mean Value]), "No Match")</f>
        <v>Not Available</v>
      </c>
      <c r="F4962" t="str" cm="1">
        <f t="array" ref="F4962">_xlfn.IFNA(_xlfn.XLOOKUP(1,([1]!readmissions[Facility ID] = clean[[#This Row],[Facility ID]]) * ([1]!readmissions[Measure ID] = "Hybrid_HWR"), [1]!readmissions[Score]), "No Match")</f>
        <v>Not Available</v>
      </c>
    </row>
    <row r="4963" spans="1:6" x14ac:dyDescent="0.2">
      <c r="A4963">
        <f>[1]!hospitalinfo[[#This Row],[Facility ID]]</f>
        <v>460044</v>
      </c>
      <c r="B4963" t="str">
        <f>[1]!hospitalinfo[[#This Row],[State]]</f>
        <v>UT</v>
      </c>
      <c r="C4963" t="str">
        <f>[1]!hospitalinfo[[#This Row],[Hospital Type]]</f>
        <v>Acute Care Hospitals</v>
      </c>
      <c r="D4963" t="str">
        <f>[1]!hospitalinfo[[#This Row],[Hospital Ownership]]</f>
        <v>Voluntary non-profit - Private</v>
      </c>
      <c r="E4963" cm="1">
        <f t="array" ref="E4963">_xlfn.IFNA(_xlfn.XLOOKUP(1,([1]!hcahps[Facility ID] = clean[[#This Row],[Facility ID]]) * ([1]!hcahps[HCAHPS Measure ID] = "H_HSP_RATING_LINEAR_SCORE"), [1]!hcahps[HCAHPS Linear Mean Value]), "No Match")</f>
        <v>91</v>
      </c>
      <c r="F4963" cm="1">
        <f t="array" ref="F4963">_xlfn.IFNA(_xlfn.XLOOKUP(1,([1]!readmissions[Facility ID] = clean[[#This Row],[Facility ID]]) * ([1]!readmissions[Measure ID] = "Hybrid_HWR"), [1]!readmissions[Score]), "No Match")</f>
        <v>13.7</v>
      </c>
    </row>
    <row r="4964" spans="1:6" x14ac:dyDescent="0.2">
      <c r="A4964">
        <f>[1]!hospitalinfo[[#This Row],[Facility ID]]</f>
        <v>460047</v>
      </c>
      <c r="B4964" t="str">
        <f>[1]!hospitalinfo[[#This Row],[State]]</f>
        <v>UT</v>
      </c>
      <c r="C4964" t="str">
        <f>[1]!hospitalinfo[[#This Row],[Hospital Type]]</f>
        <v>Acute Care Hospitals</v>
      </c>
      <c r="D4964" t="str">
        <f>[1]!hospitalinfo[[#This Row],[Hospital Ownership]]</f>
        <v>Proprietary</v>
      </c>
      <c r="E4964" cm="1">
        <f t="array" ref="E4964">_xlfn.IFNA(_xlfn.XLOOKUP(1,([1]!hcahps[Facility ID] = clean[[#This Row],[Facility ID]]) * ([1]!hcahps[HCAHPS Measure ID] = "H_HSP_RATING_LINEAR_SCORE"), [1]!hcahps[HCAHPS Linear Mean Value]), "No Match")</f>
        <v>86</v>
      </c>
      <c r="F4964" cm="1">
        <f t="array" ref="F4964">_xlfn.IFNA(_xlfn.XLOOKUP(1,([1]!readmissions[Facility ID] = clean[[#This Row],[Facility ID]]) * ([1]!readmissions[Measure ID] = "Hybrid_HWR"), [1]!readmissions[Score]), "No Match")</f>
        <v>14</v>
      </c>
    </row>
    <row r="4965" spans="1:6" x14ac:dyDescent="0.2">
      <c r="A4965">
        <f>[1]!hospitalinfo[[#This Row],[Facility ID]]</f>
        <v>460051</v>
      </c>
      <c r="B4965" t="str">
        <f>[1]!hospitalinfo[[#This Row],[State]]</f>
        <v>UT</v>
      </c>
      <c r="C4965" t="str">
        <f>[1]!hospitalinfo[[#This Row],[Hospital Type]]</f>
        <v>Acute Care Hospitals</v>
      </c>
      <c r="D4965" t="str">
        <f>[1]!hospitalinfo[[#This Row],[Hospital Ownership]]</f>
        <v>Voluntary non-profit - Private</v>
      </c>
      <c r="E4965" cm="1">
        <f t="array" ref="E4965">_xlfn.IFNA(_xlfn.XLOOKUP(1,([1]!hcahps[Facility ID] = clean[[#This Row],[Facility ID]]) * ([1]!hcahps[HCAHPS Measure ID] = "H_HSP_RATING_LINEAR_SCORE"), [1]!hcahps[HCAHPS Linear Mean Value]), "No Match")</f>
        <v>83</v>
      </c>
      <c r="F4965" cm="1">
        <f t="array" ref="F4965">_xlfn.IFNA(_xlfn.XLOOKUP(1,([1]!readmissions[Facility ID] = clean[[#This Row],[Facility ID]]) * ([1]!readmissions[Measure ID] = "Hybrid_HWR"), [1]!readmissions[Score]), "No Match")</f>
        <v>14.6</v>
      </c>
    </row>
    <row r="4966" spans="1:6" x14ac:dyDescent="0.2">
      <c r="A4966">
        <f>[1]!hospitalinfo[[#This Row],[Facility ID]]</f>
        <v>460052</v>
      </c>
      <c r="B4966" t="str">
        <f>[1]!hospitalinfo[[#This Row],[State]]</f>
        <v>UT</v>
      </c>
      <c r="C4966" t="str">
        <f>[1]!hospitalinfo[[#This Row],[Hospital Type]]</f>
        <v>Acute Care Hospitals</v>
      </c>
      <c r="D4966" t="str">
        <f>[1]!hospitalinfo[[#This Row],[Hospital Ownership]]</f>
        <v>Proprietary</v>
      </c>
      <c r="E4966" cm="1">
        <f t="array" ref="E4966">_xlfn.IFNA(_xlfn.XLOOKUP(1,([1]!hcahps[Facility ID] = clean[[#This Row],[Facility ID]]) * ([1]!hcahps[HCAHPS Measure ID] = "H_HSP_RATING_LINEAR_SCORE"), [1]!hcahps[HCAHPS Linear Mean Value]), "No Match")</f>
        <v>89</v>
      </c>
      <c r="F4966" cm="1">
        <f t="array" ref="F4966">_xlfn.IFNA(_xlfn.XLOOKUP(1,([1]!readmissions[Facility ID] = clean[[#This Row],[Facility ID]]) * ([1]!readmissions[Measure ID] = "Hybrid_HWR"), [1]!readmissions[Score]), "No Match")</f>
        <v>15</v>
      </c>
    </row>
    <row r="4967" spans="1:6" x14ac:dyDescent="0.2">
      <c r="A4967">
        <f>[1]!hospitalinfo[[#This Row],[Facility ID]]</f>
        <v>460054</v>
      </c>
      <c r="B4967" t="str">
        <f>[1]!hospitalinfo[[#This Row],[State]]</f>
        <v>UT</v>
      </c>
      <c r="C4967" t="str">
        <f>[1]!hospitalinfo[[#This Row],[Hospital Type]]</f>
        <v>Acute Care Hospitals</v>
      </c>
      <c r="D4967" t="str">
        <f>[1]!hospitalinfo[[#This Row],[Hospital Ownership]]</f>
        <v>Proprietary</v>
      </c>
      <c r="E4967" cm="1">
        <f t="array" ref="E4967">_xlfn.IFNA(_xlfn.XLOOKUP(1,([1]!hcahps[Facility ID] = clean[[#This Row],[Facility ID]]) * ([1]!hcahps[HCAHPS Measure ID] = "H_HSP_RATING_LINEAR_SCORE"), [1]!hcahps[HCAHPS Linear Mean Value]), "No Match")</f>
        <v>92</v>
      </c>
      <c r="F4967" cm="1">
        <f t="array" ref="F4967">_xlfn.IFNA(_xlfn.XLOOKUP(1,([1]!readmissions[Facility ID] = clean[[#This Row],[Facility ID]]) * ([1]!readmissions[Measure ID] = "Hybrid_HWR"), [1]!readmissions[Score]), "No Match")</f>
        <v>15</v>
      </c>
    </row>
    <row r="4968" spans="1:6" x14ac:dyDescent="0.2">
      <c r="A4968">
        <f>[1]!hospitalinfo[[#This Row],[Facility ID]]</f>
        <v>460057</v>
      </c>
      <c r="B4968" t="str">
        <f>[1]!hospitalinfo[[#This Row],[State]]</f>
        <v>UT</v>
      </c>
      <c r="C4968" t="str">
        <f>[1]!hospitalinfo[[#This Row],[Hospital Type]]</f>
        <v>Acute Care Hospitals</v>
      </c>
      <c r="D4968" t="str">
        <f>[1]!hospitalinfo[[#This Row],[Hospital Ownership]]</f>
        <v>Proprietary</v>
      </c>
      <c r="E4968" cm="1">
        <f t="array" ref="E4968">_xlfn.IFNA(_xlfn.XLOOKUP(1,([1]!hcahps[Facility ID] = clean[[#This Row],[Facility ID]]) * ([1]!hcahps[HCAHPS Measure ID] = "H_HSP_RATING_LINEAR_SCORE"), [1]!hcahps[HCAHPS Linear Mean Value]), "No Match")</f>
        <v>93</v>
      </c>
      <c r="F4968" cm="1">
        <f t="array" ref="F4968">_xlfn.IFNA(_xlfn.XLOOKUP(1,([1]!readmissions[Facility ID] = clean[[#This Row],[Facility ID]]) * ([1]!readmissions[Measure ID] = "Hybrid_HWR"), [1]!readmissions[Score]), "No Match")</f>
        <v>15</v>
      </c>
    </row>
    <row r="4969" spans="1:6" x14ac:dyDescent="0.2">
      <c r="A4969">
        <f>[1]!hospitalinfo[[#This Row],[Facility ID]]</f>
        <v>460058</v>
      </c>
      <c r="B4969" t="str">
        <f>[1]!hospitalinfo[[#This Row],[State]]</f>
        <v>UT</v>
      </c>
      <c r="C4969" t="str">
        <f>[1]!hospitalinfo[[#This Row],[Hospital Type]]</f>
        <v>Acute Care Hospitals</v>
      </c>
      <c r="D4969" t="str">
        <f>[1]!hospitalinfo[[#This Row],[Hospital Ownership]]</f>
        <v>Voluntary non-profit - Private</v>
      </c>
      <c r="E4969" cm="1">
        <f t="array" ref="E4969">_xlfn.IFNA(_xlfn.XLOOKUP(1,([1]!hcahps[Facility ID] = clean[[#This Row],[Facility ID]]) * ([1]!hcahps[HCAHPS Measure ID] = "H_HSP_RATING_LINEAR_SCORE"), [1]!hcahps[HCAHPS Linear Mean Value]), "No Match")</f>
        <v>89</v>
      </c>
      <c r="F4969" cm="1">
        <f t="array" ref="F4969">_xlfn.IFNA(_xlfn.XLOOKUP(1,([1]!readmissions[Facility ID] = clean[[#This Row],[Facility ID]]) * ([1]!readmissions[Measure ID] = "Hybrid_HWR"), [1]!readmissions[Score]), "No Match")</f>
        <v>13.9</v>
      </c>
    </row>
    <row r="4970" spans="1:6" x14ac:dyDescent="0.2">
      <c r="A4970">
        <f>[1]!hospitalinfo[[#This Row],[Facility ID]]</f>
        <v>460060</v>
      </c>
      <c r="B4970" t="str">
        <f>[1]!hospitalinfo[[#This Row],[State]]</f>
        <v>UT</v>
      </c>
      <c r="C4970" t="str">
        <f>[1]!hospitalinfo[[#This Row],[Hospital Type]]</f>
        <v>Acute Care Hospitals</v>
      </c>
      <c r="D4970" t="str">
        <f>[1]!hospitalinfo[[#This Row],[Hospital Ownership]]</f>
        <v>Proprietary</v>
      </c>
      <c r="E4970" cm="1">
        <f t="array" ref="E4970">_xlfn.IFNA(_xlfn.XLOOKUP(1,([1]!hcahps[Facility ID] = clean[[#This Row],[Facility ID]]) * ([1]!hcahps[HCAHPS Measure ID] = "H_HSP_RATING_LINEAR_SCORE"), [1]!hcahps[HCAHPS Linear Mean Value]), "No Match")</f>
        <v>91</v>
      </c>
      <c r="F4970" cm="1">
        <f t="array" ref="F4970">_xlfn.IFNA(_xlfn.XLOOKUP(1,([1]!readmissions[Facility ID] = clean[[#This Row],[Facility ID]]) * ([1]!readmissions[Measure ID] = "Hybrid_HWR"), [1]!readmissions[Score]), "No Match")</f>
        <v>14.7</v>
      </c>
    </row>
    <row r="4971" spans="1:6" x14ac:dyDescent="0.2">
      <c r="A4971">
        <f>[1]!hospitalinfo[[#This Row],[Facility ID]]</f>
        <v>460061</v>
      </c>
      <c r="B4971" t="str">
        <f>[1]!hospitalinfo[[#This Row],[State]]</f>
        <v>UT</v>
      </c>
      <c r="C4971" t="str">
        <f>[1]!hospitalinfo[[#This Row],[Hospital Type]]</f>
        <v>Acute Care Hospitals</v>
      </c>
      <c r="D4971" t="str">
        <f>[1]!hospitalinfo[[#This Row],[Hospital Ownership]]</f>
        <v>Voluntary non-profit - Private</v>
      </c>
      <c r="E4971" cm="1">
        <f t="array" ref="E4971">_xlfn.IFNA(_xlfn.XLOOKUP(1,([1]!hcahps[Facility ID] = clean[[#This Row],[Facility ID]]) * ([1]!hcahps[HCAHPS Measure ID] = "H_HSP_RATING_LINEAR_SCORE"), [1]!hcahps[HCAHPS Linear Mean Value]), "No Match")</f>
        <v>91</v>
      </c>
      <c r="F4971" cm="1">
        <f t="array" ref="F4971">_xlfn.IFNA(_xlfn.XLOOKUP(1,([1]!readmissions[Facility ID] = clean[[#This Row],[Facility ID]]) * ([1]!readmissions[Measure ID] = "Hybrid_HWR"), [1]!readmissions[Score]), "No Match")</f>
        <v>13.5</v>
      </c>
    </row>
    <row r="4972" spans="1:6" x14ac:dyDescent="0.2">
      <c r="A4972">
        <f>[1]!hospitalinfo[[#This Row],[Facility ID]]</f>
        <v>460062</v>
      </c>
      <c r="B4972" t="str">
        <f>[1]!hospitalinfo[[#This Row],[State]]</f>
        <v>UT</v>
      </c>
      <c r="C4972" t="str">
        <f>[1]!hospitalinfo[[#This Row],[Hospital Type]]</f>
        <v>Acute Care Hospitals</v>
      </c>
      <c r="D4972" t="str">
        <f>[1]!hospitalinfo[[#This Row],[Hospital Ownership]]</f>
        <v>Voluntary non-profit - Private</v>
      </c>
      <c r="E4972" cm="1">
        <f t="array" ref="E4972">_xlfn.IFNA(_xlfn.XLOOKUP(1,([1]!hcahps[Facility ID] = clean[[#This Row],[Facility ID]]) * ([1]!hcahps[HCAHPS Measure ID] = "H_HSP_RATING_LINEAR_SCORE"), [1]!hcahps[HCAHPS Linear Mean Value]), "No Match")</f>
        <v>91</v>
      </c>
      <c r="F4972" cm="1">
        <f t="array" ref="F4972">_xlfn.IFNA(_xlfn.XLOOKUP(1,([1]!readmissions[Facility ID] = clean[[#This Row],[Facility ID]]) * ([1]!readmissions[Measure ID] = "Hybrid_HWR"), [1]!readmissions[Score]), "No Match")</f>
        <v>15.1</v>
      </c>
    </row>
    <row r="4973" spans="1:6" x14ac:dyDescent="0.2">
      <c r="A4973">
        <f>[1]!hospitalinfo[[#This Row],[Facility ID]]</f>
        <v>460063</v>
      </c>
      <c r="B4973" t="str">
        <f>[1]!hospitalinfo[[#This Row],[State]]</f>
        <v>UT</v>
      </c>
      <c r="C4973" t="str">
        <f>[1]!hospitalinfo[[#This Row],[Hospital Type]]</f>
        <v>Acute Care Hospitals</v>
      </c>
      <c r="D4973" t="str">
        <f>[1]!hospitalinfo[[#This Row],[Hospital Ownership]]</f>
        <v>Proprietary</v>
      </c>
      <c r="E4973" t="str" cm="1">
        <f t="array" ref="E4973">_xlfn.IFNA(_xlfn.XLOOKUP(1,([1]!hcahps[Facility ID] = clean[[#This Row],[Facility ID]]) * ([1]!hcahps[HCAHPS Measure ID] = "H_HSP_RATING_LINEAR_SCORE"), [1]!hcahps[HCAHPS Linear Mean Value]), "No Match")</f>
        <v>Not Available</v>
      </c>
      <c r="F4973" t="str" cm="1">
        <f t="array" ref="F4973">_xlfn.IFNA(_xlfn.XLOOKUP(1,([1]!readmissions[Facility ID] = clean[[#This Row],[Facility ID]]) * ([1]!readmissions[Measure ID] = "Hybrid_HWR"), [1]!readmissions[Score]), "No Match")</f>
        <v>Not Available</v>
      </c>
    </row>
    <row r="4974" spans="1:6" x14ac:dyDescent="0.2">
      <c r="A4974">
        <f>[1]!hospitalinfo[[#This Row],[Facility ID]]</f>
        <v>461300</v>
      </c>
      <c r="B4974" t="str">
        <f>[1]!hospitalinfo[[#This Row],[State]]</f>
        <v>UT</v>
      </c>
      <c r="C4974" t="str">
        <f>[1]!hospitalinfo[[#This Row],[Hospital Type]]</f>
        <v>Critical Access Hospitals</v>
      </c>
      <c r="D4974" t="str">
        <f>[1]!hospitalinfo[[#This Row],[Hospital Ownership]]</f>
        <v>Voluntary non-profit - Private</v>
      </c>
      <c r="E4974" t="str" cm="1">
        <f t="array" ref="E4974">_xlfn.IFNA(_xlfn.XLOOKUP(1,([1]!hcahps[Facility ID] = clean[[#This Row],[Facility ID]]) * ([1]!hcahps[HCAHPS Measure ID] = "H_HSP_RATING_LINEAR_SCORE"), [1]!hcahps[HCAHPS Linear Mean Value]), "No Match")</f>
        <v>Not Available</v>
      </c>
      <c r="F4974" cm="1">
        <f t="array" ref="F4974">_xlfn.IFNA(_xlfn.XLOOKUP(1,([1]!readmissions[Facility ID] = clean[[#This Row],[Facility ID]]) * ([1]!readmissions[Measure ID] = "Hybrid_HWR"), [1]!readmissions[Score]), "No Match")</f>
        <v>14.4</v>
      </c>
    </row>
    <row r="4975" spans="1:6" x14ac:dyDescent="0.2">
      <c r="A4975">
        <f>[1]!hospitalinfo[[#This Row],[Facility ID]]</f>
        <v>461301</v>
      </c>
      <c r="B4975" t="str">
        <f>[1]!hospitalinfo[[#This Row],[State]]</f>
        <v>UT</v>
      </c>
      <c r="C4975" t="str">
        <f>[1]!hospitalinfo[[#This Row],[Hospital Type]]</f>
        <v>Critical Access Hospitals</v>
      </c>
      <c r="D4975" t="str">
        <f>[1]!hospitalinfo[[#This Row],[Hospital Ownership]]</f>
        <v>Voluntary non-profit - Private</v>
      </c>
      <c r="E4975" t="str" cm="1">
        <f t="array" ref="E4975">_xlfn.IFNA(_xlfn.XLOOKUP(1,([1]!hcahps[Facility ID] = clean[[#This Row],[Facility ID]]) * ([1]!hcahps[HCAHPS Measure ID] = "H_HSP_RATING_LINEAR_SCORE"), [1]!hcahps[HCAHPS Linear Mean Value]), "No Match")</f>
        <v>Not Available</v>
      </c>
      <c r="F4975" cm="1">
        <f t="array" ref="F4975">_xlfn.IFNA(_xlfn.XLOOKUP(1,([1]!readmissions[Facility ID] = clean[[#This Row],[Facility ID]]) * ([1]!readmissions[Measure ID] = "Hybrid_HWR"), [1]!readmissions[Score]), "No Match")</f>
        <v>14.9</v>
      </c>
    </row>
    <row r="4976" spans="1:6" x14ac:dyDescent="0.2">
      <c r="A4976">
        <f>[1]!hospitalinfo[[#This Row],[Facility ID]]</f>
        <v>461302</v>
      </c>
      <c r="B4976" t="str">
        <f>[1]!hospitalinfo[[#This Row],[State]]</f>
        <v>UT</v>
      </c>
      <c r="C4976" t="str">
        <f>[1]!hospitalinfo[[#This Row],[Hospital Type]]</f>
        <v>Critical Access Hospitals</v>
      </c>
      <c r="D4976" t="str">
        <f>[1]!hospitalinfo[[#This Row],[Hospital Ownership]]</f>
        <v>Voluntary non-profit - Private</v>
      </c>
      <c r="E4976" t="str" cm="1">
        <f t="array" ref="E4976">_xlfn.IFNA(_xlfn.XLOOKUP(1,([1]!hcahps[Facility ID] = clean[[#This Row],[Facility ID]]) * ([1]!hcahps[HCAHPS Measure ID] = "H_HSP_RATING_LINEAR_SCORE"), [1]!hcahps[HCAHPS Linear Mean Value]), "No Match")</f>
        <v>Not Available</v>
      </c>
      <c r="F4976" cm="1">
        <f t="array" ref="F4976">_xlfn.IFNA(_xlfn.XLOOKUP(1,([1]!readmissions[Facility ID] = clean[[#This Row],[Facility ID]]) * ([1]!readmissions[Measure ID] = "Hybrid_HWR"), [1]!readmissions[Score]), "No Match")</f>
        <v>15.2</v>
      </c>
    </row>
    <row r="4977" spans="1:6" x14ac:dyDescent="0.2">
      <c r="A4977">
        <f>[1]!hospitalinfo[[#This Row],[Facility ID]]</f>
        <v>461303</v>
      </c>
      <c r="B4977" t="str">
        <f>[1]!hospitalinfo[[#This Row],[State]]</f>
        <v>UT</v>
      </c>
      <c r="C4977" t="str">
        <f>[1]!hospitalinfo[[#This Row],[Hospital Type]]</f>
        <v>Critical Access Hospitals</v>
      </c>
      <c r="D4977" t="str">
        <f>[1]!hospitalinfo[[#This Row],[Hospital Ownership]]</f>
        <v>Voluntary non-profit - Private</v>
      </c>
      <c r="E4977" t="str" cm="1">
        <f t="array" ref="E4977">_xlfn.IFNA(_xlfn.XLOOKUP(1,([1]!hcahps[Facility ID] = clean[[#This Row],[Facility ID]]) * ([1]!hcahps[HCAHPS Measure ID] = "H_HSP_RATING_LINEAR_SCORE"), [1]!hcahps[HCAHPS Linear Mean Value]), "No Match")</f>
        <v>Not Available</v>
      </c>
      <c r="F4977" cm="1">
        <f t="array" ref="F4977">_xlfn.IFNA(_xlfn.XLOOKUP(1,([1]!readmissions[Facility ID] = clean[[#This Row],[Facility ID]]) * ([1]!readmissions[Measure ID] = "Hybrid_HWR"), [1]!readmissions[Score]), "No Match")</f>
        <v>14.7</v>
      </c>
    </row>
    <row r="4978" spans="1:6" x14ac:dyDescent="0.2">
      <c r="A4978">
        <f>[1]!hospitalinfo[[#This Row],[Facility ID]]</f>
        <v>461304</v>
      </c>
      <c r="B4978" t="str">
        <f>[1]!hospitalinfo[[#This Row],[State]]</f>
        <v>UT</v>
      </c>
      <c r="C4978" t="str">
        <f>[1]!hospitalinfo[[#This Row],[Hospital Type]]</f>
        <v>Critical Access Hospitals</v>
      </c>
      <c r="D4978" t="str">
        <f>[1]!hospitalinfo[[#This Row],[Hospital Ownership]]</f>
        <v>Voluntary non-profit - Private</v>
      </c>
      <c r="E4978" cm="1">
        <f t="array" ref="E4978">_xlfn.IFNA(_xlfn.XLOOKUP(1,([1]!hcahps[Facility ID] = clean[[#This Row],[Facility ID]]) * ([1]!hcahps[HCAHPS Measure ID] = "H_HSP_RATING_LINEAR_SCORE"), [1]!hcahps[HCAHPS Linear Mean Value]), "No Match")</f>
        <v>92</v>
      </c>
      <c r="F4978" cm="1">
        <f t="array" ref="F4978">_xlfn.IFNA(_xlfn.XLOOKUP(1,([1]!readmissions[Facility ID] = clean[[#This Row],[Facility ID]]) * ([1]!readmissions[Measure ID] = "Hybrid_HWR"), [1]!readmissions[Score]), "No Match")</f>
        <v>15.4</v>
      </c>
    </row>
    <row r="4979" spans="1:6" x14ac:dyDescent="0.2">
      <c r="A4979">
        <f>[1]!hospitalinfo[[#This Row],[Facility ID]]</f>
        <v>461305</v>
      </c>
      <c r="B4979" t="str">
        <f>[1]!hospitalinfo[[#This Row],[State]]</f>
        <v>UT</v>
      </c>
      <c r="C4979" t="str">
        <f>[1]!hospitalinfo[[#This Row],[Hospital Type]]</f>
        <v>Critical Access Hospitals</v>
      </c>
      <c r="D4979" t="str">
        <f>[1]!hospitalinfo[[#This Row],[Hospital Ownership]]</f>
        <v>Voluntary non-profit - Other</v>
      </c>
      <c r="E4979" t="str" cm="1">
        <f t="array" ref="E4979">_xlfn.IFNA(_xlfn.XLOOKUP(1,([1]!hcahps[Facility ID] = clean[[#This Row],[Facility ID]]) * ([1]!hcahps[HCAHPS Measure ID] = "H_HSP_RATING_LINEAR_SCORE"), [1]!hcahps[HCAHPS Linear Mean Value]), "No Match")</f>
        <v>Not Available</v>
      </c>
      <c r="F4979" t="str" cm="1">
        <f t="array" ref="F4979">_xlfn.IFNA(_xlfn.XLOOKUP(1,([1]!readmissions[Facility ID] = clean[[#This Row],[Facility ID]]) * ([1]!readmissions[Measure ID] = "Hybrid_HWR"), [1]!readmissions[Score]), "No Match")</f>
        <v>Not Available</v>
      </c>
    </row>
    <row r="4980" spans="1:6" x14ac:dyDescent="0.2">
      <c r="A4980">
        <f>[1]!hospitalinfo[[#This Row],[Facility ID]]</f>
        <v>461306</v>
      </c>
      <c r="B4980" t="str">
        <f>[1]!hospitalinfo[[#This Row],[State]]</f>
        <v>UT</v>
      </c>
      <c r="C4980" t="str">
        <f>[1]!hospitalinfo[[#This Row],[Hospital Type]]</f>
        <v>Critical Access Hospitals</v>
      </c>
      <c r="D4980" t="str">
        <f>[1]!hospitalinfo[[#This Row],[Hospital Ownership]]</f>
        <v>Voluntary non-profit - Other</v>
      </c>
      <c r="E4980" t="str" cm="1">
        <f t="array" ref="E4980">_xlfn.IFNA(_xlfn.XLOOKUP(1,([1]!hcahps[Facility ID] = clean[[#This Row],[Facility ID]]) * ([1]!hcahps[HCAHPS Measure ID] = "H_HSP_RATING_LINEAR_SCORE"), [1]!hcahps[HCAHPS Linear Mean Value]), "No Match")</f>
        <v>Not Available</v>
      </c>
      <c r="F4980" cm="1">
        <f t="array" ref="F4980">_xlfn.IFNA(_xlfn.XLOOKUP(1,([1]!readmissions[Facility ID] = clean[[#This Row],[Facility ID]]) * ([1]!readmissions[Measure ID] = "Hybrid_HWR"), [1]!readmissions[Score]), "No Match")</f>
        <v>15</v>
      </c>
    </row>
    <row r="4981" spans="1:6" x14ac:dyDescent="0.2">
      <c r="A4981">
        <f>[1]!hospitalinfo[[#This Row],[Facility ID]]</f>
        <v>461307</v>
      </c>
      <c r="B4981" t="str">
        <f>[1]!hospitalinfo[[#This Row],[State]]</f>
        <v>UT</v>
      </c>
      <c r="C4981" t="str">
        <f>[1]!hospitalinfo[[#This Row],[Hospital Type]]</f>
        <v>Critical Access Hospitals</v>
      </c>
      <c r="D4981" t="str">
        <f>[1]!hospitalinfo[[#This Row],[Hospital Ownership]]</f>
        <v>Voluntary non-profit - Private</v>
      </c>
      <c r="E4981" cm="1">
        <f t="array" ref="E4981">_xlfn.IFNA(_xlfn.XLOOKUP(1,([1]!hcahps[Facility ID] = clean[[#This Row],[Facility ID]]) * ([1]!hcahps[HCAHPS Measure ID] = "H_HSP_RATING_LINEAR_SCORE"), [1]!hcahps[HCAHPS Linear Mean Value]), "No Match")</f>
        <v>94</v>
      </c>
      <c r="F4981" cm="1">
        <f t="array" ref="F4981">_xlfn.IFNA(_xlfn.XLOOKUP(1,([1]!readmissions[Facility ID] = clean[[#This Row],[Facility ID]]) * ([1]!readmissions[Measure ID] = "Hybrid_HWR"), [1]!readmissions[Score]), "No Match")</f>
        <v>14.8</v>
      </c>
    </row>
    <row r="4982" spans="1:6" x14ac:dyDescent="0.2">
      <c r="A4982">
        <f>[1]!hospitalinfo[[#This Row],[Facility ID]]</f>
        <v>461308</v>
      </c>
      <c r="B4982" t="str">
        <f>[1]!hospitalinfo[[#This Row],[State]]</f>
        <v>UT</v>
      </c>
      <c r="C4982" t="str">
        <f>[1]!hospitalinfo[[#This Row],[Hospital Type]]</f>
        <v>Critical Access Hospitals</v>
      </c>
      <c r="D4982" t="str">
        <f>[1]!hospitalinfo[[#This Row],[Hospital Ownership]]</f>
        <v>Voluntary non-profit - Other</v>
      </c>
      <c r="E4982" t="str" cm="1">
        <f t="array" ref="E4982">_xlfn.IFNA(_xlfn.XLOOKUP(1,([1]!hcahps[Facility ID] = clean[[#This Row],[Facility ID]]) * ([1]!hcahps[HCAHPS Measure ID] = "H_HSP_RATING_LINEAR_SCORE"), [1]!hcahps[HCAHPS Linear Mean Value]), "No Match")</f>
        <v>Not Available</v>
      </c>
      <c r="F4982" cm="1">
        <f t="array" ref="F4982">_xlfn.IFNA(_xlfn.XLOOKUP(1,([1]!readmissions[Facility ID] = clean[[#This Row],[Facility ID]]) * ([1]!readmissions[Measure ID] = "Hybrid_HWR"), [1]!readmissions[Score]), "No Match")</f>
        <v>14.9</v>
      </c>
    </row>
    <row r="4983" spans="1:6" x14ac:dyDescent="0.2">
      <c r="A4983">
        <f>[1]!hospitalinfo[[#This Row],[Facility ID]]</f>
        <v>461309</v>
      </c>
      <c r="B4983" t="str">
        <f>[1]!hospitalinfo[[#This Row],[State]]</f>
        <v>UT</v>
      </c>
      <c r="C4983" t="str">
        <f>[1]!hospitalinfo[[#This Row],[Hospital Type]]</f>
        <v>Critical Access Hospitals</v>
      </c>
      <c r="D4983" t="str">
        <f>[1]!hospitalinfo[[#This Row],[Hospital Ownership]]</f>
        <v>Government - Hospital District or Authority</v>
      </c>
      <c r="E4983" t="str" cm="1">
        <f t="array" ref="E4983">_xlfn.IFNA(_xlfn.XLOOKUP(1,([1]!hcahps[Facility ID] = clean[[#This Row],[Facility ID]]) * ([1]!hcahps[HCAHPS Measure ID] = "H_HSP_RATING_LINEAR_SCORE"), [1]!hcahps[HCAHPS Linear Mean Value]), "No Match")</f>
        <v>Not Available</v>
      </c>
      <c r="F4983" cm="1">
        <f t="array" ref="F4983">_xlfn.IFNA(_xlfn.XLOOKUP(1,([1]!readmissions[Facility ID] = clean[[#This Row],[Facility ID]]) * ([1]!readmissions[Measure ID] = "Hybrid_HWR"), [1]!readmissions[Score]), "No Match")</f>
        <v>15.4</v>
      </c>
    </row>
    <row r="4984" spans="1:6" x14ac:dyDescent="0.2">
      <c r="A4984">
        <f>[1]!hospitalinfo[[#This Row],[Facility ID]]</f>
        <v>461310</v>
      </c>
      <c r="B4984" t="str">
        <f>[1]!hospitalinfo[[#This Row],[State]]</f>
        <v>UT</v>
      </c>
      <c r="C4984" t="str">
        <f>[1]!hospitalinfo[[#This Row],[Hospital Type]]</f>
        <v>Critical Access Hospitals</v>
      </c>
      <c r="D4984" t="str">
        <f>[1]!hospitalinfo[[#This Row],[Hospital Ownership]]</f>
        <v>Voluntary non-profit - Private</v>
      </c>
      <c r="E4984" cm="1">
        <f t="array" ref="E4984">_xlfn.IFNA(_xlfn.XLOOKUP(1,([1]!hcahps[Facility ID] = clean[[#This Row],[Facility ID]]) * ([1]!hcahps[HCAHPS Measure ID] = "H_HSP_RATING_LINEAR_SCORE"), [1]!hcahps[HCAHPS Linear Mean Value]), "No Match")</f>
        <v>91</v>
      </c>
      <c r="F4984" cm="1">
        <f t="array" ref="F4984">_xlfn.IFNA(_xlfn.XLOOKUP(1,([1]!readmissions[Facility ID] = clean[[#This Row],[Facility ID]]) * ([1]!readmissions[Measure ID] = "Hybrid_HWR"), [1]!readmissions[Score]), "No Match")</f>
        <v>15.1</v>
      </c>
    </row>
    <row r="4985" spans="1:6" x14ac:dyDescent="0.2">
      <c r="A4985">
        <f>[1]!hospitalinfo[[#This Row],[Facility ID]]</f>
        <v>461333</v>
      </c>
      <c r="B4985" t="str">
        <f>[1]!hospitalinfo[[#This Row],[State]]</f>
        <v>UT</v>
      </c>
      <c r="C4985" t="str">
        <f>[1]!hospitalinfo[[#This Row],[Hospital Type]]</f>
        <v>Critical Access Hospitals</v>
      </c>
      <c r="D4985" t="str">
        <f>[1]!hospitalinfo[[#This Row],[Hospital Ownership]]</f>
        <v>Voluntary non-profit - Other</v>
      </c>
      <c r="E4985" t="str" cm="1">
        <f t="array" ref="E4985">_xlfn.IFNA(_xlfn.XLOOKUP(1,([1]!hcahps[Facility ID] = clean[[#This Row],[Facility ID]]) * ([1]!hcahps[HCAHPS Measure ID] = "H_HSP_RATING_LINEAR_SCORE"), [1]!hcahps[HCAHPS Linear Mean Value]), "No Match")</f>
        <v>Not Available</v>
      </c>
      <c r="F4985" cm="1">
        <f t="array" ref="F4985">_xlfn.IFNA(_xlfn.XLOOKUP(1,([1]!readmissions[Facility ID] = clean[[#This Row],[Facility ID]]) * ([1]!readmissions[Measure ID] = "Hybrid_HWR"), [1]!readmissions[Score]), "No Match")</f>
        <v>14.8</v>
      </c>
    </row>
    <row r="4986" spans="1:6" x14ac:dyDescent="0.2">
      <c r="A4986">
        <f>[1]!hospitalinfo[[#This Row],[Facility ID]]</f>
        <v>461335</v>
      </c>
      <c r="B4986" t="str">
        <f>[1]!hospitalinfo[[#This Row],[State]]</f>
        <v>UT</v>
      </c>
      <c r="C4986" t="str">
        <f>[1]!hospitalinfo[[#This Row],[Hospital Type]]</f>
        <v>Critical Access Hospitals</v>
      </c>
      <c r="D4986" t="str">
        <f>[1]!hospitalinfo[[#This Row],[Hospital Ownership]]</f>
        <v>Government - Local</v>
      </c>
      <c r="E4986" t="str" cm="1">
        <f t="array" ref="E4986">_xlfn.IFNA(_xlfn.XLOOKUP(1,([1]!hcahps[Facility ID] = clean[[#This Row],[Facility ID]]) * ([1]!hcahps[HCAHPS Measure ID] = "H_HSP_RATING_LINEAR_SCORE"), [1]!hcahps[HCAHPS Linear Mean Value]), "No Match")</f>
        <v>Not Available</v>
      </c>
      <c r="F4986" cm="1">
        <f t="array" ref="F4986">_xlfn.IFNA(_xlfn.XLOOKUP(1,([1]!readmissions[Facility ID] = clean[[#This Row],[Facility ID]]) * ([1]!readmissions[Measure ID] = "Hybrid_HWR"), [1]!readmissions[Score]), "No Match")</f>
        <v>14.9</v>
      </c>
    </row>
    <row r="4987" spans="1:6" x14ac:dyDescent="0.2">
      <c r="A4987">
        <f>[1]!hospitalinfo[[#This Row],[Facility ID]]</f>
        <v>463301</v>
      </c>
      <c r="B4987" t="str">
        <f>[1]!hospitalinfo[[#This Row],[State]]</f>
        <v>UT</v>
      </c>
      <c r="C4987" t="str">
        <f>[1]!hospitalinfo[[#This Row],[Hospital Type]]</f>
        <v>Childrens</v>
      </c>
      <c r="D4987" t="str">
        <f>[1]!hospitalinfo[[#This Row],[Hospital Ownership]]</f>
        <v>Voluntary non-profit - Private</v>
      </c>
      <c r="E4987" t="str" cm="1">
        <f t="array" ref="E4987">_xlfn.IFNA(_xlfn.XLOOKUP(1,([1]!hcahps[Facility ID] = clean[[#This Row],[Facility ID]]) * ([1]!hcahps[HCAHPS Measure ID] = "H_HSP_RATING_LINEAR_SCORE"), [1]!hcahps[HCAHPS Linear Mean Value]), "No Match")</f>
        <v>Not Available</v>
      </c>
      <c r="F4987" t="str" cm="1">
        <f t="array" ref="F4987">_xlfn.IFNA(_xlfn.XLOOKUP(1,([1]!readmissions[Facility ID] = clean[[#This Row],[Facility ID]]) * ([1]!readmissions[Measure ID] = "Hybrid_HWR"), [1]!readmissions[Score]), "No Match")</f>
        <v>Not Available</v>
      </c>
    </row>
    <row r="4988" spans="1:6" x14ac:dyDescent="0.2">
      <c r="A4988">
        <f>[1]!hospitalinfo[[#This Row],[Facility ID]]</f>
        <v>464001</v>
      </c>
      <c r="B4988" t="str">
        <f>[1]!hospitalinfo[[#This Row],[State]]</f>
        <v>UT</v>
      </c>
      <c r="C4988" t="str">
        <f>[1]!hospitalinfo[[#This Row],[Hospital Type]]</f>
        <v>Psychiatric</v>
      </c>
      <c r="D4988" t="str">
        <f>[1]!hospitalinfo[[#This Row],[Hospital Ownership]]</f>
        <v>Government - State</v>
      </c>
      <c r="E4988" t="str" cm="1">
        <f t="array" ref="E4988">_xlfn.IFNA(_xlfn.XLOOKUP(1,([1]!hcahps[Facility ID] = clean[[#This Row],[Facility ID]]) * ([1]!hcahps[HCAHPS Measure ID] = "H_HSP_RATING_LINEAR_SCORE"), [1]!hcahps[HCAHPS Linear Mean Value]), "No Match")</f>
        <v>No Match</v>
      </c>
      <c r="F4988" t="str" cm="1">
        <f t="array" ref="F4988">_xlfn.IFNA(_xlfn.XLOOKUP(1,([1]!readmissions[Facility ID] = clean[[#This Row],[Facility ID]]) * ([1]!readmissions[Measure ID] = "Hybrid_HWR"), [1]!readmissions[Score]), "No Match")</f>
        <v>No Match</v>
      </c>
    </row>
    <row r="4989" spans="1:6" x14ac:dyDescent="0.2">
      <c r="A4989">
        <f>[1]!hospitalinfo[[#This Row],[Facility ID]]</f>
        <v>464012</v>
      </c>
      <c r="B4989" t="str">
        <f>[1]!hospitalinfo[[#This Row],[State]]</f>
        <v>UT</v>
      </c>
      <c r="C4989" t="str">
        <f>[1]!hospitalinfo[[#This Row],[Hospital Type]]</f>
        <v>Psychiatric</v>
      </c>
      <c r="D4989" t="str">
        <f>[1]!hospitalinfo[[#This Row],[Hospital Ownership]]</f>
        <v>Proprietary</v>
      </c>
      <c r="E4989" t="str" cm="1">
        <f t="array" ref="E4989">_xlfn.IFNA(_xlfn.XLOOKUP(1,([1]!hcahps[Facility ID] = clean[[#This Row],[Facility ID]]) * ([1]!hcahps[HCAHPS Measure ID] = "H_HSP_RATING_LINEAR_SCORE"), [1]!hcahps[HCAHPS Linear Mean Value]), "No Match")</f>
        <v>No Match</v>
      </c>
      <c r="F4989" t="str" cm="1">
        <f t="array" ref="F4989">_xlfn.IFNA(_xlfn.XLOOKUP(1,([1]!readmissions[Facility ID] = clean[[#This Row],[Facility ID]]) * ([1]!readmissions[Measure ID] = "Hybrid_HWR"), [1]!readmissions[Score]), "No Match")</f>
        <v>No Match</v>
      </c>
    </row>
    <row r="4990" spans="1:6" x14ac:dyDescent="0.2">
      <c r="A4990">
        <f>[1]!hospitalinfo[[#This Row],[Facility ID]]</f>
        <v>464013</v>
      </c>
      <c r="B4990" t="str">
        <f>[1]!hospitalinfo[[#This Row],[State]]</f>
        <v>UT</v>
      </c>
      <c r="C4990" t="str">
        <f>[1]!hospitalinfo[[#This Row],[Hospital Type]]</f>
        <v>Psychiatric</v>
      </c>
      <c r="D4990" t="str">
        <f>[1]!hospitalinfo[[#This Row],[Hospital Ownership]]</f>
        <v>Proprietary</v>
      </c>
      <c r="E4990" t="str" cm="1">
        <f t="array" ref="E4990">_xlfn.IFNA(_xlfn.XLOOKUP(1,([1]!hcahps[Facility ID] = clean[[#This Row],[Facility ID]]) * ([1]!hcahps[HCAHPS Measure ID] = "H_HSP_RATING_LINEAR_SCORE"), [1]!hcahps[HCAHPS Linear Mean Value]), "No Match")</f>
        <v>No Match</v>
      </c>
      <c r="F4990" t="str" cm="1">
        <f t="array" ref="F4990">_xlfn.IFNA(_xlfn.XLOOKUP(1,([1]!readmissions[Facility ID] = clean[[#This Row],[Facility ID]]) * ([1]!readmissions[Measure ID] = "Hybrid_HWR"), [1]!readmissions[Score]), "No Match")</f>
        <v>No Match</v>
      </c>
    </row>
    <row r="4991" spans="1:6" x14ac:dyDescent="0.2">
      <c r="A4991">
        <f>[1]!hospitalinfo[[#This Row],[Facility ID]]</f>
        <v>464014</v>
      </c>
      <c r="B4991" t="str">
        <f>[1]!hospitalinfo[[#This Row],[State]]</f>
        <v>UT</v>
      </c>
      <c r="C4991" t="str">
        <f>[1]!hospitalinfo[[#This Row],[Hospital Type]]</f>
        <v>Psychiatric</v>
      </c>
      <c r="D4991" t="str">
        <f>[1]!hospitalinfo[[#This Row],[Hospital Ownership]]</f>
        <v>Proprietary</v>
      </c>
      <c r="E4991" t="str" cm="1">
        <f t="array" ref="E4991">_xlfn.IFNA(_xlfn.XLOOKUP(1,([1]!hcahps[Facility ID] = clean[[#This Row],[Facility ID]]) * ([1]!hcahps[HCAHPS Measure ID] = "H_HSP_RATING_LINEAR_SCORE"), [1]!hcahps[HCAHPS Linear Mean Value]), "No Match")</f>
        <v>No Match</v>
      </c>
      <c r="F4991" t="str" cm="1">
        <f t="array" ref="F4991">_xlfn.IFNA(_xlfn.XLOOKUP(1,([1]!readmissions[Facility ID] = clean[[#This Row],[Facility ID]]) * ([1]!readmissions[Measure ID] = "Hybrid_HWR"), [1]!readmissions[Score]), "No Match")</f>
        <v>No Match</v>
      </c>
    </row>
    <row r="4992" spans="1:6" x14ac:dyDescent="0.2">
      <c r="A4992" t="str">
        <f>[1]!hospitalinfo[[#This Row],[Facility ID]]</f>
        <v>46002F</v>
      </c>
      <c r="B4992" t="str">
        <f>[1]!hospitalinfo[[#This Row],[State]]</f>
        <v>UT</v>
      </c>
      <c r="C4992" t="str">
        <f>[1]!hospitalinfo[[#This Row],[Hospital Type]]</f>
        <v>Acute Care - Veterans Administration</v>
      </c>
      <c r="D4992" t="str">
        <f>[1]!hospitalinfo[[#This Row],[Hospital Ownership]]</f>
        <v>Veterans Health Administration</v>
      </c>
      <c r="E4992" cm="1">
        <f t="array" ref="E4992">_xlfn.IFNA(_xlfn.XLOOKUP(1,([1]!hcahps[Facility ID] = clean[[#This Row],[Facility ID]]) * ([1]!hcahps[HCAHPS Measure ID] = "H_HSP_RATING_LINEAR_SCORE"), [1]!hcahps[HCAHPS Linear Mean Value]), "No Match")</f>
        <v>92</v>
      </c>
      <c r="F4992" cm="1">
        <f t="array" ref="F4992">_xlfn.IFNA(_xlfn.XLOOKUP(1,([1]!readmissions[Facility ID] = clean[[#This Row],[Facility ID]]) * ([1]!readmissions[Measure ID] = "Hybrid_HWR"), [1]!readmissions[Score]), "No Match")</f>
        <v>14</v>
      </c>
    </row>
    <row r="4993" spans="1:6" x14ac:dyDescent="0.2">
      <c r="A4993">
        <f>[1]!hospitalinfo[[#This Row],[Facility ID]]</f>
        <v>490002</v>
      </c>
      <c r="B4993" t="str">
        <f>[1]!hospitalinfo[[#This Row],[State]]</f>
        <v>VA</v>
      </c>
      <c r="C4993" t="str">
        <f>[1]!hospitalinfo[[#This Row],[Hospital Type]]</f>
        <v>Acute Care Hospitals</v>
      </c>
      <c r="D4993" t="str">
        <f>[1]!hospitalinfo[[#This Row],[Hospital Ownership]]</f>
        <v>Voluntary non-profit - Private</v>
      </c>
      <c r="E4993" cm="1">
        <f t="array" ref="E4993">_xlfn.IFNA(_xlfn.XLOOKUP(1,([1]!hcahps[Facility ID] = clean[[#This Row],[Facility ID]]) * ([1]!hcahps[HCAHPS Measure ID] = "H_HSP_RATING_LINEAR_SCORE"), [1]!hcahps[HCAHPS Linear Mean Value]), "No Match")</f>
        <v>89</v>
      </c>
      <c r="F4993" cm="1">
        <f t="array" ref="F4993">_xlfn.IFNA(_xlfn.XLOOKUP(1,([1]!readmissions[Facility ID] = clean[[#This Row],[Facility ID]]) * ([1]!readmissions[Measure ID] = "Hybrid_HWR"), [1]!readmissions[Score]), "No Match")</f>
        <v>15.8</v>
      </c>
    </row>
    <row r="4994" spans="1:6" x14ac:dyDescent="0.2">
      <c r="A4994">
        <f>[1]!hospitalinfo[[#This Row],[Facility ID]]</f>
        <v>490004</v>
      </c>
      <c r="B4994" t="str">
        <f>[1]!hospitalinfo[[#This Row],[State]]</f>
        <v>VA</v>
      </c>
      <c r="C4994" t="str">
        <f>[1]!hospitalinfo[[#This Row],[Hospital Type]]</f>
        <v>Acute Care Hospitals</v>
      </c>
      <c r="D4994" t="str">
        <f>[1]!hospitalinfo[[#This Row],[Hospital Ownership]]</f>
        <v>Voluntary non-profit - Private</v>
      </c>
      <c r="E4994" cm="1">
        <f t="array" ref="E4994">_xlfn.IFNA(_xlfn.XLOOKUP(1,([1]!hcahps[Facility ID] = clean[[#This Row],[Facility ID]]) * ([1]!hcahps[HCAHPS Measure ID] = "H_HSP_RATING_LINEAR_SCORE"), [1]!hcahps[HCAHPS Linear Mean Value]), "No Match")</f>
        <v>89</v>
      </c>
      <c r="F4994" cm="1">
        <f t="array" ref="F4994">_xlfn.IFNA(_xlfn.XLOOKUP(1,([1]!readmissions[Facility ID] = clean[[#This Row],[Facility ID]]) * ([1]!readmissions[Measure ID] = "Hybrid_HWR"), [1]!readmissions[Score]), "No Match")</f>
        <v>14.9</v>
      </c>
    </row>
    <row r="4995" spans="1:6" x14ac:dyDescent="0.2">
      <c r="A4995">
        <f>[1]!hospitalinfo[[#This Row],[Facility ID]]</f>
        <v>490005</v>
      </c>
      <c r="B4995" t="str">
        <f>[1]!hospitalinfo[[#This Row],[State]]</f>
        <v>VA</v>
      </c>
      <c r="C4995" t="str">
        <f>[1]!hospitalinfo[[#This Row],[Hospital Type]]</f>
        <v>Acute Care Hospitals</v>
      </c>
      <c r="D4995" t="str">
        <f>[1]!hospitalinfo[[#This Row],[Hospital Ownership]]</f>
        <v>Voluntary non-profit - Private</v>
      </c>
      <c r="E4995" cm="1">
        <f t="array" ref="E4995">_xlfn.IFNA(_xlfn.XLOOKUP(1,([1]!hcahps[Facility ID] = clean[[#This Row],[Facility ID]]) * ([1]!hcahps[HCAHPS Measure ID] = "H_HSP_RATING_LINEAR_SCORE"), [1]!hcahps[HCAHPS Linear Mean Value]), "No Match")</f>
        <v>89</v>
      </c>
      <c r="F4995" cm="1">
        <f t="array" ref="F4995">_xlfn.IFNA(_xlfn.XLOOKUP(1,([1]!readmissions[Facility ID] = clean[[#This Row],[Facility ID]]) * ([1]!readmissions[Measure ID] = "Hybrid_HWR"), [1]!readmissions[Score]), "No Match")</f>
        <v>15.2</v>
      </c>
    </row>
    <row r="4996" spans="1:6" x14ac:dyDescent="0.2">
      <c r="A4996">
        <f>[1]!hospitalinfo[[#This Row],[Facility ID]]</f>
        <v>490007</v>
      </c>
      <c r="B4996" t="str">
        <f>[1]!hospitalinfo[[#This Row],[State]]</f>
        <v>VA</v>
      </c>
      <c r="C4996" t="str">
        <f>[1]!hospitalinfo[[#This Row],[Hospital Type]]</f>
        <v>Acute Care Hospitals</v>
      </c>
      <c r="D4996" t="str">
        <f>[1]!hospitalinfo[[#This Row],[Hospital Ownership]]</f>
        <v>Voluntary non-profit - Other</v>
      </c>
      <c r="E4996" cm="1">
        <f t="array" ref="E4996">_xlfn.IFNA(_xlfn.XLOOKUP(1,([1]!hcahps[Facility ID] = clean[[#This Row],[Facility ID]]) * ([1]!hcahps[HCAHPS Measure ID] = "H_HSP_RATING_LINEAR_SCORE"), [1]!hcahps[HCAHPS Linear Mean Value]), "No Match")</f>
        <v>89</v>
      </c>
      <c r="F4996" cm="1">
        <f t="array" ref="F4996">_xlfn.IFNA(_xlfn.XLOOKUP(1,([1]!readmissions[Facility ID] = clean[[#This Row],[Facility ID]]) * ([1]!readmissions[Measure ID] = "Hybrid_HWR"), [1]!readmissions[Score]), "No Match")</f>
        <v>14.6</v>
      </c>
    </row>
    <row r="4997" spans="1:6" x14ac:dyDescent="0.2">
      <c r="A4997">
        <f>[1]!hospitalinfo[[#This Row],[Facility ID]]</f>
        <v>490009</v>
      </c>
      <c r="B4997" t="str">
        <f>[1]!hospitalinfo[[#This Row],[State]]</f>
        <v>VA</v>
      </c>
      <c r="C4997" t="str">
        <f>[1]!hospitalinfo[[#This Row],[Hospital Type]]</f>
        <v>Acute Care Hospitals</v>
      </c>
      <c r="D4997" t="str">
        <f>[1]!hospitalinfo[[#This Row],[Hospital Ownership]]</f>
        <v>Government - State</v>
      </c>
      <c r="E4997" cm="1">
        <f t="array" ref="E4997">_xlfn.IFNA(_xlfn.XLOOKUP(1,([1]!hcahps[Facility ID] = clean[[#This Row],[Facility ID]]) * ([1]!hcahps[HCAHPS Measure ID] = "H_HSP_RATING_LINEAR_SCORE"), [1]!hcahps[HCAHPS Linear Mean Value]), "No Match")</f>
        <v>90</v>
      </c>
      <c r="F4997" cm="1">
        <f t="array" ref="F4997">_xlfn.IFNA(_xlfn.XLOOKUP(1,([1]!readmissions[Facility ID] = clean[[#This Row],[Facility ID]]) * ([1]!readmissions[Measure ID] = "Hybrid_HWR"), [1]!readmissions[Score]), "No Match")</f>
        <v>14.4</v>
      </c>
    </row>
    <row r="4998" spans="1:6" x14ac:dyDescent="0.2">
      <c r="A4998">
        <f>[1]!hospitalinfo[[#This Row],[Facility ID]]</f>
        <v>490013</v>
      </c>
      <c r="B4998" t="str">
        <f>[1]!hospitalinfo[[#This Row],[State]]</f>
        <v>VA</v>
      </c>
      <c r="C4998" t="str">
        <f>[1]!hospitalinfo[[#This Row],[Hospital Type]]</f>
        <v>Acute Care Hospitals</v>
      </c>
      <c r="D4998" t="str">
        <f>[1]!hospitalinfo[[#This Row],[Hospital Ownership]]</f>
        <v>Voluntary non-profit - Private</v>
      </c>
      <c r="E4998" cm="1">
        <f t="array" ref="E4998">_xlfn.IFNA(_xlfn.XLOOKUP(1,([1]!hcahps[Facility ID] = clean[[#This Row],[Facility ID]]) * ([1]!hcahps[HCAHPS Measure ID] = "H_HSP_RATING_LINEAR_SCORE"), [1]!hcahps[HCAHPS Linear Mean Value]), "No Match")</f>
        <v>88</v>
      </c>
      <c r="F4998" cm="1">
        <f t="array" ref="F4998">_xlfn.IFNA(_xlfn.XLOOKUP(1,([1]!readmissions[Facility ID] = clean[[#This Row],[Facility ID]]) * ([1]!readmissions[Measure ID] = "Hybrid_HWR"), [1]!readmissions[Score]), "No Match")</f>
        <v>14.3</v>
      </c>
    </row>
    <row r="4999" spans="1:6" x14ac:dyDescent="0.2">
      <c r="A4999">
        <f>[1]!hospitalinfo[[#This Row],[Facility ID]]</f>
        <v>490017</v>
      </c>
      <c r="B4999" t="str">
        <f>[1]!hospitalinfo[[#This Row],[State]]</f>
        <v>VA</v>
      </c>
      <c r="C4999" t="str">
        <f>[1]!hospitalinfo[[#This Row],[Hospital Type]]</f>
        <v>Acute Care Hospitals</v>
      </c>
      <c r="D4999" t="str">
        <f>[1]!hospitalinfo[[#This Row],[Hospital Ownership]]</f>
        <v>Voluntary non-profit - Private</v>
      </c>
      <c r="E4999" cm="1">
        <f t="array" ref="E4999">_xlfn.IFNA(_xlfn.XLOOKUP(1,([1]!hcahps[Facility ID] = clean[[#This Row],[Facility ID]]) * ([1]!hcahps[HCAHPS Measure ID] = "H_HSP_RATING_LINEAR_SCORE"), [1]!hcahps[HCAHPS Linear Mean Value]), "No Match")</f>
        <v>85</v>
      </c>
      <c r="F4999" cm="1">
        <f t="array" ref="F4999">_xlfn.IFNA(_xlfn.XLOOKUP(1,([1]!readmissions[Facility ID] = clean[[#This Row],[Facility ID]]) * ([1]!readmissions[Measure ID] = "Hybrid_HWR"), [1]!readmissions[Score]), "No Match")</f>
        <v>14.8</v>
      </c>
    </row>
    <row r="5000" spans="1:6" x14ac:dyDescent="0.2">
      <c r="A5000">
        <f>[1]!hospitalinfo[[#This Row],[Facility ID]]</f>
        <v>490018</v>
      </c>
      <c r="B5000" t="str">
        <f>[1]!hospitalinfo[[#This Row],[State]]</f>
        <v>VA</v>
      </c>
      <c r="C5000" t="str">
        <f>[1]!hospitalinfo[[#This Row],[Hospital Type]]</f>
        <v>Acute Care Hospitals</v>
      </c>
      <c r="D5000" t="str">
        <f>[1]!hospitalinfo[[#This Row],[Hospital Ownership]]</f>
        <v>Voluntary non-profit - Private</v>
      </c>
      <c r="E5000" cm="1">
        <f t="array" ref="E5000">_xlfn.IFNA(_xlfn.XLOOKUP(1,([1]!hcahps[Facility ID] = clean[[#This Row],[Facility ID]]) * ([1]!hcahps[HCAHPS Measure ID] = "H_HSP_RATING_LINEAR_SCORE"), [1]!hcahps[HCAHPS Linear Mean Value]), "No Match")</f>
        <v>89</v>
      </c>
      <c r="F5000" cm="1">
        <f t="array" ref="F5000">_xlfn.IFNA(_xlfn.XLOOKUP(1,([1]!readmissions[Facility ID] = clean[[#This Row],[Facility ID]]) * ([1]!readmissions[Measure ID] = "Hybrid_HWR"), [1]!readmissions[Score]), "No Match")</f>
        <v>14</v>
      </c>
    </row>
    <row r="5001" spans="1:6" x14ac:dyDescent="0.2">
      <c r="A5001">
        <f>[1]!hospitalinfo[[#This Row],[Facility ID]]</f>
        <v>490019</v>
      </c>
      <c r="B5001" t="str">
        <f>[1]!hospitalinfo[[#This Row],[State]]</f>
        <v>VA</v>
      </c>
      <c r="C5001" t="str">
        <f>[1]!hospitalinfo[[#This Row],[Hospital Type]]</f>
        <v>Acute Care Hospitals</v>
      </c>
      <c r="D5001" t="str">
        <f>[1]!hospitalinfo[[#This Row],[Hospital Ownership]]</f>
        <v>Voluntary non-profit - Private</v>
      </c>
      <c r="E5001" cm="1">
        <f t="array" ref="E5001">_xlfn.IFNA(_xlfn.XLOOKUP(1,([1]!hcahps[Facility ID] = clean[[#This Row],[Facility ID]]) * ([1]!hcahps[HCAHPS Measure ID] = "H_HSP_RATING_LINEAR_SCORE"), [1]!hcahps[HCAHPS Linear Mean Value]), "No Match")</f>
        <v>86</v>
      </c>
      <c r="F5001" cm="1">
        <f t="array" ref="F5001">_xlfn.IFNA(_xlfn.XLOOKUP(1,([1]!readmissions[Facility ID] = clean[[#This Row],[Facility ID]]) * ([1]!readmissions[Measure ID] = "Hybrid_HWR"), [1]!readmissions[Score]), "No Match")</f>
        <v>15.3</v>
      </c>
    </row>
    <row r="5002" spans="1:6" x14ac:dyDescent="0.2">
      <c r="A5002">
        <f>[1]!hospitalinfo[[#This Row],[Facility ID]]</f>
        <v>490020</v>
      </c>
      <c r="B5002" t="str">
        <f>[1]!hospitalinfo[[#This Row],[State]]</f>
        <v>VA</v>
      </c>
      <c r="C5002" t="str">
        <f>[1]!hospitalinfo[[#This Row],[Hospital Type]]</f>
        <v>Acute Care Hospitals</v>
      </c>
      <c r="D5002" t="str">
        <f>[1]!hospitalinfo[[#This Row],[Hospital Ownership]]</f>
        <v>Proprietary</v>
      </c>
      <c r="E5002" cm="1">
        <f t="array" ref="E5002">_xlfn.IFNA(_xlfn.XLOOKUP(1,([1]!hcahps[Facility ID] = clean[[#This Row],[Facility ID]]) * ([1]!hcahps[HCAHPS Measure ID] = "H_HSP_RATING_LINEAR_SCORE"), [1]!hcahps[HCAHPS Linear Mean Value]), "No Match")</f>
        <v>87</v>
      </c>
      <c r="F5002" cm="1">
        <f t="array" ref="F5002">_xlfn.IFNA(_xlfn.XLOOKUP(1,([1]!readmissions[Facility ID] = clean[[#This Row],[Facility ID]]) * ([1]!readmissions[Measure ID] = "Hybrid_HWR"), [1]!readmissions[Score]), "No Match")</f>
        <v>15.2</v>
      </c>
    </row>
    <row r="5003" spans="1:6" x14ac:dyDescent="0.2">
      <c r="A5003">
        <f>[1]!hospitalinfo[[#This Row],[Facility ID]]</f>
        <v>490021</v>
      </c>
      <c r="B5003" t="str">
        <f>[1]!hospitalinfo[[#This Row],[State]]</f>
        <v>VA</v>
      </c>
      <c r="C5003" t="str">
        <f>[1]!hospitalinfo[[#This Row],[Hospital Type]]</f>
        <v>Acute Care Hospitals</v>
      </c>
      <c r="D5003" t="str">
        <f>[1]!hospitalinfo[[#This Row],[Hospital Ownership]]</f>
        <v>Voluntary non-profit - Private</v>
      </c>
      <c r="E5003" cm="1">
        <f t="array" ref="E5003">_xlfn.IFNA(_xlfn.XLOOKUP(1,([1]!hcahps[Facility ID] = clean[[#This Row],[Facility ID]]) * ([1]!hcahps[HCAHPS Measure ID] = "H_HSP_RATING_LINEAR_SCORE"), [1]!hcahps[HCAHPS Linear Mean Value]), "No Match")</f>
        <v>86</v>
      </c>
      <c r="F5003" cm="1">
        <f t="array" ref="F5003">_xlfn.IFNA(_xlfn.XLOOKUP(1,([1]!readmissions[Facility ID] = clean[[#This Row],[Facility ID]]) * ([1]!readmissions[Measure ID] = "Hybrid_HWR"), [1]!readmissions[Score]), "No Match")</f>
        <v>13.6</v>
      </c>
    </row>
    <row r="5004" spans="1:6" x14ac:dyDescent="0.2">
      <c r="A5004">
        <f>[1]!hospitalinfo[[#This Row],[Facility ID]]</f>
        <v>490022</v>
      </c>
      <c r="B5004" t="str">
        <f>[1]!hospitalinfo[[#This Row],[State]]</f>
        <v>VA</v>
      </c>
      <c r="C5004" t="str">
        <f>[1]!hospitalinfo[[#This Row],[Hospital Type]]</f>
        <v>Acute Care Hospitals</v>
      </c>
      <c r="D5004" t="str">
        <f>[1]!hospitalinfo[[#This Row],[Hospital Ownership]]</f>
        <v>Voluntary non-profit - Private</v>
      </c>
      <c r="E5004" cm="1">
        <f t="array" ref="E5004">_xlfn.IFNA(_xlfn.XLOOKUP(1,([1]!hcahps[Facility ID] = clean[[#This Row],[Facility ID]]) * ([1]!hcahps[HCAHPS Measure ID] = "H_HSP_RATING_LINEAR_SCORE"), [1]!hcahps[HCAHPS Linear Mean Value]), "No Match")</f>
        <v>85</v>
      </c>
      <c r="F5004" cm="1">
        <f t="array" ref="F5004">_xlfn.IFNA(_xlfn.XLOOKUP(1,([1]!readmissions[Facility ID] = clean[[#This Row],[Facility ID]]) * ([1]!readmissions[Measure ID] = "Hybrid_HWR"), [1]!readmissions[Score]), "No Match")</f>
        <v>15.4</v>
      </c>
    </row>
    <row r="5005" spans="1:6" x14ac:dyDescent="0.2">
      <c r="A5005">
        <f>[1]!hospitalinfo[[#This Row],[Facility ID]]</f>
        <v>490023</v>
      </c>
      <c r="B5005" t="str">
        <f>[1]!hospitalinfo[[#This Row],[State]]</f>
        <v>VA</v>
      </c>
      <c r="C5005" t="str">
        <f>[1]!hospitalinfo[[#This Row],[Hospital Type]]</f>
        <v>Acute Care Hospitals</v>
      </c>
      <c r="D5005" t="str">
        <f>[1]!hospitalinfo[[#This Row],[Hospital Ownership]]</f>
        <v>Proprietary</v>
      </c>
      <c r="E5005" cm="1">
        <f t="array" ref="E5005">_xlfn.IFNA(_xlfn.XLOOKUP(1,([1]!hcahps[Facility ID] = clean[[#This Row],[Facility ID]]) * ([1]!hcahps[HCAHPS Measure ID] = "H_HSP_RATING_LINEAR_SCORE"), [1]!hcahps[HCAHPS Linear Mean Value]), "No Match")</f>
        <v>85</v>
      </c>
      <c r="F5005" cm="1">
        <f t="array" ref="F5005">_xlfn.IFNA(_xlfn.XLOOKUP(1,([1]!readmissions[Facility ID] = clean[[#This Row],[Facility ID]]) * ([1]!readmissions[Measure ID] = "Hybrid_HWR"), [1]!readmissions[Score]), "No Match")</f>
        <v>15</v>
      </c>
    </row>
    <row r="5006" spans="1:6" x14ac:dyDescent="0.2">
      <c r="A5006">
        <f>[1]!hospitalinfo[[#This Row],[Facility ID]]</f>
        <v>490024</v>
      </c>
      <c r="B5006" t="str">
        <f>[1]!hospitalinfo[[#This Row],[State]]</f>
        <v>VA</v>
      </c>
      <c r="C5006" t="str">
        <f>[1]!hospitalinfo[[#This Row],[Hospital Type]]</f>
        <v>Acute Care Hospitals</v>
      </c>
      <c r="D5006" t="str">
        <f>[1]!hospitalinfo[[#This Row],[Hospital Ownership]]</f>
        <v>Voluntary non-profit - Private</v>
      </c>
      <c r="E5006" cm="1">
        <f t="array" ref="E5006">_xlfn.IFNA(_xlfn.XLOOKUP(1,([1]!hcahps[Facility ID] = clean[[#This Row],[Facility ID]]) * ([1]!hcahps[HCAHPS Measure ID] = "H_HSP_RATING_LINEAR_SCORE"), [1]!hcahps[HCAHPS Linear Mean Value]), "No Match")</f>
        <v>87</v>
      </c>
      <c r="F5006" cm="1">
        <f t="array" ref="F5006">_xlfn.IFNA(_xlfn.XLOOKUP(1,([1]!readmissions[Facility ID] = clean[[#This Row],[Facility ID]]) * ([1]!readmissions[Measure ID] = "Hybrid_HWR"), [1]!readmissions[Score]), "No Match")</f>
        <v>14.1</v>
      </c>
    </row>
    <row r="5007" spans="1:6" x14ac:dyDescent="0.2">
      <c r="A5007">
        <f>[1]!hospitalinfo[[#This Row],[Facility ID]]</f>
        <v>490032</v>
      </c>
      <c r="B5007" t="str">
        <f>[1]!hospitalinfo[[#This Row],[State]]</f>
        <v>VA</v>
      </c>
      <c r="C5007" t="str">
        <f>[1]!hospitalinfo[[#This Row],[Hospital Type]]</f>
        <v>Acute Care Hospitals</v>
      </c>
      <c r="D5007" t="str">
        <f>[1]!hospitalinfo[[#This Row],[Hospital Ownership]]</f>
        <v>Government - Hospital District or Authority</v>
      </c>
      <c r="E5007" cm="1">
        <f t="array" ref="E5007">_xlfn.IFNA(_xlfn.XLOOKUP(1,([1]!hcahps[Facility ID] = clean[[#This Row],[Facility ID]]) * ([1]!hcahps[HCAHPS Measure ID] = "H_HSP_RATING_LINEAR_SCORE"), [1]!hcahps[HCAHPS Linear Mean Value]), "No Match")</f>
        <v>90</v>
      </c>
      <c r="F5007" cm="1">
        <f t="array" ref="F5007">_xlfn.IFNA(_xlfn.XLOOKUP(1,([1]!readmissions[Facility ID] = clean[[#This Row],[Facility ID]]) * ([1]!readmissions[Measure ID] = "Hybrid_HWR"), [1]!readmissions[Score]), "No Match")</f>
        <v>15.2</v>
      </c>
    </row>
    <row r="5008" spans="1:6" x14ac:dyDescent="0.2">
      <c r="A5008">
        <f>[1]!hospitalinfo[[#This Row],[Facility ID]]</f>
        <v>490033</v>
      </c>
      <c r="B5008" t="str">
        <f>[1]!hospitalinfo[[#This Row],[State]]</f>
        <v>VA</v>
      </c>
      <c r="C5008" t="str">
        <f>[1]!hospitalinfo[[#This Row],[Hospital Type]]</f>
        <v>Acute Care Hospitals</v>
      </c>
      <c r="D5008" t="str">
        <f>[1]!hospitalinfo[[#This Row],[Hospital Ownership]]</f>
        <v>Voluntary non-profit - Private</v>
      </c>
      <c r="E5008" cm="1">
        <f t="array" ref="E5008">_xlfn.IFNA(_xlfn.XLOOKUP(1,([1]!hcahps[Facility ID] = clean[[#This Row],[Facility ID]]) * ([1]!hcahps[HCAHPS Measure ID] = "H_HSP_RATING_LINEAR_SCORE"), [1]!hcahps[HCAHPS Linear Mean Value]), "No Match")</f>
        <v>90</v>
      </c>
      <c r="F5008" cm="1">
        <f t="array" ref="F5008">_xlfn.IFNA(_xlfn.XLOOKUP(1,([1]!readmissions[Facility ID] = clean[[#This Row],[Facility ID]]) * ([1]!readmissions[Measure ID] = "Hybrid_HWR"), [1]!readmissions[Score]), "No Match")</f>
        <v>15.5</v>
      </c>
    </row>
    <row r="5009" spans="1:6" x14ac:dyDescent="0.2">
      <c r="A5009">
        <f>[1]!hospitalinfo[[#This Row],[Facility ID]]</f>
        <v>490037</v>
      </c>
      <c r="B5009" t="str">
        <f>[1]!hospitalinfo[[#This Row],[State]]</f>
        <v>VA</v>
      </c>
      <c r="C5009" t="str">
        <f>[1]!hospitalinfo[[#This Row],[Hospital Type]]</f>
        <v>Acute Care Hospitals</v>
      </c>
      <c r="D5009" t="str">
        <f>[1]!hospitalinfo[[#This Row],[Hospital Ownership]]</f>
        <v>Voluntary non-profit - Private</v>
      </c>
      <c r="E5009" cm="1">
        <f t="array" ref="E5009">_xlfn.IFNA(_xlfn.XLOOKUP(1,([1]!hcahps[Facility ID] = clean[[#This Row],[Facility ID]]) * ([1]!hcahps[HCAHPS Measure ID] = "H_HSP_RATING_LINEAR_SCORE"), [1]!hcahps[HCAHPS Linear Mean Value]), "No Match")</f>
        <v>91</v>
      </c>
      <c r="F5009" cm="1">
        <f t="array" ref="F5009">_xlfn.IFNA(_xlfn.XLOOKUP(1,([1]!readmissions[Facility ID] = clean[[#This Row],[Facility ID]]) * ([1]!readmissions[Measure ID] = "Hybrid_HWR"), [1]!readmissions[Score]), "No Match")</f>
        <v>15.6</v>
      </c>
    </row>
    <row r="5010" spans="1:6" x14ac:dyDescent="0.2">
      <c r="A5010">
        <f>[1]!hospitalinfo[[#This Row],[Facility ID]]</f>
        <v>490038</v>
      </c>
      <c r="B5010" t="str">
        <f>[1]!hospitalinfo[[#This Row],[State]]</f>
        <v>VA</v>
      </c>
      <c r="C5010" t="str">
        <f>[1]!hospitalinfo[[#This Row],[Hospital Type]]</f>
        <v>Acute Care Hospitals</v>
      </c>
      <c r="D5010" t="str">
        <f>[1]!hospitalinfo[[#This Row],[Hospital Ownership]]</f>
        <v>Voluntary non-profit - Private</v>
      </c>
      <c r="E5010" cm="1">
        <f t="array" ref="E5010">_xlfn.IFNA(_xlfn.XLOOKUP(1,([1]!hcahps[Facility ID] = clean[[#This Row],[Facility ID]]) * ([1]!hcahps[HCAHPS Measure ID] = "H_HSP_RATING_LINEAR_SCORE"), [1]!hcahps[HCAHPS Linear Mean Value]), "No Match")</f>
        <v>89</v>
      </c>
      <c r="F5010" cm="1">
        <f t="array" ref="F5010">_xlfn.IFNA(_xlfn.XLOOKUP(1,([1]!readmissions[Facility ID] = clean[[#This Row],[Facility ID]]) * ([1]!readmissions[Measure ID] = "Hybrid_HWR"), [1]!readmissions[Score]), "No Match")</f>
        <v>14.7</v>
      </c>
    </row>
    <row r="5011" spans="1:6" x14ac:dyDescent="0.2">
      <c r="A5011">
        <f>[1]!hospitalinfo[[#This Row],[Facility ID]]</f>
        <v>490040</v>
      </c>
      <c r="B5011" t="str">
        <f>[1]!hospitalinfo[[#This Row],[State]]</f>
        <v>VA</v>
      </c>
      <c r="C5011" t="str">
        <f>[1]!hospitalinfo[[#This Row],[Hospital Type]]</f>
        <v>Acute Care Hospitals</v>
      </c>
      <c r="D5011" t="str">
        <f>[1]!hospitalinfo[[#This Row],[Hospital Ownership]]</f>
        <v>Voluntary non-profit - Private</v>
      </c>
      <c r="E5011" cm="1">
        <f t="array" ref="E5011">_xlfn.IFNA(_xlfn.XLOOKUP(1,([1]!hcahps[Facility ID] = clean[[#This Row],[Facility ID]]) * ([1]!hcahps[HCAHPS Measure ID] = "H_HSP_RATING_LINEAR_SCORE"), [1]!hcahps[HCAHPS Linear Mean Value]), "No Match")</f>
        <v>88</v>
      </c>
      <c r="F5011" cm="1">
        <f t="array" ref="F5011">_xlfn.IFNA(_xlfn.XLOOKUP(1,([1]!readmissions[Facility ID] = clean[[#This Row],[Facility ID]]) * ([1]!readmissions[Measure ID] = "Hybrid_HWR"), [1]!readmissions[Score]), "No Match")</f>
        <v>13.1</v>
      </c>
    </row>
    <row r="5012" spans="1:6" x14ac:dyDescent="0.2">
      <c r="A5012">
        <f>[1]!hospitalinfo[[#This Row],[Facility ID]]</f>
        <v>490041</v>
      </c>
      <c r="B5012" t="str">
        <f>[1]!hospitalinfo[[#This Row],[State]]</f>
        <v>VA</v>
      </c>
      <c r="C5012" t="str">
        <f>[1]!hospitalinfo[[#This Row],[Hospital Type]]</f>
        <v>Acute Care Hospitals</v>
      </c>
      <c r="D5012" t="str">
        <f>[1]!hospitalinfo[[#This Row],[Hospital Ownership]]</f>
        <v>Voluntary non-profit - Private</v>
      </c>
      <c r="E5012" cm="1">
        <f t="array" ref="E5012">_xlfn.IFNA(_xlfn.XLOOKUP(1,([1]!hcahps[Facility ID] = clean[[#This Row],[Facility ID]]) * ([1]!hcahps[HCAHPS Measure ID] = "H_HSP_RATING_LINEAR_SCORE"), [1]!hcahps[HCAHPS Linear Mean Value]), "No Match")</f>
        <v>86</v>
      </c>
      <c r="F5012" cm="1">
        <f t="array" ref="F5012">_xlfn.IFNA(_xlfn.XLOOKUP(1,([1]!readmissions[Facility ID] = clean[[#This Row],[Facility ID]]) * ([1]!readmissions[Measure ID] = "Hybrid_HWR"), [1]!readmissions[Score]), "No Match")</f>
        <v>14.8</v>
      </c>
    </row>
    <row r="5013" spans="1:6" x14ac:dyDescent="0.2">
      <c r="A5013">
        <f>[1]!hospitalinfo[[#This Row],[Facility ID]]</f>
        <v>490042</v>
      </c>
      <c r="B5013" t="str">
        <f>[1]!hospitalinfo[[#This Row],[State]]</f>
        <v>VA</v>
      </c>
      <c r="C5013" t="str">
        <f>[1]!hospitalinfo[[#This Row],[Hospital Type]]</f>
        <v>Acute Care Hospitals</v>
      </c>
      <c r="D5013" t="str">
        <f>[1]!hospitalinfo[[#This Row],[Hospital Ownership]]</f>
        <v>Voluntary non-profit - Private</v>
      </c>
      <c r="E5013" cm="1">
        <f t="array" ref="E5013">_xlfn.IFNA(_xlfn.XLOOKUP(1,([1]!hcahps[Facility ID] = clean[[#This Row],[Facility ID]]) * ([1]!hcahps[HCAHPS Measure ID] = "H_HSP_RATING_LINEAR_SCORE"), [1]!hcahps[HCAHPS Linear Mean Value]), "No Match")</f>
        <v>88</v>
      </c>
      <c r="F5013" cm="1">
        <f t="array" ref="F5013">_xlfn.IFNA(_xlfn.XLOOKUP(1,([1]!readmissions[Facility ID] = clean[[#This Row],[Facility ID]]) * ([1]!readmissions[Measure ID] = "Hybrid_HWR"), [1]!readmissions[Score]), "No Match")</f>
        <v>14.9</v>
      </c>
    </row>
    <row r="5014" spans="1:6" x14ac:dyDescent="0.2">
      <c r="A5014">
        <f>[1]!hospitalinfo[[#This Row],[Facility ID]]</f>
        <v>490043</v>
      </c>
      <c r="B5014" t="str">
        <f>[1]!hospitalinfo[[#This Row],[State]]</f>
        <v>VA</v>
      </c>
      <c r="C5014" t="str">
        <f>[1]!hospitalinfo[[#This Row],[Hospital Type]]</f>
        <v>Acute Care Hospitals</v>
      </c>
      <c r="D5014" t="str">
        <f>[1]!hospitalinfo[[#This Row],[Hospital Ownership]]</f>
        <v>Voluntary non-profit - Private</v>
      </c>
      <c r="E5014" cm="1">
        <f t="array" ref="E5014">_xlfn.IFNA(_xlfn.XLOOKUP(1,([1]!hcahps[Facility ID] = clean[[#This Row],[Facility ID]]) * ([1]!hcahps[HCAHPS Measure ID] = "H_HSP_RATING_LINEAR_SCORE"), [1]!hcahps[HCAHPS Linear Mean Value]), "No Match")</f>
        <v>90</v>
      </c>
      <c r="F5014" cm="1">
        <f t="array" ref="F5014">_xlfn.IFNA(_xlfn.XLOOKUP(1,([1]!readmissions[Facility ID] = clean[[#This Row],[Facility ID]]) * ([1]!readmissions[Measure ID] = "Hybrid_HWR"), [1]!readmissions[Score]), "No Match")</f>
        <v>13.3</v>
      </c>
    </row>
    <row r="5015" spans="1:6" x14ac:dyDescent="0.2">
      <c r="A5015">
        <f>[1]!hospitalinfo[[#This Row],[Facility ID]]</f>
        <v>490044</v>
      </c>
      <c r="B5015" t="str">
        <f>[1]!hospitalinfo[[#This Row],[State]]</f>
        <v>VA</v>
      </c>
      <c r="C5015" t="str">
        <f>[1]!hospitalinfo[[#This Row],[Hospital Type]]</f>
        <v>Acute Care Hospitals</v>
      </c>
      <c r="D5015" t="str">
        <f>[1]!hospitalinfo[[#This Row],[Hospital Ownership]]</f>
        <v>Voluntary non-profit - Other</v>
      </c>
      <c r="E5015" cm="1">
        <f t="array" ref="E5015">_xlfn.IFNA(_xlfn.XLOOKUP(1,([1]!hcahps[Facility ID] = clean[[#This Row],[Facility ID]]) * ([1]!hcahps[HCAHPS Measure ID] = "H_HSP_RATING_LINEAR_SCORE"), [1]!hcahps[HCAHPS Linear Mean Value]), "No Match")</f>
        <v>90</v>
      </c>
      <c r="F5015" cm="1">
        <f t="array" ref="F5015">_xlfn.IFNA(_xlfn.XLOOKUP(1,([1]!readmissions[Facility ID] = clean[[#This Row],[Facility ID]]) * ([1]!readmissions[Measure ID] = "Hybrid_HWR"), [1]!readmissions[Score]), "No Match")</f>
        <v>15.5</v>
      </c>
    </row>
    <row r="5016" spans="1:6" x14ac:dyDescent="0.2">
      <c r="A5016">
        <f>[1]!hospitalinfo[[#This Row],[Facility ID]]</f>
        <v>490045</v>
      </c>
      <c r="B5016" t="str">
        <f>[1]!hospitalinfo[[#This Row],[State]]</f>
        <v>VA</v>
      </c>
      <c r="C5016" t="str">
        <f>[1]!hospitalinfo[[#This Row],[Hospital Type]]</f>
        <v>Acute Care Hospitals</v>
      </c>
      <c r="D5016" t="str">
        <f>[1]!hospitalinfo[[#This Row],[Hospital Ownership]]</f>
        <v>Voluntary non-profit - Private</v>
      </c>
      <c r="E5016" cm="1">
        <f t="array" ref="E5016">_xlfn.IFNA(_xlfn.XLOOKUP(1,([1]!hcahps[Facility ID] = clean[[#This Row],[Facility ID]]) * ([1]!hcahps[HCAHPS Measure ID] = "H_HSP_RATING_LINEAR_SCORE"), [1]!hcahps[HCAHPS Linear Mean Value]), "No Match")</f>
        <v>85</v>
      </c>
      <c r="F5016" cm="1">
        <f t="array" ref="F5016">_xlfn.IFNA(_xlfn.XLOOKUP(1,([1]!readmissions[Facility ID] = clean[[#This Row],[Facility ID]]) * ([1]!readmissions[Measure ID] = "Hybrid_HWR"), [1]!readmissions[Score]), "No Match")</f>
        <v>15.1</v>
      </c>
    </row>
    <row r="5017" spans="1:6" x14ac:dyDescent="0.2">
      <c r="A5017">
        <f>[1]!hospitalinfo[[#This Row],[Facility ID]]</f>
        <v>490046</v>
      </c>
      <c r="B5017" t="str">
        <f>[1]!hospitalinfo[[#This Row],[State]]</f>
        <v>VA</v>
      </c>
      <c r="C5017" t="str">
        <f>[1]!hospitalinfo[[#This Row],[Hospital Type]]</f>
        <v>Acute Care Hospitals</v>
      </c>
      <c r="D5017" t="str">
        <f>[1]!hospitalinfo[[#This Row],[Hospital Ownership]]</f>
        <v>Voluntary non-profit - Other</v>
      </c>
      <c r="E5017" cm="1">
        <f t="array" ref="E5017">_xlfn.IFNA(_xlfn.XLOOKUP(1,([1]!hcahps[Facility ID] = clean[[#This Row],[Facility ID]]) * ([1]!hcahps[HCAHPS Measure ID] = "H_HSP_RATING_LINEAR_SCORE"), [1]!hcahps[HCAHPS Linear Mean Value]), "No Match")</f>
        <v>90</v>
      </c>
      <c r="F5017" cm="1">
        <f t="array" ref="F5017">_xlfn.IFNA(_xlfn.XLOOKUP(1,([1]!readmissions[Facility ID] = clean[[#This Row],[Facility ID]]) * ([1]!readmissions[Measure ID] = "Hybrid_HWR"), [1]!readmissions[Score]), "No Match")</f>
        <v>16.2</v>
      </c>
    </row>
    <row r="5018" spans="1:6" x14ac:dyDescent="0.2">
      <c r="A5018">
        <f>[1]!hospitalinfo[[#This Row],[Facility ID]]</f>
        <v>490048</v>
      </c>
      <c r="B5018" t="str">
        <f>[1]!hospitalinfo[[#This Row],[State]]</f>
        <v>VA</v>
      </c>
      <c r="C5018" t="str">
        <f>[1]!hospitalinfo[[#This Row],[Hospital Type]]</f>
        <v>Acute Care Hospitals</v>
      </c>
      <c r="D5018" t="str">
        <f>[1]!hospitalinfo[[#This Row],[Hospital Ownership]]</f>
        <v>Proprietary</v>
      </c>
      <c r="E5018" cm="1">
        <f t="array" ref="E5018">_xlfn.IFNA(_xlfn.XLOOKUP(1,([1]!hcahps[Facility ID] = clean[[#This Row],[Facility ID]]) * ([1]!hcahps[HCAHPS Measure ID] = "H_HSP_RATING_LINEAR_SCORE"), [1]!hcahps[HCAHPS Linear Mean Value]), "No Match")</f>
        <v>82</v>
      </c>
      <c r="F5018" cm="1">
        <f t="array" ref="F5018">_xlfn.IFNA(_xlfn.XLOOKUP(1,([1]!readmissions[Facility ID] = clean[[#This Row],[Facility ID]]) * ([1]!readmissions[Measure ID] = "Hybrid_HWR"), [1]!readmissions[Score]), "No Match")</f>
        <v>15.5</v>
      </c>
    </row>
    <row r="5019" spans="1:6" x14ac:dyDescent="0.2">
      <c r="A5019">
        <f>[1]!hospitalinfo[[#This Row],[Facility ID]]</f>
        <v>490050</v>
      </c>
      <c r="B5019" t="str">
        <f>[1]!hospitalinfo[[#This Row],[State]]</f>
        <v>VA</v>
      </c>
      <c r="C5019" t="str">
        <f>[1]!hospitalinfo[[#This Row],[Hospital Type]]</f>
        <v>Acute Care Hospitals</v>
      </c>
      <c r="D5019" t="str">
        <f>[1]!hospitalinfo[[#This Row],[Hospital Ownership]]</f>
        <v>Voluntary non-profit - Private</v>
      </c>
      <c r="E5019" cm="1">
        <f t="array" ref="E5019">_xlfn.IFNA(_xlfn.XLOOKUP(1,([1]!hcahps[Facility ID] = clean[[#This Row],[Facility ID]]) * ([1]!hcahps[HCAHPS Measure ID] = "H_HSP_RATING_LINEAR_SCORE"), [1]!hcahps[HCAHPS Linear Mean Value]), "No Match")</f>
        <v>90</v>
      </c>
      <c r="F5019" cm="1">
        <f t="array" ref="F5019">_xlfn.IFNA(_xlfn.XLOOKUP(1,([1]!readmissions[Facility ID] = clean[[#This Row],[Facility ID]]) * ([1]!readmissions[Measure ID] = "Hybrid_HWR"), [1]!readmissions[Score]), "No Match")</f>
        <v>14</v>
      </c>
    </row>
    <row r="5020" spans="1:6" x14ac:dyDescent="0.2">
      <c r="A5020">
        <f>[1]!hospitalinfo[[#This Row],[Facility ID]]</f>
        <v>490052</v>
      </c>
      <c r="B5020" t="str">
        <f>[1]!hospitalinfo[[#This Row],[State]]</f>
        <v>VA</v>
      </c>
      <c r="C5020" t="str">
        <f>[1]!hospitalinfo[[#This Row],[Hospital Type]]</f>
        <v>Acute Care Hospitals</v>
      </c>
      <c r="D5020" t="str">
        <f>[1]!hospitalinfo[[#This Row],[Hospital Ownership]]</f>
        <v>Voluntary non-profit - Private</v>
      </c>
      <c r="E5020" cm="1">
        <f t="array" ref="E5020">_xlfn.IFNA(_xlfn.XLOOKUP(1,([1]!hcahps[Facility ID] = clean[[#This Row],[Facility ID]]) * ([1]!hcahps[HCAHPS Measure ID] = "H_HSP_RATING_LINEAR_SCORE"), [1]!hcahps[HCAHPS Linear Mean Value]), "No Match")</f>
        <v>90</v>
      </c>
      <c r="F5020" cm="1">
        <f t="array" ref="F5020">_xlfn.IFNA(_xlfn.XLOOKUP(1,([1]!readmissions[Facility ID] = clean[[#This Row],[Facility ID]]) * ([1]!readmissions[Measure ID] = "Hybrid_HWR"), [1]!readmissions[Score]), "No Match")</f>
        <v>14.3</v>
      </c>
    </row>
    <row r="5021" spans="1:6" x14ac:dyDescent="0.2">
      <c r="A5021">
        <f>[1]!hospitalinfo[[#This Row],[Facility ID]]</f>
        <v>490053</v>
      </c>
      <c r="B5021" t="str">
        <f>[1]!hospitalinfo[[#This Row],[State]]</f>
        <v>VA</v>
      </c>
      <c r="C5021" t="str">
        <f>[1]!hospitalinfo[[#This Row],[Hospital Type]]</f>
        <v>Acute Care Hospitals</v>
      </c>
      <c r="D5021" t="str">
        <f>[1]!hospitalinfo[[#This Row],[Hospital Ownership]]</f>
        <v>Voluntary non-profit - Private</v>
      </c>
      <c r="E5021" cm="1">
        <f t="array" ref="E5021">_xlfn.IFNA(_xlfn.XLOOKUP(1,([1]!hcahps[Facility ID] = clean[[#This Row],[Facility ID]]) * ([1]!hcahps[HCAHPS Measure ID] = "H_HSP_RATING_LINEAR_SCORE"), [1]!hcahps[HCAHPS Linear Mean Value]), "No Match")</f>
        <v>87</v>
      </c>
      <c r="F5021" cm="1">
        <f t="array" ref="F5021">_xlfn.IFNA(_xlfn.XLOOKUP(1,([1]!readmissions[Facility ID] = clean[[#This Row],[Facility ID]]) * ([1]!readmissions[Measure ID] = "Hybrid_HWR"), [1]!readmissions[Score]), "No Match")</f>
        <v>15.1</v>
      </c>
    </row>
    <row r="5022" spans="1:6" x14ac:dyDescent="0.2">
      <c r="A5022">
        <f>[1]!hospitalinfo[[#This Row],[Facility ID]]</f>
        <v>490057</v>
      </c>
      <c r="B5022" t="str">
        <f>[1]!hospitalinfo[[#This Row],[State]]</f>
        <v>VA</v>
      </c>
      <c r="C5022" t="str">
        <f>[1]!hospitalinfo[[#This Row],[Hospital Type]]</f>
        <v>Acute Care Hospitals</v>
      </c>
      <c r="D5022" t="str">
        <f>[1]!hospitalinfo[[#This Row],[Hospital Ownership]]</f>
        <v>Voluntary non-profit - Other</v>
      </c>
      <c r="E5022" cm="1">
        <f t="array" ref="E5022">_xlfn.IFNA(_xlfn.XLOOKUP(1,([1]!hcahps[Facility ID] = clean[[#This Row],[Facility ID]]) * ([1]!hcahps[HCAHPS Measure ID] = "H_HSP_RATING_LINEAR_SCORE"), [1]!hcahps[HCAHPS Linear Mean Value]), "No Match")</f>
        <v>89</v>
      </c>
      <c r="F5022" cm="1">
        <f t="array" ref="F5022">_xlfn.IFNA(_xlfn.XLOOKUP(1,([1]!readmissions[Facility ID] = clean[[#This Row],[Facility ID]]) * ([1]!readmissions[Measure ID] = "Hybrid_HWR"), [1]!readmissions[Score]), "No Match")</f>
        <v>15.6</v>
      </c>
    </row>
    <row r="5023" spans="1:6" x14ac:dyDescent="0.2">
      <c r="A5023">
        <f>[1]!hospitalinfo[[#This Row],[Facility ID]]</f>
        <v>490059</v>
      </c>
      <c r="B5023" t="str">
        <f>[1]!hospitalinfo[[#This Row],[State]]</f>
        <v>VA</v>
      </c>
      <c r="C5023" t="str">
        <f>[1]!hospitalinfo[[#This Row],[Hospital Type]]</f>
        <v>Acute Care Hospitals</v>
      </c>
      <c r="D5023" t="str">
        <f>[1]!hospitalinfo[[#This Row],[Hospital Ownership]]</f>
        <v>Voluntary non-profit - Private</v>
      </c>
      <c r="E5023" cm="1">
        <f t="array" ref="E5023">_xlfn.IFNA(_xlfn.XLOOKUP(1,([1]!hcahps[Facility ID] = clean[[#This Row],[Facility ID]]) * ([1]!hcahps[HCAHPS Measure ID] = "H_HSP_RATING_LINEAR_SCORE"), [1]!hcahps[HCAHPS Linear Mean Value]), "No Match")</f>
        <v>87</v>
      </c>
      <c r="F5023" cm="1">
        <f t="array" ref="F5023">_xlfn.IFNA(_xlfn.XLOOKUP(1,([1]!readmissions[Facility ID] = clean[[#This Row],[Facility ID]]) * ([1]!readmissions[Measure ID] = "Hybrid_HWR"), [1]!readmissions[Score]), "No Match")</f>
        <v>14.2</v>
      </c>
    </row>
    <row r="5024" spans="1:6" x14ac:dyDescent="0.2">
      <c r="A5024">
        <f>[1]!hospitalinfo[[#This Row],[Facility ID]]</f>
        <v>490060</v>
      </c>
      <c r="B5024" t="str">
        <f>[1]!hospitalinfo[[#This Row],[State]]</f>
        <v>VA</v>
      </c>
      <c r="C5024" t="str">
        <f>[1]!hospitalinfo[[#This Row],[Hospital Type]]</f>
        <v>Acute Care Hospitals</v>
      </c>
      <c r="D5024" t="str">
        <f>[1]!hospitalinfo[[#This Row],[Hospital Ownership]]</f>
        <v>Proprietary</v>
      </c>
      <c r="E5024" cm="1">
        <f t="array" ref="E5024">_xlfn.IFNA(_xlfn.XLOOKUP(1,([1]!hcahps[Facility ID] = clean[[#This Row],[Facility ID]]) * ([1]!hcahps[HCAHPS Measure ID] = "H_HSP_RATING_LINEAR_SCORE"), [1]!hcahps[HCAHPS Linear Mean Value]), "No Match")</f>
        <v>89</v>
      </c>
      <c r="F5024" cm="1">
        <f t="array" ref="F5024">_xlfn.IFNA(_xlfn.XLOOKUP(1,([1]!readmissions[Facility ID] = clean[[#This Row],[Facility ID]]) * ([1]!readmissions[Measure ID] = "Hybrid_HWR"), [1]!readmissions[Score]), "No Match")</f>
        <v>16</v>
      </c>
    </row>
    <row r="5025" spans="1:6" x14ac:dyDescent="0.2">
      <c r="A5025">
        <f>[1]!hospitalinfo[[#This Row],[Facility ID]]</f>
        <v>490063</v>
      </c>
      <c r="B5025" t="str">
        <f>[1]!hospitalinfo[[#This Row],[State]]</f>
        <v>VA</v>
      </c>
      <c r="C5025" t="str">
        <f>[1]!hospitalinfo[[#This Row],[Hospital Type]]</f>
        <v>Acute Care Hospitals</v>
      </c>
      <c r="D5025" t="str">
        <f>[1]!hospitalinfo[[#This Row],[Hospital Ownership]]</f>
        <v>Voluntary non-profit - Private</v>
      </c>
      <c r="E5025" cm="1">
        <f t="array" ref="E5025">_xlfn.IFNA(_xlfn.XLOOKUP(1,([1]!hcahps[Facility ID] = clean[[#This Row],[Facility ID]]) * ([1]!hcahps[HCAHPS Measure ID] = "H_HSP_RATING_LINEAR_SCORE"), [1]!hcahps[HCAHPS Linear Mean Value]), "No Match")</f>
        <v>91</v>
      </c>
      <c r="F5025" cm="1">
        <f t="array" ref="F5025">_xlfn.IFNA(_xlfn.XLOOKUP(1,([1]!readmissions[Facility ID] = clean[[#This Row],[Facility ID]]) * ([1]!readmissions[Measure ID] = "Hybrid_HWR"), [1]!readmissions[Score]), "No Match")</f>
        <v>14.1</v>
      </c>
    </row>
    <row r="5026" spans="1:6" x14ac:dyDescent="0.2">
      <c r="A5026">
        <f>[1]!hospitalinfo[[#This Row],[Facility ID]]</f>
        <v>490066</v>
      </c>
      <c r="B5026" t="str">
        <f>[1]!hospitalinfo[[#This Row],[State]]</f>
        <v>VA</v>
      </c>
      <c r="C5026" t="str">
        <f>[1]!hospitalinfo[[#This Row],[Hospital Type]]</f>
        <v>Acute Care Hospitals</v>
      </c>
      <c r="D5026" t="str">
        <f>[1]!hospitalinfo[[#This Row],[Hospital Ownership]]</f>
        <v>Voluntary non-profit - Private</v>
      </c>
      <c r="E5026" cm="1">
        <f t="array" ref="E5026">_xlfn.IFNA(_xlfn.XLOOKUP(1,([1]!hcahps[Facility ID] = clean[[#This Row],[Facility ID]]) * ([1]!hcahps[HCAHPS Measure ID] = "H_HSP_RATING_LINEAR_SCORE"), [1]!hcahps[HCAHPS Linear Mean Value]), "No Match")</f>
        <v>91</v>
      </c>
      <c r="F5026" cm="1">
        <f t="array" ref="F5026">_xlfn.IFNA(_xlfn.XLOOKUP(1,([1]!readmissions[Facility ID] = clean[[#This Row],[Facility ID]]) * ([1]!readmissions[Measure ID] = "Hybrid_HWR"), [1]!readmissions[Score]), "No Match")</f>
        <v>13.1</v>
      </c>
    </row>
    <row r="5027" spans="1:6" x14ac:dyDescent="0.2">
      <c r="A5027">
        <f>[1]!hospitalinfo[[#This Row],[Facility ID]]</f>
        <v>490067</v>
      </c>
      <c r="B5027" t="str">
        <f>[1]!hospitalinfo[[#This Row],[State]]</f>
        <v>VA</v>
      </c>
      <c r="C5027" t="str">
        <f>[1]!hospitalinfo[[#This Row],[Hospital Type]]</f>
        <v>Acute Care Hospitals</v>
      </c>
      <c r="D5027" t="str">
        <f>[1]!hospitalinfo[[#This Row],[Hospital Ownership]]</f>
        <v>Proprietary</v>
      </c>
      <c r="E5027" cm="1">
        <f t="array" ref="E5027">_xlfn.IFNA(_xlfn.XLOOKUP(1,([1]!hcahps[Facility ID] = clean[[#This Row],[Facility ID]]) * ([1]!hcahps[HCAHPS Measure ID] = "H_HSP_RATING_LINEAR_SCORE"), [1]!hcahps[HCAHPS Linear Mean Value]), "No Match")</f>
        <v>86</v>
      </c>
      <c r="F5027" cm="1">
        <f t="array" ref="F5027">_xlfn.IFNA(_xlfn.XLOOKUP(1,([1]!readmissions[Facility ID] = clean[[#This Row],[Facility ID]]) * ([1]!readmissions[Measure ID] = "Hybrid_HWR"), [1]!readmissions[Score]), "No Match")</f>
        <v>15.8</v>
      </c>
    </row>
    <row r="5028" spans="1:6" x14ac:dyDescent="0.2">
      <c r="A5028">
        <f>[1]!hospitalinfo[[#This Row],[Facility ID]]</f>
        <v>490069</v>
      </c>
      <c r="B5028" t="str">
        <f>[1]!hospitalinfo[[#This Row],[State]]</f>
        <v>VA</v>
      </c>
      <c r="C5028" t="str">
        <f>[1]!hospitalinfo[[#This Row],[Hospital Type]]</f>
        <v>Acute Care Hospitals</v>
      </c>
      <c r="D5028" t="str">
        <f>[1]!hospitalinfo[[#This Row],[Hospital Ownership]]</f>
        <v>Voluntary non-profit - Church</v>
      </c>
      <c r="E5028" cm="1">
        <f t="array" ref="E5028">_xlfn.IFNA(_xlfn.XLOOKUP(1,([1]!hcahps[Facility ID] = clean[[#This Row],[Facility ID]]) * ([1]!hcahps[HCAHPS Measure ID] = "H_HSP_RATING_LINEAR_SCORE"), [1]!hcahps[HCAHPS Linear Mean Value]), "No Match")</f>
        <v>86</v>
      </c>
      <c r="F5028" cm="1">
        <f t="array" ref="F5028">_xlfn.IFNA(_xlfn.XLOOKUP(1,([1]!readmissions[Facility ID] = clean[[#This Row],[Facility ID]]) * ([1]!readmissions[Measure ID] = "Hybrid_HWR"), [1]!readmissions[Score]), "No Match")</f>
        <v>14.7</v>
      </c>
    </row>
    <row r="5029" spans="1:6" x14ac:dyDescent="0.2">
      <c r="A5029">
        <f>[1]!hospitalinfo[[#This Row],[Facility ID]]</f>
        <v>490075</v>
      </c>
      <c r="B5029" t="str">
        <f>[1]!hospitalinfo[[#This Row],[State]]</f>
        <v>VA</v>
      </c>
      <c r="C5029" t="str">
        <f>[1]!hospitalinfo[[#This Row],[Hospital Type]]</f>
        <v>Acute Care Hospitals</v>
      </c>
      <c r="D5029" t="str">
        <f>[1]!hospitalinfo[[#This Row],[Hospital Ownership]]</f>
        <v>Proprietary</v>
      </c>
      <c r="E5029" cm="1">
        <f t="array" ref="E5029">_xlfn.IFNA(_xlfn.XLOOKUP(1,([1]!hcahps[Facility ID] = clean[[#This Row],[Facility ID]]) * ([1]!hcahps[HCAHPS Measure ID] = "H_HSP_RATING_LINEAR_SCORE"), [1]!hcahps[HCAHPS Linear Mean Value]), "No Match")</f>
        <v>83</v>
      </c>
      <c r="F5029" cm="1">
        <f t="array" ref="F5029">_xlfn.IFNA(_xlfn.XLOOKUP(1,([1]!readmissions[Facility ID] = clean[[#This Row],[Facility ID]]) * ([1]!readmissions[Measure ID] = "Hybrid_HWR"), [1]!readmissions[Score]), "No Match")</f>
        <v>14.4</v>
      </c>
    </row>
    <row r="5030" spans="1:6" x14ac:dyDescent="0.2">
      <c r="A5030">
        <f>[1]!hospitalinfo[[#This Row],[Facility ID]]</f>
        <v>490077</v>
      </c>
      <c r="B5030" t="str">
        <f>[1]!hospitalinfo[[#This Row],[State]]</f>
        <v>VA</v>
      </c>
      <c r="C5030" t="str">
        <f>[1]!hospitalinfo[[#This Row],[Hospital Type]]</f>
        <v>Acute Care Hospitals</v>
      </c>
      <c r="D5030" t="str">
        <f>[1]!hospitalinfo[[#This Row],[Hospital Ownership]]</f>
        <v>Voluntary non-profit - Private</v>
      </c>
      <c r="E5030" cm="1">
        <f t="array" ref="E5030">_xlfn.IFNA(_xlfn.XLOOKUP(1,([1]!hcahps[Facility ID] = clean[[#This Row],[Facility ID]]) * ([1]!hcahps[HCAHPS Measure ID] = "H_HSP_RATING_LINEAR_SCORE"), [1]!hcahps[HCAHPS Linear Mean Value]), "No Match")</f>
        <v>90</v>
      </c>
      <c r="F5030" cm="1">
        <f t="array" ref="F5030">_xlfn.IFNA(_xlfn.XLOOKUP(1,([1]!readmissions[Facility ID] = clean[[#This Row],[Facility ID]]) * ([1]!readmissions[Measure ID] = "Hybrid_HWR"), [1]!readmissions[Score]), "No Match")</f>
        <v>13.1</v>
      </c>
    </row>
    <row r="5031" spans="1:6" x14ac:dyDescent="0.2">
      <c r="A5031">
        <f>[1]!hospitalinfo[[#This Row],[Facility ID]]</f>
        <v>490084</v>
      </c>
      <c r="B5031" t="str">
        <f>[1]!hospitalinfo[[#This Row],[State]]</f>
        <v>VA</v>
      </c>
      <c r="C5031" t="str">
        <f>[1]!hospitalinfo[[#This Row],[Hospital Type]]</f>
        <v>Acute Care Hospitals</v>
      </c>
      <c r="D5031" t="str">
        <f>[1]!hospitalinfo[[#This Row],[Hospital Ownership]]</f>
        <v>Voluntary non-profit - Private</v>
      </c>
      <c r="E5031" cm="1">
        <f t="array" ref="E5031">_xlfn.IFNA(_xlfn.XLOOKUP(1,([1]!hcahps[Facility ID] = clean[[#This Row],[Facility ID]]) * ([1]!hcahps[HCAHPS Measure ID] = "H_HSP_RATING_LINEAR_SCORE"), [1]!hcahps[HCAHPS Linear Mean Value]), "No Match")</f>
        <v>88</v>
      </c>
      <c r="F5031" cm="1">
        <f t="array" ref="F5031">_xlfn.IFNA(_xlfn.XLOOKUP(1,([1]!readmissions[Facility ID] = clean[[#This Row],[Facility ID]]) * ([1]!readmissions[Measure ID] = "Hybrid_HWR"), [1]!readmissions[Score]), "No Match")</f>
        <v>15.2</v>
      </c>
    </row>
    <row r="5032" spans="1:6" x14ac:dyDescent="0.2">
      <c r="A5032">
        <f>[1]!hospitalinfo[[#This Row],[Facility ID]]</f>
        <v>490088</v>
      </c>
      <c r="B5032" t="str">
        <f>[1]!hospitalinfo[[#This Row],[State]]</f>
        <v>VA</v>
      </c>
      <c r="C5032" t="str">
        <f>[1]!hospitalinfo[[#This Row],[Hospital Type]]</f>
        <v>Acute Care Hospitals</v>
      </c>
      <c r="D5032" t="str">
        <f>[1]!hospitalinfo[[#This Row],[Hospital Ownership]]</f>
        <v>Voluntary non-profit - Private</v>
      </c>
      <c r="E5032" cm="1">
        <f t="array" ref="E5032">_xlfn.IFNA(_xlfn.XLOOKUP(1,([1]!hcahps[Facility ID] = clean[[#This Row],[Facility ID]]) * ([1]!hcahps[HCAHPS Measure ID] = "H_HSP_RATING_LINEAR_SCORE"), [1]!hcahps[HCAHPS Linear Mean Value]), "No Match")</f>
        <v>91</v>
      </c>
      <c r="F5032" cm="1">
        <f t="array" ref="F5032">_xlfn.IFNA(_xlfn.XLOOKUP(1,([1]!readmissions[Facility ID] = clean[[#This Row],[Facility ID]]) * ([1]!readmissions[Measure ID] = "Hybrid_HWR"), [1]!readmissions[Score]), "No Match")</f>
        <v>13.9</v>
      </c>
    </row>
    <row r="5033" spans="1:6" x14ac:dyDescent="0.2">
      <c r="A5033">
        <f>[1]!hospitalinfo[[#This Row],[Facility ID]]</f>
        <v>490089</v>
      </c>
      <c r="B5033" t="str">
        <f>[1]!hospitalinfo[[#This Row],[State]]</f>
        <v>VA</v>
      </c>
      <c r="C5033" t="str">
        <f>[1]!hospitalinfo[[#This Row],[Hospital Type]]</f>
        <v>Acute Care Hospitals</v>
      </c>
      <c r="D5033" t="str">
        <f>[1]!hospitalinfo[[#This Row],[Hospital Ownership]]</f>
        <v>Voluntary non-profit - Private</v>
      </c>
      <c r="E5033" cm="1">
        <f t="array" ref="E5033">_xlfn.IFNA(_xlfn.XLOOKUP(1,([1]!hcahps[Facility ID] = clean[[#This Row],[Facility ID]]) * ([1]!hcahps[HCAHPS Measure ID] = "H_HSP_RATING_LINEAR_SCORE"), [1]!hcahps[HCAHPS Linear Mean Value]), "No Match")</f>
        <v>89</v>
      </c>
      <c r="F5033" cm="1">
        <f t="array" ref="F5033">_xlfn.IFNA(_xlfn.XLOOKUP(1,([1]!readmissions[Facility ID] = clean[[#This Row],[Facility ID]]) * ([1]!readmissions[Measure ID] = "Hybrid_HWR"), [1]!readmissions[Score]), "No Match")</f>
        <v>14.2</v>
      </c>
    </row>
    <row r="5034" spans="1:6" x14ac:dyDescent="0.2">
      <c r="A5034">
        <f>[1]!hospitalinfo[[#This Row],[Facility ID]]</f>
        <v>490090</v>
      </c>
      <c r="B5034" t="str">
        <f>[1]!hospitalinfo[[#This Row],[State]]</f>
        <v>VA</v>
      </c>
      <c r="C5034" t="str">
        <f>[1]!hospitalinfo[[#This Row],[Hospital Type]]</f>
        <v>Acute Care Hospitals</v>
      </c>
      <c r="D5034" t="str">
        <f>[1]!hospitalinfo[[#This Row],[Hospital Ownership]]</f>
        <v>Voluntary non-profit - Private</v>
      </c>
      <c r="E5034" cm="1">
        <f t="array" ref="E5034">_xlfn.IFNA(_xlfn.XLOOKUP(1,([1]!hcahps[Facility ID] = clean[[#This Row],[Facility ID]]) * ([1]!hcahps[HCAHPS Measure ID] = "H_HSP_RATING_LINEAR_SCORE"), [1]!hcahps[HCAHPS Linear Mean Value]), "No Match")</f>
        <v>87</v>
      </c>
      <c r="F5034" cm="1">
        <f t="array" ref="F5034">_xlfn.IFNA(_xlfn.XLOOKUP(1,([1]!readmissions[Facility ID] = clean[[#This Row],[Facility ID]]) * ([1]!readmissions[Measure ID] = "Hybrid_HWR"), [1]!readmissions[Score]), "No Match")</f>
        <v>13.6</v>
      </c>
    </row>
    <row r="5035" spans="1:6" x14ac:dyDescent="0.2">
      <c r="A5035">
        <f>[1]!hospitalinfo[[#This Row],[Facility ID]]</f>
        <v>490092</v>
      </c>
      <c r="B5035" t="str">
        <f>[1]!hospitalinfo[[#This Row],[State]]</f>
        <v>VA</v>
      </c>
      <c r="C5035" t="str">
        <f>[1]!hospitalinfo[[#This Row],[Hospital Type]]</f>
        <v>Acute Care Hospitals</v>
      </c>
      <c r="D5035" t="str">
        <f>[1]!hospitalinfo[[#This Row],[Hospital Ownership]]</f>
        <v>Voluntary non-profit - Private</v>
      </c>
      <c r="E5035" cm="1">
        <f t="array" ref="E5035">_xlfn.IFNA(_xlfn.XLOOKUP(1,([1]!hcahps[Facility ID] = clean[[#This Row],[Facility ID]]) * ([1]!hcahps[HCAHPS Measure ID] = "H_HSP_RATING_LINEAR_SCORE"), [1]!hcahps[HCAHPS Linear Mean Value]), "No Match")</f>
        <v>88</v>
      </c>
      <c r="F5035" cm="1">
        <f t="array" ref="F5035">_xlfn.IFNA(_xlfn.XLOOKUP(1,([1]!readmissions[Facility ID] = clean[[#This Row],[Facility ID]]) * ([1]!readmissions[Measure ID] = "Hybrid_HWR"), [1]!readmissions[Score]), "No Match")</f>
        <v>15.2</v>
      </c>
    </row>
    <row r="5036" spans="1:6" x14ac:dyDescent="0.2">
      <c r="A5036">
        <f>[1]!hospitalinfo[[#This Row],[Facility ID]]</f>
        <v>490093</v>
      </c>
      <c r="B5036" t="str">
        <f>[1]!hospitalinfo[[#This Row],[State]]</f>
        <v>VA</v>
      </c>
      <c r="C5036" t="str">
        <f>[1]!hospitalinfo[[#This Row],[Hospital Type]]</f>
        <v>Acute Care Hospitals</v>
      </c>
      <c r="D5036" t="str">
        <f>[1]!hospitalinfo[[#This Row],[Hospital Ownership]]</f>
        <v>Voluntary non-profit - Private</v>
      </c>
      <c r="E5036" cm="1">
        <f t="array" ref="E5036">_xlfn.IFNA(_xlfn.XLOOKUP(1,([1]!hcahps[Facility ID] = clean[[#This Row],[Facility ID]]) * ([1]!hcahps[HCAHPS Measure ID] = "H_HSP_RATING_LINEAR_SCORE"), [1]!hcahps[HCAHPS Linear Mean Value]), "No Match")</f>
        <v>88</v>
      </c>
      <c r="F5036" cm="1">
        <f t="array" ref="F5036">_xlfn.IFNA(_xlfn.XLOOKUP(1,([1]!readmissions[Facility ID] = clean[[#This Row],[Facility ID]]) * ([1]!readmissions[Measure ID] = "Hybrid_HWR"), [1]!readmissions[Score]), "No Match")</f>
        <v>14.8</v>
      </c>
    </row>
    <row r="5037" spans="1:6" x14ac:dyDescent="0.2">
      <c r="A5037">
        <f>[1]!hospitalinfo[[#This Row],[Facility ID]]</f>
        <v>490094</v>
      </c>
      <c r="B5037" t="str">
        <f>[1]!hospitalinfo[[#This Row],[State]]</f>
        <v>VA</v>
      </c>
      <c r="C5037" t="str">
        <f>[1]!hospitalinfo[[#This Row],[Hospital Type]]</f>
        <v>Acute Care Hospitals</v>
      </c>
      <c r="D5037" t="str">
        <f>[1]!hospitalinfo[[#This Row],[Hospital Ownership]]</f>
        <v>Voluntary non-profit - Private</v>
      </c>
      <c r="E5037" t="str" cm="1">
        <f t="array" ref="E5037">_xlfn.IFNA(_xlfn.XLOOKUP(1,([1]!hcahps[Facility ID] = clean[[#This Row],[Facility ID]]) * ([1]!hcahps[HCAHPS Measure ID] = "H_HSP_RATING_LINEAR_SCORE"), [1]!hcahps[HCAHPS Linear Mean Value]), "No Match")</f>
        <v>Not Available</v>
      </c>
      <c r="F5037" cm="1">
        <f t="array" ref="F5037">_xlfn.IFNA(_xlfn.XLOOKUP(1,([1]!readmissions[Facility ID] = clean[[#This Row],[Facility ID]]) * ([1]!readmissions[Measure ID] = "Hybrid_HWR"), [1]!readmissions[Score]), "No Match")</f>
        <v>14.9</v>
      </c>
    </row>
    <row r="5038" spans="1:6" x14ac:dyDescent="0.2">
      <c r="A5038">
        <f>[1]!hospitalinfo[[#This Row],[Facility ID]]</f>
        <v>490097</v>
      </c>
      <c r="B5038" t="str">
        <f>[1]!hospitalinfo[[#This Row],[State]]</f>
        <v>VA</v>
      </c>
      <c r="C5038" t="str">
        <f>[1]!hospitalinfo[[#This Row],[Hospital Type]]</f>
        <v>Acute Care Hospitals</v>
      </c>
      <c r="D5038" t="str">
        <f>[1]!hospitalinfo[[#This Row],[Hospital Ownership]]</f>
        <v>Proprietary</v>
      </c>
      <c r="E5038" t="str" cm="1">
        <f t="array" ref="E5038">_xlfn.IFNA(_xlfn.XLOOKUP(1,([1]!hcahps[Facility ID] = clean[[#This Row],[Facility ID]]) * ([1]!hcahps[HCAHPS Measure ID] = "H_HSP_RATING_LINEAR_SCORE"), [1]!hcahps[HCAHPS Linear Mean Value]), "No Match")</f>
        <v>Not Available</v>
      </c>
      <c r="F5038" cm="1">
        <f t="array" ref="F5038">_xlfn.IFNA(_xlfn.XLOOKUP(1,([1]!readmissions[Facility ID] = clean[[#This Row],[Facility ID]]) * ([1]!readmissions[Measure ID] = "Hybrid_HWR"), [1]!readmissions[Score]), "No Match")</f>
        <v>14</v>
      </c>
    </row>
    <row r="5039" spans="1:6" x14ac:dyDescent="0.2">
      <c r="A5039">
        <f>[1]!hospitalinfo[[#This Row],[Facility ID]]</f>
        <v>490098</v>
      </c>
      <c r="B5039" t="str">
        <f>[1]!hospitalinfo[[#This Row],[State]]</f>
        <v>VA</v>
      </c>
      <c r="C5039" t="str">
        <f>[1]!hospitalinfo[[#This Row],[Hospital Type]]</f>
        <v>Acute Care Hospitals</v>
      </c>
      <c r="D5039" t="str">
        <f>[1]!hospitalinfo[[#This Row],[Hospital Ownership]]</f>
        <v>Government - Hospital District or Authority</v>
      </c>
      <c r="E5039" cm="1">
        <f t="array" ref="E5039">_xlfn.IFNA(_xlfn.XLOOKUP(1,([1]!hcahps[Facility ID] = clean[[#This Row],[Facility ID]]) * ([1]!hcahps[HCAHPS Measure ID] = "H_HSP_RATING_LINEAR_SCORE"), [1]!hcahps[HCAHPS Linear Mean Value]), "No Match")</f>
        <v>90</v>
      </c>
      <c r="F5039" cm="1">
        <f t="array" ref="F5039">_xlfn.IFNA(_xlfn.XLOOKUP(1,([1]!readmissions[Facility ID] = clean[[#This Row],[Facility ID]]) * ([1]!readmissions[Measure ID] = "Hybrid_HWR"), [1]!readmissions[Score]), "No Match")</f>
        <v>14.5</v>
      </c>
    </row>
    <row r="5040" spans="1:6" x14ac:dyDescent="0.2">
      <c r="A5040">
        <f>[1]!hospitalinfo[[#This Row],[Facility ID]]</f>
        <v>490101</v>
      </c>
      <c r="B5040" t="str">
        <f>[1]!hospitalinfo[[#This Row],[State]]</f>
        <v>VA</v>
      </c>
      <c r="C5040" t="str">
        <f>[1]!hospitalinfo[[#This Row],[Hospital Type]]</f>
        <v>Acute Care Hospitals</v>
      </c>
      <c r="D5040" t="str">
        <f>[1]!hospitalinfo[[#This Row],[Hospital Ownership]]</f>
        <v>Voluntary non-profit - Other</v>
      </c>
      <c r="E5040" cm="1">
        <f t="array" ref="E5040">_xlfn.IFNA(_xlfn.XLOOKUP(1,([1]!hcahps[Facility ID] = clean[[#This Row],[Facility ID]]) * ([1]!hcahps[HCAHPS Measure ID] = "H_HSP_RATING_LINEAR_SCORE"), [1]!hcahps[HCAHPS Linear Mean Value]), "No Match")</f>
        <v>91</v>
      </c>
      <c r="F5040" cm="1">
        <f t="array" ref="F5040">_xlfn.IFNA(_xlfn.XLOOKUP(1,([1]!readmissions[Facility ID] = clean[[#This Row],[Facility ID]]) * ([1]!readmissions[Measure ID] = "Hybrid_HWR"), [1]!readmissions[Score]), "No Match")</f>
        <v>14.3</v>
      </c>
    </row>
    <row r="5041" spans="1:6" x14ac:dyDescent="0.2">
      <c r="A5041">
        <f>[1]!hospitalinfo[[#This Row],[Facility ID]]</f>
        <v>490104</v>
      </c>
      <c r="B5041" t="str">
        <f>[1]!hospitalinfo[[#This Row],[State]]</f>
        <v>VA</v>
      </c>
      <c r="C5041" t="str">
        <f>[1]!hospitalinfo[[#This Row],[Hospital Type]]</f>
        <v>Acute Care Hospitals</v>
      </c>
      <c r="D5041" t="str">
        <f>[1]!hospitalinfo[[#This Row],[Hospital Ownership]]</f>
        <v>Government - State</v>
      </c>
      <c r="E5041" t="str" cm="1">
        <f t="array" ref="E5041">_xlfn.IFNA(_xlfn.XLOOKUP(1,([1]!hcahps[Facility ID] = clean[[#This Row],[Facility ID]]) * ([1]!hcahps[HCAHPS Measure ID] = "H_HSP_RATING_LINEAR_SCORE"), [1]!hcahps[HCAHPS Linear Mean Value]), "No Match")</f>
        <v>Not Available</v>
      </c>
      <c r="F5041" t="str" cm="1">
        <f t="array" ref="F5041">_xlfn.IFNA(_xlfn.XLOOKUP(1,([1]!readmissions[Facility ID] = clean[[#This Row],[Facility ID]]) * ([1]!readmissions[Measure ID] = "Hybrid_HWR"), [1]!readmissions[Score]), "No Match")</f>
        <v>Not Available</v>
      </c>
    </row>
    <row r="5042" spans="1:6" x14ac:dyDescent="0.2">
      <c r="A5042">
        <f>[1]!hospitalinfo[[#This Row],[Facility ID]]</f>
        <v>490107</v>
      </c>
      <c r="B5042" t="str">
        <f>[1]!hospitalinfo[[#This Row],[State]]</f>
        <v>VA</v>
      </c>
      <c r="C5042" t="str">
        <f>[1]!hospitalinfo[[#This Row],[Hospital Type]]</f>
        <v>Acute Care Hospitals</v>
      </c>
      <c r="D5042" t="str">
        <f>[1]!hospitalinfo[[#This Row],[Hospital Ownership]]</f>
        <v>Voluntary non-profit - Private</v>
      </c>
      <c r="E5042" cm="1">
        <f t="array" ref="E5042">_xlfn.IFNA(_xlfn.XLOOKUP(1,([1]!hcahps[Facility ID] = clean[[#This Row],[Facility ID]]) * ([1]!hcahps[HCAHPS Measure ID] = "H_HSP_RATING_LINEAR_SCORE"), [1]!hcahps[HCAHPS Linear Mean Value]), "No Match")</f>
        <v>85</v>
      </c>
      <c r="F5042" cm="1">
        <f t="array" ref="F5042">_xlfn.IFNA(_xlfn.XLOOKUP(1,([1]!readmissions[Facility ID] = clean[[#This Row],[Facility ID]]) * ([1]!readmissions[Measure ID] = "Hybrid_HWR"), [1]!readmissions[Score]), "No Match")</f>
        <v>15.1</v>
      </c>
    </row>
    <row r="5043" spans="1:6" x14ac:dyDescent="0.2">
      <c r="A5043">
        <f>[1]!hospitalinfo[[#This Row],[Facility ID]]</f>
        <v>490110</v>
      </c>
      <c r="B5043" t="str">
        <f>[1]!hospitalinfo[[#This Row],[State]]</f>
        <v>VA</v>
      </c>
      <c r="C5043" t="str">
        <f>[1]!hospitalinfo[[#This Row],[Hospital Type]]</f>
        <v>Acute Care Hospitals</v>
      </c>
      <c r="D5043" t="str">
        <f>[1]!hospitalinfo[[#This Row],[Hospital Ownership]]</f>
        <v>Proprietary</v>
      </c>
      <c r="E5043" cm="1">
        <f t="array" ref="E5043">_xlfn.IFNA(_xlfn.XLOOKUP(1,([1]!hcahps[Facility ID] = clean[[#This Row],[Facility ID]]) * ([1]!hcahps[HCAHPS Measure ID] = "H_HSP_RATING_LINEAR_SCORE"), [1]!hcahps[HCAHPS Linear Mean Value]), "No Match")</f>
        <v>91</v>
      </c>
      <c r="F5043" cm="1">
        <f t="array" ref="F5043">_xlfn.IFNA(_xlfn.XLOOKUP(1,([1]!readmissions[Facility ID] = clean[[#This Row],[Facility ID]]) * ([1]!readmissions[Measure ID] = "Hybrid_HWR"), [1]!readmissions[Score]), "No Match")</f>
        <v>14.4</v>
      </c>
    </row>
    <row r="5044" spans="1:6" x14ac:dyDescent="0.2">
      <c r="A5044">
        <f>[1]!hospitalinfo[[#This Row],[Facility ID]]</f>
        <v>490111</v>
      </c>
      <c r="B5044" t="str">
        <f>[1]!hospitalinfo[[#This Row],[State]]</f>
        <v>VA</v>
      </c>
      <c r="C5044" t="str">
        <f>[1]!hospitalinfo[[#This Row],[Hospital Type]]</f>
        <v>Acute Care Hospitals</v>
      </c>
      <c r="D5044" t="str">
        <f>[1]!hospitalinfo[[#This Row],[Hospital Ownership]]</f>
        <v>Proprietary</v>
      </c>
      <c r="E5044" cm="1">
        <f t="array" ref="E5044">_xlfn.IFNA(_xlfn.XLOOKUP(1,([1]!hcahps[Facility ID] = clean[[#This Row],[Facility ID]]) * ([1]!hcahps[HCAHPS Measure ID] = "H_HSP_RATING_LINEAR_SCORE"), [1]!hcahps[HCAHPS Linear Mean Value]), "No Match")</f>
        <v>88</v>
      </c>
      <c r="F5044" cm="1">
        <f t="array" ref="F5044">_xlfn.IFNA(_xlfn.XLOOKUP(1,([1]!readmissions[Facility ID] = clean[[#This Row],[Facility ID]]) * ([1]!readmissions[Measure ID] = "Hybrid_HWR"), [1]!readmissions[Score]), "No Match")</f>
        <v>13.9</v>
      </c>
    </row>
    <row r="5045" spans="1:6" x14ac:dyDescent="0.2">
      <c r="A5045">
        <f>[1]!hospitalinfo[[#This Row],[Facility ID]]</f>
        <v>490112</v>
      </c>
      <c r="B5045" t="str">
        <f>[1]!hospitalinfo[[#This Row],[State]]</f>
        <v>VA</v>
      </c>
      <c r="C5045" t="str">
        <f>[1]!hospitalinfo[[#This Row],[Hospital Type]]</f>
        <v>Acute Care Hospitals</v>
      </c>
      <c r="D5045" t="str">
        <f>[1]!hospitalinfo[[#This Row],[Hospital Ownership]]</f>
        <v>Proprietary</v>
      </c>
      <c r="E5045" cm="1">
        <f t="array" ref="E5045">_xlfn.IFNA(_xlfn.XLOOKUP(1,([1]!hcahps[Facility ID] = clean[[#This Row],[Facility ID]]) * ([1]!hcahps[HCAHPS Measure ID] = "H_HSP_RATING_LINEAR_SCORE"), [1]!hcahps[HCAHPS Linear Mean Value]), "No Match")</f>
        <v>85</v>
      </c>
      <c r="F5045" cm="1">
        <f t="array" ref="F5045">_xlfn.IFNA(_xlfn.XLOOKUP(1,([1]!readmissions[Facility ID] = clean[[#This Row],[Facility ID]]) * ([1]!readmissions[Measure ID] = "Hybrid_HWR"), [1]!readmissions[Score]), "No Match")</f>
        <v>15.2</v>
      </c>
    </row>
    <row r="5046" spans="1:6" x14ac:dyDescent="0.2">
      <c r="A5046">
        <f>[1]!hospitalinfo[[#This Row],[Facility ID]]</f>
        <v>490113</v>
      </c>
      <c r="B5046" t="str">
        <f>[1]!hospitalinfo[[#This Row],[State]]</f>
        <v>VA</v>
      </c>
      <c r="C5046" t="str">
        <f>[1]!hospitalinfo[[#This Row],[Hospital Type]]</f>
        <v>Acute Care Hospitals</v>
      </c>
      <c r="D5046" t="str">
        <f>[1]!hospitalinfo[[#This Row],[Hospital Ownership]]</f>
        <v>Voluntary non-profit - Private</v>
      </c>
      <c r="E5046" cm="1">
        <f t="array" ref="E5046">_xlfn.IFNA(_xlfn.XLOOKUP(1,([1]!hcahps[Facility ID] = clean[[#This Row],[Facility ID]]) * ([1]!hcahps[HCAHPS Measure ID] = "H_HSP_RATING_LINEAR_SCORE"), [1]!hcahps[HCAHPS Linear Mean Value]), "No Match")</f>
        <v>86</v>
      </c>
      <c r="F5046" cm="1">
        <f t="array" ref="F5046">_xlfn.IFNA(_xlfn.XLOOKUP(1,([1]!readmissions[Facility ID] = clean[[#This Row],[Facility ID]]) * ([1]!readmissions[Measure ID] = "Hybrid_HWR"), [1]!readmissions[Score]), "No Match")</f>
        <v>15.4</v>
      </c>
    </row>
    <row r="5047" spans="1:6" x14ac:dyDescent="0.2">
      <c r="A5047">
        <f>[1]!hospitalinfo[[#This Row],[Facility ID]]</f>
        <v>490114</v>
      </c>
      <c r="B5047" t="str">
        <f>[1]!hospitalinfo[[#This Row],[State]]</f>
        <v>VA</v>
      </c>
      <c r="C5047" t="str">
        <f>[1]!hospitalinfo[[#This Row],[Hospital Type]]</f>
        <v>Acute Care Hospitals</v>
      </c>
      <c r="D5047" t="str">
        <f>[1]!hospitalinfo[[#This Row],[Hospital Ownership]]</f>
        <v>Voluntary non-profit - Private</v>
      </c>
      <c r="E5047" cm="1">
        <f t="array" ref="E5047">_xlfn.IFNA(_xlfn.XLOOKUP(1,([1]!hcahps[Facility ID] = clean[[#This Row],[Facility ID]]) * ([1]!hcahps[HCAHPS Measure ID] = "H_HSP_RATING_LINEAR_SCORE"), [1]!hcahps[HCAHPS Linear Mean Value]), "No Match")</f>
        <v>89</v>
      </c>
      <c r="F5047" cm="1">
        <f t="array" ref="F5047">_xlfn.IFNA(_xlfn.XLOOKUP(1,([1]!readmissions[Facility ID] = clean[[#This Row],[Facility ID]]) * ([1]!readmissions[Measure ID] = "Hybrid_HWR"), [1]!readmissions[Score]), "No Match")</f>
        <v>15.7</v>
      </c>
    </row>
    <row r="5048" spans="1:6" x14ac:dyDescent="0.2">
      <c r="A5048">
        <f>[1]!hospitalinfo[[#This Row],[Facility ID]]</f>
        <v>490115</v>
      </c>
      <c r="B5048" t="str">
        <f>[1]!hospitalinfo[[#This Row],[State]]</f>
        <v>VA</v>
      </c>
      <c r="C5048" t="str">
        <f>[1]!hospitalinfo[[#This Row],[Hospital Type]]</f>
        <v>Acute Care Hospitals</v>
      </c>
      <c r="D5048" t="str">
        <f>[1]!hospitalinfo[[#This Row],[Hospital Ownership]]</f>
        <v>Proprietary</v>
      </c>
      <c r="E5048" cm="1">
        <f t="array" ref="E5048">_xlfn.IFNA(_xlfn.XLOOKUP(1,([1]!hcahps[Facility ID] = clean[[#This Row],[Facility ID]]) * ([1]!hcahps[HCAHPS Measure ID] = "H_HSP_RATING_LINEAR_SCORE"), [1]!hcahps[HCAHPS Linear Mean Value]), "No Match")</f>
        <v>86</v>
      </c>
      <c r="F5048" cm="1">
        <f t="array" ref="F5048">_xlfn.IFNA(_xlfn.XLOOKUP(1,([1]!readmissions[Facility ID] = clean[[#This Row],[Facility ID]]) * ([1]!readmissions[Measure ID] = "Hybrid_HWR"), [1]!readmissions[Score]), "No Match")</f>
        <v>14.6</v>
      </c>
    </row>
    <row r="5049" spans="1:6" x14ac:dyDescent="0.2">
      <c r="A5049">
        <f>[1]!hospitalinfo[[#This Row],[Facility ID]]</f>
        <v>490116</v>
      </c>
      <c r="B5049" t="str">
        <f>[1]!hospitalinfo[[#This Row],[State]]</f>
        <v>VA</v>
      </c>
      <c r="C5049" t="str">
        <f>[1]!hospitalinfo[[#This Row],[Hospital Type]]</f>
        <v>Acute Care Hospitals</v>
      </c>
      <c r="D5049" t="str">
        <f>[1]!hospitalinfo[[#This Row],[Hospital Ownership]]</f>
        <v>Proprietary</v>
      </c>
      <c r="E5049" cm="1">
        <f t="array" ref="E5049">_xlfn.IFNA(_xlfn.XLOOKUP(1,([1]!hcahps[Facility ID] = clean[[#This Row],[Facility ID]]) * ([1]!hcahps[HCAHPS Measure ID] = "H_HSP_RATING_LINEAR_SCORE"), [1]!hcahps[HCAHPS Linear Mean Value]), "No Match")</f>
        <v>94</v>
      </c>
      <c r="F5049" cm="1">
        <f t="array" ref="F5049">_xlfn.IFNA(_xlfn.XLOOKUP(1,([1]!readmissions[Facility ID] = clean[[#This Row],[Facility ID]]) * ([1]!readmissions[Measure ID] = "Hybrid_HWR"), [1]!readmissions[Score]), "No Match")</f>
        <v>15.1</v>
      </c>
    </row>
    <row r="5050" spans="1:6" x14ac:dyDescent="0.2">
      <c r="A5050">
        <f>[1]!hospitalinfo[[#This Row],[Facility ID]]</f>
        <v>490117</v>
      </c>
      <c r="B5050" t="str">
        <f>[1]!hospitalinfo[[#This Row],[State]]</f>
        <v>VA</v>
      </c>
      <c r="C5050" t="str">
        <f>[1]!hospitalinfo[[#This Row],[Hospital Type]]</f>
        <v>Acute Care Hospitals</v>
      </c>
      <c r="D5050" t="str">
        <f>[1]!hospitalinfo[[#This Row],[Hospital Ownership]]</f>
        <v>Voluntary non-profit - Other</v>
      </c>
      <c r="E5050" cm="1">
        <f t="array" ref="E5050">_xlfn.IFNA(_xlfn.XLOOKUP(1,([1]!hcahps[Facility ID] = clean[[#This Row],[Facility ID]]) * ([1]!hcahps[HCAHPS Measure ID] = "H_HSP_RATING_LINEAR_SCORE"), [1]!hcahps[HCAHPS Linear Mean Value]), "No Match")</f>
        <v>94</v>
      </c>
      <c r="F5050" cm="1">
        <f t="array" ref="F5050">_xlfn.IFNA(_xlfn.XLOOKUP(1,([1]!readmissions[Facility ID] = clean[[#This Row],[Facility ID]]) * ([1]!readmissions[Measure ID] = "Hybrid_HWR"), [1]!readmissions[Score]), "No Match")</f>
        <v>15.2</v>
      </c>
    </row>
    <row r="5051" spans="1:6" x14ac:dyDescent="0.2">
      <c r="A5051">
        <f>[1]!hospitalinfo[[#This Row],[Facility ID]]</f>
        <v>490118</v>
      </c>
      <c r="B5051" t="str">
        <f>[1]!hospitalinfo[[#This Row],[State]]</f>
        <v>VA</v>
      </c>
      <c r="C5051" t="str">
        <f>[1]!hospitalinfo[[#This Row],[Hospital Type]]</f>
        <v>Acute Care Hospitals</v>
      </c>
      <c r="D5051" t="str">
        <f>[1]!hospitalinfo[[#This Row],[Hospital Ownership]]</f>
        <v>Voluntary non-profit - Other</v>
      </c>
      <c r="E5051" cm="1">
        <f t="array" ref="E5051">_xlfn.IFNA(_xlfn.XLOOKUP(1,([1]!hcahps[Facility ID] = clean[[#This Row],[Facility ID]]) * ([1]!hcahps[HCAHPS Measure ID] = "H_HSP_RATING_LINEAR_SCORE"), [1]!hcahps[HCAHPS Linear Mean Value]), "No Match")</f>
        <v>87</v>
      </c>
      <c r="F5051" cm="1">
        <f t="array" ref="F5051">_xlfn.IFNA(_xlfn.XLOOKUP(1,([1]!readmissions[Facility ID] = clean[[#This Row],[Facility ID]]) * ([1]!readmissions[Measure ID] = "Hybrid_HWR"), [1]!readmissions[Score]), "No Match")</f>
        <v>15.2</v>
      </c>
    </row>
    <row r="5052" spans="1:6" x14ac:dyDescent="0.2">
      <c r="A5052">
        <f>[1]!hospitalinfo[[#This Row],[Facility ID]]</f>
        <v>490119</v>
      </c>
      <c r="B5052" t="str">
        <f>[1]!hospitalinfo[[#This Row],[State]]</f>
        <v>VA</v>
      </c>
      <c r="C5052" t="str">
        <f>[1]!hospitalinfo[[#This Row],[Hospital Type]]</f>
        <v>Acute Care Hospitals</v>
      </c>
      <c r="D5052" t="str">
        <f>[1]!hospitalinfo[[#This Row],[Hospital Ownership]]</f>
        <v>Voluntary non-profit - Other</v>
      </c>
      <c r="E5052" cm="1">
        <f t="array" ref="E5052">_xlfn.IFNA(_xlfn.XLOOKUP(1,([1]!hcahps[Facility ID] = clean[[#This Row],[Facility ID]]) * ([1]!hcahps[HCAHPS Measure ID] = "H_HSP_RATING_LINEAR_SCORE"), [1]!hcahps[HCAHPS Linear Mean Value]), "No Match")</f>
        <v>91</v>
      </c>
      <c r="F5052" cm="1">
        <f t="array" ref="F5052">_xlfn.IFNA(_xlfn.XLOOKUP(1,([1]!readmissions[Facility ID] = clean[[#This Row],[Facility ID]]) * ([1]!readmissions[Measure ID] = "Hybrid_HWR"), [1]!readmissions[Score]), "No Match")</f>
        <v>14.9</v>
      </c>
    </row>
    <row r="5053" spans="1:6" x14ac:dyDescent="0.2">
      <c r="A5053">
        <f>[1]!hospitalinfo[[#This Row],[Facility ID]]</f>
        <v>490120</v>
      </c>
      <c r="B5053" t="str">
        <f>[1]!hospitalinfo[[#This Row],[State]]</f>
        <v>VA</v>
      </c>
      <c r="C5053" t="str">
        <f>[1]!hospitalinfo[[#This Row],[Hospital Type]]</f>
        <v>Acute Care Hospitals</v>
      </c>
      <c r="D5053" t="str">
        <f>[1]!hospitalinfo[[#This Row],[Hospital Ownership]]</f>
        <v>Government - Hospital District or Authority</v>
      </c>
      <c r="E5053" cm="1">
        <f t="array" ref="E5053">_xlfn.IFNA(_xlfn.XLOOKUP(1,([1]!hcahps[Facility ID] = clean[[#This Row],[Facility ID]]) * ([1]!hcahps[HCAHPS Measure ID] = "H_HSP_RATING_LINEAR_SCORE"), [1]!hcahps[HCAHPS Linear Mean Value]), "No Match")</f>
        <v>86</v>
      </c>
      <c r="F5053" cm="1">
        <f t="array" ref="F5053">_xlfn.IFNA(_xlfn.XLOOKUP(1,([1]!readmissions[Facility ID] = clean[[#This Row],[Facility ID]]) * ([1]!readmissions[Measure ID] = "Hybrid_HWR"), [1]!readmissions[Score]), "No Match")</f>
        <v>15.5</v>
      </c>
    </row>
    <row r="5054" spans="1:6" x14ac:dyDescent="0.2">
      <c r="A5054">
        <f>[1]!hospitalinfo[[#This Row],[Facility ID]]</f>
        <v>490122</v>
      </c>
      <c r="B5054" t="str">
        <f>[1]!hospitalinfo[[#This Row],[State]]</f>
        <v>VA</v>
      </c>
      <c r="C5054" t="str">
        <f>[1]!hospitalinfo[[#This Row],[Hospital Type]]</f>
        <v>Acute Care Hospitals</v>
      </c>
      <c r="D5054" t="str">
        <f>[1]!hospitalinfo[[#This Row],[Hospital Ownership]]</f>
        <v>Voluntary non-profit - Private</v>
      </c>
      <c r="E5054" cm="1">
        <f t="array" ref="E5054">_xlfn.IFNA(_xlfn.XLOOKUP(1,([1]!hcahps[Facility ID] = clean[[#This Row],[Facility ID]]) * ([1]!hcahps[HCAHPS Measure ID] = "H_HSP_RATING_LINEAR_SCORE"), [1]!hcahps[HCAHPS Linear Mean Value]), "No Match")</f>
        <v>88</v>
      </c>
      <c r="F5054" cm="1">
        <f t="array" ref="F5054">_xlfn.IFNA(_xlfn.XLOOKUP(1,([1]!readmissions[Facility ID] = clean[[#This Row],[Facility ID]]) * ([1]!readmissions[Measure ID] = "Hybrid_HWR"), [1]!readmissions[Score]), "No Match")</f>
        <v>14</v>
      </c>
    </row>
    <row r="5055" spans="1:6" x14ac:dyDescent="0.2">
      <c r="A5055">
        <f>[1]!hospitalinfo[[#This Row],[Facility ID]]</f>
        <v>490126</v>
      </c>
      <c r="B5055" t="str">
        <f>[1]!hospitalinfo[[#This Row],[State]]</f>
        <v>VA</v>
      </c>
      <c r="C5055" t="str">
        <f>[1]!hospitalinfo[[#This Row],[Hospital Type]]</f>
        <v>Acute Care Hospitals</v>
      </c>
      <c r="D5055" t="str">
        <f>[1]!hospitalinfo[[#This Row],[Hospital Ownership]]</f>
        <v>Proprietary</v>
      </c>
      <c r="E5055" cm="1">
        <f t="array" ref="E5055">_xlfn.IFNA(_xlfn.XLOOKUP(1,([1]!hcahps[Facility ID] = clean[[#This Row],[Facility ID]]) * ([1]!hcahps[HCAHPS Measure ID] = "H_HSP_RATING_LINEAR_SCORE"), [1]!hcahps[HCAHPS Linear Mean Value]), "No Match")</f>
        <v>89</v>
      </c>
      <c r="F5055" cm="1">
        <f t="array" ref="F5055">_xlfn.IFNA(_xlfn.XLOOKUP(1,([1]!readmissions[Facility ID] = clean[[#This Row],[Facility ID]]) * ([1]!readmissions[Measure ID] = "Hybrid_HWR"), [1]!readmissions[Score]), "No Match")</f>
        <v>14.7</v>
      </c>
    </row>
    <row r="5056" spans="1:6" x14ac:dyDescent="0.2">
      <c r="A5056">
        <f>[1]!hospitalinfo[[#This Row],[Facility ID]]</f>
        <v>490127</v>
      </c>
      <c r="B5056" t="str">
        <f>[1]!hospitalinfo[[#This Row],[State]]</f>
        <v>VA</v>
      </c>
      <c r="C5056" t="str">
        <f>[1]!hospitalinfo[[#This Row],[Hospital Type]]</f>
        <v>Acute Care Hospitals</v>
      </c>
      <c r="D5056" t="str">
        <f>[1]!hospitalinfo[[#This Row],[Hospital Ownership]]</f>
        <v>Voluntary non-profit - Private</v>
      </c>
      <c r="E5056" cm="1">
        <f t="array" ref="E5056">_xlfn.IFNA(_xlfn.XLOOKUP(1,([1]!hcahps[Facility ID] = clean[[#This Row],[Facility ID]]) * ([1]!hcahps[HCAHPS Measure ID] = "H_HSP_RATING_LINEAR_SCORE"), [1]!hcahps[HCAHPS Linear Mean Value]), "No Match")</f>
        <v>93</v>
      </c>
      <c r="F5056" cm="1">
        <f t="array" ref="F5056">_xlfn.IFNA(_xlfn.XLOOKUP(1,([1]!readmissions[Facility ID] = clean[[#This Row],[Facility ID]]) * ([1]!readmissions[Measure ID] = "Hybrid_HWR"), [1]!readmissions[Score]), "No Match")</f>
        <v>15</v>
      </c>
    </row>
    <row r="5057" spans="1:6" x14ac:dyDescent="0.2">
      <c r="A5057">
        <f>[1]!hospitalinfo[[#This Row],[Facility ID]]</f>
        <v>490130</v>
      </c>
      <c r="B5057" t="str">
        <f>[1]!hospitalinfo[[#This Row],[State]]</f>
        <v>VA</v>
      </c>
      <c r="C5057" t="str">
        <f>[1]!hospitalinfo[[#This Row],[Hospital Type]]</f>
        <v>Acute Care Hospitals</v>
      </c>
      <c r="D5057" t="str">
        <f>[1]!hospitalinfo[[#This Row],[Hospital Ownership]]</f>
        <v>Voluntary non-profit - Private</v>
      </c>
      <c r="E5057" cm="1">
        <f t="array" ref="E5057">_xlfn.IFNA(_xlfn.XLOOKUP(1,([1]!hcahps[Facility ID] = clean[[#This Row],[Facility ID]]) * ([1]!hcahps[HCAHPS Measure ID] = "H_HSP_RATING_LINEAR_SCORE"), [1]!hcahps[HCAHPS Linear Mean Value]), "No Match")</f>
        <v>91</v>
      </c>
      <c r="F5057" cm="1">
        <f t="array" ref="F5057">_xlfn.IFNA(_xlfn.XLOOKUP(1,([1]!readmissions[Facility ID] = clean[[#This Row],[Facility ID]]) * ([1]!readmissions[Measure ID] = "Hybrid_HWR"), [1]!readmissions[Score]), "No Match")</f>
        <v>13.4</v>
      </c>
    </row>
    <row r="5058" spans="1:6" x14ac:dyDescent="0.2">
      <c r="A5058">
        <f>[1]!hospitalinfo[[#This Row],[Facility ID]]</f>
        <v>490136</v>
      </c>
      <c r="B5058" t="str">
        <f>[1]!hospitalinfo[[#This Row],[State]]</f>
        <v>VA</v>
      </c>
      <c r="C5058" t="str">
        <f>[1]!hospitalinfo[[#This Row],[Hospital Type]]</f>
        <v>Acute Care Hospitals</v>
      </c>
      <c r="D5058" t="str">
        <f>[1]!hospitalinfo[[#This Row],[Hospital Ownership]]</f>
        <v>Voluntary non-profit - Church</v>
      </c>
      <c r="E5058" cm="1">
        <f t="array" ref="E5058">_xlfn.IFNA(_xlfn.XLOOKUP(1,([1]!hcahps[Facility ID] = clean[[#This Row],[Facility ID]]) * ([1]!hcahps[HCAHPS Measure ID] = "H_HSP_RATING_LINEAR_SCORE"), [1]!hcahps[HCAHPS Linear Mean Value]), "No Match")</f>
        <v>88</v>
      </c>
      <c r="F5058" cm="1">
        <f t="array" ref="F5058">_xlfn.IFNA(_xlfn.XLOOKUP(1,([1]!readmissions[Facility ID] = clean[[#This Row],[Facility ID]]) * ([1]!readmissions[Measure ID] = "Hybrid_HWR"), [1]!readmissions[Score]), "No Match")</f>
        <v>14.8</v>
      </c>
    </row>
    <row r="5059" spans="1:6" x14ac:dyDescent="0.2">
      <c r="A5059">
        <f>[1]!hospitalinfo[[#This Row],[Facility ID]]</f>
        <v>490140</v>
      </c>
      <c r="B5059" t="str">
        <f>[1]!hospitalinfo[[#This Row],[State]]</f>
        <v>VA</v>
      </c>
      <c r="C5059" t="str">
        <f>[1]!hospitalinfo[[#This Row],[Hospital Type]]</f>
        <v>Acute Care Hospitals</v>
      </c>
      <c r="D5059" t="str">
        <f>[1]!hospitalinfo[[#This Row],[Hospital Ownership]]</f>
        <v>Voluntary non-profit - Private</v>
      </c>
      <c r="E5059" cm="1">
        <f t="array" ref="E5059">_xlfn.IFNA(_xlfn.XLOOKUP(1,([1]!hcahps[Facility ID] = clean[[#This Row],[Facility ID]]) * ([1]!hcahps[HCAHPS Measure ID] = "H_HSP_RATING_LINEAR_SCORE"), [1]!hcahps[HCAHPS Linear Mean Value]), "No Match")</f>
        <v>87</v>
      </c>
      <c r="F5059" cm="1">
        <f t="array" ref="F5059">_xlfn.IFNA(_xlfn.XLOOKUP(1,([1]!readmissions[Facility ID] = clean[[#This Row],[Facility ID]]) * ([1]!readmissions[Measure ID] = "Hybrid_HWR"), [1]!readmissions[Score]), "No Match")</f>
        <v>15.8</v>
      </c>
    </row>
    <row r="5060" spans="1:6" x14ac:dyDescent="0.2">
      <c r="A5060">
        <f>[1]!hospitalinfo[[#This Row],[Facility ID]]</f>
        <v>490141</v>
      </c>
      <c r="B5060" t="str">
        <f>[1]!hospitalinfo[[#This Row],[State]]</f>
        <v>VA</v>
      </c>
      <c r="C5060" t="str">
        <f>[1]!hospitalinfo[[#This Row],[Hospital Type]]</f>
        <v>Acute Care Hospitals</v>
      </c>
      <c r="D5060" t="str">
        <f>[1]!hospitalinfo[[#This Row],[Hospital Ownership]]</f>
        <v>Proprietary</v>
      </c>
      <c r="E5060" cm="1">
        <f t="array" ref="E5060">_xlfn.IFNA(_xlfn.XLOOKUP(1,([1]!hcahps[Facility ID] = clean[[#This Row],[Facility ID]]) * ([1]!hcahps[HCAHPS Measure ID] = "H_HSP_RATING_LINEAR_SCORE"), [1]!hcahps[HCAHPS Linear Mean Value]), "No Match")</f>
        <v>83</v>
      </c>
      <c r="F5060" cm="1">
        <f t="array" ref="F5060">_xlfn.IFNA(_xlfn.XLOOKUP(1,([1]!readmissions[Facility ID] = clean[[#This Row],[Facility ID]]) * ([1]!readmissions[Measure ID] = "Hybrid_HWR"), [1]!readmissions[Score]), "No Match")</f>
        <v>15.6</v>
      </c>
    </row>
    <row r="5061" spans="1:6" x14ac:dyDescent="0.2">
      <c r="A5061">
        <f>[1]!hospitalinfo[[#This Row],[Facility ID]]</f>
        <v>490143</v>
      </c>
      <c r="B5061" t="str">
        <f>[1]!hospitalinfo[[#This Row],[State]]</f>
        <v>VA</v>
      </c>
      <c r="C5061" t="str">
        <f>[1]!hospitalinfo[[#This Row],[Hospital Type]]</f>
        <v>Acute Care Hospitals</v>
      </c>
      <c r="D5061" t="str">
        <f>[1]!hospitalinfo[[#This Row],[Hospital Ownership]]</f>
        <v>Voluntary non-profit - Private</v>
      </c>
      <c r="E5061" cm="1">
        <f t="array" ref="E5061">_xlfn.IFNA(_xlfn.XLOOKUP(1,([1]!hcahps[Facility ID] = clean[[#This Row],[Facility ID]]) * ([1]!hcahps[HCAHPS Measure ID] = "H_HSP_RATING_LINEAR_SCORE"), [1]!hcahps[HCAHPS Linear Mean Value]), "No Match")</f>
        <v>90</v>
      </c>
      <c r="F5061" cm="1">
        <f t="array" ref="F5061">_xlfn.IFNA(_xlfn.XLOOKUP(1,([1]!readmissions[Facility ID] = clean[[#This Row],[Facility ID]]) * ([1]!readmissions[Measure ID] = "Hybrid_HWR"), [1]!readmissions[Score]), "No Match")</f>
        <v>14.9</v>
      </c>
    </row>
    <row r="5062" spans="1:6" x14ac:dyDescent="0.2">
      <c r="A5062">
        <f>[1]!hospitalinfo[[#This Row],[Facility ID]]</f>
        <v>490144</v>
      </c>
      <c r="B5062" t="str">
        <f>[1]!hospitalinfo[[#This Row],[State]]</f>
        <v>VA</v>
      </c>
      <c r="C5062" t="str">
        <f>[1]!hospitalinfo[[#This Row],[Hospital Type]]</f>
        <v>Acute Care Hospitals</v>
      </c>
      <c r="D5062" t="str">
        <f>[1]!hospitalinfo[[#This Row],[Hospital Ownership]]</f>
        <v>Voluntary non-profit - Private</v>
      </c>
      <c r="E5062" cm="1">
        <f t="array" ref="E5062">_xlfn.IFNA(_xlfn.XLOOKUP(1,([1]!hcahps[Facility ID] = clean[[#This Row],[Facility ID]]) * ([1]!hcahps[HCAHPS Measure ID] = "H_HSP_RATING_LINEAR_SCORE"), [1]!hcahps[HCAHPS Linear Mean Value]), "No Match")</f>
        <v>91</v>
      </c>
      <c r="F5062" cm="1">
        <f t="array" ref="F5062">_xlfn.IFNA(_xlfn.XLOOKUP(1,([1]!readmissions[Facility ID] = clean[[#This Row],[Facility ID]]) * ([1]!readmissions[Measure ID] = "Hybrid_HWR"), [1]!readmissions[Score]), "No Match")</f>
        <v>15.2</v>
      </c>
    </row>
    <row r="5063" spans="1:6" x14ac:dyDescent="0.2">
      <c r="A5063">
        <f>[1]!hospitalinfo[[#This Row],[Facility ID]]</f>
        <v>490145</v>
      </c>
      <c r="B5063" t="str">
        <f>[1]!hospitalinfo[[#This Row],[State]]</f>
        <v>VA</v>
      </c>
      <c r="C5063" t="str">
        <f>[1]!hospitalinfo[[#This Row],[Hospital Type]]</f>
        <v>Acute Care Hospitals</v>
      </c>
      <c r="D5063" t="str">
        <f>[1]!hospitalinfo[[#This Row],[Hospital Ownership]]</f>
        <v>Proprietary</v>
      </c>
      <c r="E5063" cm="1">
        <f t="array" ref="E5063">_xlfn.IFNA(_xlfn.XLOOKUP(1,([1]!hcahps[Facility ID] = clean[[#This Row],[Facility ID]]) * ([1]!hcahps[HCAHPS Measure ID] = "H_HSP_RATING_LINEAR_SCORE"), [1]!hcahps[HCAHPS Linear Mean Value]), "No Match")</f>
        <v>89</v>
      </c>
      <c r="F5063" cm="1">
        <f t="array" ref="F5063">_xlfn.IFNA(_xlfn.XLOOKUP(1,([1]!readmissions[Facility ID] = clean[[#This Row],[Facility ID]]) * ([1]!readmissions[Measure ID] = "Hybrid_HWR"), [1]!readmissions[Score]), "No Match")</f>
        <v>14.9</v>
      </c>
    </row>
    <row r="5064" spans="1:6" x14ac:dyDescent="0.2">
      <c r="A5064">
        <f>[1]!hospitalinfo[[#This Row],[Facility ID]]</f>
        <v>490148</v>
      </c>
      <c r="B5064" t="str">
        <f>[1]!hospitalinfo[[#This Row],[State]]</f>
        <v>VA</v>
      </c>
      <c r="C5064" t="str">
        <f>[1]!hospitalinfo[[#This Row],[Hospital Type]]</f>
        <v>Acute Care Hospitals</v>
      </c>
      <c r="D5064" t="str">
        <f>[1]!hospitalinfo[[#This Row],[Hospital Ownership]]</f>
        <v>Voluntary non-profit - Private</v>
      </c>
      <c r="E5064" t="str" cm="1">
        <f t="array" ref="E5064">_xlfn.IFNA(_xlfn.XLOOKUP(1,([1]!hcahps[Facility ID] = clean[[#This Row],[Facility ID]]) * ([1]!hcahps[HCAHPS Measure ID] = "H_HSP_RATING_LINEAR_SCORE"), [1]!hcahps[HCAHPS Linear Mean Value]), "No Match")</f>
        <v>Not Available</v>
      </c>
      <c r="F5064" t="str" cm="1">
        <f t="array" ref="F5064">_xlfn.IFNA(_xlfn.XLOOKUP(1,([1]!readmissions[Facility ID] = clean[[#This Row],[Facility ID]]) * ([1]!readmissions[Measure ID] = "Hybrid_HWR"), [1]!readmissions[Score]), "No Match")</f>
        <v>Not Available</v>
      </c>
    </row>
    <row r="5065" spans="1:6" x14ac:dyDescent="0.2">
      <c r="A5065">
        <f>[1]!hospitalinfo[[#This Row],[Facility ID]]</f>
        <v>491300</v>
      </c>
      <c r="B5065" t="str">
        <f>[1]!hospitalinfo[[#This Row],[State]]</f>
        <v>VA</v>
      </c>
      <c r="C5065" t="str">
        <f>[1]!hospitalinfo[[#This Row],[Hospital Type]]</f>
        <v>Critical Access Hospitals</v>
      </c>
      <c r="D5065" t="str">
        <f>[1]!hospitalinfo[[#This Row],[Hospital Ownership]]</f>
        <v>Voluntary non-profit - Private</v>
      </c>
      <c r="E5065" t="str" cm="1">
        <f t="array" ref="E5065">_xlfn.IFNA(_xlfn.XLOOKUP(1,([1]!hcahps[Facility ID] = clean[[#This Row],[Facility ID]]) * ([1]!hcahps[HCAHPS Measure ID] = "H_HSP_RATING_LINEAR_SCORE"), [1]!hcahps[HCAHPS Linear Mean Value]), "No Match")</f>
        <v>Not Available</v>
      </c>
      <c r="F5065" cm="1">
        <f t="array" ref="F5065">_xlfn.IFNA(_xlfn.XLOOKUP(1,([1]!readmissions[Facility ID] = clean[[#This Row],[Facility ID]]) * ([1]!readmissions[Measure ID] = "Hybrid_HWR"), [1]!readmissions[Score]), "No Match")</f>
        <v>14.7</v>
      </c>
    </row>
    <row r="5066" spans="1:6" x14ac:dyDescent="0.2">
      <c r="A5066">
        <f>[1]!hospitalinfo[[#This Row],[Facility ID]]</f>
        <v>491302</v>
      </c>
      <c r="B5066" t="str">
        <f>[1]!hospitalinfo[[#This Row],[State]]</f>
        <v>VA</v>
      </c>
      <c r="C5066" t="str">
        <f>[1]!hospitalinfo[[#This Row],[Hospital Type]]</f>
        <v>Critical Access Hospitals</v>
      </c>
      <c r="D5066" t="str">
        <f>[1]!hospitalinfo[[#This Row],[Hospital Ownership]]</f>
        <v>Voluntary non-profit - Private</v>
      </c>
      <c r="E5066" cm="1">
        <f t="array" ref="E5066">_xlfn.IFNA(_xlfn.XLOOKUP(1,([1]!hcahps[Facility ID] = clean[[#This Row],[Facility ID]]) * ([1]!hcahps[HCAHPS Measure ID] = "H_HSP_RATING_LINEAR_SCORE"), [1]!hcahps[HCAHPS Linear Mean Value]), "No Match")</f>
        <v>93</v>
      </c>
      <c r="F5066" cm="1">
        <f t="array" ref="F5066">_xlfn.IFNA(_xlfn.XLOOKUP(1,([1]!readmissions[Facility ID] = clean[[#This Row],[Facility ID]]) * ([1]!readmissions[Measure ID] = "Hybrid_HWR"), [1]!readmissions[Score]), "No Match")</f>
        <v>15.3</v>
      </c>
    </row>
    <row r="5067" spans="1:6" x14ac:dyDescent="0.2">
      <c r="A5067">
        <f>[1]!hospitalinfo[[#This Row],[Facility ID]]</f>
        <v>491303</v>
      </c>
      <c r="B5067" t="str">
        <f>[1]!hospitalinfo[[#This Row],[State]]</f>
        <v>VA</v>
      </c>
      <c r="C5067" t="str">
        <f>[1]!hospitalinfo[[#This Row],[Hospital Type]]</f>
        <v>Critical Access Hospitals</v>
      </c>
      <c r="D5067" t="str">
        <f>[1]!hospitalinfo[[#This Row],[Hospital Ownership]]</f>
        <v>Voluntary non-profit - Private</v>
      </c>
      <c r="E5067" t="str" cm="1">
        <f t="array" ref="E5067">_xlfn.IFNA(_xlfn.XLOOKUP(1,([1]!hcahps[Facility ID] = clean[[#This Row],[Facility ID]]) * ([1]!hcahps[HCAHPS Measure ID] = "H_HSP_RATING_LINEAR_SCORE"), [1]!hcahps[HCAHPS Linear Mean Value]), "No Match")</f>
        <v>Not Available</v>
      </c>
      <c r="F5067" t="str" cm="1">
        <f t="array" ref="F5067">_xlfn.IFNA(_xlfn.XLOOKUP(1,([1]!readmissions[Facility ID] = clean[[#This Row],[Facility ID]]) * ([1]!readmissions[Measure ID] = "Hybrid_HWR"), [1]!readmissions[Score]), "No Match")</f>
        <v>Not Available</v>
      </c>
    </row>
    <row r="5068" spans="1:6" x14ac:dyDescent="0.2">
      <c r="A5068">
        <f>[1]!hospitalinfo[[#This Row],[Facility ID]]</f>
        <v>491304</v>
      </c>
      <c r="B5068" t="str">
        <f>[1]!hospitalinfo[[#This Row],[State]]</f>
        <v>VA</v>
      </c>
      <c r="C5068" t="str">
        <f>[1]!hospitalinfo[[#This Row],[Hospital Type]]</f>
        <v>Critical Access Hospitals</v>
      </c>
      <c r="D5068" t="str">
        <f>[1]!hospitalinfo[[#This Row],[Hospital Ownership]]</f>
        <v>Voluntary non-profit - Private</v>
      </c>
      <c r="E5068" cm="1">
        <f t="array" ref="E5068">_xlfn.IFNA(_xlfn.XLOOKUP(1,([1]!hcahps[Facility ID] = clean[[#This Row],[Facility ID]]) * ([1]!hcahps[HCAHPS Measure ID] = "H_HSP_RATING_LINEAR_SCORE"), [1]!hcahps[HCAHPS Linear Mean Value]), "No Match")</f>
        <v>90</v>
      </c>
      <c r="F5068" cm="1">
        <f t="array" ref="F5068">_xlfn.IFNA(_xlfn.XLOOKUP(1,([1]!readmissions[Facility ID] = clean[[#This Row],[Facility ID]]) * ([1]!readmissions[Measure ID] = "Hybrid_HWR"), [1]!readmissions[Score]), "No Match")</f>
        <v>15.4</v>
      </c>
    </row>
    <row r="5069" spans="1:6" x14ac:dyDescent="0.2">
      <c r="A5069">
        <f>[1]!hospitalinfo[[#This Row],[Facility ID]]</f>
        <v>491305</v>
      </c>
      <c r="B5069" t="str">
        <f>[1]!hospitalinfo[[#This Row],[State]]</f>
        <v>VA</v>
      </c>
      <c r="C5069" t="str">
        <f>[1]!hospitalinfo[[#This Row],[Hospital Type]]</f>
        <v>Critical Access Hospitals</v>
      </c>
      <c r="D5069" t="str">
        <f>[1]!hospitalinfo[[#This Row],[Hospital Ownership]]</f>
        <v>Voluntary non-profit - Private</v>
      </c>
      <c r="E5069" cm="1">
        <f t="array" ref="E5069">_xlfn.IFNA(_xlfn.XLOOKUP(1,([1]!hcahps[Facility ID] = clean[[#This Row],[Facility ID]]) * ([1]!hcahps[HCAHPS Measure ID] = "H_HSP_RATING_LINEAR_SCORE"), [1]!hcahps[HCAHPS Linear Mean Value]), "No Match")</f>
        <v>92</v>
      </c>
      <c r="F5069" cm="1">
        <f t="array" ref="F5069">_xlfn.IFNA(_xlfn.XLOOKUP(1,([1]!readmissions[Facility ID] = clean[[#This Row],[Facility ID]]) * ([1]!readmissions[Measure ID] = "Hybrid_HWR"), [1]!readmissions[Score]), "No Match")</f>
        <v>14.6</v>
      </c>
    </row>
    <row r="5070" spans="1:6" x14ac:dyDescent="0.2">
      <c r="A5070">
        <f>[1]!hospitalinfo[[#This Row],[Facility ID]]</f>
        <v>491307</v>
      </c>
      <c r="B5070" t="str">
        <f>[1]!hospitalinfo[[#This Row],[State]]</f>
        <v>VA</v>
      </c>
      <c r="C5070" t="str">
        <f>[1]!hospitalinfo[[#This Row],[Hospital Type]]</f>
        <v>Critical Access Hospitals</v>
      </c>
      <c r="D5070" t="str">
        <f>[1]!hospitalinfo[[#This Row],[Hospital Ownership]]</f>
        <v>Voluntary non-profit - Private</v>
      </c>
      <c r="E5070" cm="1">
        <f t="array" ref="E5070">_xlfn.IFNA(_xlfn.XLOOKUP(1,([1]!hcahps[Facility ID] = clean[[#This Row],[Facility ID]]) * ([1]!hcahps[HCAHPS Measure ID] = "H_HSP_RATING_LINEAR_SCORE"), [1]!hcahps[HCAHPS Linear Mean Value]), "No Match")</f>
        <v>93</v>
      </c>
      <c r="F5070" cm="1">
        <f t="array" ref="F5070">_xlfn.IFNA(_xlfn.XLOOKUP(1,([1]!readmissions[Facility ID] = clean[[#This Row],[Facility ID]]) * ([1]!readmissions[Measure ID] = "Hybrid_HWR"), [1]!readmissions[Score]), "No Match")</f>
        <v>16.2</v>
      </c>
    </row>
    <row r="5071" spans="1:6" x14ac:dyDescent="0.2">
      <c r="A5071">
        <f>[1]!hospitalinfo[[#This Row],[Facility ID]]</f>
        <v>491308</v>
      </c>
      <c r="B5071" t="str">
        <f>[1]!hospitalinfo[[#This Row],[State]]</f>
        <v>VA</v>
      </c>
      <c r="C5071" t="str">
        <f>[1]!hospitalinfo[[#This Row],[Hospital Type]]</f>
        <v>Critical Access Hospitals</v>
      </c>
      <c r="D5071" t="str">
        <f>[1]!hospitalinfo[[#This Row],[Hospital Ownership]]</f>
        <v>Voluntary non-profit - Private</v>
      </c>
      <c r="E5071" t="str" cm="1">
        <f t="array" ref="E5071">_xlfn.IFNA(_xlfn.XLOOKUP(1,([1]!hcahps[Facility ID] = clean[[#This Row],[Facility ID]]) * ([1]!hcahps[HCAHPS Measure ID] = "H_HSP_RATING_LINEAR_SCORE"), [1]!hcahps[HCAHPS Linear Mean Value]), "No Match")</f>
        <v>Not Available</v>
      </c>
      <c r="F5071" cm="1">
        <f t="array" ref="F5071">_xlfn.IFNA(_xlfn.XLOOKUP(1,([1]!readmissions[Facility ID] = clean[[#This Row],[Facility ID]]) * ([1]!readmissions[Measure ID] = "Hybrid_HWR"), [1]!readmissions[Score]), "No Match")</f>
        <v>14.8</v>
      </c>
    </row>
    <row r="5072" spans="1:6" x14ac:dyDescent="0.2">
      <c r="A5072">
        <f>[1]!hospitalinfo[[#This Row],[Facility ID]]</f>
        <v>491309</v>
      </c>
      <c r="B5072" t="str">
        <f>[1]!hospitalinfo[[#This Row],[State]]</f>
        <v>VA</v>
      </c>
      <c r="C5072" t="str">
        <f>[1]!hospitalinfo[[#This Row],[Hospital Type]]</f>
        <v>Critical Access Hospitals</v>
      </c>
      <c r="D5072" t="str">
        <f>[1]!hospitalinfo[[#This Row],[Hospital Ownership]]</f>
        <v>Voluntary non-profit - Private</v>
      </c>
      <c r="E5072" cm="1">
        <f t="array" ref="E5072">_xlfn.IFNA(_xlfn.XLOOKUP(1,([1]!hcahps[Facility ID] = clean[[#This Row],[Facility ID]]) * ([1]!hcahps[HCAHPS Measure ID] = "H_HSP_RATING_LINEAR_SCORE"), [1]!hcahps[HCAHPS Linear Mean Value]), "No Match")</f>
        <v>96</v>
      </c>
      <c r="F5072" cm="1">
        <f t="array" ref="F5072">_xlfn.IFNA(_xlfn.XLOOKUP(1,([1]!readmissions[Facility ID] = clean[[#This Row],[Facility ID]]) * ([1]!readmissions[Measure ID] = "Hybrid_HWR"), [1]!readmissions[Score]), "No Match")</f>
        <v>15.2</v>
      </c>
    </row>
    <row r="5073" spans="1:6" x14ac:dyDescent="0.2">
      <c r="A5073">
        <f>[1]!hospitalinfo[[#This Row],[Facility ID]]</f>
        <v>493300</v>
      </c>
      <c r="B5073" t="str">
        <f>[1]!hospitalinfo[[#This Row],[State]]</f>
        <v>VA</v>
      </c>
      <c r="C5073" t="str">
        <f>[1]!hospitalinfo[[#This Row],[Hospital Type]]</f>
        <v>Childrens</v>
      </c>
      <c r="D5073" t="str">
        <f>[1]!hospitalinfo[[#This Row],[Hospital Ownership]]</f>
        <v>Proprietary</v>
      </c>
      <c r="E5073" t="str" cm="1">
        <f t="array" ref="E5073">_xlfn.IFNA(_xlfn.XLOOKUP(1,([1]!hcahps[Facility ID] = clean[[#This Row],[Facility ID]]) * ([1]!hcahps[HCAHPS Measure ID] = "H_HSP_RATING_LINEAR_SCORE"), [1]!hcahps[HCAHPS Linear Mean Value]), "No Match")</f>
        <v>Not Available</v>
      </c>
      <c r="F5073" t="str" cm="1">
        <f t="array" ref="F5073">_xlfn.IFNA(_xlfn.XLOOKUP(1,([1]!readmissions[Facility ID] = clean[[#This Row],[Facility ID]]) * ([1]!readmissions[Measure ID] = "Hybrid_HWR"), [1]!readmissions[Score]), "No Match")</f>
        <v>Not Available</v>
      </c>
    </row>
    <row r="5074" spans="1:6" x14ac:dyDescent="0.2">
      <c r="A5074">
        <f>[1]!hospitalinfo[[#This Row],[Facility ID]]</f>
        <v>493301</v>
      </c>
      <c r="B5074" t="str">
        <f>[1]!hospitalinfo[[#This Row],[State]]</f>
        <v>VA</v>
      </c>
      <c r="C5074" t="str">
        <f>[1]!hospitalinfo[[#This Row],[Hospital Type]]</f>
        <v>Childrens</v>
      </c>
      <c r="D5074" t="str">
        <f>[1]!hospitalinfo[[#This Row],[Hospital Ownership]]</f>
        <v>Voluntary non-profit - Private</v>
      </c>
      <c r="E5074" t="str" cm="1">
        <f t="array" ref="E5074">_xlfn.IFNA(_xlfn.XLOOKUP(1,([1]!hcahps[Facility ID] = clean[[#This Row],[Facility ID]]) * ([1]!hcahps[HCAHPS Measure ID] = "H_HSP_RATING_LINEAR_SCORE"), [1]!hcahps[HCAHPS Linear Mean Value]), "No Match")</f>
        <v>Not Available</v>
      </c>
      <c r="F5074" t="str" cm="1">
        <f t="array" ref="F5074">_xlfn.IFNA(_xlfn.XLOOKUP(1,([1]!readmissions[Facility ID] = clean[[#This Row],[Facility ID]]) * ([1]!readmissions[Measure ID] = "Hybrid_HWR"), [1]!readmissions[Score]), "No Match")</f>
        <v>Not Available</v>
      </c>
    </row>
    <row r="5075" spans="1:6" x14ac:dyDescent="0.2">
      <c r="A5075">
        <f>[1]!hospitalinfo[[#This Row],[Facility ID]]</f>
        <v>494010</v>
      </c>
      <c r="B5075" t="str">
        <f>[1]!hospitalinfo[[#This Row],[State]]</f>
        <v>VA</v>
      </c>
      <c r="C5075" t="str">
        <f>[1]!hospitalinfo[[#This Row],[Hospital Type]]</f>
        <v>Psychiatric</v>
      </c>
      <c r="D5075" t="str">
        <f>[1]!hospitalinfo[[#This Row],[Hospital Ownership]]</f>
        <v>Government - State</v>
      </c>
      <c r="E5075" t="str" cm="1">
        <f t="array" ref="E5075">_xlfn.IFNA(_xlfn.XLOOKUP(1,([1]!hcahps[Facility ID] = clean[[#This Row],[Facility ID]]) * ([1]!hcahps[HCAHPS Measure ID] = "H_HSP_RATING_LINEAR_SCORE"), [1]!hcahps[HCAHPS Linear Mean Value]), "No Match")</f>
        <v>No Match</v>
      </c>
      <c r="F5075" t="str" cm="1">
        <f t="array" ref="F5075">_xlfn.IFNA(_xlfn.XLOOKUP(1,([1]!readmissions[Facility ID] = clean[[#This Row],[Facility ID]]) * ([1]!readmissions[Measure ID] = "Hybrid_HWR"), [1]!readmissions[Score]), "No Match")</f>
        <v>No Match</v>
      </c>
    </row>
    <row r="5076" spans="1:6" x14ac:dyDescent="0.2">
      <c r="A5076">
        <f>[1]!hospitalinfo[[#This Row],[Facility ID]]</f>
        <v>494017</v>
      </c>
      <c r="B5076" t="str">
        <f>[1]!hospitalinfo[[#This Row],[State]]</f>
        <v>VA</v>
      </c>
      <c r="C5076" t="str">
        <f>[1]!hospitalinfo[[#This Row],[Hospital Type]]</f>
        <v>Psychiatric</v>
      </c>
      <c r="D5076" t="str">
        <f>[1]!hospitalinfo[[#This Row],[Hospital Ownership]]</f>
        <v>Government - State</v>
      </c>
      <c r="E5076" t="str" cm="1">
        <f t="array" ref="E5076">_xlfn.IFNA(_xlfn.XLOOKUP(1,([1]!hcahps[Facility ID] = clean[[#This Row],[Facility ID]]) * ([1]!hcahps[HCAHPS Measure ID] = "H_HSP_RATING_LINEAR_SCORE"), [1]!hcahps[HCAHPS Linear Mean Value]), "No Match")</f>
        <v>No Match</v>
      </c>
      <c r="F5076" t="str" cm="1">
        <f t="array" ref="F5076">_xlfn.IFNA(_xlfn.XLOOKUP(1,([1]!readmissions[Facility ID] = clean[[#This Row],[Facility ID]]) * ([1]!readmissions[Measure ID] = "Hybrid_HWR"), [1]!readmissions[Score]), "No Match")</f>
        <v>No Match</v>
      </c>
    </row>
    <row r="5077" spans="1:6" x14ac:dyDescent="0.2">
      <c r="A5077">
        <f>[1]!hospitalinfo[[#This Row],[Facility ID]]</f>
        <v>494021</v>
      </c>
      <c r="B5077" t="str">
        <f>[1]!hospitalinfo[[#This Row],[State]]</f>
        <v>VA</v>
      </c>
      <c r="C5077" t="str">
        <f>[1]!hospitalinfo[[#This Row],[Hospital Type]]</f>
        <v>Psychiatric</v>
      </c>
      <c r="D5077" t="str">
        <f>[1]!hospitalinfo[[#This Row],[Hospital Ownership]]</f>
        <v>Government - State</v>
      </c>
      <c r="E5077" t="str" cm="1">
        <f t="array" ref="E5077">_xlfn.IFNA(_xlfn.XLOOKUP(1,([1]!hcahps[Facility ID] = clean[[#This Row],[Facility ID]]) * ([1]!hcahps[HCAHPS Measure ID] = "H_HSP_RATING_LINEAR_SCORE"), [1]!hcahps[HCAHPS Linear Mean Value]), "No Match")</f>
        <v>No Match</v>
      </c>
      <c r="F5077" t="str" cm="1">
        <f t="array" ref="F5077">_xlfn.IFNA(_xlfn.XLOOKUP(1,([1]!readmissions[Facility ID] = clean[[#This Row],[Facility ID]]) * ([1]!readmissions[Measure ID] = "Hybrid_HWR"), [1]!readmissions[Score]), "No Match")</f>
        <v>No Match</v>
      </c>
    </row>
    <row r="5078" spans="1:6" x14ac:dyDescent="0.2">
      <c r="A5078">
        <f>[1]!hospitalinfo[[#This Row],[Facility ID]]</f>
        <v>494022</v>
      </c>
      <c r="B5078" t="str">
        <f>[1]!hospitalinfo[[#This Row],[State]]</f>
        <v>VA</v>
      </c>
      <c r="C5078" t="str">
        <f>[1]!hospitalinfo[[#This Row],[Hospital Type]]</f>
        <v>Psychiatric</v>
      </c>
      <c r="D5078" t="str">
        <f>[1]!hospitalinfo[[#This Row],[Hospital Ownership]]</f>
        <v>Proprietary</v>
      </c>
      <c r="E5078" t="str" cm="1">
        <f t="array" ref="E5078">_xlfn.IFNA(_xlfn.XLOOKUP(1,([1]!hcahps[Facility ID] = clean[[#This Row],[Facility ID]]) * ([1]!hcahps[HCAHPS Measure ID] = "H_HSP_RATING_LINEAR_SCORE"), [1]!hcahps[HCAHPS Linear Mean Value]), "No Match")</f>
        <v>No Match</v>
      </c>
      <c r="F5078" t="str" cm="1">
        <f t="array" ref="F5078">_xlfn.IFNA(_xlfn.XLOOKUP(1,([1]!readmissions[Facility ID] = clean[[#This Row],[Facility ID]]) * ([1]!readmissions[Measure ID] = "Hybrid_HWR"), [1]!readmissions[Score]), "No Match")</f>
        <v>No Match</v>
      </c>
    </row>
    <row r="5079" spans="1:6" x14ac:dyDescent="0.2">
      <c r="A5079">
        <f>[1]!hospitalinfo[[#This Row],[Facility ID]]</f>
        <v>494023</v>
      </c>
      <c r="B5079" t="str">
        <f>[1]!hospitalinfo[[#This Row],[State]]</f>
        <v>VA</v>
      </c>
      <c r="C5079" t="str">
        <f>[1]!hospitalinfo[[#This Row],[Hospital Type]]</f>
        <v>Psychiatric</v>
      </c>
      <c r="D5079" t="str">
        <f>[1]!hospitalinfo[[#This Row],[Hospital Ownership]]</f>
        <v>Proprietary</v>
      </c>
      <c r="E5079" t="str" cm="1">
        <f t="array" ref="E5079">_xlfn.IFNA(_xlfn.XLOOKUP(1,([1]!hcahps[Facility ID] = clean[[#This Row],[Facility ID]]) * ([1]!hcahps[HCAHPS Measure ID] = "H_HSP_RATING_LINEAR_SCORE"), [1]!hcahps[HCAHPS Linear Mean Value]), "No Match")</f>
        <v>No Match</v>
      </c>
      <c r="F5079" t="str" cm="1">
        <f t="array" ref="F5079">_xlfn.IFNA(_xlfn.XLOOKUP(1,([1]!readmissions[Facility ID] = clean[[#This Row],[Facility ID]]) * ([1]!readmissions[Measure ID] = "Hybrid_HWR"), [1]!readmissions[Score]), "No Match")</f>
        <v>No Match</v>
      </c>
    </row>
    <row r="5080" spans="1:6" x14ac:dyDescent="0.2">
      <c r="A5080">
        <f>[1]!hospitalinfo[[#This Row],[Facility ID]]</f>
        <v>494025</v>
      </c>
      <c r="B5080" t="str">
        <f>[1]!hospitalinfo[[#This Row],[State]]</f>
        <v>VA</v>
      </c>
      <c r="C5080" t="str">
        <f>[1]!hospitalinfo[[#This Row],[Hospital Type]]</f>
        <v>Psychiatric</v>
      </c>
      <c r="D5080" t="str">
        <f>[1]!hospitalinfo[[#This Row],[Hospital Ownership]]</f>
        <v>Proprietary</v>
      </c>
      <c r="E5080" t="str" cm="1">
        <f t="array" ref="E5080">_xlfn.IFNA(_xlfn.XLOOKUP(1,([1]!hcahps[Facility ID] = clean[[#This Row],[Facility ID]]) * ([1]!hcahps[HCAHPS Measure ID] = "H_HSP_RATING_LINEAR_SCORE"), [1]!hcahps[HCAHPS Linear Mean Value]), "No Match")</f>
        <v>No Match</v>
      </c>
      <c r="F5080" t="str" cm="1">
        <f t="array" ref="F5080">_xlfn.IFNA(_xlfn.XLOOKUP(1,([1]!readmissions[Facility ID] = clean[[#This Row],[Facility ID]]) * ([1]!readmissions[Measure ID] = "Hybrid_HWR"), [1]!readmissions[Score]), "No Match")</f>
        <v>No Match</v>
      </c>
    </row>
    <row r="5081" spans="1:6" x14ac:dyDescent="0.2">
      <c r="A5081">
        <f>[1]!hospitalinfo[[#This Row],[Facility ID]]</f>
        <v>494029</v>
      </c>
      <c r="B5081" t="str">
        <f>[1]!hospitalinfo[[#This Row],[State]]</f>
        <v>VA</v>
      </c>
      <c r="C5081" t="str">
        <f>[1]!hospitalinfo[[#This Row],[Hospital Type]]</f>
        <v>Psychiatric</v>
      </c>
      <c r="D5081" t="str">
        <f>[1]!hospitalinfo[[#This Row],[Hospital Ownership]]</f>
        <v>Government - State</v>
      </c>
      <c r="E5081" t="str" cm="1">
        <f t="array" ref="E5081">_xlfn.IFNA(_xlfn.XLOOKUP(1,([1]!hcahps[Facility ID] = clean[[#This Row],[Facility ID]]) * ([1]!hcahps[HCAHPS Measure ID] = "H_HSP_RATING_LINEAR_SCORE"), [1]!hcahps[HCAHPS Linear Mean Value]), "No Match")</f>
        <v>No Match</v>
      </c>
      <c r="F5081" t="str" cm="1">
        <f t="array" ref="F5081">_xlfn.IFNA(_xlfn.XLOOKUP(1,([1]!readmissions[Facility ID] = clean[[#This Row],[Facility ID]]) * ([1]!readmissions[Measure ID] = "Hybrid_HWR"), [1]!readmissions[Score]), "No Match")</f>
        <v>No Match</v>
      </c>
    </row>
    <row r="5082" spans="1:6" x14ac:dyDescent="0.2">
      <c r="A5082">
        <f>[1]!hospitalinfo[[#This Row],[Facility ID]]</f>
        <v>494032</v>
      </c>
      <c r="B5082" t="str">
        <f>[1]!hospitalinfo[[#This Row],[State]]</f>
        <v>VA</v>
      </c>
      <c r="C5082" t="str">
        <f>[1]!hospitalinfo[[#This Row],[Hospital Type]]</f>
        <v>Psychiatric</v>
      </c>
      <c r="D5082" t="str">
        <f>[1]!hospitalinfo[[#This Row],[Hospital Ownership]]</f>
        <v>Proprietary</v>
      </c>
      <c r="E5082" t="str" cm="1">
        <f t="array" ref="E5082">_xlfn.IFNA(_xlfn.XLOOKUP(1,([1]!hcahps[Facility ID] = clean[[#This Row],[Facility ID]]) * ([1]!hcahps[HCAHPS Measure ID] = "H_HSP_RATING_LINEAR_SCORE"), [1]!hcahps[HCAHPS Linear Mean Value]), "No Match")</f>
        <v>No Match</v>
      </c>
      <c r="F5082" t="str" cm="1">
        <f t="array" ref="F5082">_xlfn.IFNA(_xlfn.XLOOKUP(1,([1]!readmissions[Facility ID] = clean[[#This Row],[Facility ID]]) * ([1]!readmissions[Measure ID] = "Hybrid_HWR"), [1]!readmissions[Score]), "No Match")</f>
        <v>No Match</v>
      </c>
    </row>
    <row r="5083" spans="1:6" x14ac:dyDescent="0.2">
      <c r="A5083">
        <f>[1]!hospitalinfo[[#This Row],[Facility ID]]</f>
        <v>494033</v>
      </c>
      <c r="B5083" t="str">
        <f>[1]!hospitalinfo[[#This Row],[State]]</f>
        <v>VA</v>
      </c>
      <c r="C5083" t="str">
        <f>[1]!hospitalinfo[[#This Row],[Hospital Type]]</f>
        <v>Psychiatric</v>
      </c>
      <c r="D5083" t="str">
        <f>[1]!hospitalinfo[[#This Row],[Hospital Ownership]]</f>
        <v>Government - State</v>
      </c>
      <c r="E5083" t="str" cm="1">
        <f t="array" ref="E5083">_xlfn.IFNA(_xlfn.XLOOKUP(1,([1]!hcahps[Facility ID] = clean[[#This Row],[Facility ID]]) * ([1]!hcahps[HCAHPS Measure ID] = "H_HSP_RATING_LINEAR_SCORE"), [1]!hcahps[HCAHPS Linear Mean Value]), "No Match")</f>
        <v>No Match</v>
      </c>
      <c r="F5083" t="str" cm="1">
        <f t="array" ref="F5083">_xlfn.IFNA(_xlfn.XLOOKUP(1,([1]!readmissions[Facility ID] = clean[[#This Row],[Facility ID]]) * ([1]!readmissions[Measure ID] = "Hybrid_HWR"), [1]!readmissions[Score]), "No Match")</f>
        <v>No Match</v>
      </c>
    </row>
    <row r="5084" spans="1:6" x14ac:dyDescent="0.2">
      <c r="A5084" t="str">
        <f>[1]!hospitalinfo[[#This Row],[Facility ID]]</f>
        <v>49001F</v>
      </c>
      <c r="B5084" t="str">
        <f>[1]!hospitalinfo[[#This Row],[State]]</f>
        <v>VA</v>
      </c>
      <c r="C5084" t="str">
        <f>[1]!hospitalinfo[[#This Row],[Hospital Type]]</f>
        <v>Acute Care - Department of Defense</v>
      </c>
      <c r="D5084" t="str">
        <f>[1]!hospitalinfo[[#This Row],[Hospital Ownership]]</f>
        <v>Department of Defense</v>
      </c>
      <c r="E5084" cm="1">
        <f t="array" ref="E5084">_xlfn.IFNA(_xlfn.XLOOKUP(1,([1]!hcahps[Facility ID] = clean[[#This Row],[Facility ID]]) * ([1]!hcahps[HCAHPS Measure ID] = "H_HSP_RATING_LINEAR_SCORE"), [1]!hcahps[HCAHPS Linear Mean Value]), "No Match")</f>
        <v>94</v>
      </c>
      <c r="F5084" t="str" cm="1">
        <f t="array" ref="F5084">_xlfn.IFNA(_xlfn.XLOOKUP(1,([1]!readmissions[Facility ID] = clean[[#This Row],[Facility ID]]) * ([1]!readmissions[Measure ID] = "Hybrid_HWR"), [1]!readmissions[Score]), "No Match")</f>
        <v>Not Available</v>
      </c>
    </row>
    <row r="5085" spans="1:6" x14ac:dyDescent="0.2">
      <c r="A5085" t="str">
        <f>[1]!hospitalinfo[[#This Row],[Facility ID]]</f>
        <v>49006F</v>
      </c>
      <c r="B5085" t="str">
        <f>[1]!hospitalinfo[[#This Row],[State]]</f>
        <v>VA</v>
      </c>
      <c r="C5085" t="str">
        <f>[1]!hospitalinfo[[#This Row],[Hospital Type]]</f>
        <v>Acute Care - Veterans Administration</v>
      </c>
      <c r="D5085" t="str">
        <f>[1]!hospitalinfo[[#This Row],[Hospital Ownership]]</f>
        <v>Veterans Health Administration</v>
      </c>
      <c r="E5085" cm="1">
        <f t="array" ref="E5085">_xlfn.IFNA(_xlfn.XLOOKUP(1,([1]!hcahps[Facility ID] = clean[[#This Row],[Facility ID]]) * ([1]!hcahps[HCAHPS Measure ID] = "H_HSP_RATING_LINEAR_SCORE"), [1]!hcahps[HCAHPS Linear Mean Value]), "No Match")</f>
        <v>87</v>
      </c>
      <c r="F5085" cm="1">
        <f t="array" ref="F5085">_xlfn.IFNA(_xlfn.XLOOKUP(1,([1]!readmissions[Facility ID] = clean[[#This Row],[Facility ID]]) * ([1]!readmissions[Measure ID] = "Hybrid_HWR"), [1]!readmissions[Score]), "No Match")</f>
        <v>14.8</v>
      </c>
    </row>
    <row r="5086" spans="1:6" x14ac:dyDescent="0.2">
      <c r="A5086" t="str">
        <f>[1]!hospitalinfo[[#This Row],[Facility ID]]</f>
        <v>49008F</v>
      </c>
      <c r="B5086" t="str">
        <f>[1]!hospitalinfo[[#This Row],[State]]</f>
        <v>VA</v>
      </c>
      <c r="C5086" t="str">
        <f>[1]!hospitalinfo[[#This Row],[Hospital Type]]</f>
        <v>Acute Care - Department of Defense</v>
      </c>
      <c r="D5086" t="str">
        <f>[1]!hospitalinfo[[#This Row],[Hospital Ownership]]</f>
        <v>Department of Defense</v>
      </c>
      <c r="E5086" cm="1">
        <f t="array" ref="E5086">_xlfn.IFNA(_xlfn.XLOOKUP(1,([1]!hcahps[Facility ID] = clean[[#This Row],[Facility ID]]) * ([1]!hcahps[HCAHPS Measure ID] = "H_HSP_RATING_LINEAR_SCORE"), [1]!hcahps[HCAHPS Linear Mean Value]), "No Match")</f>
        <v>89</v>
      </c>
      <c r="F5086" t="str" cm="1">
        <f t="array" ref="F5086">_xlfn.IFNA(_xlfn.XLOOKUP(1,([1]!readmissions[Facility ID] = clean[[#This Row],[Facility ID]]) * ([1]!readmissions[Measure ID] = "Hybrid_HWR"), [1]!readmissions[Score]), "No Match")</f>
        <v>Not Available</v>
      </c>
    </row>
    <row r="5087" spans="1:6" x14ac:dyDescent="0.2">
      <c r="A5087" t="str">
        <f>[1]!hospitalinfo[[#This Row],[Facility ID]]</f>
        <v>49010F</v>
      </c>
      <c r="B5087" t="str">
        <f>[1]!hospitalinfo[[#This Row],[State]]</f>
        <v>VA</v>
      </c>
      <c r="C5087" t="str">
        <f>[1]!hospitalinfo[[#This Row],[Hospital Type]]</f>
        <v>Acute Care - Veterans Administration</v>
      </c>
      <c r="D5087" t="str">
        <f>[1]!hospitalinfo[[#This Row],[Hospital Ownership]]</f>
        <v>Veterans Health Administration</v>
      </c>
      <c r="E5087" cm="1">
        <f t="array" ref="E5087">_xlfn.IFNA(_xlfn.XLOOKUP(1,([1]!hcahps[Facility ID] = clean[[#This Row],[Facility ID]]) * ([1]!hcahps[HCAHPS Measure ID] = "H_HSP_RATING_LINEAR_SCORE"), [1]!hcahps[HCAHPS Linear Mean Value]), "No Match")</f>
        <v>87</v>
      </c>
      <c r="F5087" cm="1">
        <f t="array" ref="F5087">_xlfn.IFNA(_xlfn.XLOOKUP(1,([1]!readmissions[Facility ID] = clean[[#This Row],[Facility ID]]) * ([1]!readmissions[Measure ID] = "Hybrid_HWR"), [1]!readmissions[Score]), "No Match")</f>
        <v>14.2</v>
      </c>
    </row>
    <row r="5088" spans="1:6" x14ac:dyDescent="0.2">
      <c r="A5088" t="str">
        <f>[1]!hospitalinfo[[#This Row],[Facility ID]]</f>
        <v>49011F</v>
      </c>
      <c r="B5088" t="str">
        <f>[1]!hospitalinfo[[#This Row],[State]]</f>
        <v>VA</v>
      </c>
      <c r="C5088" t="str">
        <f>[1]!hospitalinfo[[#This Row],[Hospital Type]]</f>
        <v>Acute Care - Veterans Administration</v>
      </c>
      <c r="D5088" t="str">
        <f>[1]!hospitalinfo[[#This Row],[Hospital Ownership]]</f>
        <v>Veterans Health Administration</v>
      </c>
      <c r="E5088" cm="1">
        <f t="array" ref="E5088">_xlfn.IFNA(_xlfn.XLOOKUP(1,([1]!hcahps[Facility ID] = clean[[#This Row],[Facility ID]]) * ([1]!hcahps[HCAHPS Measure ID] = "H_HSP_RATING_LINEAR_SCORE"), [1]!hcahps[HCAHPS Linear Mean Value]), "No Match")</f>
        <v>93</v>
      </c>
      <c r="F5088" cm="1">
        <f t="array" ref="F5088">_xlfn.IFNA(_xlfn.XLOOKUP(1,([1]!readmissions[Facility ID] = clean[[#This Row],[Facility ID]]) * ([1]!readmissions[Measure ID] = "Hybrid_HWR"), [1]!readmissions[Score]), "No Match")</f>
        <v>13.6</v>
      </c>
    </row>
    <row r="5089" spans="1:6" x14ac:dyDescent="0.2">
      <c r="A5089">
        <f>[1]!hospitalinfo[[#This Row],[Facility ID]]</f>
        <v>480001</v>
      </c>
      <c r="B5089" t="str">
        <f>[1]!hospitalinfo[[#This Row],[State]]</f>
        <v>VI</v>
      </c>
      <c r="C5089" t="str">
        <f>[1]!hospitalinfo[[#This Row],[Hospital Type]]</f>
        <v>Acute Care Hospitals</v>
      </c>
      <c r="D5089" t="str">
        <f>[1]!hospitalinfo[[#This Row],[Hospital Ownership]]</f>
        <v>Government - Local</v>
      </c>
      <c r="E5089" t="str" cm="1">
        <f t="array" ref="E5089">_xlfn.IFNA(_xlfn.XLOOKUP(1,([1]!hcahps[Facility ID] = clean[[#This Row],[Facility ID]]) * ([1]!hcahps[HCAHPS Measure ID] = "H_HSP_RATING_LINEAR_SCORE"), [1]!hcahps[HCAHPS Linear Mean Value]), "No Match")</f>
        <v>Not Available</v>
      </c>
      <c r="F5089" cm="1">
        <f t="array" ref="F5089">_xlfn.IFNA(_xlfn.XLOOKUP(1,([1]!readmissions[Facility ID] = clean[[#This Row],[Facility ID]]) * ([1]!readmissions[Measure ID] = "Hybrid_HWR"), [1]!readmissions[Score]), "No Match")</f>
        <v>15</v>
      </c>
    </row>
    <row r="5090" spans="1:6" x14ac:dyDescent="0.2">
      <c r="A5090">
        <f>[1]!hospitalinfo[[#This Row],[Facility ID]]</f>
        <v>480002</v>
      </c>
      <c r="B5090" t="str">
        <f>[1]!hospitalinfo[[#This Row],[State]]</f>
        <v>VI</v>
      </c>
      <c r="C5090" t="str">
        <f>[1]!hospitalinfo[[#This Row],[Hospital Type]]</f>
        <v>Acute Care Hospitals</v>
      </c>
      <c r="D5090" t="str">
        <f>[1]!hospitalinfo[[#This Row],[Hospital Ownership]]</f>
        <v>Government - State</v>
      </c>
      <c r="E5090" cm="1">
        <f t="array" ref="E5090">_xlfn.IFNA(_xlfn.XLOOKUP(1,([1]!hcahps[Facility ID] = clean[[#This Row],[Facility ID]]) * ([1]!hcahps[HCAHPS Measure ID] = "H_HSP_RATING_LINEAR_SCORE"), [1]!hcahps[HCAHPS Linear Mean Value]), "No Match")</f>
        <v>84</v>
      </c>
      <c r="F5090" cm="1">
        <f t="array" ref="F5090">_xlfn.IFNA(_xlfn.XLOOKUP(1,([1]!readmissions[Facility ID] = clean[[#This Row],[Facility ID]]) * ([1]!readmissions[Measure ID] = "Hybrid_HWR"), [1]!readmissions[Score]), "No Match")</f>
        <v>15.9</v>
      </c>
    </row>
    <row r="5091" spans="1:6" x14ac:dyDescent="0.2">
      <c r="A5091">
        <f>[1]!hospitalinfo[[#This Row],[Facility ID]]</f>
        <v>470001</v>
      </c>
      <c r="B5091" t="str">
        <f>[1]!hospitalinfo[[#This Row],[State]]</f>
        <v>VT</v>
      </c>
      <c r="C5091" t="str">
        <f>[1]!hospitalinfo[[#This Row],[Hospital Type]]</f>
        <v>Acute Care Hospitals</v>
      </c>
      <c r="D5091" t="str">
        <f>[1]!hospitalinfo[[#This Row],[Hospital Ownership]]</f>
        <v>Voluntary non-profit - Private</v>
      </c>
      <c r="E5091" cm="1">
        <f t="array" ref="E5091">_xlfn.IFNA(_xlfn.XLOOKUP(1,([1]!hcahps[Facility ID] = clean[[#This Row],[Facility ID]]) * ([1]!hcahps[HCAHPS Measure ID] = "H_HSP_RATING_LINEAR_SCORE"), [1]!hcahps[HCAHPS Linear Mean Value]), "No Match")</f>
        <v>89</v>
      </c>
      <c r="F5091" cm="1">
        <f t="array" ref="F5091">_xlfn.IFNA(_xlfn.XLOOKUP(1,([1]!readmissions[Facility ID] = clean[[#This Row],[Facility ID]]) * ([1]!readmissions[Measure ID] = "Hybrid_HWR"), [1]!readmissions[Score]), "No Match")</f>
        <v>15.3</v>
      </c>
    </row>
    <row r="5092" spans="1:6" x14ac:dyDescent="0.2">
      <c r="A5092">
        <f>[1]!hospitalinfo[[#This Row],[Facility ID]]</f>
        <v>470003</v>
      </c>
      <c r="B5092" t="str">
        <f>[1]!hospitalinfo[[#This Row],[State]]</f>
        <v>VT</v>
      </c>
      <c r="C5092" t="str">
        <f>[1]!hospitalinfo[[#This Row],[Hospital Type]]</f>
        <v>Acute Care Hospitals</v>
      </c>
      <c r="D5092" t="str">
        <f>[1]!hospitalinfo[[#This Row],[Hospital Ownership]]</f>
        <v>Voluntary non-profit - Other</v>
      </c>
      <c r="E5092" cm="1">
        <f t="array" ref="E5092">_xlfn.IFNA(_xlfn.XLOOKUP(1,([1]!hcahps[Facility ID] = clean[[#This Row],[Facility ID]]) * ([1]!hcahps[HCAHPS Measure ID] = "H_HSP_RATING_LINEAR_SCORE"), [1]!hcahps[HCAHPS Linear Mean Value]), "No Match")</f>
        <v>89</v>
      </c>
      <c r="F5092" cm="1">
        <f t="array" ref="F5092">_xlfn.IFNA(_xlfn.XLOOKUP(1,([1]!readmissions[Facility ID] = clean[[#This Row],[Facility ID]]) * ([1]!readmissions[Measure ID] = "Hybrid_HWR"), [1]!readmissions[Score]), "No Match")</f>
        <v>14.7</v>
      </c>
    </row>
    <row r="5093" spans="1:6" x14ac:dyDescent="0.2">
      <c r="A5093">
        <f>[1]!hospitalinfo[[#This Row],[Facility ID]]</f>
        <v>470005</v>
      </c>
      <c r="B5093" t="str">
        <f>[1]!hospitalinfo[[#This Row],[State]]</f>
        <v>VT</v>
      </c>
      <c r="C5093" t="str">
        <f>[1]!hospitalinfo[[#This Row],[Hospital Type]]</f>
        <v>Acute Care Hospitals</v>
      </c>
      <c r="D5093" t="str">
        <f>[1]!hospitalinfo[[#This Row],[Hospital Ownership]]</f>
        <v>Voluntary non-profit - Private</v>
      </c>
      <c r="E5093" cm="1">
        <f t="array" ref="E5093">_xlfn.IFNA(_xlfn.XLOOKUP(1,([1]!hcahps[Facility ID] = clean[[#This Row],[Facility ID]]) * ([1]!hcahps[HCAHPS Measure ID] = "H_HSP_RATING_LINEAR_SCORE"), [1]!hcahps[HCAHPS Linear Mean Value]), "No Match")</f>
        <v>87</v>
      </c>
      <c r="F5093" cm="1">
        <f t="array" ref="F5093">_xlfn.IFNA(_xlfn.XLOOKUP(1,([1]!readmissions[Facility ID] = clean[[#This Row],[Facility ID]]) * ([1]!readmissions[Measure ID] = "Hybrid_HWR"), [1]!readmissions[Score]), "No Match")</f>
        <v>14.7</v>
      </c>
    </row>
    <row r="5094" spans="1:6" x14ac:dyDescent="0.2">
      <c r="A5094">
        <f>[1]!hospitalinfo[[#This Row],[Facility ID]]</f>
        <v>470011</v>
      </c>
      <c r="B5094" t="str">
        <f>[1]!hospitalinfo[[#This Row],[State]]</f>
        <v>VT</v>
      </c>
      <c r="C5094" t="str">
        <f>[1]!hospitalinfo[[#This Row],[Hospital Type]]</f>
        <v>Acute Care Hospitals</v>
      </c>
      <c r="D5094" t="str">
        <f>[1]!hospitalinfo[[#This Row],[Hospital Ownership]]</f>
        <v>Voluntary non-profit - Private</v>
      </c>
      <c r="E5094" cm="1">
        <f t="array" ref="E5094">_xlfn.IFNA(_xlfn.XLOOKUP(1,([1]!hcahps[Facility ID] = clean[[#This Row],[Facility ID]]) * ([1]!hcahps[HCAHPS Measure ID] = "H_HSP_RATING_LINEAR_SCORE"), [1]!hcahps[HCAHPS Linear Mean Value]), "No Match")</f>
        <v>86</v>
      </c>
      <c r="F5094" cm="1">
        <f t="array" ref="F5094">_xlfn.IFNA(_xlfn.XLOOKUP(1,([1]!readmissions[Facility ID] = clean[[#This Row],[Facility ID]]) * ([1]!readmissions[Measure ID] = "Hybrid_HWR"), [1]!readmissions[Score]), "No Match")</f>
        <v>14.4</v>
      </c>
    </row>
    <row r="5095" spans="1:6" x14ac:dyDescent="0.2">
      <c r="A5095">
        <f>[1]!hospitalinfo[[#This Row],[Facility ID]]</f>
        <v>470012</v>
      </c>
      <c r="B5095" t="str">
        <f>[1]!hospitalinfo[[#This Row],[State]]</f>
        <v>VT</v>
      </c>
      <c r="C5095" t="str">
        <f>[1]!hospitalinfo[[#This Row],[Hospital Type]]</f>
        <v>Acute Care Hospitals</v>
      </c>
      <c r="D5095" t="str">
        <f>[1]!hospitalinfo[[#This Row],[Hospital Ownership]]</f>
        <v>Voluntary non-profit - Private</v>
      </c>
      <c r="E5095" cm="1">
        <f t="array" ref="E5095">_xlfn.IFNA(_xlfn.XLOOKUP(1,([1]!hcahps[Facility ID] = clean[[#This Row],[Facility ID]]) * ([1]!hcahps[HCAHPS Measure ID] = "H_HSP_RATING_LINEAR_SCORE"), [1]!hcahps[HCAHPS Linear Mean Value]), "No Match")</f>
        <v>89</v>
      </c>
      <c r="F5095" cm="1">
        <f t="array" ref="F5095">_xlfn.IFNA(_xlfn.XLOOKUP(1,([1]!readmissions[Facility ID] = clean[[#This Row],[Facility ID]]) * ([1]!readmissions[Measure ID] = "Hybrid_HWR"), [1]!readmissions[Score]), "No Match")</f>
        <v>15.8</v>
      </c>
    </row>
    <row r="5096" spans="1:6" x14ac:dyDescent="0.2">
      <c r="A5096">
        <f>[1]!hospitalinfo[[#This Row],[Facility ID]]</f>
        <v>470024</v>
      </c>
      <c r="B5096" t="str">
        <f>[1]!hospitalinfo[[#This Row],[State]]</f>
        <v>VT</v>
      </c>
      <c r="C5096" t="str">
        <f>[1]!hospitalinfo[[#This Row],[Hospital Type]]</f>
        <v>Acute Care Hospitals</v>
      </c>
      <c r="D5096" t="str">
        <f>[1]!hospitalinfo[[#This Row],[Hospital Ownership]]</f>
        <v>Voluntary non-profit - Other</v>
      </c>
      <c r="E5096" cm="1">
        <f t="array" ref="E5096">_xlfn.IFNA(_xlfn.XLOOKUP(1,([1]!hcahps[Facility ID] = clean[[#This Row],[Facility ID]]) * ([1]!hcahps[HCAHPS Measure ID] = "H_HSP_RATING_LINEAR_SCORE"), [1]!hcahps[HCAHPS Linear Mean Value]), "No Match")</f>
        <v>87</v>
      </c>
      <c r="F5096" cm="1">
        <f t="array" ref="F5096">_xlfn.IFNA(_xlfn.XLOOKUP(1,([1]!readmissions[Facility ID] = clean[[#This Row],[Facility ID]]) * ([1]!readmissions[Measure ID] = "Hybrid_HWR"), [1]!readmissions[Score]), "No Match")</f>
        <v>14</v>
      </c>
    </row>
    <row r="5097" spans="1:6" x14ac:dyDescent="0.2">
      <c r="A5097">
        <f>[1]!hospitalinfo[[#This Row],[Facility ID]]</f>
        <v>471300</v>
      </c>
      <c r="B5097" t="str">
        <f>[1]!hospitalinfo[[#This Row],[State]]</f>
        <v>VT</v>
      </c>
      <c r="C5097" t="str">
        <f>[1]!hospitalinfo[[#This Row],[Hospital Type]]</f>
        <v>Critical Access Hospitals</v>
      </c>
      <c r="D5097" t="str">
        <f>[1]!hospitalinfo[[#This Row],[Hospital Ownership]]</f>
        <v>Voluntary non-profit - Private</v>
      </c>
      <c r="E5097" t="str" cm="1">
        <f t="array" ref="E5097">_xlfn.IFNA(_xlfn.XLOOKUP(1,([1]!hcahps[Facility ID] = clean[[#This Row],[Facility ID]]) * ([1]!hcahps[HCAHPS Measure ID] = "H_HSP_RATING_LINEAR_SCORE"), [1]!hcahps[HCAHPS Linear Mean Value]), "No Match")</f>
        <v>Not Available</v>
      </c>
      <c r="F5097" cm="1">
        <f t="array" ref="F5097">_xlfn.IFNA(_xlfn.XLOOKUP(1,([1]!readmissions[Facility ID] = clean[[#This Row],[Facility ID]]) * ([1]!readmissions[Measure ID] = "Hybrid_HWR"), [1]!readmissions[Score]), "No Match")</f>
        <v>14.8</v>
      </c>
    </row>
    <row r="5098" spans="1:6" x14ac:dyDescent="0.2">
      <c r="A5098">
        <f>[1]!hospitalinfo[[#This Row],[Facility ID]]</f>
        <v>471301</v>
      </c>
      <c r="B5098" t="str">
        <f>[1]!hospitalinfo[[#This Row],[State]]</f>
        <v>VT</v>
      </c>
      <c r="C5098" t="str">
        <f>[1]!hospitalinfo[[#This Row],[Hospital Type]]</f>
        <v>Critical Access Hospitals</v>
      </c>
      <c r="D5098" t="str">
        <f>[1]!hospitalinfo[[#This Row],[Hospital Ownership]]</f>
        <v>Voluntary non-profit - Private</v>
      </c>
      <c r="E5098" cm="1">
        <f t="array" ref="E5098">_xlfn.IFNA(_xlfn.XLOOKUP(1,([1]!hcahps[Facility ID] = clean[[#This Row],[Facility ID]]) * ([1]!hcahps[HCAHPS Measure ID] = "H_HSP_RATING_LINEAR_SCORE"), [1]!hcahps[HCAHPS Linear Mean Value]), "No Match")</f>
        <v>92</v>
      </c>
      <c r="F5098" cm="1">
        <f t="array" ref="F5098">_xlfn.IFNA(_xlfn.XLOOKUP(1,([1]!readmissions[Facility ID] = clean[[#This Row],[Facility ID]]) * ([1]!readmissions[Measure ID] = "Hybrid_HWR"), [1]!readmissions[Score]), "No Match")</f>
        <v>14.7</v>
      </c>
    </row>
    <row r="5099" spans="1:6" x14ac:dyDescent="0.2">
      <c r="A5099">
        <f>[1]!hospitalinfo[[#This Row],[Facility ID]]</f>
        <v>471302</v>
      </c>
      <c r="B5099" t="str">
        <f>[1]!hospitalinfo[[#This Row],[State]]</f>
        <v>VT</v>
      </c>
      <c r="C5099" t="str">
        <f>[1]!hospitalinfo[[#This Row],[Hospital Type]]</f>
        <v>Critical Access Hospitals</v>
      </c>
      <c r="D5099" t="str">
        <f>[1]!hospitalinfo[[#This Row],[Hospital Ownership]]</f>
        <v>Voluntary non-profit - Private</v>
      </c>
      <c r="E5099" cm="1">
        <f t="array" ref="E5099">_xlfn.IFNA(_xlfn.XLOOKUP(1,([1]!hcahps[Facility ID] = clean[[#This Row],[Facility ID]]) * ([1]!hcahps[HCAHPS Measure ID] = "H_HSP_RATING_LINEAR_SCORE"), [1]!hcahps[HCAHPS Linear Mean Value]), "No Match")</f>
        <v>92</v>
      </c>
      <c r="F5099" cm="1">
        <f t="array" ref="F5099">_xlfn.IFNA(_xlfn.XLOOKUP(1,([1]!readmissions[Facility ID] = clean[[#This Row],[Facility ID]]) * ([1]!readmissions[Measure ID] = "Hybrid_HWR"), [1]!readmissions[Score]), "No Match")</f>
        <v>14.7</v>
      </c>
    </row>
    <row r="5100" spans="1:6" x14ac:dyDescent="0.2">
      <c r="A5100">
        <f>[1]!hospitalinfo[[#This Row],[Facility ID]]</f>
        <v>471303</v>
      </c>
      <c r="B5100" t="str">
        <f>[1]!hospitalinfo[[#This Row],[State]]</f>
        <v>VT</v>
      </c>
      <c r="C5100" t="str">
        <f>[1]!hospitalinfo[[#This Row],[Hospital Type]]</f>
        <v>Critical Access Hospitals</v>
      </c>
      <c r="D5100" t="str">
        <f>[1]!hospitalinfo[[#This Row],[Hospital Ownership]]</f>
        <v>Voluntary non-profit - Private</v>
      </c>
      <c r="E5100" cm="1">
        <f t="array" ref="E5100">_xlfn.IFNA(_xlfn.XLOOKUP(1,([1]!hcahps[Facility ID] = clean[[#This Row],[Facility ID]]) * ([1]!hcahps[HCAHPS Measure ID] = "H_HSP_RATING_LINEAR_SCORE"), [1]!hcahps[HCAHPS Linear Mean Value]), "No Match")</f>
        <v>91</v>
      </c>
      <c r="F5100" cm="1">
        <f t="array" ref="F5100">_xlfn.IFNA(_xlfn.XLOOKUP(1,([1]!readmissions[Facility ID] = clean[[#This Row],[Facility ID]]) * ([1]!readmissions[Measure ID] = "Hybrid_HWR"), [1]!readmissions[Score]), "No Match")</f>
        <v>15.4</v>
      </c>
    </row>
    <row r="5101" spans="1:6" x14ac:dyDescent="0.2">
      <c r="A5101">
        <f>[1]!hospitalinfo[[#This Row],[Facility ID]]</f>
        <v>471304</v>
      </c>
      <c r="B5101" t="str">
        <f>[1]!hospitalinfo[[#This Row],[State]]</f>
        <v>VT</v>
      </c>
      <c r="C5101" t="str">
        <f>[1]!hospitalinfo[[#This Row],[Hospital Type]]</f>
        <v>Critical Access Hospitals</v>
      </c>
      <c r="D5101" t="str">
        <f>[1]!hospitalinfo[[#This Row],[Hospital Ownership]]</f>
        <v>Voluntary non-profit - Private</v>
      </c>
      <c r="E5101" cm="1">
        <f t="array" ref="E5101">_xlfn.IFNA(_xlfn.XLOOKUP(1,([1]!hcahps[Facility ID] = clean[[#This Row],[Facility ID]]) * ([1]!hcahps[HCAHPS Measure ID] = "H_HSP_RATING_LINEAR_SCORE"), [1]!hcahps[HCAHPS Linear Mean Value]), "No Match")</f>
        <v>91</v>
      </c>
      <c r="F5101" cm="1">
        <f t="array" ref="F5101">_xlfn.IFNA(_xlfn.XLOOKUP(1,([1]!readmissions[Facility ID] = clean[[#This Row],[Facility ID]]) * ([1]!readmissions[Measure ID] = "Hybrid_HWR"), [1]!readmissions[Score]), "No Match")</f>
        <v>14.6</v>
      </c>
    </row>
    <row r="5102" spans="1:6" x14ac:dyDescent="0.2">
      <c r="A5102">
        <f>[1]!hospitalinfo[[#This Row],[Facility ID]]</f>
        <v>471305</v>
      </c>
      <c r="B5102" t="str">
        <f>[1]!hospitalinfo[[#This Row],[State]]</f>
        <v>VT</v>
      </c>
      <c r="C5102" t="str">
        <f>[1]!hospitalinfo[[#This Row],[Hospital Type]]</f>
        <v>Critical Access Hospitals</v>
      </c>
      <c r="D5102" t="str">
        <f>[1]!hospitalinfo[[#This Row],[Hospital Ownership]]</f>
        <v>Voluntary non-profit - Private</v>
      </c>
      <c r="E5102" cm="1">
        <f t="array" ref="E5102">_xlfn.IFNA(_xlfn.XLOOKUP(1,([1]!hcahps[Facility ID] = clean[[#This Row],[Facility ID]]) * ([1]!hcahps[HCAHPS Measure ID] = "H_HSP_RATING_LINEAR_SCORE"), [1]!hcahps[HCAHPS Linear Mean Value]), "No Match")</f>
        <v>93</v>
      </c>
      <c r="F5102" cm="1">
        <f t="array" ref="F5102">_xlfn.IFNA(_xlfn.XLOOKUP(1,([1]!readmissions[Facility ID] = clean[[#This Row],[Facility ID]]) * ([1]!readmissions[Measure ID] = "Hybrid_HWR"), [1]!readmissions[Score]), "No Match")</f>
        <v>14.9</v>
      </c>
    </row>
    <row r="5103" spans="1:6" x14ac:dyDescent="0.2">
      <c r="A5103">
        <f>[1]!hospitalinfo[[#This Row],[Facility ID]]</f>
        <v>471306</v>
      </c>
      <c r="B5103" t="str">
        <f>[1]!hospitalinfo[[#This Row],[State]]</f>
        <v>VT</v>
      </c>
      <c r="C5103" t="str">
        <f>[1]!hospitalinfo[[#This Row],[Hospital Type]]</f>
        <v>Critical Access Hospitals</v>
      </c>
      <c r="D5103" t="str">
        <f>[1]!hospitalinfo[[#This Row],[Hospital Ownership]]</f>
        <v>Voluntary non-profit - Private</v>
      </c>
      <c r="E5103" t="str" cm="1">
        <f t="array" ref="E5103">_xlfn.IFNA(_xlfn.XLOOKUP(1,([1]!hcahps[Facility ID] = clean[[#This Row],[Facility ID]]) * ([1]!hcahps[HCAHPS Measure ID] = "H_HSP_RATING_LINEAR_SCORE"), [1]!hcahps[HCAHPS Linear Mean Value]), "No Match")</f>
        <v>Not Available</v>
      </c>
      <c r="F5103" cm="1">
        <f t="array" ref="F5103">_xlfn.IFNA(_xlfn.XLOOKUP(1,([1]!readmissions[Facility ID] = clean[[#This Row],[Facility ID]]) * ([1]!readmissions[Measure ID] = "Hybrid_HWR"), [1]!readmissions[Score]), "No Match")</f>
        <v>15.1</v>
      </c>
    </row>
    <row r="5104" spans="1:6" x14ac:dyDescent="0.2">
      <c r="A5104">
        <f>[1]!hospitalinfo[[#This Row],[Facility ID]]</f>
        <v>471307</v>
      </c>
      <c r="B5104" t="str">
        <f>[1]!hospitalinfo[[#This Row],[State]]</f>
        <v>VT</v>
      </c>
      <c r="C5104" t="str">
        <f>[1]!hospitalinfo[[#This Row],[Hospital Type]]</f>
        <v>Critical Access Hospitals</v>
      </c>
      <c r="D5104" t="str">
        <f>[1]!hospitalinfo[[#This Row],[Hospital Ownership]]</f>
        <v>Voluntary non-profit - Private</v>
      </c>
      <c r="E5104" cm="1">
        <f t="array" ref="E5104">_xlfn.IFNA(_xlfn.XLOOKUP(1,([1]!hcahps[Facility ID] = clean[[#This Row],[Facility ID]]) * ([1]!hcahps[HCAHPS Measure ID] = "H_HSP_RATING_LINEAR_SCORE"), [1]!hcahps[HCAHPS Linear Mean Value]), "No Match")</f>
        <v>86</v>
      </c>
      <c r="F5104" cm="1">
        <f t="array" ref="F5104">_xlfn.IFNA(_xlfn.XLOOKUP(1,([1]!readmissions[Facility ID] = clean[[#This Row],[Facility ID]]) * ([1]!readmissions[Measure ID] = "Hybrid_HWR"), [1]!readmissions[Score]), "No Match")</f>
        <v>14.7</v>
      </c>
    </row>
    <row r="5105" spans="1:6" x14ac:dyDescent="0.2">
      <c r="A5105">
        <f>[1]!hospitalinfo[[#This Row],[Facility ID]]</f>
        <v>474001</v>
      </c>
      <c r="B5105" t="str">
        <f>[1]!hospitalinfo[[#This Row],[State]]</f>
        <v>VT</v>
      </c>
      <c r="C5105" t="str">
        <f>[1]!hospitalinfo[[#This Row],[Hospital Type]]</f>
        <v>Psychiatric</v>
      </c>
      <c r="D5105" t="str">
        <f>[1]!hospitalinfo[[#This Row],[Hospital Ownership]]</f>
        <v>Voluntary non-profit - Private</v>
      </c>
      <c r="E5105" t="str" cm="1">
        <f t="array" ref="E5105">_xlfn.IFNA(_xlfn.XLOOKUP(1,([1]!hcahps[Facility ID] = clean[[#This Row],[Facility ID]]) * ([1]!hcahps[HCAHPS Measure ID] = "H_HSP_RATING_LINEAR_SCORE"), [1]!hcahps[HCAHPS Linear Mean Value]), "No Match")</f>
        <v>No Match</v>
      </c>
      <c r="F5105" t="str" cm="1">
        <f t="array" ref="F5105">_xlfn.IFNA(_xlfn.XLOOKUP(1,([1]!readmissions[Facility ID] = clean[[#This Row],[Facility ID]]) * ([1]!readmissions[Measure ID] = "Hybrid_HWR"), [1]!readmissions[Score]), "No Match")</f>
        <v>No Match</v>
      </c>
    </row>
    <row r="5106" spans="1:6" x14ac:dyDescent="0.2">
      <c r="A5106">
        <f>[1]!hospitalinfo[[#This Row],[Facility ID]]</f>
        <v>474004</v>
      </c>
      <c r="B5106" t="str">
        <f>[1]!hospitalinfo[[#This Row],[State]]</f>
        <v>VT</v>
      </c>
      <c r="C5106" t="str">
        <f>[1]!hospitalinfo[[#This Row],[Hospital Type]]</f>
        <v>Psychiatric</v>
      </c>
      <c r="D5106" t="str">
        <f>[1]!hospitalinfo[[#This Row],[Hospital Ownership]]</f>
        <v>Government - State</v>
      </c>
      <c r="E5106" t="str" cm="1">
        <f t="array" ref="E5106">_xlfn.IFNA(_xlfn.XLOOKUP(1,([1]!hcahps[Facility ID] = clean[[#This Row],[Facility ID]]) * ([1]!hcahps[HCAHPS Measure ID] = "H_HSP_RATING_LINEAR_SCORE"), [1]!hcahps[HCAHPS Linear Mean Value]), "No Match")</f>
        <v>No Match</v>
      </c>
      <c r="F5106" t="str" cm="1">
        <f t="array" ref="F5106">_xlfn.IFNA(_xlfn.XLOOKUP(1,([1]!readmissions[Facility ID] = clean[[#This Row],[Facility ID]]) * ([1]!readmissions[Measure ID] = "Hybrid_HWR"), [1]!readmissions[Score]), "No Match")</f>
        <v>No Match</v>
      </c>
    </row>
    <row r="5107" spans="1:6" x14ac:dyDescent="0.2">
      <c r="A5107" t="str">
        <f>[1]!hospitalinfo[[#This Row],[Facility ID]]</f>
        <v>47001F</v>
      </c>
      <c r="B5107" t="str">
        <f>[1]!hospitalinfo[[#This Row],[State]]</f>
        <v>VT</v>
      </c>
      <c r="C5107" t="str">
        <f>[1]!hospitalinfo[[#This Row],[Hospital Type]]</f>
        <v>Acute Care - Veterans Administration</v>
      </c>
      <c r="D5107" t="str">
        <f>[1]!hospitalinfo[[#This Row],[Hospital Ownership]]</f>
        <v>Veterans Health Administration</v>
      </c>
      <c r="E5107" cm="1">
        <f t="array" ref="E5107">_xlfn.IFNA(_xlfn.XLOOKUP(1,([1]!hcahps[Facility ID] = clean[[#This Row],[Facility ID]]) * ([1]!hcahps[HCAHPS Measure ID] = "H_HSP_RATING_LINEAR_SCORE"), [1]!hcahps[HCAHPS Linear Mean Value]), "No Match")</f>
        <v>93</v>
      </c>
      <c r="F5107" cm="1">
        <f t="array" ref="F5107">_xlfn.IFNA(_xlfn.XLOOKUP(1,([1]!readmissions[Facility ID] = clean[[#This Row],[Facility ID]]) * ([1]!readmissions[Measure ID] = "Hybrid_HWR"), [1]!readmissions[Score]), "No Match")</f>
        <v>14.4</v>
      </c>
    </row>
    <row r="5108" spans="1:6" x14ac:dyDescent="0.2">
      <c r="A5108">
        <f>[1]!hospitalinfo[[#This Row],[Facility ID]]</f>
        <v>500002</v>
      </c>
      <c r="B5108" t="str">
        <f>[1]!hospitalinfo[[#This Row],[State]]</f>
        <v>WA</v>
      </c>
      <c r="C5108" t="str">
        <f>[1]!hospitalinfo[[#This Row],[Hospital Type]]</f>
        <v>Acute Care Hospitals</v>
      </c>
      <c r="D5108" t="str">
        <f>[1]!hospitalinfo[[#This Row],[Hospital Ownership]]</f>
        <v>Voluntary non-profit - Private</v>
      </c>
      <c r="E5108" cm="1">
        <f t="array" ref="E5108">_xlfn.IFNA(_xlfn.XLOOKUP(1,([1]!hcahps[Facility ID] = clean[[#This Row],[Facility ID]]) * ([1]!hcahps[HCAHPS Measure ID] = "H_HSP_RATING_LINEAR_SCORE"), [1]!hcahps[HCAHPS Linear Mean Value]), "No Match")</f>
        <v>88</v>
      </c>
      <c r="F5108" cm="1">
        <f t="array" ref="F5108">_xlfn.IFNA(_xlfn.XLOOKUP(1,([1]!readmissions[Facility ID] = clean[[#This Row],[Facility ID]]) * ([1]!readmissions[Measure ID] = "Hybrid_HWR"), [1]!readmissions[Score]), "No Match")</f>
        <v>13.6</v>
      </c>
    </row>
    <row r="5109" spans="1:6" x14ac:dyDescent="0.2">
      <c r="A5109">
        <f>[1]!hospitalinfo[[#This Row],[Facility ID]]</f>
        <v>500003</v>
      </c>
      <c r="B5109" t="str">
        <f>[1]!hospitalinfo[[#This Row],[State]]</f>
        <v>WA</v>
      </c>
      <c r="C5109" t="str">
        <f>[1]!hospitalinfo[[#This Row],[Hospital Type]]</f>
        <v>Acute Care Hospitals</v>
      </c>
      <c r="D5109" t="str">
        <f>[1]!hospitalinfo[[#This Row],[Hospital Ownership]]</f>
        <v>Government - Hospital District or Authority</v>
      </c>
      <c r="E5109" cm="1">
        <f t="array" ref="E5109">_xlfn.IFNA(_xlfn.XLOOKUP(1,([1]!hcahps[Facility ID] = clean[[#This Row],[Facility ID]]) * ([1]!hcahps[HCAHPS Measure ID] = "H_HSP_RATING_LINEAR_SCORE"), [1]!hcahps[HCAHPS Linear Mean Value]), "No Match")</f>
        <v>88</v>
      </c>
      <c r="F5109" cm="1">
        <f t="array" ref="F5109">_xlfn.IFNA(_xlfn.XLOOKUP(1,([1]!readmissions[Facility ID] = clean[[#This Row],[Facility ID]]) * ([1]!readmissions[Measure ID] = "Hybrid_HWR"), [1]!readmissions[Score]), "No Match")</f>
        <v>14.6</v>
      </c>
    </row>
    <row r="5110" spans="1:6" x14ac:dyDescent="0.2">
      <c r="A5110">
        <f>[1]!hospitalinfo[[#This Row],[Facility ID]]</f>
        <v>500005</v>
      </c>
      <c r="B5110" t="str">
        <f>[1]!hospitalinfo[[#This Row],[State]]</f>
        <v>WA</v>
      </c>
      <c r="C5110" t="str">
        <f>[1]!hospitalinfo[[#This Row],[Hospital Type]]</f>
        <v>Acute Care Hospitals</v>
      </c>
      <c r="D5110" t="str">
        <f>[1]!hospitalinfo[[#This Row],[Hospital Ownership]]</f>
        <v>Voluntary non-profit - Private</v>
      </c>
      <c r="E5110" cm="1">
        <f t="array" ref="E5110">_xlfn.IFNA(_xlfn.XLOOKUP(1,([1]!hcahps[Facility ID] = clean[[#This Row],[Facility ID]]) * ([1]!hcahps[HCAHPS Measure ID] = "H_HSP_RATING_LINEAR_SCORE"), [1]!hcahps[HCAHPS Linear Mean Value]), "No Match")</f>
        <v>89</v>
      </c>
      <c r="F5110" cm="1">
        <f t="array" ref="F5110">_xlfn.IFNA(_xlfn.XLOOKUP(1,([1]!readmissions[Facility ID] = clean[[#This Row],[Facility ID]]) * ([1]!readmissions[Measure ID] = "Hybrid_HWR"), [1]!readmissions[Score]), "No Match")</f>
        <v>15.3</v>
      </c>
    </row>
    <row r="5111" spans="1:6" x14ac:dyDescent="0.2">
      <c r="A5111">
        <f>[1]!hospitalinfo[[#This Row],[Facility ID]]</f>
        <v>500007</v>
      </c>
      <c r="B5111" t="str">
        <f>[1]!hospitalinfo[[#This Row],[State]]</f>
        <v>WA</v>
      </c>
      <c r="C5111" t="str">
        <f>[1]!hospitalinfo[[#This Row],[Hospital Type]]</f>
        <v>Acute Care Hospitals</v>
      </c>
      <c r="D5111" t="str">
        <f>[1]!hospitalinfo[[#This Row],[Hospital Ownership]]</f>
        <v>Government - Hospital District or Authority</v>
      </c>
      <c r="E5111" cm="1">
        <f t="array" ref="E5111">_xlfn.IFNA(_xlfn.XLOOKUP(1,([1]!hcahps[Facility ID] = clean[[#This Row],[Facility ID]]) * ([1]!hcahps[HCAHPS Measure ID] = "H_HSP_RATING_LINEAR_SCORE"), [1]!hcahps[HCAHPS Linear Mean Value]), "No Match")</f>
        <v>92</v>
      </c>
      <c r="F5111" cm="1">
        <f t="array" ref="F5111">_xlfn.IFNA(_xlfn.XLOOKUP(1,([1]!readmissions[Facility ID] = clean[[#This Row],[Facility ID]]) * ([1]!readmissions[Measure ID] = "Hybrid_HWR"), [1]!readmissions[Score]), "No Match")</f>
        <v>14.8</v>
      </c>
    </row>
    <row r="5112" spans="1:6" x14ac:dyDescent="0.2">
      <c r="A5112">
        <f>[1]!hospitalinfo[[#This Row],[Facility ID]]</f>
        <v>500008</v>
      </c>
      <c r="B5112" t="str">
        <f>[1]!hospitalinfo[[#This Row],[State]]</f>
        <v>WA</v>
      </c>
      <c r="C5112" t="str">
        <f>[1]!hospitalinfo[[#This Row],[Hospital Type]]</f>
        <v>Acute Care Hospitals</v>
      </c>
      <c r="D5112" t="str">
        <f>[1]!hospitalinfo[[#This Row],[Hospital Ownership]]</f>
        <v>Government - State</v>
      </c>
      <c r="E5112" cm="1">
        <f t="array" ref="E5112">_xlfn.IFNA(_xlfn.XLOOKUP(1,([1]!hcahps[Facility ID] = clean[[#This Row],[Facility ID]]) * ([1]!hcahps[HCAHPS Measure ID] = "H_HSP_RATING_LINEAR_SCORE"), [1]!hcahps[HCAHPS Linear Mean Value]), "No Match")</f>
        <v>90</v>
      </c>
      <c r="F5112" cm="1">
        <f t="array" ref="F5112">_xlfn.IFNA(_xlfn.XLOOKUP(1,([1]!readmissions[Facility ID] = clean[[#This Row],[Facility ID]]) * ([1]!readmissions[Measure ID] = "Hybrid_HWR"), [1]!readmissions[Score]), "No Match")</f>
        <v>13.9</v>
      </c>
    </row>
    <row r="5113" spans="1:6" x14ac:dyDescent="0.2">
      <c r="A5113">
        <f>[1]!hospitalinfo[[#This Row],[Facility ID]]</f>
        <v>500011</v>
      </c>
      <c r="B5113" t="str">
        <f>[1]!hospitalinfo[[#This Row],[State]]</f>
        <v>WA</v>
      </c>
      <c r="C5113" t="str">
        <f>[1]!hospitalinfo[[#This Row],[Hospital Type]]</f>
        <v>Acute Care Hospitals</v>
      </c>
      <c r="D5113" t="str">
        <f>[1]!hospitalinfo[[#This Row],[Hospital Ownership]]</f>
        <v>Voluntary non-profit - Private</v>
      </c>
      <c r="E5113" cm="1">
        <f t="array" ref="E5113">_xlfn.IFNA(_xlfn.XLOOKUP(1,([1]!hcahps[Facility ID] = clean[[#This Row],[Facility ID]]) * ([1]!hcahps[HCAHPS Measure ID] = "H_HSP_RATING_LINEAR_SCORE"), [1]!hcahps[HCAHPS Linear Mean Value]), "No Match")</f>
        <v>85</v>
      </c>
      <c r="F5113" cm="1">
        <f t="array" ref="F5113">_xlfn.IFNA(_xlfn.XLOOKUP(1,([1]!readmissions[Facility ID] = clean[[#This Row],[Facility ID]]) * ([1]!readmissions[Measure ID] = "Hybrid_HWR"), [1]!readmissions[Score]), "No Match")</f>
        <v>14.5</v>
      </c>
    </row>
    <row r="5114" spans="1:6" x14ac:dyDescent="0.2">
      <c r="A5114">
        <f>[1]!hospitalinfo[[#This Row],[Facility ID]]</f>
        <v>500014</v>
      </c>
      <c r="B5114" t="str">
        <f>[1]!hospitalinfo[[#This Row],[State]]</f>
        <v>WA</v>
      </c>
      <c r="C5114" t="str">
        <f>[1]!hospitalinfo[[#This Row],[Hospital Type]]</f>
        <v>Acute Care Hospitals</v>
      </c>
      <c r="D5114" t="str">
        <f>[1]!hospitalinfo[[#This Row],[Hospital Ownership]]</f>
        <v>Voluntary non-profit - Church</v>
      </c>
      <c r="E5114" cm="1">
        <f t="array" ref="E5114">_xlfn.IFNA(_xlfn.XLOOKUP(1,([1]!hcahps[Facility ID] = clean[[#This Row],[Facility ID]]) * ([1]!hcahps[HCAHPS Measure ID] = "H_HSP_RATING_LINEAR_SCORE"), [1]!hcahps[HCAHPS Linear Mean Value]), "No Match")</f>
        <v>83</v>
      </c>
      <c r="F5114" cm="1">
        <f t="array" ref="F5114">_xlfn.IFNA(_xlfn.XLOOKUP(1,([1]!readmissions[Facility ID] = clean[[#This Row],[Facility ID]]) * ([1]!readmissions[Measure ID] = "Hybrid_HWR"), [1]!readmissions[Score]), "No Match")</f>
        <v>13.3</v>
      </c>
    </row>
    <row r="5115" spans="1:6" x14ac:dyDescent="0.2">
      <c r="A5115">
        <f>[1]!hospitalinfo[[#This Row],[Facility ID]]</f>
        <v>500015</v>
      </c>
      <c r="B5115" t="str">
        <f>[1]!hospitalinfo[[#This Row],[State]]</f>
        <v>WA</v>
      </c>
      <c r="C5115" t="str">
        <f>[1]!hospitalinfo[[#This Row],[Hospital Type]]</f>
        <v>Acute Care Hospitals</v>
      </c>
      <c r="D5115" t="str">
        <f>[1]!hospitalinfo[[#This Row],[Hospital Ownership]]</f>
        <v>Voluntary non-profit - Private</v>
      </c>
      <c r="E5115" cm="1">
        <f t="array" ref="E5115">_xlfn.IFNA(_xlfn.XLOOKUP(1,([1]!hcahps[Facility ID] = clean[[#This Row],[Facility ID]]) * ([1]!hcahps[HCAHPS Measure ID] = "H_HSP_RATING_LINEAR_SCORE"), [1]!hcahps[HCAHPS Linear Mean Value]), "No Match")</f>
        <v>80</v>
      </c>
      <c r="F5115" cm="1">
        <f t="array" ref="F5115">_xlfn.IFNA(_xlfn.XLOOKUP(1,([1]!readmissions[Facility ID] = clean[[#This Row],[Facility ID]]) * ([1]!readmissions[Measure ID] = "Hybrid_HWR"), [1]!readmissions[Score]), "No Match")</f>
        <v>15.1</v>
      </c>
    </row>
    <row r="5116" spans="1:6" x14ac:dyDescent="0.2">
      <c r="A5116">
        <f>[1]!hospitalinfo[[#This Row],[Facility ID]]</f>
        <v>500016</v>
      </c>
      <c r="B5116" t="str">
        <f>[1]!hospitalinfo[[#This Row],[State]]</f>
        <v>WA</v>
      </c>
      <c r="C5116" t="str">
        <f>[1]!hospitalinfo[[#This Row],[Hospital Type]]</f>
        <v>Acute Care Hospitals</v>
      </c>
      <c r="D5116" t="str">
        <f>[1]!hospitalinfo[[#This Row],[Hospital Ownership]]</f>
        <v>Voluntary non-profit - Private</v>
      </c>
      <c r="E5116" cm="1">
        <f t="array" ref="E5116">_xlfn.IFNA(_xlfn.XLOOKUP(1,([1]!hcahps[Facility ID] = clean[[#This Row],[Facility ID]]) * ([1]!hcahps[HCAHPS Measure ID] = "H_HSP_RATING_LINEAR_SCORE"), [1]!hcahps[HCAHPS Linear Mean Value]), "No Match")</f>
        <v>89</v>
      </c>
      <c r="F5116" cm="1">
        <f t="array" ref="F5116">_xlfn.IFNA(_xlfn.XLOOKUP(1,([1]!readmissions[Facility ID] = clean[[#This Row],[Facility ID]]) * ([1]!readmissions[Measure ID] = "Hybrid_HWR"), [1]!readmissions[Score]), "No Match")</f>
        <v>15.5</v>
      </c>
    </row>
    <row r="5117" spans="1:6" x14ac:dyDescent="0.2">
      <c r="A5117">
        <f>[1]!hospitalinfo[[#This Row],[Facility ID]]</f>
        <v>500019</v>
      </c>
      <c r="B5117" t="str">
        <f>[1]!hospitalinfo[[#This Row],[State]]</f>
        <v>WA</v>
      </c>
      <c r="C5117" t="str">
        <f>[1]!hospitalinfo[[#This Row],[Hospital Type]]</f>
        <v>Acute Care Hospitals</v>
      </c>
      <c r="D5117" t="str">
        <f>[1]!hospitalinfo[[#This Row],[Hospital Ownership]]</f>
        <v>Voluntary non-profit - Other</v>
      </c>
      <c r="E5117" cm="1">
        <f t="array" ref="E5117">_xlfn.IFNA(_xlfn.XLOOKUP(1,([1]!hcahps[Facility ID] = clean[[#This Row],[Facility ID]]) * ([1]!hcahps[HCAHPS Measure ID] = "H_HSP_RATING_LINEAR_SCORE"), [1]!hcahps[HCAHPS Linear Mean Value]), "No Match")</f>
        <v>86</v>
      </c>
      <c r="F5117" cm="1">
        <f t="array" ref="F5117">_xlfn.IFNA(_xlfn.XLOOKUP(1,([1]!readmissions[Facility ID] = clean[[#This Row],[Facility ID]]) * ([1]!readmissions[Measure ID] = "Hybrid_HWR"), [1]!readmissions[Score]), "No Match")</f>
        <v>15.1</v>
      </c>
    </row>
    <row r="5118" spans="1:6" x14ac:dyDescent="0.2">
      <c r="A5118">
        <f>[1]!hospitalinfo[[#This Row],[Facility ID]]</f>
        <v>500021</v>
      </c>
      <c r="B5118" t="str">
        <f>[1]!hospitalinfo[[#This Row],[State]]</f>
        <v>WA</v>
      </c>
      <c r="C5118" t="str">
        <f>[1]!hospitalinfo[[#This Row],[Hospital Type]]</f>
        <v>Acute Care Hospitals</v>
      </c>
      <c r="D5118" t="str">
        <f>[1]!hospitalinfo[[#This Row],[Hospital Ownership]]</f>
        <v>Voluntary non-profit - Church</v>
      </c>
      <c r="E5118" cm="1">
        <f t="array" ref="E5118">_xlfn.IFNA(_xlfn.XLOOKUP(1,([1]!hcahps[Facility ID] = clean[[#This Row],[Facility ID]]) * ([1]!hcahps[HCAHPS Measure ID] = "H_HSP_RATING_LINEAR_SCORE"), [1]!hcahps[HCAHPS Linear Mean Value]), "No Match")</f>
        <v>87</v>
      </c>
      <c r="F5118" cm="1">
        <f t="array" ref="F5118">_xlfn.IFNA(_xlfn.XLOOKUP(1,([1]!readmissions[Facility ID] = clean[[#This Row],[Facility ID]]) * ([1]!readmissions[Measure ID] = "Hybrid_HWR"), [1]!readmissions[Score]), "No Match")</f>
        <v>13.9</v>
      </c>
    </row>
    <row r="5119" spans="1:6" x14ac:dyDescent="0.2">
      <c r="A5119">
        <f>[1]!hospitalinfo[[#This Row],[Facility ID]]</f>
        <v>500024</v>
      </c>
      <c r="B5119" t="str">
        <f>[1]!hospitalinfo[[#This Row],[State]]</f>
        <v>WA</v>
      </c>
      <c r="C5119" t="str">
        <f>[1]!hospitalinfo[[#This Row],[Hospital Type]]</f>
        <v>Acute Care Hospitals</v>
      </c>
      <c r="D5119" t="str">
        <f>[1]!hospitalinfo[[#This Row],[Hospital Ownership]]</f>
        <v>Voluntary non-profit - Private</v>
      </c>
      <c r="E5119" cm="1">
        <f t="array" ref="E5119">_xlfn.IFNA(_xlfn.XLOOKUP(1,([1]!hcahps[Facility ID] = clean[[#This Row],[Facility ID]]) * ([1]!hcahps[HCAHPS Measure ID] = "H_HSP_RATING_LINEAR_SCORE"), [1]!hcahps[HCAHPS Linear Mean Value]), "No Match")</f>
        <v>90</v>
      </c>
      <c r="F5119" cm="1">
        <f t="array" ref="F5119">_xlfn.IFNA(_xlfn.XLOOKUP(1,([1]!readmissions[Facility ID] = clean[[#This Row],[Facility ID]]) * ([1]!readmissions[Measure ID] = "Hybrid_HWR"), [1]!readmissions[Score]), "No Match")</f>
        <v>13.8</v>
      </c>
    </row>
    <row r="5120" spans="1:6" x14ac:dyDescent="0.2">
      <c r="A5120">
        <f>[1]!hospitalinfo[[#This Row],[Facility ID]]</f>
        <v>500025</v>
      </c>
      <c r="B5120" t="str">
        <f>[1]!hospitalinfo[[#This Row],[State]]</f>
        <v>WA</v>
      </c>
      <c r="C5120" t="str">
        <f>[1]!hospitalinfo[[#This Row],[Hospital Type]]</f>
        <v>Acute Care Hospitals</v>
      </c>
      <c r="D5120" t="str">
        <f>[1]!hospitalinfo[[#This Row],[Hospital Ownership]]</f>
        <v>Voluntary non-profit - Church</v>
      </c>
      <c r="E5120" cm="1">
        <f t="array" ref="E5120">_xlfn.IFNA(_xlfn.XLOOKUP(1,([1]!hcahps[Facility ID] = clean[[#This Row],[Facility ID]]) * ([1]!hcahps[HCAHPS Measure ID] = "H_HSP_RATING_LINEAR_SCORE"), [1]!hcahps[HCAHPS Linear Mean Value]), "No Match")</f>
        <v>89</v>
      </c>
      <c r="F5120" cm="1">
        <f t="array" ref="F5120">_xlfn.IFNA(_xlfn.XLOOKUP(1,([1]!readmissions[Facility ID] = clean[[#This Row],[Facility ID]]) * ([1]!readmissions[Measure ID] = "Hybrid_HWR"), [1]!readmissions[Score]), "No Match")</f>
        <v>13.6</v>
      </c>
    </row>
    <row r="5121" spans="1:6" x14ac:dyDescent="0.2">
      <c r="A5121">
        <f>[1]!hospitalinfo[[#This Row],[Facility ID]]</f>
        <v>500026</v>
      </c>
      <c r="B5121" t="str">
        <f>[1]!hospitalinfo[[#This Row],[State]]</f>
        <v>WA</v>
      </c>
      <c r="C5121" t="str">
        <f>[1]!hospitalinfo[[#This Row],[Hospital Type]]</f>
        <v>Acute Care Hospitals</v>
      </c>
      <c r="D5121" t="str">
        <f>[1]!hospitalinfo[[#This Row],[Hospital Ownership]]</f>
        <v>Voluntary non-profit - Private</v>
      </c>
      <c r="E5121" cm="1">
        <f t="array" ref="E5121">_xlfn.IFNA(_xlfn.XLOOKUP(1,([1]!hcahps[Facility ID] = clean[[#This Row],[Facility ID]]) * ([1]!hcahps[HCAHPS Measure ID] = "H_HSP_RATING_LINEAR_SCORE"), [1]!hcahps[HCAHPS Linear Mean Value]), "No Match")</f>
        <v>85</v>
      </c>
      <c r="F5121" cm="1">
        <f t="array" ref="F5121">_xlfn.IFNA(_xlfn.XLOOKUP(1,([1]!readmissions[Facility ID] = clean[[#This Row],[Facility ID]]) * ([1]!readmissions[Measure ID] = "Hybrid_HWR"), [1]!readmissions[Score]), "No Match")</f>
        <v>13.8</v>
      </c>
    </row>
    <row r="5122" spans="1:6" x14ac:dyDescent="0.2">
      <c r="A5122">
        <f>[1]!hospitalinfo[[#This Row],[Facility ID]]</f>
        <v>500027</v>
      </c>
      <c r="B5122" t="str">
        <f>[1]!hospitalinfo[[#This Row],[State]]</f>
        <v>WA</v>
      </c>
      <c r="C5122" t="str">
        <f>[1]!hospitalinfo[[#This Row],[Hospital Type]]</f>
        <v>Acute Care Hospitals</v>
      </c>
      <c r="D5122" t="str">
        <f>[1]!hospitalinfo[[#This Row],[Hospital Ownership]]</f>
        <v>Voluntary non-profit - Private</v>
      </c>
      <c r="E5122" cm="1">
        <f t="array" ref="E5122">_xlfn.IFNA(_xlfn.XLOOKUP(1,([1]!hcahps[Facility ID] = clean[[#This Row],[Facility ID]]) * ([1]!hcahps[HCAHPS Measure ID] = "H_HSP_RATING_LINEAR_SCORE"), [1]!hcahps[HCAHPS Linear Mean Value]), "No Match")</f>
        <v>88</v>
      </c>
      <c r="F5122" cm="1">
        <f t="array" ref="F5122">_xlfn.IFNA(_xlfn.XLOOKUP(1,([1]!readmissions[Facility ID] = clean[[#This Row],[Facility ID]]) * ([1]!readmissions[Measure ID] = "Hybrid_HWR"), [1]!readmissions[Score]), "No Match")</f>
        <v>14.2</v>
      </c>
    </row>
    <row r="5123" spans="1:6" x14ac:dyDescent="0.2">
      <c r="A5123">
        <f>[1]!hospitalinfo[[#This Row],[Facility ID]]</f>
        <v>500030</v>
      </c>
      <c r="B5123" t="str">
        <f>[1]!hospitalinfo[[#This Row],[State]]</f>
        <v>WA</v>
      </c>
      <c r="C5123" t="str">
        <f>[1]!hospitalinfo[[#This Row],[Hospital Type]]</f>
        <v>Acute Care Hospitals</v>
      </c>
      <c r="D5123" t="str">
        <f>[1]!hospitalinfo[[#This Row],[Hospital Ownership]]</f>
        <v>Voluntary non-profit - Other</v>
      </c>
      <c r="E5123" cm="1">
        <f t="array" ref="E5123">_xlfn.IFNA(_xlfn.XLOOKUP(1,([1]!hcahps[Facility ID] = clean[[#This Row],[Facility ID]]) * ([1]!hcahps[HCAHPS Measure ID] = "H_HSP_RATING_LINEAR_SCORE"), [1]!hcahps[HCAHPS Linear Mean Value]), "No Match")</f>
        <v>85</v>
      </c>
      <c r="F5123" cm="1">
        <f t="array" ref="F5123">_xlfn.IFNA(_xlfn.XLOOKUP(1,([1]!readmissions[Facility ID] = clean[[#This Row],[Facility ID]]) * ([1]!readmissions[Measure ID] = "Hybrid_HWR"), [1]!readmissions[Score]), "No Match")</f>
        <v>13.2</v>
      </c>
    </row>
    <row r="5124" spans="1:6" x14ac:dyDescent="0.2">
      <c r="A5124">
        <f>[1]!hospitalinfo[[#This Row],[Facility ID]]</f>
        <v>500031</v>
      </c>
      <c r="B5124" t="str">
        <f>[1]!hospitalinfo[[#This Row],[State]]</f>
        <v>WA</v>
      </c>
      <c r="C5124" t="str">
        <f>[1]!hospitalinfo[[#This Row],[Hospital Type]]</f>
        <v>Acute Care Hospitals</v>
      </c>
      <c r="D5124" t="str">
        <f>[1]!hospitalinfo[[#This Row],[Hospital Ownership]]</f>
        <v>Voluntary non-profit - Private</v>
      </c>
      <c r="E5124" cm="1">
        <f t="array" ref="E5124">_xlfn.IFNA(_xlfn.XLOOKUP(1,([1]!hcahps[Facility ID] = clean[[#This Row],[Facility ID]]) * ([1]!hcahps[HCAHPS Measure ID] = "H_HSP_RATING_LINEAR_SCORE"), [1]!hcahps[HCAHPS Linear Mean Value]), "No Match")</f>
        <v>80</v>
      </c>
      <c r="F5124" cm="1">
        <f t="array" ref="F5124">_xlfn.IFNA(_xlfn.XLOOKUP(1,([1]!readmissions[Facility ID] = clean[[#This Row],[Facility ID]]) * ([1]!readmissions[Measure ID] = "Hybrid_HWR"), [1]!readmissions[Score]), "No Match")</f>
        <v>14.9</v>
      </c>
    </row>
    <row r="5125" spans="1:6" x14ac:dyDescent="0.2">
      <c r="A5125">
        <f>[1]!hospitalinfo[[#This Row],[Facility ID]]</f>
        <v>500033</v>
      </c>
      <c r="B5125" t="str">
        <f>[1]!hospitalinfo[[#This Row],[State]]</f>
        <v>WA</v>
      </c>
      <c r="C5125" t="str">
        <f>[1]!hospitalinfo[[#This Row],[Hospital Type]]</f>
        <v>Acute Care Hospitals</v>
      </c>
      <c r="D5125" t="str">
        <f>[1]!hospitalinfo[[#This Row],[Hospital Ownership]]</f>
        <v>Proprietary</v>
      </c>
      <c r="E5125" cm="1">
        <f t="array" ref="E5125">_xlfn.IFNA(_xlfn.XLOOKUP(1,([1]!hcahps[Facility ID] = clean[[#This Row],[Facility ID]]) * ([1]!hcahps[HCAHPS Measure ID] = "H_HSP_RATING_LINEAR_SCORE"), [1]!hcahps[HCAHPS Linear Mean Value]), "No Match")</f>
        <v>85</v>
      </c>
      <c r="F5125" cm="1">
        <f t="array" ref="F5125">_xlfn.IFNA(_xlfn.XLOOKUP(1,([1]!readmissions[Facility ID] = clean[[#This Row],[Facility ID]]) * ([1]!readmissions[Measure ID] = "Hybrid_HWR"), [1]!readmissions[Score]), "No Match")</f>
        <v>14.3</v>
      </c>
    </row>
    <row r="5126" spans="1:6" x14ac:dyDescent="0.2">
      <c r="A5126">
        <f>[1]!hospitalinfo[[#This Row],[Facility ID]]</f>
        <v>500036</v>
      </c>
      <c r="B5126" t="str">
        <f>[1]!hospitalinfo[[#This Row],[State]]</f>
        <v>WA</v>
      </c>
      <c r="C5126" t="str">
        <f>[1]!hospitalinfo[[#This Row],[Hospital Type]]</f>
        <v>Acute Care Hospitals</v>
      </c>
      <c r="D5126" t="str">
        <f>[1]!hospitalinfo[[#This Row],[Hospital Ownership]]</f>
        <v>Voluntary non-profit - Private</v>
      </c>
      <c r="E5126" cm="1">
        <f t="array" ref="E5126">_xlfn.IFNA(_xlfn.XLOOKUP(1,([1]!hcahps[Facility ID] = clean[[#This Row],[Facility ID]]) * ([1]!hcahps[HCAHPS Measure ID] = "H_HSP_RATING_LINEAR_SCORE"), [1]!hcahps[HCAHPS Linear Mean Value]), "No Match")</f>
        <v>81</v>
      </c>
      <c r="F5126" cm="1">
        <f t="array" ref="F5126">_xlfn.IFNA(_xlfn.XLOOKUP(1,([1]!readmissions[Facility ID] = clean[[#This Row],[Facility ID]]) * ([1]!readmissions[Measure ID] = "Hybrid_HWR"), [1]!readmissions[Score]), "No Match")</f>
        <v>14.8</v>
      </c>
    </row>
    <row r="5127" spans="1:6" x14ac:dyDescent="0.2">
      <c r="A5127">
        <f>[1]!hospitalinfo[[#This Row],[Facility ID]]</f>
        <v>500037</v>
      </c>
      <c r="B5127" t="str">
        <f>[1]!hospitalinfo[[#This Row],[State]]</f>
        <v>WA</v>
      </c>
      <c r="C5127" t="str">
        <f>[1]!hospitalinfo[[#This Row],[Hospital Type]]</f>
        <v>Acute Care Hospitals</v>
      </c>
      <c r="D5127" t="str">
        <f>[1]!hospitalinfo[[#This Row],[Hospital Ownership]]</f>
        <v>Voluntary non-profit - Private</v>
      </c>
      <c r="E5127" t="str" cm="1">
        <f t="array" ref="E5127">_xlfn.IFNA(_xlfn.XLOOKUP(1,([1]!hcahps[Facility ID] = clean[[#This Row],[Facility ID]]) * ([1]!hcahps[HCAHPS Measure ID] = "H_HSP_RATING_LINEAR_SCORE"), [1]!hcahps[HCAHPS Linear Mean Value]), "No Match")</f>
        <v>Not Available</v>
      </c>
      <c r="F5127" cm="1">
        <f t="array" ref="F5127">_xlfn.IFNA(_xlfn.XLOOKUP(1,([1]!readmissions[Facility ID] = clean[[#This Row],[Facility ID]]) * ([1]!readmissions[Measure ID] = "Hybrid_HWR"), [1]!readmissions[Score]), "No Match")</f>
        <v>14.8</v>
      </c>
    </row>
    <row r="5128" spans="1:6" x14ac:dyDescent="0.2">
      <c r="A5128">
        <f>[1]!hospitalinfo[[#This Row],[Facility ID]]</f>
        <v>500039</v>
      </c>
      <c r="B5128" t="str">
        <f>[1]!hospitalinfo[[#This Row],[State]]</f>
        <v>WA</v>
      </c>
      <c r="C5128" t="str">
        <f>[1]!hospitalinfo[[#This Row],[Hospital Type]]</f>
        <v>Acute Care Hospitals</v>
      </c>
      <c r="D5128" t="str">
        <f>[1]!hospitalinfo[[#This Row],[Hospital Ownership]]</f>
        <v>Voluntary non-profit - Private</v>
      </c>
      <c r="E5128" cm="1">
        <f t="array" ref="E5128">_xlfn.IFNA(_xlfn.XLOOKUP(1,([1]!hcahps[Facility ID] = clean[[#This Row],[Facility ID]]) * ([1]!hcahps[HCAHPS Measure ID] = "H_HSP_RATING_LINEAR_SCORE"), [1]!hcahps[HCAHPS Linear Mean Value]), "No Match")</f>
        <v>88</v>
      </c>
      <c r="F5128" cm="1">
        <f t="array" ref="F5128">_xlfn.IFNA(_xlfn.XLOOKUP(1,([1]!readmissions[Facility ID] = clean[[#This Row],[Facility ID]]) * ([1]!readmissions[Measure ID] = "Hybrid_HWR"), [1]!readmissions[Score]), "No Match")</f>
        <v>13.7</v>
      </c>
    </row>
    <row r="5129" spans="1:6" x14ac:dyDescent="0.2">
      <c r="A5129">
        <f>[1]!hospitalinfo[[#This Row],[Facility ID]]</f>
        <v>500041</v>
      </c>
      <c r="B5129" t="str">
        <f>[1]!hospitalinfo[[#This Row],[State]]</f>
        <v>WA</v>
      </c>
      <c r="C5129" t="str">
        <f>[1]!hospitalinfo[[#This Row],[Hospital Type]]</f>
        <v>Acute Care Hospitals</v>
      </c>
      <c r="D5129" t="str">
        <f>[1]!hospitalinfo[[#This Row],[Hospital Ownership]]</f>
        <v>Voluntary non-profit - Church</v>
      </c>
      <c r="E5129" cm="1">
        <f t="array" ref="E5129">_xlfn.IFNA(_xlfn.XLOOKUP(1,([1]!hcahps[Facility ID] = clean[[#This Row],[Facility ID]]) * ([1]!hcahps[HCAHPS Measure ID] = "H_HSP_RATING_LINEAR_SCORE"), [1]!hcahps[HCAHPS Linear Mean Value]), "No Match")</f>
        <v>88</v>
      </c>
      <c r="F5129" cm="1">
        <f t="array" ref="F5129">_xlfn.IFNA(_xlfn.XLOOKUP(1,([1]!readmissions[Facility ID] = clean[[#This Row],[Facility ID]]) * ([1]!readmissions[Measure ID] = "Hybrid_HWR"), [1]!readmissions[Score]), "No Match")</f>
        <v>14.1</v>
      </c>
    </row>
    <row r="5130" spans="1:6" x14ac:dyDescent="0.2">
      <c r="A5130">
        <f>[1]!hospitalinfo[[#This Row],[Facility ID]]</f>
        <v>500044</v>
      </c>
      <c r="B5130" t="str">
        <f>[1]!hospitalinfo[[#This Row],[State]]</f>
        <v>WA</v>
      </c>
      <c r="C5130" t="str">
        <f>[1]!hospitalinfo[[#This Row],[Hospital Type]]</f>
        <v>Acute Care Hospitals</v>
      </c>
      <c r="D5130" t="str">
        <f>[1]!hospitalinfo[[#This Row],[Hospital Ownership]]</f>
        <v>Voluntary non-profit - Private</v>
      </c>
      <c r="E5130" cm="1">
        <f t="array" ref="E5130">_xlfn.IFNA(_xlfn.XLOOKUP(1,([1]!hcahps[Facility ID] = clean[[#This Row],[Facility ID]]) * ([1]!hcahps[HCAHPS Measure ID] = "H_HSP_RATING_LINEAR_SCORE"), [1]!hcahps[HCAHPS Linear Mean Value]), "No Match")</f>
        <v>86</v>
      </c>
      <c r="F5130" cm="1">
        <f t="array" ref="F5130">_xlfn.IFNA(_xlfn.XLOOKUP(1,([1]!readmissions[Facility ID] = clean[[#This Row],[Facility ID]]) * ([1]!readmissions[Measure ID] = "Hybrid_HWR"), [1]!readmissions[Score]), "No Match")</f>
        <v>13.2</v>
      </c>
    </row>
    <row r="5131" spans="1:6" x14ac:dyDescent="0.2">
      <c r="A5131">
        <f>[1]!hospitalinfo[[#This Row],[Facility ID]]</f>
        <v>500050</v>
      </c>
      <c r="B5131" t="str">
        <f>[1]!hospitalinfo[[#This Row],[State]]</f>
        <v>WA</v>
      </c>
      <c r="C5131" t="str">
        <f>[1]!hospitalinfo[[#This Row],[Hospital Type]]</f>
        <v>Acute Care Hospitals</v>
      </c>
      <c r="D5131" t="str">
        <f>[1]!hospitalinfo[[#This Row],[Hospital Ownership]]</f>
        <v>Voluntary non-profit - Private</v>
      </c>
      <c r="E5131" cm="1">
        <f t="array" ref="E5131">_xlfn.IFNA(_xlfn.XLOOKUP(1,([1]!hcahps[Facility ID] = clean[[#This Row],[Facility ID]]) * ([1]!hcahps[HCAHPS Measure ID] = "H_HSP_RATING_LINEAR_SCORE"), [1]!hcahps[HCAHPS Linear Mean Value]), "No Match")</f>
        <v>86</v>
      </c>
      <c r="F5131" cm="1">
        <f t="array" ref="F5131">_xlfn.IFNA(_xlfn.XLOOKUP(1,([1]!readmissions[Facility ID] = clean[[#This Row],[Facility ID]]) * ([1]!readmissions[Measure ID] = "Hybrid_HWR"), [1]!readmissions[Score]), "No Match")</f>
        <v>13.2</v>
      </c>
    </row>
    <row r="5132" spans="1:6" x14ac:dyDescent="0.2">
      <c r="A5132">
        <f>[1]!hospitalinfo[[#This Row],[Facility ID]]</f>
        <v>500051</v>
      </c>
      <c r="B5132" t="str">
        <f>[1]!hospitalinfo[[#This Row],[State]]</f>
        <v>WA</v>
      </c>
      <c r="C5132" t="str">
        <f>[1]!hospitalinfo[[#This Row],[Hospital Type]]</f>
        <v>Acute Care Hospitals</v>
      </c>
      <c r="D5132" t="str">
        <f>[1]!hospitalinfo[[#This Row],[Hospital Ownership]]</f>
        <v>Voluntary non-profit - Other</v>
      </c>
      <c r="E5132" cm="1">
        <f t="array" ref="E5132">_xlfn.IFNA(_xlfn.XLOOKUP(1,([1]!hcahps[Facility ID] = clean[[#This Row],[Facility ID]]) * ([1]!hcahps[HCAHPS Measure ID] = "H_HSP_RATING_LINEAR_SCORE"), [1]!hcahps[HCAHPS Linear Mean Value]), "No Match")</f>
        <v>90</v>
      </c>
      <c r="F5132" cm="1">
        <f t="array" ref="F5132">_xlfn.IFNA(_xlfn.XLOOKUP(1,([1]!readmissions[Facility ID] = clean[[#This Row],[Facility ID]]) * ([1]!readmissions[Measure ID] = "Hybrid_HWR"), [1]!readmissions[Score]), "No Match")</f>
        <v>14.8</v>
      </c>
    </row>
    <row r="5133" spans="1:6" x14ac:dyDescent="0.2">
      <c r="A5133">
        <f>[1]!hospitalinfo[[#This Row],[Facility ID]]</f>
        <v>500052</v>
      </c>
      <c r="B5133" t="str">
        <f>[1]!hospitalinfo[[#This Row],[State]]</f>
        <v>WA</v>
      </c>
      <c r="C5133" t="str">
        <f>[1]!hospitalinfo[[#This Row],[Hospital Type]]</f>
        <v>Acute Care Hospitals</v>
      </c>
      <c r="D5133" t="str">
        <f>[1]!hospitalinfo[[#This Row],[Hospital Ownership]]</f>
        <v>Voluntary non-profit - Other</v>
      </c>
      <c r="E5133" cm="1">
        <f t="array" ref="E5133">_xlfn.IFNA(_xlfn.XLOOKUP(1,([1]!hcahps[Facility ID] = clean[[#This Row],[Facility ID]]) * ([1]!hcahps[HCAHPS Measure ID] = "H_HSP_RATING_LINEAR_SCORE"), [1]!hcahps[HCAHPS Linear Mean Value]), "No Match")</f>
        <v>86</v>
      </c>
      <c r="F5133" t="str" cm="1">
        <f t="array" ref="F5133">_xlfn.IFNA(_xlfn.XLOOKUP(1,([1]!readmissions[Facility ID] = clean[[#This Row],[Facility ID]]) * ([1]!readmissions[Measure ID] = "Hybrid_HWR"), [1]!readmissions[Score]), "No Match")</f>
        <v>Not Available</v>
      </c>
    </row>
    <row r="5134" spans="1:6" x14ac:dyDescent="0.2">
      <c r="A5134">
        <f>[1]!hospitalinfo[[#This Row],[Facility ID]]</f>
        <v>500053</v>
      </c>
      <c r="B5134" t="str">
        <f>[1]!hospitalinfo[[#This Row],[State]]</f>
        <v>WA</v>
      </c>
      <c r="C5134" t="str">
        <f>[1]!hospitalinfo[[#This Row],[Hospital Type]]</f>
        <v>Acute Care Hospitals</v>
      </c>
      <c r="D5134" t="str">
        <f>[1]!hospitalinfo[[#This Row],[Hospital Ownership]]</f>
        <v>Government - Hospital District or Authority</v>
      </c>
      <c r="E5134" cm="1">
        <f t="array" ref="E5134">_xlfn.IFNA(_xlfn.XLOOKUP(1,([1]!hcahps[Facility ID] = clean[[#This Row],[Facility ID]]) * ([1]!hcahps[HCAHPS Measure ID] = "H_HSP_RATING_LINEAR_SCORE"), [1]!hcahps[HCAHPS Linear Mean Value]), "No Match")</f>
        <v>85</v>
      </c>
      <c r="F5134" cm="1">
        <f t="array" ref="F5134">_xlfn.IFNA(_xlfn.XLOOKUP(1,([1]!readmissions[Facility ID] = clean[[#This Row],[Facility ID]]) * ([1]!readmissions[Measure ID] = "Hybrid_HWR"), [1]!readmissions[Score]), "No Match")</f>
        <v>14.1</v>
      </c>
    </row>
    <row r="5135" spans="1:6" x14ac:dyDescent="0.2">
      <c r="A5135">
        <f>[1]!hospitalinfo[[#This Row],[Facility ID]]</f>
        <v>500054</v>
      </c>
      <c r="B5135" t="str">
        <f>[1]!hospitalinfo[[#This Row],[State]]</f>
        <v>WA</v>
      </c>
      <c r="C5135" t="str">
        <f>[1]!hospitalinfo[[#This Row],[Hospital Type]]</f>
        <v>Acute Care Hospitals</v>
      </c>
      <c r="D5135" t="str">
        <f>[1]!hospitalinfo[[#This Row],[Hospital Ownership]]</f>
        <v>Voluntary non-profit - Church</v>
      </c>
      <c r="E5135" cm="1">
        <f t="array" ref="E5135">_xlfn.IFNA(_xlfn.XLOOKUP(1,([1]!hcahps[Facility ID] = clean[[#This Row],[Facility ID]]) * ([1]!hcahps[HCAHPS Measure ID] = "H_HSP_RATING_LINEAR_SCORE"), [1]!hcahps[HCAHPS Linear Mean Value]), "No Match")</f>
        <v>87</v>
      </c>
      <c r="F5135" cm="1">
        <f t="array" ref="F5135">_xlfn.IFNA(_xlfn.XLOOKUP(1,([1]!readmissions[Facility ID] = clean[[#This Row],[Facility ID]]) * ([1]!readmissions[Measure ID] = "Hybrid_HWR"), [1]!readmissions[Score]), "No Match")</f>
        <v>12.8</v>
      </c>
    </row>
    <row r="5136" spans="1:6" x14ac:dyDescent="0.2">
      <c r="A5136">
        <f>[1]!hospitalinfo[[#This Row],[Facility ID]]</f>
        <v>500058</v>
      </c>
      <c r="B5136" t="str">
        <f>[1]!hospitalinfo[[#This Row],[State]]</f>
        <v>WA</v>
      </c>
      <c r="C5136" t="str">
        <f>[1]!hospitalinfo[[#This Row],[Hospital Type]]</f>
        <v>Acute Care Hospitals</v>
      </c>
      <c r="D5136" t="str">
        <f>[1]!hospitalinfo[[#This Row],[Hospital Ownership]]</f>
        <v>Voluntary non-profit - Private</v>
      </c>
      <c r="E5136" cm="1">
        <f t="array" ref="E5136">_xlfn.IFNA(_xlfn.XLOOKUP(1,([1]!hcahps[Facility ID] = clean[[#This Row],[Facility ID]]) * ([1]!hcahps[HCAHPS Measure ID] = "H_HSP_RATING_LINEAR_SCORE"), [1]!hcahps[HCAHPS Linear Mean Value]), "No Match")</f>
        <v>89</v>
      </c>
      <c r="F5136" cm="1">
        <f t="array" ref="F5136">_xlfn.IFNA(_xlfn.XLOOKUP(1,([1]!readmissions[Facility ID] = clean[[#This Row],[Facility ID]]) * ([1]!readmissions[Measure ID] = "Hybrid_HWR"), [1]!readmissions[Score]), "No Match")</f>
        <v>13.3</v>
      </c>
    </row>
    <row r="5137" spans="1:6" x14ac:dyDescent="0.2">
      <c r="A5137">
        <f>[1]!hospitalinfo[[#This Row],[Facility ID]]</f>
        <v>500060</v>
      </c>
      <c r="B5137" t="str">
        <f>[1]!hospitalinfo[[#This Row],[State]]</f>
        <v>WA</v>
      </c>
      <c r="C5137" t="str">
        <f>[1]!hospitalinfo[[#This Row],[Hospital Type]]</f>
        <v>Acute Care Hospitals</v>
      </c>
      <c r="D5137" t="str">
        <f>[1]!hospitalinfo[[#This Row],[Hospital Ownership]]</f>
        <v>Government - Hospital District or Authority</v>
      </c>
      <c r="E5137" cm="1">
        <f t="array" ref="E5137">_xlfn.IFNA(_xlfn.XLOOKUP(1,([1]!hcahps[Facility ID] = clean[[#This Row],[Facility ID]]) * ([1]!hcahps[HCAHPS Measure ID] = "H_HSP_RATING_LINEAR_SCORE"), [1]!hcahps[HCAHPS Linear Mean Value]), "No Match")</f>
        <v>87</v>
      </c>
      <c r="F5137" cm="1">
        <f t="array" ref="F5137">_xlfn.IFNA(_xlfn.XLOOKUP(1,([1]!readmissions[Facility ID] = clean[[#This Row],[Facility ID]]) * ([1]!readmissions[Measure ID] = "Hybrid_HWR"), [1]!readmissions[Score]), "No Match")</f>
        <v>14.5</v>
      </c>
    </row>
    <row r="5138" spans="1:6" x14ac:dyDescent="0.2">
      <c r="A5138">
        <f>[1]!hospitalinfo[[#This Row],[Facility ID]]</f>
        <v>500064</v>
      </c>
      <c r="B5138" t="str">
        <f>[1]!hospitalinfo[[#This Row],[State]]</f>
        <v>WA</v>
      </c>
      <c r="C5138" t="str">
        <f>[1]!hospitalinfo[[#This Row],[Hospital Type]]</f>
        <v>Acute Care Hospitals</v>
      </c>
      <c r="D5138" t="str">
        <f>[1]!hospitalinfo[[#This Row],[Hospital Ownership]]</f>
        <v>Government - Local</v>
      </c>
      <c r="E5138" cm="1">
        <f t="array" ref="E5138">_xlfn.IFNA(_xlfn.XLOOKUP(1,([1]!hcahps[Facility ID] = clean[[#This Row],[Facility ID]]) * ([1]!hcahps[HCAHPS Measure ID] = "H_HSP_RATING_LINEAR_SCORE"), [1]!hcahps[HCAHPS Linear Mean Value]), "No Match")</f>
        <v>86</v>
      </c>
      <c r="F5138" cm="1">
        <f t="array" ref="F5138">_xlfn.IFNA(_xlfn.XLOOKUP(1,([1]!readmissions[Facility ID] = clean[[#This Row],[Facility ID]]) * ([1]!readmissions[Measure ID] = "Hybrid_HWR"), [1]!readmissions[Score]), "No Match")</f>
        <v>14.5</v>
      </c>
    </row>
    <row r="5139" spans="1:6" x14ac:dyDescent="0.2">
      <c r="A5139">
        <f>[1]!hospitalinfo[[#This Row],[Facility ID]]</f>
        <v>500072</v>
      </c>
      <c r="B5139" t="str">
        <f>[1]!hospitalinfo[[#This Row],[State]]</f>
        <v>WA</v>
      </c>
      <c r="C5139" t="str">
        <f>[1]!hospitalinfo[[#This Row],[Hospital Type]]</f>
        <v>Acute Care Hospitals</v>
      </c>
      <c r="D5139" t="str">
        <f>[1]!hospitalinfo[[#This Row],[Hospital Ownership]]</f>
        <v>Government - Local</v>
      </c>
      <c r="E5139" cm="1">
        <f t="array" ref="E5139">_xlfn.IFNA(_xlfn.XLOOKUP(1,([1]!hcahps[Facility ID] = clean[[#This Row],[Facility ID]]) * ([1]!hcahps[HCAHPS Measure ID] = "H_HSP_RATING_LINEAR_SCORE"), [1]!hcahps[HCAHPS Linear Mean Value]), "No Match")</f>
        <v>86</v>
      </c>
      <c r="F5139" cm="1">
        <f t="array" ref="F5139">_xlfn.IFNA(_xlfn.XLOOKUP(1,([1]!readmissions[Facility ID] = clean[[#This Row],[Facility ID]]) * ([1]!readmissions[Measure ID] = "Hybrid_HWR"), [1]!readmissions[Score]), "No Match")</f>
        <v>14.4</v>
      </c>
    </row>
    <row r="5140" spans="1:6" x14ac:dyDescent="0.2">
      <c r="A5140">
        <f>[1]!hospitalinfo[[#This Row],[Facility ID]]</f>
        <v>500077</v>
      </c>
      <c r="B5140" t="str">
        <f>[1]!hospitalinfo[[#This Row],[State]]</f>
        <v>WA</v>
      </c>
      <c r="C5140" t="str">
        <f>[1]!hospitalinfo[[#This Row],[Hospital Type]]</f>
        <v>Acute Care Hospitals</v>
      </c>
      <c r="D5140" t="str">
        <f>[1]!hospitalinfo[[#This Row],[Hospital Ownership]]</f>
        <v>Voluntary non-profit - Private</v>
      </c>
      <c r="E5140" cm="1">
        <f t="array" ref="E5140">_xlfn.IFNA(_xlfn.XLOOKUP(1,([1]!hcahps[Facility ID] = clean[[#This Row],[Facility ID]]) * ([1]!hcahps[HCAHPS Measure ID] = "H_HSP_RATING_LINEAR_SCORE"), [1]!hcahps[HCAHPS Linear Mean Value]), "No Match")</f>
        <v>87</v>
      </c>
      <c r="F5140" cm="1">
        <f t="array" ref="F5140">_xlfn.IFNA(_xlfn.XLOOKUP(1,([1]!readmissions[Facility ID] = clean[[#This Row],[Facility ID]]) * ([1]!readmissions[Measure ID] = "Hybrid_HWR"), [1]!readmissions[Score]), "No Match")</f>
        <v>12.7</v>
      </c>
    </row>
    <row r="5141" spans="1:6" x14ac:dyDescent="0.2">
      <c r="A5141">
        <f>[1]!hospitalinfo[[#This Row],[Facility ID]]</f>
        <v>500079</v>
      </c>
      <c r="B5141" t="str">
        <f>[1]!hospitalinfo[[#This Row],[State]]</f>
        <v>WA</v>
      </c>
      <c r="C5141" t="str">
        <f>[1]!hospitalinfo[[#This Row],[Hospital Type]]</f>
        <v>Acute Care Hospitals</v>
      </c>
      <c r="D5141" t="str">
        <f>[1]!hospitalinfo[[#This Row],[Hospital Ownership]]</f>
        <v>Voluntary non-profit - Private</v>
      </c>
      <c r="E5141" cm="1">
        <f t="array" ref="E5141">_xlfn.IFNA(_xlfn.XLOOKUP(1,([1]!hcahps[Facility ID] = clean[[#This Row],[Facility ID]]) * ([1]!hcahps[HCAHPS Measure ID] = "H_HSP_RATING_LINEAR_SCORE"), [1]!hcahps[HCAHPS Linear Mean Value]), "No Match")</f>
        <v>82</v>
      </c>
      <c r="F5141" cm="1">
        <f t="array" ref="F5141">_xlfn.IFNA(_xlfn.XLOOKUP(1,([1]!readmissions[Facility ID] = clean[[#This Row],[Facility ID]]) * ([1]!readmissions[Measure ID] = "Hybrid_HWR"), [1]!readmissions[Score]), "No Match")</f>
        <v>15.1</v>
      </c>
    </row>
    <row r="5142" spans="1:6" x14ac:dyDescent="0.2">
      <c r="A5142">
        <f>[1]!hospitalinfo[[#This Row],[Facility ID]]</f>
        <v>500084</v>
      </c>
      <c r="B5142" t="str">
        <f>[1]!hospitalinfo[[#This Row],[State]]</f>
        <v>WA</v>
      </c>
      <c r="C5142" t="str">
        <f>[1]!hospitalinfo[[#This Row],[Hospital Type]]</f>
        <v>Acute Care Hospitals</v>
      </c>
      <c r="D5142" t="str">
        <f>[1]!hospitalinfo[[#This Row],[Hospital Ownership]]</f>
        <v>Government - Hospital District or Authority</v>
      </c>
      <c r="E5142" cm="1">
        <f t="array" ref="E5142">_xlfn.IFNA(_xlfn.XLOOKUP(1,([1]!hcahps[Facility ID] = clean[[#This Row],[Facility ID]]) * ([1]!hcahps[HCAHPS Measure ID] = "H_HSP_RATING_LINEAR_SCORE"), [1]!hcahps[HCAHPS Linear Mean Value]), "No Match")</f>
        <v>85</v>
      </c>
      <c r="F5142" cm="1">
        <f t="array" ref="F5142">_xlfn.IFNA(_xlfn.XLOOKUP(1,([1]!readmissions[Facility ID] = clean[[#This Row],[Facility ID]]) * ([1]!readmissions[Measure ID] = "Hybrid_HWR"), [1]!readmissions[Score]), "No Match")</f>
        <v>14.3</v>
      </c>
    </row>
    <row r="5143" spans="1:6" x14ac:dyDescent="0.2">
      <c r="A5143">
        <f>[1]!hospitalinfo[[#This Row],[Facility ID]]</f>
        <v>500088</v>
      </c>
      <c r="B5143" t="str">
        <f>[1]!hospitalinfo[[#This Row],[State]]</f>
        <v>WA</v>
      </c>
      <c r="C5143" t="str">
        <f>[1]!hospitalinfo[[#This Row],[Hospital Type]]</f>
        <v>Acute Care Hospitals</v>
      </c>
      <c r="D5143" t="str">
        <f>[1]!hospitalinfo[[#This Row],[Hospital Ownership]]</f>
        <v>Government - Hospital District or Authority</v>
      </c>
      <c r="E5143" cm="1">
        <f t="array" ref="E5143">_xlfn.IFNA(_xlfn.XLOOKUP(1,([1]!hcahps[Facility ID] = clean[[#This Row],[Facility ID]]) * ([1]!hcahps[HCAHPS Measure ID] = "H_HSP_RATING_LINEAR_SCORE"), [1]!hcahps[HCAHPS Linear Mean Value]), "No Match")</f>
        <v>89</v>
      </c>
      <c r="F5143" cm="1">
        <f t="array" ref="F5143">_xlfn.IFNA(_xlfn.XLOOKUP(1,([1]!readmissions[Facility ID] = clean[[#This Row],[Facility ID]]) * ([1]!readmissions[Measure ID] = "Hybrid_HWR"), [1]!readmissions[Score]), "No Match")</f>
        <v>13.8</v>
      </c>
    </row>
    <row r="5144" spans="1:6" x14ac:dyDescent="0.2">
      <c r="A5144">
        <f>[1]!hospitalinfo[[#This Row],[Facility ID]]</f>
        <v>500108</v>
      </c>
      <c r="B5144" t="str">
        <f>[1]!hospitalinfo[[#This Row],[State]]</f>
        <v>WA</v>
      </c>
      <c r="C5144" t="str">
        <f>[1]!hospitalinfo[[#This Row],[Hospital Type]]</f>
        <v>Acute Care Hospitals</v>
      </c>
      <c r="D5144" t="str">
        <f>[1]!hospitalinfo[[#This Row],[Hospital Ownership]]</f>
        <v>Voluntary non-profit - Church</v>
      </c>
      <c r="E5144" cm="1">
        <f t="array" ref="E5144">_xlfn.IFNA(_xlfn.XLOOKUP(1,([1]!hcahps[Facility ID] = clean[[#This Row],[Facility ID]]) * ([1]!hcahps[HCAHPS Measure ID] = "H_HSP_RATING_LINEAR_SCORE"), [1]!hcahps[HCAHPS Linear Mean Value]), "No Match")</f>
        <v>86</v>
      </c>
      <c r="F5144" cm="1">
        <f t="array" ref="F5144">_xlfn.IFNA(_xlfn.XLOOKUP(1,([1]!readmissions[Facility ID] = clean[[#This Row],[Facility ID]]) * ([1]!readmissions[Measure ID] = "Hybrid_HWR"), [1]!readmissions[Score]), "No Match")</f>
        <v>14.2</v>
      </c>
    </row>
    <row r="5145" spans="1:6" x14ac:dyDescent="0.2">
      <c r="A5145">
        <f>[1]!hospitalinfo[[#This Row],[Facility ID]]</f>
        <v>500119</v>
      </c>
      <c r="B5145" t="str">
        <f>[1]!hospitalinfo[[#This Row],[State]]</f>
        <v>WA</v>
      </c>
      <c r="C5145" t="str">
        <f>[1]!hospitalinfo[[#This Row],[Hospital Type]]</f>
        <v>Acute Care Hospitals</v>
      </c>
      <c r="D5145" t="str">
        <f>[1]!hospitalinfo[[#This Row],[Hospital Ownership]]</f>
        <v>Voluntary non-profit - Private</v>
      </c>
      <c r="E5145" cm="1">
        <f t="array" ref="E5145">_xlfn.IFNA(_xlfn.XLOOKUP(1,([1]!hcahps[Facility ID] = clean[[#This Row],[Facility ID]]) * ([1]!hcahps[HCAHPS Measure ID] = "H_HSP_RATING_LINEAR_SCORE"), [1]!hcahps[HCAHPS Linear Mean Value]), "No Match")</f>
        <v>87</v>
      </c>
      <c r="F5145" cm="1">
        <f t="array" ref="F5145">_xlfn.IFNA(_xlfn.XLOOKUP(1,([1]!readmissions[Facility ID] = clean[[#This Row],[Facility ID]]) * ([1]!readmissions[Measure ID] = "Hybrid_HWR"), [1]!readmissions[Score]), "No Match")</f>
        <v>14.1</v>
      </c>
    </row>
    <row r="5146" spans="1:6" x14ac:dyDescent="0.2">
      <c r="A5146">
        <f>[1]!hospitalinfo[[#This Row],[Facility ID]]</f>
        <v>500124</v>
      </c>
      <c r="B5146" t="str">
        <f>[1]!hospitalinfo[[#This Row],[State]]</f>
        <v>WA</v>
      </c>
      <c r="C5146" t="str">
        <f>[1]!hospitalinfo[[#This Row],[Hospital Type]]</f>
        <v>Acute Care Hospitals</v>
      </c>
      <c r="D5146" t="str">
        <f>[1]!hospitalinfo[[#This Row],[Hospital Ownership]]</f>
        <v>Government - Hospital District or Authority</v>
      </c>
      <c r="E5146" cm="1">
        <f t="array" ref="E5146">_xlfn.IFNA(_xlfn.XLOOKUP(1,([1]!hcahps[Facility ID] = clean[[#This Row],[Facility ID]]) * ([1]!hcahps[HCAHPS Measure ID] = "H_HSP_RATING_LINEAR_SCORE"), [1]!hcahps[HCAHPS Linear Mean Value]), "No Match")</f>
        <v>90</v>
      </c>
      <c r="F5146" cm="1">
        <f t="array" ref="F5146">_xlfn.IFNA(_xlfn.XLOOKUP(1,([1]!readmissions[Facility ID] = clean[[#This Row],[Facility ID]]) * ([1]!readmissions[Measure ID] = "Hybrid_HWR"), [1]!readmissions[Score]), "No Match")</f>
        <v>13.8</v>
      </c>
    </row>
    <row r="5147" spans="1:6" x14ac:dyDescent="0.2">
      <c r="A5147">
        <f>[1]!hospitalinfo[[#This Row],[Facility ID]]</f>
        <v>500129</v>
      </c>
      <c r="B5147" t="str">
        <f>[1]!hospitalinfo[[#This Row],[State]]</f>
        <v>WA</v>
      </c>
      <c r="C5147" t="str">
        <f>[1]!hospitalinfo[[#This Row],[Hospital Type]]</f>
        <v>Acute Care Hospitals</v>
      </c>
      <c r="D5147" t="str">
        <f>[1]!hospitalinfo[[#This Row],[Hospital Ownership]]</f>
        <v>Voluntary non-profit - Private</v>
      </c>
      <c r="E5147" cm="1">
        <f t="array" ref="E5147">_xlfn.IFNA(_xlfn.XLOOKUP(1,([1]!hcahps[Facility ID] = clean[[#This Row],[Facility ID]]) * ([1]!hcahps[HCAHPS Measure ID] = "H_HSP_RATING_LINEAR_SCORE"), [1]!hcahps[HCAHPS Linear Mean Value]), "No Match")</f>
        <v>85</v>
      </c>
      <c r="F5147" cm="1">
        <f t="array" ref="F5147">_xlfn.IFNA(_xlfn.XLOOKUP(1,([1]!readmissions[Facility ID] = clean[[#This Row],[Facility ID]]) * ([1]!readmissions[Measure ID] = "Hybrid_HWR"), [1]!readmissions[Score]), "No Match")</f>
        <v>15.1</v>
      </c>
    </row>
    <row r="5148" spans="1:6" x14ac:dyDescent="0.2">
      <c r="A5148">
        <f>[1]!hospitalinfo[[#This Row],[Facility ID]]</f>
        <v>500139</v>
      </c>
      <c r="B5148" t="str">
        <f>[1]!hospitalinfo[[#This Row],[State]]</f>
        <v>WA</v>
      </c>
      <c r="C5148" t="str">
        <f>[1]!hospitalinfo[[#This Row],[Hospital Type]]</f>
        <v>Acute Care Hospitals</v>
      </c>
      <c r="D5148" t="str">
        <f>[1]!hospitalinfo[[#This Row],[Hospital Ownership]]</f>
        <v>Voluntary non-profit - Private</v>
      </c>
      <c r="E5148" cm="1">
        <f t="array" ref="E5148">_xlfn.IFNA(_xlfn.XLOOKUP(1,([1]!hcahps[Facility ID] = clean[[#This Row],[Facility ID]]) * ([1]!hcahps[HCAHPS Measure ID] = "H_HSP_RATING_LINEAR_SCORE"), [1]!hcahps[HCAHPS Linear Mean Value]), "No Match")</f>
        <v>88</v>
      </c>
      <c r="F5148" cm="1">
        <f t="array" ref="F5148">_xlfn.IFNA(_xlfn.XLOOKUP(1,([1]!readmissions[Facility ID] = clean[[#This Row],[Facility ID]]) * ([1]!readmissions[Measure ID] = "Hybrid_HWR"), [1]!readmissions[Score]), "No Match")</f>
        <v>15.1</v>
      </c>
    </row>
    <row r="5149" spans="1:6" x14ac:dyDescent="0.2">
      <c r="A5149">
        <f>[1]!hospitalinfo[[#This Row],[Facility ID]]</f>
        <v>500141</v>
      </c>
      <c r="B5149" t="str">
        <f>[1]!hospitalinfo[[#This Row],[State]]</f>
        <v>WA</v>
      </c>
      <c r="C5149" t="str">
        <f>[1]!hospitalinfo[[#This Row],[Hospital Type]]</f>
        <v>Acute Care Hospitals</v>
      </c>
      <c r="D5149" t="str">
        <f>[1]!hospitalinfo[[#This Row],[Hospital Ownership]]</f>
        <v>Voluntary non-profit - Church</v>
      </c>
      <c r="E5149" cm="1">
        <f t="array" ref="E5149">_xlfn.IFNA(_xlfn.XLOOKUP(1,([1]!hcahps[Facility ID] = clean[[#This Row],[Facility ID]]) * ([1]!hcahps[HCAHPS Measure ID] = "H_HSP_RATING_LINEAR_SCORE"), [1]!hcahps[HCAHPS Linear Mean Value]), "No Match")</f>
        <v>86</v>
      </c>
      <c r="F5149" cm="1">
        <f t="array" ref="F5149">_xlfn.IFNA(_xlfn.XLOOKUP(1,([1]!readmissions[Facility ID] = clean[[#This Row],[Facility ID]]) * ([1]!readmissions[Measure ID] = "Hybrid_HWR"), [1]!readmissions[Score]), "No Match")</f>
        <v>15.1</v>
      </c>
    </row>
    <row r="5150" spans="1:6" x14ac:dyDescent="0.2">
      <c r="A5150">
        <f>[1]!hospitalinfo[[#This Row],[Facility ID]]</f>
        <v>500150</v>
      </c>
      <c r="B5150" t="str">
        <f>[1]!hospitalinfo[[#This Row],[State]]</f>
        <v>WA</v>
      </c>
      <c r="C5150" t="str">
        <f>[1]!hospitalinfo[[#This Row],[Hospital Type]]</f>
        <v>Acute Care Hospitals</v>
      </c>
      <c r="D5150" t="str">
        <f>[1]!hospitalinfo[[#This Row],[Hospital Ownership]]</f>
        <v>Voluntary non-profit - Private</v>
      </c>
      <c r="E5150" cm="1">
        <f t="array" ref="E5150">_xlfn.IFNA(_xlfn.XLOOKUP(1,([1]!hcahps[Facility ID] = clean[[#This Row],[Facility ID]]) * ([1]!hcahps[HCAHPS Measure ID] = "H_HSP_RATING_LINEAR_SCORE"), [1]!hcahps[HCAHPS Linear Mean Value]), "No Match")</f>
        <v>90</v>
      </c>
      <c r="F5150" cm="1">
        <f t="array" ref="F5150">_xlfn.IFNA(_xlfn.XLOOKUP(1,([1]!readmissions[Facility ID] = clean[[#This Row],[Facility ID]]) * ([1]!readmissions[Measure ID] = "Hybrid_HWR"), [1]!readmissions[Score]), "No Match")</f>
        <v>14.1</v>
      </c>
    </row>
    <row r="5151" spans="1:6" x14ac:dyDescent="0.2">
      <c r="A5151">
        <f>[1]!hospitalinfo[[#This Row],[Facility ID]]</f>
        <v>500151</v>
      </c>
      <c r="B5151" t="str">
        <f>[1]!hospitalinfo[[#This Row],[State]]</f>
        <v>WA</v>
      </c>
      <c r="C5151" t="str">
        <f>[1]!hospitalinfo[[#This Row],[Hospital Type]]</f>
        <v>Acute Care Hospitals</v>
      </c>
      <c r="D5151" t="str">
        <f>[1]!hospitalinfo[[#This Row],[Hospital Ownership]]</f>
        <v>Voluntary non-profit - Church</v>
      </c>
      <c r="E5151" cm="1">
        <f t="array" ref="E5151">_xlfn.IFNA(_xlfn.XLOOKUP(1,([1]!hcahps[Facility ID] = clean[[#This Row],[Facility ID]]) * ([1]!hcahps[HCAHPS Measure ID] = "H_HSP_RATING_LINEAR_SCORE"), [1]!hcahps[HCAHPS Linear Mean Value]), "No Match")</f>
        <v>89</v>
      </c>
      <c r="F5151" cm="1">
        <f t="array" ref="F5151">_xlfn.IFNA(_xlfn.XLOOKUP(1,([1]!readmissions[Facility ID] = clean[[#This Row],[Facility ID]]) * ([1]!readmissions[Measure ID] = "Hybrid_HWR"), [1]!readmissions[Score]), "No Match")</f>
        <v>14</v>
      </c>
    </row>
    <row r="5152" spans="1:6" x14ac:dyDescent="0.2">
      <c r="A5152">
        <f>[1]!hospitalinfo[[#This Row],[Facility ID]]</f>
        <v>500152</v>
      </c>
      <c r="B5152" t="str">
        <f>[1]!hospitalinfo[[#This Row],[State]]</f>
        <v>WA</v>
      </c>
      <c r="C5152" t="str">
        <f>[1]!hospitalinfo[[#This Row],[Hospital Type]]</f>
        <v>Acute Care Hospitals</v>
      </c>
      <c r="D5152" t="str">
        <f>[1]!hospitalinfo[[#This Row],[Hospital Ownership]]</f>
        <v>Voluntary non-profit - Private</v>
      </c>
      <c r="E5152" cm="1">
        <f t="array" ref="E5152">_xlfn.IFNA(_xlfn.XLOOKUP(1,([1]!hcahps[Facility ID] = clean[[#This Row],[Facility ID]]) * ([1]!hcahps[HCAHPS Measure ID] = "H_HSP_RATING_LINEAR_SCORE"), [1]!hcahps[HCAHPS Linear Mean Value]), "No Match")</f>
        <v>91</v>
      </c>
      <c r="F5152" cm="1">
        <f t="array" ref="F5152">_xlfn.IFNA(_xlfn.XLOOKUP(1,([1]!readmissions[Facility ID] = clean[[#This Row],[Facility ID]]) * ([1]!readmissions[Measure ID] = "Hybrid_HWR"), [1]!readmissions[Score]), "No Match")</f>
        <v>14.4</v>
      </c>
    </row>
    <row r="5153" spans="1:6" x14ac:dyDescent="0.2">
      <c r="A5153">
        <f>[1]!hospitalinfo[[#This Row],[Facility ID]]</f>
        <v>500154</v>
      </c>
      <c r="B5153" t="str">
        <f>[1]!hospitalinfo[[#This Row],[State]]</f>
        <v>WA</v>
      </c>
      <c r="C5153" t="str">
        <f>[1]!hospitalinfo[[#This Row],[Hospital Type]]</f>
        <v>Acute Care Hospitals</v>
      </c>
      <c r="D5153" t="str">
        <f>[1]!hospitalinfo[[#This Row],[Hospital Ownership]]</f>
        <v>Voluntary non-profit - Private</v>
      </c>
      <c r="E5153" cm="1">
        <f t="array" ref="E5153">_xlfn.IFNA(_xlfn.XLOOKUP(1,([1]!hcahps[Facility ID] = clean[[#This Row],[Facility ID]]) * ([1]!hcahps[HCAHPS Measure ID] = "H_HSP_RATING_LINEAR_SCORE"), [1]!hcahps[HCAHPS Linear Mean Value]), "No Match")</f>
        <v>87</v>
      </c>
      <c r="F5153" cm="1">
        <f t="array" ref="F5153">_xlfn.IFNA(_xlfn.XLOOKUP(1,([1]!readmissions[Facility ID] = clean[[#This Row],[Facility ID]]) * ([1]!readmissions[Measure ID] = "Hybrid_HWR"), [1]!readmissions[Score]), "No Match")</f>
        <v>14.8</v>
      </c>
    </row>
    <row r="5154" spans="1:6" x14ac:dyDescent="0.2">
      <c r="A5154">
        <f>[1]!hospitalinfo[[#This Row],[Facility ID]]</f>
        <v>501301</v>
      </c>
      <c r="B5154" t="str">
        <f>[1]!hospitalinfo[[#This Row],[State]]</f>
        <v>WA</v>
      </c>
      <c r="C5154" t="str">
        <f>[1]!hospitalinfo[[#This Row],[Hospital Type]]</f>
        <v>Critical Access Hospitals</v>
      </c>
      <c r="D5154" t="str">
        <f>[1]!hospitalinfo[[#This Row],[Hospital Ownership]]</f>
        <v>Government - Hospital District or Authority</v>
      </c>
      <c r="E5154" t="str" cm="1">
        <f t="array" ref="E5154">_xlfn.IFNA(_xlfn.XLOOKUP(1,([1]!hcahps[Facility ID] = clean[[#This Row],[Facility ID]]) * ([1]!hcahps[HCAHPS Measure ID] = "H_HSP_RATING_LINEAR_SCORE"), [1]!hcahps[HCAHPS Linear Mean Value]), "No Match")</f>
        <v>Not Available</v>
      </c>
      <c r="F5154" t="str" cm="1">
        <f t="array" ref="F5154">_xlfn.IFNA(_xlfn.XLOOKUP(1,([1]!readmissions[Facility ID] = clean[[#This Row],[Facility ID]]) * ([1]!readmissions[Measure ID] = "Hybrid_HWR"), [1]!readmissions[Score]), "No Match")</f>
        <v>Not Available</v>
      </c>
    </row>
    <row r="5155" spans="1:6" x14ac:dyDescent="0.2">
      <c r="A5155">
        <f>[1]!hospitalinfo[[#This Row],[Facility ID]]</f>
        <v>501302</v>
      </c>
      <c r="B5155" t="str">
        <f>[1]!hospitalinfo[[#This Row],[State]]</f>
        <v>WA</v>
      </c>
      <c r="C5155" t="str">
        <f>[1]!hospitalinfo[[#This Row],[Hospital Type]]</f>
        <v>Critical Access Hospitals</v>
      </c>
      <c r="D5155" t="str">
        <f>[1]!hospitalinfo[[#This Row],[Hospital Ownership]]</f>
        <v>Government - Hospital District or Authority</v>
      </c>
      <c r="E5155" t="str" cm="1">
        <f t="array" ref="E5155">_xlfn.IFNA(_xlfn.XLOOKUP(1,([1]!hcahps[Facility ID] = clean[[#This Row],[Facility ID]]) * ([1]!hcahps[HCAHPS Measure ID] = "H_HSP_RATING_LINEAR_SCORE"), [1]!hcahps[HCAHPS Linear Mean Value]), "No Match")</f>
        <v>Not Available</v>
      </c>
      <c r="F5155" cm="1">
        <f t="array" ref="F5155">_xlfn.IFNA(_xlfn.XLOOKUP(1,([1]!readmissions[Facility ID] = clean[[#This Row],[Facility ID]]) * ([1]!readmissions[Measure ID] = "Hybrid_HWR"), [1]!readmissions[Score]), "No Match")</f>
        <v>14.9</v>
      </c>
    </row>
    <row r="5156" spans="1:6" x14ac:dyDescent="0.2">
      <c r="A5156">
        <f>[1]!hospitalinfo[[#This Row],[Facility ID]]</f>
        <v>501303</v>
      </c>
      <c r="B5156" t="str">
        <f>[1]!hospitalinfo[[#This Row],[State]]</f>
        <v>WA</v>
      </c>
      <c r="C5156" t="str">
        <f>[1]!hospitalinfo[[#This Row],[Hospital Type]]</f>
        <v>Critical Access Hospitals</v>
      </c>
      <c r="D5156" t="str">
        <f>[1]!hospitalinfo[[#This Row],[Hospital Ownership]]</f>
        <v>Government - Hospital District or Authority</v>
      </c>
      <c r="E5156" t="str" cm="1">
        <f t="array" ref="E5156">_xlfn.IFNA(_xlfn.XLOOKUP(1,([1]!hcahps[Facility ID] = clean[[#This Row],[Facility ID]]) * ([1]!hcahps[HCAHPS Measure ID] = "H_HSP_RATING_LINEAR_SCORE"), [1]!hcahps[HCAHPS Linear Mean Value]), "No Match")</f>
        <v>Not Available</v>
      </c>
      <c r="F5156" cm="1">
        <f t="array" ref="F5156">_xlfn.IFNA(_xlfn.XLOOKUP(1,([1]!readmissions[Facility ID] = clean[[#This Row],[Facility ID]]) * ([1]!readmissions[Measure ID] = "Hybrid_HWR"), [1]!readmissions[Score]), "No Match")</f>
        <v>14.9</v>
      </c>
    </row>
    <row r="5157" spans="1:6" x14ac:dyDescent="0.2">
      <c r="A5157">
        <f>[1]!hospitalinfo[[#This Row],[Facility ID]]</f>
        <v>501304</v>
      </c>
      <c r="B5157" t="str">
        <f>[1]!hospitalinfo[[#This Row],[State]]</f>
        <v>WA</v>
      </c>
      <c r="C5157" t="str">
        <f>[1]!hospitalinfo[[#This Row],[Hospital Type]]</f>
        <v>Critical Access Hospitals</v>
      </c>
      <c r="D5157" t="str">
        <f>[1]!hospitalinfo[[#This Row],[Hospital Ownership]]</f>
        <v>Government - Hospital District or Authority</v>
      </c>
      <c r="E5157" t="str" cm="1">
        <f t="array" ref="E5157">_xlfn.IFNA(_xlfn.XLOOKUP(1,([1]!hcahps[Facility ID] = clean[[#This Row],[Facility ID]]) * ([1]!hcahps[HCAHPS Measure ID] = "H_HSP_RATING_LINEAR_SCORE"), [1]!hcahps[HCAHPS Linear Mean Value]), "No Match")</f>
        <v>Not Available</v>
      </c>
      <c r="F5157" cm="1">
        <f t="array" ref="F5157">_xlfn.IFNA(_xlfn.XLOOKUP(1,([1]!readmissions[Facility ID] = clean[[#This Row],[Facility ID]]) * ([1]!readmissions[Measure ID] = "Hybrid_HWR"), [1]!readmissions[Score]), "No Match")</f>
        <v>14.9</v>
      </c>
    </row>
    <row r="5158" spans="1:6" x14ac:dyDescent="0.2">
      <c r="A5158">
        <f>[1]!hospitalinfo[[#This Row],[Facility ID]]</f>
        <v>501305</v>
      </c>
      <c r="B5158" t="str">
        <f>[1]!hospitalinfo[[#This Row],[State]]</f>
        <v>WA</v>
      </c>
      <c r="C5158" t="str">
        <f>[1]!hospitalinfo[[#This Row],[Hospital Type]]</f>
        <v>Critical Access Hospitals</v>
      </c>
      <c r="D5158" t="str">
        <f>[1]!hospitalinfo[[#This Row],[Hospital Ownership]]</f>
        <v>Government - Hospital District or Authority</v>
      </c>
      <c r="E5158" t="str" cm="1">
        <f t="array" ref="E5158">_xlfn.IFNA(_xlfn.XLOOKUP(1,([1]!hcahps[Facility ID] = clean[[#This Row],[Facility ID]]) * ([1]!hcahps[HCAHPS Measure ID] = "H_HSP_RATING_LINEAR_SCORE"), [1]!hcahps[HCAHPS Linear Mean Value]), "No Match")</f>
        <v>Not Available</v>
      </c>
      <c r="F5158" cm="1">
        <f t="array" ref="F5158">_xlfn.IFNA(_xlfn.XLOOKUP(1,([1]!readmissions[Facility ID] = clean[[#This Row],[Facility ID]]) * ([1]!readmissions[Measure ID] = "Hybrid_HWR"), [1]!readmissions[Score]), "No Match")</f>
        <v>15.1</v>
      </c>
    </row>
    <row r="5159" spans="1:6" x14ac:dyDescent="0.2">
      <c r="A5159">
        <f>[1]!hospitalinfo[[#This Row],[Facility ID]]</f>
        <v>501307</v>
      </c>
      <c r="B5159" t="str">
        <f>[1]!hospitalinfo[[#This Row],[State]]</f>
        <v>WA</v>
      </c>
      <c r="C5159" t="str">
        <f>[1]!hospitalinfo[[#This Row],[Hospital Type]]</f>
        <v>Critical Access Hospitals</v>
      </c>
      <c r="D5159" t="str">
        <f>[1]!hospitalinfo[[#This Row],[Hospital Ownership]]</f>
        <v>Government - Hospital District or Authority</v>
      </c>
      <c r="E5159" t="str" cm="1">
        <f t="array" ref="E5159">_xlfn.IFNA(_xlfn.XLOOKUP(1,([1]!hcahps[Facility ID] = clean[[#This Row],[Facility ID]]) * ([1]!hcahps[HCAHPS Measure ID] = "H_HSP_RATING_LINEAR_SCORE"), [1]!hcahps[HCAHPS Linear Mean Value]), "No Match")</f>
        <v>Not Available</v>
      </c>
      <c r="F5159" t="str" cm="1">
        <f t="array" ref="F5159">_xlfn.IFNA(_xlfn.XLOOKUP(1,([1]!readmissions[Facility ID] = clean[[#This Row],[Facility ID]]) * ([1]!readmissions[Measure ID] = "Hybrid_HWR"), [1]!readmissions[Score]), "No Match")</f>
        <v>Not Available</v>
      </c>
    </row>
    <row r="5160" spans="1:6" x14ac:dyDescent="0.2">
      <c r="A5160">
        <f>[1]!hospitalinfo[[#This Row],[Facility ID]]</f>
        <v>501308</v>
      </c>
      <c r="B5160" t="str">
        <f>[1]!hospitalinfo[[#This Row],[State]]</f>
        <v>WA</v>
      </c>
      <c r="C5160" t="str">
        <f>[1]!hospitalinfo[[#This Row],[Hospital Type]]</f>
        <v>Critical Access Hospitals</v>
      </c>
      <c r="D5160" t="str">
        <f>[1]!hospitalinfo[[#This Row],[Hospital Ownership]]</f>
        <v>Government - Hospital District or Authority</v>
      </c>
      <c r="E5160" t="str" cm="1">
        <f t="array" ref="E5160">_xlfn.IFNA(_xlfn.XLOOKUP(1,([1]!hcahps[Facility ID] = clean[[#This Row],[Facility ID]]) * ([1]!hcahps[HCAHPS Measure ID] = "H_HSP_RATING_LINEAR_SCORE"), [1]!hcahps[HCAHPS Linear Mean Value]), "No Match")</f>
        <v>Not Available</v>
      </c>
      <c r="F5160" cm="1">
        <f t="array" ref="F5160">_xlfn.IFNA(_xlfn.XLOOKUP(1,([1]!readmissions[Facility ID] = clean[[#This Row],[Facility ID]]) * ([1]!readmissions[Measure ID] = "Hybrid_HWR"), [1]!readmissions[Score]), "No Match")</f>
        <v>15</v>
      </c>
    </row>
    <row r="5161" spans="1:6" x14ac:dyDescent="0.2">
      <c r="A5161">
        <f>[1]!hospitalinfo[[#This Row],[Facility ID]]</f>
        <v>501309</v>
      </c>
      <c r="B5161" t="str">
        <f>[1]!hospitalinfo[[#This Row],[State]]</f>
        <v>WA</v>
      </c>
      <c r="C5161" t="str">
        <f>[1]!hospitalinfo[[#This Row],[Hospital Type]]</f>
        <v>Critical Access Hospitals</v>
      </c>
      <c r="D5161" t="str">
        <f>[1]!hospitalinfo[[#This Row],[Hospital Ownership]]</f>
        <v>Voluntary non-profit - Church</v>
      </c>
      <c r="E5161" t="str" cm="1">
        <f t="array" ref="E5161">_xlfn.IFNA(_xlfn.XLOOKUP(1,([1]!hcahps[Facility ID] = clean[[#This Row],[Facility ID]]) * ([1]!hcahps[HCAHPS Measure ID] = "H_HSP_RATING_LINEAR_SCORE"), [1]!hcahps[HCAHPS Linear Mean Value]), "No Match")</f>
        <v>Not Available</v>
      </c>
      <c r="F5161" cm="1">
        <f t="array" ref="F5161">_xlfn.IFNA(_xlfn.XLOOKUP(1,([1]!readmissions[Facility ID] = clean[[#This Row],[Facility ID]]) * ([1]!readmissions[Measure ID] = "Hybrid_HWR"), [1]!readmissions[Score]), "No Match")</f>
        <v>15</v>
      </c>
    </row>
    <row r="5162" spans="1:6" x14ac:dyDescent="0.2">
      <c r="A5162">
        <f>[1]!hospitalinfo[[#This Row],[Facility ID]]</f>
        <v>501310</v>
      </c>
      <c r="B5162" t="str">
        <f>[1]!hospitalinfo[[#This Row],[State]]</f>
        <v>WA</v>
      </c>
      <c r="C5162" t="str">
        <f>[1]!hospitalinfo[[#This Row],[Hospital Type]]</f>
        <v>Critical Access Hospitals</v>
      </c>
      <c r="D5162" t="str">
        <f>[1]!hospitalinfo[[#This Row],[Hospital Ownership]]</f>
        <v>Government - Hospital District or Authority</v>
      </c>
      <c r="E5162" t="str" cm="1">
        <f t="array" ref="E5162">_xlfn.IFNA(_xlfn.XLOOKUP(1,([1]!hcahps[Facility ID] = clean[[#This Row],[Facility ID]]) * ([1]!hcahps[HCAHPS Measure ID] = "H_HSP_RATING_LINEAR_SCORE"), [1]!hcahps[HCAHPS Linear Mean Value]), "No Match")</f>
        <v>Not Available</v>
      </c>
      <c r="F5162" cm="1">
        <f t="array" ref="F5162">_xlfn.IFNA(_xlfn.XLOOKUP(1,([1]!readmissions[Facility ID] = clean[[#This Row],[Facility ID]]) * ([1]!readmissions[Measure ID] = "Hybrid_HWR"), [1]!readmissions[Score]), "No Match")</f>
        <v>14</v>
      </c>
    </row>
    <row r="5163" spans="1:6" x14ac:dyDescent="0.2">
      <c r="A5163">
        <f>[1]!hospitalinfo[[#This Row],[Facility ID]]</f>
        <v>501311</v>
      </c>
      <c r="B5163" t="str">
        <f>[1]!hospitalinfo[[#This Row],[State]]</f>
        <v>WA</v>
      </c>
      <c r="C5163" t="str">
        <f>[1]!hospitalinfo[[#This Row],[Hospital Type]]</f>
        <v>Critical Access Hospitals</v>
      </c>
      <c r="D5163" t="str">
        <f>[1]!hospitalinfo[[#This Row],[Hospital Ownership]]</f>
        <v>Government - Hospital District or Authority</v>
      </c>
      <c r="E5163" t="str" cm="1">
        <f t="array" ref="E5163">_xlfn.IFNA(_xlfn.XLOOKUP(1,([1]!hcahps[Facility ID] = clean[[#This Row],[Facility ID]]) * ([1]!hcahps[HCAHPS Measure ID] = "H_HSP_RATING_LINEAR_SCORE"), [1]!hcahps[HCAHPS Linear Mean Value]), "No Match")</f>
        <v>Not Available</v>
      </c>
      <c r="F5163" t="str" cm="1">
        <f t="array" ref="F5163">_xlfn.IFNA(_xlfn.XLOOKUP(1,([1]!readmissions[Facility ID] = clean[[#This Row],[Facility ID]]) * ([1]!readmissions[Measure ID] = "Hybrid_HWR"), [1]!readmissions[Score]), "No Match")</f>
        <v>Not Available</v>
      </c>
    </row>
    <row r="5164" spans="1:6" x14ac:dyDescent="0.2">
      <c r="A5164">
        <f>[1]!hospitalinfo[[#This Row],[Facility ID]]</f>
        <v>501312</v>
      </c>
      <c r="B5164" t="str">
        <f>[1]!hospitalinfo[[#This Row],[State]]</f>
        <v>WA</v>
      </c>
      <c r="C5164" t="str">
        <f>[1]!hospitalinfo[[#This Row],[Hospital Type]]</f>
        <v>Critical Access Hospitals</v>
      </c>
      <c r="D5164" t="str">
        <f>[1]!hospitalinfo[[#This Row],[Hospital Ownership]]</f>
        <v>Government - Hospital District or Authority</v>
      </c>
      <c r="E5164" cm="1">
        <f t="array" ref="E5164">_xlfn.IFNA(_xlfn.XLOOKUP(1,([1]!hcahps[Facility ID] = clean[[#This Row],[Facility ID]]) * ([1]!hcahps[HCAHPS Measure ID] = "H_HSP_RATING_LINEAR_SCORE"), [1]!hcahps[HCAHPS Linear Mean Value]), "No Match")</f>
        <v>91</v>
      </c>
      <c r="F5164" cm="1">
        <f t="array" ref="F5164">_xlfn.IFNA(_xlfn.XLOOKUP(1,([1]!readmissions[Facility ID] = clean[[#This Row],[Facility ID]]) * ([1]!readmissions[Measure ID] = "Hybrid_HWR"), [1]!readmissions[Score]), "No Match")</f>
        <v>15.2</v>
      </c>
    </row>
    <row r="5165" spans="1:6" x14ac:dyDescent="0.2">
      <c r="A5165">
        <f>[1]!hospitalinfo[[#This Row],[Facility ID]]</f>
        <v>501313</v>
      </c>
      <c r="B5165" t="str">
        <f>[1]!hospitalinfo[[#This Row],[State]]</f>
        <v>WA</v>
      </c>
      <c r="C5165" t="str">
        <f>[1]!hospitalinfo[[#This Row],[Hospital Type]]</f>
        <v>Critical Access Hospitals</v>
      </c>
      <c r="D5165" t="str">
        <f>[1]!hospitalinfo[[#This Row],[Hospital Ownership]]</f>
        <v>Government - Hospital District or Authority</v>
      </c>
      <c r="E5165" t="str" cm="1">
        <f t="array" ref="E5165">_xlfn.IFNA(_xlfn.XLOOKUP(1,([1]!hcahps[Facility ID] = clean[[#This Row],[Facility ID]]) * ([1]!hcahps[HCAHPS Measure ID] = "H_HSP_RATING_LINEAR_SCORE"), [1]!hcahps[HCAHPS Linear Mean Value]), "No Match")</f>
        <v>Not Available</v>
      </c>
      <c r="F5165" cm="1">
        <f t="array" ref="F5165">_xlfn.IFNA(_xlfn.XLOOKUP(1,([1]!readmissions[Facility ID] = clean[[#This Row],[Facility ID]]) * ([1]!readmissions[Measure ID] = "Hybrid_HWR"), [1]!readmissions[Score]), "No Match")</f>
        <v>14.9</v>
      </c>
    </row>
    <row r="5166" spans="1:6" x14ac:dyDescent="0.2">
      <c r="A5166">
        <f>[1]!hospitalinfo[[#This Row],[Facility ID]]</f>
        <v>501314</v>
      </c>
      <c r="B5166" t="str">
        <f>[1]!hospitalinfo[[#This Row],[State]]</f>
        <v>WA</v>
      </c>
      <c r="C5166" t="str">
        <f>[1]!hospitalinfo[[#This Row],[Hospital Type]]</f>
        <v>Critical Access Hospitals</v>
      </c>
      <c r="D5166" t="str">
        <f>[1]!hospitalinfo[[#This Row],[Hospital Ownership]]</f>
        <v>Government - Hospital District or Authority</v>
      </c>
      <c r="E5166" t="str" cm="1">
        <f t="array" ref="E5166">_xlfn.IFNA(_xlfn.XLOOKUP(1,([1]!hcahps[Facility ID] = clean[[#This Row],[Facility ID]]) * ([1]!hcahps[HCAHPS Measure ID] = "H_HSP_RATING_LINEAR_SCORE"), [1]!hcahps[HCAHPS Linear Mean Value]), "No Match")</f>
        <v>Not Available</v>
      </c>
      <c r="F5166" cm="1">
        <f t="array" ref="F5166">_xlfn.IFNA(_xlfn.XLOOKUP(1,([1]!readmissions[Facility ID] = clean[[#This Row],[Facility ID]]) * ([1]!readmissions[Measure ID] = "Hybrid_HWR"), [1]!readmissions[Score]), "No Match")</f>
        <v>14.4</v>
      </c>
    </row>
    <row r="5167" spans="1:6" x14ac:dyDescent="0.2">
      <c r="A5167">
        <f>[1]!hospitalinfo[[#This Row],[Facility ID]]</f>
        <v>501315</v>
      </c>
      <c r="B5167" t="str">
        <f>[1]!hospitalinfo[[#This Row],[State]]</f>
        <v>WA</v>
      </c>
      <c r="C5167" t="str">
        <f>[1]!hospitalinfo[[#This Row],[Hospital Type]]</f>
        <v>Critical Access Hospitals</v>
      </c>
      <c r="D5167" t="str">
        <f>[1]!hospitalinfo[[#This Row],[Hospital Ownership]]</f>
        <v>Government - Hospital District or Authority</v>
      </c>
      <c r="E5167" t="str" cm="1">
        <f t="array" ref="E5167">_xlfn.IFNA(_xlfn.XLOOKUP(1,([1]!hcahps[Facility ID] = clean[[#This Row],[Facility ID]]) * ([1]!hcahps[HCAHPS Measure ID] = "H_HSP_RATING_LINEAR_SCORE"), [1]!hcahps[HCAHPS Linear Mean Value]), "No Match")</f>
        <v>Not Available</v>
      </c>
      <c r="F5167" cm="1">
        <f t="array" ref="F5167">_xlfn.IFNA(_xlfn.XLOOKUP(1,([1]!readmissions[Facility ID] = clean[[#This Row],[Facility ID]]) * ([1]!readmissions[Measure ID] = "Hybrid_HWR"), [1]!readmissions[Score]), "No Match")</f>
        <v>14.7</v>
      </c>
    </row>
    <row r="5168" spans="1:6" x14ac:dyDescent="0.2">
      <c r="A5168">
        <f>[1]!hospitalinfo[[#This Row],[Facility ID]]</f>
        <v>501316</v>
      </c>
      <c r="B5168" t="str">
        <f>[1]!hospitalinfo[[#This Row],[State]]</f>
        <v>WA</v>
      </c>
      <c r="C5168" t="str">
        <f>[1]!hospitalinfo[[#This Row],[Hospital Type]]</f>
        <v>Critical Access Hospitals</v>
      </c>
      <c r="D5168" t="str">
        <f>[1]!hospitalinfo[[#This Row],[Hospital Ownership]]</f>
        <v>Government - Hospital District or Authority</v>
      </c>
      <c r="E5168" t="str" cm="1">
        <f t="array" ref="E5168">_xlfn.IFNA(_xlfn.XLOOKUP(1,([1]!hcahps[Facility ID] = clean[[#This Row],[Facility ID]]) * ([1]!hcahps[HCAHPS Measure ID] = "H_HSP_RATING_LINEAR_SCORE"), [1]!hcahps[HCAHPS Linear Mean Value]), "No Match")</f>
        <v>Not Available</v>
      </c>
      <c r="F5168" cm="1">
        <f t="array" ref="F5168">_xlfn.IFNA(_xlfn.XLOOKUP(1,([1]!readmissions[Facility ID] = clean[[#This Row],[Facility ID]]) * ([1]!readmissions[Measure ID] = "Hybrid_HWR"), [1]!readmissions[Score]), "No Match")</f>
        <v>14.9</v>
      </c>
    </row>
    <row r="5169" spans="1:6" x14ac:dyDescent="0.2">
      <c r="A5169">
        <f>[1]!hospitalinfo[[#This Row],[Facility ID]]</f>
        <v>501317</v>
      </c>
      <c r="B5169" t="str">
        <f>[1]!hospitalinfo[[#This Row],[State]]</f>
        <v>WA</v>
      </c>
      <c r="C5169" t="str">
        <f>[1]!hospitalinfo[[#This Row],[Hospital Type]]</f>
        <v>Critical Access Hospitals</v>
      </c>
      <c r="D5169" t="str">
        <f>[1]!hospitalinfo[[#This Row],[Hospital Ownership]]</f>
        <v>Government - Hospital District or Authority</v>
      </c>
      <c r="E5169" t="str" cm="1">
        <f t="array" ref="E5169">_xlfn.IFNA(_xlfn.XLOOKUP(1,([1]!hcahps[Facility ID] = clean[[#This Row],[Facility ID]]) * ([1]!hcahps[HCAHPS Measure ID] = "H_HSP_RATING_LINEAR_SCORE"), [1]!hcahps[HCAHPS Linear Mean Value]), "No Match")</f>
        <v>Not Available</v>
      </c>
      <c r="F5169" cm="1">
        <f t="array" ref="F5169">_xlfn.IFNA(_xlfn.XLOOKUP(1,([1]!readmissions[Facility ID] = clean[[#This Row],[Facility ID]]) * ([1]!readmissions[Measure ID] = "Hybrid_HWR"), [1]!readmissions[Score]), "No Match")</f>
        <v>14.4</v>
      </c>
    </row>
    <row r="5170" spans="1:6" x14ac:dyDescent="0.2">
      <c r="A5170">
        <f>[1]!hospitalinfo[[#This Row],[Facility ID]]</f>
        <v>501318</v>
      </c>
      <c r="B5170" t="str">
        <f>[1]!hospitalinfo[[#This Row],[State]]</f>
        <v>WA</v>
      </c>
      <c r="C5170" t="str">
        <f>[1]!hospitalinfo[[#This Row],[Hospital Type]]</f>
        <v>Critical Access Hospitals</v>
      </c>
      <c r="D5170" t="str">
        <f>[1]!hospitalinfo[[#This Row],[Hospital Ownership]]</f>
        <v>Government - Local</v>
      </c>
      <c r="E5170" t="str" cm="1">
        <f t="array" ref="E5170">_xlfn.IFNA(_xlfn.XLOOKUP(1,([1]!hcahps[Facility ID] = clean[[#This Row],[Facility ID]]) * ([1]!hcahps[HCAHPS Measure ID] = "H_HSP_RATING_LINEAR_SCORE"), [1]!hcahps[HCAHPS Linear Mean Value]), "No Match")</f>
        <v>Not Available</v>
      </c>
      <c r="F5170" t="str" cm="1">
        <f t="array" ref="F5170">_xlfn.IFNA(_xlfn.XLOOKUP(1,([1]!readmissions[Facility ID] = clean[[#This Row],[Facility ID]]) * ([1]!readmissions[Measure ID] = "Hybrid_HWR"), [1]!readmissions[Score]), "No Match")</f>
        <v>Not Available</v>
      </c>
    </row>
    <row r="5171" spans="1:6" x14ac:dyDescent="0.2">
      <c r="A5171">
        <f>[1]!hospitalinfo[[#This Row],[Facility ID]]</f>
        <v>501319</v>
      </c>
      <c r="B5171" t="str">
        <f>[1]!hospitalinfo[[#This Row],[State]]</f>
        <v>WA</v>
      </c>
      <c r="C5171" t="str">
        <f>[1]!hospitalinfo[[#This Row],[Hospital Type]]</f>
        <v>Critical Access Hospitals</v>
      </c>
      <c r="D5171" t="str">
        <f>[1]!hospitalinfo[[#This Row],[Hospital Ownership]]</f>
        <v>Government - Hospital District or Authority</v>
      </c>
      <c r="E5171" t="str" cm="1">
        <f t="array" ref="E5171">_xlfn.IFNA(_xlfn.XLOOKUP(1,([1]!hcahps[Facility ID] = clean[[#This Row],[Facility ID]]) * ([1]!hcahps[HCAHPS Measure ID] = "H_HSP_RATING_LINEAR_SCORE"), [1]!hcahps[HCAHPS Linear Mean Value]), "No Match")</f>
        <v>Not Available</v>
      </c>
      <c r="F5171" cm="1">
        <f t="array" ref="F5171">_xlfn.IFNA(_xlfn.XLOOKUP(1,([1]!readmissions[Facility ID] = clean[[#This Row],[Facility ID]]) * ([1]!readmissions[Measure ID] = "Hybrid_HWR"), [1]!readmissions[Score]), "No Match")</f>
        <v>15.1</v>
      </c>
    </row>
    <row r="5172" spans="1:6" x14ac:dyDescent="0.2">
      <c r="A5172">
        <f>[1]!hospitalinfo[[#This Row],[Facility ID]]</f>
        <v>501320</v>
      </c>
      <c r="B5172" t="str">
        <f>[1]!hospitalinfo[[#This Row],[State]]</f>
        <v>WA</v>
      </c>
      <c r="C5172" t="str">
        <f>[1]!hospitalinfo[[#This Row],[Hospital Type]]</f>
        <v>Critical Access Hospitals</v>
      </c>
      <c r="D5172" t="str">
        <f>[1]!hospitalinfo[[#This Row],[Hospital Ownership]]</f>
        <v>Government - Hospital District or Authority</v>
      </c>
      <c r="E5172" t="str" cm="1">
        <f t="array" ref="E5172">_xlfn.IFNA(_xlfn.XLOOKUP(1,([1]!hcahps[Facility ID] = clean[[#This Row],[Facility ID]]) * ([1]!hcahps[HCAHPS Measure ID] = "H_HSP_RATING_LINEAR_SCORE"), [1]!hcahps[HCAHPS Linear Mean Value]), "No Match")</f>
        <v>Not Available</v>
      </c>
      <c r="F5172" t="str" cm="1">
        <f t="array" ref="F5172">_xlfn.IFNA(_xlfn.XLOOKUP(1,([1]!readmissions[Facility ID] = clean[[#This Row],[Facility ID]]) * ([1]!readmissions[Measure ID] = "Hybrid_HWR"), [1]!readmissions[Score]), "No Match")</f>
        <v>Not Available</v>
      </c>
    </row>
    <row r="5173" spans="1:6" x14ac:dyDescent="0.2">
      <c r="A5173">
        <f>[1]!hospitalinfo[[#This Row],[Facility ID]]</f>
        <v>501321</v>
      </c>
      <c r="B5173" t="str">
        <f>[1]!hospitalinfo[[#This Row],[State]]</f>
        <v>WA</v>
      </c>
      <c r="C5173" t="str">
        <f>[1]!hospitalinfo[[#This Row],[Hospital Type]]</f>
        <v>Critical Access Hospitals</v>
      </c>
      <c r="D5173" t="str">
        <f>[1]!hospitalinfo[[#This Row],[Hospital Ownership]]</f>
        <v>Government - Hospital District or Authority</v>
      </c>
      <c r="E5173" t="str" cm="1">
        <f t="array" ref="E5173">_xlfn.IFNA(_xlfn.XLOOKUP(1,([1]!hcahps[Facility ID] = clean[[#This Row],[Facility ID]]) * ([1]!hcahps[HCAHPS Measure ID] = "H_HSP_RATING_LINEAR_SCORE"), [1]!hcahps[HCAHPS Linear Mean Value]), "No Match")</f>
        <v>Not Available</v>
      </c>
      <c r="F5173" cm="1">
        <f t="array" ref="F5173">_xlfn.IFNA(_xlfn.XLOOKUP(1,([1]!readmissions[Facility ID] = clean[[#This Row],[Facility ID]]) * ([1]!readmissions[Measure ID] = "Hybrid_HWR"), [1]!readmissions[Score]), "No Match")</f>
        <v>14.4</v>
      </c>
    </row>
    <row r="5174" spans="1:6" x14ac:dyDescent="0.2">
      <c r="A5174">
        <f>[1]!hospitalinfo[[#This Row],[Facility ID]]</f>
        <v>501322</v>
      </c>
      <c r="B5174" t="str">
        <f>[1]!hospitalinfo[[#This Row],[State]]</f>
        <v>WA</v>
      </c>
      <c r="C5174" t="str">
        <f>[1]!hospitalinfo[[#This Row],[Hospital Type]]</f>
        <v>Critical Access Hospitals</v>
      </c>
      <c r="D5174" t="str">
        <f>[1]!hospitalinfo[[#This Row],[Hospital Ownership]]</f>
        <v>Government - Hospital District or Authority</v>
      </c>
      <c r="E5174" t="str" cm="1">
        <f t="array" ref="E5174">_xlfn.IFNA(_xlfn.XLOOKUP(1,([1]!hcahps[Facility ID] = clean[[#This Row],[Facility ID]]) * ([1]!hcahps[HCAHPS Measure ID] = "H_HSP_RATING_LINEAR_SCORE"), [1]!hcahps[HCAHPS Linear Mean Value]), "No Match")</f>
        <v>Not Available</v>
      </c>
      <c r="F5174" cm="1">
        <f t="array" ref="F5174">_xlfn.IFNA(_xlfn.XLOOKUP(1,([1]!readmissions[Facility ID] = clean[[#This Row],[Facility ID]]) * ([1]!readmissions[Measure ID] = "Hybrid_HWR"), [1]!readmissions[Score]), "No Match")</f>
        <v>14.8</v>
      </c>
    </row>
    <row r="5175" spans="1:6" x14ac:dyDescent="0.2">
      <c r="A5175">
        <f>[1]!hospitalinfo[[#This Row],[Facility ID]]</f>
        <v>501323</v>
      </c>
      <c r="B5175" t="str">
        <f>[1]!hospitalinfo[[#This Row],[State]]</f>
        <v>WA</v>
      </c>
      <c r="C5175" t="str">
        <f>[1]!hospitalinfo[[#This Row],[Hospital Type]]</f>
        <v>Critical Access Hospitals</v>
      </c>
      <c r="D5175" t="str">
        <f>[1]!hospitalinfo[[#This Row],[Hospital Ownership]]</f>
        <v>Government - Hospital District or Authority</v>
      </c>
      <c r="E5175" cm="1">
        <f t="array" ref="E5175">_xlfn.IFNA(_xlfn.XLOOKUP(1,([1]!hcahps[Facility ID] = clean[[#This Row],[Facility ID]]) * ([1]!hcahps[HCAHPS Measure ID] = "H_HSP_RATING_LINEAR_SCORE"), [1]!hcahps[HCAHPS Linear Mean Value]), "No Match")</f>
        <v>93</v>
      </c>
      <c r="F5175" cm="1">
        <f t="array" ref="F5175">_xlfn.IFNA(_xlfn.XLOOKUP(1,([1]!readmissions[Facility ID] = clean[[#This Row],[Facility ID]]) * ([1]!readmissions[Measure ID] = "Hybrid_HWR"), [1]!readmissions[Score]), "No Match")</f>
        <v>14.7</v>
      </c>
    </row>
    <row r="5176" spans="1:6" x14ac:dyDescent="0.2">
      <c r="A5176">
        <f>[1]!hospitalinfo[[#This Row],[Facility ID]]</f>
        <v>501324</v>
      </c>
      <c r="B5176" t="str">
        <f>[1]!hospitalinfo[[#This Row],[State]]</f>
        <v>WA</v>
      </c>
      <c r="C5176" t="str">
        <f>[1]!hospitalinfo[[#This Row],[Hospital Type]]</f>
        <v>Critical Access Hospitals</v>
      </c>
      <c r="D5176" t="str">
        <f>[1]!hospitalinfo[[#This Row],[Hospital Ownership]]</f>
        <v>Government - Hospital District or Authority</v>
      </c>
      <c r="E5176" t="str" cm="1">
        <f t="array" ref="E5176">_xlfn.IFNA(_xlfn.XLOOKUP(1,([1]!hcahps[Facility ID] = clean[[#This Row],[Facility ID]]) * ([1]!hcahps[HCAHPS Measure ID] = "H_HSP_RATING_LINEAR_SCORE"), [1]!hcahps[HCAHPS Linear Mean Value]), "No Match")</f>
        <v>Not Available</v>
      </c>
      <c r="F5176" cm="1">
        <f t="array" ref="F5176">_xlfn.IFNA(_xlfn.XLOOKUP(1,([1]!readmissions[Facility ID] = clean[[#This Row],[Facility ID]]) * ([1]!readmissions[Measure ID] = "Hybrid_HWR"), [1]!readmissions[Score]), "No Match")</f>
        <v>15.1</v>
      </c>
    </row>
    <row r="5177" spans="1:6" x14ac:dyDescent="0.2">
      <c r="A5177">
        <f>[1]!hospitalinfo[[#This Row],[Facility ID]]</f>
        <v>501325</v>
      </c>
      <c r="B5177" t="str">
        <f>[1]!hospitalinfo[[#This Row],[State]]</f>
        <v>WA</v>
      </c>
      <c r="C5177" t="str">
        <f>[1]!hospitalinfo[[#This Row],[Hospital Type]]</f>
        <v>Critical Access Hospitals</v>
      </c>
      <c r="D5177" t="str">
        <f>[1]!hospitalinfo[[#This Row],[Hospital Ownership]]</f>
        <v>Government - Hospital District or Authority</v>
      </c>
      <c r="E5177" t="str" cm="1">
        <f t="array" ref="E5177">_xlfn.IFNA(_xlfn.XLOOKUP(1,([1]!hcahps[Facility ID] = clean[[#This Row],[Facility ID]]) * ([1]!hcahps[HCAHPS Measure ID] = "H_HSP_RATING_LINEAR_SCORE"), [1]!hcahps[HCAHPS Linear Mean Value]), "No Match")</f>
        <v>Not Available</v>
      </c>
      <c r="F5177" cm="1">
        <f t="array" ref="F5177">_xlfn.IFNA(_xlfn.XLOOKUP(1,([1]!readmissions[Facility ID] = clean[[#This Row],[Facility ID]]) * ([1]!readmissions[Measure ID] = "Hybrid_HWR"), [1]!readmissions[Score]), "No Match")</f>
        <v>14.8</v>
      </c>
    </row>
    <row r="5178" spans="1:6" x14ac:dyDescent="0.2">
      <c r="A5178">
        <f>[1]!hospitalinfo[[#This Row],[Facility ID]]</f>
        <v>501326</v>
      </c>
      <c r="B5178" t="str">
        <f>[1]!hospitalinfo[[#This Row],[State]]</f>
        <v>WA</v>
      </c>
      <c r="C5178" t="str">
        <f>[1]!hospitalinfo[[#This Row],[Hospital Type]]</f>
        <v>Critical Access Hospitals</v>
      </c>
      <c r="D5178" t="str">
        <f>[1]!hospitalinfo[[#This Row],[Hospital Ownership]]</f>
        <v>Voluntary non-profit - Church</v>
      </c>
      <c r="E5178" cm="1">
        <f t="array" ref="E5178">_xlfn.IFNA(_xlfn.XLOOKUP(1,([1]!hcahps[Facility ID] = clean[[#This Row],[Facility ID]]) * ([1]!hcahps[HCAHPS Measure ID] = "H_HSP_RATING_LINEAR_SCORE"), [1]!hcahps[HCAHPS Linear Mean Value]), "No Match")</f>
        <v>91</v>
      </c>
      <c r="F5178" cm="1">
        <f t="array" ref="F5178">_xlfn.IFNA(_xlfn.XLOOKUP(1,([1]!readmissions[Facility ID] = clean[[#This Row],[Facility ID]]) * ([1]!readmissions[Measure ID] = "Hybrid_HWR"), [1]!readmissions[Score]), "No Match")</f>
        <v>14.3</v>
      </c>
    </row>
    <row r="5179" spans="1:6" x14ac:dyDescent="0.2">
      <c r="A5179">
        <f>[1]!hospitalinfo[[#This Row],[Facility ID]]</f>
        <v>501327</v>
      </c>
      <c r="B5179" t="str">
        <f>[1]!hospitalinfo[[#This Row],[State]]</f>
        <v>WA</v>
      </c>
      <c r="C5179" t="str">
        <f>[1]!hospitalinfo[[#This Row],[Hospital Type]]</f>
        <v>Critical Access Hospitals</v>
      </c>
      <c r="D5179" t="str">
        <f>[1]!hospitalinfo[[#This Row],[Hospital Ownership]]</f>
        <v>Government - Hospital District or Authority</v>
      </c>
      <c r="E5179" t="str" cm="1">
        <f t="array" ref="E5179">_xlfn.IFNA(_xlfn.XLOOKUP(1,([1]!hcahps[Facility ID] = clean[[#This Row],[Facility ID]]) * ([1]!hcahps[HCAHPS Measure ID] = "H_HSP_RATING_LINEAR_SCORE"), [1]!hcahps[HCAHPS Linear Mean Value]), "No Match")</f>
        <v>Not Available</v>
      </c>
      <c r="F5179" cm="1">
        <f t="array" ref="F5179">_xlfn.IFNA(_xlfn.XLOOKUP(1,([1]!readmissions[Facility ID] = clean[[#This Row],[Facility ID]]) * ([1]!readmissions[Measure ID] = "Hybrid_HWR"), [1]!readmissions[Score]), "No Match")</f>
        <v>14.5</v>
      </c>
    </row>
    <row r="5180" spans="1:6" x14ac:dyDescent="0.2">
      <c r="A5180">
        <f>[1]!hospitalinfo[[#This Row],[Facility ID]]</f>
        <v>501328</v>
      </c>
      <c r="B5180" t="str">
        <f>[1]!hospitalinfo[[#This Row],[State]]</f>
        <v>WA</v>
      </c>
      <c r="C5180" t="str">
        <f>[1]!hospitalinfo[[#This Row],[Hospital Type]]</f>
        <v>Critical Access Hospitals</v>
      </c>
      <c r="D5180" t="str">
        <f>[1]!hospitalinfo[[#This Row],[Hospital Ownership]]</f>
        <v>Government - Hospital District or Authority</v>
      </c>
      <c r="E5180" t="str" cm="1">
        <f t="array" ref="E5180">_xlfn.IFNA(_xlfn.XLOOKUP(1,([1]!hcahps[Facility ID] = clean[[#This Row],[Facility ID]]) * ([1]!hcahps[HCAHPS Measure ID] = "H_HSP_RATING_LINEAR_SCORE"), [1]!hcahps[HCAHPS Linear Mean Value]), "No Match")</f>
        <v>Not Available</v>
      </c>
      <c r="F5180" cm="1">
        <f t="array" ref="F5180">_xlfn.IFNA(_xlfn.XLOOKUP(1,([1]!readmissions[Facility ID] = clean[[#This Row],[Facility ID]]) * ([1]!readmissions[Measure ID] = "Hybrid_HWR"), [1]!readmissions[Score]), "No Match")</f>
        <v>15.3</v>
      </c>
    </row>
    <row r="5181" spans="1:6" x14ac:dyDescent="0.2">
      <c r="A5181">
        <f>[1]!hospitalinfo[[#This Row],[Facility ID]]</f>
        <v>501329</v>
      </c>
      <c r="B5181" t="str">
        <f>[1]!hospitalinfo[[#This Row],[State]]</f>
        <v>WA</v>
      </c>
      <c r="C5181" t="str">
        <f>[1]!hospitalinfo[[#This Row],[Hospital Type]]</f>
        <v>Critical Access Hospitals</v>
      </c>
      <c r="D5181" t="str">
        <f>[1]!hospitalinfo[[#This Row],[Hospital Ownership]]</f>
        <v>Government - Hospital District or Authority</v>
      </c>
      <c r="E5181" cm="1">
        <f t="array" ref="E5181">_xlfn.IFNA(_xlfn.XLOOKUP(1,([1]!hcahps[Facility ID] = clean[[#This Row],[Facility ID]]) * ([1]!hcahps[HCAHPS Measure ID] = "H_HSP_RATING_LINEAR_SCORE"), [1]!hcahps[HCAHPS Linear Mean Value]), "No Match")</f>
        <v>90</v>
      </c>
      <c r="F5181" cm="1">
        <f t="array" ref="F5181">_xlfn.IFNA(_xlfn.XLOOKUP(1,([1]!readmissions[Facility ID] = clean[[#This Row],[Facility ID]]) * ([1]!readmissions[Measure ID] = "Hybrid_HWR"), [1]!readmissions[Score]), "No Match")</f>
        <v>13.7</v>
      </c>
    </row>
    <row r="5182" spans="1:6" x14ac:dyDescent="0.2">
      <c r="A5182">
        <f>[1]!hospitalinfo[[#This Row],[Facility ID]]</f>
        <v>501330</v>
      </c>
      <c r="B5182" t="str">
        <f>[1]!hospitalinfo[[#This Row],[State]]</f>
        <v>WA</v>
      </c>
      <c r="C5182" t="str">
        <f>[1]!hospitalinfo[[#This Row],[Hospital Type]]</f>
        <v>Critical Access Hospitals</v>
      </c>
      <c r="D5182" t="str">
        <f>[1]!hospitalinfo[[#This Row],[Hospital Ownership]]</f>
        <v>Voluntary non-profit - Other</v>
      </c>
      <c r="E5182" cm="1">
        <f t="array" ref="E5182">_xlfn.IFNA(_xlfn.XLOOKUP(1,([1]!hcahps[Facility ID] = clean[[#This Row],[Facility ID]]) * ([1]!hcahps[HCAHPS Measure ID] = "H_HSP_RATING_LINEAR_SCORE"), [1]!hcahps[HCAHPS Linear Mean Value]), "No Match")</f>
        <v>89</v>
      </c>
      <c r="F5182" cm="1">
        <f t="array" ref="F5182">_xlfn.IFNA(_xlfn.XLOOKUP(1,([1]!readmissions[Facility ID] = clean[[#This Row],[Facility ID]]) * ([1]!readmissions[Measure ID] = "Hybrid_HWR"), [1]!readmissions[Score]), "No Match")</f>
        <v>15.4</v>
      </c>
    </row>
    <row r="5183" spans="1:6" x14ac:dyDescent="0.2">
      <c r="A5183">
        <f>[1]!hospitalinfo[[#This Row],[Facility ID]]</f>
        <v>501331</v>
      </c>
      <c r="B5183" t="str">
        <f>[1]!hospitalinfo[[#This Row],[State]]</f>
        <v>WA</v>
      </c>
      <c r="C5183" t="str">
        <f>[1]!hospitalinfo[[#This Row],[Hospital Type]]</f>
        <v>Critical Access Hospitals</v>
      </c>
      <c r="D5183" t="str">
        <f>[1]!hospitalinfo[[#This Row],[Hospital Ownership]]</f>
        <v>Government - Hospital District or Authority</v>
      </c>
      <c r="E5183" cm="1">
        <f t="array" ref="E5183">_xlfn.IFNA(_xlfn.XLOOKUP(1,([1]!hcahps[Facility ID] = clean[[#This Row],[Facility ID]]) * ([1]!hcahps[HCAHPS Measure ID] = "H_HSP_RATING_LINEAR_SCORE"), [1]!hcahps[HCAHPS Linear Mean Value]), "No Match")</f>
        <v>94</v>
      </c>
      <c r="F5183" cm="1">
        <f t="array" ref="F5183">_xlfn.IFNA(_xlfn.XLOOKUP(1,([1]!readmissions[Facility ID] = clean[[#This Row],[Facility ID]]) * ([1]!readmissions[Measure ID] = "Hybrid_HWR"), [1]!readmissions[Score]), "No Match")</f>
        <v>14.8</v>
      </c>
    </row>
    <row r="5184" spans="1:6" x14ac:dyDescent="0.2">
      <c r="A5184">
        <f>[1]!hospitalinfo[[#This Row],[Facility ID]]</f>
        <v>501332</v>
      </c>
      <c r="B5184" t="str">
        <f>[1]!hospitalinfo[[#This Row],[State]]</f>
        <v>WA</v>
      </c>
      <c r="C5184" t="str">
        <f>[1]!hospitalinfo[[#This Row],[Hospital Type]]</f>
        <v>Critical Access Hospitals</v>
      </c>
      <c r="D5184" t="str">
        <f>[1]!hospitalinfo[[#This Row],[Hospital Ownership]]</f>
        <v>Voluntary non-profit - Private</v>
      </c>
      <c r="E5184" cm="1">
        <f t="array" ref="E5184">_xlfn.IFNA(_xlfn.XLOOKUP(1,([1]!hcahps[Facility ID] = clean[[#This Row],[Facility ID]]) * ([1]!hcahps[HCAHPS Measure ID] = "H_HSP_RATING_LINEAR_SCORE"), [1]!hcahps[HCAHPS Linear Mean Value]), "No Match")</f>
        <v>94</v>
      </c>
      <c r="F5184" cm="1">
        <f t="array" ref="F5184">_xlfn.IFNA(_xlfn.XLOOKUP(1,([1]!readmissions[Facility ID] = clean[[#This Row],[Facility ID]]) * ([1]!readmissions[Measure ID] = "Hybrid_HWR"), [1]!readmissions[Score]), "No Match")</f>
        <v>13.9</v>
      </c>
    </row>
    <row r="5185" spans="1:6" x14ac:dyDescent="0.2">
      <c r="A5185">
        <f>[1]!hospitalinfo[[#This Row],[Facility ID]]</f>
        <v>501333</v>
      </c>
      <c r="B5185" t="str">
        <f>[1]!hospitalinfo[[#This Row],[State]]</f>
        <v>WA</v>
      </c>
      <c r="C5185" t="str">
        <f>[1]!hospitalinfo[[#This Row],[Hospital Type]]</f>
        <v>Critical Access Hospitals</v>
      </c>
      <c r="D5185" t="str">
        <f>[1]!hospitalinfo[[#This Row],[Hospital Ownership]]</f>
        <v>Government - Hospital District or Authority</v>
      </c>
      <c r="E5185" cm="1">
        <f t="array" ref="E5185">_xlfn.IFNA(_xlfn.XLOOKUP(1,([1]!hcahps[Facility ID] = clean[[#This Row],[Facility ID]]) * ([1]!hcahps[HCAHPS Measure ID] = "H_HSP_RATING_LINEAR_SCORE"), [1]!hcahps[HCAHPS Linear Mean Value]), "No Match")</f>
        <v>91</v>
      </c>
      <c r="F5185" cm="1">
        <f t="array" ref="F5185">_xlfn.IFNA(_xlfn.XLOOKUP(1,([1]!readmissions[Facility ID] = clean[[#This Row],[Facility ID]]) * ([1]!readmissions[Measure ID] = "Hybrid_HWR"), [1]!readmissions[Score]), "No Match")</f>
        <v>14.7</v>
      </c>
    </row>
    <row r="5186" spans="1:6" x14ac:dyDescent="0.2">
      <c r="A5186">
        <f>[1]!hospitalinfo[[#This Row],[Facility ID]]</f>
        <v>501334</v>
      </c>
      <c r="B5186" t="str">
        <f>[1]!hospitalinfo[[#This Row],[State]]</f>
        <v>WA</v>
      </c>
      <c r="C5186" t="str">
        <f>[1]!hospitalinfo[[#This Row],[Hospital Type]]</f>
        <v>Critical Access Hospitals</v>
      </c>
      <c r="D5186" t="str">
        <f>[1]!hospitalinfo[[#This Row],[Hospital Ownership]]</f>
        <v>Government - Hospital District or Authority</v>
      </c>
      <c r="E5186" t="str" cm="1">
        <f t="array" ref="E5186">_xlfn.IFNA(_xlfn.XLOOKUP(1,([1]!hcahps[Facility ID] = clean[[#This Row],[Facility ID]]) * ([1]!hcahps[HCAHPS Measure ID] = "H_HSP_RATING_LINEAR_SCORE"), [1]!hcahps[HCAHPS Linear Mean Value]), "No Match")</f>
        <v>Not Available</v>
      </c>
      <c r="F5186" cm="1">
        <f t="array" ref="F5186">_xlfn.IFNA(_xlfn.XLOOKUP(1,([1]!readmissions[Facility ID] = clean[[#This Row],[Facility ID]]) * ([1]!readmissions[Measure ID] = "Hybrid_HWR"), [1]!readmissions[Score]), "No Match")</f>
        <v>15</v>
      </c>
    </row>
    <row r="5187" spans="1:6" x14ac:dyDescent="0.2">
      <c r="A5187">
        <f>[1]!hospitalinfo[[#This Row],[Facility ID]]</f>
        <v>501335</v>
      </c>
      <c r="B5187" t="str">
        <f>[1]!hospitalinfo[[#This Row],[State]]</f>
        <v>WA</v>
      </c>
      <c r="C5187" t="str">
        <f>[1]!hospitalinfo[[#This Row],[Hospital Type]]</f>
        <v>Critical Access Hospitals</v>
      </c>
      <c r="D5187" t="str">
        <f>[1]!hospitalinfo[[#This Row],[Hospital Ownership]]</f>
        <v>Voluntary non-profit - Private</v>
      </c>
      <c r="E5187" cm="1">
        <f t="array" ref="E5187">_xlfn.IFNA(_xlfn.XLOOKUP(1,([1]!hcahps[Facility ID] = clean[[#This Row],[Facility ID]]) * ([1]!hcahps[HCAHPS Measure ID] = "H_HSP_RATING_LINEAR_SCORE"), [1]!hcahps[HCAHPS Linear Mean Value]), "No Match")</f>
        <v>91</v>
      </c>
      <c r="F5187" cm="1">
        <f t="array" ref="F5187">_xlfn.IFNA(_xlfn.XLOOKUP(1,([1]!readmissions[Facility ID] = clean[[#This Row],[Facility ID]]) * ([1]!readmissions[Measure ID] = "Hybrid_HWR"), [1]!readmissions[Score]), "No Match")</f>
        <v>14.3</v>
      </c>
    </row>
    <row r="5188" spans="1:6" x14ac:dyDescent="0.2">
      <c r="A5188">
        <f>[1]!hospitalinfo[[#This Row],[Facility ID]]</f>
        <v>501336</v>
      </c>
      <c r="B5188" t="str">
        <f>[1]!hospitalinfo[[#This Row],[State]]</f>
        <v>WA</v>
      </c>
      <c r="C5188" t="str">
        <f>[1]!hospitalinfo[[#This Row],[Hospital Type]]</f>
        <v>Critical Access Hospitals</v>
      </c>
      <c r="D5188" t="str">
        <f>[1]!hospitalinfo[[#This Row],[Hospital Ownership]]</f>
        <v>Government - Hospital District or Authority</v>
      </c>
      <c r="E5188" cm="1">
        <f t="array" ref="E5188">_xlfn.IFNA(_xlfn.XLOOKUP(1,([1]!hcahps[Facility ID] = clean[[#This Row],[Facility ID]]) * ([1]!hcahps[HCAHPS Measure ID] = "H_HSP_RATING_LINEAR_SCORE"), [1]!hcahps[HCAHPS Linear Mean Value]), "No Match")</f>
        <v>91</v>
      </c>
      <c r="F5188" cm="1">
        <f t="array" ref="F5188">_xlfn.IFNA(_xlfn.XLOOKUP(1,([1]!readmissions[Facility ID] = clean[[#This Row],[Facility ID]]) * ([1]!readmissions[Measure ID] = "Hybrid_HWR"), [1]!readmissions[Score]), "No Match")</f>
        <v>15.4</v>
      </c>
    </row>
    <row r="5189" spans="1:6" x14ac:dyDescent="0.2">
      <c r="A5189">
        <f>[1]!hospitalinfo[[#This Row],[Facility ID]]</f>
        <v>501337</v>
      </c>
      <c r="B5189" t="str">
        <f>[1]!hospitalinfo[[#This Row],[State]]</f>
        <v>WA</v>
      </c>
      <c r="C5189" t="str">
        <f>[1]!hospitalinfo[[#This Row],[Hospital Type]]</f>
        <v>Critical Access Hospitals</v>
      </c>
      <c r="D5189" t="str">
        <f>[1]!hospitalinfo[[#This Row],[Hospital Ownership]]</f>
        <v>Voluntary non-profit - Church</v>
      </c>
      <c r="E5189" cm="1">
        <f t="array" ref="E5189">_xlfn.IFNA(_xlfn.XLOOKUP(1,([1]!hcahps[Facility ID] = clean[[#This Row],[Facility ID]]) * ([1]!hcahps[HCAHPS Measure ID] = "H_HSP_RATING_LINEAR_SCORE"), [1]!hcahps[HCAHPS Linear Mean Value]), "No Match")</f>
        <v>85</v>
      </c>
      <c r="F5189" cm="1">
        <f t="array" ref="F5189">_xlfn.IFNA(_xlfn.XLOOKUP(1,([1]!readmissions[Facility ID] = clean[[#This Row],[Facility ID]]) * ([1]!readmissions[Measure ID] = "Hybrid_HWR"), [1]!readmissions[Score]), "No Match")</f>
        <v>14.6</v>
      </c>
    </row>
    <row r="5190" spans="1:6" x14ac:dyDescent="0.2">
      <c r="A5190">
        <f>[1]!hospitalinfo[[#This Row],[Facility ID]]</f>
        <v>501338</v>
      </c>
      <c r="B5190" t="str">
        <f>[1]!hospitalinfo[[#This Row],[State]]</f>
        <v>WA</v>
      </c>
      <c r="C5190" t="str">
        <f>[1]!hospitalinfo[[#This Row],[Hospital Type]]</f>
        <v>Critical Access Hospitals</v>
      </c>
      <c r="D5190" t="str">
        <f>[1]!hospitalinfo[[#This Row],[Hospital Ownership]]</f>
        <v>Government - Hospital District or Authority</v>
      </c>
      <c r="E5190" t="str" cm="1">
        <f t="array" ref="E5190">_xlfn.IFNA(_xlfn.XLOOKUP(1,([1]!hcahps[Facility ID] = clean[[#This Row],[Facility ID]]) * ([1]!hcahps[HCAHPS Measure ID] = "H_HSP_RATING_LINEAR_SCORE"), [1]!hcahps[HCAHPS Linear Mean Value]), "No Match")</f>
        <v>Not Available</v>
      </c>
      <c r="F5190" t="str" cm="1">
        <f t="array" ref="F5190">_xlfn.IFNA(_xlfn.XLOOKUP(1,([1]!readmissions[Facility ID] = clean[[#This Row],[Facility ID]]) * ([1]!readmissions[Measure ID] = "Hybrid_HWR"), [1]!readmissions[Score]), "No Match")</f>
        <v>Not Available</v>
      </c>
    </row>
    <row r="5191" spans="1:6" x14ac:dyDescent="0.2">
      <c r="A5191">
        <f>[1]!hospitalinfo[[#This Row],[Facility ID]]</f>
        <v>501339</v>
      </c>
      <c r="B5191" t="str">
        <f>[1]!hospitalinfo[[#This Row],[State]]</f>
        <v>WA</v>
      </c>
      <c r="C5191" t="str">
        <f>[1]!hospitalinfo[[#This Row],[Hospital Type]]</f>
        <v>Critical Access Hospitals</v>
      </c>
      <c r="D5191" t="str">
        <f>[1]!hospitalinfo[[#This Row],[Hospital Ownership]]</f>
        <v>Government - Hospital District or Authority</v>
      </c>
      <c r="E5191" cm="1">
        <f t="array" ref="E5191">_xlfn.IFNA(_xlfn.XLOOKUP(1,([1]!hcahps[Facility ID] = clean[[#This Row],[Facility ID]]) * ([1]!hcahps[HCAHPS Measure ID] = "H_HSP_RATING_LINEAR_SCORE"), [1]!hcahps[HCAHPS Linear Mean Value]), "No Match")</f>
        <v>89</v>
      </c>
      <c r="F5191" cm="1">
        <f t="array" ref="F5191">_xlfn.IFNA(_xlfn.XLOOKUP(1,([1]!readmissions[Facility ID] = clean[[#This Row],[Facility ID]]) * ([1]!readmissions[Measure ID] = "Hybrid_HWR"), [1]!readmissions[Score]), "No Match")</f>
        <v>15.2</v>
      </c>
    </row>
    <row r="5192" spans="1:6" x14ac:dyDescent="0.2">
      <c r="A5192">
        <f>[1]!hospitalinfo[[#This Row],[Facility ID]]</f>
        <v>501340</v>
      </c>
      <c r="B5192" t="str">
        <f>[1]!hospitalinfo[[#This Row],[State]]</f>
        <v>WA</v>
      </c>
      <c r="C5192" t="str">
        <f>[1]!hospitalinfo[[#This Row],[Hospital Type]]</f>
        <v>Critical Access Hospitals</v>
      </c>
      <c r="D5192" t="str">
        <f>[1]!hospitalinfo[[#This Row],[Hospital Ownership]]</f>
        <v>Voluntary non-profit - Private</v>
      </c>
      <c r="E5192" t="str" cm="1">
        <f t="array" ref="E5192">_xlfn.IFNA(_xlfn.XLOOKUP(1,([1]!hcahps[Facility ID] = clean[[#This Row],[Facility ID]]) * ([1]!hcahps[HCAHPS Measure ID] = "H_HSP_RATING_LINEAR_SCORE"), [1]!hcahps[HCAHPS Linear Mean Value]), "No Match")</f>
        <v>Not Available</v>
      </c>
      <c r="F5192" cm="1">
        <f t="array" ref="F5192">_xlfn.IFNA(_xlfn.XLOOKUP(1,([1]!readmissions[Facility ID] = clean[[#This Row],[Facility ID]]) * ([1]!readmissions[Measure ID] = "Hybrid_HWR"), [1]!readmissions[Score]), "No Match")</f>
        <v>14.9</v>
      </c>
    </row>
    <row r="5193" spans="1:6" x14ac:dyDescent="0.2">
      <c r="A5193">
        <f>[1]!hospitalinfo[[#This Row],[Facility ID]]</f>
        <v>503300</v>
      </c>
      <c r="B5193" t="str">
        <f>[1]!hospitalinfo[[#This Row],[State]]</f>
        <v>WA</v>
      </c>
      <c r="C5193" t="str">
        <f>[1]!hospitalinfo[[#This Row],[Hospital Type]]</f>
        <v>Childrens</v>
      </c>
      <c r="D5193" t="str">
        <f>[1]!hospitalinfo[[#This Row],[Hospital Ownership]]</f>
        <v>Voluntary non-profit - Private</v>
      </c>
      <c r="E5193" t="str" cm="1">
        <f t="array" ref="E5193">_xlfn.IFNA(_xlfn.XLOOKUP(1,([1]!hcahps[Facility ID] = clean[[#This Row],[Facility ID]]) * ([1]!hcahps[HCAHPS Measure ID] = "H_HSP_RATING_LINEAR_SCORE"), [1]!hcahps[HCAHPS Linear Mean Value]), "No Match")</f>
        <v>Not Available</v>
      </c>
      <c r="F5193" t="str" cm="1">
        <f t="array" ref="F5193">_xlfn.IFNA(_xlfn.XLOOKUP(1,([1]!readmissions[Facility ID] = clean[[#This Row],[Facility ID]]) * ([1]!readmissions[Measure ID] = "Hybrid_HWR"), [1]!readmissions[Score]), "No Match")</f>
        <v>Not Available</v>
      </c>
    </row>
    <row r="5194" spans="1:6" x14ac:dyDescent="0.2">
      <c r="A5194">
        <f>[1]!hospitalinfo[[#This Row],[Facility ID]]</f>
        <v>503301</v>
      </c>
      <c r="B5194" t="str">
        <f>[1]!hospitalinfo[[#This Row],[State]]</f>
        <v>WA</v>
      </c>
      <c r="C5194" t="str">
        <f>[1]!hospitalinfo[[#This Row],[Hospital Type]]</f>
        <v>Childrens</v>
      </c>
      <c r="D5194" t="str">
        <f>[1]!hospitalinfo[[#This Row],[Hospital Ownership]]</f>
        <v>Voluntary non-profit - Other</v>
      </c>
      <c r="E5194" t="str" cm="1">
        <f t="array" ref="E5194">_xlfn.IFNA(_xlfn.XLOOKUP(1,([1]!hcahps[Facility ID] = clean[[#This Row],[Facility ID]]) * ([1]!hcahps[HCAHPS Measure ID] = "H_HSP_RATING_LINEAR_SCORE"), [1]!hcahps[HCAHPS Linear Mean Value]), "No Match")</f>
        <v>Not Available</v>
      </c>
      <c r="F5194" t="str" cm="1">
        <f t="array" ref="F5194">_xlfn.IFNA(_xlfn.XLOOKUP(1,([1]!readmissions[Facility ID] = clean[[#This Row],[Facility ID]]) * ([1]!readmissions[Measure ID] = "Hybrid_HWR"), [1]!readmissions[Score]), "No Match")</f>
        <v>Not Available</v>
      </c>
    </row>
    <row r="5195" spans="1:6" x14ac:dyDescent="0.2">
      <c r="A5195">
        <f>[1]!hospitalinfo[[#This Row],[Facility ID]]</f>
        <v>503302</v>
      </c>
      <c r="B5195" t="str">
        <f>[1]!hospitalinfo[[#This Row],[State]]</f>
        <v>WA</v>
      </c>
      <c r="C5195" t="str">
        <f>[1]!hospitalinfo[[#This Row],[Hospital Type]]</f>
        <v>Childrens</v>
      </c>
      <c r="D5195" t="str">
        <f>[1]!hospitalinfo[[#This Row],[Hospital Ownership]]</f>
        <v>Voluntary non-profit - Private</v>
      </c>
      <c r="E5195" t="str" cm="1">
        <f t="array" ref="E5195">_xlfn.IFNA(_xlfn.XLOOKUP(1,([1]!hcahps[Facility ID] = clean[[#This Row],[Facility ID]]) * ([1]!hcahps[HCAHPS Measure ID] = "H_HSP_RATING_LINEAR_SCORE"), [1]!hcahps[HCAHPS Linear Mean Value]), "No Match")</f>
        <v>Not Available</v>
      </c>
      <c r="F5195" t="str" cm="1">
        <f t="array" ref="F5195">_xlfn.IFNA(_xlfn.XLOOKUP(1,([1]!readmissions[Facility ID] = clean[[#This Row],[Facility ID]]) * ([1]!readmissions[Measure ID] = "Hybrid_HWR"), [1]!readmissions[Score]), "No Match")</f>
        <v>Not Available</v>
      </c>
    </row>
    <row r="5196" spans="1:6" x14ac:dyDescent="0.2">
      <c r="A5196">
        <f>[1]!hospitalinfo[[#This Row],[Facility ID]]</f>
        <v>504002</v>
      </c>
      <c r="B5196" t="str">
        <f>[1]!hospitalinfo[[#This Row],[State]]</f>
        <v>WA</v>
      </c>
      <c r="C5196" t="str">
        <f>[1]!hospitalinfo[[#This Row],[Hospital Type]]</f>
        <v>Psychiatric</v>
      </c>
      <c r="D5196" t="str">
        <f>[1]!hospitalinfo[[#This Row],[Hospital Ownership]]</f>
        <v>Proprietary</v>
      </c>
      <c r="E5196" t="str" cm="1">
        <f t="array" ref="E5196">_xlfn.IFNA(_xlfn.XLOOKUP(1,([1]!hcahps[Facility ID] = clean[[#This Row],[Facility ID]]) * ([1]!hcahps[HCAHPS Measure ID] = "H_HSP_RATING_LINEAR_SCORE"), [1]!hcahps[HCAHPS Linear Mean Value]), "No Match")</f>
        <v>No Match</v>
      </c>
      <c r="F5196" t="str" cm="1">
        <f t="array" ref="F5196">_xlfn.IFNA(_xlfn.XLOOKUP(1,([1]!readmissions[Facility ID] = clean[[#This Row],[Facility ID]]) * ([1]!readmissions[Measure ID] = "Hybrid_HWR"), [1]!readmissions[Score]), "No Match")</f>
        <v>No Match</v>
      </c>
    </row>
    <row r="5197" spans="1:6" x14ac:dyDescent="0.2">
      <c r="A5197">
        <f>[1]!hospitalinfo[[#This Row],[Facility ID]]</f>
        <v>504004</v>
      </c>
      <c r="B5197" t="str">
        <f>[1]!hospitalinfo[[#This Row],[State]]</f>
        <v>WA</v>
      </c>
      <c r="C5197" t="str">
        <f>[1]!hospitalinfo[[#This Row],[Hospital Type]]</f>
        <v>Psychiatric</v>
      </c>
      <c r="D5197" t="str">
        <f>[1]!hospitalinfo[[#This Row],[Hospital Ownership]]</f>
        <v>Government - State</v>
      </c>
      <c r="E5197" t="str" cm="1">
        <f t="array" ref="E5197">_xlfn.IFNA(_xlfn.XLOOKUP(1,([1]!hcahps[Facility ID] = clean[[#This Row],[Facility ID]]) * ([1]!hcahps[HCAHPS Measure ID] = "H_HSP_RATING_LINEAR_SCORE"), [1]!hcahps[HCAHPS Linear Mean Value]), "No Match")</f>
        <v>No Match</v>
      </c>
      <c r="F5197" t="str" cm="1">
        <f t="array" ref="F5197">_xlfn.IFNA(_xlfn.XLOOKUP(1,([1]!readmissions[Facility ID] = clean[[#This Row],[Facility ID]]) * ([1]!readmissions[Measure ID] = "Hybrid_HWR"), [1]!readmissions[Score]), "No Match")</f>
        <v>No Match</v>
      </c>
    </row>
    <row r="5198" spans="1:6" x14ac:dyDescent="0.2">
      <c r="A5198">
        <f>[1]!hospitalinfo[[#This Row],[Facility ID]]</f>
        <v>504008</v>
      </c>
      <c r="B5198" t="str">
        <f>[1]!hospitalinfo[[#This Row],[State]]</f>
        <v>WA</v>
      </c>
      <c r="C5198" t="str">
        <f>[1]!hospitalinfo[[#This Row],[Hospital Type]]</f>
        <v>Psychiatric</v>
      </c>
      <c r="D5198" t="str">
        <f>[1]!hospitalinfo[[#This Row],[Hospital Ownership]]</f>
        <v>Voluntary non-profit - Private</v>
      </c>
      <c r="E5198" t="str" cm="1">
        <f t="array" ref="E5198">_xlfn.IFNA(_xlfn.XLOOKUP(1,([1]!hcahps[Facility ID] = clean[[#This Row],[Facility ID]]) * ([1]!hcahps[HCAHPS Measure ID] = "H_HSP_RATING_LINEAR_SCORE"), [1]!hcahps[HCAHPS Linear Mean Value]), "No Match")</f>
        <v>No Match</v>
      </c>
      <c r="F5198" t="str" cm="1">
        <f t="array" ref="F5198">_xlfn.IFNA(_xlfn.XLOOKUP(1,([1]!readmissions[Facility ID] = clean[[#This Row],[Facility ID]]) * ([1]!readmissions[Measure ID] = "Hybrid_HWR"), [1]!readmissions[Score]), "No Match")</f>
        <v>No Match</v>
      </c>
    </row>
    <row r="5199" spans="1:6" x14ac:dyDescent="0.2">
      <c r="A5199">
        <f>[1]!hospitalinfo[[#This Row],[Facility ID]]</f>
        <v>504009</v>
      </c>
      <c r="B5199" t="str">
        <f>[1]!hospitalinfo[[#This Row],[State]]</f>
        <v>WA</v>
      </c>
      <c r="C5199" t="str">
        <f>[1]!hospitalinfo[[#This Row],[Hospital Type]]</f>
        <v>Psychiatric</v>
      </c>
      <c r="D5199" t="str">
        <f>[1]!hospitalinfo[[#This Row],[Hospital Ownership]]</f>
        <v>Voluntary non-profit - Private</v>
      </c>
      <c r="E5199" t="str" cm="1">
        <f t="array" ref="E5199">_xlfn.IFNA(_xlfn.XLOOKUP(1,([1]!hcahps[Facility ID] = clean[[#This Row],[Facility ID]]) * ([1]!hcahps[HCAHPS Measure ID] = "H_HSP_RATING_LINEAR_SCORE"), [1]!hcahps[HCAHPS Linear Mean Value]), "No Match")</f>
        <v>No Match</v>
      </c>
      <c r="F5199" t="str" cm="1">
        <f t="array" ref="F5199">_xlfn.IFNA(_xlfn.XLOOKUP(1,([1]!readmissions[Facility ID] = clean[[#This Row],[Facility ID]]) * ([1]!readmissions[Measure ID] = "Hybrid_HWR"), [1]!readmissions[Score]), "No Match")</f>
        <v>No Match</v>
      </c>
    </row>
    <row r="5200" spans="1:6" x14ac:dyDescent="0.2">
      <c r="A5200">
        <f>[1]!hospitalinfo[[#This Row],[Facility ID]]</f>
        <v>504012</v>
      </c>
      <c r="B5200" t="str">
        <f>[1]!hospitalinfo[[#This Row],[State]]</f>
        <v>WA</v>
      </c>
      <c r="C5200" t="str">
        <f>[1]!hospitalinfo[[#This Row],[Hospital Type]]</f>
        <v>Psychiatric</v>
      </c>
      <c r="D5200" t="str">
        <f>[1]!hospitalinfo[[#This Row],[Hospital Ownership]]</f>
        <v>Proprietary</v>
      </c>
      <c r="E5200" t="str" cm="1">
        <f t="array" ref="E5200">_xlfn.IFNA(_xlfn.XLOOKUP(1,([1]!hcahps[Facility ID] = clean[[#This Row],[Facility ID]]) * ([1]!hcahps[HCAHPS Measure ID] = "H_HSP_RATING_LINEAR_SCORE"), [1]!hcahps[HCAHPS Linear Mean Value]), "No Match")</f>
        <v>No Match</v>
      </c>
      <c r="F5200" t="str" cm="1">
        <f t="array" ref="F5200">_xlfn.IFNA(_xlfn.XLOOKUP(1,([1]!readmissions[Facility ID] = clean[[#This Row],[Facility ID]]) * ([1]!readmissions[Measure ID] = "Hybrid_HWR"), [1]!readmissions[Score]), "No Match")</f>
        <v>No Match</v>
      </c>
    </row>
    <row r="5201" spans="1:6" x14ac:dyDescent="0.2">
      <c r="A5201">
        <f>[1]!hospitalinfo[[#This Row],[Facility ID]]</f>
        <v>504013</v>
      </c>
      <c r="B5201" t="str">
        <f>[1]!hospitalinfo[[#This Row],[State]]</f>
        <v>WA</v>
      </c>
      <c r="C5201" t="str">
        <f>[1]!hospitalinfo[[#This Row],[Hospital Type]]</f>
        <v>Psychiatric</v>
      </c>
      <c r="D5201" t="str">
        <f>[1]!hospitalinfo[[#This Row],[Hospital Ownership]]</f>
        <v>Proprietary</v>
      </c>
      <c r="E5201" t="str" cm="1">
        <f t="array" ref="E5201">_xlfn.IFNA(_xlfn.XLOOKUP(1,([1]!hcahps[Facility ID] = clean[[#This Row],[Facility ID]]) * ([1]!hcahps[HCAHPS Measure ID] = "H_HSP_RATING_LINEAR_SCORE"), [1]!hcahps[HCAHPS Linear Mean Value]), "No Match")</f>
        <v>No Match</v>
      </c>
      <c r="F5201" t="str" cm="1">
        <f t="array" ref="F5201">_xlfn.IFNA(_xlfn.XLOOKUP(1,([1]!readmissions[Facility ID] = clean[[#This Row],[Facility ID]]) * ([1]!readmissions[Measure ID] = "Hybrid_HWR"), [1]!readmissions[Score]), "No Match")</f>
        <v>No Match</v>
      </c>
    </row>
    <row r="5202" spans="1:6" x14ac:dyDescent="0.2">
      <c r="A5202">
        <f>[1]!hospitalinfo[[#This Row],[Facility ID]]</f>
        <v>504014</v>
      </c>
      <c r="B5202" t="str">
        <f>[1]!hospitalinfo[[#This Row],[State]]</f>
        <v>WA</v>
      </c>
      <c r="C5202" t="str">
        <f>[1]!hospitalinfo[[#This Row],[Hospital Type]]</f>
        <v>Psychiatric</v>
      </c>
      <c r="D5202" t="str">
        <f>[1]!hospitalinfo[[#This Row],[Hospital Ownership]]</f>
        <v>Proprietary</v>
      </c>
      <c r="E5202" t="str" cm="1">
        <f t="array" ref="E5202">_xlfn.IFNA(_xlfn.XLOOKUP(1,([1]!hcahps[Facility ID] = clean[[#This Row],[Facility ID]]) * ([1]!hcahps[HCAHPS Measure ID] = "H_HSP_RATING_LINEAR_SCORE"), [1]!hcahps[HCAHPS Linear Mean Value]), "No Match")</f>
        <v>No Match</v>
      </c>
      <c r="F5202" t="str" cm="1">
        <f t="array" ref="F5202">_xlfn.IFNA(_xlfn.XLOOKUP(1,([1]!readmissions[Facility ID] = clean[[#This Row],[Facility ID]]) * ([1]!readmissions[Measure ID] = "Hybrid_HWR"), [1]!readmissions[Score]), "No Match")</f>
        <v>No Match</v>
      </c>
    </row>
    <row r="5203" spans="1:6" x14ac:dyDescent="0.2">
      <c r="A5203">
        <f>[1]!hospitalinfo[[#This Row],[Facility ID]]</f>
        <v>504015</v>
      </c>
      <c r="B5203" t="str">
        <f>[1]!hospitalinfo[[#This Row],[State]]</f>
        <v>WA</v>
      </c>
      <c r="C5203" t="str">
        <f>[1]!hospitalinfo[[#This Row],[Hospital Type]]</f>
        <v>Psychiatric</v>
      </c>
      <c r="D5203" t="str">
        <f>[1]!hospitalinfo[[#This Row],[Hospital Ownership]]</f>
        <v>Proprietary</v>
      </c>
      <c r="E5203" t="str" cm="1">
        <f t="array" ref="E5203">_xlfn.IFNA(_xlfn.XLOOKUP(1,([1]!hcahps[Facility ID] = clean[[#This Row],[Facility ID]]) * ([1]!hcahps[HCAHPS Measure ID] = "H_HSP_RATING_LINEAR_SCORE"), [1]!hcahps[HCAHPS Linear Mean Value]), "No Match")</f>
        <v>No Match</v>
      </c>
      <c r="F5203" t="str" cm="1">
        <f t="array" ref="F5203">_xlfn.IFNA(_xlfn.XLOOKUP(1,([1]!readmissions[Facility ID] = clean[[#This Row],[Facility ID]]) * ([1]!readmissions[Measure ID] = "Hybrid_HWR"), [1]!readmissions[Score]), "No Match")</f>
        <v>No Match</v>
      </c>
    </row>
    <row r="5204" spans="1:6" x14ac:dyDescent="0.2">
      <c r="A5204">
        <f>[1]!hospitalinfo[[#This Row],[Facility ID]]</f>
        <v>504016</v>
      </c>
      <c r="B5204" t="str">
        <f>[1]!hospitalinfo[[#This Row],[State]]</f>
        <v>WA</v>
      </c>
      <c r="C5204" t="str">
        <f>[1]!hospitalinfo[[#This Row],[Hospital Type]]</f>
        <v>Psychiatric</v>
      </c>
      <c r="D5204" t="str">
        <f>[1]!hospitalinfo[[#This Row],[Hospital Ownership]]</f>
        <v>Voluntary non-profit - Private</v>
      </c>
      <c r="E5204" t="str" cm="1">
        <f t="array" ref="E5204">_xlfn.IFNA(_xlfn.XLOOKUP(1,([1]!hcahps[Facility ID] = clean[[#This Row],[Facility ID]]) * ([1]!hcahps[HCAHPS Measure ID] = "H_HSP_RATING_LINEAR_SCORE"), [1]!hcahps[HCAHPS Linear Mean Value]), "No Match")</f>
        <v>No Match</v>
      </c>
      <c r="F5204" t="str" cm="1">
        <f t="array" ref="F5204">_xlfn.IFNA(_xlfn.XLOOKUP(1,([1]!readmissions[Facility ID] = clean[[#This Row],[Facility ID]]) * ([1]!readmissions[Measure ID] = "Hybrid_HWR"), [1]!readmissions[Score]), "No Match")</f>
        <v>No Match</v>
      </c>
    </row>
    <row r="5205" spans="1:6" x14ac:dyDescent="0.2">
      <c r="A5205" t="str">
        <f>[1]!hospitalinfo[[#This Row],[Facility ID]]</f>
        <v>50005F</v>
      </c>
      <c r="B5205" t="str">
        <f>[1]!hospitalinfo[[#This Row],[State]]</f>
        <v>WA</v>
      </c>
      <c r="C5205" t="str">
        <f>[1]!hospitalinfo[[#This Row],[Hospital Type]]</f>
        <v>Acute Care - Department of Defense</v>
      </c>
      <c r="D5205" t="str">
        <f>[1]!hospitalinfo[[#This Row],[Hospital Ownership]]</f>
        <v>Department of Defense</v>
      </c>
      <c r="E5205" cm="1">
        <f t="array" ref="E5205">_xlfn.IFNA(_xlfn.XLOOKUP(1,([1]!hcahps[Facility ID] = clean[[#This Row],[Facility ID]]) * ([1]!hcahps[HCAHPS Measure ID] = "H_HSP_RATING_LINEAR_SCORE"), [1]!hcahps[HCAHPS Linear Mean Value]), "No Match")</f>
        <v>91</v>
      </c>
      <c r="F5205" t="str" cm="1">
        <f t="array" ref="F5205">_xlfn.IFNA(_xlfn.XLOOKUP(1,([1]!readmissions[Facility ID] = clean[[#This Row],[Facility ID]]) * ([1]!readmissions[Measure ID] = "Hybrid_HWR"), [1]!readmissions[Score]), "No Match")</f>
        <v>Not Available</v>
      </c>
    </row>
    <row r="5206" spans="1:6" x14ac:dyDescent="0.2">
      <c r="A5206" t="str">
        <f>[1]!hospitalinfo[[#This Row],[Facility ID]]</f>
        <v>50011F</v>
      </c>
      <c r="B5206" t="str">
        <f>[1]!hospitalinfo[[#This Row],[State]]</f>
        <v>WA</v>
      </c>
      <c r="C5206" t="str">
        <f>[1]!hospitalinfo[[#This Row],[Hospital Type]]</f>
        <v>Acute Care - Veterans Administration</v>
      </c>
      <c r="D5206" t="str">
        <f>[1]!hospitalinfo[[#This Row],[Hospital Ownership]]</f>
        <v>Veterans Health Administration</v>
      </c>
      <c r="E5206" cm="1">
        <f t="array" ref="E5206">_xlfn.IFNA(_xlfn.XLOOKUP(1,([1]!hcahps[Facility ID] = clean[[#This Row],[Facility ID]]) * ([1]!hcahps[HCAHPS Measure ID] = "H_HSP_RATING_LINEAR_SCORE"), [1]!hcahps[HCAHPS Linear Mean Value]), "No Match")</f>
        <v>93</v>
      </c>
      <c r="F5206" cm="1">
        <f t="array" ref="F5206">_xlfn.IFNA(_xlfn.XLOOKUP(1,([1]!readmissions[Facility ID] = clean[[#This Row],[Facility ID]]) * ([1]!readmissions[Measure ID] = "Hybrid_HWR"), [1]!readmissions[Score]), "No Match")</f>
        <v>15</v>
      </c>
    </row>
    <row r="5207" spans="1:6" x14ac:dyDescent="0.2">
      <c r="A5207" t="str">
        <f>[1]!hospitalinfo[[#This Row],[Facility ID]]</f>
        <v>50030F</v>
      </c>
      <c r="B5207" t="str">
        <f>[1]!hospitalinfo[[#This Row],[State]]</f>
        <v>WA</v>
      </c>
      <c r="C5207" t="str">
        <f>[1]!hospitalinfo[[#This Row],[Hospital Type]]</f>
        <v>Acute Care - Veterans Administration</v>
      </c>
      <c r="D5207" t="str">
        <f>[1]!hospitalinfo[[#This Row],[Hospital Ownership]]</f>
        <v>Veterans Health Administration</v>
      </c>
      <c r="E5207" cm="1">
        <f t="array" ref="E5207">_xlfn.IFNA(_xlfn.XLOOKUP(1,([1]!hcahps[Facility ID] = clean[[#This Row],[Facility ID]]) * ([1]!hcahps[HCAHPS Measure ID] = "H_HSP_RATING_LINEAR_SCORE"), [1]!hcahps[HCAHPS Linear Mean Value]), "No Match")</f>
        <v>89</v>
      </c>
      <c r="F5207" cm="1">
        <f t="array" ref="F5207">_xlfn.IFNA(_xlfn.XLOOKUP(1,([1]!readmissions[Facility ID] = clean[[#This Row],[Facility ID]]) * ([1]!readmissions[Measure ID] = "Hybrid_HWR"), [1]!readmissions[Score]), "No Match")</f>
        <v>13.9</v>
      </c>
    </row>
    <row r="5208" spans="1:6" x14ac:dyDescent="0.2">
      <c r="A5208">
        <f>[1]!hospitalinfo[[#This Row],[Facility ID]]</f>
        <v>520002</v>
      </c>
      <c r="B5208" t="str">
        <f>[1]!hospitalinfo[[#This Row],[State]]</f>
        <v>WI</v>
      </c>
      <c r="C5208" t="str">
        <f>[1]!hospitalinfo[[#This Row],[Hospital Type]]</f>
        <v>Acute Care Hospitals</v>
      </c>
      <c r="D5208" t="str">
        <f>[1]!hospitalinfo[[#This Row],[Hospital Ownership]]</f>
        <v>Voluntary non-profit - Church</v>
      </c>
      <c r="E5208" cm="1">
        <f t="array" ref="E5208">_xlfn.IFNA(_xlfn.XLOOKUP(1,([1]!hcahps[Facility ID] = clean[[#This Row],[Facility ID]]) * ([1]!hcahps[HCAHPS Measure ID] = "H_HSP_RATING_LINEAR_SCORE"), [1]!hcahps[HCAHPS Linear Mean Value]), "No Match")</f>
        <v>89</v>
      </c>
      <c r="F5208" cm="1">
        <f t="array" ref="F5208">_xlfn.IFNA(_xlfn.XLOOKUP(1,([1]!readmissions[Facility ID] = clean[[#This Row],[Facility ID]]) * ([1]!readmissions[Measure ID] = "Hybrid_HWR"), [1]!readmissions[Score]), "No Match")</f>
        <v>15.4</v>
      </c>
    </row>
    <row r="5209" spans="1:6" x14ac:dyDescent="0.2">
      <c r="A5209">
        <f>[1]!hospitalinfo[[#This Row],[Facility ID]]</f>
        <v>520004</v>
      </c>
      <c r="B5209" t="str">
        <f>[1]!hospitalinfo[[#This Row],[State]]</f>
        <v>WI</v>
      </c>
      <c r="C5209" t="str">
        <f>[1]!hospitalinfo[[#This Row],[Hospital Type]]</f>
        <v>Acute Care Hospitals</v>
      </c>
      <c r="D5209" t="str">
        <f>[1]!hospitalinfo[[#This Row],[Hospital Ownership]]</f>
        <v>Voluntary non-profit - Private</v>
      </c>
      <c r="E5209" cm="1">
        <f t="array" ref="E5209">_xlfn.IFNA(_xlfn.XLOOKUP(1,([1]!hcahps[Facility ID] = clean[[#This Row],[Facility ID]]) * ([1]!hcahps[HCAHPS Measure ID] = "H_HSP_RATING_LINEAR_SCORE"), [1]!hcahps[HCAHPS Linear Mean Value]), "No Match")</f>
        <v>93</v>
      </c>
      <c r="F5209" cm="1">
        <f t="array" ref="F5209">_xlfn.IFNA(_xlfn.XLOOKUP(1,([1]!readmissions[Facility ID] = clean[[#This Row],[Facility ID]]) * ([1]!readmissions[Measure ID] = "Hybrid_HWR"), [1]!readmissions[Score]), "No Match")</f>
        <v>14.3</v>
      </c>
    </row>
    <row r="5210" spans="1:6" x14ac:dyDescent="0.2">
      <c r="A5210">
        <f>[1]!hospitalinfo[[#This Row],[Facility ID]]</f>
        <v>520008</v>
      </c>
      <c r="B5210" t="str">
        <f>[1]!hospitalinfo[[#This Row],[State]]</f>
        <v>WI</v>
      </c>
      <c r="C5210" t="str">
        <f>[1]!hospitalinfo[[#This Row],[Hospital Type]]</f>
        <v>Acute Care Hospitals</v>
      </c>
      <c r="D5210" t="str">
        <f>[1]!hospitalinfo[[#This Row],[Hospital Ownership]]</f>
        <v>Voluntary non-profit - Private</v>
      </c>
      <c r="E5210" cm="1">
        <f t="array" ref="E5210">_xlfn.IFNA(_xlfn.XLOOKUP(1,([1]!hcahps[Facility ID] = clean[[#This Row],[Facility ID]]) * ([1]!hcahps[HCAHPS Measure ID] = "H_HSP_RATING_LINEAR_SCORE"), [1]!hcahps[HCAHPS Linear Mean Value]), "No Match")</f>
        <v>89</v>
      </c>
      <c r="F5210" cm="1">
        <f t="array" ref="F5210">_xlfn.IFNA(_xlfn.XLOOKUP(1,([1]!readmissions[Facility ID] = clean[[#This Row],[Facility ID]]) * ([1]!readmissions[Measure ID] = "Hybrid_HWR"), [1]!readmissions[Score]), "No Match")</f>
        <v>15.5</v>
      </c>
    </row>
    <row r="5211" spans="1:6" x14ac:dyDescent="0.2">
      <c r="A5211">
        <f>[1]!hospitalinfo[[#This Row],[Facility ID]]</f>
        <v>520009</v>
      </c>
      <c r="B5211" t="str">
        <f>[1]!hospitalinfo[[#This Row],[State]]</f>
        <v>WI</v>
      </c>
      <c r="C5211" t="str">
        <f>[1]!hospitalinfo[[#This Row],[Hospital Type]]</f>
        <v>Acute Care Hospitals</v>
      </c>
      <c r="D5211" t="str">
        <f>[1]!hospitalinfo[[#This Row],[Hospital Ownership]]</f>
        <v>Voluntary non-profit - Private</v>
      </c>
      <c r="E5211" cm="1">
        <f t="array" ref="E5211">_xlfn.IFNA(_xlfn.XLOOKUP(1,([1]!hcahps[Facility ID] = clean[[#This Row],[Facility ID]]) * ([1]!hcahps[HCAHPS Measure ID] = "H_HSP_RATING_LINEAR_SCORE"), [1]!hcahps[HCAHPS Linear Mean Value]), "No Match")</f>
        <v>89</v>
      </c>
      <c r="F5211" cm="1">
        <f t="array" ref="F5211">_xlfn.IFNA(_xlfn.XLOOKUP(1,([1]!readmissions[Facility ID] = clean[[#This Row],[Facility ID]]) * ([1]!readmissions[Measure ID] = "Hybrid_HWR"), [1]!readmissions[Score]), "No Match")</f>
        <v>14.8</v>
      </c>
    </row>
    <row r="5212" spans="1:6" x14ac:dyDescent="0.2">
      <c r="A5212">
        <f>[1]!hospitalinfo[[#This Row],[Facility ID]]</f>
        <v>520011</v>
      </c>
      <c r="B5212" t="str">
        <f>[1]!hospitalinfo[[#This Row],[State]]</f>
        <v>WI</v>
      </c>
      <c r="C5212" t="str">
        <f>[1]!hospitalinfo[[#This Row],[Hospital Type]]</f>
        <v>Acute Care Hospitals</v>
      </c>
      <c r="D5212" t="str">
        <f>[1]!hospitalinfo[[#This Row],[Hospital Ownership]]</f>
        <v>Voluntary non-profit - Private</v>
      </c>
      <c r="E5212" cm="1">
        <f t="array" ref="E5212">_xlfn.IFNA(_xlfn.XLOOKUP(1,([1]!hcahps[Facility ID] = clean[[#This Row],[Facility ID]]) * ([1]!hcahps[HCAHPS Measure ID] = "H_HSP_RATING_LINEAR_SCORE"), [1]!hcahps[HCAHPS Linear Mean Value]), "No Match")</f>
        <v>88</v>
      </c>
      <c r="F5212" cm="1">
        <f t="array" ref="F5212">_xlfn.IFNA(_xlfn.XLOOKUP(1,([1]!readmissions[Facility ID] = clean[[#This Row],[Facility ID]]) * ([1]!readmissions[Measure ID] = "Hybrid_HWR"), [1]!readmissions[Score]), "No Match")</f>
        <v>14.7</v>
      </c>
    </row>
    <row r="5213" spans="1:6" x14ac:dyDescent="0.2">
      <c r="A5213">
        <f>[1]!hospitalinfo[[#This Row],[Facility ID]]</f>
        <v>520019</v>
      </c>
      <c r="B5213" t="str">
        <f>[1]!hospitalinfo[[#This Row],[State]]</f>
        <v>WI</v>
      </c>
      <c r="C5213" t="str">
        <f>[1]!hospitalinfo[[#This Row],[Hospital Type]]</f>
        <v>Acute Care Hospitals</v>
      </c>
      <c r="D5213" t="str">
        <f>[1]!hospitalinfo[[#This Row],[Hospital Ownership]]</f>
        <v>Voluntary non-profit - Private</v>
      </c>
      <c r="E5213" cm="1">
        <f t="array" ref="E5213">_xlfn.IFNA(_xlfn.XLOOKUP(1,([1]!hcahps[Facility ID] = clean[[#This Row],[Facility ID]]) * ([1]!hcahps[HCAHPS Measure ID] = "H_HSP_RATING_LINEAR_SCORE"), [1]!hcahps[HCAHPS Linear Mean Value]), "No Match")</f>
        <v>86</v>
      </c>
      <c r="F5213" cm="1">
        <f t="array" ref="F5213">_xlfn.IFNA(_xlfn.XLOOKUP(1,([1]!readmissions[Facility ID] = clean[[#This Row],[Facility ID]]) * ([1]!readmissions[Measure ID] = "Hybrid_HWR"), [1]!readmissions[Score]), "No Match")</f>
        <v>14.4</v>
      </c>
    </row>
    <row r="5214" spans="1:6" x14ac:dyDescent="0.2">
      <c r="A5214">
        <f>[1]!hospitalinfo[[#This Row],[Facility ID]]</f>
        <v>520021</v>
      </c>
      <c r="B5214" t="str">
        <f>[1]!hospitalinfo[[#This Row],[State]]</f>
        <v>WI</v>
      </c>
      <c r="C5214" t="str">
        <f>[1]!hospitalinfo[[#This Row],[Hospital Type]]</f>
        <v>Acute Care Hospitals</v>
      </c>
      <c r="D5214" t="str">
        <f>[1]!hospitalinfo[[#This Row],[Hospital Ownership]]</f>
        <v>Government - Local</v>
      </c>
      <c r="E5214" cm="1">
        <f t="array" ref="E5214">_xlfn.IFNA(_xlfn.XLOOKUP(1,([1]!hcahps[Facility ID] = clean[[#This Row],[Facility ID]]) * ([1]!hcahps[HCAHPS Measure ID] = "H_HSP_RATING_LINEAR_SCORE"), [1]!hcahps[HCAHPS Linear Mean Value]), "No Match")</f>
        <v>90</v>
      </c>
      <c r="F5214" cm="1">
        <f t="array" ref="F5214">_xlfn.IFNA(_xlfn.XLOOKUP(1,([1]!readmissions[Facility ID] = clean[[#This Row],[Facility ID]]) * ([1]!readmissions[Measure ID] = "Hybrid_HWR"), [1]!readmissions[Score]), "No Match")</f>
        <v>15.3</v>
      </c>
    </row>
    <row r="5215" spans="1:6" x14ac:dyDescent="0.2">
      <c r="A5215">
        <f>[1]!hospitalinfo[[#This Row],[Facility ID]]</f>
        <v>520028</v>
      </c>
      <c r="B5215" t="str">
        <f>[1]!hospitalinfo[[#This Row],[State]]</f>
        <v>WI</v>
      </c>
      <c r="C5215" t="str">
        <f>[1]!hospitalinfo[[#This Row],[Hospital Type]]</f>
        <v>Acute Care Hospitals</v>
      </c>
      <c r="D5215" t="str">
        <f>[1]!hospitalinfo[[#This Row],[Hospital Ownership]]</f>
        <v>Voluntary non-profit - Private</v>
      </c>
      <c r="E5215" cm="1">
        <f t="array" ref="E5215">_xlfn.IFNA(_xlfn.XLOOKUP(1,([1]!hcahps[Facility ID] = clean[[#This Row],[Facility ID]]) * ([1]!hcahps[HCAHPS Measure ID] = "H_HSP_RATING_LINEAR_SCORE"), [1]!hcahps[HCAHPS Linear Mean Value]), "No Match")</f>
        <v>91</v>
      </c>
      <c r="F5215" cm="1">
        <f t="array" ref="F5215">_xlfn.IFNA(_xlfn.XLOOKUP(1,([1]!readmissions[Facility ID] = clean[[#This Row],[Facility ID]]) * ([1]!readmissions[Measure ID] = "Hybrid_HWR"), [1]!readmissions[Score]), "No Match")</f>
        <v>15.6</v>
      </c>
    </row>
    <row r="5216" spans="1:6" x14ac:dyDescent="0.2">
      <c r="A5216">
        <f>[1]!hospitalinfo[[#This Row],[Facility ID]]</f>
        <v>520030</v>
      </c>
      <c r="B5216" t="str">
        <f>[1]!hospitalinfo[[#This Row],[State]]</f>
        <v>WI</v>
      </c>
      <c r="C5216" t="str">
        <f>[1]!hospitalinfo[[#This Row],[Hospital Type]]</f>
        <v>Acute Care Hospitals</v>
      </c>
      <c r="D5216" t="str">
        <f>[1]!hospitalinfo[[#This Row],[Hospital Ownership]]</f>
        <v>Proprietary</v>
      </c>
      <c r="E5216" cm="1">
        <f t="array" ref="E5216">_xlfn.IFNA(_xlfn.XLOOKUP(1,([1]!hcahps[Facility ID] = clean[[#This Row],[Facility ID]]) * ([1]!hcahps[HCAHPS Measure ID] = "H_HSP_RATING_LINEAR_SCORE"), [1]!hcahps[HCAHPS Linear Mean Value]), "No Match")</f>
        <v>88</v>
      </c>
      <c r="F5216" cm="1">
        <f t="array" ref="F5216">_xlfn.IFNA(_xlfn.XLOOKUP(1,([1]!readmissions[Facility ID] = clean[[#This Row],[Facility ID]]) * ([1]!readmissions[Measure ID] = "Hybrid_HWR"), [1]!readmissions[Score]), "No Match")</f>
        <v>14.1</v>
      </c>
    </row>
    <row r="5217" spans="1:6" x14ac:dyDescent="0.2">
      <c r="A5217">
        <f>[1]!hospitalinfo[[#This Row],[Facility ID]]</f>
        <v>520033</v>
      </c>
      <c r="B5217" t="str">
        <f>[1]!hospitalinfo[[#This Row],[State]]</f>
        <v>WI</v>
      </c>
      <c r="C5217" t="str">
        <f>[1]!hospitalinfo[[#This Row],[Hospital Type]]</f>
        <v>Acute Care Hospitals</v>
      </c>
      <c r="D5217" t="str">
        <f>[1]!hospitalinfo[[#This Row],[Hospital Ownership]]</f>
        <v>Voluntary non-profit - Private</v>
      </c>
      <c r="E5217" cm="1">
        <f t="array" ref="E5217">_xlfn.IFNA(_xlfn.XLOOKUP(1,([1]!hcahps[Facility ID] = clean[[#This Row],[Facility ID]]) * ([1]!hcahps[HCAHPS Measure ID] = "H_HSP_RATING_LINEAR_SCORE"), [1]!hcahps[HCAHPS Linear Mean Value]), "No Match")</f>
        <v>89</v>
      </c>
      <c r="F5217" cm="1">
        <f t="array" ref="F5217">_xlfn.IFNA(_xlfn.XLOOKUP(1,([1]!readmissions[Facility ID] = clean[[#This Row],[Facility ID]]) * ([1]!readmissions[Measure ID] = "Hybrid_HWR"), [1]!readmissions[Score]), "No Match")</f>
        <v>15.1</v>
      </c>
    </row>
    <row r="5218" spans="1:6" x14ac:dyDescent="0.2">
      <c r="A5218">
        <f>[1]!hospitalinfo[[#This Row],[Facility ID]]</f>
        <v>520034</v>
      </c>
      <c r="B5218" t="str">
        <f>[1]!hospitalinfo[[#This Row],[State]]</f>
        <v>WI</v>
      </c>
      <c r="C5218" t="str">
        <f>[1]!hospitalinfo[[#This Row],[Hospital Type]]</f>
        <v>Acute Care Hospitals</v>
      </c>
      <c r="D5218" t="str">
        <f>[1]!hospitalinfo[[#This Row],[Hospital Ownership]]</f>
        <v>Voluntary non-profit - Private</v>
      </c>
      <c r="E5218" cm="1">
        <f t="array" ref="E5218">_xlfn.IFNA(_xlfn.XLOOKUP(1,([1]!hcahps[Facility ID] = clean[[#This Row],[Facility ID]]) * ([1]!hcahps[HCAHPS Measure ID] = "H_HSP_RATING_LINEAR_SCORE"), [1]!hcahps[HCAHPS Linear Mean Value]), "No Match")</f>
        <v>92</v>
      </c>
      <c r="F5218" cm="1">
        <f t="array" ref="F5218">_xlfn.IFNA(_xlfn.XLOOKUP(1,([1]!readmissions[Facility ID] = clean[[#This Row],[Facility ID]]) * ([1]!readmissions[Measure ID] = "Hybrid_HWR"), [1]!readmissions[Score]), "No Match")</f>
        <v>14.8</v>
      </c>
    </row>
    <row r="5219" spans="1:6" x14ac:dyDescent="0.2">
      <c r="A5219">
        <f>[1]!hospitalinfo[[#This Row],[Facility ID]]</f>
        <v>520035</v>
      </c>
      <c r="B5219" t="str">
        <f>[1]!hospitalinfo[[#This Row],[State]]</f>
        <v>WI</v>
      </c>
      <c r="C5219" t="str">
        <f>[1]!hospitalinfo[[#This Row],[Hospital Type]]</f>
        <v>Acute Care Hospitals</v>
      </c>
      <c r="D5219" t="str">
        <f>[1]!hospitalinfo[[#This Row],[Hospital Ownership]]</f>
        <v>Voluntary non-profit - Private</v>
      </c>
      <c r="E5219" cm="1">
        <f t="array" ref="E5219">_xlfn.IFNA(_xlfn.XLOOKUP(1,([1]!hcahps[Facility ID] = clean[[#This Row],[Facility ID]]) * ([1]!hcahps[HCAHPS Measure ID] = "H_HSP_RATING_LINEAR_SCORE"), [1]!hcahps[HCAHPS Linear Mean Value]), "No Match")</f>
        <v>89</v>
      </c>
      <c r="F5219" cm="1">
        <f t="array" ref="F5219">_xlfn.IFNA(_xlfn.XLOOKUP(1,([1]!readmissions[Facility ID] = clean[[#This Row],[Facility ID]]) * ([1]!readmissions[Measure ID] = "Hybrid_HWR"), [1]!readmissions[Score]), "No Match")</f>
        <v>14.4</v>
      </c>
    </row>
    <row r="5220" spans="1:6" x14ac:dyDescent="0.2">
      <c r="A5220">
        <f>[1]!hospitalinfo[[#This Row],[Facility ID]]</f>
        <v>520037</v>
      </c>
      <c r="B5220" t="str">
        <f>[1]!hospitalinfo[[#This Row],[State]]</f>
        <v>WI</v>
      </c>
      <c r="C5220" t="str">
        <f>[1]!hospitalinfo[[#This Row],[Hospital Type]]</f>
        <v>Acute Care Hospitals</v>
      </c>
      <c r="D5220" t="str">
        <f>[1]!hospitalinfo[[#This Row],[Hospital Ownership]]</f>
        <v>Voluntary non-profit - Church</v>
      </c>
      <c r="E5220" cm="1">
        <f t="array" ref="E5220">_xlfn.IFNA(_xlfn.XLOOKUP(1,([1]!hcahps[Facility ID] = clean[[#This Row],[Facility ID]]) * ([1]!hcahps[HCAHPS Measure ID] = "H_HSP_RATING_LINEAR_SCORE"), [1]!hcahps[HCAHPS Linear Mean Value]), "No Match")</f>
        <v>85</v>
      </c>
      <c r="F5220" cm="1">
        <f t="array" ref="F5220">_xlfn.IFNA(_xlfn.XLOOKUP(1,([1]!readmissions[Facility ID] = clean[[#This Row],[Facility ID]]) * ([1]!readmissions[Measure ID] = "Hybrid_HWR"), [1]!readmissions[Score]), "No Match")</f>
        <v>16.899999999999999</v>
      </c>
    </row>
    <row r="5221" spans="1:6" x14ac:dyDescent="0.2">
      <c r="A5221">
        <f>[1]!hospitalinfo[[#This Row],[Facility ID]]</f>
        <v>520038</v>
      </c>
      <c r="B5221" t="str">
        <f>[1]!hospitalinfo[[#This Row],[State]]</f>
        <v>WI</v>
      </c>
      <c r="C5221" t="str">
        <f>[1]!hospitalinfo[[#This Row],[Hospital Type]]</f>
        <v>Acute Care Hospitals</v>
      </c>
      <c r="D5221" t="str">
        <f>[1]!hospitalinfo[[#This Row],[Hospital Ownership]]</f>
        <v>Voluntary non-profit - Private</v>
      </c>
      <c r="E5221" cm="1">
        <f t="array" ref="E5221">_xlfn.IFNA(_xlfn.XLOOKUP(1,([1]!hcahps[Facility ID] = clean[[#This Row],[Facility ID]]) * ([1]!hcahps[HCAHPS Measure ID] = "H_HSP_RATING_LINEAR_SCORE"), [1]!hcahps[HCAHPS Linear Mean Value]), "No Match")</f>
        <v>92</v>
      </c>
      <c r="F5221" cm="1">
        <f t="array" ref="F5221">_xlfn.IFNA(_xlfn.XLOOKUP(1,([1]!readmissions[Facility ID] = clean[[#This Row],[Facility ID]]) * ([1]!readmissions[Measure ID] = "Hybrid_HWR"), [1]!readmissions[Score]), "No Match")</f>
        <v>15.7</v>
      </c>
    </row>
    <row r="5222" spans="1:6" x14ac:dyDescent="0.2">
      <c r="A5222">
        <f>[1]!hospitalinfo[[#This Row],[Facility ID]]</f>
        <v>520041</v>
      </c>
      <c r="B5222" t="str">
        <f>[1]!hospitalinfo[[#This Row],[State]]</f>
        <v>WI</v>
      </c>
      <c r="C5222" t="str">
        <f>[1]!hospitalinfo[[#This Row],[Hospital Type]]</f>
        <v>Acute Care Hospitals</v>
      </c>
      <c r="D5222" t="str">
        <f>[1]!hospitalinfo[[#This Row],[Hospital Ownership]]</f>
        <v>Voluntary non-profit - Private</v>
      </c>
      <c r="E5222" cm="1">
        <f t="array" ref="E5222">_xlfn.IFNA(_xlfn.XLOOKUP(1,([1]!hcahps[Facility ID] = clean[[#This Row],[Facility ID]]) * ([1]!hcahps[HCAHPS Measure ID] = "H_HSP_RATING_LINEAR_SCORE"), [1]!hcahps[HCAHPS Linear Mean Value]), "No Match")</f>
        <v>88</v>
      </c>
      <c r="F5222" cm="1">
        <f t="array" ref="F5222">_xlfn.IFNA(_xlfn.XLOOKUP(1,([1]!readmissions[Facility ID] = clean[[#This Row],[Facility ID]]) * ([1]!readmissions[Measure ID] = "Hybrid_HWR"), [1]!readmissions[Score]), "No Match")</f>
        <v>14.6</v>
      </c>
    </row>
    <row r="5223" spans="1:6" x14ac:dyDescent="0.2">
      <c r="A5223">
        <f>[1]!hospitalinfo[[#This Row],[Facility ID]]</f>
        <v>520044</v>
      </c>
      <c r="B5223" t="str">
        <f>[1]!hospitalinfo[[#This Row],[State]]</f>
        <v>WI</v>
      </c>
      <c r="C5223" t="str">
        <f>[1]!hospitalinfo[[#This Row],[Hospital Type]]</f>
        <v>Acute Care Hospitals</v>
      </c>
      <c r="D5223" t="str">
        <f>[1]!hospitalinfo[[#This Row],[Hospital Ownership]]</f>
        <v>Voluntary non-profit - Private</v>
      </c>
      <c r="E5223" cm="1">
        <f t="array" ref="E5223">_xlfn.IFNA(_xlfn.XLOOKUP(1,([1]!hcahps[Facility ID] = clean[[#This Row],[Facility ID]]) * ([1]!hcahps[HCAHPS Measure ID] = "H_HSP_RATING_LINEAR_SCORE"), [1]!hcahps[HCAHPS Linear Mean Value]), "No Match")</f>
        <v>90</v>
      </c>
      <c r="F5223" cm="1">
        <f t="array" ref="F5223">_xlfn.IFNA(_xlfn.XLOOKUP(1,([1]!readmissions[Facility ID] = clean[[#This Row],[Facility ID]]) * ([1]!readmissions[Measure ID] = "Hybrid_HWR"), [1]!readmissions[Score]), "No Match")</f>
        <v>14.8</v>
      </c>
    </row>
    <row r="5224" spans="1:6" x14ac:dyDescent="0.2">
      <c r="A5224">
        <f>[1]!hospitalinfo[[#This Row],[Facility ID]]</f>
        <v>520045</v>
      </c>
      <c r="B5224" t="str">
        <f>[1]!hospitalinfo[[#This Row],[State]]</f>
        <v>WI</v>
      </c>
      <c r="C5224" t="str">
        <f>[1]!hospitalinfo[[#This Row],[Hospital Type]]</f>
        <v>Acute Care Hospitals</v>
      </c>
      <c r="D5224" t="str">
        <f>[1]!hospitalinfo[[#This Row],[Hospital Ownership]]</f>
        <v>Voluntary non-profit - Private</v>
      </c>
      <c r="E5224" cm="1">
        <f t="array" ref="E5224">_xlfn.IFNA(_xlfn.XLOOKUP(1,([1]!hcahps[Facility ID] = clean[[#This Row],[Facility ID]]) * ([1]!hcahps[HCAHPS Measure ID] = "H_HSP_RATING_LINEAR_SCORE"), [1]!hcahps[HCAHPS Linear Mean Value]), "No Match")</f>
        <v>88</v>
      </c>
      <c r="F5224" cm="1">
        <f t="array" ref="F5224">_xlfn.IFNA(_xlfn.XLOOKUP(1,([1]!readmissions[Facility ID] = clean[[#This Row],[Facility ID]]) * ([1]!readmissions[Measure ID] = "Hybrid_HWR"), [1]!readmissions[Score]), "No Match")</f>
        <v>14.8</v>
      </c>
    </row>
    <row r="5225" spans="1:6" x14ac:dyDescent="0.2">
      <c r="A5225">
        <f>[1]!hospitalinfo[[#This Row],[Facility ID]]</f>
        <v>520049</v>
      </c>
      <c r="B5225" t="str">
        <f>[1]!hospitalinfo[[#This Row],[State]]</f>
        <v>WI</v>
      </c>
      <c r="C5225" t="str">
        <f>[1]!hospitalinfo[[#This Row],[Hospital Type]]</f>
        <v>Acute Care Hospitals</v>
      </c>
      <c r="D5225" t="str">
        <f>[1]!hospitalinfo[[#This Row],[Hospital Ownership]]</f>
        <v>Voluntary non-profit - Private</v>
      </c>
      <c r="E5225" cm="1">
        <f t="array" ref="E5225">_xlfn.IFNA(_xlfn.XLOOKUP(1,([1]!hcahps[Facility ID] = clean[[#This Row],[Facility ID]]) * ([1]!hcahps[HCAHPS Measure ID] = "H_HSP_RATING_LINEAR_SCORE"), [1]!hcahps[HCAHPS Linear Mean Value]), "No Match")</f>
        <v>91</v>
      </c>
      <c r="F5225" cm="1">
        <f t="array" ref="F5225">_xlfn.IFNA(_xlfn.XLOOKUP(1,([1]!readmissions[Facility ID] = clean[[#This Row],[Facility ID]]) * ([1]!readmissions[Measure ID] = "Hybrid_HWR"), [1]!readmissions[Score]), "No Match")</f>
        <v>14.2</v>
      </c>
    </row>
    <row r="5226" spans="1:6" x14ac:dyDescent="0.2">
      <c r="A5226">
        <f>[1]!hospitalinfo[[#This Row],[Facility ID]]</f>
        <v>520051</v>
      </c>
      <c r="B5226" t="str">
        <f>[1]!hospitalinfo[[#This Row],[State]]</f>
        <v>WI</v>
      </c>
      <c r="C5226" t="str">
        <f>[1]!hospitalinfo[[#This Row],[Hospital Type]]</f>
        <v>Acute Care Hospitals</v>
      </c>
      <c r="D5226" t="str">
        <f>[1]!hospitalinfo[[#This Row],[Hospital Ownership]]</f>
        <v>Voluntary non-profit - Church</v>
      </c>
      <c r="E5226" cm="1">
        <f t="array" ref="E5226">_xlfn.IFNA(_xlfn.XLOOKUP(1,([1]!hcahps[Facility ID] = clean[[#This Row],[Facility ID]]) * ([1]!hcahps[HCAHPS Measure ID] = "H_HSP_RATING_LINEAR_SCORE"), [1]!hcahps[HCAHPS Linear Mean Value]), "No Match")</f>
        <v>85</v>
      </c>
      <c r="F5226" cm="1">
        <f t="array" ref="F5226">_xlfn.IFNA(_xlfn.XLOOKUP(1,([1]!readmissions[Facility ID] = clean[[#This Row],[Facility ID]]) * ([1]!readmissions[Measure ID] = "Hybrid_HWR"), [1]!readmissions[Score]), "No Match")</f>
        <v>13.7</v>
      </c>
    </row>
    <row r="5227" spans="1:6" x14ac:dyDescent="0.2">
      <c r="A5227">
        <f>[1]!hospitalinfo[[#This Row],[Facility ID]]</f>
        <v>520057</v>
      </c>
      <c r="B5227" t="str">
        <f>[1]!hospitalinfo[[#This Row],[State]]</f>
        <v>WI</v>
      </c>
      <c r="C5227" t="str">
        <f>[1]!hospitalinfo[[#This Row],[Hospital Type]]</f>
        <v>Acute Care Hospitals</v>
      </c>
      <c r="D5227" t="str">
        <f>[1]!hospitalinfo[[#This Row],[Hospital Ownership]]</f>
        <v>Voluntary non-profit - Private</v>
      </c>
      <c r="E5227" cm="1">
        <f t="array" ref="E5227">_xlfn.IFNA(_xlfn.XLOOKUP(1,([1]!hcahps[Facility ID] = clean[[#This Row],[Facility ID]]) * ([1]!hcahps[HCAHPS Measure ID] = "H_HSP_RATING_LINEAR_SCORE"), [1]!hcahps[HCAHPS Linear Mean Value]), "No Match")</f>
        <v>90</v>
      </c>
      <c r="F5227" cm="1">
        <f t="array" ref="F5227">_xlfn.IFNA(_xlfn.XLOOKUP(1,([1]!readmissions[Facility ID] = clean[[#This Row],[Facility ID]]) * ([1]!readmissions[Measure ID] = "Hybrid_HWR"), [1]!readmissions[Score]), "No Match")</f>
        <v>14</v>
      </c>
    </row>
    <row r="5228" spans="1:6" x14ac:dyDescent="0.2">
      <c r="A5228">
        <f>[1]!hospitalinfo[[#This Row],[Facility ID]]</f>
        <v>520059</v>
      </c>
      <c r="B5228" t="str">
        <f>[1]!hospitalinfo[[#This Row],[State]]</f>
        <v>WI</v>
      </c>
      <c r="C5228" t="str">
        <f>[1]!hospitalinfo[[#This Row],[Hospital Type]]</f>
        <v>Acute Care Hospitals</v>
      </c>
      <c r="D5228" t="str">
        <f>[1]!hospitalinfo[[#This Row],[Hospital Ownership]]</f>
        <v>Voluntary non-profit - Private</v>
      </c>
      <c r="E5228" cm="1">
        <f t="array" ref="E5228">_xlfn.IFNA(_xlfn.XLOOKUP(1,([1]!hcahps[Facility ID] = clean[[#This Row],[Facility ID]]) * ([1]!hcahps[HCAHPS Measure ID] = "H_HSP_RATING_LINEAR_SCORE"), [1]!hcahps[HCAHPS Linear Mean Value]), "No Match")</f>
        <v>88</v>
      </c>
      <c r="F5228" cm="1">
        <f t="array" ref="F5228">_xlfn.IFNA(_xlfn.XLOOKUP(1,([1]!readmissions[Facility ID] = clean[[#This Row],[Facility ID]]) * ([1]!readmissions[Measure ID] = "Hybrid_HWR"), [1]!readmissions[Score]), "No Match")</f>
        <v>15.2</v>
      </c>
    </row>
    <row r="5229" spans="1:6" x14ac:dyDescent="0.2">
      <c r="A5229">
        <f>[1]!hospitalinfo[[#This Row],[Facility ID]]</f>
        <v>520062</v>
      </c>
      <c r="B5229" t="str">
        <f>[1]!hospitalinfo[[#This Row],[State]]</f>
        <v>WI</v>
      </c>
      <c r="C5229" t="str">
        <f>[1]!hospitalinfo[[#This Row],[Hospital Type]]</f>
        <v>Acute Care Hospitals</v>
      </c>
      <c r="D5229" t="str">
        <f>[1]!hospitalinfo[[#This Row],[Hospital Ownership]]</f>
        <v>Voluntary non-profit - Private</v>
      </c>
      <c r="E5229" cm="1">
        <f t="array" ref="E5229">_xlfn.IFNA(_xlfn.XLOOKUP(1,([1]!hcahps[Facility ID] = clean[[#This Row],[Facility ID]]) * ([1]!hcahps[HCAHPS Measure ID] = "H_HSP_RATING_LINEAR_SCORE"), [1]!hcahps[HCAHPS Linear Mean Value]), "No Match")</f>
        <v>90</v>
      </c>
      <c r="F5229" cm="1">
        <f t="array" ref="F5229">_xlfn.IFNA(_xlfn.XLOOKUP(1,([1]!readmissions[Facility ID] = clean[[#This Row],[Facility ID]]) * ([1]!readmissions[Measure ID] = "Hybrid_HWR"), [1]!readmissions[Score]), "No Match")</f>
        <v>15</v>
      </c>
    </row>
    <row r="5230" spans="1:6" x14ac:dyDescent="0.2">
      <c r="A5230">
        <f>[1]!hospitalinfo[[#This Row],[Facility ID]]</f>
        <v>520063</v>
      </c>
      <c r="B5230" t="str">
        <f>[1]!hospitalinfo[[#This Row],[State]]</f>
        <v>WI</v>
      </c>
      <c r="C5230" t="str">
        <f>[1]!hospitalinfo[[#This Row],[Hospital Type]]</f>
        <v>Acute Care Hospitals</v>
      </c>
      <c r="D5230" t="str">
        <f>[1]!hospitalinfo[[#This Row],[Hospital Ownership]]</f>
        <v>Voluntary non-profit - Private</v>
      </c>
      <c r="E5230" cm="1">
        <f t="array" ref="E5230">_xlfn.IFNA(_xlfn.XLOOKUP(1,([1]!hcahps[Facility ID] = clean[[#This Row],[Facility ID]]) * ([1]!hcahps[HCAHPS Measure ID] = "H_HSP_RATING_LINEAR_SCORE"), [1]!hcahps[HCAHPS Linear Mean Value]), "No Match")</f>
        <v>88</v>
      </c>
      <c r="F5230" cm="1">
        <f t="array" ref="F5230">_xlfn.IFNA(_xlfn.XLOOKUP(1,([1]!readmissions[Facility ID] = clean[[#This Row],[Facility ID]]) * ([1]!readmissions[Measure ID] = "Hybrid_HWR"), [1]!readmissions[Score]), "No Match")</f>
        <v>14.1</v>
      </c>
    </row>
    <row r="5231" spans="1:6" x14ac:dyDescent="0.2">
      <c r="A5231">
        <f>[1]!hospitalinfo[[#This Row],[Facility ID]]</f>
        <v>520066</v>
      </c>
      <c r="B5231" t="str">
        <f>[1]!hospitalinfo[[#This Row],[State]]</f>
        <v>WI</v>
      </c>
      <c r="C5231" t="str">
        <f>[1]!hospitalinfo[[#This Row],[Hospital Type]]</f>
        <v>Acute Care Hospitals</v>
      </c>
      <c r="D5231" t="str">
        <f>[1]!hospitalinfo[[#This Row],[Hospital Ownership]]</f>
        <v>Voluntary non-profit - Private</v>
      </c>
      <c r="E5231" cm="1">
        <f t="array" ref="E5231">_xlfn.IFNA(_xlfn.XLOOKUP(1,([1]!hcahps[Facility ID] = clean[[#This Row],[Facility ID]]) * ([1]!hcahps[HCAHPS Measure ID] = "H_HSP_RATING_LINEAR_SCORE"), [1]!hcahps[HCAHPS Linear Mean Value]), "No Match")</f>
        <v>87</v>
      </c>
      <c r="F5231" cm="1">
        <f t="array" ref="F5231">_xlfn.IFNA(_xlfn.XLOOKUP(1,([1]!readmissions[Facility ID] = clean[[#This Row],[Facility ID]]) * ([1]!readmissions[Measure ID] = "Hybrid_HWR"), [1]!readmissions[Score]), "No Match")</f>
        <v>15.1</v>
      </c>
    </row>
    <row r="5232" spans="1:6" x14ac:dyDescent="0.2">
      <c r="A5232">
        <f>[1]!hospitalinfo[[#This Row],[Facility ID]]</f>
        <v>520070</v>
      </c>
      <c r="B5232" t="str">
        <f>[1]!hospitalinfo[[#This Row],[State]]</f>
        <v>WI</v>
      </c>
      <c r="C5232" t="str">
        <f>[1]!hospitalinfo[[#This Row],[Hospital Type]]</f>
        <v>Acute Care Hospitals</v>
      </c>
      <c r="D5232" t="str">
        <f>[1]!hospitalinfo[[#This Row],[Hospital Ownership]]</f>
        <v>Voluntary non-profit - Private</v>
      </c>
      <c r="E5232" cm="1">
        <f t="array" ref="E5232">_xlfn.IFNA(_xlfn.XLOOKUP(1,([1]!hcahps[Facility ID] = clean[[#This Row],[Facility ID]]) * ([1]!hcahps[HCAHPS Measure ID] = "H_HSP_RATING_LINEAR_SCORE"), [1]!hcahps[HCAHPS Linear Mean Value]), "No Match")</f>
        <v>91</v>
      </c>
      <c r="F5232" cm="1">
        <f t="array" ref="F5232">_xlfn.IFNA(_xlfn.XLOOKUP(1,([1]!readmissions[Facility ID] = clean[[#This Row],[Facility ID]]) * ([1]!readmissions[Measure ID] = "Hybrid_HWR"), [1]!readmissions[Score]), "No Match")</f>
        <v>13.6</v>
      </c>
    </row>
    <row r="5233" spans="1:6" x14ac:dyDescent="0.2">
      <c r="A5233">
        <f>[1]!hospitalinfo[[#This Row],[Facility ID]]</f>
        <v>520071</v>
      </c>
      <c r="B5233" t="str">
        <f>[1]!hospitalinfo[[#This Row],[State]]</f>
        <v>WI</v>
      </c>
      <c r="C5233" t="str">
        <f>[1]!hospitalinfo[[#This Row],[Hospital Type]]</f>
        <v>Acute Care Hospitals</v>
      </c>
      <c r="D5233" t="str">
        <f>[1]!hospitalinfo[[#This Row],[Hospital Ownership]]</f>
        <v>Voluntary non-profit - Private</v>
      </c>
      <c r="E5233" cm="1">
        <f t="array" ref="E5233">_xlfn.IFNA(_xlfn.XLOOKUP(1,([1]!hcahps[Facility ID] = clean[[#This Row],[Facility ID]]) * ([1]!hcahps[HCAHPS Measure ID] = "H_HSP_RATING_LINEAR_SCORE"), [1]!hcahps[HCAHPS Linear Mean Value]), "No Match")</f>
        <v>89</v>
      </c>
      <c r="F5233" cm="1">
        <f t="array" ref="F5233">_xlfn.IFNA(_xlfn.XLOOKUP(1,([1]!readmissions[Facility ID] = clean[[#This Row],[Facility ID]]) * ([1]!readmissions[Measure ID] = "Hybrid_HWR"), [1]!readmissions[Score]), "No Match")</f>
        <v>14.7</v>
      </c>
    </row>
    <row r="5234" spans="1:6" x14ac:dyDescent="0.2">
      <c r="A5234">
        <f>[1]!hospitalinfo[[#This Row],[Facility ID]]</f>
        <v>520075</v>
      </c>
      <c r="B5234" t="str">
        <f>[1]!hospitalinfo[[#This Row],[State]]</f>
        <v>WI</v>
      </c>
      <c r="C5234" t="str">
        <f>[1]!hospitalinfo[[#This Row],[Hospital Type]]</f>
        <v>Acute Care Hospitals</v>
      </c>
      <c r="D5234" t="str">
        <f>[1]!hospitalinfo[[#This Row],[Hospital Ownership]]</f>
        <v>Voluntary non-profit - Church</v>
      </c>
      <c r="E5234" cm="1">
        <f t="array" ref="E5234">_xlfn.IFNA(_xlfn.XLOOKUP(1,([1]!hcahps[Facility ID] = clean[[#This Row],[Facility ID]]) * ([1]!hcahps[HCAHPS Measure ID] = "H_HSP_RATING_LINEAR_SCORE"), [1]!hcahps[HCAHPS Linear Mean Value]), "No Match")</f>
        <v>86</v>
      </c>
      <c r="F5234" cm="1">
        <f t="array" ref="F5234">_xlfn.IFNA(_xlfn.XLOOKUP(1,([1]!readmissions[Facility ID] = clean[[#This Row],[Facility ID]]) * ([1]!readmissions[Measure ID] = "Hybrid_HWR"), [1]!readmissions[Score]), "No Match")</f>
        <v>14</v>
      </c>
    </row>
    <row r="5235" spans="1:6" x14ac:dyDescent="0.2">
      <c r="A5235">
        <f>[1]!hospitalinfo[[#This Row],[Facility ID]]</f>
        <v>520076</v>
      </c>
      <c r="B5235" t="str">
        <f>[1]!hospitalinfo[[#This Row],[State]]</f>
        <v>WI</v>
      </c>
      <c r="C5235" t="str">
        <f>[1]!hospitalinfo[[#This Row],[Hospital Type]]</f>
        <v>Acute Care Hospitals</v>
      </c>
      <c r="D5235" t="str">
        <f>[1]!hospitalinfo[[#This Row],[Hospital Ownership]]</f>
        <v>Voluntary non-profit - Private</v>
      </c>
      <c r="E5235" cm="1">
        <f t="array" ref="E5235">_xlfn.IFNA(_xlfn.XLOOKUP(1,([1]!hcahps[Facility ID] = clean[[#This Row],[Facility ID]]) * ([1]!hcahps[HCAHPS Measure ID] = "H_HSP_RATING_LINEAR_SCORE"), [1]!hcahps[HCAHPS Linear Mean Value]), "No Match")</f>
        <v>84</v>
      </c>
      <c r="F5235" cm="1">
        <f t="array" ref="F5235">_xlfn.IFNA(_xlfn.XLOOKUP(1,([1]!readmissions[Facility ID] = clean[[#This Row],[Facility ID]]) * ([1]!readmissions[Measure ID] = "Hybrid_HWR"), [1]!readmissions[Score]), "No Match")</f>
        <v>14.9</v>
      </c>
    </row>
    <row r="5236" spans="1:6" x14ac:dyDescent="0.2">
      <c r="A5236">
        <f>[1]!hospitalinfo[[#This Row],[Facility ID]]</f>
        <v>520078</v>
      </c>
      <c r="B5236" t="str">
        <f>[1]!hospitalinfo[[#This Row],[State]]</f>
        <v>WI</v>
      </c>
      <c r="C5236" t="str">
        <f>[1]!hospitalinfo[[#This Row],[Hospital Type]]</f>
        <v>Acute Care Hospitals</v>
      </c>
      <c r="D5236" t="str">
        <f>[1]!hospitalinfo[[#This Row],[Hospital Ownership]]</f>
        <v>Voluntary non-profit - Private</v>
      </c>
      <c r="E5236" cm="1">
        <f t="array" ref="E5236">_xlfn.IFNA(_xlfn.XLOOKUP(1,([1]!hcahps[Facility ID] = clean[[#This Row],[Facility ID]]) * ([1]!hcahps[HCAHPS Measure ID] = "H_HSP_RATING_LINEAR_SCORE"), [1]!hcahps[HCAHPS Linear Mean Value]), "No Match")</f>
        <v>84</v>
      </c>
      <c r="F5236" cm="1">
        <f t="array" ref="F5236">_xlfn.IFNA(_xlfn.XLOOKUP(1,([1]!readmissions[Facility ID] = clean[[#This Row],[Facility ID]]) * ([1]!readmissions[Measure ID] = "Hybrid_HWR"), [1]!readmissions[Score]), "No Match")</f>
        <v>14.3</v>
      </c>
    </row>
    <row r="5237" spans="1:6" x14ac:dyDescent="0.2">
      <c r="A5237">
        <f>[1]!hospitalinfo[[#This Row],[Facility ID]]</f>
        <v>520083</v>
      </c>
      <c r="B5237" t="str">
        <f>[1]!hospitalinfo[[#This Row],[State]]</f>
        <v>WI</v>
      </c>
      <c r="C5237" t="str">
        <f>[1]!hospitalinfo[[#This Row],[Hospital Type]]</f>
        <v>Acute Care Hospitals</v>
      </c>
      <c r="D5237" t="str">
        <f>[1]!hospitalinfo[[#This Row],[Hospital Ownership]]</f>
        <v>Voluntary non-profit - Private</v>
      </c>
      <c r="E5237" cm="1">
        <f t="array" ref="E5237">_xlfn.IFNA(_xlfn.XLOOKUP(1,([1]!hcahps[Facility ID] = clean[[#This Row],[Facility ID]]) * ([1]!hcahps[HCAHPS Measure ID] = "H_HSP_RATING_LINEAR_SCORE"), [1]!hcahps[HCAHPS Linear Mean Value]), "No Match")</f>
        <v>89</v>
      </c>
      <c r="F5237" cm="1">
        <f t="array" ref="F5237">_xlfn.IFNA(_xlfn.XLOOKUP(1,([1]!readmissions[Facility ID] = clean[[#This Row],[Facility ID]]) * ([1]!readmissions[Measure ID] = "Hybrid_HWR"), [1]!readmissions[Score]), "No Match")</f>
        <v>14.4</v>
      </c>
    </row>
    <row r="5238" spans="1:6" x14ac:dyDescent="0.2">
      <c r="A5238">
        <f>[1]!hospitalinfo[[#This Row],[Facility ID]]</f>
        <v>520087</v>
      </c>
      <c r="B5238" t="str">
        <f>[1]!hospitalinfo[[#This Row],[State]]</f>
        <v>WI</v>
      </c>
      <c r="C5238" t="str">
        <f>[1]!hospitalinfo[[#This Row],[Hospital Type]]</f>
        <v>Acute Care Hospitals</v>
      </c>
      <c r="D5238" t="str">
        <f>[1]!hospitalinfo[[#This Row],[Hospital Ownership]]</f>
        <v>Voluntary non-profit - Private</v>
      </c>
      <c r="E5238" cm="1">
        <f t="array" ref="E5238">_xlfn.IFNA(_xlfn.XLOOKUP(1,([1]!hcahps[Facility ID] = clean[[#This Row],[Facility ID]]) * ([1]!hcahps[HCAHPS Measure ID] = "H_HSP_RATING_LINEAR_SCORE"), [1]!hcahps[HCAHPS Linear Mean Value]), "No Match")</f>
        <v>90</v>
      </c>
      <c r="F5238" cm="1">
        <f t="array" ref="F5238">_xlfn.IFNA(_xlfn.XLOOKUP(1,([1]!readmissions[Facility ID] = clean[[#This Row],[Facility ID]]) * ([1]!readmissions[Measure ID] = "Hybrid_HWR"), [1]!readmissions[Score]), "No Match")</f>
        <v>13.9</v>
      </c>
    </row>
    <row r="5239" spans="1:6" x14ac:dyDescent="0.2">
      <c r="A5239">
        <f>[1]!hospitalinfo[[#This Row],[Facility ID]]</f>
        <v>520088</v>
      </c>
      <c r="B5239" t="str">
        <f>[1]!hospitalinfo[[#This Row],[State]]</f>
        <v>WI</v>
      </c>
      <c r="C5239" t="str">
        <f>[1]!hospitalinfo[[#This Row],[Hospital Type]]</f>
        <v>Acute Care Hospitals</v>
      </c>
      <c r="D5239" t="str">
        <f>[1]!hospitalinfo[[#This Row],[Hospital Ownership]]</f>
        <v>Voluntary non-profit - Private</v>
      </c>
      <c r="E5239" cm="1">
        <f t="array" ref="E5239">_xlfn.IFNA(_xlfn.XLOOKUP(1,([1]!hcahps[Facility ID] = clean[[#This Row],[Facility ID]]) * ([1]!hcahps[HCAHPS Measure ID] = "H_HSP_RATING_LINEAR_SCORE"), [1]!hcahps[HCAHPS Linear Mean Value]), "No Match")</f>
        <v>89</v>
      </c>
      <c r="F5239" cm="1">
        <f t="array" ref="F5239">_xlfn.IFNA(_xlfn.XLOOKUP(1,([1]!readmissions[Facility ID] = clean[[#This Row],[Facility ID]]) * ([1]!readmissions[Measure ID] = "Hybrid_HWR"), [1]!readmissions[Score]), "No Match")</f>
        <v>15</v>
      </c>
    </row>
    <row r="5240" spans="1:6" x14ac:dyDescent="0.2">
      <c r="A5240">
        <f>[1]!hospitalinfo[[#This Row],[Facility ID]]</f>
        <v>520089</v>
      </c>
      <c r="B5240" t="str">
        <f>[1]!hospitalinfo[[#This Row],[State]]</f>
        <v>WI</v>
      </c>
      <c r="C5240" t="str">
        <f>[1]!hospitalinfo[[#This Row],[Hospital Type]]</f>
        <v>Acute Care Hospitals</v>
      </c>
      <c r="D5240" t="str">
        <f>[1]!hospitalinfo[[#This Row],[Hospital Ownership]]</f>
        <v>Voluntary non-profit - Private</v>
      </c>
      <c r="E5240" cm="1">
        <f t="array" ref="E5240">_xlfn.IFNA(_xlfn.XLOOKUP(1,([1]!hcahps[Facility ID] = clean[[#This Row],[Facility ID]]) * ([1]!hcahps[HCAHPS Measure ID] = "H_HSP_RATING_LINEAR_SCORE"), [1]!hcahps[HCAHPS Linear Mean Value]), "No Match")</f>
        <v>90</v>
      </c>
      <c r="F5240" cm="1">
        <f t="array" ref="F5240">_xlfn.IFNA(_xlfn.XLOOKUP(1,([1]!readmissions[Facility ID] = clean[[#This Row],[Facility ID]]) * ([1]!readmissions[Measure ID] = "Hybrid_HWR"), [1]!readmissions[Score]), "No Match")</f>
        <v>15.8</v>
      </c>
    </row>
    <row r="5241" spans="1:6" x14ac:dyDescent="0.2">
      <c r="A5241">
        <f>[1]!hospitalinfo[[#This Row],[Facility ID]]</f>
        <v>520091</v>
      </c>
      <c r="B5241" t="str">
        <f>[1]!hospitalinfo[[#This Row],[State]]</f>
        <v>WI</v>
      </c>
      <c r="C5241" t="str">
        <f>[1]!hospitalinfo[[#This Row],[Hospital Type]]</f>
        <v>Acute Care Hospitals</v>
      </c>
      <c r="D5241" t="str">
        <f>[1]!hospitalinfo[[#This Row],[Hospital Ownership]]</f>
        <v>Voluntary non-profit - Church</v>
      </c>
      <c r="E5241" cm="1">
        <f t="array" ref="E5241">_xlfn.IFNA(_xlfn.XLOOKUP(1,([1]!hcahps[Facility ID] = clean[[#This Row],[Facility ID]]) * ([1]!hcahps[HCAHPS Measure ID] = "H_HSP_RATING_LINEAR_SCORE"), [1]!hcahps[HCAHPS Linear Mean Value]), "No Match")</f>
        <v>91</v>
      </c>
      <c r="F5241" cm="1">
        <f t="array" ref="F5241">_xlfn.IFNA(_xlfn.XLOOKUP(1,([1]!readmissions[Facility ID] = clean[[#This Row],[Facility ID]]) * ([1]!readmissions[Measure ID] = "Hybrid_HWR"), [1]!readmissions[Score]), "No Match")</f>
        <v>14.6</v>
      </c>
    </row>
    <row r="5242" spans="1:6" x14ac:dyDescent="0.2">
      <c r="A5242">
        <f>[1]!hospitalinfo[[#This Row],[Facility ID]]</f>
        <v>520095</v>
      </c>
      <c r="B5242" t="str">
        <f>[1]!hospitalinfo[[#This Row],[State]]</f>
        <v>WI</v>
      </c>
      <c r="C5242" t="str">
        <f>[1]!hospitalinfo[[#This Row],[Hospital Type]]</f>
        <v>Acute Care Hospitals</v>
      </c>
      <c r="D5242" t="str">
        <f>[1]!hospitalinfo[[#This Row],[Hospital Ownership]]</f>
        <v>Voluntary non-profit - Private</v>
      </c>
      <c r="E5242" cm="1">
        <f t="array" ref="E5242">_xlfn.IFNA(_xlfn.XLOOKUP(1,([1]!hcahps[Facility ID] = clean[[#This Row],[Facility ID]]) * ([1]!hcahps[HCAHPS Measure ID] = "H_HSP_RATING_LINEAR_SCORE"), [1]!hcahps[HCAHPS Linear Mean Value]), "No Match")</f>
        <v>95</v>
      </c>
      <c r="F5242" cm="1">
        <f t="array" ref="F5242">_xlfn.IFNA(_xlfn.XLOOKUP(1,([1]!readmissions[Facility ID] = clean[[#This Row],[Facility ID]]) * ([1]!readmissions[Measure ID] = "Hybrid_HWR"), [1]!readmissions[Score]), "No Match")</f>
        <v>14.1</v>
      </c>
    </row>
    <row r="5243" spans="1:6" x14ac:dyDescent="0.2">
      <c r="A5243">
        <f>[1]!hospitalinfo[[#This Row],[Facility ID]]</f>
        <v>520096</v>
      </c>
      <c r="B5243" t="str">
        <f>[1]!hospitalinfo[[#This Row],[State]]</f>
        <v>WI</v>
      </c>
      <c r="C5243" t="str">
        <f>[1]!hospitalinfo[[#This Row],[Hospital Type]]</f>
        <v>Acute Care Hospitals</v>
      </c>
      <c r="D5243" t="str">
        <f>[1]!hospitalinfo[[#This Row],[Hospital Ownership]]</f>
        <v>Voluntary non-profit - Church</v>
      </c>
      <c r="E5243" cm="1">
        <f t="array" ref="E5243">_xlfn.IFNA(_xlfn.XLOOKUP(1,([1]!hcahps[Facility ID] = clean[[#This Row],[Facility ID]]) * ([1]!hcahps[HCAHPS Measure ID] = "H_HSP_RATING_LINEAR_SCORE"), [1]!hcahps[HCAHPS Linear Mean Value]), "No Match")</f>
        <v>83</v>
      </c>
      <c r="F5243" cm="1">
        <f t="array" ref="F5243">_xlfn.IFNA(_xlfn.XLOOKUP(1,([1]!readmissions[Facility ID] = clean[[#This Row],[Facility ID]]) * ([1]!readmissions[Measure ID] = "Hybrid_HWR"), [1]!readmissions[Score]), "No Match")</f>
        <v>14.1</v>
      </c>
    </row>
    <row r="5244" spans="1:6" x14ac:dyDescent="0.2">
      <c r="A5244">
        <f>[1]!hospitalinfo[[#This Row],[Facility ID]]</f>
        <v>520097</v>
      </c>
      <c r="B5244" t="str">
        <f>[1]!hospitalinfo[[#This Row],[State]]</f>
        <v>WI</v>
      </c>
      <c r="C5244" t="str">
        <f>[1]!hospitalinfo[[#This Row],[Hospital Type]]</f>
        <v>Acute Care Hospitals</v>
      </c>
      <c r="D5244" t="str">
        <f>[1]!hospitalinfo[[#This Row],[Hospital Ownership]]</f>
        <v>Voluntary non-profit - Other</v>
      </c>
      <c r="E5244" cm="1">
        <f t="array" ref="E5244">_xlfn.IFNA(_xlfn.XLOOKUP(1,([1]!hcahps[Facility ID] = clean[[#This Row],[Facility ID]]) * ([1]!hcahps[HCAHPS Measure ID] = "H_HSP_RATING_LINEAR_SCORE"), [1]!hcahps[HCAHPS Linear Mean Value]), "No Match")</f>
        <v>85</v>
      </c>
      <c r="F5244" cm="1">
        <f t="array" ref="F5244">_xlfn.IFNA(_xlfn.XLOOKUP(1,([1]!readmissions[Facility ID] = clean[[#This Row],[Facility ID]]) * ([1]!readmissions[Measure ID] = "Hybrid_HWR"), [1]!readmissions[Score]), "No Match")</f>
        <v>14.7</v>
      </c>
    </row>
    <row r="5245" spans="1:6" x14ac:dyDescent="0.2">
      <c r="A5245">
        <f>[1]!hospitalinfo[[#This Row],[Facility ID]]</f>
        <v>520098</v>
      </c>
      <c r="B5245" t="str">
        <f>[1]!hospitalinfo[[#This Row],[State]]</f>
        <v>WI</v>
      </c>
      <c r="C5245" t="str">
        <f>[1]!hospitalinfo[[#This Row],[Hospital Type]]</f>
        <v>Acute Care Hospitals</v>
      </c>
      <c r="D5245" t="str">
        <f>[1]!hospitalinfo[[#This Row],[Hospital Ownership]]</f>
        <v>Government - Hospital District or Authority</v>
      </c>
      <c r="E5245" cm="1">
        <f t="array" ref="E5245">_xlfn.IFNA(_xlfn.XLOOKUP(1,([1]!hcahps[Facility ID] = clean[[#This Row],[Facility ID]]) * ([1]!hcahps[HCAHPS Measure ID] = "H_HSP_RATING_LINEAR_SCORE"), [1]!hcahps[HCAHPS Linear Mean Value]), "No Match")</f>
        <v>91</v>
      </c>
      <c r="F5245" cm="1">
        <f t="array" ref="F5245">_xlfn.IFNA(_xlfn.XLOOKUP(1,([1]!readmissions[Facility ID] = clean[[#This Row],[Facility ID]]) * ([1]!readmissions[Measure ID] = "Hybrid_HWR"), [1]!readmissions[Score]), "No Match")</f>
        <v>14.2</v>
      </c>
    </row>
    <row r="5246" spans="1:6" x14ac:dyDescent="0.2">
      <c r="A5246">
        <f>[1]!hospitalinfo[[#This Row],[Facility ID]]</f>
        <v>520100</v>
      </c>
      <c r="B5246" t="str">
        <f>[1]!hospitalinfo[[#This Row],[State]]</f>
        <v>WI</v>
      </c>
      <c r="C5246" t="str">
        <f>[1]!hospitalinfo[[#This Row],[Hospital Type]]</f>
        <v>Acute Care Hospitals</v>
      </c>
      <c r="D5246" t="str">
        <f>[1]!hospitalinfo[[#This Row],[Hospital Ownership]]</f>
        <v>Voluntary non-profit - Private</v>
      </c>
      <c r="E5246" cm="1">
        <f t="array" ref="E5246">_xlfn.IFNA(_xlfn.XLOOKUP(1,([1]!hcahps[Facility ID] = clean[[#This Row],[Facility ID]]) * ([1]!hcahps[HCAHPS Measure ID] = "H_HSP_RATING_LINEAR_SCORE"), [1]!hcahps[HCAHPS Linear Mean Value]), "No Match")</f>
        <v>85</v>
      </c>
      <c r="F5246" cm="1">
        <f t="array" ref="F5246">_xlfn.IFNA(_xlfn.XLOOKUP(1,([1]!readmissions[Facility ID] = clean[[#This Row],[Facility ID]]) * ([1]!readmissions[Measure ID] = "Hybrid_HWR"), [1]!readmissions[Score]), "No Match")</f>
        <v>15.5</v>
      </c>
    </row>
    <row r="5247" spans="1:6" x14ac:dyDescent="0.2">
      <c r="A5247">
        <f>[1]!hospitalinfo[[#This Row],[Facility ID]]</f>
        <v>520102</v>
      </c>
      <c r="B5247" t="str">
        <f>[1]!hospitalinfo[[#This Row],[State]]</f>
        <v>WI</v>
      </c>
      <c r="C5247" t="str">
        <f>[1]!hospitalinfo[[#This Row],[Hospital Type]]</f>
        <v>Acute Care Hospitals</v>
      </c>
      <c r="D5247" t="str">
        <f>[1]!hospitalinfo[[#This Row],[Hospital Ownership]]</f>
        <v>Voluntary non-profit - Private</v>
      </c>
      <c r="E5247" cm="1">
        <f t="array" ref="E5247">_xlfn.IFNA(_xlfn.XLOOKUP(1,([1]!hcahps[Facility ID] = clean[[#This Row],[Facility ID]]) * ([1]!hcahps[HCAHPS Measure ID] = "H_HSP_RATING_LINEAR_SCORE"), [1]!hcahps[HCAHPS Linear Mean Value]), "No Match")</f>
        <v>91</v>
      </c>
      <c r="F5247" cm="1">
        <f t="array" ref="F5247">_xlfn.IFNA(_xlfn.XLOOKUP(1,([1]!readmissions[Facility ID] = clean[[#This Row],[Facility ID]]) * ([1]!readmissions[Measure ID] = "Hybrid_HWR"), [1]!readmissions[Score]), "No Match")</f>
        <v>14.9</v>
      </c>
    </row>
    <row r="5248" spans="1:6" x14ac:dyDescent="0.2">
      <c r="A5248">
        <f>[1]!hospitalinfo[[#This Row],[Facility ID]]</f>
        <v>520103</v>
      </c>
      <c r="B5248" t="str">
        <f>[1]!hospitalinfo[[#This Row],[State]]</f>
        <v>WI</v>
      </c>
      <c r="C5248" t="str">
        <f>[1]!hospitalinfo[[#This Row],[Hospital Type]]</f>
        <v>Acute Care Hospitals</v>
      </c>
      <c r="D5248" t="str">
        <f>[1]!hospitalinfo[[#This Row],[Hospital Ownership]]</f>
        <v>Voluntary non-profit - Private</v>
      </c>
      <c r="E5248" cm="1">
        <f t="array" ref="E5248">_xlfn.IFNA(_xlfn.XLOOKUP(1,([1]!hcahps[Facility ID] = clean[[#This Row],[Facility ID]]) * ([1]!hcahps[HCAHPS Measure ID] = "H_HSP_RATING_LINEAR_SCORE"), [1]!hcahps[HCAHPS Linear Mean Value]), "No Match")</f>
        <v>89</v>
      </c>
      <c r="F5248" cm="1">
        <f t="array" ref="F5248">_xlfn.IFNA(_xlfn.XLOOKUP(1,([1]!readmissions[Facility ID] = clean[[#This Row],[Facility ID]]) * ([1]!readmissions[Measure ID] = "Hybrid_HWR"), [1]!readmissions[Score]), "No Match")</f>
        <v>14.6</v>
      </c>
    </row>
    <row r="5249" spans="1:6" x14ac:dyDescent="0.2">
      <c r="A5249">
        <f>[1]!hospitalinfo[[#This Row],[Facility ID]]</f>
        <v>520107</v>
      </c>
      <c r="B5249" t="str">
        <f>[1]!hospitalinfo[[#This Row],[State]]</f>
        <v>WI</v>
      </c>
      <c r="C5249" t="str">
        <f>[1]!hospitalinfo[[#This Row],[Hospital Type]]</f>
        <v>Acute Care Hospitals</v>
      </c>
      <c r="D5249" t="str">
        <f>[1]!hospitalinfo[[#This Row],[Hospital Ownership]]</f>
        <v>Voluntary non-profit - Other</v>
      </c>
      <c r="E5249" cm="1">
        <f t="array" ref="E5249">_xlfn.IFNA(_xlfn.XLOOKUP(1,([1]!hcahps[Facility ID] = clean[[#This Row],[Facility ID]]) * ([1]!hcahps[HCAHPS Measure ID] = "H_HSP_RATING_LINEAR_SCORE"), [1]!hcahps[HCAHPS Linear Mean Value]), "No Match")</f>
        <v>90</v>
      </c>
      <c r="F5249" cm="1">
        <f t="array" ref="F5249">_xlfn.IFNA(_xlfn.XLOOKUP(1,([1]!readmissions[Facility ID] = clean[[#This Row],[Facility ID]]) * ([1]!readmissions[Measure ID] = "Hybrid_HWR"), [1]!readmissions[Score]), "No Match")</f>
        <v>14.6</v>
      </c>
    </row>
    <row r="5250" spans="1:6" x14ac:dyDescent="0.2">
      <c r="A5250">
        <f>[1]!hospitalinfo[[#This Row],[Facility ID]]</f>
        <v>520109</v>
      </c>
      <c r="B5250" t="str">
        <f>[1]!hospitalinfo[[#This Row],[State]]</f>
        <v>WI</v>
      </c>
      <c r="C5250" t="str">
        <f>[1]!hospitalinfo[[#This Row],[Hospital Type]]</f>
        <v>Acute Care Hospitals</v>
      </c>
      <c r="D5250" t="str">
        <f>[1]!hospitalinfo[[#This Row],[Hospital Ownership]]</f>
        <v>Proprietary</v>
      </c>
      <c r="E5250" cm="1">
        <f t="array" ref="E5250">_xlfn.IFNA(_xlfn.XLOOKUP(1,([1]!hcahps[Facility ID] = clean[[#This Row],[Facility ID]]) * ([1]!hcahps[HCAHPS Measure ID] = "H_HSP_RATING_LINEAR_SCORE"), [1]!hcahps[HCAHPS Linear Mean Value]), "No Match")</f>
        <v>91</v>
      </c>
      <c r="F5250" cm="1">
        <f t="array" ref="F5250">_xlfn.IFNA(_xlfn.XLOOKUP(1,([1]!readmissions[Facility ID] = clean[[#This Row],[Facility ID]]) * ([1]!readmissions[Measure ID] = "Hybrid_HWR"), [1]!readmissions[Score]), "No Match")</f>
        <v>14.5</v>
      </c>
    </row>
    <row r="5251" spans="1:6" x14ac:dyDescent="0.2">
      <c r="A5251">
        <f>[1]!hospitalinfo[[#This Row],[Facility ID]]</f>
        <v>520113</v>
      </c>
      <c r="B5251" t="str">
        <f>[1]!hospitalinfo[[#This Row],[State]]</f>
        <v>WI</v>
      </c>
      <c r="C5251" t="str">
        <f>[1]!hospitalinfo[[#This Row],[Hospital Type]]</f>
        <v>Acute Care Hospitals</v>
      </c>
      <c r="D5251" t="str">
        <f>[1]!hospitalinfo[[#This Row],[Hospital Ownership]]</f>
        <v>Voluntary non-profit - Private</v>
      </c>
      <c r="E5251" cm="1">
        <f t="array" ref="E5251">_xlfn.IFNA(_xlfn.XLOOKUP(1,([1]!hcahps[Facility ID] = clean[[#This Row],[Facility ID]]) * ([1]!hcahps[HCAHPS Measure ID] = "H_HSP_RATING_LINEAR_SCORE"), [1]!hcahps[HCAHPS Linear Mean Value]), "No Match")</f>
        <v>90</v>
      </c>
      <c r="F5251" cm="1">
        <f t="array" ref="F5251">_xlfn.IFNA(_xlfn.XLOOKUP(1,([1]!readmissions[Facility ID] = clean[[#This Row],[Facility ID]]) * ([1]!readmissions[Measure ID] = "Hybrid_HWR"), [1]!readmissions[Score]), "No Match")</f>
        <v>15.7</v>
      </c>
    </row>
    <row r="5252" spans="1:6" x14ac:dyDescent="0.2">
      <c r="A5252">
        <f>[1]!hospitalinfo[[#This Row],[Facility ID]]</f>
        <v>520116</v>
      </c>
      <c r="B5252" t="str">
        <f>[1]!hospitalinfo[[#This Row],[State]]</f>
        <v>WI</v>
      </c>
      <c r="C5252" t="str">
        <f>[1]!hospitalinfo[[#This Row],[Hospital Type]]</f>
        <v>Acute Care Hospitals</v>
      </c>
      <c r="D5252" t="str">
        <f>[1]!hospitalinfo[[#This Row],[Hospital Ownership]]</f>
        <v>Voluntary non-profit - Private</v>
      </c>
      <c r="E5252" cm="1">
        <f t="array" ref="E5252">_xlfn.IFNA(_xlfn.XLOOKUP(1,([1]!hcahps[Facility ID] = clean[[#This Row],[Facility ID]]) * ([1]!hcahps[HCAHPS Measure ID] = "H_HSP_RATING_LINEAR_SCORE"), [1]!hcahps[HCAHPS Linear Mean Value]), "No Match")</f>
        <v>89</v>
      </c>
      <c r="F5252" cm="1">
        <f t="array" ref="F5252">_xlfn.IFNA(_xlfn.XLOOKUP(1,([1]!readmissions[Facility ID] = clean[[#This Row],[Facility ID]]) * ([1]!readmissions[Measure ID] = "Hybrid_HWR"), [1]!readmissions[Score]), "No Match")</f>
        <v>14.3</v>
      </c>
    </row>
    <row r="5253" spans="1:6" x14ac:dyDescent="0.2">
      <c r="A5253">
        <f>[1]!hospitalinfo[[#This Row],[Facility ID]]</f>
        <v>520136</v>
      </c>
      <c r="B5253" t="str">
        <f>[1]!hospitalinfo[[#This Row],[State]]</f>
        <v>WI</v>
      </c>
      <c r="C5253" t="str">
        <f>[1]!hospitalinfo[[#This Row],[Hospital Type]]</f>
        <v>Acute Care Hospitals</v>
      </c>
      <c r="D5253" t="str">
        <f>[1]!hospitalinfo[[#This Row],[Hospital Ownership]]</f>
        <v>Voluntary non-profit - Church</v>
      </c>
      <c r="E5253" cm="1">
        <f t="array" ref="E5253">_xlfn.IFNA(_xlfn.XLOOKUP(1,([1]!hcahps[Facility ID] = clean[[#This Row],[Facility ID]]) * ([1]!hcahps[HCAHPS Measure ID] = "H_HSP_RATING_LINEAR_SCORE"), [1]!hcahps[HCAHPS Linear Mean Value]), "No Match")</f>
        <v>88</v>
      </c>
      <c r="F5253" cm="1">
        <f t="array" ref="F5253">_xlfn.IFNA(_xlfn.XLOOKUP(1,([1]!readmissions[Facility ID] = clean[[#This Row],[Facility ID]]) * ([1]!readmissions[Measure ID] = "Hybrid_HWR"), [1]!readmissions[Score]), "No Match")</f>
        <v>13.6</v>
      </c>
    </row>
    <row r="5254" spans="1:6" x14ac:dyDescent="0.2">
      <c r="A5254">
        <f>[1]!hospitalinfo[[#This Row],[Facility ID]]</f>
        <v>520138</v>
      </c>
      <c r="B5254" t="str">
        <f>[1]!hospitalinfo[[#This Row],[State]]</f>
        <v>WI</v>
      </c>
      <c r="C5254" t="str">
        <f>[1]!hospitalinfo[[#This Row],[Hospital Type]]</f>
        <v>Acute Care Hospitals</v>
      </c>
      <c r="D5254" t="str">
        <f>[1]!hospitalinfo[[#This Row],[Hospital Ownership]]</f>
        <v>Voluntary non-profit - Private</v>
      </c>
      <c r="E5254" cm="1">
        <f t="array" ref="E5254">_xlfn.IFNA(_xlfn.XLOOKUP(1,([1]!hcahps[Facility ID] = clean[[#This Row],[Facility ID]]) * ([1]!hcahps[HCAHPS Measure ID] = "H_HSP_RATING_LINEAR_SCORE"), [1]!hcahps[HCAHPS Linear Mean Value]), "No Match")</f>
        <v>88</v>
      </c>
      <c r="F5254" cm="1">
        <f t="array" ref="F5254">_xlfn.IFNA(_xlfn.XLOOKUP(1,([1]!readmissions[Facility ID] = clean[[#This Row],[Facility ID]]) * ([1]!readmissions[Measure ID] = "Hybrid_HWR"), [1]!readmissions[Score]), "No Match")</f>
        <v>15.4</v>
      </c>
    </row>
    <row r="5255" spans="1:6" x14ac:dyDescent="0.2">
      <c r="A5255">
        <f>[1]!hospitalinfo[[#This Row],[Facility ID]]</f>
        <v>520139</v>
      </c>
      <c r="B5255" t="str">
        <f>[1]!hospitalinfo[[#This Row],[State]]</f>
        <v>WI</v>
      </c>
      <c r="C5255" t="str">
        <f>[1]!hospitalinfo[[#This Row],[Hospital Type]]</f>
        <v>Acute Care Hospitals</v>
      </c>
      <c r="D5255" t="str">
        <f>[1]!hospitalinfo[[#This Row],[Hospital Ownership]]</f>
        <v>Voluntary non-profit - Private</v>
      </c>
      <c r="E5255" cm="1">
        <f t="array" ref="E5255">_xlfn.IFNA(_xlfn.XLOOKUP(1,([1]!hcahps[Facility ID] = clean[[#This Row],[Facility ID]]) * ([1]!hcahps[HCAHPS Measure ID] = "H_HSP_RATING_LINEAR_SCORE"), [1]!hcahps[HCAHPS Linear Mean Value]), "No Match")</f>
        <v>87</v>
      </c>
      <c r="F5255" cm="1">
        <f t="array" ref="F5255">_xlfn.IFNA(_xlfn.XLOOKUP(1,([1]!readmissions[Facility ID] = clean[[#This Row],[Facility ID]]) * ([1]!readmissions[Measure ID] = "Hybrid_HWR"), [1]!readmissions[Score]), "No Match")</f>
        <v>15.3</v>
      </c>
    </row>
    <row r="5256" spans="1:6" x14ac:dyDescent="0.2">
      <c r="A5256">
        <f>[1]!hospitalinfo[[#This Row],[Facility ID]]</f>
        <v>520160</v>
      </c>
      <c r="B5256" t="str">
        <f>[1]!hospitalinfo[[#This Row],[State]]</f>
        <v>WI</v>
      </c>
      <c r="C5256" t="str">
        <f>[1]!hospitalinfo[[#This Row],[Hospital Type]]</f>
        <v>Acute Care Hospitals</v>
      </c>
      <c r="D5256" t="str">
        <f>[1]!hospitalinfo[[#This Row],[Hospital Ownership]]</f>
        <v>Voluntary non-profit - Private</v>
      </c>
      <c r="E5256" cm="1">
        <f t="array" ref="E5256">_xlfn.IFNA(_xlfn.XLOOKUP(1,([1]!hcahps[Facility ID] = clean[[#This Row],[Facility ID]]) * ([1]!hcahps[HCAHPS Measure ID] = "H_HSP_RATING_LINEAR_SCORE"), [1]!hcahps[HCAHPS Linear Mean Value]), "No Match")</f>
        <v>89</v>
      </c>
      <c r="F5256" cm="1">
        <f t="array" ref="F5256">_xlfn.IFNA(_xlfn.XLOOKUP(1,([1]!readmissions[Facility ID] = clean[[#This Row],[Facility ID]]) * ([1]!readmissions[Measure ID] = "Hybrid_HWR"), [1]!readmissions[Score]), "No Match")</f>
        <v>13.1</v>
      </c>
    </row>
    <row r="5257" spans="1:6" x14ac:dyDescent="0.2">
      <c r="A5257">
        <f>[1]!hospitalinfo[[#This Row],[Facility ID]]</f>
        <v>520177</v>
      </c>
      <c r="B5257" t="str">
        <f>[1]!hospitalinfo[[#This Row],[State]]</f>
        <v>WI</v>
      </c>
      <c r="C5257" t="str">
        <f>[1]!hospitalinfo[[#This Row],[Hospital Type]]</f>
        <v>Acute Care Hospitals</v>
      </c>
      <c r="D5257" t="str">
        <f>[1]!hospitalinfo[[#This Row],[Hospital Ownership]]</f>
        <v>Voluntary non-profit - Private</v>
      </c>
      <c r="E5257" cm="1">
        <f t="array" ref="E5257">_xlfn.IFNA(_xlfn.XLOOKUP(1,([1]!hcahps[Facility ID] = clean[[#This Row],[Facility ID]]) * ([1]!hcahps[HCAHPS Measure ID] = "H_HSP_RATING_LINEAR_SCORE"), [1]!hcahps[HCAHPS Linear Mean Value]), "No Match")</f>
        <v>89</v>
      </c>
      <c r="F5257" cm="1">
        <f t="array" ref="F5257">_xlfn.IFNA(_xlfn.XLOOKUP(1,([1]!readmissions[Facility ID] = clean[[#This Row],[Facility ID]]) * ([1]!readmissions[Measure ID] = "Hybrid_HWR"), [1]!readmissions[Score]), "No Match")</f>
        <v>15.4</v>
      </c>
    </row>
    <row r="5258" spans="1:6" x14ac:dyDescent="0.2">
      <c r="A5258">
        <f>[1]!hospitalinfo[[#This Row],[Facility ID]]</f>
        <v>520189</v>
      </c>
      <c r="B5258" t="str">
        <f>[1]!hospitalinfo[[#This Row],[State]]</f>
        <v>WI</v>
      </c>
      <c r="C5258" t="str">
        <f>[1]!hospitalinfo[[#This Row],[Hospital Type]]</f>
        <v>Acute Care Hospitals</v>
      </c>
      <c r="D5258" t="str">
        <f>[1]!hospitalinfo[[#This Row],[Hospital Ownership]]</f>
        <v>Voluntary non-profit - Private</v>
      </c>
      <c r="E5258" cm="1">
        <f t="array" ref="E5258">_xlfn.IFNA(_xlfn.XLOOKUP(1,([1]!hcahps[Facility ID] = clean[[#This Row],[Facility ID]]) * ([1]!hcahps[HCAHPS Measure ID] = "H_HSP_RATING_LINEAR_SCORE"), [1]!hcahps[HCAHPS Linear Mean Value]), "No Match")</f>
        <v>91</v>
      </c>
      <c r="F5258" cm="1">
        <f t="array" ref="F5258">_xlfn.IFNA(_xlfn.XLOOKUP(1,([1]!readmissions[Facility ID] = clean[[#This Row],[Facility ID]]) * ([1]!readmissions[Measure ID] = "Hybrid_HWR"), [1]!readmissions[Score]), "No Match")</f>
        <v>14.4</v>
      </c>
    </row>
    <row r="5259" spans="1:6" x14ac:dyDescent="0.2">
      <c r="A5259">
        <f>[1]!hospitalinfo[[#This Row],[Facility ID]]</f>
        <v>520193</v>
      </c>
      <c r="B5259" t="str">
        <f>[1]!hospitalinfo[[#This Row],[State]]</f>
        <v>WI</v>
      </c>
      <c r="C5259" t="str">
        <f>[1]!hospitalinfo[[#This Row],[Hospital Type]]</f>
        <v>Acute Care Hospitals</v>
      </c>
      <c r="D5259" t="str">
        <f>[1]!hospitalinfo[[#This Row],[Hospital Ownership]]</f>
        <v>Proprietary</v>
      </c>
      <c r="E5259" cm="1">
        <f t="array" ref="E5259">_xlfn.IFNA(_xlfn.XLOOKUP(1,([1]!hcahps[Facility ID] = clean[[#This Row],[Facility ID]]) * ([1]!hcahps[HCAHPS Measure ID] = "H_HSP_RATING_LINEAR_SCORE"), [1]!hcahps[HCAHPS Linear Mean Value]), "No Match")</f>
        <v>91</v>
      </c>
      <c r="F5259" cm="1">
        <f t="array" ref="F5259">_xlfn.IFNA(_xlfn.XLOOKUP(1,([1]!readmissions[Facility ID] = clean[[#This Row],[Facility ID]]) * ([1]!readmissions[Measure ID] = "Hybrid_HWR"), [1]!readmissions[Score]), "No Match")</f>
        <v>14.9</v>
      </c>
    </row>
    <row r="5260" spans="1:6" x14ac:dyDescent="0.2">
      <c r="A5260">
        <f>[1]!hospitalinfo[[#This Row],[Facility ID]]</f>
        <v>520194</v>
      </c>
      <c r="B5260" t="str">
        <f>[1]!hospitalinfo[[#This Row],[State]]</f>
        <v>WI</v>
      </c>
      <c r="C5260" t="str">
        <f>[1]!hospitalinfo[[#This Row],[Hospital Type]]</f>
        <v>Acute Care Hospitals</v>
      </c>
      <c r="D5260" t="str">
        <f>[1]!hospitalinfo[[#This Row],[Hospital Ownership]]</f>
        <v>Physician</v>
      </c>
      <c r="E5260" cm="1">
        <f t="array" ref="E5260">_xlfn.IFNA(_xlfn.XLOOKUP(1,([1]!hcahps[Facility ID] = clean[[#This Row],[Facility ID]]) * ([1]!hcahps[HCAHPS Measure ID] = "H_HSP_RATING_LINEAR_SCORE"), [1]!hcahps[HCAHPS Linear Mean Value]), "No Match")</f>
        <v>96</v>
      </c>
      <c r="F5260" cm="1">
        <f t="array" ref="F5260">_xlfn.IFNA(_xlfn.XLOOKUP(1,([1]!readmissions[Facility ID] = clean[[#This Row],[Facility ID]]) * ([1]!readmissions[Measure ID] = "Hybrid_HWR"), [1]!readmissions[Score]), "No Match")</f>
        <v>13.2</v>
      </c>
    </row>
    <row r="5261" spans="1:6" x14ac:dyDescent="0.2">
      <c r="A5261">
        <f>[1]!hospitalinfo[[#This Row],[Facility ID]]</f>
        <v>520196</v>
      </c>
      <c r="B5261" t="str">
        <f>[1]!hospitalinfo[[#This Row],[State]]</f>
        <v>WI</v>
      </c>
      <c r="C5261" t="str">
        <f>[1]!hospitalinfo[[#This Row],[Hospital Type]]</f>
        <v>Acute Care Hospitals</v>
      </c>
      <c r="D5261" t="str">
        <f>[1]!hospitalinfo[[#This Row],[Hospital Ownership]]</f>
        <v>Physician</v>
      </c>
      <c r="E5261" cm="1">
        <f t="array" ref="E5261">_xlfn.IFNA(_xlfn.XLOOKUP(1,([1]!hcahps[Facility ID] = clean[[#This Row],[Facility ID]]) * ([1]!hcahps[HCAHPS Measure ID] = "H_HSP_RATING_LINEAR_SCORE"), [1]!hcahps[HCAHPS Linear Mean Value]), "No Match")</f>
        <v>95</v>
      </c>
      <c r="F5261" cm="1">
        <f t="array" ref="F5261">_xlfn.IFNA(_xlfn.XLOOKUP(1,([1]!readmissions[Facility ID] = clean[[#This Row],[Facility ID]]) * ([1]!readmissions[Measure ID] = "Hybrid_HWR"), [1]!readmissions[Score]), "No Match")</f>
        <v>14.1</v>
      </c>
    </row>
    <row r="5262" spans="1:6" x14ac:dyDescent="0.2">
      <c r="A5262">
        <f>[1]!hospitalinfo[[#This Row],[Facility ID]]</f>
        <v>520198</v>
      </c>
      <c r="B5262" t="str">
        <f>[1]!hospitalinfo[[#This Row],[State]]</f>
        <v>WI</v>
      </c>
      <c r="C5262" t="str">
        <f>[1]!hospitalinfo[[#This Row],[Hospital Type]]</f>
        <v>Acute Care Hospitals</v>
      </c>
      <c r="D5262" t="str">
        <f>[1]!hospitalinfo[[#This Row],[Hospital Ownership]]</f>
        <v>Voluntary non-profit - Private</v>
      </c>
      <c r="E5262" cm="1">
        <f t="array" ref="E5262">_xlfn.IFNA(_xlfn.XLOOKUP(1,([1]!hcahps[Facility ID] = clean[[#This Row],[Facility ID]]) * ([1]!hcahps[HCAHPS Measure ID] = "H_HSP_RATING_LINEAR_SCORE"), [1]!hcahps[HCAHPS Linear Mean Value]), "No Match")</f>
        <v>91</v>
      </c>
      <c r="F5262" cm="1">
        <f t="array" ref="F5262">_xlfn.IFNA(_xlfn.XLOOKUP(1,([1]!readmissions[Facility ID] = clean[[#This Row],[Facility ID]]) * ([1]!readmissions[Measure ID] = "Hybrid_HWR"), [1]!readmissions[Score]), "No Match")</f>
        <v>14.3</v>
      </c>
    </row>
    <row r="5263" spans="1:6" x14ac:dyDescent="0.2">
      <c r="A5263">
        <f>[1]!hospitalinfo[[#This Row],[Facility ID]]</f>
        <v>520202</v>
      </c>
      <c r="B5263" t="str">
        <f>[1]!hospitalinfo[[#This Row],[State]]</f>
        <v>WI</v>
      </c>
      <c r="C5263" t="str">
        <f>[1]!hospitalinfo[[#This Row],[Hospital Type]]</f>
        <v>Acute Care Hospitals</v>
      </c>
      <c r="D5263" t="str">
        <f>[1]!hospitalinfo[[#This Row],[Hospital Ownership]]</f>
        <v>Voluntary non-profit - Private</v>
      </c>
      <c r="E5263" cm="1">
        <f t="array" ref="E5263">_xlfn.IFNA(_xlfn.XLOOKUP(1,([1]!hcahps[Facility ID] = clean[[#This Row],[Facility ID]]) * ([1]!hcahps[HCAHPS Measure ID] = "H_HSP_RATING_LINEAR_SCORE"), [1]!hcahps[HCAHPS Linear Mean Value]), "No Match")</f>
        <v>90</v>
      </c>
      <c r="F5263" cm="1">
        <f t="array" ref="F5263">_xlfn.IFNA(_xlfn.XLOOKUP(1,([1]!readmissions[Facility ID] = clean[[#This Row],[Facility ID]]) * ([1]!readmissions[Measure ID] = "Hybrid_HWR"), [1]!readmissions[Score]), "No Match")</f>
        <v>15.4</v>
      </c>
    </row>
    <row r="5264" spans="1:6" x14ac:dyDescent="0.2">
      <c r="A5264">
        <f>[1]!hospitalinfo[[#This Row],[Facility ID]]</f>
        <v>520205</v>
      </c>
      <c r="B5264" t="str">
        <f>[1]!hospitalinfo[[#This Row],[State]]</f>
        <v>WI</v>
      </c>
      <c r="C5264" t="str">
        <f>[1]!hospitalinfo[[#This Row],[Hospital Type]]</f>
        <v>Acute Care Hospitals</v>
      </c>
      <c r="D5264" t="str">
        <f>[1]!hospitalinfo[[#This Row],[Hospital Ownership]]</f>
        <v>Physician</v>
      </c>
      <c r="E5264" cm="1">
        <f t="array" ref="E5264">_xlfn.IFNA(_xlfn.XLOOKUP(1,([1]!hcahps[Facility ID] = clean[[#This Row],[Facility ID]]) * ([1]!hcahps[HCAHPS Measure ID] = "H_HSP_RATING_LINEAR_SCORE"), [1]!hcahps[HCAHPS Linear Mean Value]), "No Match")</f>
        <v>91</v>
      </c>
      <c r="F5264" cm="1">
        <f t="array" ref="F5264">_xlfn.IFNA(_xlfn.XLOOKUP(1,([1]!readmissions[Facility ID] = clean[[#This Row],[Facility ID]]) * ([1]!readmissions[Measure ID] = "Hybrid_HWR"), [1]!readmissions[Score]), "No Match")</f>
        <v>15.7</v>
      </c>
    </row>
    <row r="5265" spans="1:6" x14ac:dyDescent="0.2">
      <c r="A5265">
        <f>[1]!hospitalinfo[[#This Row],[Facility ID]]</f>
        <v>520206</v>
      </c>
      <c r="B5265" t="str">
        <f>[1]!hospitalinfo[[#This Row],[State]]</f>
        <v>WI</v>
      </c>
      <c r="C5265" t="str">
        <f>[1]!hospitalinfo[[#This Row],[Hospital Type]]</f>
        <v>Acute Care Hospitals</v>
      </c>
      <c r="D5265" t="str">
        <f>[1]!hospitalinfo[[#This Row],[Hospital Ownership]]</f>
        <v>Voluntary non-profit - Private</v>
      </c>
      <c r="E5265" cm="1">
        <f t="array" ref="E5265">_xlfn.IFNA(_xlfn.XLOOKUP(1,([1]!hcahps[Facility ID] = clean[[#This Row],[Facility ID]]) * ([1]!hcahps[HCAHPS Measure ID] = "H_HSP_RATING_LINEAR_SCORE"), [1]!hcahps[HCAHPS Linear Mean Value]), "No Match")</f>
        <v>91</v>
      </c>
      <c r="F5265" cm="1">
        <f t="array" ref="F5265">_xlfn.IFNA(_xlfn.XLOOKUP(1,([1]!readmissions[Facility ID] = clean[[#This Row],[Facility ID]]) * ([1]!readmissions[Measure ID] = "Hybrid_HWR"), [1]!readmissions[Score]), "No Match")</f>
        <v>14.7</v>
      </c>
    </row>
    <row r="5266" spans="1:6" x14ac:dyDescent="0.2">
      <c r="A5266">
        <f>[1]!hospitalinfo[[#This Row],[Facility ID]]</f>
        <v>520207</v>
      </c>
      <c r="B5266" t="str">
        <f>[1]!hospitalinfo[[#This Row],[State]]</f>
        <v>WI</v>
      </c>
      <c r="C5266" t="str">
        <f>[1]!hospitalinfo[[#This Row],[Hospital Type]]</f>
        <v>Acute Care Hospitals</v>
      </c>
      <c r="D5266" t="str">
        <f>[1]!hospitalinfo[[#This Row],[Hospital Ownership]]</f>
        <v>Voluntary non-profit - Private</v>
      </c>
      <c r="E5266" cm="1">
        <f t="array" ref="E5266">_xlfn.IFNA(_xlfn.XLOOKUP(1,([1]!hcahps[Facility ID] = clean[[#This Row],[Facility ID]]) * ([1]!hcahps[HCAHPS Measure ID] = "H_HSP_RATING_LINEAR_SCORE"), [1]!hcahps[HCAHPS Linear Mean Value]), "No Match")</f>
        <v>92</v>
      </c>
      <c r="F5266" cm="1">
        <f t="array" ref="F5266">_xlfn.IFNA(_xlfn.XLOOKUP(1,([1]!readmissions[Facility ID] = clean[[#This Row],[Facility ID]]) * ([1]!readmissions[Measure ID] = "Hybrid_HWR"), [1]!readmissions[Score]), "No Match")</f>
        <v>14.7</v>
      </c>
    </row>
    <row r="5267" spans="1:6" x14ac:dyDescent="0.2">
      <c r="A5267">
        <f>[1]!hospitalinfo[[#This Row],[Facility ID]]</f>
        <v>520208</v>
      </c>
      <c r="B5267" t="str">
        <f>[1]!hospitalinfo[[#This Row],[State]]</f>
        <v>WI</v>
      </c>
      <c r="C5267" t="str">
        <f>[1]!hospitalinfo[[#This Row],[Hospital Type]]</f>
        <v>Acute Care Hospitals</v>
      </c>
      <c r="D5267" t="str">
        <f>[1]!hospitalinfo[[#This Row],[Hospital Ownership]]</f>
        <v>Voluntary non-profit - Other</v>
      </c>
      <c r="E5267" cm="1">
        <f t="array" ref="E5267">_xlfn.IFNA(_xlfn.XLOOKUP(1,([1]!hcahps[Facility ID] = clean[[#This Row],[Facility ID]]) * ([1]!hcahps[HCAHPS Measure ID] = "H_HSP_RATING_LINEAR_SCORE"), [1]!hcahps[HCAHPS Linear Mean Value]), "No Match")</f>
        <v>90</v>
      </c>
      <c r="F5267" cm="1">
        <f t="array" ref="F5267">_xlfn.IFNA(_xlfn.XLOOKUP(1,([1]!readmissions[Facility ID] = clean[[#This Row],[Facility ID]]) * ([1]!readmissions[Measure ID] = "Hybrid_HWR"), [1]!readmissions[Score]), "No Match")</f>
        <v>14</v>
      </c>
    </row>
    <row r="5268" spans="1:6" x14ac:dyDescent="0.2">
      <c r="A5268">
        <f>[1]!hospitalinfo[[#This Row],[Facility ID]]</f>
        <v>520210</v>
      </c>
      <c r="B5268" t="str">
        <f>[1]!hospitalinfo[[#This Row],[State]]</f>
        <v>WI</v>
      </c>
      <c r="C5268" t="str">
        <f>[1]!hospitalinfo[[#This Row],[Hospital Type]]</f>
        <v>Acute Care Hospitals</v>
      </c>
      <c r="D5268" t="str">
        <f>[1]!hospitalinfo[[#This Row],[Hospital Ownership]]</f>
        <v>Voluntary non-profit - Private</v>
      </c>
      <c r="E5268" cm="1">
        <f t="array" ref="E5268">_xlfn.IFNA(_xlfn.XLOOKUP(1,([1]!hcahps[Facility ID] = clean[[#This Row],[Facility ID]]) * ([1]!hcahps[HCAHPS Measure ID] = "H_HSP_RATING_LINEAR_SCORE"), [1]!hcahps[HCAHPS Linear Mean Value]), "No Match")</f>
        <v>87</v>
      </c>
      <c r="F5268" cm="1">
        <f t="array" ref="F5268">_xlfn.IFNA(_xlfn.XLOOKUP(1,([1]!readmissions[Facility ID] = clean[[#This Row],[Facility ID]]) * ([1]!readmissions[Measure ID] = "Hybrid_HWR"), [1]!readmissions[Score]), "No Match")</f>
        <v>14.1</v>
      </c>
    </row>
    <row r="5269" spans="1:6" x14ac:dyDescent="0.2">
      <c r="A5269">
        <f>[1]!hospitalinfo[[#This Row],[Facility ID]]</f>
        <v>520212</v>
      </c>
      <c r="B5269" t="str">
        <f>[1]!hospitalinfo[[#This Row],[State]]</f>
        <v>WI</v>
      </c>
      <c r="C5269" t="str">
        <f>[1]!hospitalinfo[[#This Row],[Hospital Type]]</f>
        <v>Acute Care Hospitals</v>
      </c>
      <c r="D5269" t="str">
        <f>[1]!hospitalinfo[[#This Row],[Hospital Ownership]]</f>
        <v>Voluntary non-profit - Private</v>
      </c>
      <c r="E5269" cm="1">
        <f t="array" ref="E5269">_xlfn.IFNA(_xlfn.XLOOKUP(1,([1]!hcahps[Facility ID] = clean[[#This Row],[Facility ID]]) * ([1]!hcahps[HCAHPS Measure ID] = "H_HSP_RATING_LINEAR_SCORE"), [1]!hcahps[HCAHPS Linear Mean Value]), "No Match")</f>
        <v>92</v>
      </c>
      <c r="F5269" cm="1">
        <f t="array" ref="F5269">_xlfn.IFNA(_xlfn.XLOOKUP(1,([1]!readmissions[Facility ID] = clean[[#This Row],[Facility ID]]) * ([1]!readmissions[Measure ID] = "Hybrid_HWR"), [1]!readmissions[Score]), "No Match")</f>
        <v>15.2</v>
      </c>
    </row>
    <row r="5270" spans="1:6" x14ac:dyDescent="0.2">
      <c r="A5270">
        <f>[1]!hospitalinfo[[#This Row],[Facility ID]]</f>
        <v>520213</v>
      </c>
      <c r="B5270" t="str">
        <f>[1]!hospitalinfo[[#This Row],[State]]</f>
        <v>WI</v>
      </c>
      <c r="C5270" t="str">
        <f>[1]!hospitalinfo[[#This Row],[Hospital Type]]</f>
        <v>Acute Care Hospitals</v>
      </c>
      <c r="D5270" t="str">
        <f>[1]!hospitalinfo[[#This Row],[Hospital Ownership]]</f>
        <v>Voluntary non-profit - Private</v>
      </c>
      <c r="E5270" cm="1">
        <f t="array" ref="E5270">_xlfn.IFNA(_xlfn.XLOOKUP(1,([1]!hcahps[Facility ID] = clean[[#This Row],[Facility ID]]) * ([1]!hcahps[HCAHPS Measure ID] = "H_HSP_RATING_LINEAR_SCORE"), [1]!hcahps[HCAHPS Linear Mean Value]), "No Match")</f>
        <v>93</v>
      </c>
      <c r="F5270" cm="1">
        <f t="array" ref="F5270">_xlfn.IFNA(_xlfn.XLOOKUP(1,([1]!readmissions[Facility ID] = clean[[#This Row],[Facility ID]]) * ([1]!readmissions[Measure ID] = "Hybrid_HWR"), [1]!readmissions[Score]), "No Match")</f>
        <v>14.8</v>
      </c>
    </row>
    <row r="5271" spans="1:6" x14ac:dyDescent="0.2">
      <c r="A5271">
        <f>[1]!hospitalinfo[[#This Row],[Facility ID]]</f>
        <v>520214</v>
      </c>
      <c r="B5271" t="str">
        <f>[1]!hospitalinfo[[#This Row],[State]]</f>
        <v>WI</v>
      </c>
      <c r="C5271" t="str">
        <f>[1]!hospitalinfo[[#This Row],[Hospital Type]]</f>
        <v>Acute Care Hospitals</v>
      </c>
      <c r="D5271" t="str">
        <f>[1]!hospitalinfo[[#This Row],[Hospital Ownership]]</f>
        <v>Proprietary</v>
      </c>
      <c r="E5271" t="str" cm="1">
        <f t="array" ref="E5271">_xlfn.IFNA(_xlfn.XLOOKUP(1,([1]!hcahps[Facility ID] = clean[[#This Row],[Facility ID]]) * ([1]!hcahps[HCAHPS Measure ID] = "H_HSP_RATING_LINEAR_SCORE"), [1]!hcahps[HCAHPS Linear Mean Value]), "No Match")</f>
        <v>Not Available</v>
      </c>
      <c r="F5271" cm="1">
        <f t="array" ref="F5271">_xlfn.IFNA(_xlfn.XLOOKUP(1,([1]!readmissions[Facility ID] = clean[[#This Row],[Facility ID]]) * ([1]!readmissions[Measure ID] = "Hybrid_HWR"), [1]!readmissions[Score]), "No Match")</f>
        <v>15.4</v>
      </c>
    </row>
    <row r="5272" spans="1:6" x14ac:dyDescent="0.2">
      <c r="A5272">
        <f>[1]!hospitalinfo[[#This Row],[Facility ID]]</f>
        <v>520215</v>
      </c>
      <c r="B5272" t="str">
        <f>[1]!hospitalinfo[[#This Row],[State]]</f>
        <v>WI</v>
      </c>
      <c r="C5272" t="str">
        <f>[1]!hospitalinfo[[#This Row],[Hospital Type]]</f>
        <v>Acute Care Hospitals</v>
      </c>
      <c r="D5272" t="str">
        <f>[1]!hospitalinfo[[#This Row],[Hospital Ownership]]</f>
        <v>Voluntary non-profit - Private</v>
      </c>
      <c r="E5272" t="str" cm="1">
        <f t="array" ref="E5272">_xlfn.IFNA(_xlfn.XLOOKUP(1,([1]!hcahps[Facility ID] = clean[[#This Row],[Facility ID]]) * ([1]!hcahps[HCAHPS Measure ID] = "H_HSP_RATING_LINEAR_SCORE"), [1]!hcahps[HCAHPS Linear Mean Value]), "No Match")</f>
        <v>Not Available</v>
      </c>
      <c r="F5272" cm="1">
        <f t="array" ref="F5272">_xlfn.IFNA(_xlfn.XLOOKUP(1,([1]!readmissions[Facility ID] = clean[[#This Row],[Facility ID]]) * ([1]!readmissions[Measure ID] = "Hybrid_HWR"), [1]!readmissions[Score]), "No Match")</f>
        <v>14.8</v>
      </c>
    </row>
    <row r="5273" spans="1:6" x14ac:dyDescent="0.2">
      <c r="A5273">
        <f>[1]!hospitalinfo[[#This Row],[Facility ID]]</f>
        <v>521300</v>
      </c>
      <c r="B5273" t="str">
        <f>[1]!hospitalinfo[[#This Row],[State]]</f>
        <v>WI</v>
      </c>
      <c r="C5273" t="str">
        <f>[1]!hospitalinfo[[#This Row],[Hospital Type]]</f>
        <v>Critical Access Hospitals</v>
      </c>
      <c r="D5273" t="str">
        <f>[1]!hospitalinfo[[#This Row],[Hospital Ownership]]</f>
        <v>Voluntary non-profit - Private</v>
      </c>
      <c r="E5273" t="str" cm="1">
        <f t="array" ref="E5273">_xlfn.IFNA(_xlfn.XLOOKUP(1,([1]!hcahps[Facility ID] = clean[[#This Row],[Facility ID]]) * ([1]!hcahps[HCAHPS Measure ID] = "H_HSP_RATING_LINEAR_SCORE"), [1]!hcahps[HCAHPS Linear Mean Value]), "No Match")</f>
        <v>Not Available</v>
      </c>
      <c r="F5273" cm="1">
        <f t="array" ref="F5273">_xlfn.IFNA(_xlfn.XLOOKUP(1,([1]!readmissions[Facility ID] = clean[[#This Row],[Facility ID]]) * ([1]!readmissions[Measure ID] = "Hybrid_HWR"), [1]!readmissions[Score]), "No Match")</f>
        <v>15.5</v>
      </c>
    </row>
    <row r="5274" spans="1:6" x14ac:dyDescent="0.2">
      <c r="A5274">
        <f>[1]!hospitalinfo[[#This Row],[Facility ID]]</f>
        <v>521302</v>
      </c>
      <c r="B5274" t="str">
        <f>[1]!hospitalinfo[[#This Row],[State]]</f>
        <v>WI</v>
      </c>
      <c r="C5274" t="str">
        <f>[1]!hospitalinfo[[#This Row],[Hospital Type]]</f>
        <v>Critical Access Hospitals</v>
      </c>
      <c r="D5274" t="str">
        <f>[1]!hospitalinfo[[#This Row],[Hospital Ownership]]</f>
        <v>Voluntary non-profit - Other</v>
      </c>
      <c r="E5274" cm="1">
        <f t="array" ref="E5274">_xlfn.IFNA(_xlfn.XLOOKUP(1,([1]!hcahps[Facility ID] = clean[[#This Row],[Facility ID]]) * ([1]!hcahps[HCAHPS Measure ID] = "H_HSP_RATING_LINEAR_SCORE"), [1]!hcahps[HCAHPS Linear Mean Value]), "No Match")</f>
        <v>92</v>
      </c>
      <c r="F5274" cm="1">
        <f t="array" ref="F5274">_xlfn.IFNA(_xlfn.XLOOKUP(1,([1]!readmissions[Facility ID] = clean[[#This Row],[Facility ID]]) * ([1]!readmissions[Measure ID] = "Hybrid_HWR"), [1]!readmissions[Score]), "No Match")</f>
        <v>14.9</v>
      </c>
    </row>
    <row r="5275" spans="1:6" x14ac:dyDescent="0.2">
      <c r="A5275">
        <f>[1]!hospitalinfo[[#This Row],[Facility ID]]</f>
        <v>521303</v>
      </c>
      <c r="B5275" t="str">
        <f>[1]!hospitalinfo[[#This Row],[State]]</f>
        <v>WI</v>
      </c>
      <c r="C5275" t="str">
        <f>[1]!hospitalinfo[[#This Row],[Hospital Type]]</f>
        <v>Critical Access Hospitals</v>
      </c>
      <c r="D5275" t="str">
        <f>[1]!hospitalinfo[[#This Row],[Hospital Ownership]]</f>
        <v>Voluntary non-profit - Private</v>
      </c>
      <c r="E5275" t="str" cm="1">
        <f t="array" ref="E5275">_xlfn.IFNA(_xlfn.XLOOKUP(1,([1]!hcahps[Facility ID] = clean[[#This Row],[Facility ID]]) * ([1]!hcahps[HCAHPS Measure ID] = "H_HSP_RATING_LINEAR_SCORE"), [1]!hcahps[HCAHPS Linear Mean Value]), "No Match")</f>
        <v>Not Available</v>
      </c>
      <c r="F5275" t="str" cm="1">
        <f t="array" ref="F5275">_xlfn.IFNA(_xlfn.XLOOKUP(1,([1]!readmissions[Facility ID] = clean[[#This Row],[Facility ID]]) * ([1]!readmissions[Measure ID] = "Hybrid_HWR"), [1]!readmissions[Score]), "No Match")</f>
        <v>Not Available</v>
      </c>
    </row>
    <row r="5276" spans="1:6" x14ac:dyDescent="0.2">
      <c r="A5276">
        <f>[1]!hospitalinfo[[#This Row],[Facility ID]]</f>
        <v>521304</v>
      </c>
      <c r="B5276" t="str">
        <f>[1]!hospitalinfo[[#This Row],[State]]</f>
        <v>WI</v>
      </c>
      <c r="C5276" t="str">
        <f>[1]!hospitalinfo[[#This Row],[Hospital Type]]</f>
        <v>Critical Access Hospitals</v>
      </c>
      <c r="D5276" t="str">
        <f>[1]!hospitalinfo[[#This Row],[Hospital Ownership]]</f>
        <v>Voluntary non-profit - Private</v>
      </c>
      <c r="E5276" t="str" cm="1">
        <f t="array" ref="E5276">_xlfn.IFNA(_xlfn.XLOOKUP(1,([1]!hcahps[Facility ID] = clean[[#This Row],[Facility ID]]) * ([1]!hcahps[HCAHPS Measure ID] = "H_HSP_RATING_LINEAR_SCORE"), [1]!hcahps[HCAHPS Linear Mean Value]), "No Match")</f>
        <v>Not Available</v>
      </c>
      <c r="F5276" cm="1">
        <f t="array" ref="F5276">_xlfn.IFNA(_xlfn.XLOOKUP(1,([1]!readmissions[Facility ID] = clean[[#This Row],[Facility ID]]) * ([1]!readmissions[Measure ID] = "Hybrid_HWR"), [1]!readmissions[Score]), "No Match")</f>
        <v>14.8</v>
      </c>
    </row>
    <row r="5277" spans="1:6" x14ac:dyDescent="0.2">
      <c r="A5277">
        <f>[1]!hospitalinfo[[#This Row],[Facility ID]]</f>
        <v>521305</v>
      </c>
      <c r="B5277" t="str">
        <f>[1]!hospitalinfo[[#This Row],[State]]</f>
        <v>WI</v>
      </c>
      <c r="C5277" t="str">
        <f>[1]!hospitalinfo[[#This Row],[Hospital Type]]</f>
        <v>Critical Access Hospitals</v>
      </c>
      <c r="D5277" t="str">
        <f>[1]!hospitalinfo[[#This Row],[Hospital Ownership]]</f>
        <v>Voluntary non-profit - Church</v>
      </c>
      <c r="E5277" t="str" cm="1">
        <f t="array" ref="E5277">_xlfn.IFNA(_xlfn.XLOOKUP(1,([1]!hcahps[Facility ID] = clean[[#This Row],[Facility ID]]) * ([1]!hcahps[HCAHPS Measure ID] = "H_HSP_RATING_LINEAR_SCORE"), [1]!hcahps[HCAHPS Linear Mean Value]), "No Match")</f>
        <v>Not Available</v>
      </c>
      <c r="F5277" cm="1">
        <f t="array" ref="F5277">_xlfn.IFNA(_xlfn.XLOOKUP(1,([1]!readmissions[Facility ID] = clean[[#This Row],[Facility ID]]) * ([1]!readmissions[Measure ID] = "Hybrid_HWR"), [1]!readmissions[Score]), "No Match")</f>
        <v>14.9</v>
      </c>
    </row>
    <row r="5278" spans="1:6" x14ac:dyDescent="0.2">
      <c r="A5278">
        <f>[1]!hospitalinfo[[#This Row],[Facility ID]]</f>
        <v>521307</v>
      </c>
      <c r="B5278" t="str">
        <f>[1]!hospitalinfo[[#This Row],[State]]</f>
        <v>WI</v>
      </c>
      <c r="C5278" t="str">
        <f>[1]!hospitalinfo[[#This Row],[Hospital Type]]</f>
        <v>Critical Access Hospitals</v>
      </c>
      <c r="D5278" t="str">
        <f>[1]!hospitalinfo[[#This Row],[Hospital Ownership]]</f>
        <v>Voluntary non-profit - Church</v>
      </c>
      <c r="E5278" t="str" cm="1">
        <f t="array" ref="E5278">_xlfn.IFNA(_xlfn.XLOOKUP(1,([1]!hcahps[Facility ID] = clean[[#This Row],[Facility ID]]) * ([1]!hcahps[HCAHPS Measure ID] = "H_HSP_RATING_LINEAR_SCORE"), [1]!hcahps[HCAHPS Linear Mean Value]), "No Match")</f>
        <v>Not Available</v>
      </c>
      <c r="F5278" t="str" cm="1">
        <f t="array" ref="F5278">_xlfn.IFNA(_xlfn.XLOOKUP(1,([1]!readmissions[Facility ID] = clean[[#This Row],[Facility ID]]) * ([1]!readmissions[Measure ID] = "Hybrid_HWR"), [1]!readmissions[Score]), "No Match")</f>
        <v>Not Available</v>
      </c>
    </row>
    <row r="5279" spans="1:6" x14ac:dyDescent="0.2">
      <c r="A5279">
        <f>[1]!hospitalinfo[[#This Row],[Facility ID]]</f>
        <v>521308</v>
      </c>
      <c r="B5279" t="str">
        <f>[1]!hospitalinfo[[#This Row],[State]]</f>
        <v>WI</v>
      </c>
      <c r="C5279" t="str">
        <f>[1]!hospitalinfo[[#This Row],[Hospital Type]]</f>
        <v>Critical Access Hospitals</v>
      </c>
      <c r="D5279" t="str">
        <f>[1]!hospitalinfo[[#This Row],[Hospital Ownership]]</f>
        <v>Voluntary non-profit - Private</v>
      </c>
      <c r="E5279" cm="1">
        <f t="array" ref="E5279">_xlfn.IFNA(_xlfn.XLOOKUP(1,([1]!hcahps[Facility ID] = clean[[#This Row],[Facility ID]]) * ([1]!hcahps[HCAHPS Measure ID] = "H_HSP_RATING_LINEAR_SCORE"), [1]!hcahps[HCAHPS Linear Mean Value]), "No Match")</f>
        <v>92</v>
      </c>
      <c r="F5279" cm="1">
        <f t="array" ref="F5279">_xlfn.IFNA(_xlfn.XLOOKUP(1,([1]!readmissions[Facility ID] = clean[[#This Row],[Facility ID]]) * ([1]!readmissions[Measure ID] = "Hybrid_HWR"), [1]!readmissions[Score]), "No Match")</f>
        <v>14.5</v>
      </c>
    </row>
    <row r="5280" spans="1:6" x14ac:dyDescent="0.2">
      <c r="A5280">
        <f>[1]!hospitalinfo[[#This Row],[Facility ID]]</f>
        <v>521309</v>
      </c>
      <c r="B5280" t="str">
        <f>[1]!hospitalinfo[[#This Row],[State]]</f>
        <v>WI</v>
      </c>
      <c r="C5280" t="str">
        <f>[1]!hospitalinfo[[#This Row],[Hospital Type]]</f>
        <v>Critical Access Hospitals</v>
      </c>
      <c r="D5280" t="str">
        <f>[1]!hospitalinfo[[#This Row],[Hospital Ownership]]</f>
        <v>Voluntary non-profit - Private</v>
      </c>
      <c r="E5280" t="str" cm="1">
        <f t="array" ref="E5280">_xlfn.IFNA(_xlfn.XLOOKUP(1,([1]!hcahps[Facility ID] = clean[[#This Row],[Facility ID]]) * ([1]!hcahps[HCAHPS Measure ID] = "H_HSP_RATING_LINEAR_SCORE"), [1]!hcahps[HCAHPS Linear Mean Value]), "No Match")</f>
        <v>Not Available</v>
      </c>
      <c r="F5280" cm="1">
        <f t="array" ref="F5280">_xlfn.IFNA(_xlfn.XLOOKUP(1,([1]!readmissions[Facility ID] = clean[[#This Row],[Facility ID]]) * ([1]!readmissions[Measure ID] = "Hybrid_HWR"), [1]!readmissions[Score]), "No Match")</f>
        <v>14.9</v>
      </c>
    </row>
    <row r="5281" spans="1:6" x14ac:dyDescent="0.2">
      <c r="A5281">
        <f>[1]!hospitalinfo[[#This Row],[Facility ID]]</f>
        <v>521310</v>
      </c>
      <c r="B5281" t="str">
        <f>[1]!hospitalinfo[[#This Row],[State]]</f>
        <v>WI</v>
      </c>
      <c r="C5281" t="str">
        <f>[1]!hospitalinfo[[#This Row],[Hospital Type]]</f>
        <v>Critical Access Hospitals</v>
      </c>
      <c r="D5281" t="str">
        <f>[1]!hospitalinfo[[#This Row],[Hospital Ownership]]</f>
        <v>Voluntary non-profit - Private</v>
      </c>
      <c r="E5281" t="str" cm="1">
        <f t="array" ref="E5281">_xlfn.IFNA(_xlfn.XLOOKUP(1,([1]!hcahps[Facility ID] = clean[[#This Row],[Facility ID]]) * ([1]!hcahps[HCAHPS Measure ID] = "H_HSP_RATING_LINEAR_SCORE"), [1]!hcahps[HCAHPS Linear Mean Value]), "No Match")</f>
        <v>Not Available</v>
      </c>
      <c r="F5281" t="str" cm="1">
        <f t="array" ref="F5281">_xlfn.IFNA(_xlfn.XLOOKUP(1,([1]!readmissions[Facility ID] = clean[[#This Row],[Facility ID]]) * ([1]!readmissions[Measure ID] = "Hybrid_HWR"), [1]!readmissions[Score]), "No Match")</f>
        <v>Not Available</v>
      </c>
    </row>
    <row r="5282" spans="1:6" x14ac:dyDescent="0.2">
      <c r="A5282">
        <f>[1]!hospitalinfo[[#This Row],[Facility ID]]</f>
        <v>521311</v>
      </c>
      <c r="B5282" t="str">
        <f>[1]!hospitalinfo[[#This Row],[State]]</f>
        <v>WI</v>
      </c>
      <c r="C5282" t="str">
        <f>[1]!hospitalinfo[[#This Row],[Hospital Type]]</f>
        <v>Critical Access Hospitals</v>
      </c>
      <c r="D5282" t="str">
        <f>[1]!hospitalinfo[[#This Row],[Hospital Ownership]]</f>
        <v>Voluntary non-profit - Private</v>
      </c>
      <c r="E5282" t="str" cm="1">
        <f t="array" ref="E5282">_xlfn.IFNA(_xlfn.XLOOKUP(1,([1]!hcahps[Facility ID] = clean[[#This Row],[Facility ID]]) * ([1]!hcahps[HCAHPS Measure ID] = "H_HSP_RATING_LINEAR_SCORE"), [1]!hcahps[HCAHPS Linear Mean Value]), "No Match")</f>
        <v>Not Available</v>
      </c>
      <c r="F5282" cm="1">
        <f t="array" ref="F5282">_xlfn.IFNA(_xlfn.XLOOKUP(1,([1]!readmissions[Facility ID] = clean[[#This Row],[Facility ID]]) * ([1]!readmissions[Measure ID] = "Hybrid_HWR"), [1]!readmissions[Score]), "No Match")</f>
        <v>14.8</v>
      </c>
    </row>
    <row r="5283" spans="1:6" x14ac:dyDescent="0.2">
      <c r="A5283">
        <f>[1]!hospitalinfo[[#This Row],[Facility ID]]</f>
        <v>521312</v>
      </c>
      <c r="B5283" t="str">
        <f>[1]!hospitalinfo[[#This Row],[State]]</f>
        <v>WI</v>
      </c>
      <c r="C5283" t="str">
        <f>[1]!hospitalinfo[[#This Row],[Hospital Type]]</f>
        <v>Critical Access Hospitals</v>
      </c>
      <c r="D5283" t="str">
        <f>[1]!hospitalinfo[[#This Row],[Hospital Ownership]]</f>
        <v>Voluntary non-profit - Other</v>
      </c>
      <c r="E5283" t="str" cm="1">
        <f t="array" ref="E5283">_xlfn.IFNA(_xlfn.XLOOKUP(1,([1]!hcahps[Facility ID] = clean[[#This Row],[Facility ID]]) * ([1]!hcahps[HCAHPS Measure ID] = "H_HSP_RATING_LINEAR_SCORE"), [1]!hcahps[HCAHPS Linear Mean Value]), "No Match")</f>
        <v>Not Available</v>
      </c>
      <c r="F5283" cm="1">
        <f t="array" ref="F5283">_xlfn.IFNA(_xlfn.XLOOKUP(1,([1]!readmissions[Facility ID] = clean[[#This Row],[Facility ID]]) * ([1]!readmissions[Measure ID] = "Hybrid_HWR"), [1]!readmissions[Score]), "No Match")</f>
        <v>14.9</v>
      </c>
    </row>
    <row r="5284" spans="1:6" x14ac:dyDescent="0.2">
      <c r="A5284">
        <f>[1]!hospitalinfo[[#This Row],[Facility ID]]</f>
        <v>521313</v>
      </c>
      <c r="B5284" t="str">
        <f>[1]!hospitalinfo[[#This Row],[State]]</f>
        <v>WI</v>
      </c>
      <c r="C5284" t="str">
        <f>[1]!hospitalinfo[[#This Row],[Hospital Type]]</f>
        <v>Critical Access Hospitals</v>
      </c>
      <c r="D5284" t="str">
        <f>[1]!hospitalinfo[[#This Row],[Hospital Ownership]]</f>
        <v>Voluntary non-profit - Private</v>
      </c>
      <c r="E5284" t="str" cm="1">
        <f t="array" ref="E5284">_xlfn.IFNA(_xlfn.XLOOKUP(1,([1]!hcahps[Facility ID] = clean[[#This Row],[Facility ID]]) * ([1]!hcahps[HCAHPS Measure ID] = "H_HSP_RATING_LINEAR_SCORE"), [1]!hcahps[HCAHPS Linear Mean Value]), "No Match")</f>
        <v>Not Available</v>
      </c>
      <c r="F5284" cm="1">
        <f t="array" ref="F5284">_xlfn.IFNA(_xlfn.XLOOKUP(1,([1]!readmissions[Facility ID] = clean[[#This Row],[Facility ID]]) * ([1]!readmissions[Measure ID] = "Hybrid_HWR"), [1]!readmissions[Score]), "No Match")</f>
        <v>14.1</v>
      </c>
    </row>
    <row r="5285" spans="1:6" x14ac:dyDescent="0.2">
      <c r="A5285">
        <f>[1]!hospitalinfo[[#This Row],[Facility ID]]</f>
        <v>521314</v>
      </c>
      <c r="B5285" t="str">
        <f>[1]!hospitalinfo[[#This Row],[State]]</f>
        <v>WI</v>
      </c>
      <c r="C5285" t="str">
        <f>[1]!hospitalinfo[[#This Row],[Hospital Type]]</f>
        <v>Critical Access Hospitals</v>
      </c>
      <c r="D5285" t="str">
        <f>[1]!hospitalinfo[[#This Row],[Hospital Ownership]]</f>
        <v>Voluntary non-profit - Private</v>
      </c>
      <c r="E5285" cm="1">
        <f t="array" ref="E5285">_xlfn.IFNA(_xlfn.XLOOKUP(1,([1]!hcahps[Facility ID] = clean[[#This Row],[Facility ID]]) * ([1]!hcahps[HCAHPS Measure ID] = "H_HSP_RATING_LINEAR_SCORE"), [1]!hcahps[HCAHPS Linear Mean Value]), "No Match")</f>
        <v>89</v>
      </c>
      <c r="F5285" cm="1">
        <f t="array" ref="F5285">_xlfn.IFNA(_xlfn.XLOOKUP(1,([1]!readmissions[Facility ID] = clean[[#This Row],[Facility ID]]) * ([1]!readmissions[Measure ID] = "Hybrid_HWR"), [1]!readmissions[Score]), "No Match")</f>
        <v>14.4</v>
      </c>
    </row>
    <row r="5286" spans="1:6" x14ac:dyDescent="0.2">
      <c r="A5286">
        <f>[1]!hospitalinfo[[#This Row],[Facility ID]]</f>
        <v>521315</v>
      </c>
      <c r="B5286" t="str">
        <f>[1]!hospitalinfo[[#This Row],[State]]</f>
        <v>WI</v>
      </c>
      <c r="C5286" t="str">
        <f>[1]!hospitalinfo[[#This Row],[Hospital Type]]</f>
        <v>Critical Access Hospitals</v>
      </c>
      <c r="D5286" t="str">
        <f>[1]!hospitalinfo[[#This Row],[Hospital Ownership]]</f>
        <v>Voluntary non-profit - Private</v>
      </c>
      <c r="E5286" cm="1">
        <f t="array" ref="E5286">_xlfn.IFNA(_xlfn.XLOOKUP(1,([1]!hcahps[Facility ID] = clean[[#This Row],[Facility ID]]) * ([1]!hcahps[HCAHPS Measure ID] = "H_HSP_RATING_LINEAR_SCORE"), [1]!hcahps[HCAHPS Linear Mean Value]), "No Match")</f>
        <v>90</v>
      </c>
      <c r="F5286" cm="1">
        <f t="array" ref="F5286">_xlfn.IFNA(_xlfn.XLOOKUP(1,([1]!readmissions[Facility ID] = clean[[#This Row],[Facility ID]]) * ([1]!readmissions[Measure ID] = "Hybrid_HWR"), [1]!readmissions[Score]), "No Match")</f>
        <v>14.4</v>
      </c>
    </row>
    <row r="5287" spans="1:6" x14ac:dyDescent="0.2">
      <c r="A5287">
        <f>[1]!hospitalinfo[[#This Row],[Facility ID]]</f>
        <v>521316</v>
      </c>
      <c r="B5287" t="str">
        <f>[1]!hospitalinfo[[#This Row],[State]]</f>
        <v>WI</v>
      </c>
      <c r="C5287" t="str">
        <f>[1]!hospitalinfo[[#This Row],[Hospital Type]]</f>
        <v>Critical Access Hospitals</v>
      </c>
      <c r="D5287" t="str">
        <f>[1]!hospitalinfo[[#This Row],[Hospital Ownership]]</f>
        <v>Voluntary non-profit - Private</v>
      </c>
      <c r="E5287" t="str" cm="1">
        <f t="array" ref="E5287">_xlfn.IFNA(_xlfn.XLOOKUP(1,([1]!hcahps[Facility ID] = clean[[#This Row],[Facility ID]]) * ([1]!hcahps[HCAHPS Measure ID] = "H_HSP_RATING_LINEAR_SCORE"), [1]!hcahps[HCAHPS Linear Mean Value]), "No Match")</f>
        <v>Not Available</v>
      </c>
      <c r="F5287" cm="1">
        <f t="array" ref="F5287">_xlfn.IFNA(_xlfn.XLOOKUP(1,([1]!readmissions[Facility ID] = clean[[#This Row],[Facility ID]]) * ([1]!readmissions[Measure ID] = "Hybrid_HWR"), [1]!readmissions[Score]), "No Match")</f>
        <v>14.6</v>
      </c>
    </row>
    <row r="5288" spans="1:6" x14ac:dyDescent="0.2">
      <c r="A5288">
        <f>[1]!hospitalinfo[[#This Row],[Facility ID]]</f>
        <v>521317</v>
      </c>
      <c r="B5288" t="str">
        <f>[1]!hospitalinfo[[#This Row],[State]]</f>
        <v>WI</v>
      </c>
      <c r="C5288" t="str">
        <f>[1]!hospitalinfo[[#This Row],[Hospital Type]]</f>
        <v>Critical Access Hospitals</v>
      </c>
      <c r="D5288" t="str">
        <f>[1]!hospitalinfo[[#This Row],[Hospital Ownership]]</f>
        <v>Voluntary non-profit - Private</v>
      </c>
      <c r="E5288" t="str" cm="1">
        <f t="array" ref="E5288">_xlfn.IFNA(_xlfn.XLOOKUP(1,([1]!hcahps[Facility ID] = clean[[#This Row],[Facility ID]]) * ([1]!hcahps[HCAHPS Measure ID] = "H_HSP_RATING_LINEAR_SCORE"), [1]!hcahps[HCAHPS Linear Mean Value]), "No Match")</f>
        <v>Not Available</v>
      </c>
      <c r="F5288" t="str" cm="1">
        <f t="array" ref="F5288">_xlfn.IFNA(_xlfn.XLOOKUP(1,([1]!readmissions[Facility ID] = clean[[#This Row],[Facility ID]]) * ([1]!readmissions[Measure ID] = "Hybrid_HWR"), [1]!readmissions[Score]), "No Match")</f>
        <v>Not Available</v>
      </c>
    </row>
    <row r="5289" spans="1:6" x14ac:dyDescent="0.2">
      <c r="A5289">
        <f>[1]!hospitalinfo[[#This Row],[Facility ID]]</f>
        <v>521318</v>
      </c>
      <c r="B5289" t="str">
        <f>[1]!hospitalinfo[[#This Row],[State]]</f>
        <v>WI</v>
      </c>
      <c r="C5289" t="str">
        <f>[1]!hospitalinfo[[#This Row],[Hospital Type]]</f>
        <v>Critical Access Hospitals</v>
      </c>
      <c r="D5289" t="str">
        <f>[1]!hospitalinfo[[#This Row],[Hospital Ownership]]</f>
        <v>Voluntary non-profit - Private</v>
      </c>
      <c r="E5289" cm="1">
        <f t="array" ref="E5289">_xlfn.IFNA(_xlfn.XLOOKUP(1,([1]!hcahps[Facility ID] = clean[[#This Row],[Facility ID]]) * ([1]!hcahps[HCAHPS Measure ID] = "H_HSP_RATING_LINEAR_SCORE"), [1]!hcahps[HCAHPS Linear Mean Value]), "No Match")</f>
        <v>89</v>
      </c>
      <c r="F5289" cm="1">
        <f t="array" ref="F5289">_xlfn.IFNA(_xlfn.XLOOKUP(1,([1]!readmissions[Facility ID] = clean[[#This Row],[Facility ID]]) * ([1]!readmissions[Measure ID] = "Hybrid_HWR"), [1]!readmissions[Score]), "No Match")</f>
        <v>14.8</v>
      </c>
    </row>
    <row r="5290" spans="1:6" x14ac:dyDescent="0.2">
      <c r="A5290">
        <f>[1]!hospitalinfo[[#This Row],[Facility ID]]</f>
        <v>521319</v>
      </c>
      <c r="B5290" t="str">
        <f>[1]!hospitalinfo[[#This Row],[State]]</f>
        <v>WI</v>
      </c>
      <c r="C5290" t="str">
        <f>[1]!hospitalinfo[[#This Row],[Hospital Type]]</f>
        <v>Critical Access Hospitals</v>
      </c>
      <c r="D5290" t="str">
        <f>[1]!hospitalinfo[[#This Row],[Hospital Ownership]]</f>
        <v>Voluntary non-profit - Private</v>
      </c>
      <c r="E5290" t="str" cm="1">
        <f t="array" ref="E5290">_xlfn.IFNA(_xlfn.XLOOKUP(1,([1]!hcahps[Facility ID] = clean[[#This Row],[Facility ID]]) * ([1]!hcahps[HCAHPS Measure ID] = "H_HSP_RATING_LINEAR_SCORE"), [1]!hcahps[HCAHPS Linear Mean Value]), "No Match")</f>
        <v>Not Available</v>
      </c>
      <c r="F5290" cm="1">
        <f t="array" ref="F5290">_xlfn.IFNA(_xlfn.XLOOKUP(1,([1]!readmissions[Facility ID] = clean[[#This Row],[Facility ID]]) * ([1]!readmissions[Measure ID] = "Hybrid_HWR"), [1]!readmissions[Score]), "No Match")</f>
        <v>14.8</v>
      </c>
    </row>
    <row r="5291" spans="1:6" x14ac:dyDescent="0.2">
      <c r="A5291">
        <f>[1]!hospitalinfo[[#This Row],[Facility ID]]</f>
        <v>521320</v>
      </c>
      <c r="B5291" t="str">
        <f>[1]!hospitalinfo[[#This Row],[State]]</f>
        <v>WI</v>
      </c>
      <c r="C5291" t="str">
        <f>[1]!hospitalinfo[[#This Row],[Hospital Type]]</f>
        <v>Critical Access Hospitals</v>
      </c>
      <c r="D5291" t="str">
        <f>[1]!hospitalinfo[[#This Row],[Hospital Ownership]]</f>
        <v>Voluntary non-profit - Private</v>
      </c>
      <c r="E5291" cm="1">
        <f t="array" ref="E5291">_xlfn.IFNA(_xlfn.XLOOKUP(1,([1]!hcahps[Facility ID] = clean[[#This Row],[Facility ID]]) * ([1]!hcahps[HCAHPS Measure ID] = "H_HSP_RATING_LINEAR_SCORE"), [1]!hcahps[HCAHPS Linear Mean Value]), "No Match")</f>
        <v>95</v>
      </c>
      <c r="F5291" cm="1">
        <f t="array" ref="F5291">_xlfn.IFNA(_xlfn.XLOOKUP(1,([1]!readmissions[Facility ID] = clean[[#This Row],[Facility ID]]) * ([1]!readmissions[Measure ID] = "Hybrid_HWR"), [1]!readmissions[Score]), "No Match")</f>
        <v>14.6</v>
      </c>
    </row>
    <row r="5292" spans="1:6" x14ac:dyDescent="0.2">
      <c r="A5292">
        <f>[1]!hospitalinfo[[#This Row],[Facility ID]]</f>
        <v>521321</v>
      </c>
      <c r="B5292" t="str">
        <f>[1]!hospitalinfo[[#This Row],[State]]</f>
        <v>WI</v>
      </c>
      <c r="C5292" t="str">
        <f>[1]!hospitalinfo[[#This Row],[Hospital Type]]</f>
        <v>Critical Access Hospitals</v>
      </c>
      <c r="D5292" t="str">
        <f>[1]!hospitalinfo[[#This Row],[Hospital Ownership]]</f>
        <v>Voluntary non-profit - Private</v>
      </c>
      <c r="E5292" cm="1">
        <f t="array" ref="E5292">_xlfn.IFNA(_xlfn.XLOOKUP(1,([1]!hcahps[Facility ID] = clean[[#This Row],[Facility ID]]) * ([1]!hcahps[HCAHPS Measure ID] = "H_HSP_RATING_LINEAR_SCORE"), [1]!hcahps[HCAHPS Linear Mean Value]), "No Match")</f>
        <v>94</v>
      </c>
      <c r="F5292" cm="1">
        <f t="array" ref="F5292">_xlfn.IFNA(_xlfn.XLOOKUP(1,([1]!readmissions[Facility ID] = clean[[#This Row],[Facility ID]]) * ([1]!readmissions[Measure ID] = "Hybrid_HWR"), [1]!readmissions[Score]), "No Match")</f>
        <v>14.5</v>
      </c>
    </row>
    <row r="5293" spans="1:6" x14ac:dyDescent="0.2">
      <c r="A5293">
        <f>[1]!hospitalinfo[[#This Row],[Facility ID]]</f>
        <v>521322</v>
      </c>
      <c r="B5293" t="str">
        <f>[1]!hospitalinfo[[#This Row],[State]]</f>
        <v>WI</v>
      </c>
      <c r="C5293" t="str">
        <f>[1]!hospitalinfo[[#This Row],[Hospital Type]]</f>
        <v>Critical Access Hospitals</v>
      </c>
      <c r="D5293" t="str">
        <f>[1]!hospitalinfo[[#This Row],[Hospital Ownership]]</f>
        <v>Voluntary non-profit - Private</v>
      </c>
      <c r="E5293" t="str" cm="1">
        <f t="array" ref="E5293">_xlfn.IFNA(_xlfn.XLOOKUP(1,([1]!hcahps[Facility ID] = clean[[#This Row],[Facility ID]]) * ([1]!hcahps[HCAHPS Measure ID] = "H_HSP_RATING_LINEAR_SCORE"), [1]!hcahps[HCAHPS Linear Mean Value]), "No Match")</f>
        <v>Not Available</v>
      </c>
      <c r="F5293" cm="1">
        <f t="array" ref="F5293">_xlfn.IFNA(_xlfn.XLOOKUP(1,([1]!readmissions[Facility ID] = clean[[#This Row],[Facility ID]]) * ([1]!readmissions[Measure ID] = "Hybrid_HWR"), [1]!readmissions[Score]), "No Match")</f>
        <v>14.8</v>
      </c>
    </row>
    <row r="5294" spans="1:6" x14ac:dyDescent="0.2">
      <c r="A5294">
        <f>[1]!hospitalinfo[[#This Row],[Facility ID]]</f>
        <v>521323</v>
      </c>
      <c r="B5294" t="str">
        <f>[1]!hospitalinfo[[#This Row],[State]]</f>
        <v>WI</v>
      </c>
      <c r="C5294" t="str">
        <f>[1]!hospitalinfo[[#This Row],[Hospital Type]]</f>
        <v>Critical Access Hospitals</v>
      </c>
      <c r="D5294" t="str">
        <f>[1]!hospitalinfo[[#This Row],[Hospital Ownership]]</f>
        <v>Voluntary non-profit - Private</v>
      </c>
      <c r="E5294" t="str" cm="1">
        <f t="array" ref="E5294">_xlfn.IFNA(_xlfn.XLOOKUP(1,([1]!hcahps[Facility ID] = clean[[#This Row],[Facility ID]]) * ([1]!hcahps[HCAHPS Measure ID] = "H_HSP_RATING_LINEAR_SCORE"), [1]!hcahps[HCAHPS Linear Mean Value]), "No Match")</f>
        <v>Not Available</v>
      </c>
      <c r="F5294" cm="1">
        <f t="array" ref="F5294">_xlfn.IFNA(_xlfn.XLOOKUP(1,([1]!readmissions[Facility ID] = clean[[#This Row],[Facility ID]]) * ([1]!readmissions[Measure ID] = "Hybrid_HWR"), [1]!readmissions[Score]), "No Match")</f>
        <v>15.2</v>
      </c>
    </row>
    <row r="5295" spans="1:6" x14ac:dyDescent="0.2">
      <c r="A5295">
        <f>[1]!hospitalinfo[[#This Row],[Facility ID]]</f>
        <v>521324</v>
      </c>
      <c r="B5295" t="str">
        <f>[1]!hospitalinfo[[#This Row],[State]]</f>
        <v>WI</v>
      </c>
      <c r="C5295" t="str">
        <f>[1]!hospitalinfo[[#This Row],[Hospital Type]]</f>
        <v>Critical Access Hospitals</v>
      </c>
      <c r="D5295" t="str">
        <f>[1]!hospitalinfo[[#This Row],[Hospital Ownership]]</f>
        <v>Voluntary non-profit - Private</v>
      </c>
      <c r="E5295" cm="1">
        <f t="array" ref="E5295">_xlfn.IFNA(_xlfn.XLOOKUP(1,([1]!hcahps[Facility ID] = clean[[#This Row],[Facility ID]]) * ([1]!hcahps[HCAHPS Measure ID] = "H_HSP_RATING_LINEAR_SCORE"), [1]!hcahps[HCAHPS Linear Mean Value]), "No Match")</f>
        <v>93</v>
      </c>
      <c r="F5295" cm="1">
        <f t="array" ref="F5295">_xlfn.IFNA(_xlfn.XLOOKUP(1,([1]!readmissions[Facility ID] = clean[[#This Row],[Facility ID]]) * ([1]!readmissions[Measure ID] = "Hybrid_HWR"), [1]!readmissions[Score]), "No Match")</f>
        <v>14.4</v>
      </c>
    </row>
    <row r="5296" spans="1:6" x14ac:dyDescent="0.2">
      <c r="A5296">
        <f>[1]!hospitalinfo[[#This Row],[Facility ID]]</f>
        <v>521325</v>
      </c>
      <c r="B5296" t="str">
        <f>[1]!hospitalinfo[[#This Row],[State]]</f>
        <v>WI</v>
      </c>
      <c r="C5296" t="str">
        <f>[1]!hospitalinfo[[#This Row],[Hospital Type]]</f>
        <v>Critical Access Hospitals</v>
      </c>
      <c r="D5296" t="str">
        <f>[1]!hospitalinfo[[#This Row],[Hospital Ownership]]</f>
        <v>Voluntary non-profit - Private</v>
      </c>
      <c r="E5296" cm="1">
        <f t="array" ref="E5296">_xlfn.IFNA(_xlfn.XLOOKUP(1,([1]!hcahps[Facility ID] = clean[[#This Row],[Facility ID]]) * ([1]!hcahps[HCAHPS Measure ID] = "H_HSP_RATING_LINEAR_SCORE"), [1]!hcahps[HCAHPS Linear Mean Value]), "No Match")</f>
        <v>94</v>
      </c>
      <c r="F5296" cm="1">
        <f t="array" ref="F5296">_xlfn.IFNA(_xlfn.XLOOKUP(1,([1]!readmissions[Facility ID] = clean[[#This Row],[Facility ID]]) * ([1]!readmissions[Measure ID] = "Hybrid_HWR"), [1]!readmissions[Score]), "No Match")</f>
        <v>15.4</v>
      </c>
    </row>
    <row r="5297" spans="1:6" x14ac:dyDescent="0.2">
      <c r="A5297">
        <f>[1]!hospitalinfo[[#This Row],[Facility ID]]</f>
        <v>521326</v>
      </c>
      <c r="B5297" t="str">
        <f>[1]!hospitalinfo[[#This Row],[State]]</f>
        <v>WI</v>
      </c>
      <c r="C5297" t="str">
        <f>[1]!hospitalinfo[[#This Row],[Hospital Type]]</f>
        <v>Critical Access Hospitals</v>
      </c>
      <c r="D5297" t="str">
        <f>[1]!hospitalinfo[[#This Row],[Hospital Ownership]]</f>
        <v>Voluntary non-profit - Private</v>
      </c>
      <c r="E5297" cm="1">
        <f t="array" ref="E5297">_xlfn.IFNA(_xlfn.XLOOKUP(1,([1]!hcahps[Facility ID] = clean[[#This Row],[Facility ID]]) * ([1]!hcahps[HCAHPS Measure ID] = "H_HSP_RATING_LINEAR_SCORE"), [1]!hcahps[HCAHPS Linear Mean Value]), "No Match")</f>
        <v>89</v>
      </c>
      <c r="F5297" cm="1">
        <f t="array" ref="F5297">_xlfn.IFNA(_xlfn.XLOOKUP(1,([1]!readmissions[Facility ID] = clean[[#This Row],[Facility ID]]) * ([1]!readmissions[Measure ID] = "Hybrid_HWR"), [1]!readmissions[Score]), "No Match")</f>
        <v>14.9</v>
      </c>
    </row>
    <row r="5298" spans="1:6" x14ac:dyDescent="0.2">
      <c r="A5298">
        <f>[1]!hospitalinfo[[#This Row],[Facility ID]]</f>
        <v>521327</v>
      </c>
      <c r="B5298" t="str">
        <f>[1]!hospitalinfo[[#This Row],[State]]</f>
        <v>WI</v>
      </c>
      <c r="C5298" t="str">
        <f>[1]!hospitalinfo[[#This Row],[Hospital Type]]</f>
        <v>Critical Access Hospitals</v>
      </c>
      <c r="D5298" t="str">
        <f>[1]!hospitalinfo[[#This Row],[Hospital Ownership]]</f>
        <v>Voluntary non-profit - Private</v>
      </c>
      <c r="E5298" cm="1">
        <f t="array" ref="E5298">_xlfn.IFNA(_xlfn.XLOOKUP(1,([1]!hcahps[Facility ID] = clean[[#This Row],[Facility ID]]) * ([1]!hcahps[HCAHPS Measure ID] = "H_HSP_RATING_LINEAR_SCORE"), [1]!hcahps[HCAHPS Linear Mean Value]), "No Match")</f>
        <v>92</v>
      </c>
      <c r="F5298" cm="1">
        <f t="array" ref="F5298">_xlfn.IFNA(_xlfn.XLOOKUP(1,([1]!readmissions[Facility ID] = clean[[#This Row],[Facility ID]]) * ([1]!readmissions[Measure ID] = "Hybrid_HWR"), [1]!readmissions[Score]), "No Match")</f>
        <v>14.7</v>
      </c>
    </row>
    <row r="5299" spans="1:6" x14ac:dyDescent="0.2">
      <c r="A5299">
        <f>[1]!hospitalinfo[[#This Row],[Facility ID]]</f>
        <v>521328</v>
      </c>
      <c r="B5299" t="str">
        <f>[1]!hospitalinfo[[#This Row],[State]]</f>
        <v>WI</v>
      </c>
      <c r="C5299" t="str">
        <f>[1]!hospitalinfo[[#This Row],[Hospital Type]]</f>
        <v>Critical Access Hospitals</v>
      </c>
      <c r="D5299" t="str">
        <f>[1]!hospitalinfo[[#This Row],[Hospital Ownership]]</f>
        <v>Government - Hospital District or Authority</v>
      </c>
      <c r="E5299" t="str" cm="1">
        <f t="array" ref="E5299">_xlfn.IFNA(_xlfn.XLOOKUP(1,([1]!hcahps[Facility ID] = clean[[#This Row],[Facility ID]]) * ([1]!hcahps[HCAHPS Measure ID] = "H_HSP_RATING_LINEAR_SCORE"), [1]!hcahps[HCAHPS Linear Mean Value]), "No Match")</f>
        <v>Not Available</v>
      </c>
      <c r="F5299" cm="1">
        <f t="array" ref="F5299">_xlfn.IFNA(_xlfn.XLOOKUP(1,([1]!readmissions[Facility ID] = clean[[#This Row],[Facility ID]]) * ([1]!readmissions[Measure ID] = "Hybrid_HWR"), [1]!readmissions[Score]), "No Match")</f>
        <v>15.2</v>
      </c>
    </row>
    <row r="5300" spans="1:6" x14ac:dyDescent="0.2">
      <c r="A5300">
        <f>[1]!hospitalinfo[[#This Row],[Facility ID]]</f>
        <v>521329</v>
      </c>
      <c r="B5300" t="str">
        <f>[1]!hospitalinfo[[#This Row],[State]]</f>
        <v>WI</v>
      </c>
      <c r="C5300" t="str">
        <f>[1]!hospitalinfo[[#This Row],[Hospital Type]]</f>
        <v>Critical Access Hospitals</v>
      </c>
      <c r="D5300" t="str">
        <f>[1]!hospitalinfo[[#This Row],[Hospital Ownership]]</f>
        <v>Voluntary non-profit - Private</v>
      </c>
      <c r="E5300" cm="1">
        <f t="array" ref="E5300">_xlfn.IFNA(_xlfn.XLOOKUP(1,([1]!hcahps[Facility ID] = clean[[#This Row],[Facility ID]]) * ([1]!hcahps[HCAHPS Measure ID] = "H_HSP_RATING_LINEAR_SCORE"), [1]!hcahps[HCAHPS Linear Mean Value]), "No Match")</f>
        <v>87</v>
      </c>
      <c r="F5300" cm="1">
        <f t="array" ref="F5300">_xlfn.IFNA(_xlfn.XLOOKUP(1,([1]!readmissions[Facility ID] = clean[[#This Row],[Facility ID]]) * ([1]!readmissions[Measure ID] = "Hybrid_HWR"), [1]!readmissions[Score]), "No Match")</f>
        <v>14.8</v>
      </c>
    </row>
    <row r="5301" spans="1:6" x14ac:dyDescent="0.2">
      <c r="A5301">
        <f>[1]!hospitalinfo[[#This Row],[Facility ID]]</f>
        <v>521330</v>
      </c>
      <c r="B5301" t="str">
        <f>[1]!hospitalinfo[[#This Row],[State]]</f>
        <v>WI</v>
      </c>
      <c r="C5301" t="str">
        <f>[1]!hospitalinfo[[#This Row],[Hospital Type]]</f>
        <v>Critical Access Hospitals</v>
      </c>
      <c r="D5301" t="str">
        <f>[1]!hospitalinfo[[#This Row],[Hospital Ownership]]</f>
        <v>Voluntary non-profit - Private</v>
      </c>
      <c r="E5301" cm="1">
        <f t="array" ref="E5301">_xlfn.IFNA(_xlfn.XLOOKUP(1,([1]!hcahps[Facility ID] = clean[[#This Row],[Facility ID]]) * ([1]!hcahps[HCAHPS Measure ID] = "H_HSP_RATING_LINEAR_SCORE"), [1]!hcahps[HCAHPS Linear Mean Value]), "No Match")</f>
        <v>93</v>
      </c>
      <c r="F5301" cm="1">
        <f t="array" ref="F5301">_xlfn.IFNA(_xlfn.XLOOKUP(1,([1]!readmissions[Facility ID] = clean[[#This Row],[Facility ID]]) * ([1]!readmissions[Measure ID] = "Hybrid_HWR"), [1]!readmissions[Score]), "No Match")</f>
        <v>14.9</v>
      </c>
    </row>
    <row r="5302" spans="1:6" x14ac:dyDescent="0.2">
      <c r="A5302">
        <f>[1]!hospitalinfo[[#This Row],[Facility ID]]</f>
        <v>521331</v>
      </c>
      <c r="B5302" t="str">
        <f>[1]!hospitalinfo[[#This Row],[State]]</f>
        <v>WI</v>
      </c>
      <c r="C5302" t="str">
        <f>[1]!hospitalinfo[[#This Row],[Hospital Type]]</f>
        <v>Critical Access Hospitals</v>
      </c>
      <c r="D5302" t="str">
        <f>[1]!hospitalinfo[[#This Row],[Hospital Ownership]]</f>
        <v>Voluntary non-profit - Private</v>
      </c>
      <c r="E5302" t="str" cm="1">
        <f t="array" ref="E5302">_xlfn.IFNA(_xlfn.XLOOKUP(1,([1]!hcahps[Facility ID] = clean[[#This Row],[Facility ID]]) * ([1]!hcahps[HCAHPS Measure ID] = "H_HSP_RATING_LINEAR_SCORE"), [1]!hcahps[HCAHPS Linear Mean Value]), "No Match")</f>
        <v>Not Available</v>
      </c>
      <c r="F5302" cm="1">
        <f t="array" ref="F5302">_xlfn.IFNA(_xlfn.XLOOKUP(1,([1]!readmissions[Facility ID] = clean[[#This Row],[Facility ID]]) * ([1]!readmissions[Measure ID] = "Hybrid_HWR"), [1]!readmissions[Score]), "No Match")</f>
        <v>15.3</v>
      </c>
    </row>
    <row r="5303" spans="1:6" x14ac:dyDescent="0.2">
      <c r="A5303">
        <f>[1]!hospitalinfo[[#This Row],[Facility ID]]</f>
        <v>521332</v>
      </c>
      <c r="B5303" t="str">
        <f>[1]!hospitalinfo[[#This Row],[State]]</f>
        <v>WI</v>
      </c>
      <c r="C5303" t="str">
        <f>[1]!hospitalinfo[[#This Row],[Hospital Type]]</f>
        <v>Critical Access Hospitals</v>
      </c>
      <c r="D5303" t="str">
        <f>[1]!hospitalinfo[[#This Row],[Hospital Ownership]]</f>
        <v>Voluntary non-profit - Private</v>
      </c>
      <c r="E5303" t="str" cm="1">
        <f t="array" ref="E5303">_xlfn.IFNA(_xlfn.XLOOKUP(1,([1]!hcahps[Facility ID] = clean[[#This Row],[Facility ID]]) * ([1]!hcahps[HCAHPS Measure ID] = "H_HSP_RATING_LINEAR_SCORE"), [1]!hcahps[HCAHPS Linear Mean Value]), "No Match")</f>
        <v>Not Available</v>
      </c>
      <c r="F5303" cm="1">
        <f t="array" ref="F5303">_xlfn.IFNA(_xlfn.XLOOKUP(1,([1]!readmissions[Facility ID] = clean[[#This Row],[Facility ID]]) * ([1]!readmissions[Measure ID] = "Hybrid_HWR"), [1]!readmissions[Score]), "No Match")</f>
        <v>15</v>
      </c>
    </row>
    <row r="5304" spans="1:6" x14ac:dyDescent="0.2">
      <c r="A5304">
        <f>[1]!hospitalinfo[[#This Row],[Facility ID]]</f>
        <v>521333</v>
      </c>
      <c r="B5304" t="str">
        <f>[1]!hospitalinfo[[#This Row],[State]]</f>
        <v>WI</v>
      </c>
      <c r="C5304" t="str">
        <f>[1]!hospitalinfo[[#This Row],[Hospital Type]]</f>
        <v>Critical Access Hospitals</v>
      </c>
      <c r="D5304" t="str">
        <f>[1]!hospitalinfo[[#This Row],[Hospital Ownership]]</f>
        <v>Voluntary non-profit - Private</v>
      </c>
      <c r="E5304" cm="1">
        <f t="array" ref="E5304">_xlfn.IFNA(_xlfn.XLOOKUP(1,([1]!hcahps[Facility ID] = clean[[#This Row],[Facility ID]]) * ([1]!hcahps[HCAHPS Measure ID] = "H_HSP_RATING_LINEAR_SCORE"), [1]!hcahps[HCAHPS Linear Mean Value]), "No Match")</f>
        <v>95</v>
      </c>
      <c r="F5304" cm="1">
        <f t="array" ref="F5304">_xlfn.IFNA(_xlfn.XLOOKUP(1,([1]!readmissions[Facility ID] = clean[[#This Row],[Facility ID]]) * ([1]!readmissions[Measure ID] = "Hybrid_HWR"), [1]!readmissions[Score]), "No Match")</f>
        <v>14.5</v>
      </c>
    </row>
    <row r="5305" spans="1:6" x14ac:dyDescent="0.2">
      <c r="A5305">
        <f>[1]!hospitalinfo[[#This Row],[Facility ID]]</f>
        <v>521334</v>
      </c>
      <c r="B5305" t="str">
        <f>[1]!hospitalinfo[[#This Row],[State]]</f>
        <v>WI</v>
      </c>
      <c r="C5305" t="str">
        <f>[1]!hospitalinfo[[#This Row],[Hospital Type]]</f>
        <v>Critical Access Hospitals</v>
      </c>
      <c r="D5305" t="str">
        <f>[1]!hospitalinfo[[#This Row],[Hospital Ownership]]</f>
        <v>Voluntary non-profit - Private</v>
      </c>
      <c r="E5305" cm="1">
        <f t="array" ref="E5305">_xlfn.IFNA(_xlfn.XLOOKUP(1,([1]!hcahps[Facility ID] = clean[[#This Row],[Facility ID]]) * ([1]!hcahps[HCAHPS Measure ID] = "H_HSP_RATING_LINEAR_SCORE"), [1]!hcahps[HCAHPS Linear Mean Value]), "No Match")</f>
        <v>89</v>
      </c>
      <c r="F5305" cm="1">
        <f t="array" ref="F5305">_xlfn.IFNA(_xlfn.XLOOKUP(1,([1]!readmissions[Facility ID] = clean[[#This Row],[Facility ID]]) * ([1]!readmissions[Measure ID] = "Hybrid_HWR"), [1]!readmissions[Score]), "No Match")</f>
        <v>14.5</v>
      </c>
    </row>
    <row r="5306" spans="1:6" x14ac:dyDescent="0.2">
      <c r="A5306">
        <f>[1]!hospitalinfo[[#This Row],[Facility ID]]</f>
        <v>521335</v>
      </c>
      <c r="B5306" t="str">
        <f>[1]!hospitalinfo[[#This Row],[State]]</f>
        <v>WI</v>
      </c>
      <c r="C5306" t="str">
        <f>[1]!hospitalinfo[[#This Row],[Hospital Type]]</f>
        <v>Critical Access Hospitals</v>
      </c>
      <c r="D5306" t="str">
        <f>[1]!hospitalinfo[[#This Row],[Hospital Ownership]]</f>
        <v>Voluntary non-profit - Private</v>
      </c>
      <c r="E5306" cm="1">
        <f t="array" ref="E5306">_xlfn.IFNA(_xlfn.XLOOKUP(1,([1]!hcahps[Facility ID] = clean[[#This Row],[Facility ID]]) * ([1]!hcahps[HCAHPS Measure ID] = "H_HSP_RATING_LINEAR_SCORE"), [1]!hcahps[HCAHPS Linear Mean Value]), "No Match")</f>
        <v>92</v>
      </c>
      <c r="F5306" cm="1">
        <f t="array" ref="F5306">_xlfn.IFNA(_xlfn.XLOOKUP(1,([1]!readmissions[Facility ID] = clean[[#This Row],[Facility ID]]) * ([1]!readmissions[Measure ID] = "Hybrid_HWR"), [1]!readmissions[Score]), "No Match")</f>
        <v>14.3</v>
      </c>
    </row>
    <row r="5307" spans="1:6" x14ac:dyDescent="0.2">
      <c r="A5307">
        <f>[1]!hospitalinfo[[#This Row],[Facility ID]]</f>
        <v>521336</v>
      </c>
      <c r="B5307" t="str">
        <f>[1]!hospitalinfo[[#This Row],[State]]</f>
        <v>WI</v>
      </c>
      <c r="C5307" t="str">
        <f>[1]!hospitalinfo[[#This Row],[Hospital Type]]</f>
        <v>Critical Access Hospitals</v>
      </c>
      <c r="D5307" t="str">
        <f>[1]!hospitalinfo[[#This Row],[Hospital Ownership]]</f>
        <v>Voluntary non-profit - Private</v>
      </c>
      <c r="E5307" cm="1">
        <f t="array" ref="E5307">_xlfn.IFNA(_xlfn.XLOOKUP(1,([1]!hcahps[Facility ID] = clean[[#This Row],[Facility ID]]) * ([1]!hcahps[HCAHPS Measure ID] = "H_HSP_RATING_LINEAR_SCORE"), [1]!hcahps[HCAHPS Linear Mean Value]), "No Match")</f>
        <v>93</v>
      </c>
      <c r="F5307" cm="1">
        <f t="array" ref="F5307">_xlfn.IFNA(_xlfn.XLOOKUP(1,([1]!readmissions[Facility ID] = clean[[#This Row],[Facility ID]]) * ([1]!readmissions[Measure ID] = "Hybrid_HWR"), [1]!readmissions[Score]), "No Match")</f>
        <v>14.4</v>
      </c>
    </row>
    <row r="5308" spans="1:6" x14ac:dyDescent="0.2">
      <c r="A5308">
        <f>[1]!hospitalinfo[[#This Row],[Facility ID]]</f>
        <v>521337</v>
      </c>
      <c r="B5308" t="str">
        <f>[1]!hospitalinfo[[#This Row],[State]]</f>
        <v>WI</v>
      </c>
      <c r="C5308" t="str">
        <f>[1]!hospitalinfo[[#This Row],[Hospital Type]]</f>
        <v>Critical Access Hospitals</v>
      </c>
      <c r="D5308" t="str">
        <f>[1]!hospitalinfo[[#This Row],[Hospital Ownership]]</f>
        <v>Voluntary non-profit - Private</v>
      </c>
      <c r="E5308" cm="1">
        <f t="array" ref="E5308">_xlfn.IFNA(_xlfn.XLOOKUP(1,([1]!hcahps[Facility ID] = clean[[#This Row],[Facility ID]]) * ([1]!hcahps[HCAHPS Measure ID] = "H_HSP_RATING_LINEAR_SCORE"), [1]!hcahps[HCAHPS Linear Mean Value]), "No Match")</f>
        <v>89</v>
      </c>
      <c r="F5308" cm="1">
        <f t="array" ref="F5308">_xlfn.IFNA(_xlfn.XLOOKUP(1,([1]!readmissions[Facility ID] = clean[[#This Row],[Facility ID]]) * ([1]!readmissions[Measure ID] = "Hybrid_HWR"), [1]!readmissions[Score]), "No Match")</f>
        <v>14.5</v>
      </c>
    </row>
    <row r="5309" spans="1:6" x14ac:dyDescent="0.2">
      <c r="A5309">
        <f>[1]!hospitalinfo[[#This Row],[Facility ID]]</f>
        <v>521338</v>
      </c>
      <c r="B5309" t="str">
        <f>[1]!hospitalinfo[[#This Row],[State]]</f>
        <v>WI</v>
      </c>
      <c r="C5309" t="str">
        <f>[1]!hospitalinfo[[#This Row],[Hospital Type]]</f>
        <v>Critical Access Hospitals</v>
      </c>
      <c r="D5309" t="str">
        <f>[1]!hospitalinfo[[#This Row],[Hospital Ownership]]</f>
        <v>Voluntary non-profit - Private</v>
      </c>
      <c r="E5309" cm="1">
        <f t="array" ref="E5309">_xlfn.IFNA(_xlfn.XLOOKUP(1,([1]!hcahps[Facility ID] = clean[[#This Row],[Facility ID]]) * ([1]!hcahps[HCAHPS Measure ID] = "H_HSP_RATING_LINEAR_SCORE"), [1]!hcahps[HCAHPS Linear Mean Value]), "No Match")</f>
        <v>94</v>
      </c>
      <c r="F5309" cm="1">
        <f t="array" ref="F5309">_xlfn.IFNA(_xlfn.XLOOKUP(1,([1]!readmissions[Facility ID] = clean[[#This Row],[Facility ID]]) * ([1]!readmissions[Measure ID] = "Hybrid_HWR"), [1]!readmissions[Score]), "No Match")</f>
        <v>14.6</v>
      </c>
    </row>
    <row r="5310" spans="1:6" x14ac:dyDescent="0.2">
      <c r="A5310">
        <f>[1]!hospitalinfo[[#This Row],[Facility ID]]</f>
        <v>521339</v>
      </c>
      <c r="B5310" t="str">
        <f>[1]!hospitalinfo[[#This Row],[State]]</f>
        <v>WI</v>
      </c>
      <c r="C5310" t="str">
        <f>[1]!hospitalinfo[[#This Row],[Hospital Type]]</f>
        <v>Critical Access Hospitals</v>
      </c>
      <c r="D5310" t="str">
        <f>[1]!hospitalinfo[[#This Row],[Hospital Ownership]]</f>
        <v>Voluntary non-profit - Church</v>
      </c>
      <c r="E5310" t="str" cm="1">
        <f t="array" ref="E5310">_xlfn.IFNA(_xlfn.XLOOKUP(1,([1]!hcahps[Facility ID] = clean[[#This Row],[Facility ID]]) * ([1]!hcahps[HCAHPS Measure ID] = "H_HSP_RATING_LINEAR_SCORE"), [1]!hcahps[HCAHPS Linear Mean Value]), "No Match")</f>
        <v>Not Available</v>
      </c>
      <c r="F5310" cm="1">
        <f t="array" ref="F5310">_xlfn.IFNA(_xlfn.XLOOKUP(1,([1]!readmissions[Facility ID] = clean[[#This Row],[Facility ID]]) * ([1]!readmissions[Measure ID] = "Hybrid_HWR"), [1]!readmissions[Score]), "No Match")</f>
        <v>15.2</v>
      </c>
    </row>
    <row r="5311" spans="1:6" x14ac:dyDescent="0.2">
      <c r="A5311">
        <f>[1]!hospitalinfo[[#This Row],[Facility ID]]</f>
        <v>521340</v>
      </c>
      <c r="B5311" t="str">
        <f>[1]!hospitalinfo[[#This Row],[State]]</f>
        <v>WI</v>
      </c>
      <c r="C5311" t="str">
        <f>[1]!hospitalinfo[[#This Row],[Hospital Type]]</f>
        <v>Critical Access Hospitals</v>
      </c>
      <c r="D5311" t="str">
        <f>[1]!hospitalinfo[[#This Row],[Hospital Ownership]]</f>
        <v>Voluntary non-profit - Private</v>
      </c>
      <c r="E5311" cm="1">
        <f t="array" ref="E5311">_xlfn.IFNA(_xlfn.XLOOKUP(1,([1]!hcahps[Facility ID] = clean[[#This Row],[Facility ID]]) * ([1]!hcahps[HCAHPS Measure ID] = "H_HSP_RATING_LINEAR_SCORE"), [1]!hcahps[HCAHPS Linear Mean Value]), "No Match")</f>
        <v>89</v>
      </c>
      <c r="F5311" cm="1">
        <f t="array" ref="F5311">_xlfn.IFNA(_xlfn.XLOOKUP(1,([1]!readmissions[Facility ID] = clean[[#This Row],[Facility ID]]) * ([1]!readmissions[Measure ID] = "Hybrid_HWR"), [1]!readmissions[Score]), "No Match")</f>
        <v>14.7</v>
      </c>
    </row>
    <row r="5312" spans="1:6" x14ac:dyDescent="0.2">
      <c r="A5312">
        <f>[1]!hospitalinfo[[#This Row],[Facility ID]]</f>
        <v>521341</v>
      </c>
      <c r="B5312" t="str">
        <f>[1]!hospitalinfo[[#This Row],[State]]</f>
        <v>WI</v>
      </c>
      <c r="C5312" t="str">
        <f>[1]!hospitalinfo[[#This Row],[Hospital Type]]</f>
        <v>Critical Access Hospitals</v>
      </c>
      <c r="D5312" t="str">
        <f>[1]!hospitalinfo[[#This Row],[Hospital Ownership]]</f>
        <v>Voluntary non-profit - Private</v>
      </c>
      <c r="E5312" cm="1">
        <f t="array" ref="E5312">_xlfn.IFNA(_xlfn.XLOOKUP(1,([1]!hcahps[Facility ID] = clean[[#This Row],[Facility ID]]) * ([1]!hcahps[HCAHPS Measure ID] = "H_HSP_RATING_LINEAR_SCORE"), [1]!hcahps[HCAHPS Linear Mean Value]), "No Match")</f>
        <v>91</v>
      </c>
      <c r="F5312" cm="1">
        <f t="array" ref="F5312">_xlfn.IFNA(_xlfn.XLOOKUP(1,([1]!readmissions[Facility ID] = clean[[#This Row],[Facility ID]]) * ([1]!readmissions[Measure ID] = "Hybrid_HWR"), [1]!readmissions[Score]), "No Match")</f>
        <v>15.4</v>
      </c>
    </row>
    <row r="5313" spans="1:6" x14ac:dyDescent="0.2">
      <c r="A5313">
        <f>[1]!hospitalinfo[[#This Row],[Facility ID]]</f>
        <v>521342</v>
      </c>
      <c r="B5313" t="str">
        <f>[1]!hospitalinfo[[#This Row],[State]]</f>
        <v>WI</v>
      </c>
      <c r="C5313" t="str">
        <f>[1]!hospitalinfo[[#This Row],[Hospital Type]]</f>
        <v>Critical Access Hospitals</v>
      </c>
      <c r="D5313" t="str">
        <f>[1]!hospitalinfo[[#This Row],[Hospital Ownership]]</f>
        <v>Proprietary</v>
      </c>
      <c r="E5313" t="str" cm="1">
        <f t="array" ref="E5313">_xlfn.IFNA(_xlfn.XLOOKUP(1,([1]!hcahps[Facility ID] = clean[[#This Row],[Facility ID]]) * ([1]!hcahps[HCAHPS Measure ID] = "H_HSP_RATING_LINEAR_SCORE"), [1]!hcahps[HCAHPS Linear Mean Value]), "No Match")</f>
        <v>Not Available</v>
      </c>
      <c r="F5313" cm="1">
        <f t="array" ref="F5313">_xlfn.IFNA(_xlfn.XLOOKUP(1,([1]!readmissions[Facility ID] = clean[[#This Row],[Facility ID]]) * ([1]!readmissions[Measure ID] = "Hybrid_HWR"), [1]!readmissions[Score]), "No Match")</f>
        <v>16</v>
      </c>
    </row>
    <row r="5314" spans="1:6" x14ac:dyDescent="0.2">
      <c r="A5314">
        <f>[1]!hospitalinfo[[#This Row],[Facility ID]]</f>
        <v>521343</v>
      </c>
      <c r="B5314" t="str">
        <f>[1]!hospitalinfo[[#This Row],[State]]</f>
        <v>WI</v>
      </c>
      <c r="C5314" t="str">
        <f>[1]!hospitalinfo[[#This Row],[Hospital Type]]</f>
        <v>Critical Access Hospitals</v>
      </c>
      <c r="D5314" t="str">
        <f>[1]!hospitalinfo[[#This Row],[Hospital Ownership]]</f>
        <v>Voluntary non-profit - Private</v>
      </c>
      <c r="E5314" cm="1">
        <f t="array" ref="E5314">_xlfn.IFNA(_xlfn.XLOOKUP(1,([1]!hcahps[Facility ID] = clean[[#This Row],[Facility ID]]) * ([1]!hcahps[HCAHPS Measure ID] = "H_HSP_RATING_LINEAR_SCORE"), [1]!hcahps[HCAHPS Linear Mean Value]), "No Match")</f>
        <v>94</v>
      </c>
      <c r="F5314" cm="1">
        <f t="array" ref="F5314">_xlfn.IFNA(_xlfn.XLOOKUP(1,([1]!readmissions[Facility ID] = clean[[#This Row],[Facility ID]]) * ([1]!readmissions[Measure ID] = "Hybrid_HWR"), [1]!readmissions[Score]), "No Match")</f>
        <v>14.9</v>
      </c>
    </row>
    <row r="5315" spans="1:6" x14ac:dyDescent="0.2">
      <c r="A5315">
        <f>[1]!hospitalinfo[[#This Row],[Facility ID]]</f>
        <v>521344</v>
      </c>
      <c r="B5315" t="str">
        <f>[1]!hospitalinfo[[#This Row],[State]]</f>
        <v>WI</v>
      </c>
      <c r="C5315" t="str">
        <f>[1]!hospitalinfo[[#This Row],[Hospital Type]]</f>
        <v>Critical Access Hospitals</v>
      </c>
      <c r="D5315" t="str">
        <f>[1]!hospitalinfo[[#This Row],[Hospital Ownership]]</f>
        <v>Voluntary non-profit - Private</v>
      </c>
      <c r="E5315" t="str" cm="1">
        <f t="array" ref="E5315">_xlfn.IFNA(_xlfn.XLOOKUP(1,([1]!hcahps[Facility ID] = clean[[#This Row],[Facility ID]]) * ([1]!hcahps[HCAHPS Measure ID] = "H_HSP_RATING_LINEAR_SCORE"), [1]!hcahps[HCAHPS Linear Mean Value]), "No Match")</f>
        <v>Not Available</v>
      </c>
      <c r="F5315" cm="1">
        <f t="array" ref="F5315">_xlfn.IFNA(_xlfn.XLOOKUP(1,([1]!readmissions[Facility ID] = clean[[#This Row],[Facility ID]]) * ([1]!readmissions[Measure ID] = "Hybrid_HWR"), [1]!readmissions[Score]), "No Match")</f>
        <v>14.9</v>
      </c>
    </row>
    <row r="5316" spans="1:6" x14ac:dyDescent="0.2">
      <c r="A5316">
        <f>[1]!hospitalinfo[[#This Row],[Facility ID]]</f>
        <v>521345</v>
      </c>
      <c r="B5316" t="str">
        <f>[1]!hospitalinfo[[#This Row],[State]]</f>
        <v>WI</v>
      </c>
      <c r="C5316" t="str">
        <f>[1]!hospitalinfo[[#This Row],[Hospital Type]]</f>
        <v>Critical Access Hospitals</v>
      </c>
      <c r="D5316" t="str">
        <f>[1]!hospitalinfo[[#This Row],[Hospital Ownership]]</f>
        <v>Voluntary non-profit - Private</v>
      </c>
      <c r="E5316" cm="1">
        <f t="array" ref="E5316">_xlfn.IFNA(_xlfn.XLOOKUP(1,([1]!hcahps[Facility ID] = clean[[#This Row],[Facility ID]]) * ([1]!hcahps[HCAHPS Measure ID] = "H_HSP_RATING_LINEAR_SCORE"), [1]!hcahps[HCAHPS Linear Mean Value]), "No Match")</f>
        <v>95</v>
      </c>
      <c r="F5316" cm="1">
        <f t="array" ref="F5316">_xlfn.IFNA(_xlfn.XLOOKUP(1,([1]!readmissions[Facility ID] = clean[[#This Row],[Facility ID]]) * ([1]!readmissions[Measure ID] = "Hybrid_HWR"), [1]!readmissions[Score]), "No Match")</f>
        <v>14.9</v>
      </c>
    </row>
    <row r="5317" spans="1:6" x14ac:dyDescent="0.2">
      <c r="A5317">
        <f>[1]!hospitalinfo[[#This Row],[Facility ID]]</f>
        <v>521346</v>
      </c>
      <c r="B5317" t="str">
        <f>[1]!hospitalinfo[[#This Row],[State]]</f>
        <v>WI</v>
      </c>
      <c r="C5317" t="str">
        <f>[1]!hospitalinfo[[#This Row],[Hospital Type]]</f>
        <v>Critical Access Hospitals</v>
      </c>
      <c r="D5317" t="str">
        <f>[1]!hospitalinfo[[#This Row],[Hospital Ownership]]</f>
        <v>Voluntary non-profit - Private</v>
      </c>
      <c r="E5317" cm="1">
        <f t="array" ref="E5317">_xlfn.IFNA(_xlfn.XLOOKUP(1,([1]!hcahps[Facility ID] = clean[[#This Row],[Facility ID]]) * ([1]!hcahps[HCAHPS Measure ID] = "H_HSP_RATING_LINEAR_SCORE"), [1]!hcahps[HCAHPS Linear Mean Value]), "No Match")</f>
        <v>87</v>
      </c>
      <c r="F5317" cm="1">
        <f t="array" ref="F5317">_xlfn.IFNA(_xlfn.XLOOKUP(1,([1]!readmissions[Facility ID] = clean[[#This Row],[Facility ID]]) * ([1]!readmissions[Measure ID] = "Hybrid_HWR"), [1]!readmissions[Score]), "No Match")</f>
        <v>14.8</v>
      </c>
    </row>
    <row r="5318" spans="1:6" x14ac:dyDescent="0.2">
      <c r="A5318">
        <f>[1]!hospitalinfo[[#This Row],[Facility ID]]</f>
        <v>521347</v>
      </c>
      <c r="B5318" t="str">
        <f>[1]!hospitalinfo[[#This Row],[State]]</f>
        <v>WI</v>
      </c>
      <c r="C5318" t="str">
        <f>[1]!hospitalinfo[[#This Row],[Hospital Type]]</f>
        <v>Critical Access Hospitals</v>
      </c>
      <c r="D5318" t="str">
        <f>[1]!hospitalinfo[[#This Row],[Hospital Ownership]]</f>
        <v>Voluntary non-profit - Private</v>
      </c>
      <c r="E5318" cm="1">
        <f t="array" ref="E5318">_xlfn.IFNA(_xlfn.XLOOKUP(1,([1]!hcahps[Facility ID] = clean[[#This Row],[Facility ID]]) * ([1]!hcahps[HCAHPS Measure ID] = "H_HSP_RATING_LINEAR_SCORE"), [1]!hcahps[HCAHPS Linear Mean Value]), "No Match")</f>
        <v>91</v>
      </c>
      <c r="F5318" cm="1">
        <f t="array" ref="F5318">_xlfn.IFNA(_xlfn.XLOOKUP(1,([1]!readmissions[Facility ID] = clean[[#This Row],[Facility ID]]) * ([1]!readmissions[Measure ID] = "Hybrid_HWR"), [1]!readmissions[Score]), "No Match")</f>
        <v>14.9</v>
      </c>
    </row>
    <row r="5319" spans="1:6" x14ac:dyDescent="0.2">
      <c r="A5319">
        <f>[1]!hospitalinfo[[#This Row],[Facility ID]]</f>
        <v>521348</v>
      </c>
      <c r="B5319" t="str">
        <f>[1]!hospitalinfo[[#This Row],[State]]</f>
        <v>WI</v>
      </c>
      <c r="C5319" t="str">
        <f>[1]!hospitalinfo[[#This Row],[Hospital Type]]</f>
        <v>Critical Access Hospitals</v>
      </c>
      <c r="D5319" t="str">
        <f>[1]!hospitalinfo[[#This Row],[Hospital Ownership]]</f>
        <v>Voluntary non-profit - Private</v>
      </c>
      <c r="E5319" cm="1">
        <f t="array" ref="E5319">_xlfn.IFNA(_xlfn.XLOOKUP(1,([1]!hcahps[Facility ID] = clean[[#This Row],[Facility ID]]) * ([1]!hcahps[HCAHPS Measure ID] = "H_HSP_RATING_LINEAR_SCORE"), [1]!hcahps[HCAHPS Linear Mean Value]), "No Match")</f>
        <v>93</v>
      </c>
      <c r="F5319" cm="1">
        <f t="array" ref="F5319">_xlfn.IFNA(_xlfn.XLOOKUP(1,([1]!readmissions[Facility ID] = clean[[#This Row],[Facility ID]]) * ([1]!readmissions[Measure ID] = "Hybrid_HWR"), [1]!readmissions[Score]), "No Match")</f>
        <v>14.4</v>
      </c>
    </row>
    <row r="5320" spans="1:6" x14ac:dyDescent="0.2">
      <c r="A5320">
        <f>[1]!hospitalinfo[[#This Row],[Facility ID]]</f>
        <v>521349</v>
      </c>
      <c r="B5320" t="str">
        <f>[1]!hospitalinfo[[#This Row],[State]]</f>
        <v>WI</v>
      </c>
      <c r="C5320" t="str">
        <f>[1]!hospitalinfo[[#This Row],[Hospital Type]]</f>
        <v>Critical Access Hospitals</v>
      </c>
      <c r="D5320" t="str">
        <f>[1]!hospitalinfo[[#This Row],[Hospital Ownership]]</f>
        <v>Voluntary non-profit - Private</v>
      </c>
      <c r="E5320" cm="1">
        <f t="array" ref="E5320">_xlfn.IFNA(_xlfn.XLOOKUP(1,([1]!hcahps[Facility ID] = clean[[#This Row],[Facility ID]]) * ([1]!hcahps[HCAHPS Measure ID] = "H_HSP_RATING_LINEAR_SCORE"), [1]!hcahps[HCAHPS Linear Mean Value]), "No Match")</f>
        <v>94</v>
      </c>
      <c r="F5320" cm="1">
        <f t="array" ref="F5320">_xlfn.IFNA(_xlfn.XLOOKUP(1,([1]!readmissions[Facility ID] = clean[[#This Row],[Facility ID]]) * ([1]!readmissions[Measure ID] = "Hybrid_HWR"), [1]!readmissions[Score]), "No Match")</f>
        <v>14</v>
      </c>
    </row>
    <row r="5321" spans="1:6" x14ac:dyDescent="0.2">
      <c r="A5321">
        <f>[1]!hospitalinfo[[#This Row],[Facility ID]]</f>
        <v>521350</v>
      </c>
      <c r="B5321" t="str">
        <f>[1]!hospitalinfo[[#This Row],[State]]</f>
        <v>WI</v>
      </c>
      <c r="C5321" t="str">
        <f>[1]!hospitalinfo[[#This Row],[Hospital Type]]</f>
        <v>Critical Access Hospitals</v>
      </c>
      <c r="D5321" t="str">
        <f>[1]!hospitalinfo[[#This Row],[Hospital Ownership]]</f>
        <v>Voluntary non-profit - Church</v>
      </c>
      <c r="E5321" cm="1">
        <f t="array" ref="E5321">_xlfn.IFNA(_xlfn.XLOOKUP(1,([1]!hcahps[Facility ID] = clean[[#This Row],[Facility ID]]) * ([1]!hcahps[HCAHPS Measure ID] = "H_HSP_RATING_LINEAR_SCORE"), [1]!hcahps[HCAHPS Linear Mean Value]), "No Match")</f>
        <v>91</v>
      </c>
      <c r="F5321" cm="1">
        <f t="array" ref="F5321">_xlfn.IFNA(_xlfn.XLOOKUP(1,([1]!readmissions[Facility ID] = clean[[#This Row],[Facility ID]]) * ([1]!readmissions[Measure ID] = "Hybrid_HWR"), [1]!readmissions[Score]), "No Match")</f>
        <v>14.6</v>
      </c>
    </row>
    <row r="5322" spans="1:6" x14ac:dyDescent="0.2">
      <c r="A5322">
        <f>[1]!hospitalinfo[[#This Row],[Facility ID]]</f>
        <v>521351</v>
      </c>
      <c r="B5322" t="str">
        <f>[1]!hospitalinfo[[#This Row],[State]]</f>
        <v>WI</v>
      </c>
      <c r="C5322" t="str">
        <f>[1]!hospitalinfo[[#This Row],[Hospital Type]]</f>
        <v>Critical Access Hospitals</v>
      </c>
      <c r="D5322" t="str">
        <f>[1]!hospitalinfo[[#This Row],[Hospital Ownership]]</f>
        <v>Voluntary non-profit - Private</v>
      </c>
      <c r="E5322" cm="1">
        <f t="array" ref="E5322">_xlfn.IFNA(_xlfn.XLOOKUP(1,([1]!hcahps[Facility ID] = clean[[#This Row],[Facility ID]]) * ([1]!hcahps[HCAHPS Measure ID] = "H_HSP_RATING_LINEAR_SCORE"), [1]!hcahps[HCAHPS Linear Mean Value]), "No Match")</f>
        <v>91</v>
      </c>
      <c r="F5322" cm="1">
        <f t="array" ref="F5322">_xlfn.IFNA(_xlfn.XLOOKUP(1,([1]!readmissions[Facility ID] = clean[[#This Row],[Facility ID]]) * ([1]!readmissions[Measure ID] = "Hybrid_HWR"), [1]!readmissions[Score]), "No Match")</f>
        <v>14.2</v>
      </c>
    </row>
    <row r="5323" spans="1:6" x14ac:dyDescent="0.2">
      <c r="A5323">
        <f>[1]!hospitalinfo[[#This Row],[Facility ID]]</f>
        <v>521352</v>
      </c>
      <c r="B5323" t="str">
        <f>[1]!hospitalinfo[[#This Row],[State]]</f>
        <v>WI</v>
      </c>
      <c r="C5323" t="str">
        <f>[1]!hospitalinfo[[#This Row],[Hospital Type]]</f>
        <v>Critical Access Hospitals</v>
      </c>
      <c r="D5323" t="str">
        <f>[1]!hospitalinfo[[#This Row],[Hospital Ownership]]</f>
        <v>Voluntary non-profit - Private</v>
      </c>
      <c r="E5323" cm="1">
        <f t="array" ref="E5323">_xlfn.IFNA(_xlfn.XLOOKUP(1,([1]!hcahps[Facility ID] = clean[[#This Row],[Facility ID]]) * ([1]!hcahps[HCAHPS Measure ID] = "H_HSP_RATING_LINEAR_SCORE"), [1]!hcahps[HCAHPS Linear Mean Value]), "No Match")</f>
        <v>95</v>
      </c>
      <c r="F5323" cm="1">
        <f t="array" ref="F5323">_xlfn.IFNA(_xlfn.XLOOKUP(1,([1]!readmissions[Facility ID] = clean[[#This Row],[Facility ID]]) * ([1]!readmissions[Measure ID] = "Hybrid_HWR"), [1]!readmissions[Score]), "No Match")</f>
        <v>14.9</v>
      </c>
    </row>
    <row r="5324" spans="1:6" x14ac:dyDescent="0.2">
      <c r="A5324">
        <f>[1]!hospitalinfo[[#This Row],[Facility ID]]</f>
        <v>521353</v>
      </c>
      <c r="B5324" t="str">
        <f>[1]!hospitalinfo[[#This Row],[State]]</f>
        <v>WI</v>
      </c>
      <c r="C5324" t="str">
        <f>[1]!hospitalinfo[[#This Row],[Hospital Type]]</f>
        <v>Critical Access Hospitals</v>
      </c>
      <c r="D5324" t="str">
        <f>[1]!hospitalinfo[[#This Row],[Hospital Ownership]]</f>
        <v>Voluntary non-profit - Other</v>
      </c>
      <c r="E5324" t="str" cm="1">
        <f t="array" ref="E5324">_xlfn.IFNA(_xlfn.XLOOKUP(1,([1]!hcahps[Facility ID] = clean[[#This Row],[Facility ID]]) * ([1]!hcahps[HCAHPS Measure ID] = "H_HSP_RATING_LINEAR_SCORE"), [1]!hcahps[HCAHPS Linear Mean Value]), "No Match")</f>
        <v>Not Available</v>
      </c>
      <c r="F5324" cm="1">
        <f t="array" ref="F5324">_xlfn.IFNA(_xlfn.XLOOKUP(1,([1]!readmissions[Facility ID] = clean[[#This Row],[Facility ID]]) * ([1]!readmissions[Measure ID] = "Hybrid_HWR"), [1]!readmissions[Score]), "No Match")</f>
        <v>15.2</v>
      </c>
    </row>
    <row r="5325" spans="1:6" x14ac:dyDescent="0.2">
      <c r="A5325">
        <f>[1]!hospitalinfo[[#This Row],[Facility ID]]</f>
        <v>521354</v>
      </c>
      <c r="B5325" t="str">
        <f>[1]!hospitalinfo[[#This Row],[State]]</f>
        <v>WI</v>
      </c>
      <c r="C5325" t="str">
        <f>[1]!hospitalinfo[[#This Row],[Hospital Type]]</f>
        <v>Critical Access Hospitals</v>
      </c>
      <c r="D5325" t="str">
        <f>[1]!hospitalinfo[[#This Row],[Hospital Ownership]]</f>
        <v>Voluntary non-profit - Private</v>
      </c>
      <c r="E5325" cm="1">
        <f t="array" ref="E5325">_xlfn.IFNA(_xlfn.XLOOKUP(1,([1]!hcahps[Facility ID] = clean[[#This Row],[Facility ID]]) * ([1]!hcahps[HCAHPS Measure ID] = "H_HSP_RATING_LINEAR_SCORE"), [1]!hcahps[HCAHPS Linear Mean Value]), "No Match")</f>
        <v>96</v>
      </c>
      <c r="F5325" cm="1">
        <f t="array" ref="F5325">_xlfn.IFNA(_xlfn.XLOOKUP(1,([1]!readmissions[Facility ID] = clean[[#This Row],[Facility ID]]) * ([1]!readmissions[Measure ID] = "Hybrid_HWR"), [1]!readmissions[Score]), "No Match")</f>
        <v>14.1</v>
      </c>
    </row>
    <row r="5326" spans="1:6" x14ac:dyDescent="0.2">
      <c r="A5326">
        <f>[1]!hospitalinfo[[#This Row],[Facility ID]]</f>
        <v>521355</v>
      </c>
      <c r="B5326" t="str">
        <f>[1]!hospitalinfo[[#This Row],[State]]</f>
        <v>WI</v>
      </c>
      <c r="C5326" t="str">
        <f>[1]!hospitalinfo[[#This Row],[Hospital Type]]</f>
        <v>Critical Access Hospitals</v>
      </c>
      <c r="D5326" t="str">
        <f>[1]!hospitalinfo[[#This Row],[Hospital Ownership]]</f>
        <v>Voluntary non-profit - Private</v>
      </c>
      <c r="E5326" cm="1">
        <f t="array" ref="E5326">_xlfn.IFNA(_xlfn.XLOOKUP(1,([1]!hcahps[Facility ID] = clean[[#This Row],[Facility ID]]) * ([1]!hcahps[HCAHPS Measure ID] = "H_HSP_RATING_LINEAR_SCORE"), [1]!hcahps[HCAHPS Linear Mean Value]), "No Match")</f>
        <v>90</v>
      </c>
      <c r="F5326" cm="1">
        <f t="array" ref="F5326">_xlfn.IFNA(_xlfn.XLOOKUP(1,([1]!readmissions[Facility ID] = clean[[#This Row],[Facility ID]]) * ([1]!readmissions[Measure ID] = "Hybrid_HWR"), [1]!readmissions[Score]), "No Match")</f>
        <v>14.7</v>
      </c>
    </row>
    <row r="5327" spans="1:6" x14ac:dyDescent="0.2">
      <c r="A5327">
        <f>[1]!hospitalinfo[[#This Row],[Facility ID]]</f>
        <v>521356</v>
      </c>
      <c r="B5327" t="str">
        <f>[1]!hospitalinfo[[#This Row],[State]]</f>
        <v>WI</v>
      </c>
      <c r="C5327" t="str">
        <f>[1]!hospitalinfo[[#This Row],[Hospital Type]]</f>
        <v>Critical Access Hospitals</v>
      </c>
      <c r="D5327" t="str">
        <f>[1]!hospitalinfo[[#This Row],[Hospital Ownership]]</f>
        <v>Voluntary non-profit - Private</v>
      </c>
      <c r="E5327" t="str" cm="1">
        <f t="array" ref="E5327">_xlfn.IFNA(_xlfn.XLOOKUP(1,([1]!hcahps[Facility ID] = clean[[#This Row],[Facility ID]]) * ([1]!hcahps[HCAHPS Measure ID] = "H_HSP_RATING_LINEAR_SCORE"), [1]!hcahps[HCAHPS Linear Mean Value]), "No Match")</f>
        <v>Not Available</v>
      </c>
      <c r="F5327" t="str" cm="1">
        <f t="array" ref="F5327">_xlfn.IFNA(_xlfn.XLOOKUP(1,([1]!readmissions[Facility ID] = clean[[#This Row],[Facility ID]]) * ([1]!readmissions[Measure ID] = "Hybrid_HWR"), [1]!readmissions[Score]), "No Match")</f>
        <v>Not Available</v>
      </c>
    </row>
    <row r="5328" spans="1:6" x14ac:dyDescent="0.2">
      <c r="A5328">
        <f>[1]!hospitalinfo[[#This Row],[Facility ID]]</f>
        <v>521357</v>
      </c>
      <c r="B5328" t="str">
        <f>[1]!hospitalinfo[[#This Row],[State]]</f>
        <v>WI</v>
      </c>
      <c r="C5328" t="str">
        <f>[1]!hospitalinfo[[#This Row],[Hospital Type]]</f>
        <v>Critical Access Hospitals</v>
      </c>
      <c r="D5328" t="str">
        <f>[1]!hospitalinfo[[#This Row],[Hospital Ownership]]</f>
        <v>Voluntary non-profit - Private</v>
      </c>
      <c r="E5328" cm="1">
        <f t="array" ref="E5328">_xlfn.IFNA(_xlfn.XLOOKUP(1,([1]!hcahps[Facility ID] = clean[[#This Row],[Facility ID]]) * ([1]!hcahps[HCAHPS Measure ID] = "H_HSP_RATING_LINEAR_SCORE"), [1]!hcahps[HCAHPS Linear Mean Value]), "No Match")</f>
        <v>92</v>
      </c>
      <c r="F5328" cm="1">
        <f t="array" ref="F5328">_xlfn.IFNA(_xlfn.XLOOKUP(1,([1]!readmissions[Facility ID] = clean[[#This Row],[Facility ID]]) * ([1]!readmissions[Measure ID] = "Hybrid_HWR"), [1]!readmissions[Score]), "No Match")</f>
        <v>14.7</v>
      </c>
    </row>
    <row r="5329" spans="1:6" x14ac:dyDescent="0.2">
      <c r="A5329">
        <f>[1]!hospitalinfo[[#This Row],[Facility ID]]</f>
        <v>521358</v>
      </c>
      <c r="B5329" t="str">
        <f>[1]!hospitalinfo[[#This Row],[State]]</f>
        <v>WI</v>
      </c>
      <c r="C5329" t="str">
        <f>[1]!hospitalinfo[[#This Row],[Hospital Type]]</f>
        <v>Critical Access Hospitals</v>
      </c>
      <c r="D5329" t="str">
        <f>[1]!hospitalinfo[[#This Row],[Hospital Ownership]]</f>
        <v>Voluntary non-profit - Private</v>
      </c>
      <c r="E5329" cm="1">
        <f t="array" ref="E5329">_xlfn.IFNA(_xlfn.XLOOKUP(1,([1]!hcahps[Facility ID] = clean[[#This Row],[Facility ID]]) * ([1]!hcahps[HCAHPS Measure ID] = "H_HSP_RATING_LINEAR_SCORE"), [1]!hcahps[HCAHPS Linear Mean Value]), "No Match")</f>
        <v>95</v>
      </c>
      <c r="F5329" cm="1">
        <f t="array" ref="F5329">_xlfn.IFNA(_xlfn.XLOOKUP(1,([1]!readmissions[Facility ID] = clean[[#This Row],[Facility ID]]) * ([1]!readmissions[Measure ID] = "Hybrid_HWR"), [1]!readmissions[Score]), "No Match")</f>
        <v>14.4</v>
      </c>
    </row>
    <row r="5330" spans="1:6" x14ac:dyDescent="0.2">
      <c r="A5330">
        <f>[1]!hospitalinfo[[#This Row],[Facility ID]]</f>
        <v>521359</v>
      </c>
      <c r="B5330" t="str">
        <f>[1]!hospitalinfo[[#This Row],[State]]</f>
        <v>WI</v>
      </c>
      <c r="C5330" t="str">
        <f>[1]!hospitalinfo[[#This Row],[Hospital Type]]</f>
        <v>Critical Access Hospitals</v>
      </c>
      <c r="D5330" t="str">
        <f>[1]!hospitalinfo[[#This Row],[Hospital Ownership]]</f>
        <v>Voluntary non-profit - Private</v>
      </c>
      <c r="E5330" cm="1">
        <f t="array" ref="E5330">_xlfn.IFNA(_xlfn.XLOOKUP(1,([1]!hcahps[Facility ID] = clean[[#This Row],[Facility ID]]) * ([1]!hcahps[HCAHPS Measure ID] = "H_HSP_RATING_LINEAR_SCORE"), [1]!hcahps[HCAHPS Linear Mean Value]), "No Match")</f>
        <v>94</v>
      </c>
      <c r="F5330" cm="1">
        <f t="array" ref="F5330">_xlfn.IFNA(_xlfn.XLOOKUP(1,([1]!readmissions[Facility ID] = clean[[#This Row],[Facility ID]]) * ([1]!readmissions[Measure ID] = "Hybrid_HWR"), [1]!readmissions[Score]), "No Match")</f>
        <v>14.9</v>
      </c>
    </row>
    <row r="5331" spans="1:6" x14ac:dyDescent="0.2">
      <c r="A5331">
        <f>[1]!hospitalinfo[[#This Row],[Facility ID]]</f>
        <v>523300</v>
      </c>
      <c r="B5331" t="str">
        <f>[1]!hospitalinfo[[#This Row],[State]]</f>
        <v>WI</v>
      </c>
      <c r="C5331" t="str">
        <f>[1]!hospitalinfo[[#This Row],[Hospital Type]]</f>
        <v>Childrens</v>
      </c>
      <c r="D5331" t="str">
        <f>[1]!hospitalinfo[[#This Row],[Hospital Ownership]]</f>
        <v>Voluntary non-profit - Other</v>
      </c>
      <c r="E5331" t="str" cm="1">
        <f t="array" ref="E5331">_xlfn.IFNA(_xlfn.XLOOKUP(1,([1]!hcahps[Facility ID] = clean[[#This Row],[Facility ID]]) * ([1]!hcahps[HCAHPS Measure ID] = "H_HSP_RATING_LINEAR_SCORE"), [1]!hcahps[HCAHPS Linear Mean Value]), "No Match")</f>
        <v>Not Available</v>
      </c>
      <c r="F5331" t="str" cm="1">
        <f t="array" ref="F5331">_xlfn.IFNA(_xlfn.XLOOKUP(1,([1]!readmissions[Facility ID] = clean[[#This Row],[Facility ID]]) * ([1]!readmissions[Measure ID] = "Hybrid_HWR"), [1]!readmissions[Score]), "No Match")</f>
        <v>Not Available</v>
      </c>
    </row>
    <row r="5332" spans="1:6" x14ac:dyDescent="0.2">
      <c r="A5332">
        <f>[1]!hospitalinfo[[#This Row],[Facility ID]]</f>
        <v>523302</v>
      </c>
      <c r="B5332" t="str">
        <f>[1]!hospitalinfo[[#This Row],[State]]</f>
        <v>WI</v>
      </c>
      <c r="C5332" t="str">
        <f>[1]!hospitalinfo[[#This Row],[Hospital Type]]</f>
        <v>Childrens</v>
      </c>
      <c r="D5332" t="str">
        <f>[1]!hospitalinfo[[#This Row],[Hospital Ownership]]</f>
        <v>Voluntary non-profit - Other</v>
      </c>
      <c r="E5332" t="str" cm="1">
        <f t="array" ref="E5332">_xlfn.IFNA(_xlfn.XLOOKUP(1,([1]!hcahps[Facility ID] = clean[[#This Row],[Facility ID]]) * ([1]!hcahps[HCAHPS Measure ID] = "H_HSP_RATING_LINEAR_SCORE"), [1]!hcahps[HCAHPS Linear Mean Value]), "No Match")</f>
        <v>Not Available</v>
      </c>
      <c r="F5332" t="str" cm="1">
        <f t="array" ref="F5332">_xlfn.IFNA(_xlfn.XLOOKUP(1,([1]!readmissions[Facility ID] = clean[[#This Row],[Facility ID]]) * ([1]!readmissions[Measure ID] = "Hybrid_HWR"), [1]!readmissions[Score]), "No Match")</f>
        <v>Not Available</v>
      </c>
    </row>
    <row r="5333" spans="1:6" x14ac:dyDescent="0.2">
      <c r="A5333">
        <f>[1]!hospitalinfo[[#This Row],[Facility ID]]</f>
        <v>524000</v>
      </c>
      <c r="B5333" t="str">
        <f>[1]!hospitalinfo[[#This Row],[State]]</f>
        <v>WI</v>
      </c>
      <c r="C5333" t="str">
        <f>[1]!hospitalinfo[[#This Row],[Hospital Type]]</f>
        <v>Psychiatric</v>
      </c>
      <c r="D5333" t="str">
        <f>[1]!hospitalinfo[[#This Row],[Hospital Ownership]]</f>
        <v>Voluntary non-profit - Private</v>
      </c>
      <c r="E5333" t="str" cm="1">
        <f t="array" ref="E5333">_xlfn.IFNA(_xlfn.XLOOKUP(1,([1]!hcahps[Facility ID] = clean[[#This Row],[Facility ID]]) * ([1]!hcahps[HCAHPS Measure ID] = "H_HSP_RATING_LINEAR_SCORE"), [1]!hcahps[HCAHPS Linear Mean Value]), "No Match")</f>
        <v>No Match</v>
      </c>
      <c r="F5333" t="str" cm="1">
        <f t="array" ref="F5333">_xlfn.IFNA(_xlfn.XLOOKUP(1,([1]!readmissions[Facility ID] = clean[[#This Row],[Facility ID]]) * ([1]!readmissions[Measure ID] = "Hybrid_HWR"), [1]!readmissions[Score]), "No Match")</f>
        <v>No Match</v>
      </c>
    </row>
    <row r="5334" spans="1:6" x14ac:dyDescent="0.2">
      <c r="A5334">
        <f>[1]!hospitalinfo[[#This Row],[Facility ID]]</f>
        <v>524002</v>
      </c>
      <c r="B5334" t="str">
        <f>[1]!hospitalinfo[[#This Row],[State]]</f>
        <v>WI</v>
      </c>
      <c r="C5334" t="str">
        <f>[1]!hospitalinfo[[#This Row],[Hospital Type]]</f>
        <v>Psychiatric</v>
      </c>
      <c r="D5334" t="str">
        <f>[1]!hospitalinfo[[#This Row],[Hospital Ownership]]</f>
        <v>Government - State</v>
      </c>
      <c r="E5334" t="str" cm="1">
        <f t="array" ref="E5334">_xlfn.IFNA(_xlfn.XLOOKUP(1,([1]!hcahps[Facility ID] = clean[[#This Row],[Facility ID]]) * ([1]!hcahps[HCAHPS Measure ID] = "H_HSP_RATING_LINEAR_SCORE"), [1]!hcahps[HCAHPS Linear Mean Value]), "No Match")</f>
        <v>No Match</v>
      </c>
      <c r="F5334" t="str" cm="1">
        <f t="array" ref="F5334">_xlfn.IFNA(_xlfn.XLOOKUP(1,([1]!readmissions[Facility ID] = clean[[#This Row],[Facility ID]]) * ([1]!readmissions[Measure ID] = "Hybrid_HWR"), [1]!readmissions[Score]), "No Match")</f>
        <v>No Match</v>
      </c>
    </row>
    <row r="5335" spans="1:6" x14ac:dyDescent="0.2">
      <c r="A5335">
        <f>[1]!hospitalinfo[[#This Row],[Facility ID]]</f>
        <v>524008</v>
      </c>
      <c r="B5335" t="str">
        <f>[1]!hospitalinfo[[#This Row],[State]]</f>
        <v>WI</v>
      </c>
      <c r="C5335" t="str">
        <f>[1]!hospitalinfo[[#This Row],[Hospital Type]]</f>
        <v>Psychiatric</v>
      </c>
      <c r="D5335" t="str">
        <f>[1]!hospitalinfo[[#This Row],[Hospital Ownership]]</f>
        <v>Government - State</v>
      </c>
      <c r="E5335" t="str" cm="1">
        <f t="array" ref="E5335">_xlfn.IFNA(_xlfn.XLOOKUP(1,([1]!hcahps[Facility ID] = clean[[#This Row],[Facility ID]]) * ([1]!hcahps[HCAHPS Measure ID] = "H_HSP_RATING_LINEAR_SCORE"), [1]!hcahps[HCAHPS Linear Mean Value]), "No Match")</f>
        <v>No Match</v>
      </c>
      <c r="F5335" t="str" cm="1">
        <f t="array" ref="F5335">_xlfn.IFNA(_xlfn.XLOOKUP(1,([1]!readmissions[Facility ID] = clean[[#This Row],[Facility ID]]) * ([1]!readmissions[Measure ID] = "Hybrid_HWR"), [1]!readmissions[Score]), "No Match")</f>
        <v>No Match</v>
      </c>
    </row>
    <row r="5336" spans="1:6" x14ac:dyDescent="0.2">
      <c r="A5336">
        <f>[1]!hospitalinfo[[#This Row],[Facility ID]]</f>
        <v>524014</v>
      </c>
      <c r="B5336" t="str">
        <f>[1]!hospitalinfo[[#This Row],[State]]</f>
        <v>WI</v>
      </c>
      <c r="C5336" t="str">
        <f>[1]!hospitalinfo[[#This Row],[Hospital Type]]</f>
        <v>Psychiatric</v>
      </c>
      <c r="D5336" t="str">
        <f>[1]!hospitalinfo[[#This Row],[Hospital Ownership]]</f>
        <v>Government - Local</v>
      </c>
      <c r="E5336" t="str" cm="1">
        <f t="array" ref="E5336">_xlfn.IFNA(_xlfn.XLOOKUP(1,([1]!hcahps[Facility ID] = clean[[#This Row],[Facility ID]]) * ([1]!hcahps[HCAHPS Measure ID] = "H_HSP_RATING_LINEAR_SCORE"), [1]!hcahps[HCAHPS Linear Mean Value]), "No Match")</f>
        <v>No Match</v>
      </c>
      <c r="F5336" t="str" cm="1">
        <f t="array" ref="F5336">_xlfn.IFNA(_xlfn.XLOOKUP(1,([1]!readmissions[Facility ID] = clean[[#This Row],[Facility ID]]) * ([1]!readmissions[Measure ID] = "Hybrid_HWR"), [1]!readmissions[Score]), "No Match")</f>
        <v>No Match</v>
      </c>
    </row>
    <row r="5337" spans="1:6" x14ac:dyDescent="0.2">
      <c r="A5337">
        <f>[1]!hospitalinfo[[#This Row],[Facility ID]]</f>
        <v>524017</v>
      </c>
      <c r="B5337" t="str">
        <f>[1]!hospitalinfo[[#This Row],[State]]</f>
        <v>WI</v>
      </c>
      <c r="C5337" t="str">
        <f>[1]!hospitalinfo[[#This Row],[Hospital Type]]</f>
        <v>Psychiatric</v>
      </c>
      <c r="D5337" t="str">
        <f>[1]!hospitalinfo[[#This Row],[Hospital Ownership]]</f>
        <v>Voluntary non-profit - Other</v>
      </c>
      <c r="E5337" t="str" cm="1">
        <f t="array" ref="E5337">_xlfn.IFNA(_xlfn.XLOOKUP(1,([1]!hcahps[Facility ID] = clean[[#This Row],[Facility ID]]) * ([1]!hcahps[HCAHPS Measure ID] = "H_HSP_RATING_LINEAR_SCORE"), [1]!hcahps[HCAHPS Linear Mean Value]), "No Match")</f>
        <v>No Match</v>
      </c>
      <c r="F5337" t="str" cm="1">
        <f t="array" ref="F5337">_xlfn.IFNA(_xlfn.XLOOKUP(1,([1]!readmissions[Facility ID] = clean[[#This Row],[Facility ID]]) * ([1]!readmissions[Measure ID] = "Hybrid_HWR"), [1]!readmissions[Score]), "No Match")</f>
        <v>No Match</v>
      </c>
    </row>
    <row r="5338" spans="1:6" x14ac:dyDescent="0.2">
      <c r="A5338">
        <f>[1]!hospitalinfo[[#This Row],[Facility ID]]</f>
        <v>524018</v>
      </c>
      <c r="B5338" t="str">
        <f>[1]!hospitalinfo[[#This Row],[State]]</f>
        <v>WI</v>
      </c>
      <c r="C5338" t="str">
        <f>[1]!hospitalinfo[[#This Row],[Hospital Type]]</f>
        <v>Psychiatric</v>
      </c>
      <c r="D5338" t="str">
        <f>[1]!hospitalinfo[[#This Row],[Hospital Ownership]]</f>
        <v>Voluntary non-profit - Private</v>
      </c>
      <c r="E5338" t="str" cm="1">
        <f t="array" ref="E5338">_xlfn.IFNA(_xlfn.XLOOKUP(1,([1]!hcahps[Facility ID] = clean[[#This Row],[Facility ID]]) * ([1]!hcahps[HCAHPS Measure ID] = "H_HSP_RATING_LINEAR_SCORE"), [1]!hcahps[HCAHPS Linear Mean Value]), "No Match")</f>
        <v>No Match</v>
      </c>
      <c r="F5338" t="str" cm="1">
        <f t="array" ref="F5338">_xlfn.IFNA(_xlfn.XLOOKUP(1,([1]!readmissions[Facility ID] = clean[[#This Row],[Facility ID]]) * ([1]!readmissions[Measure ID] = "Hybrid_HWR"), [1]!readmissions[Score]), "No Match")</f>
        <v>No Match</v>
      </c>
    </row>
    <row r="5339" spans="1:6" x14ac:dyDescent="0.2">
      <c r="A5339">
        <f>[1]!hospitalinfo[[#This Row],[Facility ID]]</f>
        <v>524019</v>
      </c>
      <c r="B5339" t="str">
        <f>[1]!hospitalinfo[[#This Row],[State]]</f>
        <v>WI</v>
      </c>
      <c r="C5339" t="str">
        <f>[1]!hospitalinfo[[#This Row],[Hospital Type]]</f>
        <v>Psychiatric</v>
      </c>
      <c r="D5339" t="str">
        <f>[1]!hospitalinfo[[#This Row],[Hospital Ownership]]</f>
        <v>Government - Local</v>
      </c>
      <c r="E5339" t="str" cm="1">
        <f t="array" ref="E5339">_xlfn.IFNA(_xlfn.XLOOKUP(1,([1]!hcahps[Facility ID] = clean[[#This Row],[Facility ID]]) * ([1]!hcahps[HCAHPS Measure ID] = "H_HSP_RATING_LINEAR_SCORE"), [1]!hcahps[HCAHPS Linear Mean Value]), "No Match")</f>
        <v>No Match</v>
      </c>
      <c r="F5339" t="str" cm="1">
        <f t="array" ref="F5339">_xlfn.IFNA(_xlfn.XLOOKUP(1,([1]!readmissions[Facility ID] = clean[[#This Row],[Facility ID]]) * ([1]!readmissions[Measure ID] = "Hybrid_HWR"), [1]!readmissions[Score]), "No Match")</f>
        <v>No Match</v>
      </c>
    </row>
    <row r="5340" spans="1:6" x14ac:dyDescent="0.2">
      <c r="A5340">
        <f>[1]!hospitalinfo[[#This Row],[Facility ID]]</f>
        <v>524025</v>
      </c>
      <c r="B5340" t="str">
        <f>[1]!hospitalinfo[[#This Row],[State]]</f>
        <v>WI</v>
      </c>
      <c r="C5340" t="str">
        <f>[1]!hospitalinfo[[#This Row],[Hospital Type]]</f>
        <v>Psychiatric</v>
      </c>
      <c r="D5340" t="str">
        <f>[1]!hospitalinfo[[#This Row],[Hospital Ownership]]</f>
        <v>Government - Local</v>
      </c>
      <c r="E5340" t="str" cm="1">
        <f t="array" ref="E5340">_xlfn.IFNA(_xlfn.XLOOKUP(1,([1]!hcahps[Facility ID] = clean[[#This Row],[Facility ID]]) * ([1]!hcahps[HCAHPS Measure ID] = "H_HSP_RATING_LINEAR_SCORE"), [1]!hcahps[HCAHPS Linear Mean Value]), "No Match")</f>
        <v>No Match</v>
      </c>
      <c r="F5340" t="str" cm="1">
        <f t="array" ref="F5340">_xlfn.IFNA(_xlfn.XLOOKUP(1,([1]!readmissions[Facility ID] = clean[[#This Row],[Facility ID]]) * ([1]!readmissions[Measure ID] = "Hybrid_HWR"), [1]!readmissions[Score]), "No Match")</f>
        <v>No Match</v>
      </c>
    </row>
    <row r="5341" spans="1:6" x14ac:dyDescent="0.2">
      <c r="A5341">
        <f>[1]!hospitalinfo[[#This Row],[Facility ID]]</f>
        <v>524026</v>
      </c>
      <c r="B5341" t="str">
        <f>[1]!hospitalinfo[[#This Row],[State]]</f>
        <v>WI</v>
      </c>
      <c r="C5341" t="str">
        <f>[1]!hospitalinfo[[#This Row],[Hospital Type]]</f>
        <v>Psychiatric</v>
      </c>
      <c r="D5341" t="str">
        <f>[1]!hospitalinfo[[#This Row],[Hospital Ownership]]</f>
        <v>Government - Local</v>
      </c>
      <c r="E5341" t="str" cm="1">
        <f t="array" ref="E5341">_xlfn.IFNA(_xlfn.XLOOKUP(1,([1]!hcahps[Facility ID] = clean[[#This Row],[Facility ID]]) * ([1]!hcahps[HCAHPS Measure ID] = "H_HSP_RATING_LINEAR_SCORE"), [1]!hcahps[HCAHPS Linear Mean Value]), "No Match")</f>
        <v>No Match</v>
      </c>
      <c r="F5341" t="str" cm="1">
        <f t="array" ref="F5341">_xlfn.IFNA(_xlfn.XLOOKUP(1,([1]!readmissions[Facility ID] = clean[[#This Row],[Facility ID]]) * ([1]!readmissions[Measure ID] = "Hybrid_HWR"), [1]!readmissions[Score]), "No Match")</f>
        <v>No Match</v>
      </c>
    </row>
    <row r="5342" spans="1:6" x14ac:dyDescent="0.2">
      <c r="A5342">
        <f>[1]!hospitalinfo[[#This Row],[Facility ID]]</f>
        <v>524041</v>
      </c>
      <c r="B5342" t="str">
        <f>[1]!hospitalinfo[[#This Row],[State]]</f>
        <v>WI</v>
      </c>
      <c r="C5342" t="str">
        <f>[1]!hospitalinfo[[#This Row],[Hospital Type]]</f>
        <v>Psychiatric</v>
      </c>
      <c r="D5342" t="str">
        <f>[1]!hospitalinfo[[#This Row],[Hospital Ownership]]</f>
        <v>Proprietary</v>
      </c>
      <c r="E5342" t="str" cm="1">
        <f t="array" ref="E5342">_xlfn.IFNA(_xlfn.XLOOKUP(1,([1]!hcahps[Facility ID] = clean[[#This Row],[Facility ID]]) * ([1]!hcahps[HCAHPS Measure ID] = "H_HSP_RATING_LINEAR_SCORE"), [1]!hcahps[HCAHPS Linear Mean Value]), "No Match")</f>
        <v>No Match</v>
      </c>
      <c r="F5342" t="str" cm="1">
        <f t="array" ref="F5342">_xlfn.IFNA(_xlfn.XLOOKUP(1,([1]!readmissions[Facility ID] = clean[[#This Row],[Facility ID]]) * ([1]!readmissions[Measure ID] = "Hybrid_HWR"), [1]!readmissions[Score]), "No Match")</f>
        <v>No Match</v>
      </c>
    </row>
    <row r="5343" spans="1:6" x14ac:dyDescent="0.2">
      <c r="A5343">
        <f>[1]!hospitalinfo[[#This Row],[Facility ID]]</f>
        <v>524042</v>
      </c>
      <c r="B5343" t="str">
        <f>[1]!hospitalinfo[[#This Row],[State]]</f>
        <v>WI</v>
      </c>
      <c r="C5343" t="str">
        <f>[1]!hospitalinfo[[#This Row],[Hospital Type]]</f>
        <v>Psychiatric</v>
      </c>
      <c r="D5343" t="str">
        <f>[1]!hospitalinfo[[#This Row],[Hospital Ownership]]</f>
        <v>Proprietary</v>
      </c>
      <c r="E5343" t="str" cm="1">
        <f t="array" ref="E5343">_xlfn.IFNA(_xlfn.XLOOKUP(1,([1]!hcahps[Facility ID] = clean[[#This Row],[Facility ID]]) * ([1]!hcahps[HCAHPS Measure ID] = "H_HSP_RATING_LINEAR_SCORE"), [1]!hcahps[HCAHPS Linear Mean Value]), "No Match")</f>
        <v>No Match</v>
      </c>
      <c r="F5343" t="str" cm="1">
        <f t="array" ref="F5343">_xlfn.IFNA(_xlfn.XLOOKUP(1,([1]!readmissions[Facility ID] = clean[[#This Row],[Facility ID]]) * ([1]!readmissions[Measure ID] = "Hybrid_HWR"), [1]!readmissions[Score]), "No Match")</f>
        <v>No Match</v>
      </c>
    </row>
    <row r="5344" spans="1:6" x14ac:dyDescent="0.2">
      <c r="A5344">
        <f>[1]!hospitalinfo[[#This Row],[Facility ID]]</f>
        <v>524043</v>
      </c>
      <c r="B5344" t="str">
        <f>[1]!hospitalinfo[[#This Row],[State]]</f>
        <v>WI</v>
      </c>
      <c r="C5344" t="str">
        <f>[1]!hospitalinfo[[#This Row],[Hospital Type]]</f>
        <v>Psychiatric</v>
      </c>
      <c r="D5344" t="str">
        <f>[1]!hospitalinfo[[#This Row],[Hospital Ownership]]</f>
        <v>Proprietary</v>
      </c>
      <c r="E5344" t="str" cm="1">
        <f t="array" ref="E5344">_xlfn.IFNA(_xlfn.XLOOKUP(1,([1]!hcahps[Facility ID] = clean[[#This Row],[Facility ID]]) * ([1]!hcahps[HCAHPS Measure ID] = "H_HSP_RATING_LINEAR_SCORE"), [1]!hcahps[HCAHPS Linear Mean Value]), "No Match")</f>
        <v>No Match</v>
      </c>
      <c r="F5344" t="str" cm="1">
        <f t="array" ref="F5344">_xlfn.IFNA(_xlfn.XLOOKUP(1,([1]!readmissions[Facility ID] = clean[[#This Row],[Facility ID]]) * ([1]!readmissions[Measure ID] = "Hybrid_HWR"), [1]!readmissions[Score]), "No Match")</f>
        <v>No Match</v>
      </c>
    </row>
    <row r="5345" spans="1:6" x14ac:dyDescent="0.2">
      <c r="A5345">
        <f>[1]!hospitalinfo[[#This Row],[Facility ID]]</f>
        <v>524044</v>
      </c>
      <c r="B5345" t="str">
        <f>[1]!hospitalinfo[[#This Row],[State]]</f>
        <v>WI</v>
      </c>
      <c r="C5345" t="str">
        <f>[1]!hospitalinfo[[#This Row],[Hospital Type]]</f>
        <v>Psychiatric</v>
      </c>
      <c r="D5345" t="str">
        <f>[1]!hospitalinfo[[#This Row],[Hospital Ownership]]</f>
        <v>Voluntary non-profit - Private</v>
      </c>
      <c r="E5345" t="str" cm="1">
        <f t="array" ref="E5345">_xlfn.IFNA(_xlfn.XLOOKUP(1,([1]!hcahps[Facility ID] = clean[[#This Row],[Facility ID]]) * ([1]!hcahps[HCAHPS Measure ID] = "H_HSP_RATING_LINEAR_SCORE"), [1]!hcahps[HCAHPS Linear Mean Value]), "No Match")</f>
        <v>No Match</v>
      </c>
      <c r="F5345" t="str" cm="1">
        <f t="array" ref="F5345">_xlfn.IFNA(_xlfn.XLOOKUP(1,([1]!readmissions[Facility ID] = clean[[#This Row],[Facility ID]]) * ([1]!readmissions[Measure ID] = "Hybrid_HWR"), [1]!readmissions[Score]), "No Match")</f>
        <v>No Match</v>
      </c>
    </row>
    <row r="5346" spans="1:6" x14ac:dyDescent="0.2">
      <c r="A5346" t="str">
        <f>[1]!hospitalinfo[[#This Row],[Facility ID]]</f>
        <v>52002F</v>
      </c>
      <c r="B5346" t="str">
        <f>[1]!hospitalinfo[[#This Row],[State]]</f>
        <v>WI</v>
      </c>
      <c r="C5346" t="str">
        <f>[1]!hospitalinfo[[#This Row],[Hospital Type]]</f>
        <v>Acute Care - Veterans Administration</v>
      </c>
      <c r="D5346" t="str">
        <f>[1]!hospitalinfo[[#This Row],[Hospital Ownership]]</f>
        <v>Veterans Health Administration</v>
      </c>
      <c r="E5346" t="str" cm="1">
        <f t="array" ref="E5346">_xlfn.IFNA(_xlfn.XLOOKUP(1,([1]!hcahps[Facility ID] = clean[[#This Row],[Facility ID]]) * ([1]!hcahps[HCAHPS Measure ID] = "H_HSP_RATING_LINEAR_SCORE"), [1]!hcahps[HCAHPS Linear Mean Value]), "No Match")</f>
        <v>Not Available</v>
      </c>
      <c r="F5346" cm="1">
        <f t="array" ref="F5346">_xlfn.IFNA(_xlfn.XLOOKUP(1,([1]!readmissions[Facility ID] = clean[[#This Row],[Facility ID]]) * ([1]!readmissions[Measure ID] = "Hybrid_HWR"), [1]!readmissions[Score]), "No Match")</f>
        <v>14.8</v>
      </c>
    </row>
    <row r="5347" spans="1:6" x14ac:dyDescent="0.2">
      <c r="A5347" t="str">
        <f>[1]!hospitalinfo[[#This Row],[Facility ID]]</f>
        <v>52003F</v>
      </c>
      <c r="B5347" t="str">
        <f>[1]!hospitalinfo[[#This Row],[State]]</f>
        <v>WI</v>
      </c>
      <c r="C5347" t="str">
        <f>[1]!hospitalinfo[[#This Row],[Hospital Type]]</f>
        <v>Acute Care - Veterans Administration</v>
      </c>
      <c r="D5347" t="str">
        <f>[1]!hospitalinfo[[#This Row],[Hospital Ownership]]</f>
        <v>Veterans Health Administration</v>
      </c>
      <c r="E5347" cm="1">
        <f t="array" ref="E5347">_xlfn.IFNA(_xlfn.XLOOKUP(1,([1]!hcahps[Facility ID] = clean[[#This Row],[Facility ID]]) * ([1]!hcahps[HCAHPS Measure ID] = "H_HSP_RATING_LINEAR_SCORE"), [1]!hcahps[HCAHPS Linear Mean Value]), "No Match")</f>
        <v>92</v>
      </c>
      <c r="F5347" cm="1">
        <f t="array" ref="F5347">_xlfn.IFNA(_xlfn.XLOOKUP(1,([1]!readmissions[Facility ID] = clean[[#This Row],[Facility ID]]) * ([1]!readmissions[Measure ID] = "Hybrid_HWR"), [1]!readmissions[Score]), "No Match")</f>
        <v>15.5</v>
      </c>
    </row>
    <row r="5348" spans="1:6" x14ac:dyDescent="0.2">
      <c r="A5348" t="str">
        <f>[1]!hospitalinfo[[#This Row],[Facility ID]]</f>
        <v>52004F</v>
      </c>
      <c r="B5348" t="str">
        <f>[1]!hospitalinfo[[#This Row],[State]]</f>
        <v>WI</v>
      </c>
      <c r="C5348" t="str">
        <f>[1]!hospitalinfo[[#This Row],[Hospital Type]]</f>
        <v>Acute Care - Veterans Administration</v>
      </c>
      <c r="D5348" t="str">
        <f>[1]!hospitalinfo[[#This Row],[Hospital Ownership]]</f>
        <v>Veterans Health Administration</v>
      </c>
      <c r="E5348" cm="1">
        <f t="array" ref="E5348">_xlfn.IFNA(_xlfn.XLOOKUP(1,([1]!hcahps[Facility ID] = clean[[#This Row],[Facility ID]]) * ([1]!hcahps[HCAHPS Measure ID] = "H_HSP_RATING_LINEAR_SCORE"), [1]!hcahps[HCAHPS Linear Mean Value]), "No Match")</f>
        <v>95</v>
      </c>
      <c r="F5348" cm="1">
        <f t="array" ref="F5348">_xlfn.IFNA(_xlfn.XLOOKUP(1,([1]!readmissions[Facility ID] = clean[[#This Row],[Facility ID]]) * ([1]!readmissions[Measure ID] = "Hybrid_HWR"), [1]!readmissions[Score]), "No Match")</f>
        <v>16</v>
      </c>
    </row>
    <row r="5349" spans="1:6" x14ac:dyDescent="0.2">
      <c r="A5349">
        <f>[1]!hospitalinfo[[#This Row],[Facility ID]]</f>
        <v>510001</v>
      </c>
      <c r="B5349" t="str">
        <f>[1]!hospitalinfo[[#This Row],[State]]</f>
        <v>WV</v>
      </c>
      <c r="C5349" t="str">
        <f>[1]!hospitalinfo[[#This Row],[Hospital Type]]</f>
        <v>Acute Care Hospitals</v>
      </c>
      <c r="D5349" t="str">
        <f>[1]!hospitalinfo[[#This Row],[Hospital Ownership]]</f>
        <v>Voluntary non-profit - Private</v>
      </c>
      <c r="E5349" cm="1">
        <f t="array" ref="E5349">_xlfn.IFNA(_xlfn.XLOOKUP(1,([1]!hcahps[Facility ID] = clean[[#This Row],[Facility ID]]) * ([1]!hcahps[HCAHPS Measure ID] = "H_HSP_RATING_LINEAR_SCORE"), [1]!hcahps[HCAHPS Linear Mean Value]), "No Match")</f>
        <v>89</v>
      </c>
      <c r="F5349" cm="1">
        <f t="array" ref="F5349">_xlfn.IFNA(_xlfn.XLOOKUP(1,([1]!readmissions[Facility ID] = clean[[#This Row],[Facility ID]]) * ([1]!readmissions[Measure ID] = "Hybrid_HWR"), [1]!readmissions[Score]), "No Match")</f>
        <v>15.2</v>
      </c>
    </row>
    <row r="5350" spans="1:6" x14ac:dyDescent="0.2">
      <c r="A5350">
        <f>[1]!hospitalinfo[[#This Row],[Facility ID]]</f>
        <v>510002</v>
      </c>
      <c r="B5350" t="str">
        <f>[1]!hospitalinfo[[#This Row],[State]]</f>
        <v>WV</v>
      </c>
      <c r="C5350" t="str">
        <f>[1]!hospitalinfo[[#This Row],[Hospital Type]]</f>
        <v>Acute Care Hospitals</v>
      </c>
      <c r="D5350" t="str">
        <f>[1]!hospitalinfo[[#This Row],[Hospital Ownership]]</f>
        <v>Proprietary</v>
      </c>
      <c r="E5350" cm="1">
        <f t="array" ref="E5350">_xlfn.IFNA(_xlfn.XLOOKUP(1,([1]!hcahps[Facility ID] = clean[[#This Row],[Facility ID]]) * ([1]!hcahps[HCAHPS Measure ID] = "H_HSP_RATING_LINEAR_SCORE"), [1]!hcahps[HCAHPS Linear Mean Value]), "No Match")</f>
        <v>83</v>
      </c>
      <c r="F5350" cm="1">
        <f t="array" ref="F5350">_xlfn.IFNA(_xlfn.XLOOKUP(1,([1]!readmissions[Facility ID] = clean[[#This Row],[Facility ID]]) * ([1]!readmissions[Measure ID] = "Hybrid_HWR"), [1]!readmissions[Score]), "No Match")</f>
        <v>14.3</v>
      </c>
    </row>
    <row r="5351" spans="1:6" x14ac:dyDescent="0.2">
      <c r="A5351">
        <f>[1]!hospitalinfo[[#This Row],[Facility ID]]</f>
        <v>510006</v>
      </c>
      <c r="B5351" t="str">
        <f>[1]!hospitalinfo[[#This Row],[State]]</f>
        <v>WV</v>
      </c>
      <c r="C5351" t="str">
        <f>[1]!hospitalinfo[[#This Row],[Hospital Type]]</f>
        <v>Acute Care Hospitals</v>
      </c>
      <c r="D5351" t="str">
        <f>[1]!hospitalinfo[[#This Row],[Hospital Ownership]]</f>
        <v>Voluntary non-profit - Private</v>
      </c>
      <c r="E5351" cm="1">
        <f t="array" ref="E5351">_xlfn.IFNA(_xlfn.XLOOKUP(1,([1]!hcahps[Facility ID] = clean[[#This Row],[Facility ID]]) * ([1]!hcahps[HCAHPS Measure ID] = "H_HSP_RATING_LINEAR_SCORE"), [1]!hcahps[HCAHPS Linear Mean Value]), "No Match")</f>
        <v>89</v>
      </c>
      <c r="F5351" cm="1">
        <f t="array" ref="F5351">_xlfn.IFNA(_xlfn.XLOOKUP(1,([1]!readmissions[Facility ID] = clean[[#This Row],[Facility ID]]) * ([1]!readmissions[Measure ID] = "Hybrid_HWR"), [1]!readmissions[Score]), "No Match")</f>
        <v>16.3</v>
      </c>
    </row>
    <row r="5352" spans="1:6" x14ac:dyDescent="0.2">
      <c r="A5352">
        <f>[1]!hospitalinfo[[#This Row],[Facility ID]]</f>
        <v>510007</v>
      </c>
      <c r="B5352" t="str">
        <f>[1]!hospitalinfo[[#This Row],[State]]</f>
        <v>WV</v>
      </c>
      <c r="C5352" t="str">
        <f>[1]!hospitalinfo[[#This Row],[Hospital Type]]</f>
        <v>Acute Care Hospitals</v>
      </c>
      <c r="D5352" t="str">
        <f>[1]!hospitalinfo[[#This Row],[Hospital Ownership]]</f>
        <v>Voluntary non-profit - Church</v>
      </c>
      <c r="E5352" cm="1">
        <f t="array" ref="E5352">_xlfn.IFNA(_xlfn.XLOOKUP(1,([1]!hcahps[Facility ID] = clean[[#This Row],[Facility ID]]) * ([1]!hcahps[HCAHPS Measure ID] = "H_HSP_RATING_LINEAR_SCORE"), [1]!hcahps[HCAHPS Linear Mean Value]), "No Match")</f>
        <v>88</v>
      </c>
      <c r="F5352" cm="1">
        <f t="array" ref="F5352">_xlfn.IFNA(_xlfn.XLOOKUP(1,([1]!readmissions[Facility ID] = clean[[#This Row],[Facility ID]]) * ([1]!readmissions[Measure ID] = "Hybrid_HWR"), [1]!readmissions[Score]), "No Match")</f>
        <v>14.8</v>
      </c>
    </row>
    <row r="5353" spans="1:6" x14ac:dyDescent="0.2">
      <c r="A5353">
        <f>[1]!hospitalinfo[[#This Row],[Facility ID]]</f>
        <v>510008</v>
      </c>
      <c r="B5353" t="str">
        <f>[1]!hospitalinfo[[#This Row],[State]]</f>
        <v>WV</v>
      </c>
      <c r="C5353" t="str">
        <f>[1]!hospitalinfo[[#This Row],[Hospital Type]]</f>
        <v>Acute Care Hospitals</v>
      </c>
      <c r="D5353" t="str">
        <f>[1]!hospitalinfo[[#This Row],[Hospital Ownership]]</f>
        <v>Voluntary non-profit - Private</v>
      </c>
      <c r="E5353" cm="1">
        <f t="array" ref="E5353">_xlfn.IFNA(_xlfn.XLOOKUP(1,([1]!hcahps[Facility ID] = clean[[#This Row],[Facility ID]]) * ([1]!hcahps[HCAHPS Measure ID] = "H_HSP_RATING_LINEAR_SCORE"), [1]!hcahps[HCAHPS Linear Mean Value]), "No Match")</f>
        <v>82</v>
      </c>
      <c r="F5353" cm="1">
        <f t="array" ref="F5353">_xlfn.IFNA(_xlfn.XLOOKUP(1,([1]!readmissions[Facility ID] = clean[[#This Row],[Facility ID]]) * ([1]!readmissions[Measure ID] = "Hybrid_HWR"), [1]!readmissions[Score]), "No Match")</f>
        <v>15.1</v>
      </c>
    </row>
    <row r="5354" spans="1:6" x14ac:dyDescent="0.2">
      <c r="A5354">
        <f>[1]!hospitalinfo[[#This Row],[Facility ID]]</f>
        <v>510012</v>
      </c>
      <c r="B5354" t="str">
        <f>[1]!hospitalinfo[[#This Row],[State]]</f>
        <v>WV</v>
      </c>
      <c r="C5354" t="str">
        <f>[1]!hospitalinfo[[#This Row],[Hospital Type]]</f>
        <v>Acute Care Hospitals</v>
      </c>
      <c r="D5354" t="str">
        <f>[1]!hospitalinfo[[#This Row],[Hospital Ownership]]</f>
        <v>Voluntary non-profit - Private</v>
      </c>
      <c r="E5354" cm="1">
        <f t="array" ref="E5354">_xlfn.IFNA(_xlfn.XLOOKUP(1,([1]!hcahps[Facility ID] = clean[[#This Row],[Facility ID]]) * ([1]!hcahps[HCAHPS Measure ID] = "H_HSP_RATING_LINEAR_SCORE"), [1]!hcahps[HCAHPS Linear Mean Value]), "No Match")</f>
        <v>87</v>
      </c>
      <c r="F5354" cm="1">
        <f t="array" ref="F5354">_xlfn.IFNA(_xlfn.XLOOKUP(1,([1]!readmissions[Facility ID] = clean[[#This Row],[Facility ID]]) * ([1]!readmissions[Measure ID] = "Hybrid_HWR"), [1]!readmissions[Score]), "No Match")</f>
        <v>15.1</v>
      </c>
    </row>
    <row r="5355" spans="1:6" x14ac:dyDescent="0.2">
      <c r="A5355">
        <f>[1]!hospitalinfo[[#This Row],[Facility ID]]</f>
        <v>510013</v>
      </c>
      <c r="B5355" t="str">
        <f>[1]!hospitalinfo[[#This Row],[State]]</f>
        <v>WV</v>
      </c>
      <c r="C5355" t="str">
        <f>[1]!hospitalinfo[[#This Row],[Hospital Type]]</f>
        <v>Acute Care Hospitals</v>
      </c>
      <c r="D5355" t="str">
        <f>[1]!hospitalinfo[[#This Row],[Hospital Ownership]]</f>
        <v>Voluntary non-profit - Private</v>
      </c>
      <c r="E5355" cm="1">
        <f t="array" ref="E5355">_xlfn.IFNA(_xlfn.XLOOKUP(1,([1]!hcahps[Facility ID] = clean[[#This Row],[Facility ID]]) * ([1]!hcahps[HCAHPS Measure ID] = "H_HSP_RATING_LINEAR_SCORE"), [1]!hcahps[HCAHPS Linear Mean Value]), "No Match")</f>
        <v>88</v>
      </c>
      <c r="F5355" cm="1">
        <f t="array" ref="F5355">_xlfn.IFNA(_xlfn.XLOOKUP(1,([1]!readmissions[Facility ID] = clean[[#This Row],[Facility ID]]) * ([1]!readmissions[Measure ID] = "Hybrid_HWR"), [1]!readmissions[Score]), "No Match")</f>
        <v>15</v>
      </c>
    </row>
    <row r="5356" spans="1:6" x14ac:dyDescent="0.2">
      <c r="A5356">
        <f>[1]!hospitalinfo[[#This Row],[Facility ID]]</f>
        <v>510022</v>
      </c>
      <c r="B5356" t="str">
        <f>[1]!hospitalinfo[[#This Row],[State]]</f>
        <v>WV</v>
      </c>
      <c r="C5356" t="str">
        <f>[1]!hospitalinfo[[#This Row],[Hospital Type]]</f>
        <v>Acute Care Hospitals</v>
      </c>
      <c r="D5356" t="str">
        <f>[1]!hospitalinfo[[#This Row],[Hospital Ownership]]</f>
        <v>Voluntary non-profit - Private</v>
      </c>
      <c r="E5356" cm="1">
        <f t="array" ref="E5356">_xlfn.IFNA(_xlfn.XLOOKUP(1,([1]!hcahps[Facility ID] = clean[[#This Row],[Facility ID]]) * ([1]!hcahps[HCAHPS Measure ID] = "H_HSP_RATING_LINEAR_SCORE"), [1]!hcahps[HCAHPS Linear Mean Value]), "No Match")</f>
        <v>88</v>
      </c>
      <c r="F5356" cm="1">
        <f t="array" ref="F5356">_xlfn.IFNA(_xlfn.XLOOKUP(1,([1]!readmissions[Facility ID] = clean[[#This Row],[Facility ID]]) * ([1]!readmissions[Measure ID] = "Hybrid_HWR"), [1]!readmissions[Score]), "No Match")</f>
        <v>16.7</v>
      </c>
    </row>
    <row r="5357" spans="1:6" x14ac:dyDescent="0.2">
      <c r="A5357">
        <f>[1]!hospitalinfo[[#This Row],[Facility ID]]</f>
        <v>510023</v>
      </c>
      <c r="B5357" t="str">
        <f>[1]!hospitalinfo[[#This Row],[State]]</f>
        <v>WV</v>
      </c>
      <c r="C5357" t="str">
        <f>[1]!hospitalinfo[[#This Row],[Hospital Type]]</f>
        <v>Acute Care Hospitals</v>
      </c>
      <c r="D5357" t="str">
        <f>[1]!hospitalinfo[[#This Row],[Hospital Ownership]]</f>
        <v>Government - Local</v>
      </c>
      <c r="E5357" cm="1">
        <f t="array" ref="E5357">_xlfn.IFNA(_xlfn.XLOOKUP(1,([1]!hcahps[Facility ID] = clean[[#This Row],[Facility ID]]) * ([1]!hcahps[HCAHPS Measure ID] = "H_HSP_RATING_LINEAR_SCORE"), [1]!hcahps[HCAHPS Linear Mean Value]), "No Match")</f>
        <v>81</v>
      </c>
      <c r="F5357" cm="1">
        <f t="array" ref="F5357">_xlfn.IFNA(_xlfn.XLOOKUP(1,([1]!readmissions[Facility ID] = clean[[#This Row],[Facility ID]]) * ([1]!readmissions[Measure ID] = "Hybrid_HWR"), [1]!readmissions[Score]), "No Match")</f>
        <v>16.899999999999999</v>
      </c>
    </row>
    <row r="5358" spans="1:6" x14ac:dyDescent="0.2">
      <c r="A5358">
        <f>[1]!hospitalinfo[[#This Row],[Facility ID]]</f>
        <v>510024</v>
      </c>
      <c r="B5358" t="str">
        <f>[1]!hospitalinfo[[#This Row],[State]]</f>
        <v>WV</v>
      </c>
      <c r="C5358" t="str">
        <f>[1]!hospitalinfo[[#This Row],[Hospital Type]]</f>
        <v>Acute Care Hospitals</v>
      </c>
      <c r="D5358" t="str">
        <f>[1]!hospitalinfo[[#This Row],[Hospital Ownership]]</f>
        <v>Voluntary non-profit - Private</v>
      </c>
      <c r="E5358" cm="1">
        <f t="array" ref="E5358">_xlfn.IFNA(_xlfn.XLOOKUP(1,([1]!hcahps[Facility ID] = clean[[#This Row],[Facility ID]]) * ([1]!hcahps[HCAHPS Measure ID] = "H_HSP_RATING_LINEAR_SCORE"), [1]!hcahps[HCAHPS Linear Mean Value]), "No Match")</f>
        <v>90</v>
      </c>
      <c r="F5358" cm="1">
        <f t="array" ref="F5358">_xlfn.IFNA(_xlfn.XLOOKUP(1,([1]!readmissions[Facility ID] = clean[[#This Row],[Facility ID]]) * ([1]!readmissions[Measure ID] = "Hybrid_HWR"), [1]!readmissions[Score]), "No Match")</f>
        <v>15.5</v>
      </c>
    </row>
    <row r="5359" spans="1:6" x14ac:dyDescent="0.2">
      <c r="A5359">
        <f>[1]!hospitalinfo[[#This Row],[Facility ID]]</f>
        <v>510029</v>
      </c>
      <c r="B5359" t="str">
        <f>[1]!hospitalinfo[[#This Row],[State]]</f>
        <v>WV</v>
      </c>
      <c r="C5359" t="str">
        <f>[1]!hospitalinfo[[#This Row],[Hospital Type]]</f>
        <v>Acute Care Hospitals</v>
      </c>
      <c r="D5359" t="str">
        <f>[1]!hospitalinfo[[#This Row],[Hospital Ownership]]</f>
        <v>Voluntary non-profit - Private</v>
      </c>
      <c r="E5359" cm="1">
        <f t="array" ref="E5359">_xlfn.IFNA(_xlfn.XLOOKUP(1,([1]!hcahps[Facility ID] = clean[[#This Row],[Facility ID]]) * ([1]!hcahps[HCAHPS Measure ID] = "H_HSP_RATING_LINEAR_SCORE"), [1]!hcahps[HCAHPS Linear Mean Value]), "No Match")</f>
        <v>88</v>
      </c>
      <c r="F5359" cm="1">
        <f t="array" ref="F5359">_xlfn.IFNA(_xlfn.XLOOKUP(1,([1]!readmissions[Facility ID] = clean[[#This Row],[Facility ID]]) * ([1]!readmissions[Measure ID] = "Hybrid_HWR"), [1]!readmissions[Score]), "No Match")</f>
        <v>15.8</v>
      </c>
    </row>
    <row r="5360" spans="1:6" x14ac:dyDescent="0.2">
      <c r="A5360">
        <f>[1]!hospitalinfo[[#This Row],[Facility ID]]</f>
        <v>510030</v>
      </c>
      <c r="B5360" t="str">
        <f>[1]!hospitalinfo[[#This Row],[State]]</f>
        <v>WV</v>
      </c>
      <c r="C5360" t="str">
        <f>[1]!hospitalinfo[[#This Row],[Hospital Type]]</f>
        <v>Acute Care Hospitals</v>
      </c>
      <c r="D5360" t="str">
        <f>[1]!hospitalinfo[[#This Row],[Hospital Ownership]]</f>
        <v>Voluntary non-profit - Private</v>
      </c>
      <c r="E5360" cm="1">
        <f t="array" ref="E5360">_xlfn.IFNA(_xlfn.XLOOKUP(1,([1]!hcahps[Facility ID] = clean[[#This Row],[Facility ID]]) * ([1]!hcahps[HCAHPS Measure ID] = "H_HSP_RATING_LINEAR_SCORE"), [1]!hcahps[HCAHPS Linear Mean Value]), "No Match")</f>
        <v>84</v>
      </c>
      <c r="F5360" cm="1">
        <f t="array" ref="F5360">_xlfn.IFNA(_xlfn.XLOOKUP(1,([1]!readmissions[Facility ID] = clean[[#This Row],[Facility ID]]) * ([1]!readmissions[Measure ID] = "Hybrid_HWR"), [1]!readmissions[Score]), "No Match")</f>
        <v>15.5</v>
      </c>
    </row>
    <row r="5361" spans="1:6" x14ac:dyDescent="0.2">
      <c r="A5361">
        <f>[1]!hospitalinfo[[#This Row],[Facility ID]]</f>
        <v>510038</v>
      </c>
      <c r="B5361" t="str">
        <f>[1]!hospitalinfo[[#This Row],[State]]</f>
        <v>WV</v>
      </c>
      <c r="C5361" t="str">
        <f>[1]!hospitalinfo[[#This Row],[Hospital Type]]</f>
        <v>Acute Care Hospitals</v>
      </c>
      <c r="D5361" t="str">
        <f>[1]!hospitalinfo[[#This Row],[Hospital Ownership]]</f>
        <v>Voluntary non-profit - Private</v>
      </c>
      <c r="E5361" cm="1">
        <f t="array" ref="E5361">_xlfn.IFNA(_xlfn.XLOOKUP(1,([1]!hcahps[Facility ID] = clean[[#This Row],[Facility ID]]) * ([1]!hcahps[HCAHPS Measure ID] = "H_HSP_RATING_LINEAR_SCORE"), [1]!hcahps[HCAHPS Linear Mean Value]), "No Match")</f>
        <v>87</v>
      </c>
      <c r="F5361" cm="1">
        <f t="array" ref="F5361">_xlfn.IFNA(_xlfn.XLOOKUP(1,([1]!readmissions[Facility ID] = clean[[#This Row],[Facility ID]]) * ([1]!readmissions[Measure ID] = "Hybrid_HWR"), [1]!readmissions[Score]), "No Match")</f>
        <v>15.9</v>
      </c>
    </row>
    <row r="5362" spans="1:6" x14ac:dyDescent="0.2">
      <c r="A5362">
        <f>[1]!hospitalinfo[[#This Row],[Facility ID]]</f>
        <v>510046</v>
      </c>
      <c r="B5362" t="str">
        <f>[1]!hospitalinfo[[#This Row],[State]]</f>
        <v>WV</v>
      </c>
      <c r="C5362" t="str">
        <f>[1]!hospitalinfo[[#This Row],[Hospital Type]]</f>
        <v>Acute Care Hospitals</v>
      </c>
      <c r="D5362" t="str">
        <f>[1]!hospitalinfo[[#This Row],[Hospital Ownership]]</f>
        <v>Government - Local</v>
      </c>
      <c r="E5362" cm="1">
        <f t="array" ref="E5362">_xlfn.IFNA(_xlfn.XLOOKUP(1,([1]!hcahps[Facility ID] = clean[[#This Row],[Facility ID]]) * ([1]!hcahps[HCAHPS Measure ID] = "H_HSP_RATING_LINEAR_SCORE"), [1]!hcahps[HCAHPS Linear Mean Value]), "No Match")</f>
        <v>84</v>
      </c>
      <c r="F5362" cm="1">
        <f t="array" ref="F5362">_xlfn.IFNA(_xlfn.XLOOKUP(1,([1]!readmissions[Facility ID] = clean[[#This Row],[Facility ID]]) * ([1]!readmissions[Measure ID] = "Hybrid_HWR"), [1]!readmissions[Score]), "No Match")</f>
        <v>16.600000000000001</v>
      </c>
    </row>
    <row r="5363" spans="1:6" x14ac:dyDescent="0.2">
      <c r="A5363">
        <f>[1]!hospitalinfo[[#This Row],[Facility ID]]</f>
        <v>510048</v>
      </c>
      <c r="B5363" t="str">
        <f>[1]!hospitalinfo[[#This Row],[State]]</f>
        <v>WV</v>
      </c>
      <c r="C5363" t="str">
        <f>[1]!hospitalinfo[[#This Row],[Hospital Type]]</f>
        <v>Acute Care Hospitals</v>
      </c>
      <c r="D5363" t="str">
        <f>[1]!hospitalinfo[[#This Row],[Hospital Ownership]]</f>
        <v>Proprietary</v>
      </c>
      <c r="E5363" cm="1">
        <f t="array" ref="E5363">_xlfn.IFNA(_xlfn.XLOOKUP(1,([1]!hcahps[Facility ID] = clean[[#This Row],[Facility ID]]) * ([1]!hcahps[HCAHPS Measure ID] = "H_HSP_RATING_LINEAR_SCORE"), [1]!hcahps[HCAHPS Linear Mean Value]), "No Match")</f>
        <v>82</v>
      </c>
      <c r="F5363" cm="1">
        <f t="array" ref="F5363">_xlfn.IFNA(_xlfn.XLOOKUP(1,([1]!readmissions[Facility ID] = clean[[#This Row],[Facility ID]]) * ([1]!readmissions[Measure ID] = "Hybrid_HWR"), [1]!readmissions[Score]), "No Match")</f>
        <v>15.1</v>
      </c>
    </row>
    <row r="5364" spans="1:6" x14ac:dyDescent="0.2">
      <c r="A5364">
        <f>[1]!hospitalinfo[[#This Row],[Facility ID]]</f>
        <v>510050</v>
      </c>
      <c r="B5364" t="str">
        <f>[1]!hospitalinfo[[#This Row],[State]]</f>
        <v>WV</v>
      </c>
      <c r="C5364" t="str">
        <f>[1]!hospitalinfo[[#This Row],[Hospital Type]]</f>
        <v>Acute Care Hospitals</v>
      </c>
      <c r="D5364" t="str">
        <f>[1]!hospitalinfo[[#This Row],[Hospital Ownership]]</f>
        <v>Voluntary non-profit - Church</v>
      </c>
      <c r="E5364" cm="1">
        <f t="array" ref="E5364">_xlfn.IFNA(_xlfn.XLOOKUP(1,([1]!hcahps[Facility ID] = clean[[#This Row],[Facility ID]]) * ([1]!hcahps[HCAHPS Measure ID] = "H_HSP_RATING_LINEAR_SCORE"), [1]!hcahps[HCAHPS Linear Mean Value]), "No Match")</f>
        <v>84</v>
      </c>
      <c r="F5364" cm="1">
        <f t="array" ref="F5364">_xlfn.IFNA(_xlfn.XLOOKUP(1,([1]!readmissions[Facility ID] = clean[[#This Row],[Facility ID]]) * ([1]!readmissions[Measure ID] = "Hybrid_HWR"), [1]!readmissions[Score]), "No Match")</f>
        <v>15.5</v>
      </c>
    </row>
    <row r="5365" spans="1:6" x14ac:dyDescent="0.2">
      <c r="A5365">
        <f>[1]!hospitalinfo[[#This Row],[Facility ID]]</f>
        <v>510055</v>
      </c>
      <c r="B5365" t="str">
        <f>[1]!hospitalinfo[[#This Row],[State]]</f>
        <v>WV</v>
      </c>
      <c r="C5365" t="str">
        <f>[1]!hospitalinfo[[#This Row],[Hospital Type]]</f>
        <v>Acute Care Hospitals</v>
      </c>
      <c r="D5365" t="str">
        <f>[1]!hospitalinfo[[#This Row],[Hospital Ownership]]</f>
        <v>Voluntary non-profit - Private</v>
      </c>
      <c r="E5365" cm="1">
        <f t="array" ref="E5365">_xlfn.IFNA(_xlfn.XLOOKUP(1,([1]!hcahps[Facility ID] = clean[[#This Row],[Facility ID]]) * ([1]!hcahps[HCAHPS Measure ID] = "H_HSP_RATING_LINEAR_SCORE"), [1]!hcahps[HCAHPS Linear Mean Value]), "No Match")</f>
        <v>87</v>
      </c>
      <c r="F5365" cm="1">
        <f t="array" ref="F5365">_xlfn.IFNA(_xlfn.XLOOKUP(1,([1]!readmissions[Facility ID] = clean[[#This Row],[Facility ID]]) * ([1]!readmissions[Measure ID] = "Hybrid_HWR"), [1]!readmissions[Score]), "No Match")</f>
        <v>15.2</v>
      </c>
    </row>
    <row r="5366" spans="1:6" x14ac:dyDescent="0.2">
      <c r="A5366">
        <f>[1]!hospitalinfo[[#This Row],[Facility ID]]</f>
        <v>510058</v>
      </c>
      <c r="B5366" t="str">
        <f>[1]!hospitalinfo[[#This Row],[State]]</f>
        <v>WV</v>
      </c>
      <c r="C5366" t="str">
        <f>[1]!hospitalinfo[[#This Row],[Hospital Type]]</f>
        <v>Acute Care Hospitals</v>
      </c>
      <c r="D5366" t="str">
        <f>[1]!hospitalinfo[[#This Row],[Hospital Ownership]]</f>
        <v>Voluntary non-profit - Private</v>
      </c>
      <c r="E5366" cm="1">
        <f t="array" ref="E5366">_xlfn.IFNA(_xlfn.XLOOKUP(1,([1]!hcahps[Facility ID] = clean[[#This Row],[Facility ID]]) * ([1]!hcahps[HCAHPS Measure ID] = "H_HSP_RATING_LINEAR_SCORE"), [1]!hcahps[HCAHPS Linear Mean Value]), "No Match")</f>
        <v>86</v>
      </c>
      <c r="F5366" cm="1">
        <f t="array" ref="F5366">_xlfn.IFNA(_xlfn.XLOOKUP(1,([1]!readmissions[Facility ID] = clean[[#This Row],[Facility ID]]) * ([1]!readmissions[Measure ID] = "Hybrid_HWR"), [1]!readmissions[Score]), "No Match")</f>
        <v>16.8</v>
      </c>
    </row>
    <row r="5367" spans="1:6" x14ac:dyDescent="0.2">
      <c r="A5367">
        <f>[1]!hospitalinfo[[#This Row],[Facility ID]]</f>
        <v>510062</v>
      </c>
      <c r="B5367" t="str">
        <f>[1]!hospitalinfo[[#This Row],[State]]</f>
        <v>WV</v>
      </c>
      <c r="C5367" t="str">
        <f>[1]!hospitalinfo[[#This Row],[Hospital Type]]</f>
        <v>Acute Care Hospitals</v>
      </c>
      <c r="D5367" t="str">
        <f>[1]!hospitalinfo[[#This Row],[Hospital Ownership]]</f>
        <v>Voluntary non-profit - Private</v>
      </c>
      <c r="E5367" cm="1">
        <f t="array" ref="E5367">_xlfn.IFNA(_xlfn.XLOOKUP(1,([1]!hcahps[Facility ID] = clean[[#This Row],[Facility ID]]) * ([1]!hcahps[HCAHPS Measure ID] = "H_HSP_RATING_LINEAR_SCORE"), [1]!hcahps[HCAHPS Linear Mean Value]), "No Match")</f>
        <v>87</v>
      </c>
      <c r="F5367" cm="1">
        <f t="array" ref="F5367">_xlfn.IFNA(_xlfn.XLOOKUP(1,([1]!readmissions[Facility ID] = clean[[#This Row],[Facility ID]]) * ([1]!readmissions[Measure ID] = "Hybrid_HWR"), [1]!readmissions[Score]), "No Match")</f>
        <v>14.9</v>
      </c>
    </row>
    <row r="5368" spans="1:6" x14ac:dyDescent="0.2">
      <c r="A5368">
        <f>[1]!hospitalinfo[[#This Row],[Facility ID]]</f>
        <v>510070</v>
      </c>
      <c r="B5368" t="str">
        <f>[1]!hospitalinfo[[#This Row],[State]]</f>
        <v>WV</v>
      </c>
      <c r="C5368" t="str">
        <f>[1]!hospitalinfo[[#This Row],[Hospital Type]]</f>
        <v>Acute Care Hospitals</v>
      </c>
      <c r="D5368" t="str">
        <f>[1]!hospitalinfo[[#This Row],[Hospital Ownership]]</f>
        <v>Proprietary</v>
      </c>
      <c r="E5368" cm="1">
        <f t="array" ref="E5368">_xlfn.IFNA(_xlfn.XLOOKUP(1,([1]!hcahps[Facility ID] = clean[[#This Row],[Facility ID]]) * ([1]!hcahps[HCAHPS Measure ID] = "H_HSP_RATING_LINEAR_SCORE"), [1]!hcahps[HCAHPS Linear Mean Value]), "No Match")</f>
        <v>82</v>
      </c>
      <c r="F5368" cm="1">
        <f t="array" ref="F5368">_xlfn.IFNA(_xlfn.XLOOKUP(1,([1]!readmissions[Facility ID] = clean[[#This Row],[Facility ID]]) * ([1]!readmissions[Measure ID] = "Hybrid_HWR"), [1]!readmissions[Score]), "No Match")</f>
        <v>15.7</v>
      </c>
    </row>
    <row r="5369" spans="1:6" x14ac:dyDescent="0.2">
      <c r="A5369">
        <f>[1]!hospitalinfo[[#This Row],[Facility ID]]</f>
        <v>510072</v>
      </c>
      <c r="B5369" t="str">
        <f>[1]!hospitalinfo[[#This Row],[State]]</f>
        <v>WV</v>
      </c>
      <c r="C5369" t="str">
        <f>[1]!hospitalinfo[[#This Row],[Hospital Type]]</f>
        <v>Acute Care Hospitals</v>
      </c>
      <c r="D5369" t="str">
        <f>[1]!hospitalinfo[[#This Row],[Hospital Ownership]]</f>
        <v>Government - Local</v>
      </c>
      <c r="E5369" cm="1">
        <f t="array" ref="E5369">_xlfn.IFNA(_xlfn.XLOOKUP(1,([1]!hcahps[Facility ID] = clean[[#This Row],[Facility ID]]) * ([1]!hcahps[HCAHPS Measure ID] = "H_HSP_RATING_LINEAR_SCORE"), [1]!hcahps[HCAHPS Linear Mean Value]), "No Match")</f>
        <v>93</v>
      </c>
      <c r="F5369" cm="1">
        <f t="array" ref="F5369">_xlfn.IFNA(_xlfn.XLOOKUP(1,([1]!readmissions[Facility ID] = clean[[#This Row],[Facility ID]]) * ([1]!readmissions[Measure ID] = "Hybrid_HWR"), [1]!readmissions[Score]), "No Match")</f>
        <v>15.3</v>
      </c>
    </row>
    <row r="5370" spans="1:6" x14ac:dyDescent="0.2">
      <c r="A5370">
        <f>[1]!hospitalinfo[[#This Row],[Facility ID]]</f>
        <v>510086</v>
      </c>
      <c r="B5370" t="str">
        <f>[1]!hospitalinfo[[#This Row],[State]]</f>
        <v>WV</v>
      </c>
      <c r="C5370" t="str">
        <f>[1]!hospitalinfo[[#This Row],[Hospital Type]]</f>
        <v>Acute Care Hospitals</v>
      </c>
      <c r="D5370" t="str">
        <f>[1]!hospitalinfo[[#This Row],[Hospital Ownership]]</f>
        <v>Government - State</v>
      </c>
      <c r="E5370" cm="1">
        <f t="array" ref="E5370">_xlfn.IFNA(_xlfn.XLOOKUP(1,([1]!hcahps[Facility ID] = clean[[#This Row],[Facility ID]]) * ([1]!hcahps[HCAHPS Measure ID] = "H_HSP_RATING_LINEAR_SCORE"), [1]!hcahps[HCAHPS Linear Mean Value]), "No Match")</f>
        <v>92</v>
      </c>
      <c r="F5370" cm="1">
        <f t="array" ref="F5370">_xlfn.IFNA(_xlfn.XLOOKUP(1,([1]!readmissions[Facility ID] = clean[[#This Row],[Facility ID]]) * ([1]!readmissions[Measure ID] = "Hybrid_HWR"), [1]!readmissions[Score]), "No Match")</f>
        <v>15</v>
      </c>
    </row>
    <row r="5371" spans="1:6" x14ac:dyDescent="0.2">
      <c r="A5371">
        <f>[1]!hospitalinfo[[#This Row],[Facility ID]]</f>
        <v>510091</v>
      </c>
      <c r="B5371" t="str">
        <f>[1]!hospitalinfo[[#This Row],[State]]</f>
        <v>WV</v>
      </c>
      <c r="C5371" t="str">
        <f>[1]!hospitalinfo[[#This Row],[Hospital Type]]</f>
        <v>Acute Care Hospitals</v>
      </c>
      <c r="D5371" t="str">
        <f>[1]!hospitalinfo[[#This Row],[Hospital Ownership]]</f>
        <v>Physician</v>
      </c>
      <c r="E5371" t="str" cm="1">
        <f t="array" ref="E5371">_xlfn.IFNA(_xlfn.XLOOKUP(1,([1]!hcahps[Facility ID] = clean[[#This Row],[Facility ID]]) * ([1]!hcahps[HCAHPS Measure ID] = "H_HSP_RATING_LINEAR_SCORE"), [1]!hcahps[HCAHPS Linear Mean Value]), "No Match")</f>
        <v>Not Available</v>
      </c>
      <c r="F5371" t="str" cm="1">
        <f t="array" ref="F5371">_xlfn.IFNA(_xlfn.XLOOKUP(1,([1]!readmissions[Facility ID] = clean[[#This Row],[Facility ID]]) * ([1]!readmissions[Measure ID] = "Hybrid_HWR"), [1]!readmissions[Score]), "No Match")</f>
        <v>Not Available</v>
      </c>
    </row>
    <row r="5372" spans="1:6" x14ac:dyDescent="0.2">
      <c r="A5372">
        <f>[1]!hospitalinfo[[#This Row],[Facility ID]]</f>
        <v>510093</v>
      </c>
      <c r="B5372" t="str">
        <f>[1]!hospitalinfo[[#This Row],[State]]</f>
        <v>WV</v>
      </c>
      <c r="C5372" t="str">
        <f>[1]!hospitalinfo[[#This Row],[Hospital Type]]</f>
        <v>Acute Care Hospitals</v>
      </c>
      <c r="D5372" t="str">
        <f>[1]!hospitalinfo[[#This Row],[Hospital Ownership]]</f>
        <v>Voluntary non-profit - Private</v>
      </c>
      <c r="E5372" t="str" cm="1">
        <f t="array" ref="E5372">_xlfn.IFNA(_xlfn.XLOOKUP(1,([1]!hcahps[Facility ID] = clean[[#This Row],[Facility ID]]) * ([1]!hcahps[HCAHPS Measure ID] = "H_HSP_RATING_LINEAR_SCORE"), [1]!hcahps[HCAHPS Linear Mean Value]), "No Match")</f>
        <v>Not Available</v>
      </c>
      <c r="F5372" cm="1">
        <f t="array" ref="F5372">_xlfn.IFNA(_xlfn.XLOOKUP(1,([1]!readmissions[Facility ID] = clean[[#This Row],[Facility ID]]) * ([1]!readmissions[Measure ID] = "Hybrid_HWR"), [1]!readmissions[Score]), "No Match")</f>
        <v>15.1</v>
      </c>
    </row>
    <row r="5373" spans="1:6" x14ac:dyDescent="0.2">
      <c r="A5373">
        <f>[1]!hospitalinfo[[#This Row],[Facility ID]]</f>
        <v>510094</v>
      </c>
      <c r="B5373" t="str">
        <f>[1]!hospitalinfo[[#This Row],[State]]</f>
        <v>WV</v>
      </c>
      <c r="C5373" t="str">
        <f>[1]!hospitalinfo[[#This Row],[Hospital Type]]</f>
        <v>Acute Care Hospitals</v>
      </c>
      <c r="D5373" t="str">
        <f>[1]!hospitalinfo[[#This Row],[Hospital Ownership]]</f>
        <v>Voluntary non-profit - Private</v>
      </c>
      <c r="E5373" t="str" cm="1">
        <f t="array" ref="E5373">_xlfn.IFNA(_xlfn.XLOOKUP(1,([1]!hcahps[Facility ID] = clean[[#This Row],[Facility ID]]) * ([1]!hcahps[HCAHPS Measure ID] = "H_HSP_RATING_LINEAR_SCORE"), [1]!hcahps[HCAHPS Linear Mean Value]), "No Match")</f>
        <v>Not Available</v>
      </c>
      <c r="F5373" t="str" cm="1">
        <f t="array" ref="F5373">_xlfn.IFNA(_xlfn.XLOOKUP(1,([1]!readmissions[Facility ID] = clean[[#This Row],[Facility ID]]) * ([1]!readmissions[Measure ID] = "Hybrid_HWR"), [1]!readmissions[Score]), "No Match")</f>
        <v>Not Available</v>
      </c>
    </row>
    <row r="5374" spans="1:6" x14ac:dyDescent="0.2">
      <c r="A5374">
        <f>[1]!hospitalinfo[[#This Row],[Facility ID]]</f>
        <v>511300</v>
      </c>
      <c r="B5374" t="str">
        <f>[1]!hospitalinfo[[#This Row],[State]]</f>
        <v>WV</v>
      </c>
      <c r="C5374" t="str">
        <f>[1]!hospitalinfo[[#This Row],[Hospital Type]]</f>
        <v>Critical Access Hospitals</v>
      </c>
      <c r="D5374" t="str">
        <f>[1]!hospitalinfo[[#This Row],[Hospital Ownership]]</f>
        <v>Voluntary non-profit - Private</v>
      </c>
      <c r="E5374" t="str" cm="1">
        <f t="array" ref="E5374">_xlfn.IFNA(_xlfn.XLOOKUP(1,([1]!hcahps[Facility ID] = clean[[#This Row],[Facility ID]]) * ([1]!hcahps[HCAHPS Measure ID] = "H_HSP_RATING_LINEAR_SCORE"), [1]!hcahps[HCAHPS Linear Mean Value]), "No Match")</f>
        <v>Not Available</v>
      </c>
      <c r="F5374" t="str" cm="1">
        <f t="array" ref="F5374">_xlfn.IFNA(_xlfn.XLOOKUP(1,([1]!readmissions[Facility ID] = clean[[#This Row],[Facility ID]]) * ([1]!readmissions[Measure ID] = "Hybrid_HWR"), [1]!readmissions[Score]), "No Match")</f>
        <v>Not Available</v>
      </c>
    </row>
    <row r="5375" spans="1:6" x14ac:dyDescent="0.2">
      <c r="A5375">
        <f>[1]!hospitalinfo[[#This Row],[Facility ID]]</f>
        <v>511301</v>
      </c>
      <c r="B5375" t="str">
        <f>[1]!hospitalinfo[[#This Row],[State]]</f>
        <v>WV</v>
      </c>
      <c r="C5375" t="str">
        <f>[1]!hospitalinfo[[#This Row],[Hospital Type]]</f>
        <v>Critical Access Hospitals</v>
      </c>
      <c r="D5375" t="str">
        <f>[1]!hospitalinfo[[#This Row],[Hospital Ownership]]</f>
        <v>Voluntary non-profit - Private</v>
      </c>
      <c r="E5375" t="str" cm="1">
        <f t="array" ref="E5375">_xlfn.IFNA(_xlfn.XLOOKUP(1,([1]!hcahps[Facility ID] = clean[[#This Row],[Facility ID]]) * ([1]!hcahps[HCAHPS Measure ID] = "H_HSP_RATING_LINEAR_SCORE"), [1]!hcahps[HCAHPS Linear Mean Value]), "No Match")</f>
        <v>Not Available</v>
      </c>
      <c r="F5375" t="str" cm="1">
        <f t="array" ref="F5375">_xlfn.IFNA(_xlfn.XLOOKUP(1,([1]!readmissions[Facility ID] = clean[[#This Row],[Facility ID]]) * ([1]!readmissions[Measure ID] = "Hybrid_HWR"), [1]!readmissions[Score]), "No Match")</f>
        <v>Not Available</v>
      </c>
    </row>
    <row r="5376" spans="1:6" x14ac:dyDescent="0.2">
      <c r="A5376">
        <f>[1]!hospitalinfo[[#This Row],[Facility ID]]</f>
        <v>511303</v>
      </c>
      <c r="B5376" t="str">
        <f>[1]!hospitalinfo[[#This Row],[State]]</f>
        <v>WV</v>
      </c>
      <c r="C5376" t="str">
        <f>[1]!hospitalinfo[[#This Row],[Hospital Type]]</f>
        <v>Critical Access Hospitals</v>
      </c>
      <c r="D5376" t="str">
        <f>[1]!hospitalinfo[[#This Row],[Hospital Ownership]]</f>
        <v>Voluntary non-profit - Private</v>
      </c>
      <c r="E5376" t="str" cm="1">
        <f t="array" ref="E5376">_xlfn.IFNA(_xlfn.XLOOKUP(1,([1]!hcahps[Facility ID] = clean[[#This Row],[Facility ID]]) * ([1]!hcahps[HCAHPS Measure ID] = "H_HSP_RATING_LINEAR_SCORE"), [1]!hcahps[HCAHPS Linear Mean Value]), "No Match")</f>
        <v>Not Available</v>
      </c>
      <c r="F5376" t="str" cm="1">
        <f t="array" ref="F5376">_xlfn.IFNA(_xlfn.XLOOKUP(1,([1]!readmissions[Facility ID] = clean[[#This Row],[Facility ID]]) * ([1]!readmissions[Measure ID] = "Hybrid_HWR"), [1]!readmissions[Score]), "No Match")</f>
        <v>Not Available</v>
      </c>
    </row>
    <row r="5377" spans="1:6" x14ac:dyDescent="0.2">
      <c r="A5377">
        <f>[1]!hospitalinfo[[#This Row],[Facility ID]]</f>
        <v>511304</v>
      </c>
      <c r="B5377" t="str">
        <f>[1]!hospitalinfo[[#This Row],[State]]</f>
        <v>WV</v>
      </c>
      <c r="C5377" t="str">
        <f>[1]!hospitalinfo[[#This Row],[Hospital Type]]</f>
        <v>Critical Access Hospitals</v>
      </c>
      <c r="D5377" t="str">
        <f>[1]!hospitalinfo[[#This Row],[Hospital Ownership]]</f>
        <v>Proprietary</v>
      </c>
      <c r="E5377" t="str" cm="1">
        <f t="array" ref="E5377">_xlfn.IFNA(_xlfn.XLOOKUP(1,([1]!hcahps[Facility ID] = clean[[#This Row],[Facility ID]]) * ([1]!hcahps[HCAHPS Measure ID] = "H_HSP_RATING_LINEAR_SCORE"), [1]!hcahps[HCAHPS Linear Mean Value]), "No Match")</f>
        <v>Not Available</v>
      </c>
      <c r="F5377" t="str" cm="1">
        <f t="array" ref="F5377">_xlfn.IFNA(_xlfn.XLOOKUP(1,([1]!readmissions[Facility ID] = clean[[#This Row],[Facility ID]]) * ([1]!readmissions[Measure ID] = "Hybrid_HWR"), [1]!readmissions[Score]), "No Match")</f>
        <v>Not Available</v>
      </c>
    </row>
    <row r="5378" spans="1:6" x14ac:dyDescent="0.2">
      <c r="A5378">
        <f>[1]!hospitalinfo[[#This Row],[Facility ID]]</f>
        <v>511306</v>
      </c>
      <c r="B5378" t="str">
        <f>[1]!hospitalinfo[[#This Row],[State]]</f>
        <v>WV</v>
      </c>
      <c r="C5378" t="str">
        <f>[1]!hospitalinfo[[#This Row],[Hospital Type]]</f>
        <v>Critical Access Hospitals</v>
      </c>
      <c r="D5378" t="str">
        <f>[1]!hospitalinfo[[#This Row],[Hospital Ownership]]</f>
        <v>Voluntary non-profit - Private</v>
      </c>
      <c r="E5378" t="str" cm="1">
        <f t="array" ref="E5378">_xlfn.IFNA(_xlfn.XLOOKUP(1,([1]!hcahps[Facility ID] = clean[[#This Row],[Facility ID]]) * ([1]!hcahps[HCAHPS Measure ID] = "H_HSP_RATING_LINEAR_SCORE"), [1]!hcahps[HCAHPS Linear Mean Value]), "No Match")</f>
        <v>Not Available</v>
      </c>
      <c r="F5378" cm="1">
        <f t="array" ref="F5378">_xlfn.IFNA(_xlfn.XLOOKUP(1,([1]!readmissions[Facility ID] = clean[[#This Row],[Facility ID]]) * ([1]!readmissions[Measure ID] = "Hybrid_HWR"), [1]!readmissions[Score]), "No Match")</f>
        <v>15.1</v>
      </c>
    </row>
    <row r="5379" spans="1:6" x14ac:dyDescent="0.2">
      <c r="A5379">
        <f>[1]!hospitalinfo[[#This Row],[Facility ID]]</f>
        <v>511307</v>
      </c>
      <c r="B5379" t="str">
        <f>[1]!hospitalinfo[[#This Row],[State]]</f>
        <v>WV</v>
      </c>
      <c r="C5379" t="str">
        <f>[1]!hospitalinfo[[#This Row],[Hospital Type]]</f>
        <v>Critical Access Hospitals</v>
      </c>
      <c r="D5379" t="str">
        <f>[1]!hospitalinfo[[#This Row],[Hospital Ownership]]</f>
        <v>Government - Local</v>
      </c>
      <c r="E5379" t="str" cm="1">
        <f t="array" ref="E5379">_xlfn.IFNA(_xlfn.XLOOKUP(1,([1]!hcahps[Facility ID] = clean[[#This Row],[Facility ID]]) * ([1]!hcahps[HCAHPS Measure ID] = "H_HSP_RATING_LINEAR_SCORE"), [1]!hcahps[HCAHPS Linear Mean Value]), "No Match")</f>
        <v>Not Available</v>
      </c>
      <c r="F5379" t="str" cm="1">
        <f t="array" ref="F5379">_xlfn.IFNA(_xlfn.XLOOKUP(1,([1]!readmissions[Facility ID] = clean[[#This Row],[Facility ID]]) * ([1]!readmissions[Measure ID] = "Hybrid_HWR"), [1]!readmissions[Score]), "No Match")</f>
        <v>Not Available</v>
      </c>
    </row>
    <row r="5380" spans="1:6" x14ac:dyDescent="0.2">
      <c r="A5380">
        <f>[1]!hospitalinfo[[#This Row],[Facility ID]]</f>
        <v>511308</v>
      </c>
      <c r="B5380" t="str">
        <f>[1]!hospitalinfo[[#This Row],[State]]</f>
        <v>WV</v>
      </c>
      <c r="C5380" t="str">
        <f>[1]!hospitalinfo[[#This Row],[Hospital Type]]</f>
        <v>Critical Access Hospitals</v>
      </c>
      <c r="D5380" t="str">
        <f>[1]!hospitalinfo[[#This Row],[Hospital Ownership]]</f>
        <v>Voluntary non-profit - Private</v>
      </c>
      <c r="E5380" t="str" cm="1">
        <f t="array" ref="E5380">_xlfn.IFNA(_xlfn.XLOOKUP(1,([1]!hcahps[Facility ID] = clean[[#This Row],[Facility ID]]) * ([1]!hcahps[HCAHPS Measure ID] = "H_HSP_RATING_LINEAR_SCORE"), [1]!hcahps[HCAHPS Linear Mean Value]), "No Match")</f>
        <v>Not Available</v>
      </c>
      <c r="F5380" cm="1">
        <f t="array" ref="F5380">_xlfn.IFNA(_xlfn.XLOOKUP(1,([1]!readmissions[Facility ID] = clean[[#This Row],[Facility ID]]) * ([1]!readmissions[Measure ID] = "Hybrid_HWR"), [1]!readmissions[Score]), "No Match")</f>
        <v>15</v>
      </c>
    </row>
    <row r="5381" spans="1:6" x14ac:dyDescent="0.2">
      <c r="A5381">
        <f>[1]!hospitalinfo[[#This Row],[Facility ID]]</f>
        <v>511309</v>
      </c>
      <c r="B5381" t="str">
        <f>[1]!hospitalinfo[[#This Row],[State]]</f>
        <v>WV</v>
      </c>
      <c r="C5381" t="str">
        <f>[1]!hospitalinfo[[#This Row],[Hospital Type]]</f>
        <v>Critical Access Hospitals</v>
      </c>
      <c r="D5381" t="str">
        <f>[1]!hospitalinfo[[#This Row],[Hospital Ownership]]</f>
        <v>Voluntary non-profit - Private</v>
      </c>
      <c r="E5381" cm="1">
        <f t="array" ref="E5381">_xlfn.IFNA(_xlfn.XLOOKUP(1,([1]!hcahps[Facility ID] = clean[[#This Row],[Facility ID]]) * ([1]!hcahps[HCAHPS Measure ID] = "H_HSP_RATING_LINEAR_SCORE"), [1]!hcahps[HCAHPS Linear Mean Value]), "No Match")</f>
        <v>95</v>
      </c>
      <c r="F5381" cm="1">
        <f t="array" ref="F5381">_xlfn.IFNA(_xlfn.XLOOKUP(1,([1]!readmissions[Facility ID] = clean[[#This Row],[Facility ID]]) * ([1]!readmissions[Measure ID] = "Hybrid_HWR"), [1]!readmissions[Score]), "No Match")</f>
        <v>14.8</v>
      </c>
    </row>
    <row r="5382" spans="1:6" x14ac:dyDescent="0.2">
      <c r="A5382">
        <f>[1]!hospitalinfo[[#This Row],[Facility ID]]</f>
        <v>511310</v>
      </c>
      <c r="B5382" t="str">
        <f>[1]!hospitalinfo[[#This Row],[State]]</f>
        <v>WV</v>
      </c>
      <c r="C5382" t="str">
        <f>[1]!hospitalinfo[[#This Row],[Hospital Type]]</f>
        <v>Critical Access Hospitals</v>
      </c>
      <c r="D5382" t="str">
        <f>[1]!hospitalinfo[[#This Row],[Hospital Ownership]]</f>
        <v>Voluntary non-profit - Private</v>
      </c>
      <c r="E5382" t="str" cm="1">
        <f t="array" ref="E5382">_xlfn.IFNA(_xlfn.XLOOKUP(1,([1]!hcahps[Facility ID] = clean[[#This Row],[Facility ID]]) * ([1]!hcahps[HCAHPS Measure ID] = "H_HSP_RATING_LINEAR_SCORE"), [1]!hcahps[HCAHPS Linear Mean Value]), "No Match")</f>
        <v>Not Available</v>
      </c>
      <c r="F5382" cm="1">
        <f t="array" ref="F5382">_xlfn.IFNA(_xlfn.XLOOKUP(1,([1]!readmissions[Facility ID] = clean[[#This Row],[Facility ID]]) * ([1]!readmissions[Measure ID] = "Hybrid_HWR"), [1]!readmissions[Score]), "No Match")</f>
        <v>15</v>
      </c>
    </row>
    <row r="5383" spans="1:6" x14ac:dyDescent="0.2">
      <c r="A5383">
        <f>[1]!hospitalinfo[[#This Row],[Facility ID]]</f>
        <v>511311</v>
      </c>
      <c r="B5383" t="str">
        <f>[1]!hospitalinfo[[#This Row],[State]]</f>
        <v>WV</v>
      </c>
      <c r="C5383" t="str">
        <f>[1]!hospitalinfo[[#This Row],[Hospital Type]]</f>
        <v>Critical Access Hospitals</v>
      </c>
      <c r="D5383" t="str">
        <f>[1]!hospitalinfo[[#This Row],[Hospital Ownership]]</f>
        <v>Voluntary non-profit - Private</v>
      </c>
      <c r="E5383" cm="1">
        <f t="array" ref="E5383">_xlfn.IFNA(_xlfn.XLOOKUP(1,([1]!hcahps[Facility ID] = clean[[#This Row],[Facility ID]]) * ([1]!hcahps[HCAHPS Measure ID] = "H_HSP_RATING_LINEAR_SCORE"), [1]!hcahps[HCAHPS Linear Mean Value]), "No Match")</f>
        <v>95</v>
      </c>
      <c r="F5383" cm="1">
        <f t="array" ref="F5383">_xlfn.IFNA(_xlfn.XLOOKUP(1,([1]!readmissions[Facility ID] = clean[[#This Row],[Facility ID]]) * ([1]!readmissions[Measure ID] = "Hybrid_HWR"), [1]!readmissions[Score]), "No Match")</f>
        <v>14.9</v>
      </c>
    </row>
    <row r="5384" spans="1:6" x14ac:dyDescent="0.2">
      <c r="A5384">
        <f>[1]!hospitalinfo[[#This Row],[Facility ID]]</f>
        <v>511312</v>
      </c>
      <c r="B5384" t="str">
        <f>[1]!hospitalinfo[[#This Row],[State]]</f>
        <v>WV</v>
      </c>
      <c r="C5384" t="str">
        <f>[1]!hospitalinfo[[#This Row],[Hospital Type]]</f>
        <v>Critical Access Hospitals</v>
      </c>
      <c r="D5384" t="str">
        <f>[1]!hospitalinfo[[#This Row],[Hospital Ownership]]</f>
        <v>Proprietary</v>
      </c>
      <c r="E5384" t="str" cm="1">
        <f t="array" ref="E5384">_xlfn.IFNA(_xlfn.XLOOKUP(1,([1]!hcahps[Facility ID] = clean[[#This Row],[Facility ID]]) * ([1]!hcahps[HCAHPS Measure ID] = "H_HSP_RATING_LINEAR_SCORE"), [1]!hcahps[HCAHPS Linear Mean Value]), "No Match")</f>
        <v>Not Available</v>
      </c>
      <c r="F5384" cm="1">
        <f t="array" ref="F5384">_xlfn.IFNA(_xlfn.XLOOKUP(1,([1]!readmissions[Facility ID] = clean[[#This Row],[Facility ID]]) * ([1]!readmissions[Measure ID] = "Hybrid_HWR"), [1]!readmissions[Score]), "No Match")</f>
        <v>15</v>
      </c>
    </row>
    <row r="5385" spans="1:6" x14ac:dyDescent="0.2">
      <c r="A5385">
        <f>[1]!hospitalinfo[[#This Row],[Facility ID]]</f>
        <v>511313</v>
      </c>
      <c r="B5385" t="str">
        <f>[1]!hospitalinfo[[#This Row],[State]]</f>
        <v>WV</v>
      </c>
      <c r="C5385" t="str">
        <f>[1]!hospitalinfo[[#This Row],[Hospital Type]]</f>
        <v>Critical Access Hospitals</v>
      </c>
      <c r="D5385" t="str">
        <f>[1]!hospitalinfo[[#This Row],[Hospital Ownership]]</f>
        <v>Government - Local</v>
      </c>
      <c r="E5385" cm="1">
        <f t="array" ref="E5385">_xlfn.IFNA(_xlfn.XLOOKUP(1,([1]!hcahps[Facility ID] = clean[[#This Row],[Facility ID]]) * ([1]!hcahps[HCAHPS Measure ID] = "H_HSP_RATING_LINEAR_SCORE"), [1]!hcahps[HCAHPS Linear Mean Value]), "No Match")</f>
        <v>95</v>
      </c>
      <c r="F5385" cm="1">
        <f t="array" ref="F5385">_xlfn.IFNA(_xlfn.XLOOKUP(1,([1]!readmissions[Facility ID] = clean[[#This Row],[Facility ID]]) * ([1]!readmissions[Measure ID] = "Hybrid_HWR"), [1]!readmissions[Score]), "No Match")</f>
        <v>15</v>
      </c>
    </row>
    <row r="5386" spans="1:6" x14ac:dyDescent="0.2">
      <c r="A5386">
        <f>[1]!hospitalinfo[[#This Row],[Facility ID]]</f>
        <v>511314</v>
      </c>
      <c r="B5386" t="str">
        <f>[1]!hospitalinfo[[#This Row],[State]]</f>
        <v>WV</v>
      </c>
      <c r="C5386" t="str">
        <f>[1]!hospitalinfo[[#This Row],[Hospital Type]]</f>
        <v>Critical Access Hospitals</v>
      </c>
      <c r="D5386" t="str">
        <f>[1]!hospitalinfo[[#This Row],[Hospital Ownership]]</f>
        <v>Government - Local</v>
      </c>
      <c r="E5386" t="str" cm="1">
        <f t="array" ref="E5386">_xlfn.IFNA(_xlfn.XLOOKUP(1,([1]!hcahps[Facility ID] = clean[[#This Row],[Facility ID]]) * ([1]!hcahps[HCAHPS Measure ID] = "H_HSP_RATING_LINEAR_SCORE"), [1]!hcahps[HCAHPS Linear Mean Value]), "No Match")</f>
        <v>Not Available</v>
      </c>
      <c r="F5386" cm="1">
        <f t="array" ref="F5386">_xlfn.IFNA(_xlfn.XLOOKUP(1,([1]!readmissions[Facility ID] = clean[[#This Row],[Facility ID]]) * ([1]!readmissions[Measure ID] = "Hybrid_HWR"), [1]!readmissions[Score]), "No Match")</f>
        <v>14.9</v>
      </c>
    </row>
    <row r="5387" spans="1:6" x14ac:dyDescent="0.2">
      <c r="A5387">
        <f>[1]!hospitalinfo[[#This Row],[Facility ID]]</f>
        <v>511315</v>
      </c>
      <c r="B5387" t="str">
        <f>[1]!hospitalinfo[[#This Row],[State]]</f>
        <v>WV</v>
      </c>
      <c r="C5387" t="str">
        <f>[1]!hospitalinfo[[#This Row],[Hospital Type]]</f>
        <v>Critical Access Hospitals</v>
      </c>
      <c r="D5387" t="str">
        <f>[1]!hospitalinfo[[#This Row],[Hospital Ownership]]</f>
        <v>Voluntary non-profit - Private</v>
      </c>
      <c r="E5387" cm="1">
        <f t="array" ref="E5387">_xlfn.IFNA(_xlfn.XLOOKUP(1,([1]!hcahps[Facility ID] = clean[[#This Row],[Facility ID]]) * ([1]!hcahps[HCAHPS Measure ID] = "H_HSP_RATING_LINEAR_SCORE"), [1]!hcahps[HCAHPS Linear Mean Value]), "No Match")</f>
        <v>92</v>
      </c>
      <c r="F5387" cm="1">
        <f t="array" ref="F5387">_xlfn.IFNA(_xlfn.XLOOKUP(1,([1]!readmissions[Facility ID] = clean[[#This Row],[Facility ID]]) * ([1]!readmissions[Measure ID] = "Hybrid_HWR"), [1]!readmissions[Score]), "No Match")</f>
        <v>15.5</v>
      </c>
    </row>
    <row r="5388" spans="1:6" x14ac:dyDescent="0.2">
      <c r="A5388">
        <f>[1]!hospitalinfo[[#This Row],[Facility ID]]</f>
        <v>511316</v>
      </c>
      <c r="B5388" t="str">
        <f>[1]!hospitalinfo[[#This Row],[State]]</f>
        <v>WV</v>
      </c>
      <c r="C5388" t="str">
        <f>[1]!hospitalinfo[[#This Row],[Hospital Type]]</f>
        <v>Critical Access Hospitals</v>
      </c>
      <c r="D5388" t="str">
        <f>[1]!hospitalinfo[[#This Row],[Hospital Ownership]]</f>
        <v>Voluntary non-profit - Other</v>
      </c>
      <c r="E5388" cm="1">
        <f t="array" ref="E5388">_xlfn.IFNA(_xlfn.XLOOKUP(1,([1]!hcahps[Facility ID] = clean[[#This Row],[Facility ID]]) * ([1]!hcahps[HCAHPS Measure ID] = "H_HSP_RATING_LINEAR_SCORE"), [1]!hcahps[HCAHPS Linear Mean Value]), "No Match")</f>
        <v>91</v>
      </c>
      <c r="F5388" cm="1">
        <f t="array" ref="F5388">_xlfn.IFNA(_xlfn.XLOOKUP(1,([1]!readmissions[Facility ID] = clean[[#This Row],[Facility ID]]) * ([1]!readmissions[Measure ID] = "Hybrid_HWR"), [1]!readmissions[Score]), "No Match")</f>
        <v>15.4</v>
      </c>
    </row>
    <row r="5389" spans="1:6" x14ac:dyDescent="0.2">
      <c r="A5389">
        <f>[1]!hospitalinfo[[#This Row],[Facility ID]]</f>
        <v>511317</v>
      </c>
      <c r="B5389" t="str">
        <f>[1]!hospitalinfo[[#This Row],[State]]</f>
        <v>WV</v>
      </c>
      <c r="C5389" t="str">
        <f>[1]!hospitalinfo[[#This Row],[Hospital Type]]</f>
        <v>Critical Access Hospitals</v>
      </c>
      <c r="D5389" t="str">
        <f>[1]!hospitalinfo[[#This Row],[Hospital Ownership]]</f>
        <v>Proprietary</v>
      </c>
      <c r="E5389" cm="1">
        <f t="array" ref="E5389">_xlfn.IFNA(_xlfn.XLOOKUP(1,([1]!hcahps[Facility ID] = clean[[#This Row],[Facility ID]]) * ([1]!hcahps[HCAHPS Measure ID] = "H_HSP_RATING_LINEAR_SCORE"), [1]!hcahps[HCAHPS Linear Mean Value]), "No Match")</f>
        <v>93</v>
      </c>
      <c r="F5389" cm="1">
        <f t="array" ref="F5389">_xlfn.IFNA(_xlfn.XLOOKUP(1,([1]!readmissions[Facility ID] = clean[[#This Row],[Facility ID]]) * ([1]!readmissions[Measure ID] = "Hybrid_HWR"), [1]!readmissions[Score]), "No Match")</f>
        <v>14.4</v>
      </c>
    </row>
    <row r="5390" spans="1:6" x14ac:dyDescent="0.2">
      <c r="A5390">
        <f>[1]!hospitalinfo[[#This Row],[Facility ID]]</f>
        <v>511318</v>
      </c>
      <c r="B5390" t="str">
        <f>[1]!hospitalinfo[[#This Row],[State]]</f>
        <v>WV</v>
      </c>
      <c r="C5390" t="str">
        <f>[1]!hospitalinfo[[#This Row],[Hospital Type]]</f>
        <v>Critical Access Hospitals</v>
      </c>
      <c r="D5390" t="str">
        <f>[1]!hospitalinfo[[#This Row],[Hospital Ownership]]</f>
        <v>Voluntary non-profit - Other</v>
      </c>
      <c r="E5390" t="str" cm="1">
        <f t="array" ref="E5390">_xlfn.IFNA(_xlfn.XLOOKUP(1,([1]!hcahps[Facility ID] = clean[[#This Row],[Facility ID]]) * ([1]!hcahps[HCAHPS Measure ID] = "H_HSP_RATING_LINEAR_SCORE"), [1]!hcahps[HCAHPS Linear Mean Value]), "No Match")</f>
        <v>Not Available</v>
      </c>
      <c r="F5390" cm="1">
        <f t="array" ref="F5390">_xlfn.IFNA(_xlfn.XLOOKUP(1,([1]!readmissions[Facility ID] = clean[[#This Row],[Facility ID]]) * ([1]!readmissions[Measure ID] = "Hybrid_HWR"), [1]!readmissions[Score]), "No Match")</f>
        <v>14.7</v>
      </c>
    </row>
    <row r="5391" spans="1:6" x14ac:dyDescent="0.2">
      <c r="A5391">
        <f>[1]!hospitalinfo[[#This Row],[Facility ID]]</f>
        <v>511319</v>
      </c>
      <c r="B5391" t="str">
        <f>[1]!hospitalinfo[[#This Row],[State]]</f>
        <v>WV</v>
      </c>
      <c r="C5391" t="str">
        <f>[1]!hospitalinfo[[#This Row],[Hospital Type]]</f>
        <v>Critical Access Hospitals</v>
      </c>
      <c r="D5391" t="str">
        <f>[1]!hospitalinfo[[#This Row],[Hospital Ownership]]</f>
        <v>Voluntary non-profit - Private</v>
      </c>
      <c r="E5391" cm="1">
        <f t="array" ref="E5391">_xlfn.IFNA(_xlfn.XLOOKUP(1,([1]!hcahps[Facility ID] = clean[[#This Row],[Facility ID]]) * ([1]!hcahps[HCAHPS Measure ID] = "H_HSP_RATING_LINEAR_SCORE"), [1]!hcahps[HCAHPS Linear Mean Value]), "No Match")</f>
        <v>90</v>
      </c>
      <c r="F5391" cm="1">
        <f t="array" ref="F5391">_xlfn.IFNA(_xlfn.XLOOKUP(1,([1]!readmissions[Facility ID] = clean[[#This Row],[Facility ID]]) * ([1]!readmissions[Measure ID] = "Hybrid_HWR"), [1]!readmissions[Score]), "No Match")</f>
        <v>14.5</v>
      </c>
    </row>
    <row r="5392" spans="1:6" x14ac:dyDescent="0.2">
      <c r="A5392">
        <f>[1]!hospitalinfo[[#This Row],[Facility ID]]</f>
        <v>511320</v>
      </c>
      <c r="B5392" t="str">
        <f>[1]!hospitalinfo[[#This Row],[State]]</f>
        <v>WV</v>
      </c>
      <c r="C5392" t="str">
        <f>[1]!hospitalinfo[[#This Row],[Hospital Type]]</f>
        <v>Critical Access Hospitals</v>
      </c>
      <c r="D5392" t="str">
        <f>[1]!hospitalinfo[[#This Row],[Hospital Ownership]]</f>
        <v>Voluntary non-profit - Private</v>
      </c>
      <c r="E5392" cm="1">
        <f t="array" ref="E5392">_xlfn.IFNA(_xlfn.XLOOKUP(1,([1]!hcahps[Facility ID] = clean[[#This Row],[Facility ID]]) * ([1]!hcahps[HCAHPS Measure ID] = "H_HSP_RATING_LINEAR_SCORE"), [1]!hcahps[HCAHPS Linear Mean Value]), "No Match")</f>
        <v>94</v>
      </c>
      <c r="F5392" cm="1">
        <f t="array" ref="F5392">_xlfn.IFNA(_xlfn.XLOOKUP(1,([1]!readmissions[Facility ID] = clean[[#This Row],[Facility ID]]) * ([1]!readmissions[Measure ID] = "Hybrid_HWR"), [1]!readmissions[Score]), "No Match")</f>
        <v>14.8</v>
      </c>
    </row>
    <row r="5393" spans="1:6" x14ac:dyDescent="0.2">
      <c r="A5393">
        <f>[1]!hospitalinfo[[#This Row],[Facility ID]]</f>
        <v>511321</v>
      </c>
      <c r="B5393" t="str">
        <f>[1]!hospitalinfo[[#This Row],[State]]</f>
        <v>WV</v>
      </c>
      <c r="C5393" t="str">
        <f>[1]!hospitalinfo[[#This Row],[Hospital Type]]</f>
        <v>Critical Access Hospitals</v>
      </c>
      <c r="D5393" t="str">
        <f>[1]!hospitalinfo[[#This Row],[Hospital Ownership]]</f>
        <v>Voluntary non-profit - Private</v>
      </c>
      <c r="E5393" cm="1">
        <f t="array" ref="E5393">_xlfn.IFNA(_xlfn.XLOOKUP(1,([1]!hcahps[Facility ID] = clean[[#This Row],[Facility ID]]) * ([1]!hcahps[HCAHPS Measure ID] = "H_HSP_RATING_LINEAR_SCORE"), [1]!hcahps[HCAHPS Linear Mean Value]), "No Match")</f>
        <v>93</v>
      </c>
      <c r="F5393" cm="1">
        <f t="array" ref="F5393">_xlfn.IFNA(_xlfn.XLOOKUP(1,([1]!readmissions[Facility ID] = clean[[#This Row],[Facility ID]]) * ([1]!readmissions[Measure ID] = "Hybrid_HWR"), [1]!readmissions[Score]), "No Match")</f>
        <v>16.399999999999999</v>
      </c>
    </row>
    <row r="5394" spans="1:6" x14ac:dyDescent="0.2">
      <c r="A5394">
        <f>[1]!hospitalinfo[[#This Row],[Facility ID]]</f>
        <v>511322</v>
      </c>
      <c r="B5394" t="str">
        <f>[1]!hospitalinfo[[#This Row],[State]]</f>
        <v>WV</v>
      </c>
      <c r="C5394" t="str">
        <f>[1]!hospitalinfo[[#This Row],[Hospital Type]]</f>
        <v>Critical Access Hospitals</v>
      </c>
      <c r="D5394" t="str">
        <f>[1]!hospitalinfo[[#This Row],[Hospital Ownership]]</f>
        <v>Voluntary non-profit - Private</v>
      </c>
      <c r="E5394" cm="1">
        <f t="array" ref="E5394">_xlfn.IFNA(_xlfn.XLOOKUP(1,([1]!hcahps[Facility ID] = clean[[#This Row],[Facility ID]]) * ([1]!hcahps[HCAHPS Measure ID] = "H_HSP_RATING_LINEAR_SCORE"), [1]!hcahps[HCAHPS Linear Mean Value]), "No Match")</f>
        <v>91</v>
      </c>
      <c r="F5394" cm="1">
        <f t="array" ref="F5394">_xlfn.IFNA(_xlfn.XLOOKUP(1,([1]!readmissions[Facility ID] = clean[[#This Row],[Facility ID]]) * ([1]!readmissions[Measure ID] = "Hybrid_HWR"), [1]!readmissions[Score]), "No Match")</f>
        <v>15.1</v>
      </c>
    </row>
    <row r="5395" spans="1:6" x14ac:dyDescent="0.2">
      <c r="A5395">
        <f>[1]!hospitalinfo[[#This Row],[Facility ID]]</f>
        <v>514001</v>
      </c>
      <c r="B5395" t="str">
        <f>[1]!hospitalinfo[[#This Row],[State]]</f>
        <v>WV</v>
      </c>
      <c r="C5395" t="str">
        <f>[1]!hospitalinfo[[#This Row],[Hospital Type]]</f>
        <v>Psychiatric</v>
      </c>
      <c r="D5395" t="str">
        <f>[1]!hospitalinfo[[#This Row],[Hospital Ownership]]</f>
        <v>Voluntary non-profit - Private</v>
      </c>
      <c r="E5395" t="str" cm="1">
        <f t="array" ref="E5395">_xlfn.IFNA(_xlfn.XLOOKUP(1,([1]!hcahps[Facility ID] = clean[[#This Row],[Facility ID]]) * ([1]!hcahps[HCAHPS Measure ID] = "H_HSP_RATING_LINEAR_SCORE"), [1]!hcahps[HCAHPS Linear Mean Value]), "No Match")</f>
        <v>No Match</v>
      </c>
      <c r="F5395" t="str" cm="1">
        <f t="array" ref="F5395">_xlfn.IFNA(_xlfn.XLOOKUP(1,([1]!readmissions[Facility ID] = clean[[#This Row],[Facility ID]]) * ([1]!readmissions[Measure ID] = "Hybrid_HWR"), [1]!readmissions[Score]), "No Match")</f>
        <v>No Match</v>
      </c>
    </row>
    <row r="5396" spans="1:6" x14ac:dyDescent="0.2">
      <c r="A5396">
        <f>[1]!hospitalinfo[[#This Row],[Facility ID]]</f>
        <v>514008</v>
      </c>
      <c r="B5396" t="str">
        <f>[1]!hospitalinfo[[#This Row],[State]]</f>
        <v>WV</v>
      </c>
      <c r="C5396" t="str">
        <f>[1]!hospitalinfo[[#This Row],[Hospital Type]]</f>
        <v>Psychiatric</v>
      </c>
      <c r="D5396" t="str">
        <f>[1]!hospitalinfo[[#This Row],[Hospital Ownership]]</f>
        <v>Proprietary</v>
      </c>
      <c r="E5396" t="str" cm="1">
        <f t="array" ref="E5396">_xlfn.IFNA(_xlfn.XLOOKUP(1,([1]!hcahps[Facility ID] = clean[[#This Row],[Facility ID]]) * ([1]!hcahps[HCAHPS Measure ID] = "H_HSP_RATING_LINEAR_SCORE"), [1]!hcahps[HCAHPS Linear Mean Value]), "No Match")</f>
        <v>No Match</v>
      </c>
      <c r="F5396" t="str" cm="1">
        <f t="array" ref="F5396">_xlfn.IFNA(_xlfn.XLOOKUP(1,([1]!readmissions[Facility ID] = clean[[#This Row],[Facility ID]]) * ([1]!readmissions[Measure ID] = "Hybrid_HWR"), [1]!readmissions[Score]), "No Match")</f>
        <v>No Match</v>
      </c>
    </row>
    <row r="5397" spans="1:6" x14ac:dyDescent="0.2">
      <c r="A5397">
        <f>[1]!hospitalinfo[[#This Row],[Facility ID]]</f>
        <v>514009</v>
      </c>
      <c r="B5397" t="str">
        <f>[1]!hospitalinfo[[#This Row],[State]]</f>
        <v>WV</v>
      </c>
      <c r="C5397" t="str">
        <f>[1]!hospitalinfo[[#This Row],[Hospital Type]]</f>
        <v>Psychiatric</v>
      </c>
      <c r="D5397" t="str">
        <f>[1]!hospitalinfo[[#This Row],[Hospital Ownership]]</f>
        <v>Government - State</v>
      </c>
      <c r="E5397" t="str" cm="1">
        <f t="array" ref="E5397">_xlfn.IFNA(_xlfn.XLOOKUP(1,([1]!hcahps[Facility ID] = clean[[#This Row],[Facility ID]]) * ([1]!hcahps[HCAHPS Measure ID] = "H_HSP_RATING_LINEAR_SCORE"), [1]!hcahps[HCAHPS Linear Mean Value]), "No Match")</f>
        <v>No Match</v>
      </c>
      <c r="F5397" t="str" cm="1">
        <f t="array" ref="F5397">_xlfn.IFNA(_xlfn.XLOOKUP(1,([1]!readmissions[Facility ID] = clean[[#This Row],[Facility ID]]) * ([1]!readmissions[Measure ID] = "Hybrid_HWR"), [1]!readmissions[Score]), "No Match")</f>
        <v>No Match</v>
      </c>
    </row>
    <row r="5398" spans="1:6" x14ac:dyDescent="0.2">
      <c r="A5398">
        <f>[1]!hospitalinfo[[#This Row],[Facility ID]]</f>
        <v>514011</v>
      </c>
      <c r="B5398" t="str">
        <f>[1]!hospitalinfo[[#This Row],[State]]</f>
        <v>WV</v>
      </c>
      <c r="C5398" t="str">
        <f>[1]!hospitalinfo[[#This Row],[Hospital Type]]</f>
        <v>Psychiatric</v>
      </c>
      <c r="D5398" t="str">
        <f>[1]!hospitalinfo[[#This Row],[Hospital Ownership]]</f>
        <v>Voluntary non-profit - Private</v>
      </c>
      <c r="E5398" t="str" cm="1">
        <f t="array" ref="E5398">_xlfn.IFNA(_xlfn.XLOOKUP(1,([1]!hcahps[Facility ID] = clean[[#This Row],[Facility ID]]) * ([1]!hcahps[HCAHPS Measure ID] = "H_HSP_RATING_LINEAR_SCORE"), [1]!hcahps[HCAHPS Linear Mean Value]), "No Match")</f>
        <v>No Match</v>
      </c>
      <c r="F5398" t="str" cm="1">
        <f t="array" ref="F5398">_xlfn.IFNA(_xlfn.XLOOKUP(1,([1]!readmissions[Facility ID] = clean[[#This Row],[Facility ID]]) * ([1]!readmissions[Measure ID] = "Hybrid_HWR"), [1]!readmissions[Score]), "No Match")</f>
        <v>No Match</v>
      </c>
    </row>
    <row r="5399" spans="1:6" x14ac:dyDescent="0.2">
      <c r="A5399">
        <f>[1]!hospitalinfo[[#This Row],[Facility ID]]</f>
        <v>514012</v>
      </c>
      <c r="B5399" t="str">
        <f>[1]!hospitalinfo[[#This Row],[State]]</f>
        <v>WV</v>
      </c>
      <c r="C5399" t="str">
        <f>[1]!hospitalinfo[[#This Row],[Hospital Type]]</f>
        <v>Psychiatric</v>
      </c>
      <c r="D5399" t="str">
        <f>[1]!hospitalinfo[[#This Row],[Hospital Ownership]]</f>
        <v>Government - State</v>
      </c>
      <c r="E5399" t="str" cm="1">
        <f t="array" ref="E5399">_xlfn.IFNA(_xlfn.XLOOKUP(1,([1]!hcahps[Facility ID] = clean[[#This Row],[Facility ID]]) * ([1]!hcahps[HCAHPS Measure ID] = "H_HSP_RATING_LINEAR_SCORE"), [1]!hcahps[HCAHPS Linear Mean Value]), "No Match")</f>
        <v>No Match</v>
      </c>
      <c r="F5399" t="str" cm="1">
        <f t="array" ref="F5399">_xlfn.IFNA(_xlfn.XLOOKUP(1,([1]!readmissions[Facility ID] = clean[[#This Row],[Facility ID]]) * ([1]!readmissions[Measure ID] = "Hybrid_HWR"), [1]!readmissions[Score]), "No Match")</f>
        <v>No Match</v>
      </c>
    </row>
    <row r="5400" spans="1:6" x14ac:dyDescent="0.2">
      <c r="A5400" t="str">
        <f>[1]!hospitalinfo[[#This Row],[Facility ID]]</f>
        <v>51002F</v>
      </c>
      <c r="B5400" t="str">
        <f>[1]!hospitalinfo[[#This Row],[State]]</f>
        <v>WV</v>
      </c>
      <c r="C5400" t="str">
        <f>[1]!hospitalinfo[[#This Row],[Hospital Type]]</f>
        <v>Acute Care - Veterans Administration</v>
      </c>
      <c r="D5400" t="str">
        <f>[1]!hospitalinfo[[#This Row],[Hospital Ownership]]</f>
        <v>Veterans Health Administration</v>
      </c>
      <c r="E5400" cm="1">
        <f t="array" ref="E5400">_xlfn.IFNA(_xlfn.XLOOKUP(1,([1]!hcahps[Facility ID] = clean[[#This Row],[Facility ID]]) * ([1]!hcahps[HCAHPS Measure ID] = "H_HSP_RATING_LINEAR_SCORE"), [1]!hcahps[HCAHPS Linear Mean Value]), "No Match")</f>
        <v>95</v>
      </c>
      <c r="F5400" cm="1">
        <f t="array" ref="F5400">_xlfn.IFNA(_xlfn.XLOOKUP(1,([1]!readmissions[Facility ID] = clean[[#This Row],[Facility ID]]) * ([1]!readmissions[Measure ID] = "Hybrid_HWR"), [1]!readmissions[Score]), "No Match")</f>
        <v>14</v>
      </c>
    </row>
    <row r="5401" spans="1:6" x14ac:dyDescent="0.2">
      <c r="A5401" t="str">
        <f>[1]!hospitalinfo[[#This Row],[Facility ID]]</f>
        <v>51003F</v>
      </c>
      <c r="B5401" t="str">
        <f>[1]!hospitalinfo[[#This Row],[State]]</f>
        <v>WV</v>
      </c>
      <c r="C5401" t="str">
        <f>[1]!hospitalinfo[[#This Row],[Hospital Type]]</f>
        <v>Acute Care - Veterans Administration</v>
      </c>
      <c r="D5401" t="str">
        <f>[1]!hospitalinfo[[#This Row],[Hospital Ownership]]</f>
        <v>Veterans Health Administration</v>
      </c>
      <c r="E5401" cm="1">
        <f t="array" ref="E5401">_xlfn.IFNA(_xlfn.XLOOKUP(1,([1]!hcahps[Facility ID] = clean[[#This Row],[Facility ID]]) * ([1]!hcahps[HCAHPS Measure ID] = "H_HSP_RATING_LINEAR_SCORE"), [1]!hcahps[HCAHPS Linear Mean Value]), "No Match")</f>
        <v>92</v>
      </c>
      <c r="F5401" cm="1">
        <f t="array" ref="F5401">_xlfn.IFNA(_xlfn.XLOOKUP(1,([1]!readmissions[Facility ID] = clean[[#This Row],[Facility ID]]) * ([1]!readmissions[Measure ID] = "Hybrid_HWR"), [1]!readmissions[Score]), "No Match")</f>
        <v>14.9</v>
      </c>
    </row>
    <row r="5402" spans="1:6" x14ac:dyDescent="0.2">
      <c r="A5402" t="str">
        <f>[1]!hospitalinfo[[#This Row],[Facility ID]]</f>
        <v>51004F</v>
      </c>
      <c r="B5402" t="str">
        <f>[1]!hospitalinfo[[#This Row],[State]]</f>
        <v>WV</v>
      </c>
      <c r="C5402" t="str">
        <f>[1]!hospitalinfo[[#This Row],[Hospital Type]]</f>
        <v>Acute Care - Veterans Administration</v>
      </c>
      <c r="D5402" t="str">
        <f>[1]!hospitalinfo[[#This Row],[Hospital Ownership]]</f>
        <v>Veterans Health Administration</v>
      </c>
      <c r="E5402" cm="1">
        <f t="array" ref="E5402">_xlfn.IFNA(_xlfn.XLOOKUP(1,([1]!hcahps[Facility ID] = clean[[#This Row],[Facility ID]]) * ([1]!hcahps[HCAHPS Measure ID] = "H_HSP_RATING_LINEAR_SCORE"), [1]!hcahps[HCAHPS Linear Mean Value]), "No Match")</f>
        <v>94</v>
      </c>
      <c r="F5402" cm="1">
        <f t="array" ref="F5402">_xlfn.IFNA(_xlfn.XLOOKUP(1,([1]!readmissions[Facility ID] = clean[[#This Row],[Facility ID]]) * ([1]!readmissions[Measure ID] = "Hybrid_HWR"), [1]!readmissions[Score]), "No Match")</f>
        <v>14.7</v>
      </c>
    </row>
    <row r="5403" spans="1:6" x14ac:dyDescent="0.2">
      <c r="A5403" t="str">
        <f>[1]!hospitalinfo[[#This Row],[Facility ID]]</f>
        <v>51005F</v>
      </c>
      <c r="B5403" t="str">
        <f>[1]!hospitalinfo[[#This Row],[State]]</f>
        <v>WV</v>
      </c>
      <c r="C5403" t="str">
        <f>[1]!hospitalinfo[[#This Row],[Hospital Type]]</f>
        <v>Acute Care - Veterans Administration</v>
      </c>
      <c r="D5403" t="str">
        <f>[1]!hospitalinfo[[#This Row],[Hospital Ownership]]</f>
        <v>Veterans Health Administration</v>
      </c>
      <c r="E5403" cm="1">
        <f t="array" ref="E5403">_xlfn.IFNA(_xlfn.XLOOKUP(1,([1]!hcahps[Facility ID] = clean[[#This Row],[Facility ID]]) * ([1]!hcahps[HCAHPS Measure ID] = "H_HSP_RATING_LINEAR_SCORE"), [1]!hcahps[HCAHPS Linear Mean Value]), "No Match")</f>
        <v>92</v>
      </c>
      <c r="F5403" cm="1">
        <f t="array" ref="F5403">_xlfn.IFNA(_xlfn.XLOOKUP(1,([1]!readmissions[Facility ID] = clean[[#This Row],[Facility ID]]) * ([1]!readmissions[Measure ID] = "Hybrid_HWR"), [1]!readmissions[Score]), "No Match")</f>
        <v>13.7</v>
      </c>
    </row>
    <row r="5404" spans="1:6" x14ac:dyDescent="0.2">
      <c r="A5404">
        <f>[1]!hospitalinfo[[#This Row],[Facility ID]]</f>
        <v>530002</v>
      </c>
      <c r="B5404" t="str">
        <f>[1]!hospitalinfo[[#This Row],[State]]</f>
        <v>WY</v>
      </c>
      <c r="C5404" t="str">
        <f>[1]!hospitalinfo[[#This Row],[Hospital Type]]</f>
        <v>Acute Care Hospitals</v>
      </c>
      <c r="D5404" t="str">
        <f>[1]!hospitalinfo[[#This Row],[Hospital Ownership]]</f>
        <v>Government - Hospital District or Authority</v>
      </c>
      <c r="E5404" cm="1">
        <f t="array" ref="E5404">_xlfn.IFNA(_xlfn.XLOOKUP(1,([1]!hcahps[Facility ID] = clean[[#This Row],[Facility ID]]) * ([1]!hcahps[HCAHPS Measure ID] = "H_HSP_RATING_LINEAR_SCORE"), [1]!hcahps[HCAHPS Linear Mean Value]), "No Match")</f>
        <v>85</v>
      </c>
      <c r="F5404" cm="1">
        <f t="array" ref="F5404">_xlfn.IFNA(_xlfn.XLOOKUP(1,([1]!readmissions[Facility ID] = clean[[#This Row],[Facility ID]]) * ([1]!readmissions[Measure ID] = "Hybrid_HWR"), [1]!readmissions[Score]), "No Match")</f>
        <v>14.1</v>
      </c>
    </row>
    <row r="5405" spans="1:6" x14ac:dyDescent="0.2">
      <c r="A5405">
        <f>[1]!hospitalinfo[[#This Row],[Facility ID]]</f>
        <v>530006</v>
      </c>
      <c r="B5405" t="str">
        <f>[1]!hospitalinfo[[#This Row],[State]]</f>
        <v>WY</v>
      </c>
      <c r="C5405" t="str">
        <f>[1]!hospitalinfo[[#This Row],[Hospital Type]]</f>
        <v>Acute Care Hospitals</v>
      </c>
      <c r="D5405" t="str">
        <f>[1]!hospitalinfo[[#This Row],[Hospital Ownership]]</f>
        <v>Government - Local</v>
      </c>
      <c r="E5405" cm="1">
        <f t="array" ref="E5405">_xlfn.IFNA(_xlfn.XLOOKUP(1,([1]!hcahps[Facility ID] = clean[[#This Row],[Facility ID]]) * ([1]!hcahps[HCAHPS Measure ID] = "H_HSP_RATING_LINEAR_SCORE"), [1]!hcahps[HCAHPS Linear Mean Value]), "No Match")</f>
        <v>89</v>
      </c>
      <c r="F5405" cm="1">
        <f t="array" ref="F5405">_xlfn.IFNA(_xlfn.XLOOKUP(1,([1]!readmissions[Facility ID] = clean[[#This Row],[Facility ID]]) * ([1]!readmissions[Measure ID] = "Hybrid_HWR"), [1]!readmissions[Score]), "No Match")</f>
        <v>13.9</v>
      </c>
    </row>
    <row r="5406" spans="1:6" x14ac:dyDescent="0.2">
      <c r="A5406">
        <f>[1]!hospitalinfo[[#This Row],[Facility ID]]</f>
        <v>530008</v>
      </c>
      <c r="B5406" t="str">
        <f>[1]!hospitalinfo[[#This Row],[State]]</f>
        <v>WY</v>
      </c>
      <c r="C5406" t="str">
        <f>[1]!hospitalinfo[[#This Row],[Hospital Type]]</f>
        <v>Acute Care Hospitals</v>
      </c>
      <c r="D5406" t="str">
        <f>[1]!hospitalinfo[[#This Row],[Hospital Ownership]]</f>
        <v>Proprietary</v>
      </c>
      <c r="E5406" cm="1">
        <f t="array" ref="E5406">_xlfn.IFNA(_xlfn.XLOOKUP(1,([1]!hcahps[Facility ID] = clean[[#This Row],[Facility ID]]) * ([1]!hcahps[HCAHPS Measure ID] = "H_HSP_RATING_LINEAR_SCORE"), [1]!hcahps[HCAHPS Linear Mean Value]), "No Match")</f>
        <v>83</v>
      </c>
      <c r="F5406" cm="1">
        <f t="array" ref="F5406">_xlfn.IFNA(_xlfn.XLOOKUP(1,([1]!readmissions[Facility ID] = clean[[#This Row],[Facility ID]]) * ([1]!readmissions[Measure ID] = "Hybrid_HWR"), [1]!readmissions[Score]), "No Match")</f>
        <v>15.5</v>
      </c>
    </row>
    <row r="5407" spans="1:6" x14ac:dyDescent="0.2">
      <c r="A5407">
        <f>[1]!hospitalinfo[[#This Row],[Facility ID]]</f>
        <v>530012</v>
      </c>
      <c r="B5407" t="str">
        <f>[1]!hospitalinfo[[#This Row],[State]]</f>
        <v>WY</v>
      </c>
      <c r="C5407" t="str">
        <f>[1]!hospitalinfo[[#This Row],[Hospital Type]]</f>
        <v>Acute Care Hospitals</v>
      </c>
      <c r="D5407" t="str">
        <f>[1]!hospitalinfo[[#This Row],[Hospital Ownership]]</f>
        <v>Government - Local</v>
      </c>
      <c r="E5407" cm="1">
        <f t="array" ref="E5407">_xlfn.IFNA(_xlfn.XLOOKUP(1,([1]!hcahps[Facility ID] = clean[[#This Row],[Facility ID]]) * ([1]!hcahps[HCAHPS Measure ID] = "H_HSP_RATING_LINEAR_SCORE"), [1]!hcahps[HCAHPS Linear Mean Value]), "No Match")</f>
        <v>83</v>
      </c>
      <c r="F5407" cm="1">
        <f t="array" ref="F5407">_xlfn.IFNA(_xlfn.XLOOKUP(1,([1]!readmissions[Facility ID] = clean[[#This Row],[Facility ID]]) * ([1]!readmissions[Measure ID] = "Hybrid_HWR"), [1]!readmissions[Score]), "No Match")</f>
        <v>14.8</v>
      </c>
    </row>
    <row r="5408" spans="1:6" x14ac:dyDescent="0.2">
      <c r="A5408">
        <f>[1]!hospitalinfo[[#This Row],[Facility ID]]</f>
        <v>530014</v>
      </c>
      <c r="B5408" t="str">
        <f>[1]!hospitalinfo[[#This Row],[State]]</f>
        <v>WY</v>
      </c>
      <c r="C5408" t="str">
        <f>[1]!hospitalinfo[[#This Row],[Hospital Type]]</f>
        <v>Acute Care Hospitals</v>
      </c>
      <c r="D5408" t="str">
        <f>[1]!hospitalinfo[[#This Row],[Hospital Ownership]]</f>
        <v>Voluntary non-profit - Other</v>
      </c>
      <c r="E5408" cm="1">
        <f t="array" ref="E5408">_xlfn.IFNA(_xlfn.XLOOKUP(1,([1]!hcahps[Facility ID] = clean[[#This Row],[Facility ID]]) * ([1]!hcahps[HCAHPS Measure ID] = "H_HSP_RATING_LINEAR_SCORE"), [1]!hcahps[HCAHPS Linear Mean Value]), "No Match")</f>
        <v>89</v>
      </c>
      <c r="F5408" cm="1">
        <f t="array" ref="F5408">_xlfn.IFNA(_xlfn.XLOOKUP(1,([1]!readmissions[Facility ID] = clean[[#This Row],[Facility ID]]) * ([1]!readmissions[Measure ID] = "Hybrid_HWR"), [1]!readmissions[Score]), "No Match")</f>
        <v>14.5</v>
      </c>
    </row>
    <row r="5409" spans="1:6" x14ac:dyDescent="0.2">
      <c r="A5409">
        <f>[1]!hospitalinfo[[#This Row],[Facility ID]]</f>
        <v>530015</v>
      </c>
      <c r="B5409" t="str">
        <f>[1]!hospitalinfo[[#This Row],[State]]</f>
        <v>WY</v>
      </c>
      <c r="C5409" t="str">
        <f>[1]!hospitalinfo[[#This Row],[Hospital Type]]</f>
        <v>Acute Care Hospitals</v>
      </c>
      <c r="D5409" t="str">
        <f>[1]!hospitalinfo[[#This Row],[Hospital Ownership]]</f>
        <v>Government - Hospital District or Authority</v>
      </c>
      <c r="E5409" cm="1">
        <f t="array" ref="E5409">_xlfn.IFNA(_xlfn.XLOOKUP(1,([1]!hcahps[Facility ID] = clean[[#This Row],[Facility ID]]) * ([1]!hcahps[HCAHPS Measure ID] = "H_HSP_RATING_LINEAR_SCORE"), [1]!hcahps[HCAHPS Linear Mean Value]), "No Match")</f>
        <v>93</v>
      </c>
      <c r="F5409" cm="1">
        <f t="array" ref="F5409">_xlfn.IFNA(_xlfn.XLOOKUP(1,([1]!readmissions[Facility ID] = clean[[#This Row],[Facility ID]]) * ([1]!readmissions[Measure ID] = "Hybrid_HWR"), [1]!readmissions[Score]), "No Match")</f>
        <v>14</v>
      </c>
    </row>
    <row r="5410" spans="1:6" x14ac:dyDescent="0.2">
      <c r="A5410">
        <f>[1]!hospitalinfo[[#This Row],[Facility ID]]</f>
        <v>530025</v>
      </c>
      <c r="B5410" t="str">
        <f>[1]!hospitalinfo[[#This Row],[State]]</f>
        <v>WY</v>
      </c>
      <c r="C5410" t="str">
        <f>[1]!hospitalinfo[[#This Row],[Hospital Type]]</f>
        <v>Acute Care Hospitals</v>
      </c>
      <c r="D5410" t="str">
        <f>[1]!hospitalinfo[[#This Row],[Hospital Ownership]]</f>
        <v>Government - Hospital District or Authority</v>
      </c>
      <c r="E5410" cm="1">
        <f t="array" ref="E5410">_xlfn.IFNA(_xlfn.XLOOKUP(1,([1]!hcahps[Facility ID] = clean[[#This Row],[Facility ID]]) * ([1]!hcahps[HCAHPS Measure ID] = "H_HSP_RATING_LINEAR_SCORE"), [1]!hcahps[HCAHPS Linear Mean Value]), "No Match")</f>
        <v>89</v>
      </c>
      <c r="F5410" cm="1">
        <f t="array" ref="F5410">_xlfn.IFNA(_xlfn.XLOOKUP(1,([1]!readmissions[Facility ID] = clean[[#This Row],[Facility ID]]) * ([1]!readmissions[Measure ID] = "Hybrid_HWR"), [1]!readmissions[Score]), "No Match")</f>
        <v>14.5</v>
      </c>
    </row>
    <row r="5411" spans="1:6" x14ac:dyDescent="0.2">
      <c r="A5411">
        <f>[1]!hospitalinfo[[#This Row],[Facility ID]]</f>
        <v>530034</v>
      </c>
      <c r="B5411" t="str">
        <f>[1]!hospitalinfo[[#This Row],[State]]</f>
        <v>WY</v>
      </c>
      <c r="C5411" t="str">
        <f>[1]!hospitalinfo[[#This Row],[Hospital Type]]</f>
        <v>Acute Care Hospitals</v>
      </c>
      <c r="D5411" t="str">
        <f>[1]!hospitalinfo[[#This Row],[Hospital Ownership]]</f>
        <v>Physician</v>
      </c>
      <c r="E5411" t="str" cm="1">
        <f t="array" ref="E5411">_xlfn.IFNA(_xlfn.XLOOKUP(1,([1]!hcahps[Facility ID] = clean[[#This Row],[Facility ID]]) * ([1]!hcahps[HCAHPS Measure ID] = "H_HSP_RATING_LINEAR_SCORE"), [1]!hcahps[HCAHPS Linear Mean Value]), "No Match")</f>
        <v>Not Available</v>
      </c>
      <c r="F5411" cm="1">
        <f t="array" ref="F5411">_xlfn.IFNA(_xlfn.XLOOKUP(1,([1]!readmissions[Facility ID] = clean[[#This Row],[Facility ID]]) * ([1]!readmissions[Measure ID] = "Hybrid_HWR"), [1]!readmissions[Score]), "No Match")</f>
        <v>14.7</v>
      </c>
    </row>
    <row r="5412" spans="1:6" x14ac:dyDescent="0.2">
      <c r="A5412">
        <f>[1]!hospitalinfo[[#This Row],[Facility ID]]</f>
        <v>531301</v>
      </c>
      <c r="B5412" t="str">
        <f>[1]!hospitalinfo[[#This Row],[State]]</f>
        <v>WY</v>
      </c>
      <c r="C5412" t="str">
        <f>[1]!hospitalinfo[[#This Row],[Hospital Type]]</f>
        <v>Critical Access Hospitals</v>
      </c>
      <c r="D5412" t="str">
        <f>[1]!hospitalinfo[[#This Row],[Hospital Ownership]]</f>
        <v>Government - Hospital District or Authority</v>
      </c>
      <c r="E5412" t="str" cm="1">
        <f t="array" ref="E5412">_xlfn.IFNA(_xlfn.XLOOKUP(1,([1]!hcahps[Facility ID] = clean[[#This Row],[Facility ID]]) * ([1]!hcahps[HCAHPS Measure ID] = "H_HSP_RATING_LINEAR_SCORE"), [1]!hcahps[HCAHPS Linear Mean Value]), "No Match")</f>
        <v>Not Available</v>
      </c>
      <c r="F5412" cm="1">
        <f t="array" ref="F5412">_xlfn.IFNA(_xlfn.XLOOKUP(1,([1]!readmissions[Facility ID] = clean[[#This Row],[Facility ID]]) * ([1]!readmissions[Measure ID] = "Hybrid_HWR"), [1]!readmissions[Score]), "No Match")</f>
        <v>15</v>
      </c>
    </row>
    <row r="5413" spans="1:6" x14ac:dyDescent="0.2">
      <c r="A5413">
        <f>[1]!hospitalinfo[[#This Row],[Facility ID]]</f>
        <v>531302</v>
      </c>
      <c r="B5413" t="str">
        <f>[1]!hospitalinfo[[#This Row],[State]]</f>
        <v>WY</v>
      </c>
      <c r="C5413" t="str">
        <f>[1]!hospitalinfo[[#This Row],[Hospital Type]]</f>
        <v>Critical Access Hospitals</v>
      </c>
      <c r="D5413" t="str">
        <f>[1]!hospitalinfo[[#This Row],[Hospital Ownership]]</f>
        <v>Government - Local</v>
      </c>
      <c r="E5413" cm="1">
        <f t="array" ref="E5413">_xlfn.IFNA(_xlfn.XLOOKUP(1,([1]!hcahps[Facility ID] = clean[[#This Row],[Facility ID]]) * ([1]!hcahps[HCAHPS Measure ID] = "H_HSP_RATING_LINEAR_SCORE"), [1]!hcahps[HCAHPS Linear Mean Value]), "No Match")</f>
        <v>88</v>
      </c>
      <c r="F5413" cm="1">
        <f t="array" ref="F5413">_xlfn.IFNA(_xlfn.XLOOKUP(1,([1]!readmissions[Facility ID] = clean[[#This Row],[Facility ID]]) * ([1]!readmissions[Measure ID] = "Hybrid_HWR"), [1]!readmissions[Score]), "No Match")</f>
        <v>14.8</v>
      </c>
    </row>
    <row r="5414" spans="1:6" x14ac:dyDescent="0.2">
      <c r="A5414">
        <f>[1]!hospitalinfo[[#This Row],[Facility ID]]</f>
        <v>531303</v>
      </c>
      <c r="B5414" t="str">
        <f>[1]!hospitalinfo[[#This Row],[State]]</f>
        <v>WY</v>
      </c>
      <c r="C5414" t="str">
        <f>[1]!hospitalinfo[[#This Row],[Hospital Type]]</f>
        <v>Critical Access Hospitals</v>
      </c>
      <c r="D5414" t="str">
        <f>[1]!hospitalinfo[[#This Row],[Hospital Ownership]]</f>
        <v>Government - Hospital District or Authority</v>
      </c>
      <c r="E5414" t="str" cm="1">
        <f t="array" ref="E5414">_xlfn.IFNA(_xlfn.XLOOKUP(1,([1]!hcahps[Facility ID] = clean[[#This Row],[Facility ID]]) * ([1]!hcahps[HCAHPS Measure ID] = "H_HSP_RATING_LINEAR_SCORE"), [1]!hcahps[HCAHPS Linear Mean Value]), "No Match")</f>
        <v>Not Available</v>
      </c>
      <c r="F5414" cm="1">
        <f t="array" ref="F5414">_xlfn.IFNA(_xlfn.XLOOKUP(1,([1]!readmissions[Facility ID] = clean[[#This Row],[Facility ID]]) * ([1]!readmissions[Measure ID] = "Hybrid_HWR"), [1]!readmissions[Score]), "No Match")</f>
        <v>15.4</v>
      </c>
    </row>
    <row r="5415" spans="1:6" x14ac:dyDescent="0.2">
      <c r="A5415">
        <f>[1]!hospitalinfo[[#This Row],[Facility ID]]</f>
        <v>531304</v>
      </c>
      <c r="B5415" t="str">
        <f>[1]!hospitalinfo[[#This Row],[State]]</f>
        <v>WY</v>
      </c>
      <c r="C5415" t="str">
        <f>[1]!hospitalinfo[[#This Row],[Hospital Type]]</f>
        <v>Critical Access Hospitals</v>
      </c>
      <c r="D5415" t="str">
        <f>[1]!hospitalinfo[[#This Row],[Hospital Ownership]]</f>
        <v>Government - Hospital District or Authority</v>
      </c>
      <c r="E5415" t="str" cm="1">
        <f t="array" ref="E5415">_xlfn.IFNA(_xlfn.XLOOKUP(1,([1]!hcahps[Facility ID] = clean[[#This Row],[Facility ID]]) * ([1]!hcahps[HCAHPS Measure ID] = "H_HSP_RATING_LINEAR_SCORE"), [1]!hcahps[HCAHPS Linear Mean Value]), "No Match")</f>
        <v>Not Available</v>
      </c>
      <c r="F5415" cm="1">
        <f t="array" ref="F5415">_xlfn.IFNA(_xlfn.XLOOKUP(1,([1]!readmissions[Facility ID] = clean[[#This Row],[Facility ID]]) * ([1]!readmissions[Measure ID] = "Hybrid_HWR"), [1]!readmissions[Score]), "No Match")</f>
        <v>15.1</v>
      </c>
    </row>
    <row r="5416" spans="1:6" x14ac:dyDescent="0.2">
      <c r="A5416">
        <f>[1]!hospitalinfo[[#This Row],[Facility ID]]</f>
        <v>531305</v>
      </c>
      <c r="B5416" t="str">
        <f>[1]!hospitalinfo[[#This Row],[State]]</f>
        <v>WY</v>
      </c>
      <c r="C5416" t="str">
        <f>[1]!hospitalinfo[[#This Row],[Hospital Type]]</f>
        <v>Critical Access Hospitals</v>
      </c>
      <c r="D5416" t="str">
        <f>[1]!hospitalinfo[[#This Row],[Hospital Ownership]]</f>
        <v>Government - Local</v>
      </c>
      <c r="E5416" t="str" cm="1">
        <f t="array" ref="E5416">_xlfn.IFNA(_xlfn.XLOOKUP(1,([1]!hcahps[Facility ID] = clean[[#This Row],[Facility ID]]) * ([1]!hcahps[HCAHPS Measure ID] = "H_HSP_RATING_LINEAR_SCORE"), [1]!hcahps[HCAHPS Linear Mean Value]), "No Match")</f>
        <v>Not Available</v>
      </c>
      <c r="F5416" cm="1">
        <f t="array" ref="F5416">_xlfn.IFNA(_xlfn.XLOOKUP(1,([1]!readmissions[Facility ID] = clean[[#This Row],[Facility ID]]) * ([1]!readmissions[Measure ID] = "Hybrid_HWR"), [1]!readmissions[Score]), "No Match")</f>
        <v>14.3</v>
      </c>
    </row>
    <row r="5417" spans="1:6" x14ac:dyDescent="0.2">
      <c r="A5417">
        <f>[1]!hospitalinfo[[#This Row],[Facility ID]]</f>
        <v>531306</v>
      </c>
      <c r="B5417" t="str">
        <f>[1]!hospitalinfo[[#This Row],[State]]</f>
        <v>WY</v>
      </c>
      <c r="C5417" t="str">
        <f>[1]!hospitalinfo[[#This Row],[Hospital Type]]</f>
        <v>Critical Access Hospitals</v>
      </c>
      <c r="D5417" t="str">
        <f>[1]!hospitalinfo[[#This Row],[Hospital Ownership]]</f>
        <v>Government - Local</v>
      </c>
      <c r="E5417" t="str" cm="1">
        <f t="array" ref="E5417">_xlfn.IFNA(_xlfn.XLOOKUP(1,([1]!hcahps[Facility ID] = clean[[#This Row],[Facility ID]]) * ([1]!hcahps[HCAHPS Measure ID] = "H_HSP_RATING_LINEAR_SCORE"), [1]!hcahps[HCAHPS Linear Mean Value]), "No Match")</f>
        <v>Not Available</v>
      </c>
      <c r="F5417" cm="1">
        <f t="array" ref="F5417">_xlfn.IFNA(_xlfn.XLOOKUP(1,([1]!readmissions[Facility ID] = clean[[#This Row],[Facility ID]]) * ([1]!readmissions[Measure ID] = "Hybrid_HWR"), [1]!readmissions[Score]), "No Match")</f>
        <v>15</v>
      </c>
    </row>
    <row r="5418" spans="1:6" x14ac:dyDescent="0.2">
      <c r="A5418">
        <f>[1]!hospitalinfo[[#This Row],[Facility ID]]</f>
        <v>531307</v>
      </c>
      <c r="B5418" t="str">
        <f>[1]!hospitalinfo[[#This Row],[State]]</f>
        <v>WY</v>
      </c>
      <c r="C5418" t="str">
        <f>[1]!hospitalinfo[[#This Row],[Hospital Type]]</f>
        <v>Critical Access Hospitals</v>
      </c>
      <c r="D5418" t="str">
        <f>[1]!hospitalinfo[[#This Row],[Hospital Ownership]]</f>
        <v>Voluntary non-profit - Private</v>
      </c>
      <c r="E5418" cm="1">
        <f t="array" ref="E5418">_xlfn.IFNA(_xlfn.XLOOKUP(1,([1]!hcahps[Facility ID] = clean[[#This Row],[Facility ID]]) * ([1]!hcahps[HCAHPS Measure ID] = "H_HSP_RATING_LINEAR_SCORE"), [1]!hcahps[HCAHPS Linear Mean Value]), "No Match")</f>
        <v>91</v>
      </c>
      <c r="F5418" cm="1">
        <f t="array" ref="F5418">_xlfn.IFNA(_xlfn.XLOOKUP(1,([1]!readmissions[Facility ID] = clean[[#This Row],[Facility ID]]) * ([1]!readmissions[Measure ID] = "Hybrid_HWR"), [1]!readmissions[Score]), "No Match")</f>
        <v>14.8</v>
      </c>
    </row>
    <row r="5419" spans="1:6" x14ac:dyDescent="0.2">
      <c r="A5419">
        <f>[1]!hospitalinfo[[#This Row],[Facility ID]]</f>
        <v>531308</v>
      </c>
      <c r="B5419" t="str">
        <f>[1]!hospitalinfo[[#This Row],[State]]</f>
        <v>WY</v>
      </c>
      <c r="C5419" t="str">
        <f>[1]!hospitalinfo[[#This Row],[Hospital Type]]</f>
        <v>Critical Access Hospitals</v>
      </c>
      <c r="D5419" t="str">
        <f>[1]!hospitalinfo[[#This Row],[Hospital Ownership]]</f>
        <v>Government - Hospital District or Authority</v>
      </c>
      <c r="E5419" t="str" cm="1">
        <f t="array" ref="E5419">_xlfn.IFNA(_xlfn.XLOOKUP(1,([1]!hcahps[Facility ID] = clean[[#This Row],[Facility ID]]) * ([1]!hcahps[HCAHPS Measure ID] = "H_HSP_RATING_LINEAR_SCORE"), [1]!hcahps[HCAHPS Linear Mean Value]), "No Match")</f>
        <v>Not Available</v>
      </c>
      <c r="F5419" t="str" cm="1">
        <f t="array" ref="F5419">_xlfn.IFNA(_xlfn.XLOOKUP(1,([1]!readmissions[Facility ID] = clean[[#This Row],[Facility ID]]) * ([1]!readmissions[Measure ID] = "Hybrid_HWR"), [1]!readmissions[Score]), "No Match")</f>
        <v>Not Available</v>
      </c>
    </row>
    <row r="5420" spans="1:6" x14ac:dyDescent="0.2">
      <c r="A5420">
        <f>[1]!hospitalinfo[[#This Row],[Facility ID]]</f>
        <v>531309</v>
      </c>
      <c r="B5420" t="str">
        <f>[1]!hospitalinfo[[#This Row],[State]]</f>
        <v>WY</v>
      </c>
      <c r="C5420" t="str">
        <f>[1]!hospitalinfo[[#This Row],[Hospital Type]]</f>
        <v>Critical Access Hospitals</v>
      </c>
      <c r="D5420" t="str">
        <f>[1]!hospitalinfo[[#This Row],[Hospital Ownership]]</f>
        <v>Government - Hospital District or Authority</v>
      </c>
      <c r="E5420" t="str" cm="1">
        <f t="array" ref="E5420">_xlfn.IFNA(_xlfn.XLOOKUP(1,([1]!hcahps[Facility ID] = clean[[#This Row],[Facility ID]]) * ([1]!hcahps[HCAHPS Measure ID] = "H_HSP_RATING_LINEAR_SCORE"), [1]!hcahps[HCAHPS Linear Mean Value]), "No Match")</f>
        <v>Not Available</v>
      </c>
      <c r="F5420" cm="1">
        <f t="array" ref="F5420">_xlfn.IFNA(_xlfn.XLOOKUP(1,([1]!readmissions[Facility ID] = clean[[#This Row],[Facility ID]]) * ([1]!readmissions[Measure ID] = "Hybrid_HWR"), [1]!readmissions[Score]), "No Match")</f>
        <v>14.4</v>
      </c>
    </row>
    <row r="5421" spans="1:6" x14ac:dyDescent="0.2">
      <c r="A5421">
        <f>[1]!hospitalinfo[[#This Row],[Facility ID]]</f>
        <v>531310</v>
      </c>
      <c r="B5421" t="str">
        <f>[1]!hospitalinfo[[#This Row],[State]]</f>
        <v>WY</v>
      </c>
      <c r="C5421" t="str">
        <f>[1]!hospitalinfo[[#This Row],[Hospital Type]]</f>
        <v>Critical Access Hospitals</v>
      </c>
      <c r="D5421" t="str">
        <f>[1]!hospitalinfo[[#This Row],[Hospital Ownership]]</f>
        <v>Government - Hospital District or Authority</v>
      </c>
      <c r="E5421" cm="1">
        <f t="array" ref="E5421">_xlfn.IFNA(_xlfn.XLOOKUP(1,([1]!hcahps[Facility ID] = clean[[#This Row],[Facility ID]]) * ([1]!hcahps[HCAHPS Measure ID] = "H_HSP_RATING_LINEAR_SCORE"), [1]!hcahps[HCAHPS Linear Mean Value]), "No Match")</f>
        <v>93</v>
      </c>
      <c r="F5421" cm="1">
        <f t="array" ref="F5421">_xlfn.IFNA(_xlfn.XLOOKUP(1,([1]!readmissions[Facility ID] = clean[[#This Row],[Facility ID]]) * ([1]!readmissions[Measure ID] = "Hybrid_HWR"), [1]!readmissions[Score]), "No Match")</f>
        <v>14.9</v>
      </c>
    </row>
    <row r="5422" spans="1:6" x14ac:dyDescent="0.2">
      <c r="A5422">
        <f>[1]!hospitalinfo[[#This Row],[Facility ID]]</f>
        <v>531311</v>
      </c>
      <c r="B5422" t="str">
        <f>[1]!hospitalinfo[[#This Row],[State]]</f>
        <v>WY</v>
      </c>
      <c r="C5422" t="str">
        <f>[1]!hospitalinfo[[#This Row],[Hospital Type]]</f>
        <v>Critical Access Hospitals</v>
      </c>
      <c r="D5422" t="str">
        <f>[1]!hospitalinfo[[#This Row],[Hospital Ownership]]</f>
        <v>Government - Hospital District or Authority</v>
      </c>
      <c r="E5422" t="str" cm="1">
        <f t="array" ref="E5422">_xlfn.IFNA(_xlfn.XLOOKUP(1,([1]!hcahps[Facility ID] = clean[[#This Row],[Facility ID]]) * ([1]!hcahps[HCAHPS Measure ID] = "H_HSP_RATING_LINEAR_SCORE"), [1]!hcahps[HCAHPS Linear Mean Value]), "No Match")</f>
        <v>Not Available</v>
      </c>
      <c r="F5422" cm="1">
        <f t="array" ref="F5422">_xlfn.IFNA(_xlfn.XLOOKUP(1,([1]!readmissions[Facility ID] = clean[[#This Row],[Facility ID]]) * ([1]!readmissions[Measure ID] = "Hybrid_HWR"), [1]!readmissions[Score]), "No Match")</f>
        <v>14.6</v>
      </c>
    </row>
    <row r="5423" spans="1:6" x14ac:dyDescent="0.2">
      <c r="A5423">
        <f>[1]!hospitalinfo[[#This Row],[Facility ID]]</f>
        <v>531312</v>
      </c>
      <c r="B5423" t="str">
        <f>[1]!hospitalinfo[[#This Row],[State]]</f>
        <v>WY</v>
      </c>
      <c r="C5423" t="str">
        <f>[1]!hospitalinfo[[#This Row],[Hospital Type]]</f>
        <v>Critical Access Hospitals</v>
      </c>
      <c r="D5423" t="str">
        <f>[1]!hospitalinfo[[#This Row],[Hospital Ownership]]</f>
        <v>Government - Hospital District or Authority</v>
      </c>
      <c r="E5423" cm="1">
        <f t="array" ref="E5423">_xlfn.IFNA(_xlfn.XLOOKUP(1,([1]!hcahps[Facility ID] = clean[[#This Row],[Facility ID]]) * ([1]!hcahps[HCAHPS Measure ID] = "H_HSP_RATING_LINEAR_SCORE"), [1]!hcahps[HCAHPS Linear Mean Value]), "No Match")</f>
        <v>89</v>
      </c>
      <c r="F5423" cm="1">
        <f t="array" ref="F5423">_xlfn.IFNA(_xlfn.XLOOKUP(1,([1]!readmissions[Facility ID] = clean[[#This Row],[Facility ID]]) * ([1]!readmissions[Measure ID] = "Hybrid_HWR"), [1]!readmissions[Score]), "No Match")</f>
        <v>14.7</v>
      </c>
    </row>
    <row r="5424" spans="1:6" x14ac:dyDescent="0.2">
      <c r="A5424">
        <f>[1]!hospitalinfo[[#This Row],[Facility ID]]</f>
        <v>531313</v>
      </c>
      <c r="B5424" t="str">
        <f>[1]!hospitalinfo[[#This Row],[State]]</f>
        <v>WY</v>
      </c>
      <c r="C5424" t="str">
        <f>[1]!hospitalinfo[[#This Row],[Hospital Type]]</f>
        <v>Critical Access Hospitals</v>
      </c>
      <c r="D5424" t="str">
        <f>[1]!hospitalinfo[[#This Row],[Hospital Ownership]]</f>
        <v>Government - Hospital District or Authority</v>
      </c>
      <c r="E5424" t="str" cm="1">
        <f t="array" ref="E5424">_xlfn.IFNA(_xlfn.XLOOKUP(1,([1]!hcahps[Facility ID] = clean[[#This Row],[Facility ID]]) * ([1]!hcahps[HCAHPS Measure ID] = "H_HSP_RATING_LINEAR_SCORE"), [1]!hcahps[HCAHPS Linear Mean Value]), "No Match")</f>
        <v>Not Available</v>
      </c>
      <c r="F5424" cm="1">
        <f t="array" ref="F5424">_xlfn.IFNA(_xlfn.XLOOKUP(1,([1]!readmissions[Facility ID] = clean[[#This Row],[Facility ID]]) * ([1]!readmissions[Measure ID] = "Hybrid_HWR"), [1]!readmissions[Score]), "No Match")</f>
        <v>15</v>
      </c>
    </row>
    <row r="5425" spans="1:6" x14ac:dyDescent="0.2">
      <c r="A5425">
        <f>[1]!hospitalinfo[[#This Row],[Facility ID]]</f>
        <v>531314</v>
      </c>
      <c r="B5425" t="str">
        <f>[1]!hospitalinfo[[#This Row],[State]]</f>
        <v>WY</v>
      </c>
      <c r="C5425" t="str">
        <f>[1]!hospitalinfo[[#This Row],[Hospital Type]]</f>
        <v>Critical Access Hospitals</v>
      </c>
      <c r="D5425" t="str">
        <f>[1]!hospitalinfo[[#This Row],[Hospital Ownership]]</f>
        <v>Government - Hospital District or Authority</v>
      </c>
      <c r="E5425" t="str" cm="1">
        <f t="array" ref="E5425">_xlfn.IFNA(_xlfn.XLOOKUP(1,([1]!hcahps[Facility ID] = clean[[#This Row],[Facility ID]]) * ([1]!hcahps[HCAHPS Measure ID] = "H_HSP_RATING_LINEAR_SCORE"), [1]!hcahps[HCAHPS Linear Mean Value]), "No Match")</f>
        <v>Not Available</v>
      </c>
      <c r="F5425" cm="1">
        <f t="array" ref="F5425">_xlfn.IFNA(_xlfn.XLOOKUP(1,([1]!readmissions[Facility ID] = clean[[#This Row],[Facility ID]]) * ([1]!readmissions[Measure ID] = "Hybrid_HWR"), [1]!readmissions[Score]), "No Match")</f>
        <v>15.1</v>
      </c>
    </row>
    <row r="5426" spans="1:6" x14ac:dyDescent="0.2">
      <c r="A5426">
        <f>[1]!hospitalinfo[[#This Row],[Facility ID]]</f>
        <v>531315</v>
      </c>
      <c r="B5426" t="str">
        <f>[1]!hospitalinfo[[#This Row],[State]]</f>
        <v>WY</v>
      </c>
      <c r="C5426" t="str">
        <f>[1]!hospitalinfo[[#This Row],[Hospital Type]]</f>
        <v>Critical Access Hospitals</v>
      </c>
      <c r="D5426" t="str">
        <f>[1]!hospitalinfo[[#This Row],[Hospital Ownership]]</f>
        <v>Government - Hospital District or Authority</v>
      </c>
      <c r="E5426" t="str" cm="1">
        <f t="array" ref="E5426">_xlfn.IFNA(_xlfn.XLOOKUP(1,([1]!hcahps[Facility ID] = clean[[#This Row],[Facility ID]]) * ([1]!hcahps[HCAHPS Measure ID] = "H_HSP_RATING_LINEAR_SCORE"), [1]!hcahps[HCAHPS Linear Mean Value]), "No Match")</f>
        <v>Not Available</v>
      </c>
      <c r="F5426" cm="1">
        <f t="array" ref="F5426">_xlfn.IFNA(_xlfn.XLOOKUP(1,([1]!readmissions[Facility ID] = clean[[#This Row],[Facility ID]]) * ([1]!readmissions[Measure ID] = "Hybrid_HWR"), [1]!readmissions[Score]), "No Match")</f>
        <v>15.2</v>
      </c>
    </row>
    <row r="5427" spans="1:6" x14ac:dyDescent="0.2">
      <c r="A5427">
        <f>[1]!hospitalinfo[[#This Row],[Facility ID]]</f>
        <v>531316</v>
      </c>
      <c r="B5427" t="str">
        <f>[1]!hospitalinfo[[#This Row],[State]]</f>
        <v>WY</v>
      </c>
      <c r="C5427" t="str">
        <f>[1]!hospitalinfo[[#This Row],[Hospital Type]]</f>
        <v>Critical Access Hospitals</v>
      </c>
      <c r="D5427" t="str">
        <f>[1]!hospitalinfo[[#This Row],[Hospital Ownership]]</f>
        <v>Government - Local</v>
      </c>
      <c r="E5427" t="str" cm="1">
        <f t="array" ref="E5427">_xlfn.IFNA(_xlfn.XLOOKUP(1,([1]!hcahps[Facility ID] = clean[[#This Row],[Facility ID]]) * ([1]!hcahps[HCAHPS Measure ID] = "H_HSP_RATING_LINEAR_SCORE"), [1]!hcahps[HCAHPS Linear Mean Value]), "No Match")</f>
        <v>Not Available</v>
      </c>
      <c r="F5427" cm="1">
        <f t="array" ref="F5427">_xlfn.IFNA(_xlfn.XLOOKUP(1,([1]!readmissions[Facility ID] = clean[[#This Row],[Facility ID]]) * ([1]!readmissions[Measure ID] = "Hybrid_HWR"), [1]!readmissions[Score]), "No Match")</f>
        <v>14.9</v>
      </c>
    </row>
    <row r="5428" spans="1:6" x14ac:dyDescent="0.2">
      <c r="A5428">
        <f>[1]!hospitalinfo[[#This Row],[Facility ID]]</f>
        <v>531317</v>
      </c>
      <c r="B5428" t="str">
        <f>[1]!hospitalinfo[[#This Row],[State]]</f>
        <v>WY</v>
      </c>
      <c r="C5428" t="str">
        <f>[1]!hospitalinfo[[#This Row],[Hospital Type]]</f>
        <v>Critical Access Hospitals</v>
      </c>
      <c r="D5428" t="str">
        <f>[1]!hospitalinfo[[#This Row],[Hospital Ownership]]</f>
        <v>Voluntary non-profit - Private</v>
      </c>
      <c r="E5428" t="str" cm="1">
        <f t="array" ref="E5428">_xlfn.IFNA(_xlfn.XLOOKUP(1,([1]!hcahps[Facility ID] = clean[[#This Row],[Facility ID]]) * ([1]!hcahps[HCAHPS Measure ID] = "H_HSP_RATING_LINEAR_SCORE"), [1]!hcahps[HCAHPS Linear Mean Value]), "No Match")</f>
        <v>Not Available</v>
      </c>
      <c r="F5428" t="str" cm="1">
        <f t="array" ref="F5428">_xlfn.IFNA(_xlfn.XLOOKUP(1,([1]!readmissions[Facility ID] = clean[[#This Row],[Facility ID]]) * ([1]!readmissions[Measure ID] = "Hybrid_HWR"), [1]!readmissions[Score]), "No Match")</f>
        <v>Not Available</v>
      </c>
    </row>
    <row r="5429" spans="1:6" x14ac:dyDescent="0.2">
      <c r="A5429">
        <f>[1]!hospitalinfo[[#This Row],[Facility ID]]</f>
        <v>531318</v>
      </c>
      <c r="B5429" t="str">
        <f>[1]!hospitalinfo[[#This Row],[State]]</f>
        <v>WY</v>
      </c>
      <c r="C5429" t="str">
        <f>[1]!hospitalinfo[[#This Row],[Hospital Type]]</f>
        <v>Critical Access Hospitals</v>
      </c>
      <c r="D5429" t="str">
        <f>[1]!hospitalinfo[[#This Row],[Hospital Ownership]]</f>
        <v>Government - Hospital District or Authority</v>
      </c>
      <c r="E5429" cm="1">
        <f t="array" ref="E5429">_xlfn.IFNA(_xlfn.XLOOKUP(1,([1]!hcahps[Facility ID] = clean[[#This Row],[Facility ID]]) * ([1]!hcahps[HCAHPS Measure ID] = "H_HSP_RATING_LINEAR_SCORE"), [1]!hcahps[HCAHPS Linear Mean Value]), "No Match")</f>
        <v>89</v>
      </c>
      <c r="F5429" t="str" cm="1">
        <f t="array" ref="F5429">_xlfn.IFNA(_xlfn.XLOOKUP(1,([1]!readmissions[Facility ID] = clean[[#This Row],[Facility ID]]) * ([1]!readmissions[Measure ID] = "Hybrid_HWR"), [1]!readmissions[Score]), "No Match")</f>
        <v>Not Available</v>
      </c>
    </row>
    <row r="5430" spans="1:6" x14ac:dyDescent="0.2">
      <c r="A5430">
        <f>[1]!hospitalinfo[[#This Row],[Facility ID]]</f>
        <v>531319</v>
      </c>
      <c r="B5430" t="str">
        <f>[1]!hospitalinfo[[#This Row],[State]]</f>
        <v>WY</v>
      </c>
      <c r="C5430" t="str">
        <f>[1]!hospitalinfo[[#This Row],[Hospital Type]]</f>
        <v>Critical Access Hospitals</v>
      </c>
      <c r="D5430" t="str">
        <f>[1]!hospitalinfo[[#This Row],[Hospital Ownership]]</f>
        <v>Proprietary</v>
      </c>
      <c r="E5430" t="str" cm="1">
        <f t="array" ref="E5430">_xlfn.IFNA(_xlfn.XLOOKUP(1,([1]!hcahps[Facility ID] = clean[[#This Row],[Facility ID]]) * ([1]!hcahps[HCAHPS Measure ID] = "H_HSP_RATING_LINEAR_SCORE"), [1]!hcahps[HCAHPS Linear Mean Value]), "No Match")</f>
        <v>Not Available</v>
      </c>
      <c r="F5430" t="str" cm="1">
        <f t="array" ref="F5430">_xlfn.IFNA(_xlfn.XLOOKUP(1,([1]!readmissions[Facility ID] = clean[[#This Row],[Facility ID]]) * ([1]!readmissions[Measure ID] = "Hybrid_HWR"), [1]!readmissions[Score]), "No Match")</f>
        <v>Not Available</v>
      </c>
    </row>
    <row r="5431" spans="1:6" x14ac:dyDescent="0.2">
      <c r="A5431">
        <f>[1]!hospitalinfo[[#This Row],[Facility ID]]</f>
        <v>534004</v>
      </c>
      <c r="B5431" t="str">
        <f>[1]!hospitalinfo[[#This Row],[State]]</f>
        <v>WY</v>
      </c>
      <c r="C5431" t="str">
        <f>[1]!hospitalinfo[[#This Row],[Hospital Type]]</f>
        <v>Psychiatric</v>
      </c>
      <c r="D5431" t="str">
        <f>[1]!hospitalinfo[[#This Row],[Hospital Ownership]]</f>
        <v>Proprietary</v>
      </c>
      <c r="E5431" t="str" cm="1">
        <f t="array" ref="E5431">_xlfn.IFNA(_xlfn.XLOOKUP(1,([1]!hcahps[Facility ID] = clean[[#This Row],[Facility ID]]) * ([1]!hcahps[HCAHPS Measure ID] = "H_HSP_RATING_LINEAR_SCORE"), [1]!hcahps[HCAHPS Linear Mean Value]), "No Match")</f>
        <v>No Match</v>
      </c>
      <c r="F5431" t="str" cm="1">
        <f t="array" ref="F5431">_xlfn.IFNA(_xlfn.XLOOKUP(1,([1]!readmissions[Facility ID] = clean[[#This Row],[Facility ID]]) * ([1]!readmissions[Measure ID] = "Hybrid_HWR"), [1]!readmissions[Score]), "No Match")</f>
        <v>No Match</v>
      </c>
    </row>
    <row r="5432" spans="1:6" x14ac:dyDescent="0.2">
      <c r="A5432" t="str">
        <f>[1]!hospitalinfo[[#This Row],[Facility ID]]</f>
        <v>53004F</v>
      </c>
      <c r="B5432" t="str">
        <f>[1]!hospitalinfo[[#This Row],[State]]</f>
        <v>WY</v>
      </c>
      <c r="C5432" t="str">
        <f>[1]!hospitalinfo[[#This Row],[Hospital Type]]</f>
        <v>Acute Care - Veterans Administration</v>
      </c>
      <c r="D5432" t="str">
        <f>[1]!hospitalinfo[[#This Row],[Hospital Ownership]]</f>
        <v>Veterans Health Administration</v>
      </c>
      <c r="E5432" cm="1">
        <f t="array" ref="E5432">_xlfn.IFNA(_xlfn.XLOOKUP(1,([1]!hcahps[Facility ID] = clean[[#This Row],[Facility ID]]) * ([1]!hcahps[HCAHPS Measure ID] = "H_HSP_RATING_LINEAR_SCORE"), [1]!hcahps[HCAHPS Linear Mean Value]), "No Match")</f>
        <v>92</v>
      </c>
      <c r="F5432" cm="1">
        <f t="array" ref="F5432">_xlfn.IFNA(_xlfn.XLOOKUP(1,([1]!readmissions[Facility ID] = clean[[#This Row],[Facility ID]]) * ([1]!readmissions[Measure ID] = "Hybrid_HWR"), [1]!readmissions[Score]), "No Match")</f>
        <v>15</v>
      </c>
    </row>
    <row r="5433" spans="1:6" x14ac:dyDescent="0.2">
      <c r="A5433" t="str">
        <f>[1]!hospitalinfo[[#This Row],[Facility ID]]</f>
        <v>53005F</v>
      </c>
      <c r="B5433" t="str">
        <f>[1]!hospitalinfo[[#This Row],[State]]</f>
        <v>WY</v>
      </c>
      <c r="C5433" t="str">
        <f>[1]!hospitalinfo[[#This Row],[Hospital Type]]</f>
        <v>Acute Care - Veterans Administration</v>
      </c>
      <c r="D5433" t="str">
        <f>[1]!hospitalinfo[[#This Row],[Hospital Ownership]]</f>
        <v>Veterans Health Administration</v>
      </c>
      <c r="E5433" t="str" cm="1">
        <f t="array" ref="E5433">_xlfn.IFNA(_xlfn.XLOOKUP(1,([1]!hcahps[Facility ID] = clean[[#This Row],[Facility ID]]) * ([1]!hcahps[HCAHPS Measure ID] = "H_HSP_RATING_LINEAR_SCORE"), [1]!hcahps[HCAHPS Linear Mean Value]), "No Match")</f>
        <v>Not Available</v>
      </c>
      <c r="F5433" cm="1">
        <f t="array" ref="F5433">_xlfn.IFNA(_xlfn.XLOOKUP(1,([1]!readmissions[Facility ID] = clean[[#This Row],[Facility ID]]) * ([1]!readmissions[Measure ID] = "Hybrid_HWR"), [1]!readmissions[Score]), "No Match")</f>
        <v>14.8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Yashkirat</dc:creator>
  <cp:lastModifiedBy>Singh, Yashkirat</cp:lastModifiedBy>
  <dcterms:created xsi:type="dcterms:W3CDTF">2026-08-21T18:25:34Z</dcterms:created>
  <dcterms:modified xsi:type="dcterms:W3CDTF">2026-08-21T18:29:08Z</dcterms:modified>
</cp:coreProperties>
</file>